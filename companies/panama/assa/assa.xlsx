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14" r:id="rId7"/>
    <sheet name="Puente_NIIF17" sheetId="4" r:id="rId8"/>
    <sheet name="Premiums_Claims" sheetId="5" r:id="rId9"/>
    <sheet name="Claims_Reserves" sheetId="6" r:id="rId10"/>
    <sheet name="Reinsurance" sheetId="7" r:id="rId11"/>
    <sheet name="Investments" sheetId="8" r:id="rId12"/>
    <sheet name="Investment_Float" sheetId="9" r:id="rId13"/>
    <sheet name="Solvency_Capital" sheetId="10" r:id="rId14"/>
    <sheet name="Unit_Economics" sheetId="11" r:id="rId15"/>
    <sheet name="MD&amp;A" sheetId="12" r:id="rId16"/>
    <sheet name="Valuation" sheetId="13" r:id="rId17"/>
    <sheet name="_CHECKS" sheetId="15" r:id="rId18"/>
    <sheet name="Source_Register" sheetId="16" r:id="rId19"/>
    <sheet name="_CHANGELOG" sheetId="17" r:id="rId20"/>
    <sheet name="Claude Code Log" sheetId="18" r:id="rId21"/>
  </sheets>
  <calcPr calcId="0"/>
</workbook>
</file>

<file path=xl/sharedStrings.xml><?xml version="1.0" encoding="utf-8"?>
<sst xmlns="http://schemas.openxmlformats.org/spreadsheetml/2006/main" count="28282" uniqueCount="3172">
  <si>
    <t>Grupo ASSA, S. A.</t>
  </si>
  <si>
    <t>Estados Financieros Consolidados Auditados FY21-FY25</t>
  </si>
  <si>
    <t>en US$ sin escala</t>
  </si>
  <si>
    <t>Años</t>
  </si>
  <si>
    <t>FY21A</t>
  </si>
  <si>
    <t>FY22A</t>
  </si>
  <si>
    <t>FY23A</t>
  </si>
  <si>
    <t>FY24A</t>
  </si>
  <si>
    <t>FY25A</t>
  </si>
  <si>
    <t>FY26E</t>
  </si>
  <si>
    <t>FY27E</t>
  </si>
  <si>
    <t>FY28E</t>
  </si>
  <si>
    <t>FY29E</t>
  </si>
  <si>
    <t>FY30E</t>
  </si>
  <si>
    <t>Estado de Resultados</t>
  </si>
  <si>
    <t>— Base regulatoria SSRP / NIIF excepto NIIF 17 (FY2021A–FY2024A, filings propios de cada año)</t>
  </si>
  <si>
    <t>Primas suscritas, netas de cancelaciones</t>
  </si>
  <si>
    <t>Primas suscritas cedidas a reaseguradores</t>
  </si>
  <si>
    <t>Total de primas netas retenidas</t>
  </si>
  <si>
    <t>Cambio en la provisión bruta para riesgo en curso</t>
  </si>
  <si>
    <t>Cambio en la provisión en los negocios de vida a largo plazo sobre pólizas de vida</t>
  </si>
  <si>
    <t>Cambio en la participación de los reaseguradores en la provisión sobre contratos de seguros</t>
  </si>
  <si>
    <t>Total de cambios en las provisiones de los contratos de seguros</t>
  </si>
  <si>
    <t>Primas netas ganadas</t>
  </si>
  <si>
    <t>Reclamos y beneficios incurridos</t>
  </si>
  <si>
    <t>Participación de los reaseguradores en los reclamos y beneficios incurridos</t>
  </si>
  <si>
    <t>Beneficios por reembolsos y rescates</t>
  </si>
  <si>
    <t>Reclamos y beneficios netos incurridos por los asegurados</t>
  </si>
  <si>
    <t>Costo de suscripción y adquisición</t>
  </si>
  <si>
    <t>Provisión para pérdidas crediticias esperadas en primas por cobrar</t>
  </si>
  <si>
    <t>Primas netas ganadas, después de reclamos, costos de suscripción y provisión para pérdidas crediticias esperadas en primas por cobrar</t>
  </si>
  <si>
    <t>Intereses sobre préstamos</t>
  </si>
  <si>
    <t>Intereses sobre depósitos en bancos</t>
  </si>
  <si>
    <t>Intereses sobre inversiones en valores</t>
  </si>
  <si>
    <t>Total de ingresos por intereses</t>
  </si>
  <si>
    <t>Gastos por intereses sobre depósitos</t>
  </si>
  <si>
    <t>Gastos por intereses sobre emisiones de deuda y obligaciones</t>
  </si>
  <si>
    <t>Total de gastos por intereses</t>
  </si>
  <si>
    <t>Provisión para pérdidas crediticias esperadas en préstamos</t>
  </si>
  <si>
    <t>Ganancia neta por modificación de préstamos a CA</t>
  </si>
  <si>
    <t>Resultado neto de intereses, comisiones y provisión para pérdidas crediticias esperadas en préstamos</t>
  </si>
  <si>
    <t>Ingresos por comisiones y servicios financieros</t>
  </si>
  <si>
    <t>Ganancia (Pérdida) en venta de bonos y acciones, neto</t>
  </si>
  <si>
    <t>Dividendos ganados</t>
  </si>
  <si>
    <t>Ganancia (Pérdida) no realizada de inversiones a valor razonable con cambio en resultado</t>
  </si>
  <si>
    <t>Otros ingresos de operaciones, neto</t>
  </si>
  <si>
    <t>Reversión de (provisión para) pérdidas crediticias esperadas en inversiones</t>
  </si>
  <si>
    <t>Resultados, neto</t>
  </si>
  <si>
    <t>Gastos de personal</t>
  </si>
  <si>
    <t>Gastos generales y administrativos</t>
  </si>
  <si>
    <t>Gastos de depreciación de activos fijos y propiedades de inversión</t>
  </si>
  <si>
    <t>Gastos de amortización de activos intangibles</t>
  </si>
  <si>
    <t>Total de gastos administrativos</t>
  </si>
  <si>
    <t>Utilidad antes del impuesto sobre la renta</t>
  </si>
  <si>
    <t>Impuesto sobre la renta corriente</t>
  </si>
  <si>
    <t>Impuesto sobre la renta diferido</t>
  </si>
  <si>
    <t>Total de gasto de impuesto sobre la renta</t>
  </si>
  <si>
    <t>— NIIF 17 (FY2024A re-expresado · FY2025A) — conciliación del cambio de base en Puente_NIIF17</t>
  </si>
  <si>
    <t>Ingresos por servicios de seguro</t>
  </si>
  <si>
    <t>Gastos por servicios de seguro</t>
  </si>
  <si>
    <t>Resultados netos de contratos de reaseguro</t>
  </si>
  <si>
    <t>Resultado del servicio de seguro</t>
  </si>
  <si>
    <t>Ingresos por intereses calculados utilizando el método de interés efectivo</t>
  </si>
  <si>
    <t>Otros ingresos por inversiones</t>
  </si>
  <si>
    <t>Pérdida neta por deterioro de activos financieros</t>
  </si>
  <si>
    <t>Retorno de las inversiones</t>
  </si>
  <si>
    <t>Gastos financieros netos de contratos de seguro</t>
  </si>
  <si>
    <t>Ingresos financieros netos de contratos de reaseguro</t>
  </si>
  <si>
    <t>Resultado financiero, neto</t>
  </si>
  <si>
    <t>Otros ingresos</t>
  </si>
  <si>
    <t>Otros</t>
  </si>
  <si>
    <t>Utilidad antes de impuesto</t>
  </si>
  <si>
    <t>Impuesto a las ganancias</t>
  </si>
  <si>
    <t>Utilidad neta, antes de operaciones descontinuadas</t>
  </si>
  <si>
    <t>Ganancia o pérdida en ventas de operación descontinuadas, neta de impuesto</t>
  </si>
  <si>
    <t>Utilidad neta</t>
  </si>
  <si>
    <t>Balance General</t>
  </si>
  <si>
    <t>Nota: presentación combina líneas de la base SSRP (FY2021A–FY2024A) y NIIF 17 (FY2024A–FY2025A); conciliación en Puente_NIIF17</t>
  </si>
  <si>
    <t>Efectivo y equivalentes de efectivo</t>
  </si>
  <si>
    <t>Cuentas por cobrar de seguros y otros, neto</t>
  </si>
  <si>
    <t>Préstamos por cobrar, neto</t>
  </si>
  <si>
    <t>Inversiones, neto</t>
  </si>
  <si>
    <t>Participación de los reaseguradores en las provisiones sobre contratos de seguros</t>
  </si>
  <si>
    <t>Depósitos de reaseguros de exceso de pérdida</t>
  </si>
  <si>
    <t>Instrumentos financieros, neto</t>
  </si>
  <si>
    <t>Activos por contratos de seguros</t>
  </si>
  <si>
    <t>Activos por contratos de reaseguros</t>
  </si>
  <si>
    <t>Cuentas por cobrar otras, neto</t>
  </si>
  <si>
    <t>Inmuebles, mobiliario, equipo y mejoras, neto</t>
  </si>
  <si>
    <t>Inmuebles, mobiliarios y equipo, netos</t>
  </si>
  <si>
    <t>Activos por derecho de uso, neto</t>
  </si>
  <si>
    <t>Activos intangibles y plusvalía</t>
  </si>
  <si>
    <t>Activos intangibles y plusvalía, neto</t>
  </si>
  <si>
    <t>Propiedad de inversión</t>
  </si>
  <si>
    <t>Otros activos</t>
  </si>
  <si>
    <t>Activos clasificados como mantenidos para la venta</t>
  </si>
  <si>
    <t>Total de activos</t>
  </si>
  <si>
    <t>Depósitos de clientes</t>
  </si>
  <si>
    <t>Riesgo en curso</t>
  </si>
  <si>
    <t>Reclamos en trámite</t>
  </si>
  <si>
    <t>Negocios de vida a largo plazo sobre pólizas de vida</t>
  </si>
  <si>
    <t>Total de provisiones sobre contratos de seguros</t>
  </si>
  <si>
    <t>Emisiones de deuda y obligaciones</t>
  </si>
  <si>
    <t>Obligaciones subordinadas</t>
  </si>
  <si>
    <t>Total de financiamientos</t>
  </si>
  <si>
    <t>Reaseguros por pagar</t>
  </si>
  <si>
    <t>Pasivos por arrendamientos</t>
  </si>
  <si>
    <t>Otros pasivos</t>
  </si>
  <si>
    <t>Total de las cuentas por pagar y otros pasivos</t>
  </si>
  <si>
    <t>Total de los pasivos</t>
  </si>
  <si>
    <t>Provisiones sobre contratos de seguros</t>
  </si>
  <si>
    <t>Provisiones sobre contratos de reaseguros</t>
  </si>
  <si>
    <t>Préstamo por pagar</t>
  </si>
  <si>
    <t>Cuentas por pagar, otras</t>
  </si>
  <si>
    <t>Impuesto a las ganancias por pagar</t>
  </si>
  <si>
    <t>Impuesto diferido</t>
  </si>
  <si>
    <t>Pasivos clasificados como mantenidos para la venta</t>
  </si>
  <si>
    <t>Total de pasivos</t>
  </si>
  <si>
    <t>Capital pagado</t>
  </si>
  <si>
    <t>Acciones comunes</t>
  </si>
  <si>
    <t>Pagos basados en acciones</t>
  </si>
  <si>
    <t>Reservas</t>
  </si>
  <si>
    <t>Conversión acumulada de moneda extranjera</t>
  </si>
  <si>
    <t>Importes reconocidos en otros resultados integrales y acumulados en el patrimonio relativos a activos mantenidos para la venta</t>
  </si>
  <si>
    <t>Utilidades no distribuidas disponibles</t>
  </si>
  <si>
    <t>Total del patrimonio de la participación controladora</t>
  </si>
  <si>
    <t>Participación no controladora</t>
  </si>
  <si>
    <t>Total de patrimonio</t>
  </si>
  <si>
    <t>Total de pasivos y patrimonio</t>
  </si>
  <si>
    <t>Estado de Flujos de Efectivo</t>
  </si>
  <si>
    <t>Depreciación de activos fijos y propiedades de inversión</t>
  </si>
  <si>
    <t>Amortización de activos intangibles</t>
  </si>
  <si>
    <t>Depreciación de activos por derecho de uso</t>
  </si>
  <si>
    <t>Ganancia en venta de inversiones en acciones y bonos</t>
  </si>
  <si>
    <t>(Pérdida) Ganancia no realizada de inversiones a valor razonable con cambios en resultados</t>
  </si>
  <si>
    <t>Pérdida en disposición de mobiliario y equipo</t>
  </si>
  <si>
    <t>(Reversión de) provisión para pérdidas crediticias esperadas en inversiones</t>
  </si>
  <si>
    <t>Asignación de reservas regulatorias - Bienes adjudicados</t>
  </si>
  <si>
    <t>Cambios en la provisión de riesgo en curso</t>
  </si>
  <si>
    <t>Cambios en la provisión en los negocios de vida a largo plazo sobre pólizas de vida</t>
  </si>
  <si>
    <t>Cambios en la participación de los reaseguradores en la provisión para primas no devengadas</t>
  </si>
  <si>
    <t>Cambio en provisiones sobre reclamos en trámite</t>
  </si>
  <si>
    <t>Cambios en la provisión para siniestros incurridos a cargo de los reaseguradores</t>
  </si>
  <si>
    <t>Transacciones de pagos basados en acciones liquidadas con instrumentos de patrimonio</t>
  </si>
  <si>
    <t>Ingresos y comisiones por servicios financieros, neto</t>
  </si>
  <si>
    <t>Impuesto sobre la renta (corriente y diferido)</t>
  </si>
  <si>
    <t>Cuentas por cobrar de seguros</t>
  </si>
  <si>
    <t>Otras cuentas por cobrar</t>
  </si>
  <si>
    <t>Préstamos por cobrar</t>
  </si>
  <si>
    <t>Depósitos de reaseguros de exceso de pérdida y otros activos</t>
  </si>
  <si>
    <t>Depósitos recibidos de clientes</t>
  </si>
  <si>
    <t>Pasivos por reaseguros</t>
  </si>
  <si>
    <t>Cuentas por pagar de seguros y otros pasivos</t>
  </si>
  <si>
    <t>Efectivo neto generado por las actividades de operación</t>
  </si>
  <si>
    <t>Intereses y comisiones cobradas</t>
  </si>
  <si>
    <t>Intereses pagados</t>
  </si>
  <si>
    <t>Impuesto sobre la renta pagado</t>
  </si>
  <si>
    <t>Efectivo neto provisto por las actividades de operación</t>
  </si>
  <si>
    <t>Adquisición de subsidiaria, neto de efectivo adquirido</t>
  </si>
  <si>
    <t>Compra de valores y otras inversiones</t>
  </si>
  <si>
    <t>Producto de la venta de valores y otras inversiones</t>
  </si>
  <si>
    <t>Bonos redimidos y comisiones recibidas por redención anticipada</t>
  </si>
  <si>
    <t>Cambio en depósitos a plazo fijo</t>
  </si>
  <si>
    <t>Adquisición de propiedades de inversión</t>
  </si>
  <si>
    <t>Adquisición de inmuebles, mobiliario, equipo y mejoras</t>
  </si>
  <si>
    <t>Adquisición de activos intangibles</t>
  </si>
  <si>
    <t>Cambios en depósitos a plazo fijo restringidos</t>
  </si>
  <si>
    <t>Efectivo neto usado en las actividades de inversión</t>
  </si>
  <si>
    <t>Producto de la recompra de acciones, netas de emisión</t>
  </si>
  <si>
    <t>Financiamientos recibidos</t>
  </si>
  <si>
    <t>Financiamientos pagados</t>
  </si>
  <si>
    <t>Financiamientos recibidos bajo deuda subordinada</t>
  </si>
  <si>
    <t>Pagos de pasivos por arrendamientos</t>
  </si>
  <si>
    <t>Abonos a deudas subordinadas</t>
  </si>
  <si>
    <t>Dividendos pagados sobre acciones preferidas</t>
  </si>
  <si>
    <t>Dividendos pagados sobre acciones comunes</t>
  </si>
  <si>
    <t>Impuesto complementario pagado</t>
  </si>
  <si>
    <t>Cambios en la participación no controladora</t>
  </si>
  <si>
    <t>Adquisición de participación no controladora</t>
  </si>
  <si>
    <t>Efectivo neto usado en las actividades de financiamiento</t>
  </si>
  <si>
    <t>Depreciación y amortización de activos</t>
  </si>
  <si>
    <t>Pérdida (ganancia) en venta de mobiliario y equipo</t>
  </si>
  <si>
    <t>Pérdida en venta de inversiones en acciones y bonos</t>
  </si>
  <si>
    <t>Amortización de bonos</t>
  </si>
  <si>
    <t>Ganancia en instrumentos financieros con cambios en resultados</t>
  </si>
  <si>
    <t>Efecto neto de subsidiaria clasificada como disponible para la venta</t>
  </si>
  <si>
    <t>Ingresos de dividendos e intereses</t>
  </si>
  <si>
    <t>Contratos de seguros y reaseguros</t>
  </si>
  <si>
    <t>Cuentas por cobrar</t>
  </si>
  <si>
    <t>Cuentas por pagar y otros</t>
  </si>
  <si>
    <t>Intereses cobrados</t>
  </si>
  <si>
    <t>Impuesto a las ganancias pagado</t>
  </si>
  <si>
    <t>Producto de la venta de acciones y bonos</t>
  </si>
  <si>
    <t>Disposición de subsidiaria, neta de efectivo dispuesto</t>
  </si>
  <si>
    <t>Bonos redimidos y comisiones recibidas por redenciones anticipadas</t>
  </si>
  <si>
    <t>Adquisición de inmuebles, mobiliario, equipo</t>
  </si>
  <si>
    <t>Producto de la venta de mobiliario y equipo</t>
  </si>
  <si>
    <t>Aportes al fondo de cesantía</t>
  </si>
  <si>
    <t>Producto de la emisión de acciones, neta de compras</t>
  </si>
  <si>
    <t>Dividendos sobre acciones preferidas</t>
  </si>
  <si>
    <t>Dividendos sobre acciones comunes</t>
  </si>
  <si>
    <t>Pagos de obligaciones financieras</t>
  </si>
  <si>
    <t>Efectivo usado en actividades de financiamiento</t>
  </si>
  <si>
    <t>Aumento (disminución) neto en el efectivo y equivalentes de efectivo</t>
  </si>
  <si>
    <t>Efectivo y equivalentes de efectivo al inicio del año</t>
  </si>
  <si>
    <t>Efecto de fluctuaciones de cambio de tasa en el efectivo mantenido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</si>
  <si>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</si>
  <si>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</si>
  <si>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</si>
  <si>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</si>
  <si>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</si>
  <si>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</si>
  <si>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</si>
  <si>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</si>
  <si>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</si>
  <si>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</si>
  <si>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</si>
  <si>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</si>
  <si>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</si>
  <si>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INGRESOS POR SERVICIOS DE SEGURO (NIIF 17) — CRECIMIENTO (% YoY)</t>
  </si>
  <si>
    <t xml:space="preserve">  Ingresos por servicios de seguro — driver activo (base NIIF 17)</t>
  </si>
  <si>
    <t>%</t>
  </si>
  <si>
    <t>EEFF:Ingresos por servicios de seguro</t>
  </si>
  <si>
    <t xml:space="preserve">    Bear</t>
  </si>
  <si>
    <t>Escenario driver citado; NOT_DISCLOSED si no hay fuente explícita.</t>
  </si>
  <si>
    <t xml:space="preserve">    Base</t>
  </si>
  <si>
    <t xml:space="preserve">    Bull</t>
  </si>
  <si>
    <t xml:space="preserve">  Ingresos por servicios de seguro (hist, ref EEFF)</t>
  </si>
  <si>
    <t>Mirror histórico desde fuente citada.</t>
  </si>
  <si>
    <t xml:space="preserve">  Ingresos por servicios de seguro YoY histórico (ref EEFF)</t>
  </si>
  <si>
    <t>Fórmula viva: año actual / año previo - 1.</t>
  </si>
  <si>
    <t>B. GASTOS POR SERVICIOS DE SEGURO (% de ingresos por servicios, NIIF 17)</t>
  </si>
  <si>
    <t xml:space="preserve">  Gastos por servicios de seguro — driver activo (ratio negativo)</t>
  </si>
  <si>
    <t>EEFF:Gastos por servicios de seguro</t>
  </si>
  <si>
    <t xml:space="preserve">  Gasto ÷ ingreso (hist; B:D legacy reclamos s/primas, E:F NIIF17 gasto servicio s/ingreso servicio)</t>
  </si>
  <si>
    <t>EEFF:Gastos por servicios de seguro; EEFF:Ingresos por servicios de seguro</t>
  </si>
  <si>
    <t>Derivación mecánica por fórmula viva.</t>
  </si>
  <si>
    <t>C. GASTOS GENERALES (% de ingresos por servicios de seguro, NIIF 17)</t>
  </si>
  <si>
    <t xml:space="preserve">  Gastos generales y administrativos — driver activo</t>
  </si>
  <si>
    <t>EEFF:Gastos generales y administrativos</t>
  </si>
  <si>
    <t xml:space="preserve">  G&amp;A ÷ ingreso (hist; B:D legacy s/primas retenidas, E:F NIIF17 s/ingreso servicio)</t>
  </si>
  <si>
    <t>EEFF:Gastos generales y administrativos; EEFF:Ingresos por servicios de seguro</t>
  </si>
  <si>
    <t>D. PRIMAS SUSCRITAS POR RAMO (NETAS DE REASEGURO) — CRECIMIENTO % YoY (NIIF 17; Nota 10.ii del filing 2025, tbl-35)</t>
  </si>
  <si>
    <t>Histórico 2025 = YoY por ramo con referencia al ledger Notas_EEFF (verde). Proyección = driver por escenario (azul, hardcoded) + selector $C$5. Base = YoY 2025; Bear/Bull = Base ∓ 2 puntos.</t>
  </si>
  <si>
    <t xml:space="preserve">  Accidentes personales — driver activo (% YoY prima suscrita neta)</t>
  </si>
  <si>
    <t xml:space="preserve">    YoY histórico 2025 (ref Notas_EEFF)</t>
  </si>
  <si>
    <t>Notas_EEFF (citado por fórmula viva)</t>
  </si>
  <si>
    <t xml:space="preserve">  Automóvil — driver activo (% YoY prima suscrita neta)</t>
  </si>
  <si>
    <t xml:space="preserve">  Casco — driver activo (% YoY prima suscrita neta)</t>
  </si>
  <si>
    <t xml:space="preserve">  Colectivo de vida — driver activo (% YoY prima suscrita neta)</t>
  </si>
  <si>
    <t xml:space="preserve">  Fianzas — driver activo (% YoY prima suscrita neta)</t>
  </si>
  <si>
    <t xml:space="preserve">  Fidelidad — driver activo (% YoY prima suscrita neta)</t>
  </si>
  <si>
    <t xml:space="preserve">  Incendio — driver activo (% YoY prima suscrita neta)</t>
  </si>
  <si>
    <t xml:space="preserve">  Responsabilidad civil — driver activo (% YoY prima suscrita neta)</t>
  </si>
  <si>
    <t xml:space="preserve">  Riesgos diversos — driver activo (% YoY prima suscrita neta)</t>
  </si>
  <si>
    <t xml:space="preserve">  Salud — driver activo (% YoY prima suscrita neta)</t>
  </si>
  <si>
    <t xml:space="preserve">  Seguros técnicos — driver activo (% YoY prima suscrita neta)</t>
  </si>
  <si>
    <t xml:space="preserve">  Autoexpedibles y otros — driver activo (% YoY prima suscrita neta)</t>
  </si>
  <si>
    <t>E. IMPUESTO SOBRE LA RENTA — TASA EFECTIVA (% de utilidad antes de impuesto, NIIF 17)</t>
  </si>
  <si>
    <t>Histórico = −impuesto ÷ utilidad antes de impuesto (ref EEFF, verde; FY24 8.5%, FY25 8.2%). Proyección = tasa por escenario (azul) + selector $C$5. Base ≈ tasa efectiva FY2025; Bear/Bull = Base ± 1 punto (Bear = tasa más alta).</t>
  </si>
  <si>
    <t xml:space="preserve">  Tasa efectiva de impuesto — driver activo (% de utilidad antes de impuesto)</t>
  </si>
  <si>
    <t xml:space="preserve">    Tasa efectiva histórica (−impuesto ÷ utilidad antes de impuesto, ref EEFF)</t>
  </si>
  <si>
    <t>EEFF (citado por fórmula viva)</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</si>
  <si>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</si>
  <si>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</si>
  <si>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</si>
  <si>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</si>
  <si>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</si>
  <si>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</si>
  <si>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</si>
  <si>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</si>
  <si>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</si>
  <si>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</si>
  <si>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</si>
  <si>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</si>
  <si>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</si>
  <si>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</si>
  <si>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</si>
  <si>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</si>
  <si>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</si>
  <si>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</si>
  <si>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</si>
  <si>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</si>
  <si>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</si>
  <si>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</si>
  <si>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</si>
  <si>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INA_ASSA_2021_0.pdf</t>
  </si>
  <si>
    <t>page-89</t>
  </si>
  <si>
    <t>markdown.md</t>
  </si>
  <si>
    <t>5</t>
  </si>
  <si>
    <t>5. Saldos y transacciones con partes relacionadas</t>
  </si>
  <si>
    <t>Partes relacionadas</t>
  </si>
  <si>
    <t>Los saldos y transacciones con partes relacionadas del Grupo se detallan a continuación:</t>
  </si>
  <si>
    <t>OK</t>
  </si>
  <si>
    <t>(a) Transacciones con personal clave de gerencia</t>
  </si>
  <si>
    <t>- Préstamos a directores, personal clave de la gerencia</t>
  </si>
  <si>
    <t>Al 31 de diciembre de 2021, el saldo pendiente de los préstamos por cobrar a directores y personal clave de la gerencia asciende a US$674,272 (2020: US$712,613) y están incluidos en los préstamos por cobrar. Estos saldos presentan intereses por cobrar por US$4,732 (2020: US$5,929).</t>
  </si>
  <si>
    <t>B/.</t>
  </si>
  <si>
    <t>Durante el año se han registrado ingresos por intereses sobre estos préstamos con directores y personal clave de la gerencia por US$46,590 (2020: US$49,610).</t>
  </si>
  <si>
    <t>- Depósitos de directores y personal clave de la gerencia</t>
  </si>
  <si>
    <t>Algunos directores y personal clave de la gerencia del Grupo mantienen cuentas corrientes, de ahorro y plazos fijos en las subsidiarias Grupo BDF, S. A. y La Hipotecaria (Holding), Inc. las cuales, al 31 de diciembre de 2021, mantenían un saldo de US$1,553,553 (2020: US$1,936,743) y están incluidas en las cuentas de depósitos de clientes del Grupo. Estos saldos presentan intereses por pagar por US$9,173 (2020: US$9,322).</t>
  </si>
  <si>
    <t>page-90</t>
  </si>
  <si>
    <t>Durante el año, estas subsidiarias registraron gastos por intereses sobre depósitos de directores y personal clave de la gerencia por US$59,809 (2020: US$299,832).</t>
  </si>
  <si>
    <t>- Primas suscritas a directores y personal clave de gerencia Dentro del giro normal del negocio, directores y personal clave de gerencia han suscrito pólizas a nombre propio con primas anuales por la suma de US$112,717 (2020: US$113,412) en condiciones similares a las que se pactan con terceros no vinculados al Grupo.</t>
  </si>
  <si>
    <t>Al 31 de diciembre de 2021, el saldo de primas por cobrar asciende a US$55,870 (2020: US$51,871) y está incluido en las cuentas por cobrar de asegurados. Otras cuentas por cobrar ascendieron a US$226 (2020: US$271).</t>
  </si>
  <si>
    <t>Durante el año, se han pagado reclamos a estas pólizas por US$19,086 (2020: US$10,084).</t>
  </si>
  <si>
    <t>- Compensación recibida por el personal clave de gerencia, directores, personal clave de la gerencia: Algunos miembros del personal clave de la gerencia del Grupo participan en programas de opción de compra de acciones y de concesión de acciones ("grants") del Grupo (véase Nota 23). Adicionalmente, algunos de los empleados de las subsidiarias de ASSA Compañía Tenedora, S. A., pueden participar en alguno de estos programas si cumplen con ciertos criterios de antigüedad de servicios, entre otros.</t>
  </si>
  <si>
    <t>Las transacciones del personal clave de gerencia y directores están compuestas por dietas, salarios y otras remuneraciones y ascienden a US$9,402,041 (2020: US$10,097,417).</t>
  </si>
  <si>
    <t>page-91</t>
  </si>
  <si>
    <t>(b) Saldos y transacciones con compañías relacionadas y afiliadas Los saldos con las partes relacionadas se detallan de la siguiente manera:</t>
  </si>
  <si>
    <t>tbl-29.html</t>
  </si>
  <si>
    <t>[tbl-29.html](tbl-29.html)</t>
  </si>
  <si>
    <t>Ocasionalmente, el Grupo adquiere instrumentos financieros emitidos por partes relacionadas y afiliadas y coloca depósitos en esas compañías, los cuales producen ingresos financieros.</t>
  </si>
  <si>
    <t>También el Grupo, dentro del giro normal del negocio, vende productos de seguros de algunas compañías relacionadas, pagando igualmente cualquier reclamo. Los términos y condiciones de estas transacciones no han sido más favorables que aquellos que se pudiera razonablemente esperar que estuvieran disponibles, en transacciones similares, a entidades no relacionadas, sobre la base de libre competencia.</t>
  </si>
  <si>
    <t>page-92</t>
  </si>
  <si>
    <t>6</t>
  </si>
  <si>
    <t>6. Efectivo y depósitos en bancos</t>
  </si>
  <si>
    <t>Working capital</t>
  </si>
  <si>
    <t>El efectivo y los depósitos en bancos se detallan de la siguiente manera:</t>
  </si>
  <si>
    <t>tbl-30.html</t>
  </si>
  <si>
    <t>[tbl-30.html](tbl-30.html)</t>
  </si>
  <si>
    <t>El efectivo restringido consiste en:</t>
  </si>
  <si>
    <t>- Encaje legal depositado en el Banco Central de Nicaragua por US$50,335,044 (2020: US$47,940,434) basado en el porcentaje de los depósitos captados de terceros. - Al 31 de diciembre de 2021, no se mantienen depósitos en garantía de operaciones (2020: US$946,803).</t>
  </si>
  <si>
    <t>7</t>
  </si>
  <si>
    <t>7. Cuentas por cobrar de seguros y otras, neto</t>
  </si>
  <si>
    <t>Las cuentas por cobrar de seguros y otras cuentas por cobrar, netas se detallan de la siguiente manera:</t>
  </si>
  <si>
    <t>tbl-31.html</t>
  </si>
  <si>
    <t>[tbl-31.html](tbl-31.html)</t>
  </si>
  <si>
    <t>La legislación panameña relacionada con la recuperación del crédito fiscal por realizar se detalla en la Nota 32 (b).</t>
  </si>
  <si>
    <t>page-93</t>
  </si>
  <si>
    <t>Los movimientos de la provisión para pérdidas crediticias esperadas en primas por cobrar se detallan de la siguiente forma:</t>
  </si>
  <si>
    <t>tbl-32.html</t>
  </si>
  <si>
    <t>[tbl-32.html](tbl-32.html)</t>
  </si>
  <si>
    <t>(8) Préstamos por cobrar, neto</t>
  </si>
  <si>
    <t>La composición de la cartera de préstamos netos, distribuidos por actividad económica, se resume a continuación:</t>
  </si>
  <si>
    <t>tbl-33.html</t>
  </si>
  <si>
    <t>[tbl-33.html](tbl-33.html)</t>
  </si>
  <si>
    <t>Al 31 de diciembre de 2021, las tasas de interés anual de los préstamos oscilaban entre 5% y 30% (2020: 5% y 33%) y para tarjetas de crédito entre 13% y 45% (2020: 15% y 45%).</t>
  </si>
  <si>
    <t>Al 31 de diciembre de 2021, la subsidiaria La Hipotecaria (Holding), Inc. y Subsidiarias, mantenía préstamos hipotecarios para viviendas por US$200,910,697 (2020: US$238,395,359) en garantía de obligaciones contraídas con instituciones financieras y a la fecha no mantienen créditos hipotecarios en garantía de notas comerciales negociables (véase Nota 14).</t>
  </si>
  <si>
    <t>page-94</t>
  </si>
  <si>
    <t>Al 31 de diciembre de 2021, la subsidiaria Grupo BDF, S. A. mantenía préstamos por cobrar por US$67,097,026 (2020: US$80,067,689) que garantizan obligaciones con instituciones financieras (véase Nota 14).</t>
  </si>
  <si>
    <t>El movimiento de la provisión para pérdidas crediticias esperadas en préstamos se detalla a continuación:</t>
  </si>
  <si>
    <t>tbl-34.html</t>
  </si>
  <si>
    <t>[tbl-34.html](tbl-34.html)</t>
  </si>
  <si>
    <t>Las subsidiarias con operaciones bancarias en Panamá y Nicaragua, requieren establecer reservas regulatorias para préstamos, indistintamente de las provisiones requeridas bajo NIIF.</t>
  </si>
  <si>
    <t>Al 31 de diciembre de 2021, estas reservas regulatorias acumuladas ascienden a US$17,999,310 (2020: US$18,978,963), las cuales se presentan en el estado consolidado de cambios en el patrimonio como una apropiación de las utilidades no distribuidas disponibles.</t>
  </si>
  <si>
    <t>(9) Inversiones</t>
  </si>
  <si>
    <t>Las inversiones se detallan de la siguiente manera:</t>
  </si>
  <si>
    <t>tbl-35.html</t>
  </si>
  <si>
    <t>[tbl-35.html](tbl-35.html)</t>
  </si>
  <si>
    <t>page-95</t>
  </si>
  <si>
    <t>El movimiento de las inversiones es el siguiente:</t>
  </si>
  <si>
    <t>tbl-36.html</t>
  </si>
  <si>
    <t>[tbl-36.html](tbl-36.html)</t>
  </si>
  <si>
    <t>Inversiones a valor razonable con cambios en resultados:</t>
  </si>
  <si>
    <t>Durante el año el Grupo realizó ventas de su portafolio de inversiones a valor razonable con cambios en resultados por US$13,464,014 (2020: US$11,099,401). Estas ventas generaron una ganancia neta por US$794,672 (2020: US$1,105,661) la cual se presenta en el estado consolidado de resultados en el rubro de ingresos financieros, neto.</t>
  </si>
  <si>
    <t>Inversiones a valor razonable con cambios en otros resultados integrales:</t>
  </si>
  <si>
    <t>El Grupo realizó ventas de su portafolio de inversiones a valor razonable con cambios en otras utilidades integrales por un total de US$15,162,155 (2020: US$59,973,183). Estas ventas generaron una ganancia neta por US$1,229,801 (2020: US$3,334,501) la cual se presenta en el estado consolidado de resultados en el rubro de ingresos financieros, neto. Estas transacciones incluyen acciones en corporaciones que fueron vendidas durante el año 2021, cuyo valor en libros a esa fecha era de US$2,010,000 y reconoció una ganancia por US$9,679 no reciclables la cual se presenta en el estado consolidado de otros resultados integrales.</t>
  </si>
  <si>
    <t>Inversiones a costo amortizado:</t>
  </si>
  <si>
    <t>El Grupo no realizó ventas de su portafolio de inversiones a costo amortizado (2020: US$50,014,300). Se generaron pérdida neta por ajustes por US$1,010 (2020: una ganancia neta por US$3,295,021) la cual se presenta en el estado consolidado de resultados en el rubro de ingresos financieros, neto.</t>
  </si>
  <si>
    <t>page-96</t>
  </si>
  <si>
    <t>El movimiento de la provisión para pérdidas crediticias esperadas es el siguiente:</t>
  </si>
  <si>
    <t>tbl-37.html</t>
  </si>
  <si>
    <t>[tbl-37.html](tbl-37.html)</t>
  </si>
  <si>
    <t>page-97</t>
  </si>
  <si>
    <t>10</t>
  </si>
  <si>
    <t>10. Inmuebles, mobiliario, equipo y mejoras, neto</t>
  </si>
  <si>
    <t>PP&amp;E / capex / depreciación</t>
  </si>
  <si>
    <t>A continuación, se muestra un detalle de los inmuebles, mobiliario, equipo y mejoras, a su costo, menos la depreciación y amortización acumulada.</t>
  </si>
  <si>
    <t>tbl-38.html</t>
  </si>
  <si>
    <t>[tbl-38.html](tbl-38.html) [tbl-39.html](tbl-39.html)</t>
  </si>
  <si>
    <t>Al 31 de diciembre de 2021, el Grupo mantiene propiedades de inversión, netas por US$14,356,814 (2020: US$14,887,467) y que se encuentran registrados en el rubro de otros activos en el estado consolidado de situación financiera. Al 31 de diciembre de 2021, se dieron adiciones de propiedades de inversión por un monto de US$8,054 (2020: US$389,332). Al 31 de diciembre de 2021, el gasto de amortización de las propiedades de inversión fue de US$241,137 (2020: US$246,528).</t>
  </si>
  <si>
    <t>page-98</t>
  </si>
  <si>
    <t>11</t>
  </si>
  <si>
    <t>11. Activos por derecho de uso, netos</t>
  </si>
  <si>
    <t>El movimiento de los activos por derecho de uso, se detalla a continuación:</t>
  </si>
  <si>
    <t>tbl-40.html</t>
  </si>
  <si>
    <t>[tbl-40.html](tbl-40.html)</t>
  </si>
  <si>
    <t>12</t>
  </si>
  <si>
    <t>12. Activos intangibles y plusvalía</t>
  </si>
  <si>
    <t>Intangibles</t>
  </si>
  <si>
    <t>La conciliación del importe en libro de los activos intangibles y la plusvalía del Grupo se presenta a continuación:</t>
  </si>
  <si>
    <t>tbl-41.html</t>
  </si>
  <si>
    <t>[tbl-41.html](tbl-41.html)</t>
  </si>
  <si>
    <t>page-99</t>
  </si>
  <si>
    <t>tbl-42.html</t>
  </si>
  <si>
    <t>[tbl-42.html](tbl-42.html)</t>
  </si>
  <si>
    <t>Las plusvalías están sujetas a pruebas anuales de deterioro y corresponden a la adquisición del control de los siguientes negocios:</t>
  </si>
  <si>
    <t>tbl-43.html</t>
  </si>
  <si>
    <t>[tbl-43.html](tbl-43.html)</t>
  </si>
  <si>
    <t>Prueba del deterioro del valor – Assicurazioni Generali S.p.A. y La Hipotecaria Holding Inc. El importe recuperable de esta UGE se basó en su valor en uso, considerando la estimación de flujos futuros generados por la UGE, comparado con su importe en libros.</t>
  </si>
  <si>
    <t>Los supuestos claves utilizados en el cálculo del importe recuperable se señalan a continuación. Los valores asignados a los supuestos clave representan la evaluación de la gerencia tomando como base las proyecciones de las pérdidas y ganancias a cinco años, teniendo presentes tanto fuentes externas como internas.</t>
  </si>
  <si>
    <t>tbl-44.html</t>
  </si>
  <si>
    <t>[tbl-44.html](tbl-44.html)</t>
  </si>
  <si>
    <t>page-100</t>
  </si>
  <si>
    <t>La tasa de descuento utilizada está estimada bajo el modelo de valoración de activos (CAPM) por sus siglas en inglés.</t>
  </si>
  <si>
    <t>Las proyecciones de los flujos de caja esperados futuros, incluyeron estimaciones específicas para cinco años y una tasa de crecimiento temporal con posterioridad a esos cinco años. La tasa de crecimiento terminal, se determinó sobre la base de la estimación de la gerencia de la tasa de crecimiento anual, compuesta de largo plazo consistente, con los supuestos razonables que efectuaría un participante en el mercado.</t>
  </si>
  <si>
    <t>Al 31 de diciembre de 2021, la administración del Grupo no ha identificado indicios de deterioro de la plusvalía.</t>
  </si>
  <si>
    <t>13</t>
  </si>
  <si>
    <t>13. Provisiones de los contratos de seguros</t>
  </si>
  <si>
    <t>Seguros (primas/siniestros/reservas)</t>
  </si>
  <si>
    <t>Las provisiones relativas a los contratos de seguros se detallan a continuación:</t>
  </si>
  <si>
    <t>tbl-45.html</t>
  </si>
  <si>
    <t>[tbl-45.html](tbl-45.html)</t>
  </si>
  <si>
    <t>A continuación, se detallan el análisis de los movimientos en cada provisión, así:</t>
  </si>
  <si>
    <t>tbl-46.html</t>
  </si>
  <si>
    <t>[tbl-46.html](tbl-46.html)</t>
  </si>
  <si>
    <t>page-101</t>
  </si>
  <si>
    <t>tbl-47.html</t>
  </si>
  <si>
    <t>[tbl-47.html](tbl-47.html)</t>
  </si>
  <si>
    <t>Negocios de vida a largo plazo sobre pólizas de vida:</t>
  </si>
  <si>
    <t>tbl-48.html</t>
  </si>
  <si>
    <t>[tbl-48.html](tbl-48.html)</t>
  </si>
  <si>
    <t>(a) Proceso utilizado para determinar las presunciones – Seguro General</t>
  </si>
  <si>
    <t>El proceso utilizado para determinar las presunciones tiene la intención de obtener estimados neutros del resultado más probable o esperado. Las fuentes de los datos utilizados como base para las presunciones son internas, utilizando los estudios detallados que se consideren necesarios.</t>
  </si>
  <si>
    <t>Se hace más énfasis en las tendencias actuales y, en los primeros años donde no hay información suficiente, se hace el mejor estimado confiable del desarrollo de los reclamos. La naturaleza del negocio hace muy difícil predecir con certeza el resultado probable de cualquier posible reclamo y en particular, del costo final de los reclamos reportados. Cada reclamo reportado es evaluado separadamente, caso por caso, con atención a las circunstancias del reclamo, información disponible de los ajustadores y la evidencia histórica de la magnitud de reclamos similares.</t>
  </si>
  <si>
    <t>Los estimados por caso son revisados regularmente. Las provisiones están basadas en información disponible. Sin embargo, el pasivo final podría variar como resultado de desarrollos subsecuentes o si ocurren eventos catastróficos. Las dificultades en la estimación de la provisión también difieren por clase de negocio debido a las diferencias en los contratos de seguros subyacentes, la complejidad del reclamo, el volumen de los reclamos y la severidad individual del reclamo, la determinación de la fecha de ocurrencia del reclamo, y los períodos de tardanza de su reporte.</t>
  </si>
  <si>
    <t>El método actual o mezcla de métodos utilizados varía por año de reclamo o siniestro, la clase de negocio y el desarrollo de reclamos históricos observables.</t>
  </si>
  <si>
    <t>page-102</t>
  </si>
  <si>
    <t># Presunciones y cambios en las presunciones</t>
  </si>
  <si>
    <t>A continuación, se presentan las estimaciones de siniestralidad realizadas para el año en seguros generales:</t>
  </si>
  <si>
    <t>tbl-49.html</t>
  </si>
  <si>
    <t>[tbl-49.html](tbl-49.html)</t>
  </si>
  <si>
    <t>(b) Proceso utilizado para determinar las presunciones – Seguros de Personas</t>
  </si>
  <si>
    <t>Para los costos a largo plazo de seguros, el Grupo regularmente considera si el pasivo corriente es adecuado. Las presunciones que son consideradas incluyen el número esperado y la ocasión de las muertes, los rescates y los rendimientos de inversión, sobre el período de exposición al riesgo. Una provisión razonable es hecha para el nivel de incertidumbre con los contratos.</t>
  </si>
  <si>
    <t>La naturaleza del negocio hace muy difícil predecir con certeza el resultado probable de cualquier posible reclamo y en particular, del costo final de los reclamos reportados. Cada reclamo reportado es evaluado separadamente, caso por caso, con atención a las circunstancias del reclamo, información disponible de los ajustadores y la evidencia histórica de la magnitud de reclamos similares.</t>
  </si>
  <si>
    <t>Para el ramo de vida, la provisión para el negocio a largo plazo se calcula sobre una base de prima neta de riesgo. La provisión es calculada restando el valor presente de las primas de riesgo futuras del valor presente de los beneficios futuros pagaderos dentro de las pólizas hasta que termine al vencimiento o se rescate totalmente la póliza o a la muerte del asegurado si es anterior. El método de prima de riesgo no hace una provisión explícita para los costos futuros de mantenimiento de las pólizas.</t>
  </si>
  <si>
    <t>Para los demás ramos, se realiza una provisión de los riesgos en curso según el método de pro-rata diaria. Para el ramo de salud, se utilizan estadísticas de los reclamos y se aplican técnicas actuariales del factor de complemento (método de triangulación) para determinar las provisiones. En los demás ramos, accidentes personales y colectivo de vida se utiliza la metodología de provisión por caso.</t>
  </si>
  <si>
    <t>page-103</t>
  </si>
  <si>
    <t>## Presunciones y cambios en las presunciones</t>
  </si>
  <si>
    <t>tbl-50.html</t>
  </si>
  <si>
    <t>[tbl-50.html](tbl-50.html)</t>
  </si>
  <si>
    <t>Las principales presunciones que respaldan el cálculo de las provisiones del negocio a largo plazo son las siguientes:</t>
  </si>
  <si>
    <t>tbl-51.html</t>
  </si>
  <si>
    <t>[tbl-51.html](tbl-51.html)</t>
  </si>
  <si>
    <t>Una tabla de mortalidad basada en la experiencia propia del Grupo es la más apropiada para tarifar cada tipo de contrato. La tasa de mortalidad reflejada en esta tabla es ajustada por la mortalidad esperada basada en un análisis estadístico en la experiencia del Grupo sobre los diez últimos años. Donde existen datos adecuados de calidad suficientes para que sean creíbles estadísticamente, las estadísticas de mortalidad generada por los datos son utilizadas con preferencia a la utilización de una tabla de mortalidad sobre una base ajustada.</t>
  </si>
  <si>
    <t>La incidencia y terminación por incapacidad se deriva de estudios realizados por especialistas independientes. Estos son ajustados para calcular el mejor estimado de la morbilidad basado en una investigación de la propia experiencia del Grupo, donde sea apropiado.</t>
  </si>
  <si>
    <t>El Grupo realiza una investigación basada en su experiencia sobre los últimos diez años. Se aplican métodos estadísticos a los datos producidos por esta investigación para determinar las tasas de persistencia apropiadas a los tipos de productos y su duración. Estas tasas son ajustadas al mejor estimado de las tasas de persistencia tomando en cuenta cualquier tendencia en los datos.</t>
  </si>
  <si>
    <t>page-104</t>
  </si>
  <si>
    <t>## Tasa de interés técnico</t>
  </si>
  <si>
    <t>Para muchos de los productos de seguro de vida el riesgo de tasa de interés es administrado a través de estrategias de administración de activos/pasivos. El objetivo general de estas estrategias es optimizar el cambio neto en el valor del activo y pasivo que se origina de los movimientos de la tasa de interés.</t>
  </si>
  <si>
    <t>De acuerdo al método de prima bruta y en menor grado al método de prima neta, la provisión para el negocio a largo plazo es sensible a la tasa de interés utilizada cuando se efectúa el descuento de los flujos de efectivos futuros. Para los seguros a término, la provisión es sensible a la experiencia de mortalidad futura presunta de los tenedores de póliza.</t>
  </si>
  <si>
    <t>## (c) Otras presunciones</t>
  </si>
  <si>
    <t>El nivel corriente de gastos de renovación se presume que es una base apropiada de gastos.</t>
  </si>
  <si>
    <t>### Cambios en presunciones</t>
  </si>
  <si>
    <t>Las presunciones son ajustadas por los cambios en mortalidad o morbilidad según el caso, retorno del portafolio de inversión, gastos de mantenimiento de pólizas e inflación en los gastos para reflejar los cambios anticipados en las condiciones de mercado y la experiencia de mortalidad o morbilidad e inflación de precios.</t>
  </si>
  <si>
    <t>### Sensibilidad al riesgo de seguros</t>
  </si>
  <si>
    <t>Los cambios en las presunciones utilizadas en la determinación de las provisiones de seguros en los ramos generales y de personas (excepto vida individual) que podrían tener un impacto en los resultados del Grupo, guardan relación con el monto de los reclamos. En las provisiones de vida individual no se esperan impactos sustanciales, dado que los productos son calculados por métodos actuariales determinísticos y no están expuestos a variabilidades.</t>
  </si>
  <si>
    <t>page-105</t>
  </si>
  <si>
    <t>14</t>
  </si>
  <si>
    <t>14. Emisiones de deuda y obligaciones</t>
  </si>
  <si>
    <t>Deuda / bonos / préstamos / leases</t>
  </si>
  <si>
    <t>Las emisiones de deuda y obligaciones del Grupo se presentan a continuación:</t>
  </si>
  <si>
    <t>tbl-52.html</t>
  </si>
  <si>
    <t>[tbl-52.html](tbl-52.html)</t>
  </si>
  <si>
    <t>page-106</t>
  </si>
  <si>
    <t>tbl-53.html</t>
  </si>
  <si>
    <t>[tbl-53.html](tbl-53.html)</t>
  </si>
  <si>
    <t>El movimiento de las emisiones de deuda y obligaciones se detalla a continuación:</t>
  </si>
  <si>
    <t>tbl-54.html</t>
  </si>
  <si>
    <t>[tbl-54.html](tbl-54.html)</t>
  </si>
  <si>
    <t>page-107</t>
  </si>
  <si>
    <t>Los valores comerciales negociables son programas rotativos emitidos en Panamá autorizados por la Superintendencia del Mercado de Valores. Estos constan de seis programas rotativos de hasta US$200,000,000 los cuales se encuentran respaldados de la siguiente manera:</t>
  </si>
  <si>
    <t>- Un programa por el monto total autorizado de hasta US$10,000,000 se encuentran respaldado por una fianza solidaria de Grupo ASSA, S. A. y crédito general de La Hipotecaria (Holding), Inc. Actualmente este programa no tiene valores en circulación.</t>
  </si>
  <si>
    <t>- Cinco programas por el monto total autorizado de hasta US$190,000,000 respaldado con crédito general de La Hipotecaria (Holding), Inc.</t>
  </si>
  <si>
    <t>Las notas comerciales negociables son títulos emitidos en Panamá y autorizados por la Superintendencia del Mercado de Valores. Al 31 de diciembre de 2021, existen cuatro programas autorizados de los cuales el primero por US$40,000,000 se encuentra respaldado con el crédito general de Banco La Hipotecaria, S. A., un fideicomiso de garantía de créditos hipotecarios. Actualmente, el Banco La Hipotecaria no mantiene notas en circulación relacionadas a este programa.</t>
  </si>
  <si>
    <t>Las colocaciones de los otros tres programas corresponden a dos programas por la suma de US$50,000,000, US$50,000,000 y uno por US$100,000,000 respectivamente, están respaldados solo por el crédito general de Banco La Hipotecaria, S. A.</t>
  </si>
  <si>
    <t>La subsidiaria Banco La Hipotecaria, S. A. tiene autorizado por la Superintendencia del Mercado de Valores de El Salvador dos emisiones que suman US$100,000,000 en Certificados de Inversiones (CI). Las obligaciones negociables constan de dos planes rotativos de hasta US$35,000,000 en Papel Bursátil, autorizado por la Superintendencia del Sistema Financiero de El Salvador.</t>
  </si>
  <si>
    <t>La Superintendencia Financiera de Colombia mediante Resolución 015094871-006-000 del 8 de octubre de 2015, autorizó la inscripción de Bonos Ordinarios en el Registro Nacional de Valores y Emisores y su respectiva oferta pública.</t>
  </si>
  <si>
    <t>Al 31 de diciembre de 2021, la subsidiaria de Banco La Hipotecaria en Colombia ha emitido bonos ordinarios en pesos colombianos a mediano plazo por un valor equivalente a US$13,009,668 (2020: US$15,091,711) a una tasa de 6.29% (2020: 6.29%) a un plazo de 5 años, con vencimiento 23 de junio de 2025 (2020: vencimiento el 25 de junio de 2025).</t>
  </si>
  <si>
    <t>La Junta Directiva de la subsidiaria, Banco La Hipotecaria, mediante acta de junta directiva del 24 de mayo de 2018, autorizó la emisión de un programa de Covered Bond por US$200,000,000. Al 31 de diciembre de 2021, se han emitido Covered Bond a mediano plazo netos de comisiones por US$51,347,808 (2020: US$51,074,683), a una tasa de 5.50%, 4.75% y 4.125% respectivamente con un plazo de 3.5 y 5 años. No ha habido incumplimiento en el pago de capitales e intereses en las obligaciones y financiamientos recibidos.</t>
  </si>
  <si>
    <t>page-108</t>
  </si>
  <si>
    <t>El Grupo tiene autorizado por la Superintendencia de Bancos y Otras Instituciones Financieras de la República de Nicaragua una emisión de valores estandarizados de renta fija de US$50,000,000 desmaterializados y en denominaciones de US$1,000 con intereses pagaderos trimestralmente, los cuales se encuentran respaldados por el crédito general de la subsidiaria Banco de Finanzas, S. A. (el emisor). Al 31 de diciembre de 2021, el saldo colocado es de US$8,487,000 de un monto ofertado de US$8,500,000, con vencimientos entre 2021 y 2022, a una tasa entre el 5.20% y 7.00% (2020: saldo colocado US$6,724,000, vencimientos entre 2021 y 2022, tasa entre 6.45% y 9.00%).</t>
  </si>
  <si>
    <t>Al 31 de diciembre de 2021, las obligaciones mantenían las siguientes garantías:</t>
  </si>
  <si>
    <t>tbl-55.html</t>
  </si>
  <si>
    <t>[tbl-55.html](tbl-55.html)</t>
  </si>
  <si>
    <t>El Grupo no ha tenido incumplimientos de principal, intereses con relación a sus financiamientos recibidos, y en los casos que apliquen cuenta con las dispensas ("waivers") correspondientes hasta la fecha de autorización de estos estados financieros consolidados.</t>
  </si>
  <si>
    <t>15</t>
  </si>
  <si>
    <t>15. Obligaciones subordinadas</t>
  </si>
  <si>
    <t>Al 31 de diciembre de 2021, la subsidiaria Banco de Finanzas, S. A., mantenía las siguientes obligaciones subordinadas:</t>
  </si>
  <si>
    <t>tbl-56.html</t>
  </si>
  <si>
    <t>[tbl-56.html](tbl-56.html)</t>
  </si>
  <si>
    <t>Mediante la suscripción del contrato de préstamo, el Banco de Finanzas, S. A. acordó con el Banco Centroamericano de Integración Económica (BCIE) que, en caso de liquidar sus operaciones, el acreedor renunciará a todo derecho de preferencia y aceptará que el pago de las obligaciones del banco se efectúe luego de canceladas las deudas con los demás acreedores no subordinados.</t>
  </si>
  <si>
    <t>page-109</t>
  </si>
  <si>
    <t>El movimiento de las obligaciones subordinadas se detalla a continuación:</t>
  </si>
  <si>
    <t>tbl-57.html</t>
  </si>
  <si>
    <t>[tbl-57.html](tbl-57.html)</t>
  </si>
  <si>
    <t>16</t>
  </si>
  <si>
    <t>16. Pasivos por arrendamientos</t>
  </si>
  <si>
    <t>El movimiento de los pasivos por arrendamientos, se detalla a continuación:</t>
  </si>
  <si>
    <t>tbl-58.html</t>
  </si>
  <si>
    <t>[tbl-58.html](tbl-58.html)</t>
  </si>
  <si>
    <t>17</t>
  </si>
  <si>
    <t>17. Otros pasivos</t>
  </si>
  <si>
    <t>Los otros pasivos se detallan a continuación:</t>
  </si>
  <si>
    <t>tbl-59.html</t>
  </si>
  <si>
    <t>[tbl-59.html](tbl-59.html)</t>
  </si>
  <si>
    <t>page-110</t>
  </si>
  <si>
    <t>18</t>
  </si>
  <si>
    <t>18. Capital</t>
  </si>
  <si>
    <t>Capital / patrimonio / dividendos</t>
  </si>
  <si>
    <t>Al 31 de diciembre de 2021, el Grupo ha emitido 10,303,155 acciones (2020: 10,280,406 acciones) de las cuales 131,251 acciones (2020: 127,970) se mantienen en tesorería quedando un total de acciones en circulación de 10,171,904 (2020: 10,152,436).</t>
  </si>
  <si>
    <t>tbl-60.html</t>
  </si>
  <si>
    <t>[tbl-60.html](tbl-60.html)</t>
  </si>
  <si>
    <t>Los poseedores de las acciones comunes tienen el derecho a recibir dividendos según se declaren de tiempo en tiempo y tienen derecho a un voto por acción en las asambleas de accionistas del Grupo.</t>
  </si>
  <si>
    <t>### Acciones preferidas emitidas por compañía subsidiaria</t>
  </si>
  <si>
    <t>Al 31 de diciembre de 2021, se autorizaron un total de 10 emisiones públicas de acciones preferidas no acumulativas a la subsidiaria La Hipotecaria (Holding), Inc., registradas en la Superintendencia del Mercado de Valores de Panamá y listadas en la Bolsa Latinoamericana de Valores. El total de las acciones preferidas es de 210,000 acciones por un total de US$21,000,000 distribuidos en acciones por un valor nominal de cien dólares (US$100) cada una. Estas acciones presentan una tasa de interés entre 6.75% y 7% anual no acumulativas y distribuyen dividendos trimestralmente, si la Junta Directiva lo declara. El costo de emisión de las acciones preferidas ascendió a US$247,291. Durante el año terminado el 31 de diciembre de 2021 no se realizaron emisiones de acciones preferidas.</t>
  </si>
  <si>
    <t>Al 31 de diciembre de 2021, La Hipotecaria (Holding), Inc., no realizó redención (2020: US$2,000,000) de acciones preferidas de un programa que se encuentra en circulación desde el año 2018. Estas acciones preferidas pueden ser pagadas a opción del emisor con un aviso previo de por lo menos 30 días, el cual se ejecutó el 15 de marzo de 2020.</t>
  </si>
  <si>
    <t>page-111</t>
  </si>
  <si>
    <t>Los prospectos informativos de las ofertas públicas, establecen las siguientes principales condiciones:</t>
  </si>
  <si>
    <t>- Acciones Preferidas No Acumulativas (en adelante, las “Acciones Preferidas”) con derecho a recibir dividendos cuando estos sean declarados por la Junta Directiva, pero sin derecho a voz ni voto. - La declaración y el pago de dividendos es una potestad de la Junta Directiva del Emisor. - El pago de los dividendos correspondientes a un período anual, una vez declarados, se realizará mediante pagos trimestrales, los días quince (15) de marzo, quince (15) de junio, quince (15) de septiembre y quince (15) de diciembre de cada año.</t>
  </si>
  <si>
    <t>Los dividendos han sido declarados y pagados como sigue:</t>
  </si>
  <si>
    <t>tbl-61.html</t>
  </si>
  <si>
    <t>[tbl-61.html](tbl-61.html)</t>
  </si>
  <si>
    <t>19</t>
  </si>
  <si>
    <t>19. Participación no controladora</t>
  </si>
  <si>
    <t>La participación no controladora representa la participación de otros accionistas en las siguientes subsidiarias:</t>
  </si>
  <si>
    <t>tbl-62.html</t>
  </si>
  <si>
    <t>[tbl-62.html](tbl-62.html)</t>
  </si>
  <si>
    <t>page-112</t>
  </si>
  <si>
    <t>El movimiento de la participación no controladora se detalla a continuación:</t>
  </si>
  <si>
    <t>tbl-63.html</t>
  </si>
  <si>
    <t>[tbl-63.html](tbl-63.html)</t>
  </si>
  <si>
    <t>20</t>
  </si>
  <si>
    <t>20. Primas netas ganadas</t>
  </si>
  <si>
    <t>Las primas netas ganadas se detallan de la siguiente manera:</t>
  </si>
  <si>
    <t>tbl-64.html</t>
  </si>
  <si>
    <t>[tbl-64.html](tbl-64.html)</t>
  </si>
  <si>
    <t>page-113</t>
  </si>
  <si>
    <t>21</t>
  </si>
  <si>
    <t>21. Reclamos y beneficios netos incurridos</t>
  </si>
  <si>
    <t>Los reclamos y beneficios netos incurridos por los asegurados se detallan a continuación:</t>
  </si>
  <si>
    <t>tbl-65.html</t>
  </si>
  <si>
    <t>[tbl-65.html](tbl-65.html)</t>
  </si>
  <si>
    <t>22</t>
  </si>
  <si>
    <t>22. Costo de suscripción y adquisición de pólizas</t>
  </si>
  <si>
    <t>Costos / gastos</t>
  </si>
  <si>
    <t>Los costos de suscripción y de adquisición de pólizas se detallan a continuación:</t>
  </si>
  <si>
    <t>tbl-66.html</t>
  </si>
  <si>
    <t>[tbl-66.html](tbl-66.html)</t>
  </si>
  <si>
    <t>page-114</t>
  </si>
  <si>
    <t>23</t>
  </si>
  <si>
    <t>23. Gastos de personal</t>
  </si>
  <si>
    <t>Los gastos de personal se detallan de la siguiente manera:</t>
  </si>
  <si>
    <t>tbl-67.html</t>
  </si>
  <si>
    <t>[tbl-67.html](tbl-67.html)</t>
  </si>
  <si>
    <t>Al 31 de diciembre de 2021, el Grupo manejaba un capital humano de 2,224 (2020: 2,112) colaboradores permanentes.</t>
  </si>
  <si>
    <t>## Plan de Opción de Compra de Acciones</t>
  </si>
  <si>
    <t>En la Asamblea Ordinaria de Accionistas de Grupo ASSA, S. A., celebrada el 28 de abril de 2010, se autorizó a la Junta Directiva del Grupo a emitir y vender hasta 200,000 acciones comunes sin valor nominal, al precio, forma de pago y otras condiciones que estime conveniente al personal clave de la gerencia principales de Grupo ASSA, S. A. y sus subsidiarias. El 19 de mayo de 2010, la Junta Directiva aprobó un plan de otorgamiento de opciones al personal clave de la gerencia el cual concluyó en mayo de 2014. Al cierre del plan se celebraron contratos de adjudicación con colaboradores por 188,268 acciones. El plan concede al personal clave de la gerencia el derecho de ejercer cada adjudicación en cuatro partidas iguales a partir del primer aniversario de cada asignación, a un precio específico, el cual es establecido anualmente por la Junta Directiva de Grupo ASSA, S. A. Al 31 de diciembre de 2021, el personal clave de la gerencia de las subsidiarias ASSA Compañía de Seguros, S. A. han ejercido 149,889 (2020: 149,014) opciones adjudicadas de un total de 169,811 opciones disponibles para ejercer, netas de renuncias o despidos (2020: 169,811). Estos colaboradores tienen un período de hasta 10 años a partir de la fecha del inicio del plan para ejercer sus opciones.</t>
  </si>
  <si>
    <t>El 22 de julio de 2015, la Junta Directiva de Grupo ASSA, S. A., aprobó un plan de adquisición de acciones. El plan estimó una cantidad adicional de 150,000 sobre el saldo de la cantidad de acciones aprobadas para el plan anterior, las cuales fueron aprobadas en la Asamblea Ordinaria de Accionistas de Grupo ASSA, S. A. El plan tuvo vigencia de cinco años a partir de su primera atribución en noviembre de 2015 y consta de dos modalidades:</t>
  </si>
  <si>
    <t>- El plan de opciones, le concede al personal clave de la gerencia el derecho de ejercer cada adjudicación a partir del primer aniversario de cada atribución, en cinco partidas de 15% los primeros tres años, 25% el cuarto año y 30% el quinto año ejercibles hasta por un período de diez años a partir de la fecha de cada adjudicación. Al 31 de diciembre de 2021 se han celebrado contratos de atribución netas con colaboradores bajo este programa por 121,147 (2020: 123,544) opciones netas de renuncias o despidos y al personal clave de la gerencia han ejercido 22,615 (2020: 118,986) opciones disponibles para ejercer.</t>
  </si>
  <si>
    <t>page-115</t>
  </si>
  <si>
    <t>- El plan de concesión de acciones otorga al personal clave de la gerencia el beneficio de recibir hasta una cantidad fija de acciones comunes del capital social de Grupo ASSA, S. A. atribuidas anualmente por un período de hasta cinco años. Cada atribución será adjudicada a partir de su primer aniversario, en cinco partidas de 15% los primeros tres años, 25% el cuarto año y 30% el quinto año. Bajo esta modalidad, el Grupo otorga la adjudicación sin requerir un aporte por parte del participante. Al 31 de diciembre de 2021, se han celebrado contratos de atribución netas de concesiones por 32,670 (2020: 33,798) acciones netas de renuncias o despidos, de las cuales ya fueron adjudicadas 20,780 acciones (2020: 14,835).</t>
  </si>
  <si>
    <t>El 2 de junio de 2021, la Asamblea General de Accionistas de Grupo ASSA, S. A., con previa aprobación de la Junta Directiva de Grupo ASSA, S. A. autorizó la emisión de hasta 150,000 acciones comunes sin valor nominal, según lo disponga la Junta Directiva de ASSA Compañía Tenedora, S. A., a través de su Comité de Compensación quienes determinarán las condiciones convenientes para el personal de alto nivel de jerarquía elegibles. El nuevo plan tendrá vigencia de cinco años a partir de mayo de 2021, cuya primera atribución será entregada en enero de 2022, con efectividad retroactiva a dicho período.</t>
  </si>
  <si>
    <t>(a) Medición del valor razonable</t>
  </si>
  <si>
    <t>El valor razonable de las opciones de acciones de los empleados se mide al momento de la adjudicación con base en el modelo Black-Scholes donde se toman en consideración las variables del valor de mercado de la acción, el factor de riesgo en el tiempo y el valor al cual fue establecida la opción. Se consideran igualmente datos como la rotación del personal clave de la gerencia y la posibilidad de cambios en las tasas de interés.</t>
  </si>
  <si>
    <t>El precio de ejecución de la opción se ha tomado sobre el valor de mercado de la acción a la fecha de otorgamiento de la opción con un descuento entre 15% y 10%, según cada plan. La volatilidad esperada se ha basado en una evaluación de la volatilidad histórica del precio de las acciones durante los últimos 12 meses antes del otorgamiento de la opción. La tasa de interés se basa en el promedio de los depósitos a plazo que mantiene el Grupo a la fecha de otorgamiento de la opción. El rendimiento anual de la acción considera el dividendo pagado por acción durante el último año entre el precio de la acción a la fecha de concesión.</t>
  </si>
  <si>
    <t>Al 31 de diciembre de 2021, el Grupo reportó un movimiento en las atribuciones otorgadas bajo el plan de opciones por US$249,073 (2020: US$269,249).</t>
  </si>
  <si>
    <t>page-116</t>
  </si>
  <si>
    <t>tbl-68.html</t>
  </si>
  <si>
    <t>[tbl-68.html](tbl-68.html) [tbl-69.html](tbl-69.html) [tbl-70.html](tbl-70.html)</t>
  </si>
  <si>
    <t>page-117</t>
  </si>
  <si>
    <t>24</t>
  </si>
  <si>
    <t>24. Gastos generales y administrativos</t>
  </si>
  <si>
    <t>Los gastos generales y administrativos se detallan de la siguiente manera:</t>
  </si>
  <si>
    <t>tbl-71.html</t>
  </si>
  <si>
    <t>[tbl-71.html](tbl-71.html)</t>
  </si>
  <si>
    <t>25</t>
  </si>
  <si>
    <t>25. Impuestos</t>
  </si>
  <si>
    <t>Impuestos</t>
  </si>
  <si>
    <t>Las subsidiarias del Grupo se rigen bajo las legislaciones fiscales establecidas en sus países de constitución. Sus tasas de impuesto sobre la renta aplicables a la renta gravable son entre 25% y 34% y existen subsidiarias en otras jurisdicciones donde por la naturaleza de la operación no se genera impuestos.</t>
  </si>
  <si>
    <t>Las declaraciones del impuesto sobre la renta de las compañías en Panamá están sujetas a revisión por las autoridades fiscales por los últimos tres años, según regulaciones fiscales vigentes, incluyendo el año terminado el 31 de diciembre de 2021. Además, los registros de las compañías pueden estar sujetos a examen por las autoridades fiscales para determinar el cumplimiento con la ley del impuesto de timbres, del impuesto de transferencia de bienes muebles y servicios, del impuesto de transferencia de bienes y prestación de servicios, de primas emitidas y primas brutas pagadas.</t>
  </si>
  <si>
    <t>Al 31 de diciembre de 2021, el monto del gasto de impuesto sobre la renta de las subsidiarias es de US$8,820,280 (2020: US$7,500,599).</t>
  </si>
  <si>
    <t>tbl-72.html</t>
  </si>
  <si>
    <t>[tbl-72.html](tbl-72.html)</t>
  </si>
  <si>
    <t>page-118</t>
  </si>
  <si>
    <t>La conciliación entre la utilidad financiera con el gasto del impuesto sobre la renta del Grupo, como un porcentaje de la utilidad antes del impuesto sobre la renta se detalla a continuación:</t>
  </si>
  <si>
    <t>tbl-73.html</t>
  </si>
  <si>
    <t>[tbl-73.html](tbl-73.html)</t>
  </si>
  <si>
    <t>El impuesto sobre la renta diferido está compuesto por los siguientes componentes:</t>
  </si>
  <si>
    <t>tbl-74.html</t>
  </si>
  <si>
    <t>[tbl-74.html](tbl-74.html)</t>
  </si>
  <si>
    <t>page-119</t>
  </si>
  <si>
    <t>La conciliación del impuesto diferido del año anterior con el período actual es como sigue:</t>
  </si>
  <si>
    <t>tbl-75.html</t>
  </si>
  <si>
    <t>[tbl-75.html](tbl-75.html)</t>
  </si>
  <si>
    <t>Con base en los resultados actuales y proyectados, la Administración considera que habrá ingresos gravables y suficientes para absorber los impuestos diferidos activos, detallados anteriormente.</t>
  </si>
  <si>
    <t>26</t>
  </si>
  <si>
    <t>26. Fideicomisos bajo administración y custodia</t>
  </si>
  <si>
    <t>El Grupo actúa como administrador y fiduciario de contratos fiduciarios por cuenta y riesgo de clientes. Por tratarse de un servicio de agente reglamentado mediante contratos que definen y limitan las responsabilidades del administrador y fiduciario y contienen ciertas cláusulas de protección, la administración considera que los riesgos inherentes a esta actividad han sido debidamente mitigados.</t>
  </si>
  <si>
    <t>Al 31 de diciembre de 2021, el valor de la cartera de préstamos de los fideicomisos bajo administración ascendía a US$342,248,852 (2020: US$254,422,644).</t>
  </si>
  <si>
    <t>27</t>
  </si>
  <si>
    <t>27. Utilidad por acción</t>
  </si>
  <si>
    <t>Utilidad básica por acción común</t>
  </si>
  <si>
    <t>El cálculo de la utilidad por acción común está basado en la utilidad neta correspondiente a los accionistas comunes mayoritarios por US$76,138,086 (2020: US$73,532,389), dividida entre el número promedio ponderado de acciones en circulación durante el año por 10,161,973 acciones (2020: 10,145,802).</t>
  </si>
  <si>
    <t>tbl-76.html</t>
  </si>
  <si>
    <t>[tbl-76.html](tbl-76.html)</t>
  </si>
  <si>
    <t>page-120</t>
  </si>
  <si>
    <t>El cálculo de la utilidad diluida por acción se basó en la utilidad atribuible a los accionistas mayoritarios, menos dividendos pagados sobre acciones preferidas y el promedio ponderado del número de acciones vigentes después de los ajustes por los efectos de las opciones de acciones de empleados.</t>
  </si>
  <si>
    <t>tbl-77.html</t>
  </si>
  <si>
    <t>[tbl-77.html](tbl-77.html)</t>
  </si>
  <si>
    <t>(28) Compromisos y contingencias</t>
  </si>
  <si>
    <t>El Grupo mantiene compromisos fuera del estado consolidado de situación financiera, que resultan del curso normal de sus operaciones y los cuales involucran elementos de riesgo crediticio y de liquidez. Estos compromisos y contingencias se detallan como sigue:</t>
  </si>
  <si>
    <t>tbl-78.html</t>
  </si>
  <si>
    <t>[tbl-78.html](tbl-78.html)</t>
  </si>
  <si>
    <t>Mediante cartas de promesa de pago, el Grupo ha adquirido el compromiso de realizar, por cuenta de clientes, ciertos pagos a terceros una vez se cumplan ciertas condiciones pactadas previamente. Las cartas de promesa de pago suscritas al 31 de diciembre de 2021 tienen vigencia de seis (6) meses en promedio.</t>
  </si>
  <si>
    <t>Dentro del curso ordinario de los negocios de seguros, el Grupo está involucrado en varias reclamaciones legales, para los cuales, al 31 de diciembre de 2021, mantiene una provisión de US$14,936,415 (2020: US$10,347,777).</t>
  </si>
  <si>
    <t>La Administración, en consideración a la opinión de los asesores legales, estima que estas demandas no tienen mérito y que el Grupo prevalecerá en la defensa de estos casos.</t>
  </si>
  <si>
    <t>page-121</t>
  </si>
  <si>
    <t>El Grupo confirma que, al 31 de diciembre de 2021, las subsidiarias el Banco de Finanzas, S. A. y ASSA Compañía de Seguros, S. A. de Nicaragua se encuentran en procesos de impugnación ante la Administración Tributaria y ante el Tribunal Aduanero y Tributario Administrativo, en relación al cobro por parte de la Dirección General de Ingreso (DGI) del anticipo mensual del pago mínimo definitivo con una alícuota del 3%.</t>
  </si>
  <si>
    <t>Se han presentado recursos por cada uno de los meses desde abril 2019 a diciembre 2020 y han sido declarados inadmisibles por las autoridades mencionadas anteriormente. Si la defensa contra la acción no tiene éxito, el Banco de Finanzas, S. A. podría llegar a pagar la suma de US$3,389,017 monto acumulado, de los cuales US$1,848,059 corresponden de abril a diciembre de 2019 y US$1,288,830 de enero a diciembre de 2020. Al 31 de diciembre de 2021 el monto en riesgo asciende a US$252,128.</t>
  </si>
  <si>
    <t>Si la defensa contra la acción no tiene éxito, ASSA Compañía de Seguros, S. A. de Nicaragua podría llegar a pagar la suma de US$533,846 (C$18,962,748); monto acumulado al 31 de diciembre 2021.</t>
  </si>
  <si>
    <t>Ambas subsidiarias han presentado recursos ante la Sala de lo Contencioso Administrativo de la Corte Suprema de Justicia de Nicaragua, en espera de una última resolución definitiva. De acuerdo con la asesoría legal, la Administración considera que la defensa contra esta acción será exitosa.</t>
  </si>
  <si>
    <t>Con fecha 02 de febrero de 2022, la Superintendencia de Bancos y otras Instituciones Financieras de Nicaragua indicó al Banco que no presenta objeción que, en los estados financieros al 31 de diciembre de 2021, no se constituya pasivo por el importe de los impuestos impugnados relacionados al pago mínimo definitivo del impuesto sobre la renta, siempre y cuando se cuente con una evaluación técnica actualizada (Legal y contable, independiente.</t>
  </si>
  <si>
    <t>page-122</t>
  </si>
  <si>
    <t>29</t>
  </si>
  <si>
    <t>29. Valuación de instrumentos financieros</t>
  </si>
  <si>
    <t>(a) Clasificaciones contables y valores razonables</t>
  </si>
  <si>
    <t>El cuadro que se presenta a continuación muestra los importes en libros y los valores razonables de los activos financieros y pasivos financieros, incluyendo sus niveles en la jerarquía del valor razonable. El cuadro no incluye información para los activos financieros y pasivos financieros no medidos al valor razonable si el importe en libros es una aproximación razonable del valor razonable.</t>
  </si>
  <si>
    <t>tbl-79.html</t>
  </si>
  <si>
    <t>[tbl-79.html](tbl-79.html)</t>
  </si>
  <si>
    <t>page-123</t>
  </si>
  <si>
    <t>tbl-80.html</t>
  </si>
  <si>
    <t>[tbl-80.html](tbl-80.html)</t>
  </si>
  <si>
    <t>page-124</t>
  </si>
  <si>
    <t>(b) Medición de los valores razonables</t>
  </si>
  <si>
    <t>(i) Medición de los valores razonables</t>
  </si>
  <si>
    <t>Algunas de las políticas y revelaciones contables del Grupo requieren la medición de los valores razonables tanto de los activos y pasivos financieros como de los no financieros.</t>
  </si>
  <si>
    <t>El Grupo cuenta con un marco de control establecido en relación con la medición de los valores razonables. Esto incluye un equipo de valorización que tiene la responsabilidad general por la supervisión de todas las mediciones significativas del valor razonable, incluyendo los valores razonables de Nivel 3, y que reporta directamente a la Vicepresidencia de Finanzas.</t>
  </si>
  <si>
    <t>El equipo de valorización revisa regularmente las variables no observables significativas y los ajustes de valorización. Si se usa información de terceros, como cotizaciones de corredores o servicios de fijación de precios, para medir los valores razonables, el equipo de valoración evalúa la evidencia obtenida de terceros para respaldar la conclusión de que esas valorizaciones satisfacen los requerimientos de las NIIF, incluyendo el nivel dentro de la jerarquía del valor razonable del que deberían clasificarse esas valorizaciones.</t>
  </si>
  <si>
    <t>Los asuntos de valoración significativos son informados a la Junta Directiva del Grupo.</t>
  </si>
  <si>
    <t>Cuando se mide el valor razonable de un activo o pasivo, el Grupo utiliza datos de mercado observables siempre que sea posible. Los valores razonables se clasifican en niveles distintos dentro de una jerarquía del valor razonable que se basa en las variables usadas en las técnicas de valoración, como sigue:</t>
  </si>
  <si>
    <t>Nivel 1: precios cotizados (no-ajustados) en mercados activos para activos o pasivos idénticos.</t>
  </si>
  <si>
    <t>Nivel 2: datos diferentes de los precios cotizados incluidos en el Nivel 1, que sean observables para el activo o pasivo, ya sea directa (es decir, precios) o indirectamente (es decir, derivados de los precios).</t>
  </si>
  <si>
    <t>Nivel 3: datos para el activo o pasivos que no se basan en datos de mercados observables (variables no observables).</t>
  </si>
  <si>
    <t>Si las variables usadas para medir el valor razonable de un activo o pasivo pueden clasificarse en niveles distintos de la jerarquía del valor razonable, entonces la medición del valor razonable se clasifica en su totalidad en el mismo nivel de la jerarquía del valor razonable que la variable del nivel más bajo que sea significativa para la medición total.</t>
  </si>
  <si>
    <t>El Grupo reconoce las transferencias entre los niveles de la jerarquía del valor razonable al final del año sobre el que se informa durante el que ocurrió el cambio.</t>
  </si>
  <si>
    <t>page-125</t>
  </si>
  <si>
    <t>(ii) Técnicas de valoración</t>
  </si>
  <si>
    <t>tbl-81.html</t>
  </si>
  <si>
    <t>[tbl-81.html](tbl-81.html)</t>
  </si>
  <si>
    <t>page-126</t>
  </si>
  <si>
    <t>(iii) Análisis de sensibilidad</t>
  </si>
  <si>
    <t>Para los valores razonables de los instrumentos de patrimonio, los cambios razonablemente posibles a la fecha del estado consolidado de situación financiera en una de las variables no observables significativas tendrían los siguientes efectos, si las otras variables se mantuvieran constantes. A continuación, se resume el impacto en el cambio en el valor razonable y el patrimonio, neto:</t>
  </si>
  <si>
    <t>tbl-82.html</t>
  </si>
  <si>
    <t>[tbl-82.html](tbl-82.html)</t>
  </si>
  <si>
    <t>(30) Administración de riesgos de instrumentos financieros</t>
  </si>
  <si>
    <t>Un instrumento financiero es un contrato que origina un activo financiero para una de las partes y a la vez un pasivo financiero o instrumento patrimonial para la contraparte.</t>
  </si>
  <si>
    <t>Los instrumentos financieros exponen al Grupo a varios tipos de riesgos. La Junta Directiva del Grupo ha aprobado una Política de Administración de Riesgos, la cual identifica cada uno de los principales riesgos a los cuales está expuesto el Grupo. Para administrar y monitorear los distintos riesgos a los que esté expuesto el Grupo, la Junta Directiva ha establecido el Comité de Inversiones, el Comité de Cumplimiento y el Comité de Riesgo, los cuales están conformados por directores y personal clave de la gerencia clave. Estos comités están encargados de monitorear, controlar y administrar prudentemente estos riesgos; estableciendo políticas y límites para cada uno de dichos riesgos. También existe un Comité de Auditoría, integrado por directores y miembros independientes del Grupo que vela por establecer controles internos apropiados para la presentación de la información financiera del Grupo.</t>
  </si>
  <si>
    <t>Adicionalmente, las subsidiarias bancarias, de seguros y reaseguros del Grupo están sujetas a las regulaciones de la Superintendencia de Bancos y la Superintendencia de Seguros y Reaseguros de Panamá; Superintendencia de Bancos y Otras Entidades Financieras de Nicaragua; Superintendencia General de Seguros de Costa Rica; Superintendencia del Sistema Financiero de la República de El Salvador; Superintendencia de Bancos de Guatemala; Comisión Nacional de Bancos y Seguros de Honduras; la Bermuda Monetary Authority (BMA) de Bermuda, la Cayman Island Monetary Authority (CIMA) de Islas Cayman, Superintendencia Financiera de Colombia, en lo concerniente a los riesgos de liquidez, crédito y niveles de capitalización, entre otros.</t>
  </si>
  <si>
    <t>Los principales riesgos identificados por el Grupo son los riesgos de crédito, liquidez y financiamiento, de mercado, operacional y de administración de capital.</t>
  </si>
  <si>
    <t>page-127</t>
  </si>
  <si>
    <t>Es el riesgo de que el deudor o emisor de un activo financiero que es propiedad del Grupo no cumpla, completamente y a tiempo, con cualquier pago que deba hacer de conformidad con los términos y condiciones pactados al momento en que el Grupo adquirió u originó el activo financiero respectivo.</t>
  </si>
  <si>
    <t>Para mitigar el riesgo de crédito, las políticas de administración de riesgo establecen los términos y condiciones que debe cumplir cada operación crediticia otorgado por las compañías del Grupo. Adicionalmente, las compañías del Grupo cuentan con un Departamento de Crédito que analiza cada solicitud, realiza las investigaciones pertinentes, valida y certifica el cumplimiento de las Políticas de Crédito, y presenta y sustenta dicha solicitud ante el Comité de Crédito. El Comité de Crédito asignado por la Junta Directiva vigila el cumplimiento de las Políticas de Crédito de cada operación aprobada.</t>
  </si>
  <si>
    <t>A continuación, se presentan los instrumentos financieros del Grupo que están expuestos al riesgo de crédito y su correspondiente evaluación:</t>
  </si>
  <si>
    <t>tbl-83.html</t>
  </si>
  <si>
    <t>[tbl-83.html](tbl-83.html)</t>
  </si>
  <si>
    <t>page-128</t>
  </si>
  <si>
    <t>- Deterioro en préstamos, inversiones y depósitos con bancos El deterioro para los préstamos, inversiones y depósitos con bancos se determinan comparando el valor en libros del activo con el valor estimado recuperable de este activo.</t>
  </si>
  <si>
    <t>- Préstamos renegociados Los préstamos renegociados son aquellos a los cuales se le han hecho una reestructuración debido a algún deterioro en la condición financiera del deudor, y donde el Grupo considera conceder algún cambio en los parámetros originales de crédito. Estos préstamos una vez son reestructurados se mantienen en esta categoría independientemente de cualquier mejoramiento en la condición del deudor posterior a la reestructuración por parte del Grupo.</t>
  </si>
  <si>
    <t>- Reservas por deterioro El Grupo ha establecido reservas para deterioro, las cuales representan una estimación sobre las pérdidas estimadas esperadas en la cartera de préstamos. Los componentes principales de estas reservas están relacionados con riesgos individuales, y la reserva para pérdidas en préstamos establecida de forma colectiva considerando un grupo homogéneo de activos con respecto a pérdidas históricas, identificadas en préstamos sujetos a un deterioro individual.</t>
  </si>
  <si>
    <t>- Política de castigos El Grupo determina el castigo de un grupo de préstamos, en base a criterios particulares de saneamiento de cada grupo, efectuando un análisis de forma individual de los créditos dentro de cada agrupación y de las condiciones financieras hechas, desde que no se efectuó el pago de la obligación, y cuando se determina que la garantía no es suficiente para el pago completo de la facilidad otorgada. Para los préstamos de montos menores, los castigos generalmente se basan en el tiempo vencido del crédito otorgado.</t>
  </si>
  <si>
    <t>El Grupo mantiene colaterales sobre los préstamos otorgados a clientes correspondientes a hipotecas sobre las propiedades y otras garantías sobre este activo. Las estimaciones del valor razonable están basadas en el valor del colateral según sea el período de tiempo del crédito y generalmente no son actualizadas excepto si el crédito se encuentra en deterioro en forma individual.</t>
  </si>
  <si>
    <t>El colateral generalmente no está supeditado a los préstamos o adelantos bancarios efectuados, excepto cuando las inversiones mantenidas forman parte de un valor comprado bajo acuerdo de reventa y también se consideran los valores bajo acuerdo de recompra, que son sobre las inversiones.</t>
  </si>
  <si>
    <t>El Grupo monitorea la concentración de riesgo de crédito por acreedor, actividad económica y ubicación geográfica.</t>
  </si>
  <si>
    <t>page-129</t>
  </si>
  <si>
    <t>El análisis de la concentración de los riesgos de crédito es el siguiente:</t>
  </si>
  <si>
    <t>tbl-84.html</t>
  </si>
  <si>
    <t>[tbl-84.html](tbl-84.html)</t>
  </si>
  <si>
    <t>Las concentraciones geográficas de préstamos están basadas en la ubicación del deudor y las de inversiones y depósitos están basados en la ubicación del emisor.</t>
  </si>
  <si>
    <t>## (b) Riesgo de liquidez y financiamiento</t>
  </si>
  <si>
    <t>El riesgo de liquidez es el riesgo de que una entidad encuentre dificultades para cumplir con sus obligaciones asociadas con los pasivos financieros que son liquidados mediante la entrega de efectivo o de otro activo financiero o el financiamiento de activos a largo plazo con pasivos a corto plazo.</t>
  </si>
  <si>
    <t>## Administración del riesgo de liquidez</t>
  </si>
  <si>
    <t>Las políticas de administración de riesgo establecen límites de liquidez que determinan la porción de los activos del Grupo que debe ser mantenida en instrumentos de alta liquidez, límites de composición de financiamiento, límites de apalancamiento y límites de plazo.</t>
  </si>
  <si>
    <t>El Grupo está expuesto a requerimientos diarios sobre sus fondos disponibles a causa de retiros en depósitos y de ahorros, vencimiento de depósitos a plazo y obligaciones, desembolsos de préstamos y garantías, pagos de siniestros.</t>
  </si>
  <si>
    <t>Las Juntas Directivas de las subsidiarias del Grupo fijan límites sobre la proporción mínima de fondos disponibles para cumplir con dichos requerimientos y sobre el nivel mínimo de facilidades bancarias y otras facilidades de préstamos que deben existir para cubrir los retiros en niveles inesperados de demanda.</t>
  </si>
  <si>
    <t>page-130</t>
  </si>
  <si>
    <t>El siguiente cuadro detalla los pasivos y activos del Grupo agrupados por sus vencimientos remanentes con respecto a la fecha de vencimiento contractual:</t>
  </si>
  <si>
    <t>tbl-85.html</t>
  </si>
  <si>
    <t>[tbl-85.html](tbl-85.html)</t>
  </si>
  <si>
    <t>Es el riesgo, de que el valor de un activo financiero del Grupo se reduzca por causa de cambios en las tasas de interés, en las tasas de cambio monetario, en los precios accionarios, y otras variables financieras, así como la reacción de los participantes de los mercados a eventos políticos y económicos, ante las pérdidas latentes como a ganancias potenciales.</t>
  </si>
  <si>
    <t>page-131</t>
  </si>
  <si>
    <t>El objetivo de la administración del riesgo de mercado, es el de administrar y vigilar las exposiciones de riesgo, y que las mismas se mantengan dentro de los parámetros aceptables optimizando el retorno del riesgo.</t>
  </si>
  <si>
    <t>Los riesgos de mercado están enfocados a los riesgos de pérdida derivados de movimientos adversos en los precios de los productos en los mercados financieros donde se mantengan posiciones, con relación a las operaciones que figuren tanto dentro como fuera del estado consolidado de situación financiera. Se identifican dentro de este grupo los riesgos inherentes en las operaciones de crédito, inversiones, tasa de interés, tipos de cambio y riesgo país.</t>
  </si>
  <si>
    <t>## Administración de Riesgo de Mercado</t>
  </si>
  <si>
    <t>La administración de este riesgo es supervisada por el Comité de Riesgo que se reúne al menos trimestralmente. Se presentan informes regulares que detallan tasas, vencimiento y montos de depósitos e instrumentos financieros dentro del portafolio de inversiones. De realizarse alguna inversión mayor a US$3,000,000, esta se debe presentar al Comité de Inversiones del Grupo, cuyos miembros se reúnen trimestralmente, para su aprobación. Sustancialmente todos los activos y pasivos están denominados en dólares de los Estados Unidos de América o en balboas.</t>
  </si>
  <si>
    <t>A continuación, se presentan detalladamente la composición y análisis de cada uno de los tipos de riesgos de mercado:</t>
  </si>
  <si>
    <t>- Riesgo de tasa de cambio: es el riesgo de que el valor de un instrumento financiero fluctúe como consecuencia de variaciones en las tasas de cambio de las monedas extranjeras, y otras variables financieras, así como la reacción de los participantes de los mercados a eventos políticos y económicos. Para efectos de las normas contables este riesgo no procede de instrumentos financieros que no son partidas monetarias, ni tampoco de instrumentos financieros denominados en la moneda funcional.</t>
  </si>
  <si>
    <t>- Riesgo de tasa de interés del flujo de efectivo y del valor razonable: El riesgo de tasa de interés del flujo de efectivo y el riesgo de tasa de interés de valor razonable son los riesgos que los flujos de efectivo futuros y el valor de un instrumento financiero fluctúen debido a cambios en las tasas de interés del mercado.</t>
  </si>
  <si>
    <t>El Grupo asume una exposición a los efectos de fluctuaciones en los niveles prevalecientes de tasas de interés del mercado tanto en su riesgo de valor razonable como en el de su riesgo de flujo de fondos. Los márgenes de interés pueden aumentar como resultado de dichos cambios, pero pueden reducirse o crear pérdidas en el evento que surjan movimientos inesperados. Mensualmente, las Juntas Directivas de las subsidiarias revisan el comportamiento de las tasas de interés de los activos y pasivos, mide el impacto del descalce en los resultados del Grupo y toma las medidas apropiadas para minimizar repercusiones negativas en los resultados financieros del Grupo.</t>
  </si>
  <si>
    <t>page-132</t>
  </si>
  <si>
    <t>A continuación, se detalla la exposición del Grupo a los riesgos de tasa de interés, así:</t>
  </si>
  <si>
    <t>tbl-86.html</t>
  </si>
  <si>
    <t>[tbl-86.html](tbl-86.html)</t>
  </si>
  <si>
    <t>Administración de la Reforma de la Tasa de Interés de Referencia y los riesgos derivados de la Reforma</t>
  </si>
  <si>
    <t>A nivel mundial se están llevando a cabo cambios fundamentales en las tasas de interés de referencia, incluyendo el reemplazo de las tasas interbancarias ofrecidas (IBOR) por tasas de interés alternativas libres de riesgo. Debido a la naturaleza de su negocio, el estado consolidado de situación financiera del Grupo incluye pasivos financieros a tasa fija. Sin embargo, el Grupo cuenta con exposiciones IBOR (USD Libor únicamente) en sus instrumentos financieros, los cuales serán reformados o reemplazados.</t>
  </si>
  <si>
    <t>page-133</t>
  </si>
  <si>
    <t>El Comité de Tasas de Referencia Alternativas (ARRC, por sus siglas en inglés) fue establecido por la Reserva Federal de los Estados Unidos, para asegurar la exitosa transición de la tasa USD LIBOR a una tasa de interés alternativa. El ARRC está compuesto por entidades del sector privado –que participan en los mercados afectados por la USD LIBOR– y por otras entidades gubernamentales, incluyendo reguladores del sector financiero en los Estados Unidos. En mayo de 2021, el ARRC estipuló que la tasa USD LIBOR se continuará publicando hasta el 30 de junio de 2023 y estableció esta como fecha límite para culminar la modificación de los contratos que deben incluir el lenguaje de transición hacia la nueva tasa de referencia, que inicialmente se había establecido para finales de 2021.</t>
  </si>
  <si>
    <t>A continuación, se presentan las emisiones de deuda y obligaciones al 31 de diciembre de 2021 con exposición a la tasa LIBOR:</t>
  </si>
  <si>
    <t>tbl-87.html</t>
  </si>
  <si>
    <t>[tbl-87.html](tbl-87.html)</t>
  </si>
  <si>
    <t>Los principales riesgos a los que el Grupo está expuesto como consecuencia de la reforma IBOR son operativos. Tales riesgos operativos incluyen la actualización de términos contractuales y revisión de controles operativos relacionados con la Reforma. El riesgo financiero se limita predominantemente al riesgo de tasa de interés.</t>
  </si>
  <si>
    <t>(d) Administración de capital</t>
  </si>
  <si>
    <t>La política de la administración es de mantener una estructura de capital sólida, la cual pueda sostener el futuro crecimiento del negocio. El Grupo reconoce la necesidad de mantener un balance entre los retornos a los accionistas y la adecuación de capital requerida por los entes reguladores. El capital en acciones comunes emitidas al 31 de diciembre de 2021 es de US$64,323,182 (2020: US$62,666,968).</t>
  </si>
  <si>
    <t>page-134</t>
  </si>
  <si>
    <t>Las operaciones del Grupo están individualmente reguladas, y todas cumplen con los requerimientos de capital, a los cuales está sujeto, para el período evaluado.</t>
  </si>
  <si>
    <t>31</t>
  </si>
  <si>
    <t>31. Estimaciones contables críticas y juicios en la aplicación de políticas contables</t>
  </si>
  <si>
    <t>Políticas contables</t>
  </si>
  <si>
    <t>El Grupo efectúa estimados y juicios que afectan las sumas reportadas de los activos y pasivos dentro del siguiente año fiscal. Los estimados y juicios son continuamente evaluados y están basados en la experiencia histórica y otros factores, incluyendo expectativas de eventos futuros que se creen son razonables bajo las circunstancias.</t>
  </si>
  <si>
    <t>### (a) Pérdidas por deterioro sobre primas y otras cuentas por cobrar</t>
  </si>
  <si>
    <t>El Grupo revisa sus portafolios de primas y otras cuentas por cobrar para evaluar el deterioro al menos trimestralmente. Al determinar si una pérdida por deterioro debe ser registrada en el estado consolidado de resultados, el Grupo toma decisiones en cuanto a si existe información observable que indique que existe una reducción que puede ser medida en los flujos de efectivo futuros estimados de un portafolio de cuentas por cobrar antes que la reducción pueda ser identificada con una cuenta individual en ese portafolio. Esta evidencia incluye información observable que indique que ha habido un cambio adverso en la condición de pago de los clientes en un grupo, o condiciones económicas nacionales o locales que los correlacionen con incumplimientos en activos en el grupo. La Administración usa estimados basados en la experiencia de pérdida histórica para activos con características de riesgo de crédito y evidencia objetiva de deterioro similar a aquellos en el portafolio cuando programa sus flujos futuros de efectivo. La metodología y presunciones usadas para estimar la suma y el tiempo de los flujos de efectivo futuros son revisadas regularmente para reducir cualquier diferencia entre los estimados de pérdida y la experiencia actual de pérdida.</t>
  </si>
  <si>
    <t>### (b) Pérdidas por deterioro sobre préstamos y anticipos</t>
  </si>
  <si>
    <t>El Grupo revisa sus carteras de préstamos a la fecha de reporte para determinar si existe una evidencia objetiva de deterioro en un préstamo o cartera de préstamos que debe ser reconocida en los resultados del período.</t>
  </si>
  <si>
    <t>El Grupo utiliza su mejor juicio para determinar si hay información observable que pueda indicar un deterioro medible en un grupo de préstamos utilizando estimados basados en experiencia histórica de pérdidas de préstamos con características similares al momento de predecir los flujos futuros recuperables de estas operaciones.</t>
  </si>
  <si>
    <t>### (c) Deterioro en inversiones en valores</t>
  </si>
  <si>
    <t>El Grupo revisa su portafolio de inversiones en valores a costo amortizado y a valor razonable con cambios en otras utilidades integrales para evaluar el deterioro en base a los criterios establecidos por el Comité Riesgo, el cual establece provisiones bajo la metodología de pérdida crediticia esperada. Estas se dividen en provisiones en 3 distintas etapas, pérdidas a 12 meses (etapa 1), pérdidas por la vida esperada de las inversiones (etapa 2) e inversiones con incumplimiento (etapa 3). Véase la nota 3 (e).</t>
  </si>
  <si>
    <t>page-135</t>
  </si>
  <si>
    <t>(d) Impuestos sobre la renta</t>
  </si>
  <si>
    <t>El Grupo está sujeto a impuestos sobre la renta en varias jurisdicciones. Estimados significativos se requieren al determinar la provisión para impuestos sobre la renta. Existen muchas transacciones y cálculos para los cuales la determinación del impuesto final es incierta durante el curso ordinario de negocios.</t>
  </si>
  <si>
    <t>(e) Reclamos y beneficios de los tenedores de pólizas</t>
  </si>
  <si>
    <t>Los estimados del Grupo para el establecimiento de las provisiones correspondientes y los valores asociados recuperables de los reaseguradores, son continuamente revisados y actualizados, y los ajustes que resultan de estas revisiones son reflejados en los resultados.</t>
  </si>
  <si>
    <t>El proceso confía en las presunciones básicas de experiencia pasada, ajustadas por los efectos de los desarrollos corrientes y tendencia probables; que constituye una base apropiada para predecir los eventos futuros.</t>
  </si>
  <si>
    <t>(i) Contratos de seguros general - responsabilidades generales</t>
  </si>
  <si>
    <t>**Características del producto**</t>
  </si>
  <si>
    <t>El Grupo emite seguro de responsabilidades generales sobre base local. En estos contratos existe el otorgamiento de una compensación monetaria que es pagada por los daños sufridos por terceros.</t>
  </si>
  <si>
    <t>El seguro de responsabilidad se considera de reporte a largo plazo. La velocidad del reporte de los reclamos y la liquidación de los reclamos es una función de la cobertura específica provista, la jurisdicción y las cláusulas específicas de la póliza tal como retenciones autoaseguradas. Estos numerosos componentes sustentan la línea de productos de responsabilidades generales. Algunos de estos tienen un patrón de pago relativamente moderado (donde muchos de los reclamos por un año de ocurrencia específico son cerrados dentro de 3 ó 5 años), mientras que otros pueden tener períodos extremos tanto en su reporte y el pago de los reclamos.</t>
  </si>
  <si>
    <t>(ii) Contratos de seguros general - propiedades</t>
  </si>
  <si>
    <t>El seguro de propiedades indemniza, sujeto a cualquier límite o exceso, al tenedor de la póliza contra daños o pérdidas de su propiedad material y las interrupciones del negocio que se originan de estos daños.</t>
  </si>
  <si>
    <t>La utilidad de este producto se deriva del total de la prima cargada a los tenedores de póliza menos las cantidades pagadas para cubrir los reclamos y los gastos incurridos por el Grupo. Existe también cierto margen limitado del Grupo a ganar ingreso por inversión en el lapso entre la recepción de la prima y el pago de los reclamos.</t>
  </si>
  <si>
    <t>El evento que origina un reclamo por daños a un edificio o el contenido, generalmente ocurre de forma imprevista (al igual que en incendio y robo) y la causa es fácilmente determinable. El reclamo por lo tanto será notificado prontamente y puede ser procesado sin demora. El negocio de propiedades es por lo tanto clasificado como de corto plazo.</t>
  </si>
  <si>
    <t>page-136</t>
  </si>
  <si>
    <t>(iii) Contratos de seguros de personas</t>
  </si>
  <si>
    <t>La provisión sobre pólizas de vida individual a largo plazo se utiliza para hacerle frente al pago de las indemnizaciones en el momento de un fallecimiento o una incapacidad de un asegurado.</t>
  </si>
  <si>
    <t>Las provisiones para los contratos de seguros sobre pólizas de vida se calculan utilizando métodos actuariales generalmente aceptados, en donde dicha reserva se determina calculando el valor presente de los beneficios futuros menos el valor presente de las primas futuras. Estos cálculos se hacen asumiendo ciertas hipótesis con respecto a la mortalidad, morbilidad y tasas de interés.</t>
  </si>
  <si>
    <t>En aquellas pólizas donde se ha considerado el pago de dividendos dependiendo de las inversiones del Grupo, se ha establecido las provisiones correspondientes para pagar dichos dividendos.</t>
  </si>
  <si>
    <t>En aquellas pólizas que se permite el pago variado de primas (Vida Universal) la cantidad que se incluye en las provisiones corresponde al valor presente de los beneficios futuros pagaderos a los tenedores de pólizas menos el valor presente de las primas no pagadas por los tenedores. Además, se consideran la prima neta nivelada, la prima de la metodología actuarial y la prima garantizada suficiente a la edad de vencimiento de 95 años.</t>
  </si>
  <si>
    <t>El cálculo de intereses sobre la provisión se ha hecho utilizando tasas de interés entre el 3.0% y el 5.5% al igual que en años anteriores.</t>
  </si>
  <si>
    <t>(f) **Estrategia de reaseguro**</t>
  </si>
  <si>
    <t>El Grupo reasegura una porción del riesgo que suscribe con el fin de controlar su exposición a pérdidas y para proteger sus recursos de capital. El Grupo contrata una combinación de tratados proporcionales y no proporcionales para reducir la exposición neta.</t>
  </si>
  <si>
    <t>El Comité de Reaseguro de la Junta Directiva es responsable de indicar el criterio mínimo de seguridad para un reaseguro aceptable y de monitorear la compra de reaseguro con este criterio.</t>
  </si>
  <si>
    <t>Adicionalmente, los suscriptores están permitidos a contratar reaseguro facultativo en algunas circunstancias específicas. Todas las contrataciones de reaseguro facultativo están sujetas a pre-aprobación y el total gastado en reaseguro facultativo es monitoreado mensualmente.</t>
  </si>
  <si>
    <t>(g) **Estrategia de suscripción**</t>
  </si>
  <si>
    <t>La estrategia de suscripción del Grupo busca diversidad para asegurar una cartera balanceada y se basa en una cartera compuesta por un gran número de riesgos similares sobre un número de años y, como tal, se considera que esto reduce la variabilidad de los resultados.</t>
  </si>
  <si>
    <t>page-137</t>
  </si>
  <si>
    <t>Esta estrategia se ejecuta a través de autorizaciones de suscripción detalladas que indican los límites que se pueden emitir por tamaño de línea, clase de negocio, territorio e industria a fin de obligar la selección apropiada del riesgo dentro de la cartera. Todos los contratos que no son de vida individual son anuales por naturaleza y se tiene el derecho de rechazar la renovación de cambiar los términos y condiciones del contrato al momento de la renovación.</t>
  </si>
  <si>
    <t>(h) Exposición relacionada con eventos catastróficos</t>
  </si>
  <si>
    <t>La probabilidad de pérdidas significativas para la aseguradora se origina de eventos catastróficos, tales como inundaciones, tormentas o daños por terremotos. Las técnicas y presunciones que la aseguradora utiliza para calcular estos riesgos son las siguientes:</t>
  </si>
  <si>
    <t>- Medición de las acumulaciones geográficas - Reaseguro de exceso de pérdidas que ha sido comprado para proteger los riesgos retenidos de la cartera.</t>
  </si>
  <si>
    <t>(i) Exposición a límites de pérdida no lineales (stop loss non-linearities)</t>
  </si>
  <si>
    <t>Las políticas del Grupo para mitigar la exposición al riesgo incluyen la utilización de características de límites de pérdidas (stop loss) y excesos de pérdidas contra algunos riesgos de seguro.</t>
  </si>
  <si>
    <t>El Grupo tiene que cumplir con necesidades mínimas en sus recursos de efectivo, principalmente de reclamos que se originan en los contratos de seguro general. Existe por lo tanto el riesgo de que el efectivo no esté disponible para liquidar los pasivos cuando es requerido a un costo razonable. El Grupo administra este riesgo estableciendo límites mínimos en la proporción de los activos que se vencen que estarán disponibles para pagar estos pasivos y también especificando un nivel mínimo de facilidades de crédito que pueden ser utilizadas para cubrir los vencimientos de los reclamos y los rescates a niveles inusualmente altos.</t>
  </si>
  <si>
    <t>El Grupo cede las primas en reaseguro para limitar su exposición a las pérdidas por suscripción de acuerdo con varios contratos que cubren riesgos individuales, riesgos de grupos o bloques de negocios definidos, sobre una base proporcional y excesos de pérdida operativa y catastróficas para la cartera de ramos generales y colectivos de vida, salud y accidentes personales. En cuanto al ramo de vida, el reaseguro está contratado con base en término anual renovable y sobre bases de exceso de pérdida.</t>
  </si>
  <si>
    <t>Los acuerdos de reaseguro distribuyen el riesgo y minimizan los efectos de las pérdidas. La cantidad de cada riesgo retenido depende de la evaluación del Grupo del riesgo específico y está sujeto, en algunas circunstancias, a los límites máximos basados en las características de las coberturas. De acuerdo a los términos de los contratos de reaseguro, el reasegurador se compromete a reembolsar la cantidad cedida en el caso de reclamos pagados. Sin embargo, la aseguradora es la responsable frente a los tenedores de las pólizas con respecto al seguro cedido si algún reasegurador falla en el cumplimiento de la obligación que asume.</t>
  </si>
  <si>
    <t>page-138</t>
  </si>
  <si>
    <t>Para el negocio a largo plazo, el nivel de reaseguro requerido es evaluado con el uso de modelos de la exposición de la aseguradora a los riesgos de vida. Las proyecciones financieras producidas de estos modelos son basadas en un número de escenarios posibles proveyendo un análisis detallado de exposiciones potenciales.</t>
  </si>
  <si>
    <t>El Comité de Reaseguros es el responsable de organizar, aprobar y mantener el registro de los reaseguradores y corredores de reaseguros de las aseguradoras que operan bajo el Grupo y establecer los requisitos de carácter general necesarios para su registro en el Listado de Reaseguradores aprobados.</t>
  </si>
  <si>
    <t>El propósito es el de procurar que sólo aquellos reaseguradores o corredores de reaseguros que gocen de condiciones mínimas de solvencia, experiencia y profesionalismo actúen como reaseguradoras del Grupo.</t>
  </si>
  <si>
    <t>El registro se realizará con vigencia indefinida; sin embargo, la falta de publicación y restricción a la información financiera del reasegurador, corredor de reaseguros o asegurador que actúa como reasegurador; así como cualquier evento que provoque inestabilidad en los resultados y posición financiera o reputacional. Será causal suficiente para la suspensión de forma temporal o permanente a la ejecución de negocios con dicho reasegurador o asegurador y/o su reemplazo en cualquier negocio donde participe.</t>
  </si>
  <si>
    <t>(l) Riesgo de actividades fiduciarias</t>
  </si>
  <si>
    <t>Las actividades fiduciarias comprenden la prestación de servicios de manejo y administración de fondos de pensiones, garantías y otros por cuenta de terceros. Estos activos se administran en cuentas fiduciarias las cuales no forman parte de estos estados financieros consolidados. El riesgo máximo al que estaría expuesta la aseguradora se concentra en reclamos por administración negligente o bajos rendimientos. La administración mantiene un control adecuado para reducir este riesgo.</t>
  </si>
  <si>
    <t>(m) Entidades estructuradas no consolidadas</t>
  </si>
  <si>
    <t>El Grupo administra algunas entidades estructuradas no consolidadas según sus programas de titularización que son dirigidas con base en criterios predeterminados que son parte del diseño inicial de estos fideicomisos.</t>
  </si>
  <si>
    <t>page-139</t>
  </si>
  <si>
    <t>El siguiente cuadro describe los tipos de entidades estructuradas en las cuales el Grupo mantiene una participación o actúa como patrocinador de estas. El Grupo se considera patrocinador de una entidad estructurada cuando facilita el establecimiento de ésta.</t>
  </si>
  <si>
    <t>tbl-88.html</t>
  </si>
  <si>
    <t>[tbl-88.html](tbl-88.html)</t>
  </si>
  <si>
    <t>Al 31 de diciembre de 2021, la máxima exposición a pérdidas del Grupo en las entidades estructuradas no consolidadas, corresponde al valor en libros de los activos que mantiene en estas por US$77,304,887 (2020: US$61,631,423). El Grupo no ha otorgado apoyo financiero a las entidades estructuradas no consolidadas.</t>
  </si>
  <si>
    <t>32</t>
  </si>
  <si>
    <t>32. Principales leyes y regulaciones aplicables</t>
  </si>
  <si>
    <t>Las principales leyes y regulaciones aplicables en la República de Panamá se detallan a continuación:</t>
  </si>
  <si>
    <t>### (a) Operaciones y Prácticas Contables de Seguro</t>
  </si>
  <si>
    <t>Las operaciones de seguros y reaseguros en Panamá están reguladas por la Superintendencia de Seguros y Reaseguros de Panamá de acuerdo a la legislación establecida por la Ley de Seguros No.12 de 3 de abril de 2012 y la Ley de Reaseguros No.63 de 19 de septiembre de 1996.</t>
  </si>
  <si>
    <t>page-140</t>
  </si>
  <si>
    <t>(b) Ley de Intereses Preferenciales sobre Préstamos Hipotecarios</t>
  </si>
  <si>
    <t>De acuerdo con regulaciones fiscales vigentes en Panamá, las entidades financieras que otorgan préstamos hipotecarios que no excedan de US$180,000 con intereses preferenciales, reciben el beneficio anual de un crédito fiscal por los primeros quince (15) años de vida del préstamo a partir de julio de 2010 según la ley 8 del 15 de marzo de 2010 y Decreto Ejecutivo No. 539 de 30 de noviembre de 2011, se aumenta el beneficio de un crédito fiscal por los primeros (15) años por la suma equivalente a la diferencia entre los ingresos que la entidad financiera hubiese recibido en caso de haber cobrado la tasa de interés de referencia del mercado, que haya estado en vigor durante ese año y los ingresos efectivamente recibidos en concepto de intereses con relación a cada uno de tales préstamos hipotecarios preferenciales.</t>
  </si>
  <si>
    <t>La Ley 3 de mayo de 1985, de la República de Panamá, establece que el crédito fiscal puede ser utilizado para el pago de impuestos nacionales, incluyendo el impuesto sobre la renta. El crédito fiscal bajo la Ley 11 de septiembre de 1990, mediante la cual se prorroga la ley anterior, y la Ley 28 de junio de 1995, establece que puede ser utilizado únicamente para el pago del impuesto sobre la renta. Si en cualquier año fiscal la entidad financiera no pudiere efectivamente utilizar todos los créditos fiscales a que tenga derecho, entonces podrá utilizar el crédito excedente durante los tres años siguientes, a su conveniencia, o transferirlo, en todo o en parte, a otro contribuyente.</t>
  </si>
  <si>
    <t>Al 31 de diciembre de 2021, la subsidiaria La Hipotecaria (Holding) Inc. registró neto de provisión la suma de US$14,256,766 (2020: US$14,223,326), como ingresos de intereses preferenciales sobre la cartera de préstamos hipotecarios residenciales.</t>
  </si>
  <si>
    <t>Al 31 de diciembre de 2021, el crédito fiscal por realizar se incluye en las cuentas por cobrar del estado consolidado de situación financiera y el mismo asciende a US$24,077,858 (2020: US$19,418,736). Ver Nota 7.</t>
  </si>
  <si>
    <t>Al 31 de diciembre de 2021, la subsidiaria realizó ventas de créditos fiscales por US$9,616,762 (2020: US$4,930,874) sin generar ganancias (2020: US$78,673).</t>
  </si>
  <si>
    <t>Las operaciones bancarias de Panamá están reguladas por la Superintendencia de Bancos de Panamá de acuerdo con la legislación establecida por el Decreto Ley No. 9 de 26 de febrero de 1998, modificado por el Decreto Ley 2 del 22 de febrero de 2008.</t>
  </si>
  <si>
    <t>Las operaciones de fideicomiso en Panamá están reguladas principalmente por la Superintendencia de Bancos de acuerdo con la legislación establecida en la Ley No.1 del 5 de enero de 1984. Modificada por la Ley No. 21 del 10 de mayo de 2017, que establece las normas para la regulación y supervisión de los negocios fiduciarios y del negocio de fideicomisos y dicta otras disposiciones.</t>
  </si>
  <si>
    <t>Las operaciones de emisor y puesto de bolsa en Panamá están reguladas por la Superintendencia del Mercado de Valores (antes Comisión Nacional de Valores) de acuerdo a la legislación establecida en el Decreto Ley No. 1 de 8 de julio de 1999.</t>
  </si>
  <si>
    <t>page-141</t>
  </si>
  <si>
    <t>La ley 67 de 1 de septiembre de 2011, establece el sistema de coordinación y cooperación interinstitucional entre los entes de fiscalización financiera y crea la Superintendencia del Mercado de Valores reformando el Decreto Ley No. 1 de 1999 y la Ley 10 de 1993 y se dictan otras disposiciones.</t>
  </si>
  <si>
    <t>A fin de dar cumplimiento al artículo 121 del Decreto 67 del 1º de septiembre de 2011, se publica en Gaceta Oficial No. 26979 -A del 23 de febrero de 2012, el Texto Único ordenado por la Asamblea Nacional, que comprende el Decreto Ley 1 de 1999 y sus leyes reformatorias, y el Título II de la Ley 67 de 2011 Sobre el mercado de valores en la República de Panamá y la Superintendencia del Mercado de Valores.</t>
  </si>
  <si>
    <t>(f) Reserva de Insuficiencia de Primas</t>
  </si>
  <si>
    <t>Mediante el Acuerdo No.4 del 6 de septiembre de 2016, la Superintendencia de Seguros y Reaseguros de Panamá dispone valuar y constituir una Reserva de Insuficiencia de Primas (RIP) que complemente a la Reserva de Riesgo en Curso en la medida en que esta última no sea suficiente para reflejar la valoración de todos los riesgos y gastos a cubrir por la Compañía, correspondiente al período de cobertura no transcurrido a la fecha de cálculo.</t>
  </si>
  <si>
    <t>Dicha reserva se calcula por producto y separadamente para los Seguros Directos y Reaseguros Aceptados. Se utilizaron los últimos 24 meses de experiencia y se calculó la diferencia entre ingresos y gastos correspondientes a los Resultados Técnicos por producto, neto de reaseguro cedido o retrocedido y separado en seguros directo y reaseguro aceptado.</t>
  </si>
  <si>
    <t>El cálculo y la presentación de la Reserva de Insuficiencia de Prima fue realizada y certificada por actuarios externos, independientes e idóneos, que no tienen interés directo ni indirecto en la Compañía y sus resultados arrojaron que no se requiere complementar la Reserva de Riesgos en Curso para cumplir en debida forma con las obligaciones derivadas de los contratos de seguros.</t>
  </si>
  <si>
    <t>(g) Precio de transferencia</t>
  </si>
  <si>
    <t>La Ley 33 de 30 de junio de 2010, modificada por la Ley 52 de 28 de agosto de 2012, adicionó el Capítulo IX al Título I del Libro Cuarto del Código Fiscal, denominado Normas de Adecuación a los Tratados o Convenios para Evitar la Doble Tributación Internacional, estableciendo el régimen de precios de transferencia aplicable a los contribuyentes que realicen operaciones con partes relacionadas residentes en el extranjero. Estos contribuyentes deben determinar sus ingresos, costos y deducciones para fines fiscales en sus declaraciones de rentas, con base en el precio o monto que habrían acordado partes independientes bajo circunstancias similares en condiciones de libre competencia, utilizando los métodos establecidos en la referida Ley 33.</t>
  </si>
  <si>
    <t>Esta ley establece la obligación de presentar una declaración informativa de operaciones con partes relacionadas (Informe 930 implementado por la DGI) dentro de los seis meses siguientes al cierre del ejercicio fiscal correspondiente, así como de contar, al momento de la presentación del informe, con un estudio de precios de transferencia que soporte lo declarado mediante el Informe 930. Este estudio deberá ser entregado a requerimiento de la DGI, dentro de un plazo de 45 días contados a partir de la notificación del requerimiento.</t>
  </si>
  <si>
    <t>page-142</t>
  </si>
  <si>
    <t>La no presentación de la declaración informativa dará lugar a la aplicación de una multa equivalente al uno por ciento (1%) del valor total de las operaciones llevadas a cabo con partes relacionadas.</t>
  </si>
  <si>
    <t>Las principales leyes y regulaciones aplicables en la República de Nicaragua se detallan a continuación:</t>
  </si>
  <si>
    <t>(a) Ley de Seguros, Reaseguros y Fianzas Ley 733 del 17 de agosto de 2010, publicada en la Gaceta No. 162, 163 y 164 del 25, 26 y 27 de agosto de 2010, respectivamente.</t>
  </si>
  <si>
    <t>(b) Ley General de Bancos y Normas Prudenciales Los bancos en Nicaragua se rigen bajo el régimen de ley No. 561, Ley General de Bancos, Instituciones Financieras No Bancarias y Grupos Financieros. El organismo regulador de los Bancos es la Superintendencia de Bancos y de Otras Instituciones Financieras.</t>
  </si>
  <si>
    <t>Las principales leyes y regulaciones aplicables en la República de El Salvador se detallan a continuación:</t>
  </si>
  <si>
    <t>(a) Código de Comercio Las actividades relacionadas con los actos de comercio, las cosas mercantiles, así como las sociedades en general, están reguladas en El Salvador por el Código de Comercio, de acuerdo con el Decreto Ley N° 671 de 08 de mayo de 1970.</t>
  </si>
  <si>
    <t>(b) Ley de Sociedades de Seguros La constitución y funcionamiento de las sociedades de seguro y la participación de los intermediarios de seguros en El Salvador está regulada por la Ley de Sociedades de Seguros, según el Decreto Legislativo N° 844 de fecha 10 de octubre de 1996, reformada con los Decretos N° 893, del 21 de noviembre de 1996, publicado en el D.O. N° 222, Tomo 333, del 25 de noviembre de 1996 y N° 910, del 14 de diciembre de 2005, publicado en el D.O. N° 8, Tomo 370, del 12 de enero de 2006.</t>
  </si>
  <si>
    <t>(c) Reglamento de la Ley de Sociedades de Seguros Este Reglamento tiene por objeto desarrollar aquellas disposiciones de la Ley de Sociedades de Seguros, de acuerdo con el Decreto Ejecutivo N° 44 del 20 de abril de 1999 y ha sido reformado según el Decreto No. 25, del 19 de marzo de 2001, publicado en el D.O. No. 69, Tomo 351, del 5 de abril de 2001.</t>
  </si>
  <si>
    <t>(d) Ley de Supervisión y Regulación del Sistema Financiero Según el artículo 2 de la Ley de Sociedades de Seguro, el ente encargado de la Vigilancia y Fiscalización de las Sociedades de Seguro en El Salvador es la Superintendencia del Sistema Financiero, ente regulado por la Ley de Supervisión y Regulación del Sistema Financiero, de acuerdo con el Decreto Legislativo N° 592 del 14 de febrero de 2011.</t>
  </si>
  <si>
    <t>page-143</t>
  </si>
  <si>
    <t>(e) Ley de Protección al Consumidor</t>
  </si>
  <si>
    <t>La protección los derechos de los consumidores a fin de procurar el equilibrio, certeza y seguridad jurídica en sus relaciones con los proveedores, en este caso proveedores de seguros, está regulada en El Salvador por la Ley de Protección al Consumidor, según Decreto Legislativo N° 776 del 31 de agosto de 2005 y reformado por el Decreto N° 1017 del 30 de marzo del 2006, Publicado en el D.O. N° 88, Tomo 371 del 16 de mayo del 2006.</t>
  </si>
  <si>
    <t>(f) Reglamento de la Ley de Protección al Consumidor</t>
  </si>
  <si>
    <t>Este Reglamento tiene por objeto la ejecución y desarrollo de las disposiciones contenidas en la Ley de Protección al Consumidor de acuerdo al Decreto Ejecutivo N° 52 del 12 de mayo de 2006.</t>
  </si>
  <si>
    <t>Decreto No. 233 del 29 de diciembre de 2009, de las reformas al Código Tributario, Conforme al Artículo 124-A, establece que los contribuyentes que celebren operaciones con partes relacionados constituidos o ubicados en países, estados o territorios con regímenes fiscales preferentes, de baja o nula tributación o paraísos fiscales durante un ejercicio fiscal, y tales operaciones ya sea en forma individual o conjunta sean iguales o superiores a (US$571,429), deberán presentar un Informe de las operaciones que ejecute, a través de los formularios que proporcione la Administración Tributaria con los requisitos y especificaciones técnicas que ésta disponga para tal efecto. Dentro de los tres primeros meses siguientes de finalizado el ejercicio fiscal correspondiente.</t>
  </si>
  <si>
    <t>Las principales leyes y regulaciones aplicables en la República de Guatemala se detallan a continuación:</t>
  </si>
  <si>
    <t>Las actividades de los bancos, aseguradoras, reaseguradoras y demás actividades análogas, se rigen en cuanto a su forma, organización y funcionamiento por lo dispuesto en el Decreto No. 2-70 del Congreso de la República de Guatemala, en lo que no contravenga sus leyes y disposiciones especiales.</t>
  </si>
  <si>
    <t>(b) Operaciones y Prácticas Contables de Seguro</t>
  </si>
  <si>
    <t>Las operaciones de seguros y reaseguros en Guatemala están reguladas el Decreto Número 25-2010 del Congreso de la República de Guatemala, que corresponde a la Ley de la Actividad Aseguradora.</t>
  </si>
  <si>
    <t>(c) Ley de Supervisión Financiera</t>
  </si>
  <si>
    <t>Decreto No. 18-2002 del Congreso de la República de Guatemala, establece el conjunto de leyes que rigen a la Superintendencia de Bancos por medio del cual se ejerce la vigilancia e inspección de bancos, sociedades financieras, instituciones de créditos, entidades de seguros, entre otras actividades.</t>
  </si>
  <si>
    <t>page-144</t>
  </si>
  <si>
    <t>Las principales leyes y regulaciones aplicables en la República de Costa Rica se detallan a continuación:</t>
  </si>
  <si>
    <t>(a) Operaciones y Prácticas Contables de Seguro</t>
  </si>
  <si>
    <t>Las operaciones de seguros y reaseguros en Costa Rica están reguladas por la Superintendencia General de Seguros (SUGESE) basado en la Ley Reguladora del Mercado de Seguros No. 8653, última actualización el 22 de julio de 2008, Ley Reguladora del Contrato de Seguros No. 8956, última actualización el 17 de junio de 2011, el Reglamento sobre la Comercialización de Seguros, Acuerdo SUGESE 03-10, actualizado el 20 de enero de 2016, el Reglamento Solvencia Entidades de Seguros y Reaseguros, Acuerdo SUGESE 02-13, actualizado el 9 de octubre de 2017 y el Plan de Cuentas para las Entidades de Seguros, actualizado el 9 de octubre de 2017.</t>
  </si>
  <si>
    <t>Las principales leyes y regulaciones aplicables en la República de Honduras se detallan a continuación:</t>
  </si>
  <si>
    <t>El Código de Comercio rige los actos de comercio y las cosas mercantiles. Mediante su Artículo 1107 solo podrán actuar como aseguradoras las empresas de seguros autorizadas por el Poder Ejecutivo, que se organicen y actúen de acuerdo con los preceptos de este Código y de la ley orgánica respectiva.</t>
  </si>
  <si>
    <t>(b) Ley de Instituciones de Seguros y Reaseguros</t>
  </si>
  <si>
    <t>Decreto No. 22-2001 de la Corte Suprema de Justicia, establece las leyes que regulan la organización, funcionamiento, fusión, conversión, escisión, liquidación y supervisión de las instituciones que realicen actividades u operaciones de seguros y reaseguros.</t>
  </si>
  <si>
    <t>Las principales leyes y regulaciones aplicables en la República de Colombia se detallan a continuación:</t>
  </si>
  <si>
    <t>(a) Leyes para Empresas Comerciales</t>
  </si>
  <si>
    <t>Las operaciones de las empresas comerciales en Colombia están reguladas por la Superintendencia de Sociedades de acuerdo a la legislación establecida en el Decreto Ley No.222 de 20 de diciembre de 1995.</t>
  </si>
  <si>
    <t>(b) Impuesto al Patrimonio</t>
  </si>
  <si>
    <t>Según Decreto 4825 de 29 de diciembre de 2010, emitido por el Ministerio de Hacienda y Crédito Público, se crea el impuesto al patrimonio aplicable a las personas jurídicas, naturales y sociedades de hecho. Dicho impuesto se genera por la posesión de riqueza al 1 de enero del año 2011, cuyo valor sea igual o superior a mil millones de pesos e inferior a tres mil millones de pesos. La tarifa del impuesto va de 1% a 1.4% y se adiciona una sobretasa del 25% del resultado del impuesto al patrimonio. Este impuesto al patrimonio se presenta en el estado consolidado de utilidades integrales en el rubro de impuestos.</t>
  </si>
  <si>
    <t>page-145</t>
  </si>
  <si>
    <t>(c) Impuesto de Renta y complementario</t>
  </si>
  <si>
    <t>El 28 de diciembre de 2018, el Congreso de la República de Colombia expidió la Ley 1943 (Ley de Financiamiento), mediante la cual se introdujeron nuevas reglas en material tributaria, cuyos aspectos más relevantes se presentan a continuación:</t>
  </si>
  <si>
    <t>- Reducción gradual en la tarifa del impuesto sobre la renta y complementarios corporativa así: año gravable 2019, tarifa del 33%; año gravable 2020, tarifa del 32%; año gravable 2021, tarifa del 31%; y a partir del año gravable 2022, tarifa del 30%. - Para las entidades financieras se crea una sobretasa del 4% para el año gravable 2019 y del 3% para los años gravables 2020 y 2021, cuando la renta líquida gravable supere 120.000 UVT. - Reducción gradual y finalmente eliminación de la renta presunta en los siguientes términos: año gravable 2018, tarifa del 3,5%; año gravable 2019, tarifa del 1,5%; año gravable 2020, tarifa del 1,5%; y a partir del año gravable 2020, tarifa del 0%. - Regla general que determina que será deducible el 100% de los impuestos, tasas y contribuciones efectivamente pagado en el año gravable, que guarden relación de causalidad con la generación de renta (salvo el impuesto de renta). Como reglas especiales se señala que será deducible el 50% del gravamen a los movimientos financieros (GMF), independientemente de que tenga o no relación de causalidad con la actividad generadora de renta. - El 50% del impuesto de industria y comercio, podrá ser tomado como descuento tributario del impuesto sobre la renta en el año gravable en que sea efectivamente pagado y en la medida que tenga relación de causalidad con su actividad económica. A partir del año 2022 podrá ser descontado al 100%. - Para los períodos gravables 2019 y 2020, se crea el beneficio de auditoría</t>
  </si>
  <si>
    <t>page-146</t>
  </si>
  <si>
    <t>(d) Convergencia a Normas Internacionales de Información Financiera</t>
  </si>
  <si>
    <t>De acuerdo con la Ley 1314 de 2009, los Decretos Reglamentarios 2706, 2784 modificados por los Decretos 3019 y 3024 y la expedición del Decreto 3022, las compañías están obligadas a iniciar el proceso de convergencia de las Normas de Contabilidad de Información Financiera aplicadas en Colombia a las Normas Internacionales de Información Financiera.</t>
  </si>
  <si>
    <t>Para este propósito, el Consejo Técnicos de Contaduría Pública de Colombia, a través del direccionamiento estratégico clasificó las compañías por grupos, de acuerdo al análisis de la administración con corte al 31 de diciembre del 2013, las subsidiarias de la Compañía en Colombia pertenecen al Grupo 2, catalogado como PYMES, cuyo período de transición comienza el 1 de enero del 2015 y la emisión de los estados financieros bajo las Normas Internacionales de Información Financiera en el 2016.</t>
  </si>
  <si>
    <t>Las principales leyes y regulaciones aplicables en las Islas de Turks &amp;amp; Caicos se detallan a continuación:</t>
  </si>
  <si>
    <t>Las operaciones de reaseguros en las Islas de Turks &amp;amp; Caicos están reguladas por la Superintendencia de Seguros de acuerdo a la legislación establecida por la Ley de Seguros del 31 de octubre de 1997.</t>
  </si>
  <si>
    <t>Las principales leyes y regulaciones aplicables en las Islas Vírgenes Británicas se detallan a continuación:</t>
  </si>
  <si>
    <t>Las operaciones de reaseguros en las Islas Vírgenes Británicas están reguladas por la BVI Financial Services Commission de acuerdo a la legislación establecida por la Ley de Seguros de 1994, Capítulo 243.</t>
  </si>
  <si>
    <t>Las principales leyes y regulaciones aplicables en Bermuda se detallan a continuación:</t>
  </si>
  <si>
    <t>Las operaciones de reaseguros en Bermuda están reguladas por Bermuda Monetary Authority (BMA). La reaseguradora establecida por el Grupo está registrada como Aseguradora Clase 3ª, regulada por la Sección 4 del Insurance Act 1978.</t>
  </si>
  <si>
    <t>Las principales leyes y regulaciones aplicables en las Islas Caymán se detallan a continuación:</t>
  </si>
  <si>
    <t>Las operaciones de reaseguros en Islas Caymán están reguladas por Cayman Islands Monetary Authority (CIMA). La reaseguradora del Grupo está registrada como Aseguradora Clase B, regulada por la Ley de Seguros de 2010.</t>
  </si>
  <si>
    <t>page-147</t>
  </si>
  <si>
    <t>33</t>
  </si>
  <si>
    <t>33. Hechos posteriores</t>
  </si>
  <si>
    <t>Subsequent events</t>
  </si>
  <si>
    <t>La Junta Directiva declaró el 27 de enero de 2022 un dividendo de US$0.70 por acción, el cual será pagado el 2 de marzo de 2022, a los accionistas registrados al 16 de febrero de 2022.</t>
  </si>
  <si>
    <t>El 31 de enero de 2022 Grupo ASSA, S. A. publica comunicado de prensa, en el cual se divulga que Grupo ASSA, S. A. y otra sociedad han comprado al International Finance Corporation (IFC) la totalidad de las acciones comunes que ésta poseía en la sociedad La Hipotecaria (Holding), Inc.</t>
  </si>
  <si>
    <t>El 08 de febrero de 2022, se informa que la agencia Fitch Ratings, ha ratificado las siguientes calificaciones internacionales a Grupo ASSA, S. A.: Calificación de Largo Plazo IDR 'BBB-', Calificación de Corto Plazo IDR 'F3'. Sin embargo, la perspectiva de la calificación de largo plazo fue mejorada de Negativa a Estable.</t>
  </si>
  <si>
    <t>El día 17 de marzo de 2022, ASSA Compañía de Seguros, S.A. ("ASSA Costa Rica"), subsidiaria en Costa Rica de ASSA Compañía Tenedora, S.A. ("ASSA"), anunció que ha acordado adquirir la cartera de seguros, y otros activos y obligaciones relacionados que componen el negocio de la sucursal en Costa Rica de Triple – S Blue, Inc. I.I., concesionaria de BlueCross BlueShield ("Triple-S Costa Rica"). Dicha transacción está sujeta al cumplimiento de una serie de condiciones precedentes establecidas en el contrato.</t>
  </si>
  <si>
    <t>34</t>
  </si>
  <si>
    <t>34. Respuesta a la crisis COVID - 19</t>
  </si>
  <si>
    <t>Al 31 de diciembre de 2021, el impacto no ha sido significativo para el Grupo. Sin embargo, durante el período posterior a la fecha de los estados financieros consolidados, la administración continúa monitoreando y analizando los efectos que la situación está teniendo en sus operaciones y en las de sus clientes. Los principales impactos que podrían afectar los estados financieros consolidados del Grupo, según la información disponible, son descritos a continuación:</t>
  </si>
  <si>
    <t>Para el Grupo, el cuidado de nuestro equipo humano sigue siendo una prioridad, luego de transcurrido estos años de pandemia hemos cumplido con las medidas de bioseguridad en todas nuestras instalaciones, hemos promovido la vacunación y facilitado que todos puedan tener acceso a ella y con programas que impulsan el bienestar integral de cada uno de nuestros colaboradores.</t>
  </si>
  <si>
    <t>A continuación, se detallan las principales medidas tomadas por el Grupo en función de la protección y conservación del talento humano y su desempeño:</t>
  </si>
  <si>
    <t>- Cuidado de todos los colaboradores: Monitoreo y apoyo en temas como la salud mental y física, atención psicológica para el colaborador y su familia, salud financiera, acompañamiento a los líderes, medición del estado de ánimo colectivo y pulso de confianza de los colaboradores en la compañía, cumplimiento de todas las medidas de bioseguridad establecidas en todas nuestras operaciones y su monitoreo para tomar las acciones correctivas que se identifiquen. Al momento de la emisión de los estados financieros consolidados, el Grupo contaba con un promedio arriba del 94% de colaboradores, en todas sus operaciones vacunados.</t>
  </si>
  <si>
    <t>page-148</t>
  </si>
  <si>
    <t>- Campañas de reforzamiento y capacitación para los colaboradores sobre hábitos de prevención, uso de elementos de protección, información con médicos idóneos sobre las nuevas variantes y sus efectos y medidas preventivas personales y familiares, así como información sobre salud mental. - Comunicación: se mantiene la comunicación con todos los líderes de manera mensual para seguir informados del avance en las medidas necesarias en cada operación, según sus regulaciones locales, y poder así promover y facilitar a los colaboradores su ciclo completo de vacunación. De igual forma, en todas sus operaciones se realizan reuniones periódicas con todos sus colaboradores líderes, donde se presentan los resultados financieros y para reforzar la estrategia de los negocios.</t>
  </si>
  <si>
    <t>El Grupo continuó apoyando a las 43 fundaciones sin fines de lucro que se canalizan y con la participación del grupo de voluntarios "amigos azulados", en actividades específicas durante la pandemia a nivel regional, así como también actividades de reciclaje y ahorro energético. Como Grupo socialmente responsable continuamos con el apoyo a la educación a través de la Fundación ASSA y a nuestro programa insignia de apoyo a las escuelas en el programa Amigos Azulados.</t>
  </si>
  <si>
    <t># Ingresos (Primas suscritas de seguros y comisiones por servicios financieros)</t>
  </si>
  <si>
    <t>Al 31 de diciembre de 2021, el Grupo tuvo efecto positivo en las primas suscritas de seguros con un crecimiento del 1.5% en comparación con el año anterior, lo contrario en sus comisiones por servicios financieros, los cuales reflejan una disminución de 5.8% en comparación con el mismo período al año anterior, no obstante, la utilidad neta incremento en 5.8% y la perspectiva para el 2022 es mejor debido al retorno gradual de los movimientos económicos a nivel regional.</t>
  </si>
  <si>
    <t>El Grupo continúa experimentando crecimiento en la siniestralidad, principalmente generadas en seguros de auto, patrimoniales y de salud. En el caso de auto específicamente, dicho aumento está estrechamente relacionado al regreso en la movilidad vehicular. Por su parte en seguros de salud, el aumento en la siniestralidad, continúan siendo en gran parte afectada a los procedimientos y tratamientos debido a la pandemia por COVID-19. Adicionalmente, en el ramo de vida hubo un incremento en la siniestralidad en línea con las curvas de infectados, la morbilidad y mortalidad en cada uno de los países. Se espera que, en la medida que la población asegurada complete su esquema completo de vacunación, esto resultados regresarían a sus niveles más normales al tiempo pre pandemia.</t>
  </si>
  <si>
    <t>Bajo su segmento bancario, el Grupo monitorea de manera continua los cambios económicos de la región, que pudieran surgir por una reinfección producto de la pandemia COVID-19 con el fin de actualizar sus estrategias de negocios, políticas, controles y seguimiento de la cartera crediticia para mitigar cualquier riesgo de forma oportuna, principalmente por la capacidades de repago de los clientes que se han acogido a los alivios financieros propuestos por los Gobiernos y ofrecidos por las instituciones bancarias a todos sus clientes.</t>
  </si>
  <si>
    <t>page-149</t>
  </si>
  <si>
    <t>35</t>
  </si>
  <si>
    <t>35. Cambios en la presentación previamente reportados</t>
  </si>
  <si>
    <t>Durante el 2021 la administración tomó la decisión de presentar las pérdidas crediticias esperadas afectando los ingresos netos de las correspondientes operaciones de seguros y bancos. Para mantener la uniformidad de la presentación se realizaron las reclasificaciones al 2020.</t>
  </si>
  <si>
    <t>tbl-89.html</t>
  </si>
  <si>
    <t>[tbl-89.html](tbl-89.html)</t>
  </si>
  <si>
    <t>page-150</t>
  </si>
  <si>
    <t>36</t>
  </si>
  <si>
    <t>36. Corrección de errores no materiales</t>
  </si>
  <si>
    <t>Durante el año terminado el 31 de diciembre de 2021, se identificó que la presentación de ciertos rubros en el estado consolidado de otros resultados integrales por el año terminado al 31 de diciembre de 2020, requerían ser corregidos por lo que se han modificado de forma retrospectiva los estados financieros consolidados previamente reportados.</t>
  </si>
  <si>
    <t>tbl-90.html</t>
  </si>
  <si>
    <t>[tbl-90.html](tbl-90.html)</t>
  </si>
  <si>
    <t>page-151</t>
  </si>
  <si>
    <t># Anexo de Consolidación - Información sobre el Estado Consolidado de Situación Financiera</t>
  </si>
  <si>
    <t>Al 31 de diciembre de 2021</t>
  </si>
  <si>
    <t>(Expresado en dólares de los Estados Unidos de América)</t>
  </si>
  <si>
    <t>tbl-91.html</t>
  </si>
  <si>
    <t>[tbl-91.html](tbl-91.html)</t>
  </si>
  <si>
    <t>Véase el informe de los Auditores Independientes que se acompaña.</t>
  </si>
  <si>
    <t>2022</t>
  </si>
  <si>
    <t>INA_ASSA_2022_0.pdf</t>
  </si>
  <si>
    <t>page-85</t>
  </si>
  <si>
    <t>4</t>
  </si>
  <si>
    <t>4. Información por segmentos</t>
  </si>
  <si>
    <t>Segmentos</t>
  </si>
  <si>
    <t>El Grupo cuenta con las siguientes cuatro divisiones estratégicas, que corresponden a sus segmentos sobre los que debe informarse. Estas divisiones ofrecen productos y servicios bancarios, financieros, de seguros y reaseguros y son administradas por separado puesto que requieren distinta tecnología, mercados y estrategias de mercadeo.</t>
  </si>
  <si>
    <t>El siguiente resumen describe las operaciones de cada segmento sobre el que debe informarse.</t>
  </si>
  <si>
    <t>tbl-26.html</t>
  </si>
  <si>
    <t>[tbl-26.html](tbl-26.html)</t>
  </si>
  <si>
    <t>La Junta Directiva del Grupo revisa los informes de gestión interna de cada división trimestralmente. La utilidad por segmento es utilizada por la gerencia para evaluar los resultados y desempeños de algunos segmentos con otras entidades que operan en el mercado y realizar las proyecciones para desarrollar cada unidad de negocio de acuerdo con las exigencias y necesidades del mercado.</t>
  </si>
  <si>
    <t>Otras actividades incluyen alquileres de inmuebles y otros servicios. Ninguno de estos segmentos cumple con los umbrales cuantitativos para la determinación de segmentos sobre los que se debe informar en este reporte.</t>
  </si>
  <si>
    <t>Existen transacciones de depósitos, pasivos financieros y prestaciones de servicios entre segmentos. La fijación de precios entre segmentos es determinada sobre una base de condiciones de independencia mutua.</t>
  </si>
  <si>
    <t>page-86</t>
  </si>
  <si>
    <t>La información correspondiente a los resultados de cada segmento reportable se incluye a continuación:</t>
  </si>
  <si>
    <t>tbl-27.html</t>
  </si>
  <si>
    <t>[tbl-27.html](tbl-27.html)</t>
  </si>
  <si>
    <t>page-87</t>
  </si>
  <si>
    <t>El Grupo opera actualmente en ocho países o regiones:</t>
  </si>
  <si>
    <t>(a) Panamá (b) El Salvador (c) Nicaragua (d) Costa Rica (e) Colombia (f) Honduras (g) Guatemala (h) Islas del Caribe</t>
  </si>
  <si>
    <t>En la clasificación por segmento geográfico siguiente, los resultados netos se presentan basados en la ubicación geográfica del cliente.</t>
  </si>
  <si>
    <t>tbl-28.html</t>
  </si>
  <si>
    <t>[tbl-28.html](tbl-28.html)</t>
  </si>
  <si>
    <t>page-88</t>
  </si>
  <si>
    <t>(5) Saldos y transacciones con partes relacionadas</t>
  </si>
  <si>
    <t>El estado consolidado de situación financiera y el estado consolidado de resultados incluyen saldos y transacciones con parte relacionadas, los cuales se resumen así:</t>
  </si>
  <si>
    <t>- Compensación recibida por el personal clave de gerencia, directores, personal clave de la gerencia:</t>
  </si>
  <si>
    <t>Algunos miembros del personal clave de la gerencia del Grupo participan en programas de opción de compra de acciones y de concesión de acciones ("grants") del Grupo (véase Nota 23). Adicionalmente, algunos de los empleados de las subsidiarias de ASSA Compañía Tenedora, S. A., pueden participar en alguno de estos programas si cumplen con ciertos criterios de antigüedad de servicios, entre otros.</t>
  </si>
  <si>
    <t>6. Efectivo y equivalente de efectivo</t>
  </si>
  <si>
    <t>- Encaje legal depositado en el Banco Central de Nicaragua por US$52,506,484 (2021: US$50,335,044) basado en el porcentaje de los depósitos captados de terceros. - Al 31 de diciembre de 2022, se mantienen depósitos en garantía de operaciones por US$958,926 (2021: no se mantienen depósitos en garantía de operaciones).</t>
  </si>
  <si>
    <t>[tbl-32.html](tbl-32.html) [tbl-33.html](tbl-33.html)</t>
  </si>
  <si>
    <t>8</t>
  </si>
  <si>
    <t>8. Préstamos por cobrar, neto</t>
  </si>
  <si>
    <t>Al 31 de diciembre de 2022, las tasas de interés anual de los préstamos oscilaban entre 5% y 33% (2021: 5% y 30%) y para tarjetas de crédito entre 15% y 45% (2021: 13% y 45%).</t>
  </si>
  <si>
    <t>Al 31 de diciembre de 2022, la subsidiaria La Hipotecaria (Holding), Inc. y Subsidiarias, mantenía préstamos hipotecarios para viviendas por US$234,642,125 (2021: US$200,910,697) en garantía de obligaciones contraídas con instituciones financieras y a la fecha no mantienen créditos hipotecarios en garantía de notas comerciales negociables (véase Nota 14).</t>
  </si>
  <si>
    <t>Al 31 de diciembre de 2022, la subsidiaria Grupo BDF, S. A. mantenía préstamos por cobrar por US$46,971,482 (2021: US$67,097,026) en garantía de obligaciones contraídas con instituciones financieras (véase Nota 14).</t>
  </si>
  <si>
    <t>Al 31 de diciembre de 2022, estas reservas regulatorias acumuladas ascienden a US$17,551,709 (2021: US$17,999,310), las cuales se presentan en el estado consolidado de cambios en el patrimonio como una apropiación de las utilidades no distribuidas disponibles.</t>
  </si>
  <si>
    <t>9</t>
  </si>
  <si>
    <t>9. Inversiones</t>
  </si>
  <si>
    <t>[tbl-38.html](tbl-38.html)</t>
  </si>
  <si>
    <t>Durante el año el Grupo realizó ventas de su portafolio de inversiones a valor razonable con cambios en resultados por US$28,881,824 (2021: US$13,464,014). Estas ventas generaron una ganancia neta por US$642,278 (2021: US$794,672) la cual se presenta en el estado consolidado de resultados en el rubro de ingresos financieros, neto.</t>
  </si>
  <si>
    <t>El Grupo realizó ventas de su portafolio de inversiones a valor razonable con cambios en otras utilidades integrales por un total de US$30,555,278 (2021: US$15,162,155). Estas ventas generaron una pérdida neta por US$338,629 (2021: US$1,229,801) la cual se presenta en el estado consolidado de resultados en el rubro de ingresos financieros, neto. Estas transacciones incluyen acciones en corporaciones que fueron vendidas durante el año 2022, cuyo valor en libros a esa fecha era de US$6,082,903 (2021: US$2,010,000) y reconoció una ganancia por US$706,981 (2021: US$9,679) no reciclables la cual se presenta en el estado consolidado de otros resultados integrales.</t>
  </si>
  <si>
    <t>El Grupo no realizó ventas de su portafolio de inversiones a costo amortizado (2021: igual). Sin embargo, se generaron ganancia neta por cambio en tasas variables por US$163,119 (2021: una pérdida neta por ajustes por US$1,010) la cual se presenta en el estado consolidado de resultados en el rubro de ingresos financieros, neto.</t>
  </si>
  <si>
    <t>El movimiento de la provisión para pérdidas crediticias esperadas de instrumentos de deuda a costo amortizado se detalla a continuación:</t>
  </si>
  <si>
    <t>tbl-39.html</t>
  </si>
  <si>
    <t>[tbl-39.html](tbl-39.html)</t>
  </si>
  <si>
    <t>El movimiento de la provisión para deterioro respecto de los instrumentos de deuda a valor razonable con cambios en otro resultado integral durante el período fue el siguiente:</t>
  </si>
  <si>
    <t>(10) Inmuebles, mobiliario, equipo y mejoras, neto</t>
  </si>
  <si>
    <t>Al 31 de diciembre de 2022, el Grupo mantiene propiedades de inversión, netas por US$13,842,347 (2021: US$14,356,814) y que se encuentran registrados en el rubro de otros activos en el estado consolidado de situación financiera. Al 31 de diciembre de 2022, no se dieron adiciones de propiedades de inversión (2021: US$8,054). Al 31 de diciembre de 2022, el gasto de amortización de las propiedades de inversión fue de US$236,254 (2021: US$241,137).</t>
  </si>
  <si>
    <t>(12) Activos intangibles y plusvalía La conciliación del importe en libro de los activos intangibles y la plusvalía del Grupo se presenta a continuación:</t>
  </si>
  <si>
    <t>Prueba del deterioro del valor – Assicurazioni Generali S.p.A. y La Hipotecaria Holding Inc.</t>
  </si>
  <si>
    <t>El importe recuperable de esta UGE se basó en su valor en uso, considerando la estimación de flujos futuros generados por la UGE, comparado con su importe en libros.</t>
  </si>
  <si>
    <t>Al 31 de diciembre 2022, la administración del Grupo no ha identificado indicios de deterioro de la plusvalía.</t>
  </si>
  <si>
    <t>Adquisición de Subsidiaria</t>
  </si>
  <si>
    <t>Durante el 2022, el Grupo adquirió la cartera de seguros, otros activos y obligaciones relacionados que componían el negocio de la sucursal en Costa Rica de Triple – S Blue, Inc. I.I., concesionaria de BlueCross BlueShield ("Triple-S Costa Rica"). Esta adquisición fue concretada el 6 de mayo de 2022 y correspondió a la adquisición de activos y asunción de pasivos relacionados al negocio de seguros.</t>
  </si>
  <si>
    <t>A la fecha de la transacción la contraprestación transferida correspondió a la suma de $4,903,870 millones.</t>
  </si>
  <si>
    <t>Presunciones y cambios en las presunciones</t>
  </si>
  <si>
    <t>Para los demás ramos, se realiza una provisión de los riesgos en curso según el método de pro-rata diaria. Para el ramo de salud, se utilizan estadísticas de los reclamos y se aplican técnicas actuariales del factor de complemento (método de triangulación) para determinar las provisiones. Para los ramos de accidentes personales y colectivo de vida, se utiliza la metodología de provisión por caso.</t>
  </si>
  <si>
    <t>## Cambios en presunciones</t>
  </si>
  <si>
    <t>## Sensibilidad al riesgo de seguros</t>
  </si>
  <si>
    <t>- Un programa por el monto total autorizado de hasta US$10,000,000 se encuentran respaldado por una fianza solidaria de Grupo ASSA, S. A. y crédito general de La Hipotecaria (Holding), Inc. Actualmente este programa no tiene valores en circulación. - Cinco programas por el monto total autorizado de hasta US$190,000,000 respaldado con crédito general de La Hipotecaria (Holding), Inc.</t>
  </si>
  <si>
    <t>Las notas comerciales negociables son títulos emitidos en Panamá y autorizados por la Superintendencia del Mercado de Valores. Al 31 de diciembre de 2022, existen cuatro programas autorizados de los cuales el primero por US$40,000,000 (2021: igual) se encuentra respaldado con el crédito general de Banco La Hipotecaria, S. A., un fideicomiso de garantía de créditos hipotecarios. Actualmente, el Banco La Hipotecaria no mantiene notas en circulación relacionadas a este programa.</t>
  </si>
  <si>
    <t>Al 31 de diciembre de 2022, la subsidiaria de Banco La Hipotecaria en Colombia ha emitido bonos ordinarios en pesos colombianos a mediano plazo por un valor equivalente a US$8,242,113 (2021: US$13,009,668) a una tasa de 6.29% (2021: 6.29%) a un plazo de 5 años, con vencimiento 23 de junio de 2025 (2021: vencimiento el 25 de junio de 2025).</t>
  </si>
  <si>
    <t>La Junta Directiva de la subsidiaria, Banco La Hipotecaria, mediante acta de junta directiva del 24 de mayo de 2018, autorizó la emisión de un programa de Covered Bond por US$200,000,000. Al 31 de diciembre de 2022, se han emitido Covered Bond a mediano plazo netos de comisiones por US$21,508,709 (2021: US$51,347,808), a una tasa de 5.50% y 4.125% respectivamente con un plazo de 3.5 y 5 años. No ha habido incumplimiento en el pago de capitales e intereses en las obligaciones y financiamientos recibidos.</t>
  </si>
  <si>
    <t>El Grupo tiene autorizado por la Superintendencia de Bancos y Otras Instituciones Financieras de la República de Nicaragua una emisión de valores estandarizados de renta fija de US$50,000,000 desmaterializados y en denominaciones de US$1,000 con intereses pagaderos trimestralmente, los cuales se encuentran respaldados por el crédito general de la subsidiaria Banco de Finanzas, S. A. (el emisor). Al 31 de diciembre de 2022, el saldo colocado es de US$7,877,000 de un monto ofertado de US$8,450,000, con vencimientos entre 2023 y 2024, a una tasa entre el 6.7% y 7.00% (2021: saldo colocado US$8,487,000, vencimientos entre 2021 y 2022, tasa entre 6.45% y 7.00%).</t>
  </si>
  <si>
    <t>Al 31 de diciembre de 2022, las obligaciones mantenían las siguientes garantías:</t>
  </si>
  <si>
    <t>El Grupo no ha tenido incumplimientos de principal, intereses con relación a sus financiamientos recibidos.</t>
  </si>
  <si>
    <t>Al 31 de diciembre de 2022, la subsidiaria Banco de Finanzas, S. A., mantenía las siguientes obligaciones subordinadas:</t>
  </si>
  <si>
    <t>Al 31 de diciembre de 2022, el Grupo ha emitido 10,321,850 acciones (2021: 10,303,155 acciones) de las cuales 146,602 acciones (2021: 131,251) se mantienen en tesorería quedando un total de acciones en circulación de 10,175,248 (2021: 10,171,904).</t>
  </si>
  <si>
    <t>Al 28 de junio de 2008, se autorizaron un total de 10 emisiones públicas de acciones preferidas no acumulativas a la subsidiaria La Hipotecaria (Holding), Inc., registradas en la Superintendencia del Mercado de Valores de Panamá y listadas en la Bolsa Latinoamericana de Valores. El total de las acciones preferidas es de 210,000 acciones por un total de US$21,000,000 distribuidos en acciones por un valor nominal de cien dólares (US$100) cada una. Estas acciones presentan una tasa de interés entre 6.75% y 7% anual no acumulativas y distribuyen dividendos trimestralmente, si la Junta Directiva lo declara. El costo de emisión de las acciones preferidas ascendió a US$247,291. Durante el período terminado el 31 de diciembre de 2022 no se realizaron emisiones de acciones preferidas.</t>
  </si>
  <si>
    <t>Al 31 de diciembre de 2022, La Hipotecaria (Holding), Inc., no realizó redención (2021: igual) de acciones preferidas de un programa que se encuentra en circulación desde el año 2018. Estas acciones preferidas pueden ser pagadas a opción del emisor con un aviso previo de por lo menos 30 días, el cual se ejecutó el 15 de marzo de 2020.</t>
  </si>
  <si>
    <t>El 28 de enero de 2022 Grupo ASSA, S. A. y otra sociedad han comprado al International Finance Corporation (IFC) la totalidad de las acciones comunes que ésta poseía en la sociedad La Hipotecaria (Holding), Inc., producto de esta transacción, se refleja una disminución neta por US$4,298,212 como cambio en la participación no controladora.</t>
  </si>
  <si>
    <t>(20) Primas netas ganadas Las primas netas ganadas se detallan de la siguiente manera:</t>
  </si>
  <si>
    <t>[tbl-68.html](tbl-68.html)</t>
  </si>
  <si>
    <t>tbl-69.html</t>
  </si>
  <si>
    <t>[tbl-69.html](tbl-69.html)</t>
  </si>
  <si>
    <t>Al 31 de diciembre de 2022, el Grupo manejaba un capital humano de 2,355 (2021: 2,224) colaboradores permanentes.</t>
  </si>
  <si>
    <t>En la Asamblea Ordinaria de Accionistas de Grupo ASSA, S. A., celebrada el 28 de abril de 2010, se autorizó a la Junta Directiva del Grupo a emitir y vender hasta 200,000 acciones comunes sin valor nominal, al precio, forma de pago y otras condiciones que estime conveniente al personal clave de la gerencia principales de Grupo ASSA, S. A. y sus subsidiarias. El 19 de mayo de 2010, la Junta Directiva aprobó un plan de otorgamiento de opciones al personal clave de la gerencia el cual concluyó en mayo de 2014. Al cierre del plan se celebraron contratos de adjudicación con colaboradores por 187,866 acciones (2021: 188,268). El plan concede al personal clave de la gerencia el derecho de ejercer cada adjudicación en cuatro partidas iguales a partir del primer aniversario de cada asignación, a un precio específico, el cual es establecido anualmente por la Junta Directiva de Grupo ASSA, S. A. Al 31 de diciembre de 2022, el personal clave de la gerencia de las subsidiarias ASSA Compañía de Seguros, S. A. han ejercido 157,542 (2021: 149,889) opciones adjudicadas de un total de 169,811 opciones disponibles para ejercer, netas de renuncias o despidos (2021: 169,811). Estos colaboradores tienen un período de hasta 10 años a partir de la fecha del inicio del plan para ejercer sus opciones.</t>
  </si>
  <si>
    <t>- El plan de opciones, le concede al personal clave de la gerencia el derecho de ejercer cada adjudicación a partir del primer aniversario de cada atribución, en cinco partidas de 15% los primeros tres años, 25% el cuarto año y 30% el quinto año ejercibles hasta por un período de diez años a partir de la fecha de cada adjudicación. Al 31 de diciembre de 2022 se han celebrado contratos de atribución netas con colaboradores bajo este programa por 119,192 (2021: 121,147) opciones netas de renuncias o despidos y al personal clave de la gerencia han ejercido 27,614 (2021: 22,615) opciones disponibles para ejercer.</t>
  </si>
  <si>
    <t>- El plan de concesión de acciones otorga al personal clave de la gerencia el beneficio de recibir hasta una cantidad fija de acciones comunes del capital social de Grupo ASSA, S. A. atribuidas anualmente por un período de hasta cinco años. Cada atribución será adjudicada a partir de su primer aniversario, en cinco partidas de 15% los primeros tres años, 25% el cuarto año y 30% el quinto año. Bajo esta modalidad, el Grupo otorga la adjudicación sin requerir un aporte por parte del participante. Al 31 de diciembre de 2022, se han celebrado contratos de atribución netas de concesiones por 32,309 (2021: 32,670) acciones netas de renuncias o despidos, de las cuales ya fueron adjudicadas 25,755 acciones (2021: 20,780).</t>
  </si>
  <si>
    <t>El 2 de junio de 2021, la Asamblea General de Accionistas de Grupo ASSA, S. A., con previa aprobación de la Junta Directiva de Grupo ASSA, S. A. autorizó la emisión de hasta 150,000 acciones comunes sin valor nominal, según lo disponga la Junta Directiva de ASSA Compañía Tenedora, S. A., a través de su Comité de Compensación quienes determinarán las condiciones convenientes para el personal de alto nivel de jerarquía elegibles. El nuevo plan tendrá vigencia de cinco años a partir de mayo de 2021, cuya primera atribución se entregó en enero de 2022, con efectividad retroactiva a dicho período y consta de dos modalidades:</t>
  </si>
  <si>
    <t>Al 31 de diciembre de 2022, el Grupo reportó un movimiento en las atribuciones otorgadas bajo el plan de opciones por US$830,631 (2021: US$249,073).</t>
  </si>
  <si>
    <t>tbl-70.html</t>
  </si>
  <si>
    <t>[tbl-70.html](tbl-70.html) [tbl-71.html](tbl-71.html) [tbl-72.html](tbl-72.html)</t>
  </si>
  <si>
    <t># Notas a los estados financieros consolidados</t>
  </si>
  <si>
    <t>Las subsidiarias del Grupo se rigen bajo las legislaciones fiscales establecidas en sus países de constitución. Sus tasas de impuesto sobre la renta aplicables a la renta gravable son entre 12% y 34% y existen subsidiarias en otras jurisdicciones donde por la naturaleza de la operación no se genera impuestos.</t>
  </si>
  <si>
    <t>Al 31 de diciembre de 2022, el monto del gasto de impuesto sobre la renta se detalla a continuación:</t>
  </si>
  <si>
    <t>Al 31 de diciembre de 2022, el valor de los fideicomisos bajo administración ascendía a US$292,686,120 (2021: US$342,248,852).</t>
  </si>
  <si>
    <t>El cálculo de la utilidad por acción común está basado en la utilidad neta correspondiente a los accionistas comunes mayoritarios por US$58,300,199 (2021: US$76,138,086), dividida entre el número promedio ponderado de acciones en circulación durante el año por 10,170,531 acciones (2021: 10,161,973).</t>
  </si>
  <si>
    <t>28</t>
  </si>
  <si>
    <t>28. Compromisos y contingencias</t>
  </si>
  <si>
    <t>Contingencias</t>
  </si>
  <si>
    <t>Mediante cartas de promesa de pago, el Grupo ha adquirido el compromiso de realizar, por cuenta de clientes, ciertos pagos a terceros una vez se cumplan ciertas condiciones pactadas previamente. Las cartas de promesa de pago suscritas al 31 de diciembre de 2022 tienen vigencia de seis (6) meses en promedio.</t>
  </si>
  <si>
    <t>Dentro del curso ordinario de los negocios de seguros, el Grupo está involucrado en varias reclamaciones legales, para los cuales, al 31 de diciembre de 2022, mantiene una provisión de US$17,820,249 (2021: US$14,936,415).</t>
  </si>
  <si>
    <t>Mediciones de valor razonable – Nivel 3</t>
  </si>
  <si>
    <t>La siguiente tabla presenta la reconciliación de los balances iniciales y finales para los instrumentos financieros registrados a valor razonable categorizados como Nivel 3 según la jerarquía de niveles de valor razonable:</t>
  </si>
  <si>
    <t>Cambio en la Medición del Valor Razonable en Clasificación Nivel 3</t>
  </si>
  <si>
    <t>El Grupo reconoce transferencia entre niveles medidos a valore razonable al periodo terminado cuando ocurre un cambio.</t>
  </si>
  <si>
    <t>Adicionalmente, las subsidiarias bancarias, de seguros y reaseguros del Grupo están sujetas a las regulaciones de la Superintendencia de Bancos y la Superintendencia de Seguros y Reaseguros de Panamá; Superintendencia de Bancos y Otras Entidades Financieras de Nicaragua; Superintendencia General de Seguros de Costa Rica; Superintendencia del Sistema Financiero de la República de El Salvador; Superintendencia de Bancos de Guatemala; Comisión Nacional de Bancos y Seguros de Honduras; Bermuda Monetary Authority (BMA) de Bermuda, Cayman Island Monetary Authority (CIMA) de Islas Cayman, Superintendencia Financiera de Colombia, en lo concerniente a los riesgos de liquidez, crédito y niveles de capitalización, entre otros.</t>
  </si>
  <si>
    <t>Cuentas por cobrar de seguros y otros:</t>
  </si>
  <si>
    <t>[tbl-89.html](tbl-89.html) [tbl-90.html](tbl-90.html)</t>
  </si>
  <si>
    <t>## Análisis de la Calidad Crediticia</t>
  </si>
  <si>
    <t>En las siguientes tablas se presentará información sobre la calidad crediticia por componente, La Hipotecaria Holding, Inc. y Grupo BDF, S.A. de los activos financieros medidos a CA en préstamos, sin considerar las garantías y otras mejoras para reducir el riesgo de crédito. A menos que se indique específicamente, para los activos financieros, los montos en la tabla representan los valores en libros brutos. Para las cartas promesas de pago, los montos en la tabla representan los importes comprometidos.</t>
  </si>
  <si>
    <t>Las definiciones de los términos "Etapa 1", "Etapa 2" y "Etapa 3" se presentan en cada exposición a una calificación de riesgo de crédito en su reconocimiento inicial, en función de la información disponible sobre el deudor. Las exposiciones están sujetas a un monitoreo continuo, lo que puede ocasionar que una exposición se mueva a una calificación de riesgo de crédito diferente.</t>
  </si>
  <si>
    <t>Consecuentemente, cada Compañía determinará, periódicamente, los cambios en el riesgo de crédito de los activos financieros a lo largo de su vida remanente, respecto al evaluado en la fecha de su reconocimiento inicial.</t>
  </si>
  <si>
    <t>En función de esta evaluación, la Compañía asigna a cada activo financiero en una de las siguientes tres “etapas” (“buckets”) de deterioro de riesgo crediticio:</t>
  </si>
  <si>
    <t>- Etapa 1: Instrumentos con bajo riesgo de crédito; - Etapa 2: Instrumentos con deterioro significativo de riesgo crediticio; - Etapa 3: Instrumentos deteriorados (alto riesgo crediticio).</t>
  </si>
  <si>
    <t>tbl-92.html</t>
  </si>
  <si>
    <t>[tbl-92.html](tbl-92.html)</t>
  </si>
  <si>
    <t>Préstamos hipotecarios residenciales de La Hipotecaria Holding, Inc. y Grupo BDF, S.A.</t>
  </si>
  <si>
    <t>La siguiente tabla presenta el rango de relación de préstamos de la cartera hipotecaria con relación al valor de las garantías (“Loan To Value” – “LTV”). El LTV es calculado como un porcentaje del saldo del préstamo con relación al valor de la garantía al momento del desembolso.</t>
  </si>
  <si>
    <t>tbl-93.html</t>
  </si>
  <si>
    <t>[tbl-93.html](tbl-93.html)</t>
  </si>
  <si>
    <t>(b) Riesgo de liquidez y financiamiento</t>
  </si>
  <si>
    <t>Administración del riesgo de liquidez</t>
  </si>
  <si>
    <t>El cuadro a continuación muestra los flujos de efectivo no descontados de los activos y pasivos financieros del Grupo y los compromisos de préstamos no reconocidos, por agrupaciones de vencimiento contractual:</t>
  </si>
  <si>
    <t>tbl-94.html</t>
  </si>
  <si>
    <t>[tbl-94.html](tbl-94.html)</t>
  </si>
  <si>
    <t>Administración de Riesgo de Mercado</t>
  </si>
  <si>
    <t>La tabla que aparece a continuación resume la exposición del Grupo a los riesgos de la tasa de interés. Los activos y pasivos del Grupo están incluidos en la tabla a su saldo bruto en libros, clasificados por categorías por el que ocurra primero entre la nueva fijación de tasa contractual o las fechas de vencimiento:</t>
  </si>
  <si>
    <t>tbl-95.html</t>
  </si>
  <si>
    <t>[tbl-95.html](tbl-95.html)</t>
  </si>
  <si>
    <t>Análisis de sensibilidad La Hipotecaria Holding, Inc.</t>
  </si>
  <si>
    <t>El análisis está basado en el segmento de negocio de La Hipotecaria Holding, S.A., base que efectúa la administración mensualmente consiste en determinar el impacto por aumentos o disminuciones de 25 y 50 puntos básicos (pb) en las tasas de interés. A continuación, se resume el impacto en el ingreso neto de interés y el patrimonio neto:</t>
  </si>
  <si>
    <t>tbl-96.html</t>
  </si>
  <si>
    <t>[tbl-96.html](tbl-96.html)</t>
  </si>
  <si>
    <t>Análisis de sensibilidad Grupo BDF, S.A.</t>
  </si>
  <si>
    <t>El análisis está basado en el segmento de negocio de Grupo BDF, S.A., base que efectúa la administración mensualmente consiste en determinar el impacto por aumentos o disminuciones de 25 y 50 puntos básicos (pb) en las tasas de interés. A continuación, se resume el impacto en el ingreso neto de interés y el patrimonio neto:</t>
  </si>
  <si>
    <t>tbl-97.html</t>
  </si>
  <si>
    <t>[tbl-97.html](tbl-97.html)</t>
  </si>
  <si>
    <t>A continuación, se presentan las emisiones de deuda y obligaciones al 31 de diciembre de 2022 con exposición a la tasa LIBOR:</t>
  </si>
  <si>
    <t>tbl-98.html</t>
  </si>
  <si>
    <t>[tbl-98.html](tbl-98.html)</t>
  </si>
  <si>
    <t>La política de la administración es de mantener una estructura de capital sólida, la cual pueda sostener el futuro crecimiento del negocio. El Grupo reconoce la necesidad de mantener un balance entre los retornos a los accionistas y la adecuación de capital requerida por los entes reguladores. El capital en acciones comunes emitidas al 31 de diciembre de 2022 es de US$64,317,683 (2021: US$64,323,182).</t>
  </si>
  <si>
    <t>(31) Estimaciones contables críticas y juicios en la aplicación de políticas contables</t>
  </si>
  <si>
    <t>(a) Pérdidas por deterioro sobre primas y otras cuentas por cobrar</t>
  </si>
  <si>
    <t>(b) Pérdidas por deterioro sobre préstamos y anticipos</t>
  </si>
  <si>
    <t>(c) Deterioro en inversiones en valores</t>
  </si>
  <si>
    <t>(f) Estrategia de reaseguro</t>
  </si>
  <si>
    <t>(g) Estrategia de suscripción</t>
  </si>
  <si>
    <t>tbl-99.html</t>
  </si>
  <si>
    <t>[tbl-99.html](tbl-99.html)</t>
  </si>
  <si>
    <t>Al 31 de diciembre de 2022, la máxima exposición a pérdidas del Grupo en las entidades estructuradas no consolidadas, corresponde al valor en libros de los activos que mantiene en estas por US$70,282,385 (2021: US$77,304,887). El Grupo no ha otorgado apoyo financiero a las entidades estructuradas no consolidadas.</t>
  </si>
  <si>
    <t>(32) Principales leyes y regulaciones aplicables</t>
  </si>
  <si>
    <t>El 20 de julio 2022 la Superintendencia de Seguros y Reaseguros de Panamá, mediante Circular No. SSRP-DSES-025-2022, comunica formalmente que el plazo de entrada en vigor de la NIIF 17 de conformidad con el IASB, es el 1 de enero de 2023, sin embargo, se ha acordado trasladar la fecha de entrada en vigor para el 1 de enero de 2024.</t>
  </si>
  <si>
    <t>Al 31 de diciembre de 2022, la subsidiaria La Hipotecaria (Holding) Inc. registró neto de provisión la suma de US$12,334,732 (2021: US$14,256,766), como ingresos de intereses preferenciales sobre la cartera de préstamos hipotecarios residenciales.</t>
  </si>
  <si>
    <t>Al 31 de diciembre de 2022, el crédito fiscal por realizar se incluye en las cuentas por cobrar del estado consolidado de situación financiera y el mismo asciende a US$30,035,523 (2021: US$24,077,858). Ver Nota 7.</t>
  </si>
  <si>
    <t>Al 31 de diciembre de 2022, la subsidiaria realizó ventas de créditos fiscales US$6,501,720 (2021:US$9,616,762) sin generar ganancias (2021: no se generó ganancias).</t>
  </si>
  <si>
    <t>A fin de dar cumplimiento al artículo 121 del Decreto 67 del 1° de septiembre de 2011, se publica en Gaceta Oficial No. 26979 -A del 23 de febrero de 2012, el Texto Único ordenado por la Asamblea Nacional, que comprende el Decreto Ley 1 de 1999 y sus leyes reformatorias, y el Título II de la Ley 67 de 2011 Sobre el mercado de valores en la República de Panamá y la Superintendencia del Mercado de Valores.</t>
  </si>
  <si>
    <t>(e) Ley de Protección al Consumidor La protección los derechos de los consumidores a fin de procurar el equilibrio, certeza y seguridad jurídica en sus relaciones con los proveedores, en este caso proveedores de seguros, está regulada en El Salvador por la Ley de Protección al Consumidor, según Decreto Legislativo N° 776 del 31 de agosto de 2005 y reformado por el Decreto N° 1017 del 30 de marzo del 2006, Publicado en el D.O. N° 88, Tomo 371 del 16 de mayo del 2006.</t>
  </si>
  <si>
    <t>(f) Reglamento de la Ley de Protección al Consumidor Este Reglamento tiene por objeto la ejecución y desarrollo de las disposiciones contenidas en la Ley de Protección al Consumidor de acuerdo al Decreto Ejecutivo N° 52 del 12 de mayo de 2006.</t>
  </si>
  <si>
    <t>(g) Precio de transferencia Decreto No. 233 del 29 de diciembre de 2009, de las reformas al Código Tributario, Conforme al Artículo 124-A, establece que los contribuyentes que celebren operaciones con partes relacionados constituidos o ubicados en países, estados o territorios con regímenes fiscales preferentes, de baja o nula tributación o paraísos fiscales durante un ejercicio fiscal, y tales operaciones ya sea en forma individual o conjunta sean iguales o superiores a (US$571,429), deberán presentar un Informe de las operaciones que ejecute, a través de los formularios que proporcione la Administración Tributaria con los requisitos y especificaciones técnicas que ésta disponga para tal efecto. Dentro de los tres primeros meses siguientes de finalizado el ejercicio fiscal correspondiente.</t>
  </si>
  <si>
    <t>(a) Código de Comercio Las actividades de los bancos, aseguradoras, reaseguradoras y demás actividades análogas, se rigen en cuanto a su forma, organización y funcionamiento por lo dispuesto en el Decreto No. 2-70 del Congreso de la República de Guatemala, en lo que no contravenga sus leyes y disposiciones especiales.</t>
  </si>
  <si>
    <t>(b) Operaciones y Prácticas Contables de Seguro Las operaciones de seguros y reaseguros en Guatemala están reguladas el Decreto Número 25-2010 del Congreso de la República de Guatemala, que corresponde a la Ley de la Actividad Aseguradora.</t>
  </si>
  <si>
    <t>El Consejo Nacional de Supervisión del Sistema Financiero (CONASSIF), mediante sesión 1682-2021, celebrada el 23 de agosto del 2021 y comunicado el 25 de agosto del 2021 en nota CNS-1682/07, ha indicado que la entrada en vigor de la implementación de la NIIF 17 en el mercado de seguros costarricense será el 1 de enero de 2024.</t>
  </si>
  <si>
    <t>Según circular N°SSRP-DSES-025-2022 informo que en Panamá la implementación de la NIIF17 entrará en vigor a partir del 1 de enero de 2024.</t>
  </si>
  <si>
    <t>(a) Leyes para Empresas Comerciales Las operaciones de las empresas comerciales en Colombia están reguladas por la Superintendencia de Sociedades de acuerdo a la legislación establecida en el Decreto Ley No.222 de 20 de diciembre de 1995.</t>
  </si>
  <si>
    <t>(b) Impuesto al Patrimonio Según Decreto 4825 de 29 de diciembre de 2010, emitido por el Ministerio de Hacienda y Crédito Público, se crea el impuesto al patrimonio aplicable a las personas jurídicas, naturales y sociedades de hecho. Dicho impuesto se genera por la posesión de riqueza al 1 de enero del año 2011, cuyo valor sea igual o superior a mil millones de pesos e inferior a tres mil millones de pesos. La tarifa del impuesto va de 1% a 1.4% y se adiciona una sobretasa del 25% del resultado del impuesto al patrimonio. Este impuesto al patrimonio se presenta en el estado consolidado de utilidades integrales en el rubro de impuestos.</t>
  </si>
  <si>
    <t>(c) Impuesto de Renta y complementario El 28 de diciembre de 2018, el Congreso de la República de Colombia expidió la Ley 1943 (Ley de Financiamiento), mediante la cual se introdujeron nuevas reglas en material tributaria, cuyos aspectos más relevantes se presentan a continuación:</t>
  </si>
  <si>
    <t>- Reducción gradual en la tarifa del impuesto sobre la renta y complementarios corporativa así: año gravable 2019, tarifa del 33%; año gravable 2020, tarifa del 32%; año gravable 2021, tarifa del 31%; y a partir del año gravable 2022, tarifa del 30%. - Para las entidades financieras se crea una sobretasa del 4% para el año gravable 2019 y del 3% para los años gravables 2020 y 2021, cuando la renta líquida gravable supere 120.000 UVT. - Reducción gradual y finalmente eliminación de la renta presunta en los siguientes términos: año gravable 2018, tarifa del 3,5%; año gravable 2019, tarifa del 1,5%; año gravable 2020, tarifa del 1,5%; y a partir del año gravable 2020, tarifa del 0%. - Regla general que determina que será deducible el 100% de los impuestos, tasas y contribuciones efectivamente pagado en el año gravable, que guarden relación de causalidad con la generación de renta (salvo el impuesto de renta). Como reglas especiales se señala que será deducible el 50% del gravamen a los movimientos financieros (GMF), independientemente de que tenga o no relación de causalidad con la actividad generadora de renta. - El 50% del impuesto de industria y comercio, podrá ser tomado como descuento tributario del impuesto sobre la renta en el año gravable en que sea efectivamente pagado y en la medida que tenga relación de causalidad con su actividad económica. A partir del año 2022 podrá ser descontado al 100%.</t>
  </si>
  <si>
    <t>- Para los períodos gravables 2019 y 2020, se crea el beneficio de auditoría para los contribuyentes que incrementen su impuesto neto de renta del año gravable en relación con el impuesto neto de renta del año inmediatamente anterior por lo menos en un 30% o 20%, con lo cual la declaración de renta quedará en firme dentro los 6 o 12 meses siguientes a la fecha de su presentación, respectivamente. - A partir del año 2017 las pérdidas fiscales podrán ser compensadas con rentas líquidas ordinarias que obtuvieren en los 12 períodos gravables siguientes. - Los excesos de renta presuntiva pueden ser compensados en los 5 períodos gravables siguientes.</t>
  </si>
  <si>
    <t>(d) Convergencia a Normas Internacionales de Información Financiera De acuerdo con la Ley 1314 de 2009, los Decretos Reglamentarios 2706, 2784 modificados por los Decretos 3019 y 3024 y la expedición del Decreto 3022, las compañías están obligadas a iniciar el proceso de convergencia de las Normas de Contabilidad de Información Financiera aplicadas en Colombia a las Normas Internacionales de Información Financiera.</t>
  </si>
  <si>
    <t>Para este propósito, el Consejo Técnico de Contaduría Pública de Colombia, a través del direccionamiento estratégico clasificó las compañías por grupos, de acuerdo al análisis de la administración con corte al 31 de diciembre del 2013, las subsidiarias de la Compañía en Colombia pertenecen al Grupo 2, catalogado como PYMES, cuyo período de transición comienza el 1 de enero del 2015 y la emisión de los estados financieros bajo las Normas Internacionales de Información Financiera en el 2016.</t>
  </si>
  <si>
    <t>(a) Ley de Reaseguros Las operaciones de reaseguros en las Islas de Turks &amp;amp; Caicos están reguladas por la Superintendencia de Seguros de acuerdo a la legislación establecida por la Ley de Seguros del 31 de octubre de 1997.</t>
  </si>
  <si>
    <t>(a) Ley de Reaseguros Las operaciones de reaseguros en las Islas Vírgenes Británicas están reguladas por la BVI Financial Services Commission de acuerdo a la legislación establecida por la Ley de Seguros de 1994, Capítulo 243.</t>
  </si>
  <si>
    <t>page-152</t>
  </si>
  <si>
    <t>(33) Hechos posteriores</t>
  </si>
  <si>
    <t>La Junta Directiva declaró el 26 de enero de 2023 un dividendo de US$0.75 por acción, el cual será pagado el 02 de marzo de 2023, a los accionistas registrados al 17 de febrero de 2023; igualmente se aprueba la convocatoria a la Junta General de Accionistas para el miércoles 26 de abril de 2023 donde participarán los accionistas registrados al 31 de marzo 2023.</t>
  </si>
  <si>
    <t>El 31 de enero 2023, se informa que la agencia Fitch Ratings, ha ratificado las siguientes calificaciones internacionales a Grupo ASSA, S.A.: Calificación de Largo Plazo IDR 'BBB-', Calificación de Corto Plazo IDR 'F3'. La perspectiva de la calificación de largo plazo se mantiene Estable.</t>
  </si>
  <si>
    <t>En adición, indican que el puntaje del Entorno Operativo de Grupo ASSA mejora a Estable de Negativo, debido al mayor porcentaje de operaciones en jurisdicciones con entorno operativos estables</t>
  </si>
  <si>
    <t>(34) Respuesta a la crisis COVID - 19</t>
  </si>
  <si>
    <t>Al 31 de diciembre de 2022, la administración ha capitalizado favorablemente la experiencia vivida en estos últimos años, la cual le ha permitido consolidar sus conocimientos en cuanto a los riesgos financieros, por los efectos que esta situación alcanzó en sus operaciones y en las de sus clientes.</t>
  </si>
  <si>
    <t>Para el Grupo, el cuidado del equipo humano es una prioridad por lo que, luego de transcurrido estos años de pandemia se ha cumplido con las medidas de bioseguridad en las instalaciones y se ha promovido la vacunación y facilitando que todos puedan tener acceso a ella, hemos retornado de forma habitual a nuestras instalaciones, gracias a nuestros programas que impulsan el bienestar integral de cada uno de los colaboradores.</t>
  </si>
  <si>
    <t>page-153</t>
  </si>
  <si>
    <t>Ingresos (Primas suscritas de seguros y comisiones por servicios financieros)</t>
  </si>
  <si>
    <t>Al 31 de diciembre de 2022, el Grupo reflejó en las primas suscritas de seguros un aumento del 6.13% en comparación con el mismo periodo del año anterior, y en sus comisiones por servicios financieros, reflejan un aumento de 2.72% en comparación con el año anterior. La utilidad neta reflejó una disminución de 24.26%, no obstante, se proyecta que la perspectiva para el 2023 mejore.</t>
  </si>
  <si>
    <t>(35) Cambios en la presentación previamente reportados</t>
  </si>
  <si>
    <t>Durante el 2022 la administración tomó la decisión de presentar el Cambio neto en el valor razonable de las inversiones de VRCR, Comisiones sobre préstamos y comisiones sobre financiamiento afectando los ingresos netos de las correspondientes operaciones de seguros y bancos. Para mantener la uniformidad de la presentación se realizaron las reclasificaciones al 31 diciembre 2021.</t>
  </si>
  <si>
    <t>tbl-100.html</t>
  </si>
  <si>
    <t>[tbl-100.html](tbl-100.html)</t>
  </si>
  <si>
    <t>page-154</t>
  </si>
  <si>
    <t>Al 31 de diciembre de 2022</t>
  </si>
  <si>
    <t>tbl-101.html</t>
  </si>
  <si>
    <t>[tbl-101.html](tbl-101.html)</t>
  </si>
  <si>
    <t>2023</t>
  </si>
  <si>
    <t>INA_ASSA_2023_0.pdf</t>
  </si>
  <si>
    <t>El Grupo cuenta con las siguientes cuatro divisiones estratégicas, que corresponden a sus segmentos de negocio sobre los que debe informarse. Estas divisiones ofrecen productos y servicios bancarios, financieros, de seguros y reaseguros y son administradas por separado puesto que requieren distinta tecnología, operar en diferentes mercados y tienen estrategias de mercadeo.</t>
  </si>
  <si>
    <t>- Encaje legal depositado en el Banco Central de Nicaragua por US$55,577,352 (2022: US$52,506,484) basado en el porcentaje de los depósitos captados de terceros. - Al 31 de diciembre de 2023, se mantienen depósitos en garantía de operaciones por US$1,006,866 (2022: US$958,926).</t>
  </si>
  <si>
    <t>[tbl-33.html](tbl-33.html) [tbl-34.html](tbl-34.html)</t>
  </si>
  <si>
    <t>Al 31 de diciembre de 2023, las tasas de interés anual de los préstamos oscilaban entre 3% y 33% (2022: 5% y 33%) y para tarjetas de crédito entre 15% y 50% (2022: 15% y 45%).</t>
  </si>
  <si>
    <t>Al 31 de diciembre de 2023, la subsidiaria La Hipotecaria (Holding), Inc. y Subsidiarias, mantenía préstamos hipotecarios para viviendas por US$228,926,872 (2022: US$234,642,125) en garantía de obligaciones contraídas con instituciones financieras y a la fecha no mantienen créditos hipotecarios en garantía de notas comerciales negociables (véase Nota 14).</t>
  </si>
  <si>
    <t>Al 31 de diciembre de 2023, la subsidiaria Grupo BDF, S. A. mantenía préstamos por cobrar por US$38,487,363 (2022: US$46,971,482) en garantía de obligaciones contraídas con instituciones financieras (véase Nota 14).</t>
  </si>
  <si>
    <t>Las subsidiarias con operaciones bancarias en Panamá y Nicaragua requieren establecer reservas regulatorias para préstamos, indistintamente de las provisiones requeridas bajo NIIF.</t>
  </si>
  <si>
    <t>Al 31 de diciembre de 2023, estas reservas regulatorias acumuladas ascienden a US$15,420,826 (2022: US$17,551,709), las cuales se presentan en el estado consolidado de cambios en el patrimonio como una apropiación de las utilidades no distribuidas disponibles.</t>
  </si>
  <si>
    <t>Durante el año el Grupo realizó ventas de su portafolio de inversiones a valor razonable con cambios en resultados por US$5,888,697 (2022: US$28,881,824). Estas ventas generaron ganancias netas en ambos años por US$414,303 (2022: US$642,278) la cual se presenta en el estado consolidado de resultados en el rubro de ingresos financieros, neto.</t>
  </si>
  <si>
    <t>El Grupo realizó ventas de su portafolio de inversiones a valor razonable con cambios en otras utilidades integrales por un total de US$7,967,095 (2022: US$30,555,278). Estas ventas generaron pérdidas netas en ambos años por US$177,986 (2022: US$338,629) la cual se presenta en el estado consolidado de resultados en el rubro de ingresos financieros, neto. Estas transacciones incluyen acciones en corporaciones que fueron vendidas durante el año 2023, cuyo valor en libros a esa fecha era de US$2,802,256 (2022: US$6,082,903) y reconoció ganancias en ambos años por US$266,748 (2022: US$706,981) no reciclables la cual se presenta en el estado consolidado de otros resultados integrales.</t>
  </si>
  <si>
    <t>El Grupo realizó ventas de su portafolio de inversiones a costo amortizado $1,670,814 (2022: US$0). Estas ventas generaron pérdida neta por US$173,014 (2022: ganancia neta US$163,119) la cual se presenta en el estado consolidado de resultados en el rubro de ingresos financieros, neto.</t>
  </si>
  <si>
    <t>El movimiento de la provisión para deterioro respecto de los instrumentos de deuda a valor razonable con cambios en otro resultado integral durante el año fue el siguiente:</t>
  </si>
  <si>
    <t>Al 31 de diciembre de 2023, el Grupo mantiene propiedades de inversión, netas por US$13,418,835 (2022: US$13,842,347) y que se encuentran registrados en el rubro de otros activos en el estado consolidado de situación financiera. Al 31 de diciembre de 2023, no se dieron adiciones de propiedades de inversión (2022: US$ igual). Al 31 de diciembre de 2023, el gasto de amortización de las propiedades de inversión fue de US$231,613 (2022: US$236,254).</t>
  </si>
  <si>
    <t>El movimiento de los activos por derecho de uso se detalla a continuación:</t>
  </si>
  <si>
    <t>(12) Activos intangibles y plusvalía</t>
  </si>
  <si>
    <t>Las proyecciones de los flujos de efectivo esperados futuros, incluyeron estimaciones específicas para cinco años y una tasa de crecimiento temporal con posterioridad a esos cinco años. La tasa de crecimiento terminal, se determinó sobre la base de la estimación de la gerencia de la tasa de crecimiento anual, compuesta de largo plazo consistente, con los supuestos razonables que efectuaría un participante en el mercado.</t>
  </si>
  <si>
    <t>Al 31 de diciembre 2023, la administración del Grupo no ha identificado indicios de deterioro de la plusvalía.</t>
  </si>
  <si>
    <t>Negocios para pólizas de vida a largo plazo</t>
  </si>
  <si>
    <t>- Un programa por el monto total autorizado de hasta US$10,000,000 se encuentra respaldado por una fianza solidaria de Grupo ASSA, S. A. y crédito general de La Hipotecaria (Holding), Inc. Actualmente este programa no tiene valores en circulación. - Cinco programas por el monto total autorizado de hasta US$190,000,000 respaldado con crédito general de La Hipotecaria (Holding), Inc.</t>
  </si>
  <si>
    <t>Las notas comerciales negociables son títulos emitidos en Panamá y autorizados por la Superintendencia del Mercado de Valores. Al 31 de diciembre de 2023, existen tres programas compuesto por, dos programas por la suma de US$50,000,000 y uno por US$100,000,000 respectivamente, están respaldados solo por el crédito general de Banco La Hipotecaria, S. A.</t>
  </si>
  <si>
    <t>La subsidiaria Banco La Hipotecaria, S. A. tiene autorizado por la Superintendencia del Mercado de Valores de El Salvador dos emisiones que suman US$100,000,000 en Certificados de Inversiones (CI). Las obligaciones negociables constan de un plan rotativo de hasta US$35,000,000 en Papel Bursátil, autorizado por la Superintendencia del Sistema Financiero de El Salvador.</t>
  </si>
  <si>
    <t>Al 31 de diciembre de 2023, la subsidiaria de Banco La Hipotecaria en Colombia ha emitido bonos ordinarios en pesos colombianos a mediano plazo por un valor equivalente a US$6,197,498 (2022: US$8,242,113) a una tasa de 6.29% (2022: 6.29%) a un plazo de 5 años, con vencimiento 23 de junio de 2025 (2022: vencimiento el 25 de junio de 2025).</t>
  </si>
  <si>
    <t>La Junta Directiva de la subsidiaria, Banco La Hipotecaria, mediante acta de junta directiva del 24 de mayo de 2018, autorizó la emisión de un programa de Covered Bond por US$200,000,000. Al 31 de diciembre de 2023, se han emitido Covered Bond a mediano plazo netos de comisiones por US$10,664,110 (2022: US$21,508,709), a una tasa de 4.125% (2022: 5.50% y 4.125%), respectivamente con un plazo de 3.5 y 5 años. No ha habido incumplimiento en el pago de capitales e intereses en las obligaciones y financiamientos recibidos.</t>
  </si>
  <si>
    <t>El Grupo tiene autorizado por la Superintendencia de Bancos y Otras Instituciones Financieras de la República de Nicaragua una emisión de valores estandarizados de renta fija de US$50,000,000 desmaterializados y en denominaciones de US$1,000 con intereses pagaderos trimestralmente, los cuales se encuentran respaldados por el crédito general de la subsidiaria Banco de Finanzas, S. A. (el emisor). Al 31 de diciembre de 2023, el saldo colocado es de US$6,338,000 de un monto ofertado de US$7,200,000, con vencimientos entre 2024 y 2025, a una tasa entre el 6.7% y 7.50% (2022: saldo colocado US$7,877,000 vencimientos entre 2023 y 2024, tasa entre 6.5% y 7.00%).</t>
  </si>
  <si>
    <t>Al 31 de diciembre de 2023, las obligaciones mantenían las siguientes garantías:</t>
  </si>
  <si>
    <t>Al 31 de diciembre de 2023, la subsidiaria Banco de Finanzas, S. A., mantenía las siguientes obligaciones subordinadas:</t>
  </si>
  <si>
    <t>El movimiento de los pasivos por arrendamientos se detalla a continuación:</t>
  </si>
  <si>
    <t>Al 31 de diciembre de 2023, el Grupo ha emitido 10,334,046 acciones (2022: 10,321,850 acciones) de las cuales 159,891 acciones (2022: 146,602) se mantienen en tesorería quedando un total de acciones en circulación de 10,174,155 (2022: 10,175,248).</t>
  </si>
  <si>
    <t>## Acciones preferidas emitidas por compañía subsidiaria</t>
  </si>
  <si>
    <t>Al 28 de junio de 2008, se autorizaron un total de 10 emisiones públicas de acciones preferidas no acumulativas a la subsidiaria La Hipotecaria (Holding), Inc., registradas en la Superintendencia del Mercado de Valores de Panamá y listadas en la Bolsa Latinoamericana de Valores. El total de las acciones preferidas emitidas y en circulación es de 210,000 acciones por un total de US$21,000,000 distribuidos en acciones por un valor nominal de cien dólares (US$100) cada una. Estas acciones presentan una tasa de interés entre 6.75% y 7% anual no acumulativas y distribuyen dividendos trimestralmente, si la Junta Directiva lo declara. El costo de emisión de las acciones preferidas ascendió a US$247,291. Durante el período terminado el 31 de diciembre de 2023 no se realizaron emisiones de acciones preferidas.</t>
  </si>
  <si>
    <t>Al 31 de diciembre de 2023, La Hipotecaria (Holding), Inc., no realizó redención (2022: igual) de acciones preferidas de un programa que se encuentra en circulación desde el año 2018. Estas acciones preferidas pueden ser pagadas a opción del emisor con un aviso previo de por lo menos 30 días, el cual se ejecutó el 15 de marzo de 2020.</t>
  </si>
  <si>
    <t>Los prospectos informativos de las ofertas públicas establecen las siguientes principales condiciones:</t>
  </si>
  <si>
    <t>En noviembre de 2023 el grupo adquirió 3,343 acciones a $26 por acción, correspondiente a acciones minoritarias a ASSA Nicaragua, disminuyendo la participación de la parte no controladora en 0.0025%.</t>
  </si>
  <si>
    <t>[tbl-70.html](tbl-70.html)</t>
  </si>
  <si>
    <t>Al 31 de diciembre de 2023, el Grupo manejaba un capital humano de 2,411 (2022: 2,355) colaboradores permanentes.</t>
  </si>
  <si>
    <t>En la Asamblea Ordinaria de Accionistas de Grupo ASSA, S. A., celebrada el 28 de abril de 2010, se autorizó a la Junta Directiva del Grupo a emitir y vender hasta 200,000 acciones comunes sin valor nominal, al precio, forma de pago y otras condiciones que estime conveniente al personal clave de la gerencia principales de Grupo ASSA, S. A. y sus subsidiarias. El 19 de mayo de 2010, la Junta Directiva aprobó un plan de otorgamiento de opciones al personal clave de la gerencia el cual concluyó en mayo de 2014. Al cierre del plan se celebraron contratos de adjudicación con colaboradores por 187,866 acciones. El plan concede al personal clave de la gerencia el derecho de ejercer cada adjudicación en cuatro partidas iguales a partir del primer aniversario de cada asignación, a un precio específico, el cual es establecido anualmente por la Junta Directiva de Grupo ASSA, S. A. Al 31 de diciembre de 2023, el personal clave de la gerencia de las subsidiarias ASSA Compañía de Seguros, S. A. han ejercido 163,606 (2022: 157,542) opciones adjudicadas de un total de 169,811 opciones disponibles para ejercer, netas de renuncias o despidos (2022: 169,811). Estos colaboradores tienen un período de hasta 10 años a partir de la fecha del inicio del plan para ejercer sus opciones.</t>
  </si>
  <si>
    <t>- El plan de opciones le concede al personal clave de la gerencia el derecho de ejercer cada adjudicación a partir del primer aniversario de cada atribución, en cinco partidas de 15% los primeros tres años, 25% el cuarto año y 30% el quinto año ejercibles hasta por un período de diez años a partir de la fecha de cada adjudicación. Al 31 de diciembre de 2023 se han celebrado contratos de atribución netas con colaboradores bajo este programa por 117,752 (2022: 119,192) opciones netas de renuncias o despidos y al personal clave de la gerencia han ejercido 28,194 (2022: 27,614) opciones disponibles para ejercer.</t>
  </si>
  <si>
    <t>- El plan de concesión de acciones otorga al personal clave de la gerencia el beneficio de recibir hasta una cantidad fija de acciones comunes del capital social de Grupo ASSA, S. A. atribuidas anualmente por un período de hasta cinco años. Cada atribución será adjudicada a partir de su primer aniversario, en cinco partidas de 15% los primeros tres años, 25% el cuarto año y 30% el quinto año. Bajo esta modalidad, el Grupo otorga la adjudicación sin requerir un aporte por parte del participante. Al 31 de diciembre de 2023, se han celebrado contratos de atribución netas de concesiones por 31,904 (2022: 32,309) acciones netas de renuncias o despidos, de las cuales ya fueron adjudicadas y ejercidas 29,845 acciones (2022: 25,755).</t>
  </si>
  <si>
    <t>El precio de ejecución de la opción se ha tomado sobre el valor de mercado de la acción a la fecha de otorgamiento de la opción con un descuento entre 15% y 10%, según cada plan.</t>
  </si>
  <si>
    <t>La volatilidad esperada se ha basado en una evaluación de la volatilidad histórica del precio de las acciones durante los últimos 12 meses antes del otorgamiento de la opción. La tasa de interés se basa en el promedio de los depósitos a plazo que mantiene el Grupo a la fecha de otorgamiento de la opción. El rendimiento anual de la acción considera el dividendo pagado por acción durante el último año entre el precio de la acción a la fecha de concesión.</t>
  </si>
  <si>
    <t>Al 31 de diciembre de 2023, el Grupo reportó un movimiento en las atribuciones otorgadas bajo el plan de opciones por US$800,384 (2022: US$830,631).</t>
  </si>
  <si>
    <t>Las declaraciones del impuesto sobre la renta de las compañías en Panamá están sujetas a revisión por las autoridades fiscales por los últimos tres años, según regulaciones fiscales vigentes, incluyendo el año terminado el 31 de diciembre de 2023. Además, los registros de las compañías pueden estar sujetos a examen por las autoridades fiscales para determinar el cumplimiento con la ley del impuesto de timbres, del impuesto de transferencia de bienes muebles y servicios, del impuesto de transferencia de bienes y prestación de servicios, de primas emitidas y primas brutas pagadas.</t>
  </si>
  <si>
    <t>Al 31 de diciembre de 2023, el monto del gasto de impuesto sobre la renta se detalla a continuación:</t>
  </si>
  <si>
    <t>Al 31 de diciembre de 2023, el valor de los fideicomisos bajo administración ascendía a US$269,645,369 (2022: US$292,686,120).</t>
  </si>
  <si>
    <t>El cálculo de la utilidad por acción común está basado en la utilidad neta correspondiente a los accionistas comunes mayoritarios por US$91,431,895 (2022: US$58,300,199), dividida entre el número promedio ponderado de acciones en circulación durante el año por 10,174,856 acciones (2022: 10,170,531).</t>
  </si>
  <si>
    <t>Mediante cartas de promesa de pago, el Grupo ha adquirido el compromiso de realizar, por cuenta de clientes, ciertos pagos a terceros una vez se cumplan ciertas condiciones pactadas previamente. Las cartas de promesa de pago suscritas al 31 de diciembre de 2023 tienen vigencia de seis (6) meses en promedio.</t>
  </si>
  <si>
    <t>Dentro del curso ordinario de los negocios de seguros, el Grupo está involucrado en varias reclamaciones legales, para los cuales, al 31 de diciembre de 2023, mantiene una provisión de US$19,259,020 (2022: US$17,820,249).</t>
  </si>
  <si>
    <t>El Grupo cuenta con un marco de control establecido en relación con la medición de los valores razonables. Esto incluye un equipo de valorización que tiene la responsabilidad general de la supervisión de todas las mediciones significativas del valor razonable, incluyendo los valores razonables de Nivel 3, y que reporta directamente a la Vicepresidencia Ejecutiva de Finanzas.</t>
  </si>
  <si>
    <t>Los asuntos de valoración significativos son informados a la Junta Directiva del Grupo a través del Comité de Inversiones de la Junta Directiva.</t>
  </si>
  <si>
    <t>El Grupo reconoce transferencia entre niveles medidos al valor razonable al periodo terminado cuando ocurre un cambio.</t>
  </si>
  <si>
    <t>Los instrumentos financieros exponen al Grupo a varios tipos de riesgos. La Junta Directiva del Grupo ha aprobado una Política de Administración de Riesgos, la cual identifica cada uno de los principales riesgos a los cuales está expuesto el Grupo. Para administrar y monitorear los distintos riesgos a los que esté expuesto el Grupo, la Junta Directiva ha establecido el Comité de Inversiones, el Comité de Cumplimiento y el Comité de Riesgo, los cuales están conformados por directores y personal clave de la gerencia clave. Estos comités están encargados de monitorear, controlar y administrar prudentemente estos riesgos; estableciendo políticas y límites para cada uno de dichos riesgos. También existe un Comité de Auditoría, integrado por directores y miembros independientes del Grupo que vela por que sean adecuados los controles internos para la presentación de la información financiera del Grupo.</t>
  </si>
  <si>
    <t>[tbl-88.html](tbl-88.html) [tbl-89.html](tbl-89.html)</t>
  </si>
  <si>
    <t>- Préstamos renegociados Los préstamos renegociados son aquellos a los cuales se le han hecho una reestructuración debido a algún deterioro en la condición financiera del deudor, y donde el Grupo ha concedido algún cambio en los parámetros originales de crédito. Estos préstamos una vez son reestructurados se mantienen en esta categoría independientemente de cualquier mejoramiento en la condición del deudor posterior a la reestructuración por parte del Grupo.</t>
  </si>
  <si>
    <t>- Política de castigos El Grupo determina el castigo de un grupo de préstamos, en base a criterios particulares de saneamiento de cada grupo, efectuando un análisis de forma individual de los créditos dentro de cada agrupación y de las condiciones financieras hechas, desde que no se efectuó el pago de la obligación, y cuando se determina que la garantía no es suficiente para el pago completo de la facilidad crediticia otorgada. Para los préstamos de montos menores, los castigos generalmente se basan en el tiempo vencido del crédito otorgado.</t>
  </si>
  <si>
    <t>El Grupo mantiene colaterales sobre los préstamos otorgados a clientes correspondientes a hipotecas sobre las propiedades y otras garantías sobre este activo. Las estimaciones del valor razonable de la garantía están basadas en el valor del colateral según sea el período de tiempo del crédito y generalmente no son actualizadas excepto si el crédito se encuentra en deterioro en forma individual.</t>
  </si>
  <si>
    <t>El colateral generalmente no está supeditado a los préstamos o adelantos bancarios efectuados, excepto cuando las inversiones mantenidas forman parte de un valor comprado bajo acuerdo de reventa y también se consideran los valores bajo acuerdo de recompra, que son sobre las inversiones que posee el Grupo.</t>
  </si>
  <si>
    <t>En las siguientes tablas se presentará información sobre la calidad crediticia por componente, La Hipotecaria Holding, Inc. y Grupo BDF, S.A. de los activos financieros medidos a CA en préstamos, sin considerar las garantías y otras mejoras para reducir el riesgo de crédito. A menos que se indique específicamente, para los activos financieros, los montos en la tabla representan los valores en libros brutos.</t>
  </si>
  <si>
    <t>Las definiciones de los términos “Etapa 1”, “Etapa 2” y “Etapa 3” se presentan en cada exposición a una calificación de riesgo de crédito en su reconocimiento inicial, en función de la información disponible sobre el deudor. Las exposiciones están sujetas a un monitoreo continuo, lo que puede ocasionar que una exposición se mueva a una calificación de riesgo de crédito diferente.</t>
  </si>
  <si>
    <t>El riesgo de liquidez es el riesgo de que una entidad encuentre dificultades para cumplir con sus obligaciones asociadas con los pasivos financieros que son liquidados mediante la entrega de efectivo o de otro activo financiero o el calce de financiamiento de activos a largo plazo con pasivos a corto plazo.</t>
  </si>
  <si>
    <t>Las Juntas Directivas de las subsidiarias del Grupo fijan límites sobre la proporción mínima de fondos disponibles para cumplir con dichos requerimientos y sobre el nivel mínimo de facilidades bancarias y otras facilidades de préstamos que deben existir para cubrir los retiros en niveles inesperados de requerimiento.</t>
  </si>
  <si>
    <t>El cuadro a continuación muestra los flujos de efectivo no descontados de los activos y pasivos financieros del Grupo y los compromisos de préstamos reconocidos, por agrupaciones de vencimiento contractual:</t>
  </si>
  <si>
    <t>Dentro de las provisiones de vida a largo plazo existen montos de los tenedores de póliza que son retirable, sin embargo, no tienen un vencimiento establecido.</t>
  </si>
  <si>
    <t>El objetivo de la administración del riesgo de mercado, es el de administrar y vigilar las exposiciones de riesgo, y que las mismas se mantengan dentro de los parámetros aceptables establecidas por la Junta Directiva a través del Comité de Riesgo y el Comité de Inversiones optimizando el retorno del riesgo.</t>
  </si>
  <si>
    <t>La administración de este riesgo es supervisada por el Comité de Riesgo que se reúne al menos trimestralmente en dichas reuniones. Se presentan informes regulares que detallan tasas, vencimiento y montos de depósitos e instrumentos financieros dentro del portafolio de inversiones. De realizarse alguna inversión en renta fija y en instrumentos patrimoniales mayor a US$3,000,000, esta se debe presentar al Comité de Inversiones del Grupo, cuyos miembros se reúnen al menos trimestralmente, para su aprobación. Sustancialmente todos los activos y pasivos están denominados en dólares de los Estados Unidos de América o en balboas.</t>
  </si>
  <si>
    <t>- Riesgo de tasa de cambio: es el riesgo de que el valor de un instrumento financiero fluctúe como consecuencia de variaciones en las tasas de cambio de las monedas extranjeras, y otras variables económicas, así como la reacción de los participantes de los mercados a eventos políticos y económicos. Para efectos de las normas contables este riesgo no se origina en instrumentos financieros que no son partidas monetarias, ni tampoco de instrumentos financieros denominados en la moneda funcional. El Grupo mantiene activos y pasivos nominados en otras monedas.</t>
  </si>
  <si>
    <t># Análisis de sensibilidad La Hipotecaria Holding, Inc.</t>
  </si>
  <si>
    <t># Análisis de sensibilidad Grupo BDF, S.A.</t>
  </si>
  <si>
    <t># (d) Administración de capital</t>
  </si>
  <si>
    <t>La política de la administración es de mantener una estructura de capital sólida, la cual pueda sostener el futuro crecimiento del negocio. El Grupo reconoce la necesidad de mantener un balance entre los retornos a los accionistas y la adecuación de capital requerida por los entes reguladores.</t>
  </si>
  <si>
    <t>El Grupo revisa su portafolio de inversiones en valores a costo amortizado y a valor razonable con cambios en otros resultados integrales para evaluar el deterioro en base a los criterios establecidos por el Comité Riesgo, el cual establece provisiones bajo la metodología de pérdida crediticia esperada. Estas se dividen en provisiones en 3 distintas etapas, pérdidas a 12 meses (etapa 1), pérdidas por la vida esperada de las inversiones (etapa 2) e inversiones con incumplimiento (etapa 3). Véase la nota 3 (e).</t>
  </si>
  <si>
    <t>### (d) Impuestos sobre la renta</t>
  </si>
  <si>
    <t>En aquellas pólizas que se permite el pago variado de primas (Vida Universal) la cantidad que se incluye en las provisiones corresponde al valor presente de los beneficios futuros pagaderos a los tenedores de pólizas menos el valor presente de las primas no pagadas por los tenedores. Además, se consideran la prima neta nivelada, la prima de la metodología actuarial y la prima garantizada suficiente hasta la edad de vencimiento de 95 años.</t>
  </si>
  <si>
    <t>El Comité de Reaseguro de la Junta Directiva es responsable de indicar el criterio mínimo de seguridad para un reaseguro aceptable y de monitorear que la compra de reaseguro cumpla con este criterio.</t>
  </si>
  <si>
    <t>Esta estrategia se ejecuta a través de autorizaciones de suscripción detalladas que indican los límites que se pueden emitir por tamaño de línea, clase de negocio, territorio e industria a fin de obligar la selección apropiada del riesgo dentro de la cartera. Todos los contratos que no son de vida individual son anuales por naturaleza y se tiene el derecho de rechazar la renovación o de cambiar los términos y condiciones del contrato al momento de la renovación.</t>
  </si>
  <si>
    <t>Los acuerdos de reaseguro distribuyen el riesgo y minimizan los efectos de las pérdidas. La cantidad de cada riesgo retenido depende de la evaluación del Grupo del riesgo específico y está sujeto, en algunas circunstancias, a los límites máximos basados en las características de las coberturas. De acuerdo a los términos de los contratos de reaseguro, el reasegurador se compromete a reembolsar la proporción cedida o exceso de la siniestralidad incurrida dependiendo del tipo de contrato en el caso de reclamos pagados. Sin embargo, la aseguradora es la responsable frente a los tenedores de las pólizas con respecto al seguro cedido si algún reasegurador falla en el cumplimiento de la obligación que asume.</t>
  </si>
  <si>
    <t>El propósito es el de procurar que sólo aquellos reaseguradores o corredores de reaseguros que gocen de las condiciones mínimas establecidas por el Comité de solvencia, experiencia y profesionalismo actúen como reaseguradoras del Grupo.</t>
  </si>
  <si>
    <t>El registro se realizará con vigencia indefinida; sin embargo, la falta de publicación y restricción a la información financiera del reasegurador, corredor de reaseguros o asegurador que actúa como reasegurador; así como cualquier evento que provoque inestabilidad en sus resultados y posición financiera o reputacional. Será causal suficiente para la suspensión de forma temporal o permanente a la ejecución de negocios con dicho reasegurador o asegurador y/o su reemplazo en cualquier negocio donde participe.</t>
  </si>
  <si>
    <t>Al 31 de diciembre de 2023, la máxima exposición a pérdidas del Grupo en las entidades estructuradas no consolidadas, corresponde al valor en libros de los activos que mantiene en estas por US$71,571,515 (2022: US$70,282,385). El Grupo no ha otorgado apoyo financiero a las entidades estructuradas no consolidadas.</t>
  </si>
  <si>
    <t>## (a) Operaciones y Prácticas Contables de Seguro</t>
  </si>
  <si>
    <t>Las operaciones de seguros y reaseguros en Panamá están reguladas por la Superintendencia de Seguros y Reaseguros de Panamá de acuerdo con la legislación establecida por la Ley de Seguros No.12 de 3 de abril de 2012 y la Ley de Reaseguros No.63 de 19 de septiembre de 1996.</t>
  </si>
  <si>
    <t>La Superintendencia de Seguros y Reaseguros de Panamá, mediante Acuerdo No.1 del 12 de enero de 2024, comunica formalmente que el plazo de entrada en vigor de la NIIF 17 de conformidad con el IASB, es el 1 de enero de 2023, sin embargo, se ha acordado trasladar la fecha de entrada en vigor para el 1 de enero de 2025.</t>
  </si>
  <si>
    <t>Al 31 de diciembre de 2023, la subsidiaria La Hipotecaria (Holding) Inc. registró neto de provisión la suma de US$15,324,171 (2022: US$12,334,732), como ingresos de intereses preferenciales sobre la cartera de préstamos hipotecarios residenciales.</t>
  </si>
  <si>
    <t>Al 31 de diciembre de 2023, el crédito fiscal por realizar se incluye en las cuentas por cobrar del estado consolidado de situación financiera y el mismo asciende a US$26,487,291 (2022: US$30,035,523). Ver Nota 7.</t>
  </si>
  <si>
    <t>Al 31 de diciembre de 2023, la subsidiaria realizó ventas de créditos fiscales US$7,668,363 (2022: US$6,501,720) generando ganancia por US$426 (2022: no hubo ganancias).</t>
  </si>
  <si>
    <t>Las operaciones bancarias de Panamá están reguladas por la Superintendencia de Bancos de la República de Panamá de acuerdo con la legislación establecida por el Decreto Ley No. 9 de 26 de febrero de 1998, modificado por el Decreto Ley 2 del 22 de febrero de 2008.</t>
  </si>
  <si>
    <t>Las operaciones de fideicomiso en Panamá están reguladas principalmente por la Superintendencia de Bancos de la República de Panamá de acuerdo con la legislación establecida en la Ley No.1 del 5 de enero de 1984. Modificada por la Ley No. 21 del 10 de mayo de 2017.</t>
  </si>
  <si>
    <t>Las operaciones de emisor y puesto de bolsa en Panamá están reguladas por la Superintendencia del Mercado de Valores de acuerdo con la legislación establecida en el Decreto Ley No. 1 de 8 de julio de 1999, reformada mediante la Ley No.67 de 1 de septiembre de 2011.</t>
  </si>
  <si>
    <t>Mediante el Acuerdo No.4 del 6 de septiembre de 2016, la Superintendencia de Seguros y Reaseguros de la República de Panamá dispone valuar y constituir una Reserva de Insuficiencia de Primas (RIP) que complemente a la Reserva de Riesgo en Curso en la medida en que esta última no sea suficiente para reflejar la valoración de todos los riesgos y gastos a cubrir por la Compañía, correspondiente al período de cobertura no transcurrido a la fecha de cálculo.</t>
  </si>
  <si>
    <t>(a) Ley de Seguros, Reaseguros y Fianzas</t>
  </si>
  <si>
    <t>Ley 733 del 17 de agosto de 2010, publicada en la Gaceta No. 162, 163 y 164 del 25, 26 y 27 de agosto de 2010, respectivamente.</t>
  </si>
  <si>
    <t>(b) Ley General de Bancos y Normas Prudenciales</t>
  </si>
  <si>
    <t>Los bancos en Nicaragua se rigen bajo el régimen de ley No. 561, Ley General de Bancos, Instituciones Financieras No Bancarias y Grupos Financieros. El organismo regulador de los Bancos es la Superintendencia de Bancos y de Otras Instituciones Financieras.</t>
  </si>
  <si>
    <t>(a) Ley de la Superintendencia de Obligaciones Mercantiles (anteriormente Empresas Mercantiles)</t>
  </si>
  <si>
    <t>Las operaciones de las empresas mercantiles en El Salvador están reguladas por la Superintendencia de Empresas y Sociedades Mercantiles, según en el Decreto Legislativo No.448 del 09 de octubre de 1973.</t>
  </si>
  <si>
    <t>Las operaciones de emisores y puestos de bolsa en El Salvador están reguladas por la Superintendencia de Valores de acuerdo con la legislación establecida en el Decreto Ley No.809 de 31 de abril de 1994. De acuerdo al Decreto Legislativo No.592 del 14 de enero de 2011, la Superintendencia de Valores dejó de existir a partir del 2 de agosto de 2011, que contiene la Ley de Regulación y Supervisión del Sistema Financiero, publicado en Diario Oficial No.23 del 2 de febrero de 2011, que entró en vigencia a partir del 2 de agosto de 2011, y que dio origen a la nueva Superintendencia del Sistema Financiero como ente supervisor único que integra las atribuciones de las anteriores Superintendencias del Sistema Financiero, Pensiones y Valores.</t>
  </si>
  <si>
    <t>Las actividades relacionadas con los actos de comercio, las cosas mercantiles, así como las sociedades en general, están reguladas en El Salvador por el Código de Comercio, de acuerdo con el Decreto Ley N° 671 de 08 de mayo de 1970.</t>
  </si>
  <si>
    <t>(d) Ley de Sociedades de Seguros</t>
  </si>
  <si>
    <t>La constitución y funcionamiento de las sociedades de seguro y la participación de los intermediarios de seguros en El Salvador está regulada por la Ley de Sociedades de Seguros, según el Decreto Legislativo N° 844 de fecha 10 de octubre de 1996, reformada con los Decretos N° 893, del 21 de noviembre de 1996, publicado en el D.O. N° 222, Tomo 333, del 25 de noviembre de 1996 y N° 910, del 14 de diciembre de 2005, publicado en el D.O. N° 8, Tomo 370, del 12 de enero de 2006.</t>
  </si>
  <si>
    <t>(e) Reglamento de la Ley de Sociedades de Seguros</t>
  </si>
  <si>
    <t>Este Reglamento tiene por objeto desarrollar aquellas disposiciones de la Ley de Sociedades de Seguros, de acuerdo con el Decreto Ejecutivo N° 44 del 20 de abril de 1999 y ha sido reformado según el Decreto No. 25, del 19 de marzo de 2001, publicado en el D.O. No. 69, Tomo 351, del 5 de abril de 2001.</t>
  </si>
  <si>
    <t>(f) Ley de Supervisión y Regulación del Sistema Financiero Según el artículo 2 de la Ley de Sociedades de Seguro, el ente encargado de la Vigilancia y Fiscalización de las Sociedades de Seguro en El Salvador es la Superintendencia del Sistema Financiero, ente regulado por la Ley de Supervisión y Regulación del Sistema Financiero, de acuerdo con el Decreto Legislativo N° 592 del 14 de enero de 2011.</t>
  </si>
  <si>
    <t>(g) Ley de Protección al Consumidor La protección los derechos de los consumidores a fin de procurar el equilibrio, certeza y seguridad jurídica en sus relaciones con los proveedores, en este caso proveedores de seguros, está regulada en El Salvador por la Ley de Protección al Consumidor, según Decreto Legislativo N° 776 del 31 de agosto de 2005 y reformado por el Decreto N° 1017 del 30 de marzo del 2006, Publicado en el D.O. N° 88, Tomo 371 del 16 de mayo del 2006.</t>
  </si>
  <si>
    <t>(h) Reglamento de la Ley de Protección al Consumidor Este Reglamento tiene por objeto la ejecución y desarrollo de las disposiciones contenidas en la Ley de Protección al Consumidor de acuerdo con el Decreto Ejecutivo N° 52 del 12 de mayo de 2006.</t>
  </si>
  <si>
    <t>(i) Precio de transferencia Decreto No. 233 del 29 de diciembre de 2009, de las reformas al Código Tributario, Conforme al Artículo 124-A, establece que los contribuyentes que celebren operaciones con partes relacionados constituidos o ubicados en países, estados o territorios con regímenes fiscales preferentes, de baja o nula tributación o paraísos fiscales durante un ejercicio fiscal, y tales operaciones ya sea en forma individual o conjunta sean iguales o superiores a (US$571,429), deberán presentar un Informe de las operaciones que ejecute, a través de los formularios que proporcione la Administración Tributaria con los requisitos y especificaciones técnicas que ésta disponga para tal efecto. Dentro de los tres primeros meses siguientes de finalizado el ejercicio fiscal correspondiente.</t>
  </si>
  <si>
    <t>Las operaciones de las empresas comerciales en Colombia están reguladas por la Superintendencia de Sociedades de acuerdo con la legislación establecida en el Decreto Ley No.222 de 20 de diciembre de 1995.</t>
  </si>
  <si>
    <t>(b) Impuesto de Renta y complementario</t>
  </si>
  <si>
    <t>Las operaciones de reaseguros en las Islas de Turks &amp;amp; Caicos están reguladas por la Superintendencia de Seguros de acuerdo con la legislación establecida por la Ley de Seguros del 31 de octubre de 1997.</t>
  </si>
  <si>
    <t>La Junta Directiva declaró el 31 de enero de 2024 un dividendo de US$1.00 por acción, el cual será pagado el 4 de marzo de 2024, a los accionistas registrados al 20 de febrero de 2024.</t>
  </si>
  <si>
    <t>La Junta Directiva aprobó el 28 febrero de 2024 que Grupo ASSA, S. A. continuara elaborando los estados financieros consolidados de acuerdo con las Normas Internacionales de Información Financiera, tal como han sido modificadas por las regulaciones prudenciales emitidas por La Superintendencia de Seguros y Reaseguros de Panamá.</t>
  </si>
  <si>
    <t>El principal objetivo es seguir proporcionando al público inversionista estados financieros que ofrezcan información útil y coherente, facilitando la comparación adecuada entre los diferentes periodos reportados. Esto permite una evaluación precisa de la condición financiera y el rendimiento tanto de Grupo ASSA, S. A. como de ASSA Compañía de Seguros, S. A., nuestra principal subsidiaria operativa y demás subsidiarias que participan en la industria de seguros, en relación con sus homólogos en los mercados en los que operan.</t>
  </si>
  <si>
    <t>Esta afirmación refleja nuestro compromiso con el cumplimiento de las regulaciones prudenciales, la transparencia y la confiabilidad en nuestras operaciones, en beneficio del público inversionista.</t>
  </si>
  <si>
    <t>El 21 de marzo 2024, se informa a la Superintendencia del Mercado de Valores, que nuestros auditores externos KPMG se encuentra realizando auditoría de los Estados Financieros Consolidados de Grupo ASSA, S.A. y Subsidiarias para el año que finalizó el 31 de diciembre 2023 y han programado concluir la auditoría a más tardar el 30 de abril de 2024.</t>
  </si>
  <si>
    <t>El 04 de abril 2024, se informa sobre un logro significativo de ASSA Compañía de Seguros S.A. (ASSA). La Agencia Calificadora AM Best ha subido la calificación internacional a ASSA Compañía de Seguro, S.A. de Crédito a Largo Plazo (Long-Term ICR) a "a+" (Excelente) desde "a" (Excelente), y ha confirmado su Calificación de Solidez Financiera (FSR) en A (Excelente). Esta mejora es un testimonio del compromiso con la excelencia y la fortaleza de ASSA.</t>
  </si>
  <si>
    <t>Destacamos a continuación los puntos más relevantes del informe emitido:</t>
  </si>
  <si>
    <t>1. Calificación Long-Term ICR mejorado a "a+" (Excelente) desde "a" (Excelente). 2. Calificación FSR confirmada en A (Excelente). 3. La perspectiva de Long-Term ICR se revisó a estable desde positiva. 4. La perspectiva de FSR permanece estable.</t>
  </si>
  <si>
    <t>El 11 de abril 2024, se informa que la agencia Fitch Ratings, ha afirmado las siguientes calificaciones internacionales a Grupo ASSA, S.A.: Calificación de Largo Plazo IDR 'BBB-', Calificación de Corto Plazo IDR 'F3'. La perspectiva de la calificación de largo plazo se mantiene Estable. Con esta calificación, Grupo ASSA se encuentra un nivel por encima del soberano, que es lo máximo permitido según los criterios de Fitch, lo que refleja el sólido perfil financieros y comercial de la compañía y la diversificación de ingresos.</t>
  </si>
  <si>
    <t>La Junta Directiva declaró el 30 de abril de 2024 un dividendo de US$1.00 por acción, el cual será pagado el 4 de junio de 2024, a los accionistas registrados al 22 de mayo de 2024.</t>
  </si>
  <si>
    <t>34. Cambios en la presentación previamente reportados</t>
  </si>
  <si>
    <t>Durante el 2023 la administración tomó la decisión de presentar los intereses por cobrar sobre las inversiones en valores, dentro del rubro de las inversiones neto, correspondientes a las operaciones de seguros y bancos. Para mantener la uniformidad de la presentación se realizaron las reclasificaciones al 31 diciembre 2022.</t>
  </si>
  <si>
    <t>Al 31 de diciembre de 2023</t>
  </si>
  <si>
    <t># Anexo de Consolidación - Información sobre el Estado Consolidado de Resultados</t>
  </si>
  <si>
    <t>Por el año terminado el 31 de diciembre de 2023</t>
  </si>
  <si>
    <t>page-155</t>
  </si>
  <si>
    <t># DECLARACIÓN NOTARIAL JURADA</t>
  </si>
  <si>
    <t>En la Ciudad de Panamá, Capital de la República y Cabecera del Circuito Notarial del mismo nombre a los veintidós (22) días del mes de abril del dos mil veinticuatro (2024), ante mí, ERICK ANTONIO BARCIELA CHAMBERS, Notario Público Octavo del Circuito de Panamá, portador de la cédula de identidad personal número ocho setecientos once-seiscientos noventa y cuatro (8-711-694), a solicitud de los señores STANLEY ALBERTO MOTTA CUNNINGHAN, portador de la cédula de identidad personal número ocho-doscientos diecinueve-mil setecientos dieciocho (8-219-1718); LORENZO ROMAGOSA LASSEN, portador de la cédula de identidad personal número ocho-doscientos cuatro-mil ochocientos noventa y uno (8-204-1891), actuando como Presidente titular y Tesorero, respectivamente, de la Junta Directiva de Grupo ASSA, S. A., inscrita en la Ficha once mil setecientos veintitrés (11723), Rollo cuatrocientos noventa y uno (491), Imagen tres (3) de la Sección de Micropelículas Mercantil del Registro Público de la República de Panamá y EDUARDO JOSÉ FÁBREGA ALEMÁN, portador de la cédula de identidad personal número ocho-doscientos ochenta y nueve-setecientos veintisiete (8-389-727) y KAREN IVETT DUEÑAS DOMINGUEZ, portadora de la cédula de identidad personal número ocho-cuatrocientos noventa-setecientos cuarenta y seis (8-490-746) en calidad ambos de Presidente Ejecutivo y Vicepresidente de Finanzas, respectivamente, de ASSA Compañía de Seguros, S. A., sociedad anónima establecida en la República de Panamá y debi</t>
  </si>
  <si>
    <t>-1-</t>
  </si>
  <si>
    <t>page-156</t>
  </si>
  <si>
    <t>ante mí, expresaron: Nosotros, Stanley Alberto Motta Cunningham, portador de la cédula de identidad personal número ocho- doscientos diecinueve- mil setecientos dieciocho (8-219-1718); Lorenzo Romagosa Lassen, portador de la cédula de identidad personal número ocho- doscientos cuatro- mil ochocientos noventa y uno (8-204-1891), actuando como Presidente titular y Tesorero respectivamente, de la Junta Directiva de Grupo ASSA, S. A., inscrita en la Ficha once mil setecientos veintitrés (11723), Rollo cuatrocientos noventa y uno (491), Imagen tres (3) de la Sección de Micropelículas Mercantil del Registro Público de la República de Panamá y Eduardo José Fábrega Alemán, portador de la cédula de identidad personal número ocho- trescientos ochenta y nueve – setecientos veintisiete (8-389-727) y Karen Ivett Dueñas Dominguez, portadora de la cédula de identidad personal número ocho- cuatrocientos noventa – setecientos cuarenta y seis (8-490-746) en calidad ambos de Presidente Ejecutivo y Vicepresidente de Finanzas respectivamente de ASSA Compañía de Seguros, S. A., sociedad anónima establecida en la República de Panamá y debidamente inscrita en la Ficha cincuenta y tres mil seiscientos cincuenta y nueve (53659), Rollo tres mil setecientos veinticuatro (3724), Imagen ciento tres (103), de la Sección de Micropelículas Mercantil del Registro Público de la República de Panamá, subsidiaria de ASSA Compañía Tenedora S. A., que a su vez es la subsidiaria principal de Grupo ASSA, S. A., todos</t>
  </si>
  <si>
    <t>**PRIMERO**: Que, cada uno de los declarantes y firmantes del presente instrumento legal, han leído y revisado el Estado Financiero Anual correspondiente al cierre al treinta y uno (31) de diciembre de dos mil veintitrés (2023).</t>
  </si>
  <si>
    <t>**SEGUNDO**: Que, a nuestro juicio, el Estado Financiero Anual correspondiente al cierre al treinta y uno (31) de diciembre de dos mil veintitrés (2023), no contiene informaciones o declaraciones falsas sobre hechos de importancia, ni omiten información sobre hechos de</t>
  </si>
  <si>
    <t>page-157</t>
  </si>
  <si>
    <t>importancia que deban ser divulgados en virtud del Texto Único del Decreto Ley uno (1) del ocho (8) de julio de mil novecientos noventa y nueve (1999) y sus reglamentos, o que deban ser divulgados para que las declaraciones hechas en dicho informe no sean tendenciosas o engañosas a la luz de las circunstancias en las que fueron hechas.</t>
  </si>
  <si>
    <t>**TERCERO**: Que, a nuestro juicio los Estados Financieros Anuales al cierre al treinta y uno (31) de diciembre de dos mil veintitrés (2023) y cualquier otra información financiera incluida en los mismos, representan razonablemente en todos sus aspectos la condición financiera y los resultados de las operaciones de Grupo ASSA, S. A. y subsidiarias para el período terminado el treinta y uno (31) de diciembre de dos mil veintitrés (2023).</t>
  </si>
  <si>
    <t>**CUARTO**: Que, los firmantes del presente instrumento legal, declaran entender y conocer que: a) Son responsables del establecimiento y mantenimiento de controles internos en la empresa. b) Hemos diseñado los mecanismos de control interno que garanticen que toda la información de importancia sobre Grupo ASSA, S.A. y sus subsidiarias consolidadas, sean hechas de su conocimiento, particularmente durante el período en el que los reportes han sido preparados. c) Hemos evaluado la efectividad de los controles internos de la empresa dentro de los noventa (90) días previos a la emisión de los Estados Financieros. d) Hemos presentado en los Estados Financieros nuestras conclusiones sobre la efectividad de los controles internos con base en las evaluaciones efectuadas a esa fecha.</t>
  </si>
  <si>
    <t>**QUINTO**: Que, cada uno de los firmantes ha revelado a los auditores de la empresa y al Comité de Auditoría, lo siguiente: a) Todas las deficiencias significativas que surjan en el marco del diseño y operación de los controles internos, que puedan afectar negativamente la capacidad de la empresa para registrar, procesar y reportar información financiera, e indicado a los auditores cualquier debilidad existente en los controles internos. b) Cualquier fraude, de importancia o no, que involucre a la administración u otros empleados que ejerzan un rol significativo en la ejecución de los controles internos de la empresa. c) Que cada uno de los firmantes ha revelado a los auditores externos la existencia o no de cambios significativos en los controles internos de la empresa o cualesquiera otros factores que puedan afectar en forma</t>
  </si>
  <si>
    <t>page-158</t>
  </si>
  <si>
    <t>importante tales controles con posterioridad a la fecha de su evaluación, incluyendo la formulación de acciones correctivas con respecto a deficiencias o debilidades de importancia dentro de la empresa.</t>
  </si>
  <si>
    <t>Leída como le fue a la compareciente en presencia de los testigos SELIDETH EMELINA DE LEÓN CARRASCO, con cédula de identidad personal número seis-cincuenta y nueve-ciento cuarenta y siete (6-59-147), y ASHLEY POLETT VERGARA ORTIZ, con cédula de identidad personal número ocho-novecientos treinta y uno-quinientos ocho (8-931-508), mayores de edad, vecinas de esta ciudad, personas a quienes conozco y son hábiles para el cargo, la encontraron conforme, le impartieron su aprobación y la firman todos para constancia, por ante mí, el Notario que doy fe.</t>
  </si>
  <si>
    <t>STANLEY A. MOTTA CUNNINGHAN</t>
  </si>
  <si>
    <t>EDUARDO J. FÁBREGA ALEMÁN</t>
  </si>
  <si>
    <t>ASSA COMPAÑÍA DE SEGUROS, S.A.</t>
  </si>
  <si>
    <t>KAREN I. DUEÑAS DOMINGUEZ</t>
  </si>
  <si>
    <t>Vicepresidente de Finanzas</t>
  </si>
  <si>
    <t>SELIDETH EMELINA DE LEÓN CARRASCO Cédula N° 6-59-147</t>
  </si>
  <si>
    <t>ASHLEY POLETT VERGARA ORTIZ Cédula N° 8-931-508</t>
  </si>
  <si>
    <t>2024</t>
  </si>
  <si>
    <t>INA_ASSA_2024_0.pdf</t>
  </si>
  <si>
    <t>page-49</t>
  </si>
  <si>
    <t>1</t>
  </si>
  <si>
    <t>1. Constitución y operación</t>
  </si>
  <si>
    <t>Grupo ASSA, S. A., (“el Grupo”) es una empresa domiciliada y constituida de acuerdo con las leyes de la República de Panamá el 6 de octubre de 1971 y es la Compañía Matriz. Sus actividades son las propias de una compañía tenedora de acciones. La oficina principal de Grupo ASSA, S. A. está ubicada en Avenida Nicanor de Obarrio (Calle 50) entre calle 56 y 57 Este, Edificio ASSA, Ciudad de Panamá, República de Panamá.</t>
  </si>
  <si>
    <t>Los estados financieros consolidados comprenden a Grupo ASSA, S. A. y Subsidiarias (colectivamente llamadas el “Grupo”).</t>
  </si>
  <si>
    <t>Grupo ASSA, S. A. posee, excepto en donde se indica algo diferente, la totalidad de las acciones en circulación de las siguientes compañías subsidiarias:</t>
  </si>
  <si>
    <t>(a) ASSA Compañía Tenedora, S. A.: Constituida de acuerdo con las leyes de la República de Panamá el 28 de octubre de 2009. Grupo ASSA, S. A. mantiene el control a través del 95.0119% de participación sobre el capital accionario. Se dedica a las actividades propias de una compañía tenedora de acciones, y agrupa a las subsidiarias dedicadas a la actividad de seguros y reaseguros del Grupo. La tenencia de acciones de sus subsidiarias se describe a continuación:</t>
  </si>
  <si>
    <t>tbl-19.html</t>
  </si>
  <si>
    <t>[tbl-19.html](tbl-19.html)</t>
  </si>
  <si>
    <t>page-50</t>
  </si>
  <si>
    <t>(b) Inmobigral, S. A.: Constituida de acuerdo con las leyes de la República de Panamá el 19 de mayo de 1965; es una compañía inversionista, subsidiaria 100% de Grupo ASSA, S. A.</t>
  </si>
  <si>
    <t>(c) La Hipotecaria (Holding), Inc.: Constituida de acuerdo con las leyes de las Islas Vírgenes Británicas el 7 de julio de 2000. Grupo ASSA, S. A. mantiene el control a través del 78.3107% (2023: 78.3107%) de participación sobre el capital accionario. La Hipotecaria (Holding), Inc. posee 100% del capital accionario de las siguientes subsidiarias:</t>
  </si>
  <si>
    <t>tbl-20.html</t>
  </si>
  <si>
    <t>[tbl-20.html](tbl-20.html)</t>
  </si>
  <si>
    <t>(d) Desarrollo El Dorado, S. A.: Constituida de acuerdo con las leyes de la República de Panamá el 16 de julio de 1971. Su actividad principal es el alquiler de inmuebles.</t>
  </si>
  <si>
    <t>(e) Activos Financieros de Centroamérica, S. A.: Constituida con las leyes de la República de Panamá el 30 de diciembre de 2022. Su actividad principal es inversión en negocios financieros y empresas tenedoras de negocios financieros.</t>
  </si>
  <si>
    <t>(f) Activos Inmobiliarios de Centroamérica, S. A.: Constituida de acuerdo con las leyes de la República de Panamá el 4 de septiembre de 2020, donde Grupo ASSA, S.A. posee el 59.64% y Activos Inmobiliarios de Centroamérica, S. A. es la tenedora del 100% del capital accionario, excepto donde se indica algo diferente, de las siguientes subsidiarias:</t>
  </si>
  <si>
    <t>tbl-21.html</t>
  </si>
  <si>
    <t>[tbl-21.html](tbl-21.html)</t>
  </si>
  <si>
    <t>Las operaciones de seguros y reaseguros y las operaciones financieras de Grupo ASSA, S. A. y Subsidiarias son reguladas de acuerdo con leyes y regulaciones descritas en la Nota 32.</t>
  </si>
  <si>
    <t>page-51</t>
  </si>
  <si>
    <t>2</t>
  </si>
  <si>
    <t>2. Bases de preparación</t>
  </si>
  <si>
    <t>### (a) Declaración de cumplimiento</t>
  </si>
  <si>
    <t>El principal regulador del Grupo es la Superintendencia del Mercado de Valores de la República de Panamá dado que sus acciones comunes están registradas con dicha Superintendencia. Adicionalmente, ciertos segmentos de negocio son regulados por otros reguladores correspondientes a las actividades que se dediquen en sus jurisdicciones locales (ver nota 32).</t>
  </si>
  <si>
    <t>La principal subsidiaria operativa del Grupo es ASSA Compañía de Seguros, S. A. domiciliada en la República de Panamá con licencia expedida por la Superintendencia de Seguros y Reaseguros de la República de Panamá para ejercer el negocio de seguros y reaseguros en la República de Panamá. La principal legislación que rige el negocio de seguros en Panamá es la Ley 12 de 3 de abril de 2012 que regula la actividad de las compañías de seguros. Esta legislación ha adoptado las Normas de Contabilidad de las Normas Internacionales de Información Financiera (NIIF) emitidas por el Consejo de Normas Internacionales de Contabilidad (IASB por sus siglas en inglés) como marco contable de aplicación obligatoria para todas las entidades supervisadas. No obstante, la Superintendencia de Seguros y Reaseguros de la República de Panamá, y mediante la Resolución No.DG-SSRP-014 de 18 de noviembre de 2024 ha diferido para 2025 y ha reglamentado la adopción y aplicación de la norma NIIF 17, por intermedio del Acuerdo no.1 del 12 de enero de 2024.</t>
  </si>
  <si>
    <t>Según el artículo 200, literal a, de este Acuerdo, cada entidad deberá realizar y presentar a la Superintendencia un primer reporte bajo NIIF 17 para el 2024 que será no oficial ni público, y que se utilizará como base de comparación para el período siguiente (2025), cuando ya será oficial bajo NIIF 17.</t>
  </si>
  <si>
    <t>Como resultado del diferimiento de la entrada en vigor de la NIIF 17, estos estados financieros consolidados del Grupo han sido preparados de conformidad con las disposiciones de la Superintendencia, según lo descrito en el párrafo anterior.</t>
  </si>
  <si>
    <t>El Grupo ha utilizado las NIIF como guía para la contabilización de las transacciones y revelaciones no relacionadas con contratos de seguros preparados sobre la base del costo histórico, excepto por los activos y pasivos financieros al valor razonable con cambios en resultados, los activos y pasivos financieros a valor razonable con cambios en otros resultados integrales y el plan de pago basado en acciones que se miden a su valor razonable.</t>
  </si>
  <si>
    <t>La Nota 3 incluye detalles de las políticas contables del Grupo.</t>
  </si>
  <si>
    <t>### (c) Moneda funcional y de presentación</t>
  </si>
  <si>
    <t>Los estados financieros consolidados están presentados en dólares de los Estados Unidos de América (US$), que es la moneda funcional del Grupo.</t>
  </si>
  <si>
    <t>page-52</t>
  </si>
  <si>
    <t>(d) Uso de juicios y estimaciones</t>
  </si>
  <si>
    <t>La preparación de los estados financieros consolidados de conformidad con las disposiciones de la Superintendencia requiere que la Administración realice juicios, estimaciones y supuestos que afectan la aplicación de políticas contables y las cantidades reportadas de los activos y pasivos, ingresos y gastos. Los resultados reales pueden diferir de estas estimaciones.</t>
  </si>
  <si>
    <t>Las estimaciones y los supuestos en los cuales éstos se basan son revisados de manera continua. Los resultados de las revisiones de las estimaciones son reconocidos en el período en que las estimaciones son revisadas y en cualquier otro período futuro que éstas afecten.</t>
  </si>
  <si>
    <t>Información sobre los juicios críticos por la administración, en la aplicación de las políticas contables que tienen efectos importantes en los importes reconocidos en los estados financieros consolidados, se presentan en la Nota 31.</t>
  </si>
  <si>
    <t>Las estimaciones relevantes que son particularmente susceptibles a cambios significativos y los supuestos e incertidumbres en las estimaciones se relacionan con lo siguiente:</t>
  </si>
  <si>
    <t>La información sobre juicios relacionados en la aplicación de políticas contable que tienen efecto sobre los importes reconocidos en los estados financieros separados se describe en las siguientes notas:</t>
  </si>
  <si>
    <t>- Nota 13 – Provisiones sobre los contratos de seguros - Nota 11 – Activos por derecho de uso, neto</t>
  </si>
  <si>
    <t>(j) Supuestos e incertidumbres en las estimaciones</t>
  </si>
  <si>
    <t>La información sobre supuestos e incertidumbres de estimación que tienen un riesgo significativo de resultar en un ajuste de importancia relativa por el año terminado el 31 de diciembre de 2024, se incluye en las siguientes notas:</t>
  </si>
  <si>
    <t>- Nota 7 – Cuentas por cobrar de seguros y otros, netas - Nota 12 – Activos intangibles y plusvalía, neto - Nota 13 – Provisiones sobre los contratos de seguros</t>
  </si>
  <si>
    <t>(3) Políticas de contabilidad materiales</t>
  </si>
  <si>
    <t>Las políticas de contabilidad aplicadas a todos los períodos presentados en estos estados financieros consolidados son consistentes, excepto donde se señale lo contrario.</t>
  </si>
  <si>
    <t>Ciertos importes comparativos en los estados consolidados de situación financiera y de resultados del período han sido presentados como resultado de una operación descontinuada en el año actual.</t>
  </si>
  <si>
    <t>page-53</t>
  </si>
  <si>
    <t>(a) Base de consolidación</t>
  </si>
  <si>
    <t>(i) Combinaciones de negocio</t>
  </si>
  <si>
    <t>El Grupo contabiliza las combinaciones de negocios utilizando el método de la adquisición cuando se transfiere el control al Grupo. La contraprestación transferida en la adquisición generalmente se mide al valor razonable en ese momento, al igual que los activos netos identificables adquiridos, excepto por los activos o pasivos por impuestos diferidos y los activos o pasivos relacionados con los acuerdos de beneficios a los empleados reconocidos y medidos de conformidad con la NIC 12 Impuestos a las ganancias y la NIC 19 Beneficios a los empleados, respectivamente. Los costos de transacción se registran como gastos cuando se incurren, excepto si se relacionan con la emisión de deuda o instrumentos de patrimonio.</t>
  </si>
  <si>
    <t>La plusvalía se mide como el exceso de la suma de la contraprestación transferida, excluyendo el monto de cualquier participación no controladora en la adquirida, y el valor razonable de la participación en el patrimonio previamente mantenido por el adquiriente en la adquirida (si lo hubiese) sobre los importes netos a la fecha de adquisición de los activos identificables adquiridos, incluyendo los activos intangibles, y de los pasivos asumidos. Si los montos netos a la fecha de adquisición fuesen superiores a la contraprestación transferida, la diferencia se reconoce de inmediato en los resultados, como una ganancia por compra. La contraprestación transferida no incluye los importes relacionados con la liquidación de relaciones laborales y comerciales pre-existentes. Dichos importes, generalmente, se reconocen en resultados.</t>
  </si>
  <si>
    <t>Cuando la contraprestación transferida por el Grupo en una combinación de negocios incluye activos o pasivos que resultan de un acuerdo de contraprestación contingente, la contraprestación contingente se mide a su valor razonable a la fecha de adquisición y es incluida como parte de la contraprestación transferida en una combinación de negocios. Los cambios en el valor razonable de la contraprestación contingente que califican como ajustes al período de medición son ajustados de manera retroactiva, aplicando los ajustes correspondientes contra la plusvalía.</t>
  </si>
  <si>
    <t>Los ajustes del período de medición son ajustes que surgen de la información adicional obtenida durante el "período de medición" (el cual no puede exceder de un año a partir de la fecha de adquisición) sobre hechos y circunstancias que existían a la fecha de adquisición.</t>
  </si>
  <si>
    <t>La contabilización posterior de cambios en el valor razonable de la contraprestación contingente que no califican como ajustes del período de medición depende de cómo se ha clasificado la contraprestación contingente. La contraprestación contingente que es clasificada como patrimonio no es remedada en las posteriores fechas de medición y su cancelación posterior se registra dentro del patrimonio. La contraprestación contingente que es clasificada como un activo o un pasivo se vuelve a medir en las posteriores fechas de reporte, de conformidad con el tratamiento regular contable cuando sea apropiado, siendo la ganancia o pérdida correspondiente reconocida en resultados.</t>
  </si>
  <si>
    <t>page-54</t>
  </si>
  <si>
    <t>(ii) Participaciones no controladoras</t>
  </si>
  <si>
    <t>Los cambios de participación en la propiedad de una controladora en una subsidiaria que no den lugar a una pérdida de control son reconocidos como transacciones de patrimonio.</t>
  </si>
  <si>
    <t>Las subsidiarias son entidades participadas controladas por el Grupo. El Grupo controla una entidad cuando está expuesto, o tiene derecho, a rendimientos variables procedentes de su involucramiento en la participada y tiene la capacidad de influir en esos rendimientos a través de su poder sobre ésta. Los estados financieros de las subsidiarias se incluyen en los estados financieros consolidados desde la fecha en que se obtiene el control hasta la fecha en que cesa el mismo.</t>
  </si>
  <si>
    <t>Cuando el Grupo pierde control sobre una subsidiaria, da de baja las cuentas de los activos y pasivos de la subsidiaria, y el importe en libros de todas las participaciones no controladoras relacionadas y otros componentes de patrimonio. Cualquier ganancia o pérdida resultante se reconoce en resultados. Si el Grupo retiene alguna participación en la anterior subsidiaria, ésta será medida a su valor razonable en la fecha en la que se pierde el control.</t>
  </si>
  <si>
    <t>(v) Transacciones eliminadas en la consolidación</t>
  </si>
  <si>
    <t>Los saldos y transacciones y cualquier ingreso o gasto no realizado que surjan de transacciones entre compañías del Grupo son eliminados en el proceso de consolidación. Las ganancias no realizadas provenientes de transacciones con sociedades cuya inversión es reconocida según el método de la participación son eliminadas de la inversión en proporción a la participación del Grupo en la inversión. Las pérdidas no realizadas son eliminadas de la misma forma que las ganancias no realizadas, pero sólo en la medida en que no haya evidencia de deterioro.</t>
  </si>
  <si>
    <t>(vi) Administración de fondos</t>
  </si>
  <si>
    <t>Una de las subsidiarias del Grupo actúa como administrador y fiduciario de contratos fiduciarios por cuenta y riesgo de clientes. Los estados financieros de estos fondos no son parte de estos estados financieros consolidados, excepto cuando el Grupo tiene control sobre la entidad. En la Nota 26 se detalla información sobre los fondos administrados por las subsidiarias del Grupo.</t>
  </si>
  <si>
    <t>(i) Transacciones en moneda extranjera</t>
  </si>
  <si>
    <t>Las transacciones en monedas extranjeras son convertidas a las monedas funcionales de las compañías respectivas del Grupo a las tasas de cambio a las fechas de las transacciones.</t>
  </si>
  <si>
    <t>Los activos y pasivos monetarios denominados en monedas extranjeras son convertidos a la moneda funcional a la tasa de cambio a la fecha de reporte. Los activos y pasivos no monetarios que son medidos a valor razonable en una moneda extranjera son reconvertidos a la moneda funcional a la tasa de cambio del momento en que son determinados los valores razonables. Las partidas no monetarias que son medidas al costo histórico en una moneda extranjera son convertidas a la tasa de cambio, a la fecha de la transacción o adquisición.</t>
  </si>
  <si>
    <t>page-55</t>
  </si>
  <si>
    <t>Las diferencias en monedas extranjeras que se originan de la conversión de las siguientes partidas, son reconocidas en otros resultados integrales:</t>
  </si>
  <si>
    <t>- Inversiones en instrumentos de patrimonio (excepto en caso de deterioro, en cuyo caso las diferencias en monedas extranjeras que han sido reconocidas en otros resultados integrales, son reclasificadas a los resultados); - Un pasivo financiero designado como cobertura de una inversión neta en una operación extranjera hasta por el valor en que la cobertura sea efectiva, y - Coberturas de flujos de efectivo que califiquen, hasta por el monto que la cobertura sea efectiva.</t>
  </si>
  <si>
    <t>(ii) Operaciones extranjeras</t>
  </si>
  <si>
    <t>Los activos y pasivos de una operación extranjera, incluyendo la plusvalía y los ajustes del valor razonable que se originan en la adquisición, son convertidos a dólares a la tasa de cambio, a la fecha de reporte. Los ingresos y gastos de una operación extranjera son convertidos a la tasa de cambio, a las fechas de las transacciones.</t>
  </si>
  <si>
    <t>Las diferencias en moneda extranjera son reconocidas en otros resultados integrales y acumuladas en la reserva de “conversión acumulada de moneda extranjera”, excepto hasta por el monto por el cual la reserva sea asignada a la participación no controladora.</t>
  </si>
  <si>
    <t>Cuando se dispone de una operación extranjera en su totalidad o parcialmente de tal manera que se pierde el control o la influencia significativa, el monto acumulado en la reserva de conversión de moneda extranjera es reclasificado a los resultados como parte de la ganancia o pérdida en la disposición. Si el Grupo dispone de parte de su participación en una subsidiaria, pero retiene el control, entonces las proporciones pertinentes del monto acumulado se reasignan a la participación no controladora. Cuando el Grupo dispone de solamente parte de una asociada o un negocio en conjunto manteniendo la influencia significativa o el control conjunto, la proporción pertinente del monto acumulada o se reclasifica a los resultados.</t>
  </si>
  <si>
    <t>(c) Efectivo y equivalentes de efectivo</t>
  </si>
  <si>
    <t>Para propósitos del estado consolidado de flujos de efectivo, se incluye:</t>
  </si>
  <si>
    <t>(i) el efectivo que comprende tanto el efectivo como los depósitos a la vista en bancos,</t>
  </si>
  <si>
    <t>(ii) los equivalentes de efectivo incluyen instrumentos financieros con vencimientos originales de tres meses o menos excluyendo aquellos que garantizan compromisos.</t>
  </si>
  <si>
    <t>Los préstamos por cobrar a CA son activos financieros no derivados con pagos fijos o determinables que no se cotizan en el mercado activo, los cuales se originan generalmente al proveer fondos a un deudor en calidad de préstamo y el Grupo no tiene la intención de venderlos inmediatamente o en un corto plazo. Los préstamos se presentan a su costo amortizado considerando el valor principal e intereses pendiente de cobro, menos la reserva para PCE. Los préstamos se miden inicialmente a su valor razonable más los costos incrementales directos de la transacción, y posteriormente a costo amortizado utilizando el método de tasa de interés efectiva.</t>
  </si>
  <si>
    <t>page-56</t>
  </si>
  <si>
    <t>(e) Instrumentos financieros</t>
  </si>
  <si>
    <t>## Clasificación y medición – Activos financieros</t>
  </si>
  <si>
    <t>La clasificación y medición de los activos financieros refleja el modelo de negocios en el que los activos son gestionados y sus características de flujos de efectivo. Se incluyen tres (3) categorías principales de clasificación a saber:</t>
  </si>
  <si>
    <t>(1) Valor razonable con cambios en resultados (VRCR)</t>
  </si>
  <si>
    <t>Todos los activos financieros en esta categoría son medidos a su valor razonable con cambios en resultados.</t>
  </si>
  <si>
    <t>Adicionalmente, en el reconocimiento inicial, el Grupo puede designar de manera irrevocable un activo financiero que cumple con los requerimientos de medición a CA o VRCORI a ser medido a VRCR si al hacerlo se elimina o se reduce significativamente una asimetría contable que pudiese ocurrir de no hacerlo.</t>
  </si>
  <si>
    <t>(2) Valor razonable con cambios en otros resultados integrales (VRCORI)</t>
  </si>
  <si>
    <t>Un activo financiero es medido a VRCORI solo si cumple con ambas de las siguientes condiciones y no ha sido designado a VRCR:</t>
  </si>
  <si>
    <t>- El activo es mantenido dentro de un modelo de negocio cuyo objetivo es lograrlo al cobrar flujos de efectivo contractuales y al vender estos activos financieros; y - Los términos contractuales del activo financiero establecen fechas específicas para los flujos de efectivo derivados solamente de pagos de principal e intereses sobre el saldo vigente.</t>
  </si>
  <si>
    <t>(3) Costo Amortizado (CA)</t>
  </si>
  <si>
    <t>Un activo financiero es medido a costo amortizado si cumple con ambas de las siguientes condiciones:</t>
  </si>
  <si>
    <t>- El activo es mantenido dentro de un modelo de negocio cuyo objetivo es obtener flujos de efectivo contractuales; y - Los términos contractuales del activo financiero establecen fechas específicas para los flujos de efectivo derivados solamente de pagos de principal e intereses sobre el saldo vigente.</t>
  </si>
  <si>
    <t>## Evaluación del modelo de negocio</t>
  </si>
  <si>
    <t>El Grupo realizó una evaluación del objetivo del modelo de negocio en el cual se mantienen los instrumentos financieros a nivel de portafolio para reflejar, de la mejor manera, la forma en que se gestiona el negocio y en que se proporciona la información a la gerencia. La información que fue considerada incluyó:</t>
  </si>
  <si>
    <t>- La descripción del portafolio, las políticas y objetivos de la gerencia en cuanto a la administración de cada uno de los instrumentos. Estas incluyen la estrategia de la gerencia relacionada con la gestión de los flujos de efectivo, calendarios de pago y rendimientos asociados a las operaciones y salidas de efectivo esperadas.</t>
  </si>
  <si>
    <t>page-57</t>
  </si>
  <si>
    <t>- Cómo se evalúa e informa al respecto al personal clave de la gerencia del Grupo sobre el rendimiento de la cartera; - Los riesgos que afectan al rendimiento del modelo de negocio (y los activos financieros mantenidos en el modelo de negocio) y la forma en que se administran dichos riesgos; - Cómo se retribuye a los gestores del negocio (por ejemplo, si la compensación se basa en el valor razonable de los activos gestionados o sobre los flujos de efectivo contractuales obtenidos); y - La frecuencia, el valor y el calendario de las ventas en períodos anteriores, las razones de esas ventas y las expectativas sobre la actividad de ventas futuras.</t>
  </si>
  <si>
    <t>## Evaluación de si los flujos de efectivo contractuales son solamente pagos de principal e intereses</t>
  </si>
  <si>
    <t>Para el propósito de esta evaluación, “principal” es definido como el valor razonable del activo financiero al momento de reconocimiento inicial. “Interés” es definido como la consideración del valor del dinero en el tiempo y por el riesgo de crédito asociado al monto del principal vigente en un período de tiempo particular y por otros riesgos básicos de un acuerdo de préstamos y otros costos asociados, al igual que el margen de rentabilidad.</t>
  </si>
  <si>
    <t>Al evaluar si los flujos de efectivo contractuales son solamente pagos de principal e intereses, el Grupo se enfoca en los términos contractuales del instrumento.</t>
  </si>
  <si>
    <t>Esta evaluación considera, entre otros:</t>
  </si>
  <si>
    <t>- Eventos contingentes que podrían cambiar el monto y/o periodicidad de los flujos de efectivo; - Condiciones de apalancamiento; - Términos de pago anticipado y extensión; - Términos que limitan al Grupo para obtener flujos de efectivo de activos específicos; - Características que modifican las consideraciones para el valor del dinero en el tiempo.</t>
  </si>
  <si>
    <t>## Medición posterior y ganancias y pérdidas – Activos financieros</t>
  </si>
  <si>
    <t>A continuación, se resume la medición de los activos financieros:</t>
  </si>
  <si>
    <t>Los activos se miden posteriormente al valor razonable. Las ganancias y pérdidas netas, incluyendo cualquier ingreso por intereses o dividendos, se reconocen en resultados.</t>
  </si>
  <si>
    <t>page-58</t>
  </si>
  <si>
    <t>Instrumentos de deuda – Con reciclaje</t>
  </si>
  <si>
    <t>Los activos se miden posteriormente al valor razonable. El ingreso por intereses calculado bajo el método de interés efectivo, las ganancias y pérdidas por conversión de moneda extranjera y el deterioro se reconocen en resultados. Otras ganancias y pérdidas netas se reconocen en otros resultados integrales. En el momento de la baja de activos, las ganancias y pérdidas acumuladas en otros resultados integrales se reclasifican a resultados.</t>
  </si>
  <si>
    <t>Instrumentos de patrimonio – Sin reciclaje</t>
  </si>
  <si>
    <t>Durante el reconocimiento inicial de inversiones en instrumentos de patrimonio no mantenidas para negociar, el Grupo puede elegir irrevocablemente registrar los cambios subsecuentes en valor razonable como parte de los otros resultados integrales. Esta elección se debe hacer sobre una base de instrumento por instrumento.</t>
  </si>
  <si>
    <t>Las ganancias y pérdidas en el valor razonable de dichos instrumentos de patrimonio no podrán ser reclasificadas a resultados y no se les reconoce deterioro en resultados.</t>
  </si>
  <si>
    <t>Las ganancias y pérdidas no realizadas se reportan como incrementos netos o disminuciones en otros resultados integrales (ORI) en el estado de cambios en el patrimonio de los accionistas neto hasta que se realicen. Las ganancias y pérdidas realizadas por la venta de valores que se incluyen en la ganancia neta en la venta de valores se determinan usando el método de identificación específico.</t>
  </si>
  <si>
    <t>Para un instrumento de patrimonio designado como medido a VRCORI, la ganancia o pérdida acumulada previamente reconocida en otros resultados integrales no se reclasifica posteriormente a ganancias y pérdidas, pero puede ser transferida dentro del patrimonio a utilidades no distribuidas.</t>
  </si>
  <si>
    <t>Los activos se miden posteriormente al valor razonable. Los dividendos se reconocen como ingresos en resultados a menos que el dividendo claramente represente una recuperación de parte del costo de la inversión. Otras ganancias y pérdidas netas se reconocen en otros resultados integrales y nunca se reclasifican a resultados.</t>
  </si>
  <si>
    <t>Los activos se miden posteriormente al costo amortizado usando el método del interés efectivo. El costo amortizado se reduce por las pérdidas por deterioro. El ingreso por intereses, las ganancias y pérdidas por conversión de moneda extranjera y el deterioro se reconocen en resultados. Cualquier ganancia o pérdida en la baja de cuentas se reconoce en resultados.</t>
  </si>
  <si>
    <t>El Grupo da de baja en cuentas un activo financiero cuando expiran los derechos contractuales pactados sobre los flujos de efectivo del activo financiero, en una transacción en la que se transfieren sustancialmente todos los riesgos y beneficios de la propiedad del activo financiero, o no transfiere ni retiene sustancialmente todos los riesgos y beneficios relacionados con la propiedad y no retiene control sobre los activos transferidos.</t>
  </si>
  <si>
    <t>page-59</t>
  </si>
  <si>
    <t>El Grupo participa en transacciones en las que transfieren ciertos activos reconocidos en su estado consolidado de situación financiera; pero retiene todos o sustancialmente todos los riesgos y beneficios de los activos transferidos. En esos casos, los activos transferidos no son dados de baja en cuentas.</t>
  </si>
  <si>
    <t>En el momento de la baja en cuentas de un activo financiero la diferencia entre el importe en libros del activo financiero extinto y la contraprestación pagada (incluidos los activos que no sean en efectivo transferidos o los activos asumidos) se reconoce en resultados.</t>
  </si>
  <si>
    <t>El Grupo da de baja en cuentas un pasivo financiero cuando sus obligaciones contractuales son pagadas o canceladas, o bien hayan expirado. El Grupo también da de baja en cuentas un pasivo financiero cuando se modifican sus condiciones y los flujos de efectivo del pasivo modificado son sustancialmente distintos. En este caso, se reconoce un nuevo pasivo financiero con base en las condiciones nuevas al valor razonable.</t>
  </si>
  <si>
    <t>En el momento de la baja en cuentas de un pasivo financiero, la diferencia entre el importe en libros del pasivo financiero extinto y la contraprestación pagada (incluidos los activos transferidos que no sean en efectivo transferidos o los pasivos asumidos) se reconoce en resultados.</t>
  </si>
  <si>
    <t>Un activo y un pasivo financiero serán objeto de compensación, de manera que se presente en el estado consolidado de situación financiera su importe neto, cuando y solo cuando el Grupo tenga, en el momento actual, el derecho exigible legalmente, de compensar los importes reconocidos y tenga la intención de liquidarlos por el importe neto, o de realizar el activo y liquidar el pasivo simultáneamente.</t>
  </si>
  <si>
    <t>El importe en libros bruto de un activo financiero se castiga cuando el Grupo no tiene expectativas razonables de recuperar un activo financiero en su totalidad o una porción del mismo. En el caso de los clientes individuales, la política del Grupo es castigar el importe en libros bruto cuando el activo financiero tiene una mora de 180 días con base en la experiencia histórica de recuperaciones de activos similares. En el caso de los clientes empresariales, el Grupo hace una evaluación individual de la oportunidad y el alcance del castigo con base en si existe o no una expectativa razonable de recuperación. El Grupo no espera que exista una recuperación significativa del importe castigado.</t>
  </si>
  <si>
    <t>No obstante, los activos financieros que son castigados podrían estar sujetos a actividades de cobros a fin de cumplir con los procedimientos del Grupo para la recuperación de los importes adeudados.</t>
  </si>
  <si>
    <t>A la fecha de reporte, se determina si existe una evidencia objetiva de deterioro en los instrumentos financieros, y se utiliza el modelo de pérdidas crediticias esperadas (PCE), para provisionar las pérdidas esperadas en los instrumentos financieros.</t>
  </si>
  <si>
    <t>page-60</t>
  </si>
  <si>
    <t>El modelo de pérdidas crediticias esperadas (PCE) es aplicable a los siguientes activos financieros que no son medidos a VRCR:</t>
  </si>
  <si>
    <t>- Depósitos a plazo; - Instrumentos de deuda; - Fondos de inversión cuyas características de pago tienen similitud con instrumentos de deuda de renta fija; - Primas por cobrar; - Préstamos por cobrar.</t>
  </si>
  <si>
    <t>No se reconocerá pérdida por deterioro sobre inversiones en instrumentos de patrimonio en resultados.</t>
  </si>
  <si>
    <t>La evaluación de si se presentó o no un incremento significativo en el riesgo de crédito de un activo financiero es uno de los juicios críticos implementados en el modelo de deterioro.</t>
  </si>
  <si>
    <t>La provisión para pérdidas crediticias en inversiones se reconoce por el monto equivalente a la PCE de 12 meses en los siguientes casos:</t>
  </si>
  <si>
    <t>- Inversiones en instrumentos de deuda cuyo riesgo de crédito se determina como bajo a la fecha de reporte; y - Otros instrumentos financieros sobre los cuales el riesgo de crédito no ha incrementado significativamente desde su reconocimiento inicial.</t>
  </si>
  <si>
    <t>Para el resto de los casos, la provisión se reconoce con base en el monto equivalente a la PCE durante el tiempo de vida total remanente del activo.</t>
  </si>
  <si>
    <t>Las pérdidas crediticias esperadas en primas por cobrar se miden durante 12 meses utilizando un enfoque simplificado de tasa de pérdida.</t>
  </si>
  <si>
    <t>El modelo de pérdidas crediticias esperadas (PCE), presenta tres etapas de deterioro para los activos financieros que se aplican desde la fecha de origen o adquisición. Estas etapas se resumen a continuación:</t>
  </si>
  <si>
    <t>- Etapa 1: Reconoce la provisión de pérdidas crediticias por el monto equivalente a las pérdidas de crédito esperadas de los próximos 12 meses. Esto representa la porción de pérdidas crediticias esperadas que resulta de eventos de pérdidas que son probables dentro de un período de 12 meses siguientes a la fecha de reporte, asumiendo que el riesgo de crédito no se ha incrementado significativamente desde su reconocimiento inicial. - Etapa 2: Reconoce la provisión para pérdidas crediticias por el monto equivalente a las pérdidas crediticias esperadas durante la vida remanente del activo para aquellos activos financieros que se consideran que han experimentado un incremento significativo en el riesgo de crédito desde su reconocimiento inicial. Esto requiere el cómputo de la PCE basado en la probabilidad de incumplimiento durante la vida restante del activo financiero, la cual es calculada a valor presente.</t>
  </si>
  <si>
    <t>page-61</t>
  </si>
  <si>
    <t>La provisión para pérdidas de crédito es más alta en esta etapa debido a un incremento significativo del riesgo de crédito y considerando el impacto de un horizonte de tiempo más largo al compararse con la etapa 1, que solo considera un período de un año.</t>
  </si>
  <si>
    <t>- Etapa 3: Reconoce una provisión para pérdidas crediticias por el monto equivalente a la PCE durante el tiempo de vida remanente del activo, con base en una probabilidad de incumplimiento (PI) del 100% sobre los flujos de efectivo recuperables del activo.</t>
  </si>
  <si>
    <t>## Incremento significativo en el riesgo de crédito de las primas por cobrar</t>
  </si>
  <si>
    <t>De manera periódica, el Grupo evalúa si se ha incrementado de forma significativa el riesgo crediticio. Un incremento significativo del riesgo crediticio se define como cualquier factor, interno o externo del cliente, o del emisor del mercado en el que opera la economía en general que pueda afectar el riesgo de impago de la póliza u otra operación crediticia. Al realizar la evaluación, el Grupo utiliza el cambio existente en el riesgo de que ocurra un incumplimiento a lo largo de la vida esperada en lugar del cambio en el importe de las pérdidas crediticias esperadas. Para realizar esta evaluación, el Grupo considera información razonable y sustentable que esté disponible sin costo o esfuerzo desproporcionado y que sea indicativa de incrementos en el riesgo crediticio desde el reconocimiento inicial.</t>
  </si>
  <si>
    <t>No es necesario llevar a cabo una búsqueda exhaustiva de información para determinar si el riesgo crediticio se ha incrementado significativamente desde el reconocimiento inicial.</t>
  </si>
  <si>
    <t>El análisis del riesgo crediticio es un análisis multifactor y holístico. Un factor específico puede ser relevante o no. Su peso dependerá de la comparación con otros factores, de acuerdo con el tipo de producto, canal de producción, tipo del contratante, región geográfica, etc. Es por esto que la administración ha considerado las segmentaciones como un componente importante para determinar el incremento significativo de riesgo crediticio siguiendo los parámetros de morosidad y cancelaciones establecidos en la política global de cobros.</t>
  </si>
  <si>
    <t>Un incumplimiento es causal para darle de baja al activo; sin embargo, se requiere de un proceso específico previo para realizar la cancelación del activo; el cual dependerá de las gestiones de cobros efectuadas, número de cuotas atrasadas y tipo de cliente (persona natural, jurídica o gobierno).</t>
  </si>
  <si>
    <t>Los criterios para determinar si el riesgo de crédito ha incrementado significativamente varían dependiendo del portafolio. En inversiones en valores, el Grupo determina que una exposición a riesgo de crédito refleja un incremento significativo desde su reconocimiento inicial si la calificación de riesgo de crédito del emisor ha desmejorado según los límites indicados en el mapa de calor desarrollado y fundamenta la toma de decisiones en el juicio de expertos donde se evalúan indicadores cualitativos particulares que se consideran como relevantes y cuyo efecto no se reflejaría integralmente de otra forma.</t>
  </si>
  <si>
    <t>page-62</t>
  </si>
  <si>
    <t># Calificación de riesgo de crédito de los instrumentos financieros</t>
  </si>
  <si>
    <t>El Grupo asignó a cada instrumento una calificación de riesgo de crédito basada en un modelo interno que incorpora una serie de datos predictivos de la ocurrencia de pérdidas. Estos modelos fueron desarrollados, validados y aplicados tomando en consideración información correspondiente a varios períodos para evaluar su razonabilidad.</t>
  </si>
  <si>
    <t>Para las inversiones internacionales, se utilizó la calificación de riesgo internacional de Fitch Ratings Inc., Standard and Poor's o Moody's. Para los instrumentos con calificación local, se consideró la calificación de una agencia calificadora debidamente autorizada por el regulador. Para aquellos instrumentos sin calificación, la administración utilizó un modelo interno de clasificación basado en la metodología de Fitch Ratings Inc.</t>
  </si>
  <si>
    <t>Las calificaciones de riesgo de crédito son definidas y calibradas para que el riesgo de pérdida incremente exponencialmente a medida que el instrumento se deteriora.</t>
  </si>
  <si>
    <t>Cada instrumento financiero al que aplique tendrá una calificación de riesgo de crédito asignada al momento del reconocimiento inicial basada en información disponible sobre el emisor o deudor. Las exposiciones estarán sujetas a seguimiento continuo, que pudiese resultar en el desplazamiento de una exposición a una calificación de riesgo de crédito distinta.</t>
  </si>
  <si>
    <t># Definición de incumplimiento</t>
  </si>
  <si>
    <t>El Grupo considera un activo financiero en incumplimiento cuando:</t>
  </si>
  <si>
    <t>- Es poco probable que el emisor pague completamente sus obligaciones de crédito al Grupo, sin opciones para adjudicar colateral (en el caso que mantengan); o - El deudor presenta morosidad de más de 90 días en los préstamos personales y más de 180 días en los préstamos hipotecarios; en primas por cobrar, cuando el deudor presenta morosidad mayor a 4 años en cartera de gobierno y 18 meses en cartera que no sea de gobierno. - Para los instrumentos financieros de renta fija se incluyen los siguientes conceptos, entre otros: - Baja de calificación externa del emisor; - Los pagos contractuales no se realizan en la fecha que vencen o en el plazo o período de gracia estipulado - Existe una alta probabilidad de suspensión de pagos; - Es probable que el emisor entre en un proceso de re-organización crediticia o se efectúe una petición de bancarrota o acción similar por parte de los acreedores; - El activo financiero deja de negociarse en un mercado activo dadas las dificultades financieras del emisor o del mercado en el que fue emitido.</t>
  </si>
  <si>
    <t>Al evaluar si un emisor/deudor se encuentra en incumplimiento, el Grupo considera los siguientes indicadores:</t>
  </si>
  <si>
    <t>- Cuantitativos – el estatus de morosidad, no pago sobre otra obligación del mismo emisor o prestatario y las gestiones de cobro realizadas.</t>
  </si>
  <si>
    <t>page-63</t>
  </si>
  <si>
    <t>- Cualitativos – el incumplimiento de cláusulas regulatorias y/o fiscales, así como información general que aparezca en las noticias sobre la situación financiera del emisor o deudor.</t>
  </si>
  <si>
    <t>La pérdida de crédito esperada (PCE) es la probabilidad ponderada estimada de incurrir en una pérdida crediticia y es medida de acuerdo con los siguientes rubros:</t>
  </si>
  <si>
    <t>- Activos financieros que no presentan deterioro crediticio a la fecha de reporte. - Activos financieros que están deteriorados a la fecha de reporte.</t>
  </si>
  <si>
    <t>## Generando una estructura de Probabilidad de Incumplimiento (PI)</t>
  </si>
  <si>
    <t>Para el portafolio de inversiones en valores, se espera que las calificaciones de riesgo de crédito sean el insumo principal para determinar la estructura de término de la probabilidad de incumplimiento (PI) para las diferentes exposiciones. Las exposiciones al riesgo de crédito se analizan por jurisdicción o región, tipo de instrumento, emisor y producto (con o sin garantía) y deudor. Se utilizan datos obtenidos de Bloomberg como fuente de referencia.</t>
  </si>
  <si>
    <t>Para el portafolio de primas por cobrar se establece el factor de pérdida, el cual es determinado sobre la probabilidad de incumplimiento de pago (PI) basado en el comportamiento estadístico e histórico de la morosidad en pólizas similares correspondientes a los últimos 36 meses. Se considera una probabilidad de incumplimiento de pago a partir de que la póliza esté en su período corriente de cobro y la misma aumenta en la medida en que el saldo pasa a períodos más antiguos.</t>
  </si>
  <si>
    <t>Para el portafolio de préstamos, el Grupo ha identificado que los instrumentos que componen la cartera de préstamos presentan perfiles similares de riesgo en relación con el monto de exposición, tasa de interés, garantías u otros factores dentro del grupo al que pertenecen.</t>
  </si>
  <si>
    <t>Para esto se determinaron estadísticas de dispersión ("volatilidad") de los valores de dichos perfiles alrededor de valores promedios. A la fecha, el Grupo no ha identificado instrumentos de su cartera de préstamos que requieran ser evaluados de forma individual.</t>
  </si>
  <si>
    <t>En consecuencia, se determinó la conveniencia de agrupar los instrumentos financieros que componen las carteras de crédito del Grupo por país y por segmento, según su garantía. Por lo tanto, se definieron dos segmentos por país:</t>
  </si>
  <si>
    <t>1) Préstamos a la Vivienda con Garantía Hipotecaria y Préstamos Personales con Garantía Hipotecaria. 2) Préstamos Personales Sin Garantía Hipotecaria.</t>
  </si>
  <si>
    <t>La adopción de este criterio de agrupación de instrumentos deriva de la necesidad de facilitar el cálculo posterior de la PDI de los segmentos, parámetro asociado significativamente con las garantías de los instrumentos.</t>
  </si>
  <si>
    <t>page-64</t>
  </si>
  <si>
    <t># Insumos en la medición de la PCE</t>
  </si>
  <si>
    <t>Los insumos claves en la medición de la PCE son los términos de las siguientes variables:</t>
  </si>
  <si>
    <t>Modelo de inversiones y préstamos por cobrar - Probabilidad de incumplimiento (PI) - Pérdida dado el incumplimiento (PDI) - Exposición ante el incumplimiento (EI)</t>
  </si>
  <si>
    <t>Modelo de primas por cobrar - Tasa de pérdida (TP) - Factor macroeconómico (FME) - Exposición ante el incumplimiento (EI)</t>
  </si>
  <si>
    <t>En estos modelos se utiliza información estadística y otros datos históricos que son ajustados para reflejar información con proyección a futuro.</t>
  </si>
  <si>
    <t>Las estimaciones de PI son calculadas a cierta fecha, utilizando modelos estadísticos de calificación y herramientas adecuadas a las distintas categorías de contraparte y exposición. Los modelos estadísticos fueron desarrollados internamente por el Grupo basados en datos históricos. Estos modelos se alimentan de factores cuantitativos y cualitativos, obtenidos del sistema de información Bloomberg y la agencia calificadora de riesgo de crédito S&amp;amp;P. Los cambios en las categorías de calificación resultan en un cambio en el estimado de la PI asociada. Las PI son estimadas considerando los vencimientos contractuales de las exposiciones.</t>
  </si>
  <si>
    <t>La PDI es la magnitud de la pérdida dado un evento de incumplimiento. El Grupo obtiene la PDI de las inversiones en valores de un análisis histórico por regiones realizado por Merrill Lynch. Además, Bloomberg cuenta con un histórico de tasa de recuperación de reclamos en contra de contrapartes en estado de incumplimiento.</t>
  </si>
  <si>
    <t>Las PDI de Bloomberg consideran diferentes escenarios económicos de acuerdo con la estructura, colateral, industria y región donde opera el emisor del instrumento o deudor y costos de recuperación de cualquier garantía integral.</t>
  </si>
  <si>
    <t>La EI representa la exposición esperada en el evento de incumplimiento. El Grupo determina la EI como el costo amortizado del instrumento a la fecha de valoración considerando cambios potenciales a la cifra actual permitida bajo contrato.</t>
  </si>
  <si>
    <t>Para los préstamos las PCE para las exposiciones en "Etapa 1" son calculadas mediante la multiplicación de la PI "durante los próximos 12 meses" por la PDI y la EAI. Las PCE "durante el tiempo de vida" son calculadas mediante la multiplicación de la PI "durante el tiempo de vida" por la PDI y la EI.</t>
  </si>
  <si>
    <t>Estos parámetros se derivan de modelos estadísticos desarrollados internamente y otros datos históricos, y se ajustan para reflejar la información prospectiva.</t>
  </si>
  <si>
    <t>page-65</t>
  </si>
  <si>
    <t>La metodología para la estimación de las PDI de los segmentos identificados, tal como se describe anteriormente bajo el encabezado "Generando un estructura de Probabilidad de Incumplimiento (PI)", y en el contexto del tratamiento colectivo de las carteras de crédito, se enfoca en su medición a partir de los procesos denominados como "Cadenas de Markov", a través de las cuales se calcula la probabilidad (condicional) de que un instrumento, que se encuentre en un momento en una determinada categoría de riesgo, migre a otra en un horizonte de tiempo también determinado.</t>
  </si>
  <si>
    <t>El Grupo estima los parámetros de PDI en función de la historia de las tasas de recuperación de las exposiciones contra las contrapartes deterioradas. Los modelos de PDI consideran la estructura, la garantía, la antigüedad del reclamo, la industria de la contraparte y los costos de recuperación de cualquier garantía que sea integral al activo financiero. Para los préstamos garantizados con propiedades, los índices de "LTV" son un parámetro clave para determinar su PDI.</t>
  </si>
  <si>
    <t>La metodología de tasa de pérdida ("Loss Rate") predice pérdidas considerando el porcentaje de saldos que migran de un determinado ciclo de mora en el período "t" a otro ciclo de mayor nivel de deterioro en el período "t+1".</t>
  </si>
  <si>
    <t>Mensualmente se establece la tasa de pérdida del mes, considerando el valor de las pólizas bajo incumplimiento sobre el total de la prima por cobrar para cada nivel de granularidad previamente determinada. Para determinar la tasa de pérdida a utilizar, se considera el comportamiento de los últimos 12, 24, 36, 48 y 60 meses para cada nivel de granularidad. Se utiliza el criterio experto considerando las tendencias de cobro para utilizar el comportamiento estimado adecuado.</t>
  </si>
  <si>
    <t>El factor macroeconómico considera variables observables o medibles que guarden una correlación con el comportamiento histórico de la morosidad. El estudio concluyó que el indicador que mayor relación guarda con la morosidad histórica es el Índice Mensual de la Actividad Económica (IMAE). Este indicador mide el comportamiento global de la producción nacional, con periodicidad mensual. El IMAE es una combinación de indicadores mensuales básicos de la producción de bienes y servicios, formulado a través de un índice de Quantum de Laspeyres, el cual mantiene un sistema de ponderaciones sobre un año base específico. Está compuesto por indicadores mensuales de catorce actividades económicas que contiene la Clasificación Industrial Internacional Uniforme (CIIU), y que a su vez están incluidas en el cálculo del Producto Interno Bruto (PIB).</t>
  </si>
  <si>
    <t>A través de regresiones lineales se establece una beta que permita explicar cuán sensible es la cartera de primas por cobrar a los cambios en las variables macroeconómicas. Las regresiones son sometidas a pruebas de hipótesis actuariales para verificar el nivel de confianza de la beta.</t>
  </si>
  <si>
    <t>La información sobre las variables macroeconómicas se obtiene principalmente de órganos estatales especializados en estadísticas a nivel Centroamérica, y en la práctica constituyen la fuente de información para la obtención de estos indicadores e insumos externos.</t>
  </si>
  <si>
    <t>page-66</t>
  </si>
  <si>
    <t>La EI en el modelo de primas por cobrar representa la participación del Grupo en el riesgo retenido del saldo por cobrar menos la prima retenida no devengada a la fecha de la evaluación.</t>
  </si>
  <si>
    <t>En el contexto de los préstamos, el comportamiento de la morosidad se ve influenciado por estos factores macroeconómicos, ya que una desaceleración en la actividad económica puede traducirse en un menor ingreso para las empresas y los hogares, lo que aumenta el riesgo de impago. Las instituciones financieras utilizan estos indicadores para ajustar sus políticas de otorgamiento de crédito, evaluar la solvencia de los prestatarios y calcular provisiones para pérdidas esperadas.</t>
  </si>
  <si>
    <t>## Consideración de condiciones futuras</t>
  </si>
  <si>
    <t>El Grupo incorpora información sobre condiciones futuras tanto en su evaluación de si el riesgo de crédito de un instrumento ha incrementado significativamente desde su reconocimiento inicial como en su medición de la PCE.</t>
  </si>
  <si>
    <t>La información externa incluye datos económicos y proyecciones publicadas por los cuerpos gubernamentales y autoridades monetarias en los países en los que el Grupo opera.</t>
  </si>
  <si>
    <t>## (g) Activos no financieros</t>
  </si>
  <si>
    <t>El valor según libros de los activos no financieros del Grupo es revisado a la fecha de reporte, para determinar si existe un indicativo de deterioro, con excepción del impuesto diferido activo. Si existe algún indicativo, entonces el valor recuperable del activo es estimado y ajustado.</t>
  </si>
  <si>
    <t>El valor recuperable de un activo o su unidad generadora de efectivo es el mayor entre su valor de uso y su valor razonable menos los costos para su venta. Para determinar el valor de uso, los flujos de efectivo estimados futuros son descontados a su valor presente utilizando una tasa de interés de descuento que refleje la evaluación de mercado corriente del valor del dinero en el tiempo y los riesgos específicos del activo. Para propósitos de la prueba de deterioro, los activos son agrupados dentro del menor grupo de activos con características similares que generan entradas de flujos de efectivo por su uso continuo que son altamente independientes de las entradas de flujos de efectivo de otros activos o grupos de activos (unidades generadoras de efectivo).</t>
  </si>
  <si>
    <t>Una pérdida por deterioro reconocida en un período anterior es reversada si ha habido algún cambio en la estimación usada para determinar el valor recuperable. Una pérdida por deterioro se reversa sólo hasta por un valor que no sea superior al valor en libros original que habría sido reconocido originalmente el activo, neto de depreciación o amortización, si no hubiese sido reconocida ninguna pérdida por deterioro.</t>
  </si>
  <si>
    <t>## (h) Patrimonio de los accionistas</t>
  </si>
  <si>
    <t>Las acciones comunes son acciones sin valor nominal. El Grupo clasifica las acciones comunes como patrimonio. Los costos incrementales de emitir las acciones comunes se reconocen como una deducción del patrimonio.</t>
  </si>
  <si>
    <t>page-67</t>
  </si>
  <si>
    <t>## Recompra y re-emisión de acciones de capital (acciones en tesorería)</t>
  </si>
  <si>
    <t>Cuando las acciones de capital reconocidas como patrimonio son recompradas por el Grupo, el valor pagado, que incluye los costos directamente atribuibles, se reconoce como una deducción del patrimonio. La recompra de acciones se clasifica como acciones en tesorería en el estado consolidado de patrimonio.</t>
  </si>
  <si>
    <t>Cuando las acciones en tesorería son vendidas o re-emitidas subsecuentemente, la cantidad recibida se reconoce como un incremento en el patrimonio. Cualquier ganancia o pérdida en la re-emisión de las acciones se presenta como prima o descuento en venta de acciones en tesorería.</t>
  </si>
  <si>
    <t>## Acciones preferidas en subsidiaria</t>
  </si>
  <si>
    <t>Las acciones preferidas son clasificadas como patrimonio si éstas no son redimibles o, en caso de ser redimibles, esto es solamente a voluntad de la Compañía y si los dividendos son distribuibles a discreción de la Compañía. Los correspondientes dividendos son reconocidos como distribuciones en la sección de patrimonio una vez aprobados por la Junta Directiva de la Compañía. Las distribuciones a favor de los tenedores de las acciones preferidas no estipulan derechos acumulativos y están a discreción del emisor.</t>
  </si>
  <si>
    <t>## (i) Medición de valor razonable</t>
  </si>
  <si>
    <t>Valor razonable es el precio que sería recibido por vender un activo o pagado por transferir un pasivo en una transacción ordenada entre participantes debidamente informados del mercado principal en la fecha de medición. El valor razonable de un pasivo refleja el efecto del riesgo de incumplimiento.</t>
  </si>
  <si>
    <t>Cuando es aplicable, el Grupo mide el valor razonable de un instrumento utilizando un precio cotizado en un mercado activo para tal instrumento. Un mercado es considerado como activo, si las transacciones de estos activos o pasivos tienen lugar con frecuencia y volumen suficiente para proporcionar información para fijar precios sobre una base continua.</t>
  </si>
  <si>
    <t>Cuando no existe un precio cotizado en un mercado activo, el Grupo utiliza técnicas de valoración que maximizan el uso de datos de entradas observables relevantes y minimizan el uso de datos de entradas no observables. Las técnicas de valoración escogidas incorporan todos los factores que los participantes del mercado tendrían en cuenta al fijar el precio de una transacción.</t>
  </si>
  <si>
    <t>Otras técnicas de valoración incluyen valor presente neto y modelos de flujos de efectivo descontados, comparaciones con instrumentos similares para los cuales haya precios de mercado observables en un mercado activo, y otros modelos de valuación. Los supuestos y datos de entrada utilizados en las técnicas de valoración incluyen tasas de referencia libres de riesgo, márgenes crediticios y otras premisas utilizadas para estimar las tasas de descuento.</t>
  </si>
  <si>
    <t>El objetivo de utilizar una técnica de valoración es estimar un precio razonable de venta del activo o de transferencia del pasivo entre participantes del mercado en la fecha de la medición en las condiciones de mercado presentes.</t>
  </si>
  <si>
    <t>page-68</t>
  </si>
  <si>
    <t>(j) Activos y pasivos negociables</t>
  </si>
  <si>
    <t>Los activos y pasivos negociables son aquellos que el Grupo adquiere o contrae principalmente con el propósito de vender o recomprar en el corto plazo, o se mantienen como parte de una cartera que se administra conjuntamente para toma de posiciones o ganancias a corto plazo.</t>
  </si>
  <si>
    <t>Los activos y pasivos negociables se reconocen inicialmente y se miden posteriormente a valor razonable en el estado consolidado de situación financiera, con los costos de transacción reconocidos en ganancias o pérdidas. Todos los cambios en el valor razonable se reconocen como parte de los "otros ingresos" en el estado consolidado de resultados.</t>
  </si>
  <si>
    <t>(k) Inmuebles, mobiliario, equipo y mejoras</t>
  </si>
  <si>
    <t>(i) Reconocimiento y medición</t>
  </si>
  <si>
    <t>Los inmuebles, mobiliario, equipo y mejoras están medidos al costo menos la depreciación y amortización acumulada y pérdidas por deterioro acumuladas.</t>
  </si>
  <si>
    <t>Los costos incluyen los gastos que son directamente atribuibles a la adquisición del activo. Los costos de los activos construidos incluyen los costos de materiales y mano de obra directa, y cualquier otro costo directamente relacionado con el activo para que esté en las condiciones necesarias para que pueda operar de la forma prevista.</t>
  </si>
  <si>
    <t>Las ganancias y pérdidas en disposición de inmuebles, mobiliario, equipo y mejoras son determinadas comparando el producto de la disposición neta de los gastos incurridos, con el valor según libros de los activos netos de depreciación o amortización acumulada tomando en consideración las pérdidas por deterioro y son reconocidas netas dentro de los "otros ingresos" en el estado consolidado de resultados.</t>
  </si>
  <si>
    <t>Los desembolsos subsecuentes se capitalizan solamente cuando es probable que ingresen al Grupo beneficios económicos futuros asociados con los desembolsos. Las reparaciones normales y los gastos de mantenimiento son llevados a gastos en la medida en que se incurren.</t>
  </si>
  <si>
    <t>(iii) Depreciación y amortización</t>
  </si>
  <si>
    <t>La depreciación y amortización es calculada sobre el importe amortizable, que es el costo de un activo, menos su valor residual. La depreciación y amortización se reconoce en el estado consolidado de resultados en línea recta durante la vida útil estimada de cada parte de un elemento de inmuebles, mobiliario, equipo y mejoras, ya que éste refleja mejor los patrones de consumo de los beneficios económicos futuros asociados al activo. Los terrenos no se deprecian.</t>
  </si>
  <si>
    <t>page-69</t>
  </si>
  <si>
    <t>La vida útil estimada de los activos es como sigue:</t>
  </si>
  <si>
    <t>Inmuebles Mobiliario y equipo Equipo rodante Mejoras a la propiedad</t>
  </si>
  <si>
    <t>De 20 a 50 años De 3 a 15 años De 5 a 8 años De 5 a 10 años</t>
  </si>
  <si>
    <t>Los métodos de depreciación, las vidas útiles y los valores residuales se revisan a cada fecha de reporte y se ajustan si es necesario.</t>
  </si>
  <si>
    <t>(l) Activos y pasivos por arrendamiento</t>
  </si>
  <si>
    <t>Al inicio de un contrato, el Grupo evalúa si un contrato es, o contiene, un arrendamiento. Un contrato es, o contiene, un arrendamiento si el contrato transmite el derecho de controlar el uso de un activo identificado por un período de tiempo a cambio de una consideración monetaria. Para evaluar si un contrato transmite el derecho de controlar el uso de un activo identificado, el Grupo evalúa si:</t>
  </si>
  <si>
    <t>- el contrato implica el uso de un activo identificado: esto puede especificarse explícita o implícitamente, y debe ser físicamente distinto o representar sustancialmente toda la capacidad de un activo físicamente distinto o identificable. Si el proveedor tiene un derecho de sustitución sustancial, entonces el activo no se identifica; - el Grupo tiene derecho a obtener sustancialmente todos los beneficios económicos del uso del activo durante todo el período de uso; y - el Grupo tiene la habilidad de dirigir el uso del activo. El Grupo tiene este derecho cuando tiene los derechos de toma de decisiones más relevantes, tales como la habilidad para cambiar cómo y para qué propósito se utiliza el activo. En raras ocasiones, cuando la decisión sobre cómo y para qué propósito se utiliza el activo está predeterminada, el Grupo tiene el derecho de decidir el uso del activo si:</t>
  </si>
  <si>
    <t>- el Grupo tiene el derecho de operar el activo; o - el Grupo designó el activo de una manera que predetermina cómo y para qué propósito será utilizado.</t>
  </si>
  <si>
    <t>Al inicio o en la revaluación de un contrato que contiene un componente de arrendamiento, el Grupo asigna la consideración en el contrato a cada componente de arrendamiento sobre la base de sus precios independientes relativos. Sin embargo, para los arrendamientos de terrenos y edificios en los que es arrendatario, el Grupo ha elegido no separar los componentes de no-arrendamiento del contrato y contabilizarlos en un único componente de arrendamiento junto con los componentes que sí califican.</t>
  </si>
  <si>
    <t>page-70</t>
  </si>
  <si>
    <t>El Grupo reconoce un activo por derecho de uso y un pasivo por arrendamiento en la fecha de inicio del arrendamiento. El activo por derecho de uso se mide inicialmente al costo, que comprende el monto inicial del pasivo por arrendamiento ajustado por cualquier pago de arrendamiento realizado en o antes de la fecha de inicio, más los costos directos iniciales incurridos y una estimación de los costos para desmantelar y eliminar el activo subyacente o para restaurar el activo subyacente o el sitio en el que se encuentra, menos los incentivos de arrendamiento recibidos, en caso de que existan.</t>
  </si>
  <si>
    <t>El activo por derecho de uso se deprecia posteriormente utilizando el método de línea recta desde la fecha de inicio hasta el final de la vida útil del activo por derecho de uso o el final del plazo del arrendamiento el que ocurra primero. La vida útil estimada de los activos por derecho de uso se determina sobre la misma base que la de los muebles, equipo y mejoras. Además, el activo por derecho de uso se reduce periódicamente por pérdidas por deterioro, si corresponde, y se ajusta para ciertas nuevas mediciones del pasivo por arrendamiento.</t>
  </si>
  <si>
    <t>El pasivo por arrendamiento se mide inicialmente al valor presente de los pagos de arrendamiento que no se pagan en la fecha de inicio, descontados utilizando la tasa de interés implícita en el arrendamiento o, si esa tasa no puede determinarse fácilmente, la tasa de endeudamiento incremental del Grupo. El Grupo utiliza su tasa de interés incremental como tasa de descuento.</t>
  </si>
  <si>
    <t>Los pagos de arrendamiento incluidos en la medición del pasivo de arrendamiento comprenden lo siguiente:</t>
  </si>
  <si>
    <t>- Pagos fijos, incluidos los pagos fijos en sustancia; - Pagos de arrendamiento variables que dependen de un índice o una tasa, medidos inicialmente utilizando el índice o la tasa en la fecha de inicio; - Montos que se espera pagar bajo una garantía de valor residual; y - El precio de ejercicio bajo una opción de compra que el Grupo está razonablemente seguro de ejercer, los pagos de arrendamiento en un período de renovación opcional si el Grupo está razonablemente seguro de ejercer una opción de extensión y las multas por la terminación anticipada de un arrendamiento a menos que el Grupo esté razonablemente seguro no terminar antes de tiempo.</t>
  </si>
  <si>
    <t>El pasivo por arrendamiento se mide al costo amortizado utilizando el método de tasa de interés efectiva. Se vuelve a medir cuando hay un cambio en los pagos de arrendamiento futuros que surgen de un cambio en un índice o tasa, si hay un cambio en la estimación del Grupo del monto que se espera pagar bajo una garantía de valor residual, o si el Grupo cambia su evaluación de si ejercerá una opción de compra, extensión o terminación.</t>
  </si>
  <si>
    <t>Cuando el pasivo por arrendamiento se vuelve a medir de esta manera, se realiza un ajuste correspondiente al importe en libros del activo por derecho de uso o se registra en resultados si el importe en libros del activo por derecho de uso se ha reducido a cero.</t>
  </si>
  <si>
    <t>page-71</t>
  </si>
  <si>
    <t>El Grupo presenta los activos de derecho de uso que no cumplen con la definición de propiedades de inversión de acuerdo con la NIC 40, en el rubro de 'activos por derecho de uso, netos en el estado consolidado de situación financiera.</t>
  </si>
  <si>
    <t>Arrendamientos a corto plazo y arrendamientos de activos de bajo valor</t>
  </si>
  <si>
    <t>El Grupo ha optado por no reconocer los activos por derecho de uso y los pasivos por arrendamientos para arrendamientos a corto plazo de equipos informáticos que tienen un plazo de arrendamiento de 12 meses o menos y arrendamientos de activos de bajo valor. El Grupo reconoce los pagos de arrendamiento asociados con estos arrendamientos como un gasto en línea recta durante el plazo del arrendamiento, en el estado consolidado de resultados.</t>
  </si>
  <si>
    <t>(m) Activos intangibles y plusvalía</t>
  </si>
  <si>
    <t>i. Reconocimiento y medición inicial</t>
  </si>
  <si>
    <t>La plusvalía surgida de la adquisición de un negocio se mantiene al costo establecido a la fecha de adquisición del negocio menos las pérdidas acumuladas por deterioro de valor, si las hubiese.</t>
  </si>
  <si>
    <t>Los otros activos intangibles, incluyendo las relaciones con clientes y el valor presente de negocios adquiridos, tienen una vida útil finita y se miden al costo menos la amortización acumulada y las pérdidas acumuladas por deterioro.</t>
  </si>
  <si>
    <t>ii. Valor presente del negocio adquirido (VOBA)</t>
  </si>
  <si>
    <t>Cuando una cartera de contratos de seguro es adquirida, ya sea directamente de otra compañía de seguros o por medio de una combinación de negocios, la diferencia entre el valor razonable del pasivo de seguros y el valor de los pasivos de seguros medidos utilizando las políticas contables existentes del Grupo es reconocida como un activo por el valor presente del negocio adquirido (VOBA).</t>
  </si>
  <si>
    <t>Posterior a su reconocimiento inicial, el activo intangible se mide al costo menos la amortización acumulada. El activo intangible se amortiza sobre la base de línea recta durante la vida útil de las pólizas adquiridas. La amortización se registra en el estado consolidado de resultados.</t>
  </si>
  <si>
    <t>Cambios en la vida útil prevista del patrón esperado de consumo de beneficios económicos futuros incorporados en el activo se contabilizan cambiando el período de amortización o el método y son tratados como un cambio en una estimación contable.</t>
  </si>
  <si>
    <t>La amortización se calcula para deducir el costo de los activos intangibles menos sus valores residuales estimados usando el método de línea recta durante sus vidas útiles estimadas, y se reconoce en resultados. La plusvalía no se amortiza.</t>
  </si>
  <si>
    <t>page-72</t>
  </si>
  <si>
    <t>La vida útil estimada de los activos intangibles, excepto plusvalía, se presenta como sigue:</t>
  </si>
  <si>
    <t>Relación de clientes De 6 a 28 años</t>
  </si>
  <si>
    <t>Valor presente del negocio adquirido (cartera de vida) De 28 años</t>
  </si>
  <si>
    <t>Desarrollos tecnológicos De 3 a 5 años</t>
  </si>
  <si>
    <t>Los métodos de amortización, las vidas útiles y los valores residuales se revisan a cada fecha de reporte y se ajustan si es necesario.</t>
  </si>
  <si>
    <t>## (n) Contratos de seguros</t>
  </si>
  <si>
    <t>Los contratos por medio de los cuales el Grupo acepta riesgo significativo de seguro de otra parte (el tenedor de la póliza) acordando compensar al tenedor de la póliza u otro beneficiario si un evento futuro incierto especificado (el evento asegurado) afecta adversamente al tenedor de la póliza, se califican como contratos de seguros.</t>
  </si>
  <si>
    <t>El riesgo de seguros es significativo si, y sólo si, un evento asegurado puede causar que el Grupo pague beneficios significativos. Una vez que un contrato es clasificado como un contrato de seguros, éste permanece clasificado como un contrato de seguros hasta que todos los derechos y obligaciones se extingan o expiren.</t>
  </si>
  <si>
    <t>## Reconocimiento y medición de los contratos de seguros</t>
  </si>
  <si>
    <t>## Contratos de seguros generales</t>
  </si>
  <si>
    <t>El contrato de seguros generales incluye los ramos de incendio, transporte, automóvil, casco marítimo, casco aéreo, responsabilidad civil, robo, riesgos diversos, multipóliza, seguros técnicos, fianzas de construcción y otras fianzas.</t>
  </si>
  <si>
    <t>Las primas suscritas para los contratos de seguros generales están compuestas por las primas de los contratos que se han acordado durante el año, sin importar si se relacionan totalmente o en parte con un período contable posterior. La porción ganada de las primas emitidas se reconoce como ingresos. Las primas son devengadas desde la fecha de la fijación del riesgo, sobre el período de vigencia del contrato. Las primas cedidas en reaseguros son reconocidas como gastos de acuerdo con el patrón del servicio del reaseguro recibido.</t>
  </si>
  <si>
    <t>Las primas asumidas de reaseguros son reconocidas como ingresos, tomando en consideración la clasificación del producto del negocio reasegurado.</t>
  </si>
  <si>
    <t>## (ii) Provisión para riesgos en curso</t>
  </si>
  <si>
    <t>La provisión para riesgo en curso se compone de la proporción de las primas brutas emitidas que se estima se ganará en los períodos financieros subsecuentes, computada individualmente para los contratos de seguros utilizando el método de pro-rata diaria.</t>
  </si>
  <si>
    <t>page-73</t>
  </si>
  <si>
    <t>El método pro-rata diaria se basa en la prima bruta de las pólizas vigentes de los diferentes ramos generales. El cálculo de la pro-rata diaria es el resultado de la división de la prima bruta entre el número de días que abarca la vigencia de la cobertura de la póliza, que se devenga en línea recta por los días de cobertura transcurridos.</t>
  </si>
  <si>
    <t>(iii) Provisión para reclamos en trámite</t>
  </si>
  <si>
    <t>Los reclamos derivados de contratos de seguros generales consisten en reclamos y gastos de manejo pagados durante el año, junto con el movimiento en la provisión para reclamos en trámite, la cual incluye los casos pendientes y aquellos no reportados.</t>
  </si>
  <si>
    <t>Los reclamos en trámite se componen de la acumulación del costo final estimado necesario para liquidar todos los reclamos incurridos reportados, pero no pagados a la fecha de reporte, y los gastos estimados relacionados internos y externos de manejo de reclamos y un margen apropiado prudencial para gastos no esperados. Los reclamos en trámite son analizados revisando los reclamos individuales reportados y constituyendo provisiones, el efecto de los eventos predecibles externos e internos, tales como los cambios en los procedimientos de manejo de los reclamos, la inflación, tendencias judiciales, cambios legislativos, experiencia pasada y otras tendencias del mercado.</t>
  </si>
  <si>
    <t>Las provisiones para reclamos en trámite para el ramo de automóvil en la subsidiaria ASSA Compañía de Seguros, S.A., utilizan como base la provisión por los reclamos reportados caso por caso. Esta información y también siniestros pagados, deducibles y salvamentos se utilizan en las metodologías actuariales conocidas como: (a) el Método de Desarrollo (Chain Ladder), (b) Siniestralidad Inicial Esperada (Initial Expected Loss Ratio), (c) Bornhuetter – Ferguson y (d) Método de Frecuencia y Severidad. La provisión de reclamos en trámite final es el promedio entre las cuatro (4) metodologías, donde se consideran las estadísticas de los reclamos y se aplican técnicas actuariales para determinar la provisión. Para las otras aseguradoras del Grupo, esta provisión se establece caso por caso.</t>
  </si>
  <si>
    <t>Las recuperaciones esperadas de los reaseguradores son presentadas separadamente como activos.</t>
  </si>
  <si>
    <t>Aun cuando la Administración considera que las provisiones brutas para los reclamos en trámite y los montos asociados, recuperables de los reaseguradores, están presentados razonablemente sobre la base de la información que está disponible a la fecha de reporte, el pasivo final variará como resultado de información subsecuente y podría resultar en ajustes significativos a las cantidades provisionadas. Los ajustes a la cantidad de los reclamos provisionados en años anteriores son reflejados en los estados financieros consolidados del período en el cual los ajustes son hechos. El método utilizado y los estimados efectuados son revisados regularmente.</t>
  </si>
  <si>
    <t>page-74</t>
  </si>
  <si>
    <t>Reaseguro cedido a contrapartes de reaseguro</t>
  </si>
  <si>
    <t>El Grupo cede el o parte del riesgo de seguro en el curso normal de sus operaciones. Los activos de reaseguro representan saldos adeudados por compañías de reaseguros. Los montos recuperables de los reaseguradores se estiman de manera consistente con la provisión de siniestros pendientes o siniestros pagados de acuerdo con el contrato de reaseguro relacionado a cada siniestro.</t>
  </si>
  <si>
    <t>Los activos de reaseguro correspondientes a la reserva de riesgo en curso representan saldos adeudados por compañías de reaseguros donde la parte cedida de la provisión de riesgo en curso, se determina en la misma proporción que la prima cedida en los contratos de reaseguro.</t>
  </si>
  <si>
    <t>Los activos de reaseguro se revisan para determinar si existe deterioro en cada fecha de reporte, o más frecuentemente, cuando surge una indicación de deterioro durante el período de reporte. El deterioro ocurre cuando hay evidencia objetiva como resultado de un evento que ocurrió después del reconocimiento inicial del activo de reaseguro, dado que el Grupo puede no recibir todos los montos pendientes adeudados bajo los términos del contrato y el evento tiene un impacto medible confiablemente en los montos que el Grupo recibirá del reasegurador. La pérdida por deterioro se registra en resultados. El Grupo adquiere reaseguros con entidades en donde su calificación crediticia internacional es igual o superior a BBB. Durante el período no se han reconocido pérdidas con los reaseguradores.</t>
  </si>
  <si>
    <t>Las ganancias o pérdidas en la compra de reaseguros se reconocen en el estado consolidado de resultados inmediatamente en la fecha de compra y no se amortizan.</t>
  </si>
  <si>
    <t>Los acuerdos de reaseguro cedidos no eximen al Grupo de sus obligaciones con los asegurados.</t>
  </si>
  <si>
    <t>El Grupo también asume el riesgo de reaseguro en el curso normal de sus operaciones. Las primas y reclamaciones sobre reaseguros asumidos se reconocen como ingresos o gastos de la misma manera que lo serían si el reaseguro se considerara como negocio de seguro directo, teniendo en cuenta la clasificación del producto del negocio reasegurado. Los pasivos de reaseguro representan saldos adeudados a compañías de seguros. Los montos por pagar se estiman de manera consistente con el contrato de reaseguro relacionado.</t>
  </si>
  <si>
    <t>Las primas y las reclamaciones se presentan en términos brutos tanto para el reaseguro cedido como para el asumido.</t>
  </si>
  <si>
    <t>Los activos o pasivos de reaseguros se dan de baja cuando los derechos contractuales se extinguen o caducan o cuando el contrato se transfiere a otra parte.</t>
  </si>
  <si>
    <t>page-75</t>
  </si>
  <si>
    <t>(v) Costos de suscripción y adquisición</t>
  </si>
  <si>
    <t>Los costos de adquirir nuevos contratos de seguros y de renovación de estos contratos, que están primordialmente relacionados con la producción de esos negocios, son cargados directamente a gastos en la medida en que éstos se incurren.</t>
  </si>
  <si>
    <t>(vi) Prueba de adecuación de pasivos de contratos de seguro</t>
  </si>
  <si>
    <t>Donde se identifique un déficit en una provisión para contrato de seguro, se acumula una provisión adicional y el Grupo reconoce la deficiencia en resultados del año, la cual se evalúa tomando en consideración las primas, siniestros y gastos relacionados.</t>
  </si>
  <si>
    <t>## Contratos de seguros de personas</t>
  </si>
  <si>
    <t>El contrato de seguros de personas incluye los ramos de vida tradicional, vida universal, salud, accidentes personales y colectivos de vida.</t>
  </si>
  <si>
    <t>Las primas correspondientes a las pólizas de seguros de personas se devengan sobre las mismas bases que el negocio de seguros general estableciendo una provisión de riesgo en curso y devengando la prima mediante el método de pro-rata diaria, excepto vida universal y vida tradicional.</t>
  </si>
  <si>
    <t>(ii) Provisión para contratos de seguros a largo plazo – vida universal</t>
  </si>
  <si>
    <t>Para las provisiones de vida universal se calcula individualmente por cada póliza y se incluye la estimación de la participación de los tenedores de pólizas, representada por las primas recibidas hasta la fecha junto con los intereses ganados y rendimientos, menos los gastos actuariales del riesgo de seguros y cargos por servicios.</t>
  </si>
  <si>
    <t>Las provisiones para los seguros de vida individual se calculan utilizando las técnicas actuariales vigentes autorizadas por el ente regulador de cada país.</t>
  </si>
  <si>
    <t>Los contratos de seguro que envuelven componentes de seguros y de depósitos se presentan en el estado consolidado de situación financiera en las provisiones sobre contratos de seguros de negocio de vida a largo plazo sobre pólizas de vida considerando todas las obligaciones que se originan del componente de depósito al igual que las obligaciones por los contratos de seguros.</t>
  </si>
  <si>
    <t>(iii) Provisión para contratos de seguros a largo plazo – vida tradicional</t>
  </si>
  <si>
    <t>Estos contratos acumulan una provisión matemática para garantizar el pago de beneficios futuros a los asegurados. Esta provisión se calcula con bases actuariales, considerando factores como mortalidad, tasas de interés y otros supuestos técnicos. Al cierre de cada período fiscal, se ajusta para reconocer su impacto en resultados.</t>
  </si>
  <si>
    <t>page-76</t>
  </si>
  <si>
    <t>(iv) Provisión para reclamos en trámite</t>
  </si>
  <si>
    <t>Los reclamos o siniestros en trámite se componen de la acumulación de los costos finales para liquidar todos los reclamos reportados e incurridos a la fecha del reporte y son analizados sobre bases individuales. Los reclamos incurridos, pero no reportados son aquellos que se producen en un intervalo de tiempo, durante la vigencia de la póliza, pero que se conocen con posterioridad a la fecha de reporte.</t>
  </si>
  <si>
    <t>La provisión de reclamos incurridos, pero no reportados está calculada de acuerdo con el desarrollo de triángulos de siniestros pagados para cada período de ocurrencia.</t>
  </si>
  <si>
    <t>La provisión bruta para siniestros en trámite es presentada en el estado consolidado de situación financiera en las provisiones sobre contratos de seguros. En el evento en que en el reclamo haya participación de los reaseguradores, dichas recuperaciones también se consideran y reconocen como un activo presentado en el estado consolidado de situación financiera como activos por reaseguros. Los reaseguros y otras recuperaciones son evaluados de forma similar a la evaluación de los siniestros en trámite.</t>
  </si>
  <si>
    <t>(v) Costos de adquisición</t>
  </si>
  <si>
    <t>Los costos de adquirir nuevos negocios de seguros y de renovación, que están primordialmente relacionados con la producción de esos negocios, son reconocidos directamente en gastos en la medida en que se incurren.</t>
  </si>
  <si>
    <t>(vi) Contratos con componentes de depósitos</t>
  </si>
  <si>
    <t>Los contratos de seguros del negocio de personas, que contengan componentes de seguros y de depósitos no son separados en sus componentes, según lo permitido por la NIIF 4. Sin embargo, a la fecha de reporte se reconocen todas las obligaciones y derechos que se originan del componente de depósitos al igual que las obligaciones por los contratos de seguros y se registran en el estado consolidado de situación financiera como provisiones sobre pólizas de vida individual a largo plazo.</t>
  </si>
  <si>
    <t>(vii) Prueba de adecuación de pasivos de contratos de seguro</t>
  </si>
  <si>
    <t>El Grupo realiza anualmente un análisis de la suficiencia de sus obligaciones para todos los contratos que cumplen la definición de un contrato de seguro, de acuerdo con la NIIF 4, y que están vigentes a la fecha de ejecución de la prueba. Este análisis considera la suma del valor de las provisiones técnicas de los contratos de seguro excluyendo la participación de los reaseguradores y los activos intangibles relacionados en comparación con el valor esperado de los flujos de efectivo derivados del cumplimiento de los contratos. Si los resultados de la prueba de adecuación de pasivos de contratos de seguro determinan una insuficiencia, se reconoce como una disminución de las primas brutas ganadas.</t>
  </si>
  <si>
    <t>page-77</t>
  </si>
  <si>
    <t>El Grupo realiza una prueba de suficiencia de pasivos de sus contratos de seguros, en donde, con base en supuestos actuariales de mortalidad y persistencia, y considerando las características propias de cada contrato de seguros, se calcula el valor presente de los ingresos en base a primas esperadas versus el valor presente de los egresos esperados, los cuales incluyen gastos administrativos, comisiones, siniestros, y otros gastos relacionados a la venta. Dicho monto se comparó contra la reserva matemática, resultando en una suficiencia de esta reserva.</t>
  </si>
  <si>
    <t>(o) Depósitos, financiamientos y títulos de deuda emitidos</t>
  </si>
  <si>
    <t>Estos pasivos financieros, corresponden a las fuentes principales de financiamiento del Grupo. Son inicialmente medidos a valor razonable menos los costos directos incrementales de la transacción, y posteriormente, son medidos a su costo amortizado utilizando el método de la tasa de interés efectiva.</t>
  </si>
  <si>
    <t>(p) Plan de Opciones de Compra de Acciones</t>
  </si>
  <si>
    <t>El valor razonable a la fecha de otorgamiento de las opciones entregadas al personal es reconocido como un gasto de personal con el correspondiente aumento en el patrimonio, en el período de concesión. El monto reconocido como gasto es ajustado para reflejar la cantidad real de acciones con opción de compra que se otorgan, de tal manera que el monto reconocido finalmente como gasto se base en el número de opciones sobre acciones que cumplen con el servicio relacionado y con las condiciones que no son de mercado a la fecha de otorgamiento.</t>
  </si>
  <si>
    <t>Una provisión es reconocida en el estado consolidado de situación financiera cuando el Grupo tiene una obligación legal o implícita como resultado de un evento pasado y es probable que una salida de beneficios económicos sea requerida para liquidar la obligación. Si el efecto es significativo, las provisiones son determinadas descontando los flujos de efectivo futuros esperados a una tasa antes de impuesto que refleje las evaluaciones corrientes del mercado, el valor del dinero en el tiempo y, donde es apropiado, el riesgo específico al pasivo.</t>
  </si>
  <si>
    <t>(r) Reservas patrimoniales</t>
  </si>
  <si>
    <t>(i) Reserva por ganancia (pérdida) no realizada en inversiones clasificadas como VRCORI.</t>
  </si>
  <si>
    <t>La reserva por ganancia (pérdida) no realizada en inversiones clasificadas a valor razonable con cambios en otros resultados integrales incluye:</t>
  </si>
  <si>
    <t>- El cambio neto acumulado en el valor razonable de los instrumentos de patrimonio designados al valor razonable con cambios en otros resultados integrales; y - El cambio neto acumulado en el valor razonable de los instrumentos de deuda al valor razonable con cambios en otros resultados integrales hasta que los activos sean dados de baja en cuentas o reclasificados. Este importe es reducido por el importe de la provisión para pérdidas crediticias esperadas.</t>
  </si>
  <si>
    <t>page-78</t>
  </si>
  <si>
    <t>(ii) Reserva legal y de riesgos catastróficos y/o contingencias y previsión para desviaciones estadísticas, aplicable a las aseguradoras</t>
  </si>
  <si>
    <t>De acuerdo con el Artículo 213 de la Ley de Seguros de la República de Panamá, las aseguradoras en este país están obligadas a formar y mantener en el país un fondo de reserva equivalente a un 20% de sus utilidades netas antes de aplicar el impuesto sobre la renta, hasta constituir un fondo de dos millones de dólares (US$2,000,000), y de allí en adelante un 10%, hasta alcanzar el 50% del capital pagado.</t>
  </si>
  <si>
    <t>No se podrán declarar o distribuir dividendos ni enajenar de otra manera parte alguna de las utilidades, sino hasta después de hacer la provisión.</t>
  </si>
  <si>
    <t>En el caso de la subsidiaria ASSA Compañía de Seguros, S. A. en Nicaragua, la Ley General de Instituciones de Seguros, Reaseguros y Fianzas, señala que las instituciones de seguros deberán constituir una reserva de capital del quince por ciento (15%) de sus utilidades netas. Este registro se reconoce en los resultados acumulados de ejercicios anteriores. Cada vez que la reserva de capital de una institución de seguros alcance un monto igual al de su capital social o asignado y radicado, el cuarenta por ciento (40%) de dicha reserva de capital se convertirá automáticamente en capital social o asignado, según sea el caso, emitiéndose nuevas acciones que se distribuirán entre los accionistas existentes en proporción al capital aportado por cada uno.</t>
  </si>
  <si>
    <t>El numeral 1 del Artículo 208 de la Ley de Seguros de la República de Panamá requiere que las aseguradoras acumulen una reserva de previsión para desviaciones estadísticas no menor de 1% y hasta 2 1/2% sobre las primas netas retenidas para todos los ramos. El uso y restitución de esta reserva serán reglamentados por la Superintendencia de Seguros y Reaseguros de la República de Panamá, entre otros casos, cuando la siniestralidad presente resultados adversos. La Compañía establece esta reserva sobre la base del 1%.</t>
  </si>
  <si>
    <t>El numeral 2 del Artículo 208 de la Ley de Seguros de la República de Panamá requiere que las aseguradoras acumulen una reserva de previsión para riesgos catastróficos y/o de contingencias no menor de 1% y hasta 2 1/2% sobre las primas netas retenidas para todos los ramos. El uso y restitución de esta reserva son reglamentados por la Superintendencia de Seguros y Reaseguros de la República de Panamá, entre otros casos, cuando la siniestralidad presente resultados adversos. La Compañía establece esta reserva sobre la base del 1%.</t>
  </si>
  <si>
    <t>(iii) Reserva de conversión de moneda</t>
  </si>
  <si>
    <t>La reserva de conversión de moneda extranjera comprende las diferencias originadas por la conversión de los estados financieros de operaciones que se manejan en una unidad monetaria diferente a la de presentación de estos estados financieros consolidados.</t>
  </si>
  <si>
    <t>page-79</t>
  </si>
  <si>
    <t>(iv) Reservas regulatorias aplicables a las instituciones financieras</t>
  </si>
  <si>
    <t>En el evento de que el cálculo de la provisión para cartera de crédito determinada con base en la norma de gestión de riesgo crediticio emitida por la Superintendencia de Bancos de Panamá resulte mayor que el cálculo respectivo bajo NIIF, el exceso de reserva bajo normas prudenciales se reconocerá en una reserva regulatoria en el patrimonio.</t>
  </si>
  <si>
    <t>Las reservas regulatorias para las subsidiarias bancarias establecidas en la República de Panamá se clasifican en:</t>
  </si>
  <si>
    <t>Se constituyen según criterios prudenciales sobre todas las facilidades crediticias que carecen de provisión específica asignada, es decir, sobre las facilidades crediticias clasificadas en la categoría "Normal", según lo establecido en el Acuerdo No.004-2013 emitido por la Superintendencia de Bancos de Panamá. La misma corresponde a una partida patrimonial que se presenta en el rubro de reserva regulatorias en el estado consolidado de cambios en el patrimonio y se asigna de las utilidades no distribuidas.</t>
  </si>
  <si>
    <t>**Exceso de Provisión Específica**</t>
  </si>
  <si>
    <t>Son las provisiones que deben constituirse debido a la clasificación de facilidades crediticias en las categorías de riesgo "Mención Especial", "Subnormal", "Dudoso" o "Irrecuperable", según lo establecido en el Acuerdo No.004-2013 emitido por la Superintendencia de Bancos de Panamá. Se constituyen tanto para facilidades crediticias individuales como para un grupo de estas. El caso de un grupo corresponde a circunstancias que señalan la existencia de deterioro de la calidad crediticia de una cartera, aunque todavía no es posible la identificación individual. Este exceso es una partida patrimonial que se presenta en el rubro de reserva regulatorias y se asigna de las utilidades no distribuidas.</t>
  </si>
  <si>
    <t>Los dividendos son reconocidos en el estado consolidado de situación financiera como activos y/o pasivos, cuando el Grupo tiene los derechos y/u obligación para recibir o realizar el pago por la distribución autorizada. El pago de los dividendos se deduce de las utilidades no distribuidas.</t>
  </si>
  <si>
    <t>(t) Impuesto sobre la renta</t>
  </si>
  <si>
    <t>El gasto de impuesto sobre la renta se compone de una porción corriente y una diferida. El impuesto corriente y el impuesto diferido se reconocen en resultados con excepción de los casos en los que se relacionan con una combinación de negocios, o partidas reconocidas directamente en el patrimonio, incluyendo otras utilidades integrales.</t>
  </si>
  <si>
    <t>El impuesto corriente es el impuesto esperado a pagar o a recuperar sobre el ingreso gravable o pérdidas del año, utilizando las tasas vigentes a la fecha de reporte, y cualquier ajuste al impuesto por pagar con respecto a años anteriores.</t>
  </si>
  <si>
    <t>page-80</t>
  </si>
  <si>
    <t>El impuesto diferido se reconoce con respecto a las diferencias temporarias entre el valor según libros de los activos y pasivos para efectos del informe financieros y las cantidades utilizadas para propósitos impositivos. No se reconocen impuestos diferidos por los conceptos siguientes:</t>
  </si>
  <si>
    <t>- Diferencias temporarias en el reconocimiento inicial de activos o pasivos en una transacción que no es una combinación de negocios y que no afecta ni la ganancia contable ni la renta gravables; - Diferencias temporarias relacionadas con inversiones en subsidiarias, asociadas y entidades controladas conjuntamente siempre que el Grupo tenga la capacidad de controlar la oportunidad de la reversión de las diferencias temporarias y sea probable que estas no se reversarán en el futuro cercano; y - Diferencias temporarias gravables que se originan del reconocimiento inicial de la plusvalía.</t>
  </si>
  <si>
    <t>La medición del impuesto diferido refleja las consecuencias impositivas que se derivarán de la manera en que el Grupo espera, al final del período de reporte, que se recupere o se liquide el valor en libros de sus activos y pasivos en períodos fiscales futuras.</t>
  </si>
  <si>
    <t>El impuesto diferido se mide a las tasas de impuesto que se espera que sean aplicadas a las diferencias temporarias cuando éstas se reversen, utilizando las tasas vigentes que se espera estén vigentes a la fecha en que se realice la transacción.</t>
  </si>
  <si>
    <t>El activo y pasivo por impuesto diferido se compensa si se tiene un derecho exigible por ley para compensar el impuesto corriente originado por los activos y pasivos, y se relacionan con impuestos determinados por la misma autoridad fiscal en la misma entidad contribuyente, o en diferentes contribuyentes, pero que pretenden liquidar las obligaciones corrientes de impuestos de los activos y pasivos sobre una base compensada o si sus activos y pasivos de impuestos serán realizados simultáneamente.</t>
  </si>
  <si>
    <t>Un activo por impuesto diferido se reconoce por arrastres de pérdidas no utilizados, por créditos de impuestos y por las diferencias temporarias deducibles, hasta por el monto que sería probable aplicar a las ganancias gravables futuras esperadas. El activo por impuesto diferido se revisa en cada fecha de reporte y se reduce en la medida en que ya no sea probable que el beneficio por impuesto sea realizado.</t>
  </si>
  <si>
    <t>Un pasivo por impuesto diferido es reconocido por pagos de impuestos que a futuro serán realizados a las autoridades tributarias sobre la ganancia, es decir por las diferencias temporarias imponibles, por partidas de gastos ya reconocidos.</t>
  </si>
  <si>
    <t>page-81</t>
  </si>
  <si>
    <t>(u) Beneficios a empleados</t>
  </si>
  <si>
    <t>(i) Beneficios por terminación</t>
  </si>
  <si>
    <t>Los beneficios por terminación se reconocen como gastos entre lo que ocurra primero cuando el Grupo ya no puede retirar las ofertas de estos beneficios, o en el momento cuando el Grupo reconozca los costos por una reestructuración. Si los beneficios no se esperan sean cancelados dentro de los doce meses a la fecha de reporte, entonces tales beneficios son descontados para determinar su valor presente.</t>
  </si>
  <si>
    <t>(ii) Beneficio a corto plazo</t>
  </si>
  <si>
    <t>Los beneficios a corto plazo se reconocen como gastos cuando el servicio haya sido recibido por parte del Grupo. El pasivo es reconocido por el monto no descontado que ha de pagarse por el Grupo y se tiene una obligación presente, legal o implícita, de hacer tales pagos como consecuencia de sucesos pasados y pueda realizarse una estimación fiable de la obligación.</t>
  </si>
  <si>
    <t>(v) Información de segmento</t>
  </si>
  <si>
    <t>Un segmento de negocios es un componente distinguible del Grupo que se encarga de proporcionar un producto o servicio individual o un grupo de productos o servicios relacionados dentro de un entorno económico en particular, y que está sujeto a riesgos y beneficios que son diferentes de los otros segmentos del negocio. Un segmento geográfico se encarga de proporcionar productos o servicios dentro de un ambiente económico particular y está sujeto a riesgos y retornos que son diferentes de los segmentos que operan en otros ambientes económicos. Todos los segmentos operativos son revisados regularmente por la Junta Directiva del Grupo que toma decisiones relacionadas con la asignación de recursos y la evaluación de desempeño de dichos segmentos.</t>
  </si>
  <si>
    <t>(w) Ingresos de actividades ordinarias</t>
  </si>
  <si>
    <t>(i) Primas suscritas de seguro directo y reaseguro asumido</t>
  </si>
  <si>
    <t>Pólizas de ramos generales</t>
  </si>
  <si>
    <t>Las primas suscritas de negocio general, ya sea de seguro directo o reaseguros asumidos están compuestas por las primas de los contratos que se han acordado durante el año menos las cancelaciones solicitadas por los tenedores de las pólizas y las cancelaciones por impago realizadas por el Grupo, sin importar si se relacionan totalmente o en parte con un período contable posterior. La porción ganada de las primas suscritas, se reconoce como ingresos desde la fecha efectiva de la póliza, sobre el período de vigencia del contrato.</t>
  </si>
  <si>
    <t>Pólizas del ramo de personas</t>
  </si>
  <si>
    <t>page-82</t>
  </si>
  <si>
    <t>(ii) Ingresos y gastos por intereses</t>
  </si>
  <si>
    <t>Los ingresos y gastos por intereses son reconocidos generalmente en el estado consolidado de resultados para todos los instrumentos financieros presentados a costo amortizado usando el método de tasa de interés efectiva.</t>
  </si>
  <si>
    <t>El método de tasa de interés efectiva es un método de cálculo del costo amortizado de un activo o un pasivo financiero y de imputación del ingreso o gasto financiero a lo largo del período relevante. La tasa de interés efectiva es la tasa de descuento que iguala exactamente los flujos de efectivo por cobrar o por pagar estimados a lo largo de la vida esperada del instrumento financiero o, cuando sea apropiado, por un período más corto, con el importe neto en libros del activo o pasivo financiero. Cuando se calcula la tasa de interés efectiva, el Grupo estima los flujos de efectivo considerando todos los términos contractuales del instrumento financiero (por ejemplo, opciones de prepago) pero no considera pérdidas crediticias futuras. El cálculo incluye todas las comisiones y cuotas pagadas o recibidas entre las partes del contrato que son parte integral de la tasa de interés efectiva, los costos de transacción y cualquier otra prima o descuento.</t>
  </si>
  <si>
    <t>(iii) Ingresos sobre inversiones</t>
  </si>
  <si>
    <t>Los ingresos por intereses sobre valores son reconocidos mediante el método de tasa de interés efectiva, y los dividendos son reconocidos cuando el Grupo tiene los derechos para recibir el pago establecido. Ambos conceptos se registran en resultados. Las ganancias y pérdidas por la venta de instrumentos de inversiones clasificados a valores razonables con cambios en resultados son también reconocidas en resultados.</t>
  </si>
  <si>
    <t>Las ganancias o pérdidas netas acumuladas en otros resultados integrales se reclasifican a resultados cuando estas inversiones son vendidas, excepto por los instrumentos de patrimonio que durante el reconocimiento inicial el Grupo haya elegido irrevocablemente registrar los cambios subsecuentes en valor razonable como parte de los otros resultados integrales. Las ganancias y pérdidas en el valor razonable de dichos instrumentos de patrimonio no podrán ser reclasificadas a resultados.</t>
  </si>
  <si>
    <t>page-83</t>
  </si>
  <si>
    <t>(iv) Ingresos por honorarios y comisiones</t>
  </si>
  <si>
    <t>La siguiente tabla presenta información sobre la naturaleza y la oportunidad de cumplimiento de las obligaciones de desempeño en contratos con los clientes, incluyendo términos de pago significativos, y las políticas de reconocimiento de ingresos relacionadas.</t>
  </si>
  <si>
    <t>tbl-22.html</t>
  </si>
  <si>
    <t>[tbl-22.html](tbl-22.html)</t>
  </si>
  <si>
    <t>(x) Operaciones de fideicomisos</t>
  </si>
  <si>
    <t>Los activos mantenidos en fideicomisos o en función de fiduciario no se consideran parte del Grupo y, por consiguiente, tales activos y su correspondiente ingreso no se incluyen en los presentes estados financieros consolidados. Es obligación del Grupo administrar los recursos de los fideicomisos de conformidad con los contratos y en forma independiente de su patrimonio.</t>
  </si>
  <si>
    <t>El Grupo cobra una comisión por la administración fiduciaria de los fondos en fideicomisos, la cual es pagada por los fideicomitentes sobre la base del monto que mantengan los fideicomisos o según acuerdos entre las partes. Estas comisiones son reconocidas como ingresos de acuerdo con los términos de los contratos de fideicomisos ya sea de forma mensual, trimestral o anual sobre la base de devengado.</t>
  </si>
  <si>
    <t>(y) Utilidad neta por acción</t>
  </si>
  <si>
    <t>La utilidad neta por acción común mide el desempeño de una entidad sobre el período reportado y la misma se calcula dividiendo la utilidad disponible para los accionistas comunes entre la cantidad resultante del promedio ponderado de las acciones comunes en circulación durante el período.</t>
  </si>
  <si>
    <t>La utilidad neta por acción diluida se calcula dividiendo la utilidad disponible para los accionistas comunes entre la cantidad resultante del promedio ponderado de las acciones comunes y en circulación, después del ajuste por los efectos de las acciones comunes potenciales diluidas.</t>
  </si>
  <si>
    <t>page-84</t>
  </si>
  <si>
    <t>(z) Reclamos y beneficios incurridos</t>
  </si>
  <si>
    <t>Los reclamos de seguros generales, salud, colectivo de vida y accidentes personales incluyen los costos que están directamente relacionados con el procesamiento y liquidación del siniestro, una reducción del valor de salvamento y otras recuperaciones y cualquier ajuste de siniestros de años anteriores en caso de haberlos.</t>
  </si>
  <si>
    <t>Los reclamos y beneficios incurridos en los contratos de seguros de vida incluyen todos los costos que están directamente relacionados con el procesamiento y liquidación del suceso. Las reclamaciones por muerte y/o los rescates se registran sobre la base de las notificaciones o solicitudes recibidas.</t>
  </si>
  <si>
    <t>(aa) Propiedades de Inversión</t>
  </si>
  <si>
    <t>Las propiedades de inversión consisten en lotes de terrenos e inmuebles adquiridos y utilizados principalmente para generar rentas por arrendamiento, y están registradas al costo, menos su depreciación y amortización acumuladas. Las mejoras son capitalizadas y amortizadas durante la vida útil estimada. Los costos de los terrenos no se deprecian.</t>
  </si>
  <si>
    <t>(bb) Nuevas normas e interpretaciones aún no adoptadas</t>
  </si>
  <si>
    <t>NIIF 17 Contratos de Seguros</t>
  </si>
  <si>
    <t>De conformidad con lo revelado en la nota 2, el plazo de la entrada en vigor de la NIIF 17, fue trasladado por la Superintendencia para el 1 de enero de 2024; no obstante, los estados financieros auditados y comparativos al 31 de diciembre de 2024 son preparados aplicando la NIIF 4 vigente previo al Acuerdo No.01-2024 del 12 de enero de 2024. La NIIF 17, Contratos de Seguro, reemplaza a la NIIF 4, Contratos de Seguro.</t>
  </si>
  <si>
    <t>Con fecha 12 de enero de 2024, la Superintendencia emitió el Acuerdo No. 01-2024, por el cual se establecen las disposiciones para la adopción y aplicación de las Normas Internacionales de Información Financiera aplicables a operaciones de seguros y reaseguro y otras relacionadas y el requerimiento de capital de solvencia, margen de solvencia y liquidez mínima requerida. Bajo este Acuerdo, se mantiene el 1 de enero de 2024 como fecha de adopción, pero se especifica que los primeros estados financieros de uso público y auditados preparados adoptando la NIIF 17 serán los estados financieros al 31 de diciembre de 2025. De esta forma, los estados financieros consolidados al 31 de diciembre de 2023 y 2024 deben ser preparados aun aplicando la NIIF 4. El Grupo se encuentra en la fase de entendimiento del mencionado Acuerdo No. 01-2024 para su implementación conforme lo requerido por la Superintendencia.</t>
  </si>
  <si>
    <t>Con la adopción de la NIIF 17, la cual reemplaza la NIIF 4, los contratos de seguros tienen, entre otros cambios, la necesidad de adoptar una metodología para medir los flujos de efectivo de contratos de seguros que deben llevarse a valor presente y ajustarse mediante una medición explícita del riesgo no financiero. Se estima que la adopción de la NIIF 17 tendrá un efecto significativo en los estados financieros consolidados en su conjunto.</t>
  </si>
  <si>
    <t>Con fecha 17 de diciembre de 2024, la Superintendencia emitió la Circular N° SSRP-040-2024 mediante la cual requiere a las compañías de seguros presentar antes del 15 de enero de 2025 cierta información financiera relacionada con la adopción de la NIIF 17, con el objetivo principal de obtener información cuantitativa sobre los impactos de la implementación de la NIIF 17, relacionada con aspectos técnicos y metodológicos, con la finalidad de evaluar la situación del mercado asegurador panameño durante este proceso de transición a la NIIF 17.</t>
  </si>
  <si>
    <t>La NIIF 17 "Contratos de Seguro" proporciona una guía integral sobre la contabilización de los contratos de seguro y los contratos de inversión con características de participación discrecional y se espera que tenga un impacto significativo en la contabilización de contratos de seguro, en la presentación de los ingresos de seguros y un impacto significativo en el modelo actuarial para los contratos de seguro de larga duración.</t>
  </si>
  <si>
    <t>Se requieren proyecciones y actualizaciones periódicas de todos los supuestos, lo que podría resultar en volatilidad en el estado consolidado de resultados, que afectará al margen de servicio contractual (MSC), el cual es un componente separado del pasivo del seguro que representa las utilidades no devengadas de los contratos en vigor.</t>
  </si>
  <si>
    <t>La NIIF 17 introduce además un ajuste de riesgo para el riesgo no financiero, que es un componente separado del pasivo de seguro que cubre la incertidumbre en la cantidad y oportunidad de los flujos futuros de efectivo. Por lo tanto, los pasivos de seguro están compuestos por la mejor estimación actual del valor presente de los flujos futuros de efectivo (VPFFE), el ajuste por riesgo y el MSC.</t>
  </si>
  <si>
    <t>La NIIF 17 introduce diferentes enfoques de medición para los pasivos por contratos de seguro que reflejan un grado diferente en la participación del asegurado en el desempeño del Grupo, en los contratos de inversión o de seguros: sin participación o con participación indirecta (modelo general) y participación directa (enfoque de tarifa variable). Para los contratos de corto plazo, la NIIF 17 prevé un enfoque simplificado (o de asignación de prima), que se puede aplicar a contratos que tienen un período de cobertura de 12 meses o menos o para los cuales dicha simplificación produciría una medición del pasivo por la cobertura remanente que no diferiría materialmente de la obtenida aplicando el modelo de medición general. La simplificación se aplica a la medición del pasivo por cobertura remanente, que no requiere desagregar en VPFFE, nota ajuste de riesgo y MSC, sino que, se basa principalmente en la prima recibida, la prima ganada y los costos de adquisición. El pasivo por siniestros incurridos se mide de manera consistente con el modelo de medición general, por el cual todos los siniestros incurridos y las reclamaciones están sujetas a descuento y ajuste de riesgo.</t>
  </si>
  <si>
    <t>La NIIF 17 también afectará la presentación de los ingresos por contratos de seguro, que ya no incluirán los ingresos brutos emitidos y primas o componentes de inversión. Además, los ingresos por seguros y los gastos por servicios de seguros se presentarán brutos de reaseguro, con el resultado del reaseguro incluido en el gasto del servicio de seguro. Bajo la NIIF 17, los pasivos de seguro están sujetos a descuento; el ajuste por el descuento de los flujos en la medición de los pasivos de seguro se presentará en el estado consolidado de resultados, como componente de inversión en lugar de ser presentado dentro de los ingresos por contratos de seguros.</t>
  </si>
  <si>
    <t>Para las entidades aseguradoras que poseen instrumentos de crédito como parte de sus operaciones, es clave ajustar los valores de activos financieros de conformidad con la NIIF 9 al mismo tiempo en que se implementa la NIIF 17, en particular el registro de las pérdidas crediticias esperadas de conformidad con lo que establece la NIIF 9. Dado que la propuesta sobre la actualización de las pérdidas crediticias esperadas se encuentra en trámite actualmente, es importante que ambos proyectos entren en vigor al mismo tiempo.</t>
  </si>
  <si>
    <t>## Implementación de la NIIF 17 en el Grupo</t>
  </si>
  <si>
    <t>Las disposiciones legales contenidas en el artículo 296 de la Ley No. 12 del 3 de abril de 2012, que regula la actividad de seguros en Panamá y dicta otras disposiciones, que a través de la Superintendencia de Seguros y Reaseguros de Panamá (SSRP), notifican mediante Acuerdo No.01-2024 de 12 de enero de 2024 publicado en Gaceta Oficial Digital el 8 de febrero de 2024, que la fecha de entrada en vigor de la NIIF 17, que de conformidad con el IASB era el 1 de enero de 2023, se traslada formalmente para el 1 de enero de 2025.</t>
  </si>
  <si>
    <t>El avance en las jurisdicciones en la que opera el Grupo en cuanto a la adopción de la NIIF 17 es disímil. En Costa Rica, que iniciaron con un plan de acción robusto, la respectiva Superintendencia de Seguros han considerado apropiado y prudente la implementación de la NIIF 17 en fechas posteriores a la fecha propuesta por el IASB, con el fin de asegurar un resultado exitoso de la adopción de la norma contable. Por ello, con el objetivo de mitigar riesgos, en particular operativos, se considera prudente contar con un mayor plazo para completar la preparación para el cambio en el régimen contable.</t>
  </si>
  <si>
    <t>La Administración del Grupo se encuentra realizando la respectiva selección y definición de las políticas contables para los grupos de contratos de seguro y reaseguros mantenidos, así como la selección de los métodos de transición permitidos, por lo que estos estados financieros consolidados aún no cuentan con la implementación de la NIIF 17. Los responsables del Gobierno Corporativo del Grupo se encuentran evaluando el impacto que pueda tener la aplicación de esta norma en los estados financieros consolidados.</t>
  </si>
  <si>
    <t>Las nuevas políticas contables, las presunciones, los juicios y las estimaciones técnicas empleadas están sujetas a cambios hasta que el Grupo finalice el proceso de implementación del primer estado financiero consolidado, el cual incluirá como fecha de inicio el 1 de enero de 2025. Previo a esto se espera que se hayan culminado las pruebas correspondientes, la implementación de nuevos controles de tecnología y los cambios asociados con el gobierno corporativo.</t>
  </si>
  <si>
    <t>## NIIF 18 Presentación y Revelación en los Estados Financieros</t>
  </si>
  <si>
    <t>La NIIF 18 reemplazará la NIC 1 Presentación de Estados Financieros y aplica a los períodos anuales que comienzan a partir del 1 de enero de 2027. Esta nueva norma introduce los siguientes nuevos requerimientos clave:</t>
  </si>
  <si>
    <t>- Las entidades están obligadas a clasificar todos los ingresos y gastos en cinco categorías en el estado de pérdidas y ganancias, a saber, las categorías de operaciones, de inversión, de financiación, de operaciones discontinuadas y del impuesto sobre la renta. Las entidades también están obligadas a presentar un subtotal de resultado operacional recién definido. El beneficio neto de las entidades no cambiará. - Las medidas de desempeño definidas por la gerencia (MPM, por sus siglas en inglés) se presentan en una sola nota en los estados financieros. - Se proporciona una orientación mejorada sobre cómo agrupar la información en los estados financieros.</t>
  </si>
  <si>
    <t>Además, se requiere que todas las entidades utilicen el subtotal del resultado operacional como punto de partida para el estado de flujos de efectivo cuando presenten los flujos de efectivo de las actividades de operación bajo el método indirecto.</t>
  </si>
  <si>
    <t>El Grupo aún se encuentra en el proceso de evaluar el impacto de la nueva norma, particularmente con respecto a la estructura del estado consolidado de resultados de la Compañía, el estado consolidado de flujos de efectivo y las revelaciones adicionales requeridas para las MPM. La Compañía también está evaluando el impacto en la forma en que se agrupa la información en los estados financieros consolidados, incluso para las partidas actualmente etiquetadas como "otros".</t>
  </si>
  <si>
    <t>No se espera que las siguientes normas e interpretaciones modificadas tengan un impacto significativo sobre los estados financieros consolidados del Grupo.</t>
  </si>
  <si>
    <t>- Ausencia de Convertibilidad (Modificaciones a la NIC 21) - Clasificación y Medición de Instrumentos Financieros (Modificaciones a la NIIF 9 y NIIF 7)</t>
  </si>
  <si>
    <t>## (cc) Activos Clasificados como Mantenidos para la Venta</t>
  </si>
  <si>
    <t>El grupo enajenable de activos y pasivos, que se espera sea recuperado a través de una venta y no mediante su uso continuado, son clasificados como mantenidos para la venta. Inmediatamente antes de ser clasificados como mantenidos para la venta, los activos o los componentes de un grupo de activos para su disposición, se valúan nuevamente de acuerdo con las políticas contables del Grupo. A partir de esta clasificación, se reconocen por el menor valor entre su importe en libros y su valor razonable menos los costos de venta. Se reconocerá una pérdida por deterioro por las reducciones iniciales o posteriores del Grupo de los activos clasificados como mantenidos para la venta. Las pérdidas por deterioro en la clasificación inicial y posterior como mantenidos para la venta se reconocen en el estado consolidado de resultados.</t>
  </si>
  <si>
    <t>(dd) Operaciones Descontinuadas</t>
  </si>
  <si>
    <t>Una operación descontinuada es un componente del negocio del Grupo cuyas operaciones y flujos de efectivo pueden distinguirse claramente del resto del Grupo y que: (i) representa una línea de negocio o un área geográfica de operación que sea significativa y que puede considerarse separada del resto, (ii) es parte de un único plan coordinado para vender o disponer de otra forma de una línea de negocio o de un área geográfica de la operación que sea significativa y pueda considerarse separada del resto; o (iii) es una entidad adquirida exclusivamente con la finalidad de revenderla.</t>
  </si>
  <si>
    <t>La clasificación como una operación descontinuada ocurre al disponer de la operación o cuando la misma cumple los criterios para ser clasificada como mantenida para la venta, de ocurrir más temprano. Cuando una operación es clasificada como descontinuada, el estado comparativo de resultados es representado como si la operación hubiera sido descontinuada desde el inicio del período comparativo.</t>
  </si>
  <si>
    <t>(4) Información por segmentos</t>
  </si>
  <si>
    <t>El Grupo cuenta con las siguientes cuatro divisiones estratégicas, que corresponden a sus segmentos de negocio sobre los que debe informarse. Estas divisiones ofrecen productos y servicios bancarios, financieros, de seguros y reaseguros y son administradas por separado puesto que requieren distinta tecnología, operar en diferentes mercados y tienen sus propias estrategias de mercadeo.</t>
  </si>
  <si>
    <t>tbl-23.html</t>
  </si>
  <si>
    <t>[tbl-23.html](tbl-23.html)</t>
  </si>
  <si>
    <t>El Grupo ha cambiado su organización interna y la composición de los segmentos que debe informarse, al reconocer el segmento de actividades financieras y bancarias como operación descontinuada. Ver más detalles en las Notas 34 y 35.</t>
  </si>
  <si>
    <t>tbl-24.html</t>
  </si>
  <si>
    <t>[tbl-24.html](tbl-24.html)</t>
  </si>
  <si>
    <t>tbl-25.html</t>
  </si>
  <si>
    <t>[tbl-25.html](tbl-25.html)</t>
  </si>
  <si>
    <t>6. Efectivo y equivalentes de efectivo</t>
  </si>
  <si>
    <t>- Al 31 de diciembre de 2024, no se revela el encaje legal depositado en el Banco Central de Nicaragua por ser parte de las operaciones descontinuadas (2023: US$55,577,352), el cual se basaba en el porcentaje de los depósitos captados de terceros. - Al 31 de diciembre de 2024, no se mantienen depósitos en garantía de operaciones bancarias en Nicaragua por ser parte de las operaciones descontinuadas (2023: US$1,006,866).</t>
  </si>
  <si>
    <t>Al 31 de diciembre de 2024, las reservas regulatorias acumuladas ascienden a US$13,109,696 (2023: US$15,420,826), las cuales se presentan en el estado consolidado de cambios en el patrimonio como una asignación de las utilidades no distribuidas disponibles.</t>
  </si>
  <si>
    <t>Durante el año el Grupo realizó ventas de su portafolio de inversiones a valor razonable con cambios en resultados por US$4,333,024 (2023: US$5,888,697). Estas ventas generaron ganancias netas en ambos años por 568,051 (2023: US$414,303), las cuales se presentan en el estado consolidado de resultados en el rubro de ingresos financieros, neto.</t>
  </si>
  <si>
    <t>El Grupo realizó ventas de su portafolio de inversiones a valor razonable con cambios en otras utilidades integrales por un total de US$76,023,436 (2023: US$7,967,095). Estas ventas generaron pérdidas netas en ambos años por US$1,836,728 (2023: US$177,986) la cual se presenta en el estado consolidado de resultados en el rubro de ingresos financieros, neto. Estas transacciones incluyen acciones en corporaciones que fueron vendidas durante el año 2024, cuyo valor en libros a esa fecha era de US$0 (2023: US$2,802,256) no manteniendo ganancia US$0 (2023: US$266,748) no reciclables la cual se presenta en el estado consolidado de otros resultados integrales.</t>
  </si>
  <si>
    <t>El Grupo realizó ventas de su portafolio de inversiones a costo amortizado $1,204,112 (2023: US$1,670,814). Estas ventas generaron pérdida neta por US$22,638 (2023: pérdida neta US$173,014) la cual se presenta en el estado consolidado de resultados en el rubro de ingresos financieros, neto.</t>
  </si>
  <si>
    <t>Al 31 de diciembre de 2024, el Grupo mantiene propiedades de inversión, netas por US$15,641,306 (2023: US$13,418,835) y que se encuentran registradas en el rubro de otros activos en el estado consolidado de situación financiera. Al 31 de diciembre de 2024, se dieron adiciones de propiedades de inversión por US$2,449,895 producto de reclasificación (2023: US$0). Al 31 de diciembre de 2024, el gasto de amortización de las propiedades de inversión fue de US$227,424 (2023: US$231,613).</t>
  </si>
  <si>
    <t>(11) Activos por derecho de uso, netos</t>
  </si>
  <si>
    <t>Prueba del deterioro del valor – Assicurazioni Generali S.p.A. y La Hipotecaria (Holding) Inc. El importe recuperable de esta UGE se basó en su valor en uso, considerando la estimación de flujos futuros generados por la UGE, comparado con su importe en libros.</t>
  </si>
  <si>
    <t>Las proyecciones de los flujos de efectivo esperados futuros, incluyeron estimaciones específicas para cinco años y una tasa de crecimiento temporal con posterioridad a esos cinco años. La tasa de crecimiento terminal se determinó sobre la base de la estimación de la gerencia de la tasa de crecimiento anual, compuesta de largo plazo consistente, con los supuestos razonables que efectuaría un participante en el mercado.</t>
  </si>
  <si>
    <t>Al 31 de diciembre 2024, la administración del Grupo no ha identificado indicios de deterioro de la plusvalía.</t>
  </si>
  <si>
    <t>13. Provisiones sobre los contratos de seguros</t>
  </si>
  <si>
    <t>A continuación, se detalla el análisis de los movimientos en cada provisión, así:</t>
  </si>
  <si>
    <t>Se hace más énfasis en las tendencias actuales y, en los primeros años donde no hay información suficiente. Se hace el mejor estimado confiable del desarrollo de los reclamos. La naturaleza del negocio hace muy difícil predecir con certeza el resultado probable de cualquier posible reclamo y en particular, del costo final de los reclamos reportados. Cada reclamo reportado es evaluado separadamente, caso por caso, con atención a las circunstancias del reclamo, información disponible de los ajustadores y la evidencia histórica de la magnitud de reclamos similares.</t>
  </si>
  <si>
    <t>Una tabla de mortalidad basada en la experiencia propia del Grupo es la más apropiada para tarifar cada tipo de contrato. La tasa de mortalidad reflejada en esta tabla es ajustada por la mortalidad esperada basada en un análisis estadístico en la experiencia del Grupo sobre los diez últimos años. Donde existen datos adecuados de calidad suficientes para que sean creíbles estadísticamente, las estadísticas de mortalidad generadas por los datos son utilizadas con preferencia a la utilización de una tabla de mortalidad sobre una base ajustada.</t>
  </si>
  <si>
    <t>Para muchos de los productos de seguro de vida, el riesgo de tasa de interés es administrado a través de estrategias de administración de activos/pasivos. El objetivo general de estas estrategias es optimizar el cambio neto en el valor del activo y pasivo que se origina de los movimientos de la tasa de interés.</t>
  </si>
  <si>
    <t>De acuerdo con el método de prima bruta y en menor grado al método de prima neta, la provisión para el negocio a largo plazo es sensible a la tasa de interés utilizada cuando se efectúa el descuento de los flujos de efectivos futuros. Para los seguros a término, la provisión es sensible a la experiencia de mortalidad futura presunta de los tenedores de póliza.</t>
  </si>
  <si>
    <t>Las notas comerciales negociables son títulos emitidos en Panamá y autorizados por la Superintendencia del Mercado de Valores. Al 31 de diciembre de 2024, existen tres programas por la suma de US$50,000,000, US$50,000,000 y US$100,000,000. Están respaldados solo por el crédito general de Banco La Hipotecaria, S. A.</t>
  </si>
  <si>
    <t>Al 31 de diciembre de 2024, la subsidiaria de Banco La Hipotecaria en Colombia ha emitido bonos ordinarios en pesos colombianos a mediano plazo por un valor equivalente a US$1,775,009 (2023: US$6,197,498) a una tasa de 6.29% (2023: 6.29%) a un plazo de 5 años, con vencimiento 23 de junio de 2025 (2023: vencimiento el 25 de junio de 2025).</t>
  </si>
  <si>
    <t>La Junta Directiva de la subsidiaria, Banco La Hipotecaria, mediante acta de junta directiva del 24 de mayo de 2018, autorizó la emisión de un programa de Covered Bond por US$200,000,000. Al 31 de diciembre 2023 no mantiene tramos en circulación (2023: US$10,664,110), a una tasa de 4.125% con plazos de 3.5 y 5 años. No ha habido incumplimiento en el pago de capitales e intereses en las obligaciones y financiamientos recibidos.</t>
  </si>
  <si>
    <t>Al 31 de diciembre de 2024, las obligaciones mantenían las siguientes garantías:</t>
  </si>
  <si>
    <t>La subsidiaria Banco La Hipotecaria, S. A. mantiene algunos financiamientos recibidos de instrucciones financieras del extranjero con las cuales no pudo cumplir un coeficiente relacionado con la mora; sin embargo, las instituciones bancarias le comunicaron al banco que están preparando la “dispensa/enmienda” correspondiente por el no cumplimiento de dicha cláusula. Por lo anterior, las líneas financieras y garantías se mantienen vigentes, sus fechas contractuales sin cambio y los pagos al día. A la fecha de reporte, la subsidiaria no ha sido comunicado de ningún cambio en los términos contractuales.</t>
  </si>
  <si>
    <t>Al 31 de diciembre de 2024, la subsidiaria Banco de Finanzas, S. A., dejó de ser subsidiaria del Grupo.</t>
  </si>
  <si>
    <t>Al 31 de diciembre de 2024, el Grupo ha emitido 10,349,516 acciones (2023: 10,334,046 acciones) de las cuales 202,562 acciones (2023: 159,891) se mantienen en tesorería quedando un total de acciones en circulación de 10,146,954 (2023: 10,174,155).</t>
  </si>
  <si>
    <t>Al 28 de junio de 2008, se autorizaron un total de 10 emisiones públicas de acciones preferidas no acumulativas a la subsidiaria La Hipotecaria (Holding), Inc., registradas en la Superintendencia del Mercado de Valores de Panamá y listadas en la Bolsa Latinoamericana de Valores. El total de las acciones preferidas emitidas y en circulación es de 210,000 acciones por un total de US$21,000,000 distribuido en acciones por un valor nominal de cien dólares (US$100) cada una. Estas acciones presentan una tasa de interés entre 6.75% y 7% anual; son acumulativas y distribuyen dividendos trimestralmente, si la Junta Directiva lo declara. El costo de emisión de las acciones preferidas ascendió a US$247,291. Durante el período terminado el 31 de diciembre de 2024 no se realizaron emisiones de acciones preferidas.</t>
  </si>
  <si>
    <t>Al 31 de diciembre de 2024, La Hipotecaria (Holding), Inc., no realizó redención (2023: igual) de acciones preferidas de un programa que se encuentra en circulación desde el año 2018. Estas acciones preferidas pueden ser pagadas a opción del emisor con un aviso previo de por lo menos 30 días, el cual se ejecutó el 15 de marzo de 2020.</t>
  </si>
  <si>
    <t>Al 31 de diciembre de 2024, el Grupo manejaba un capital humano de 1,702 (2023: 2,411) colaboradores permanentes.</t>
  </si>
  <si>
    <t>En la Asamblea Ordinaria de Accionistas de Grupo ASSA, S. A., celebrada el 28 de abril de 2010, se autorizó a la Junta Directiva del Grupo a emitir y vender hasta 200,000 acciones comunes sin valor nominal, al precio, forma de pago y otras condiciones que estime conveniente al personal clave de la gerencia principales de Grupo ASSA, S. A. y sus subsidiarias. El 19 de mayo de 2010, la Junta Directiva aprobó un plan de otorgamiento de opciones al personal clave de la gerencia el cual concluyó en mayo de 2014. Al cierre del plan se celebraron contratos de adjudicación con colaboradores por 187,866 acciones. El plan concede al personal clave de la gerencia el derecho de ejercer cada adjudicación en cuatro partidas iguales a partir del primer aniversario de cada asignación, a un precio específico, el cual es establecido anualmente por la Junta Directiva de Grupo ASSA, S. A. Al 31 de diciembre de 2024, el personal clave de la gerencia de las subsidiarias ASSA Compañía de Seguros, S. A. ha ejercido 169,811 (2023: 163,606) opciones adjudicadas de un total de 169,811 opciones disponibles para ejercer, netas de renuncias o despidos (2023: 169,811). Estos colaboradores tienen un período de hasta 10 años a partir de la fecha del inicio del plan para ejercer sus opciones.</t>
  </si>
  <si>
    <t>- El plan de opciones le concede al personal clave de la gerencia el derecho de ejercer cada adjudicación a partir del primer aniversario de cada atribución, en cinco partidas de 15% los primeros tres años, 25% el cuarto año y 30% el quinto año ejercibles hasta por un período de diez años a partir de la fecha de cada adjudicación. Al 31 de diciembre de 2024 se han celebrado contratos de atribución netas con colaboradores bajo este programa por 109,804 (2023: 117,752) opciones netas de renuncias o despidos y el personal clave de la gerencia ha ejercido 30,357 (2023: 28,194) opciones disponibles para ejercer.</t>
  </si>
  <si>
    <t>- El plan de concesión de acciones otorga al personal clave de la gerencia el beneficio de recibir hasta una cantidad fija de acciones comunes del capital social de Grupo ASSA, S. A. atribuidas anualmente por un período de hasta cinco años. Cada atribución será adjudicada a partir de su primer aniversario, en cinco partidas de 15% los primeros tres años, 25% el cuarto año y 30% el quinto año. Bajo esta modalidad, el Grupo otorga la adjudicación sin requerir un aporte por parte del participante. Al 31 de diciembre de 2024, se han celebrado contratos de atribución netas de concesiones por 31,816 (2023: 31,904) acciones netas de renuncias o despidos, de las cuales ya fueron adjudicadas y ejercidas 31,816 acciones (2023: 29,845).</t>
  </si>
  <si>
    <t>El 2 de junio de 2021, la Asamblea General de Accionistas de Grupo ASSA, S. A., con previa aprobación de la Junta Directiva de Grupo ASSA, S. A. autorizó la emisión de hasta 150,000 acciones comunes sin valor nominal, según lo disponga la Junta Directiva de ASSA Compañía Tenedora, S. A., a través de su Comité de Compensación, el cual determinará las condiciones convenientes para el personal de alto nivel de jerarquía elegibles. El nuevo plan tendrá vigencia de cinco años a partir mayo de 2021, cuya primera atribución se entregó en enero de 2022, con efectividad retroactiva a dicho período y consta de dos modalidades:</t>
  </si>
  <si>
    <t>El valor razonable de las opciones de acciones de los empleados se mide al momento de la adjudicación con base en el modelo Black-Scholes que toma en consideración las variables del valor de mercado de la acción, el factor de riesgo en el tiempo y el valor al cual fue establecida la opción. Se consideran otros datos tales como la rotación del personal clave de la gerencia y la posibilidad de cambios en las tasas de interés.</t>
  </si>
  <si>
    <t>Al 31 de diciembre de 2024, el Grupo reportó un movimiento en las atribuciones otorgadas bajo el plan de opciones por US$467,689 (2023: US$800,384).</t>
  </si>
  <si>
    <t>[tbl-68.html](tbl-68.html) [tbl-69.html](tbl-69.html)</t>
  </si>
  <si>
    <t>25. Impuesto sobre la renta</t>
  </si>
  <si>
    <t>Las subsidiarias del Grupo se rigen bajo las legislaciones fiscales establecidas en sus países de constitución. Sus tasas de impuesto sobre la renta aplicables a la renta gravable son entre 12% y 34% y existen subsidiarias en otras jurisdicciones donde por la naturaleza de la operación no se generan impuestos.</t>
  </si>
  <si>
    <t>Al 31 de diciembre de 2024, el monto del gasto de impuesto sobre la renta se detalla a continuación:</t>
  </si>
  <si>
    <t>[tbl-73.html](tbl-73.html) [tbl-74.html](tbl-74.html)</t>
  </si>
  <si>
    <t>Al 31 de diciembre de 2024, el valor de los fideicomisos bajo administración ascendía a US$236,684,268 (2023: US$269,645,369).</t>
  </si>
  <si>
    <t>El cálculo de la utilidad por acción común está basado en la utilidad neta correspondiente a los accionistas comunes mayoritarios por US$124,738,718 (2023: US$91,431,895), dividida entre el número promedio ponderado de acciones en circulación durante el período por 10,156,284 acciones (2023: 10,174,856).</t>
  </si>
  <si>
    <t>Mediante cartas de promesa de pago, el Grupo ha adquirido el compromiso de realizar, por cuenta de clientes, ciertos pagos a terceros una vez se cumplan ciertas condiciones pactadas previamente. Las cartas de promesa de pago suscritas al 30 de diciembre de 2024 tienen vigencia de seis (6) meses en promedio.</t>
  </si>
  <si>
    <t>Dentro del curso ordinario de los negocios de seguros, el Grupo está involucrado en varias reclamaciones legales, para los cuales, al 31 de diciembre de 2024, mantiene una provisión de US$25,206,847 (2023: US$19,259,020).</t>
  </si>
  <si>
    <t>(ii) Transferencias entre el Nivel 1 y el Nivel 2</t>
  </si>
  <si>
    <t>Al 31 de diciembre de 2024, se transfirieron instrumentos de deuda corporativa al valor razonable con cambios en otros resultados integrales con un importe en libros de US$12,541,842 desde el Nivel 1 al Nivel 2 porque los precios cotizados en el mercado de estos instrumentos de deuda dejaron de estar regularmente disponibles. Se han efectuado transferencias del Nivel 2 al Nivel 1 durante el año 2024 por valor de US$40,469,131 (2023: US$17,093,792.</t>
  </si>
  <si>
    <t>La siguiente tabla presenta la conciliación de los saldos iniciales y finales para los instrumentos financieros registrados a valor razonable categorizados como Nivel 3 según la jerarquía de niveles de valor razonable:</t>
  </si>
  <si>
    <t>El Grupo reconoce transferencia entre niveles medidos a valor razonable al período terminado cuando ocurre un cambio.</t>
  </si>
  <si>
    <t>(iii) Técnicas de valoración</t>
  </si>
  <si>
    <t>(iv) Análisis de sensibilidad</t>
  </si>
  <si>
    <t>Para los valores razonables de los instrumentos de patrimonio, los cambios razonablemente posibles a la fecha de reporte en una de las variables no observables significativas tendrían los siguientes efectos, si las otras variables se mantuvieran constantes. A continuación, se resume el impacto en el cambio en el valor razonable y el patrimonio, neto:</t>
  </si>
  <si>
    <t>Adicionalmente, las subsidiarias bancarias, de seguros y reaseguros del Grupo están sujetas a las regulaciones de la Superintendencia de Bancos y la Superintendencia de Seguros y Reaseguros de Panamá; la Superintendencia de Bancos y Otras Instituciones Financieras de Nicaragua; la Superintendencia General de Seguros de Costa Rica; la Superintendencia del Sistema Financiero de la República de El Salvador; la Superintendencia de Bancos de Guatemala; la Comisión Nacional de Bancos y Seguros de Honduras; Bermuda Monetary Authority (BMA) de Bermuda, Cayman Island Monetary Authority (CIMA) de Islas Cayman, la Superintendencia Financiera de Colombia, en lo concerniente a los riesgos de liquidez, crédito y niveles de capitalización, entre otros.</t>
  </si>
  <si>
    <t>Deterioro en préstamos, inversiones y depósitos con bancos</t>
  </si>
  <si>
    <t>El deterioro para los préstamos, inversiones y depósitos con bancos se determina comparando el valor en libros del activo con el valor estimado recuperable de este activo.</t>
  </si>
  <si>
    <t>Los préstamos renegociados son aquellos a los cuales se le han hecho una reestructuración debido a algún deterioro en la condición financiera del deudor, y donde el Grupo ha concedido algún cambio en los parámetros originales de crédito. Estos préstamos, una vez que son reestructurados, se mantienen en esta categoría independientemente de cualquier mejoramiento en la condición del deudor posterior a la reestructuración por parte del Grupo.</t>
  </si>
  <si>
    <t>El Grupo ha establecido reservas para deterioro, las cuales representan una estimación sobre las pérdidas estimadas esperadas en la cartera de préstamos. Los componentes principales de estas reservas están relacionados con riesgos individuales, y la reserva para pérdidas en préstamos establecida de forma colectiva considerando un grupo homogéneo de activos con respecto a pérdidas históricas, identificadas en préstamos sujetos a un deterioro individual.</t>
  </si>
  <si>
    <t>El Grupo determina el castigo de un grupo de préstamos, en base a criterios particulares de saneamiento de cada grupo, efectuando un análisis de forma individual de los créditos dentro de cada agrupación y de las condiciones financieras hechas, desde que no se efectuó el pago de la obligación, y cuando se determina que la garantía no es suficiente para el pago completo de la facilidad crediticia otorgada. Para los préstamos de montos menores, los castigos generalmente se basan en el tiempo vencido del crédito otorgado.</t>
  </si>
  <si>
    <t>En las siguientes tablas se presenta información sobre la calidad crediticia por componente, La Hipotecaria (Holding), Inc. y Grupo BDF, S.A. incluida al 31 de diciembre de 2024, de los activos financieros medidos a CA en préstamos, sin considerar las garantías y otras mejoras para reducir el riesgo de crédito. A menos que se indique específicamente, para los activos financieros, los montos en la tabla representan los valores en libros brutos.</t>
  </si>
  <si>
    <t>2024 (Ver nota 35)</t>
  </si>
  <si>
    <t>Préstamos hipotecarios residenciales de La Hipotecaria Holding, Inc.</t>
  </si>
  <si>
    <t>La siguiente tabla presenta el rango de relación de préstamos de la cartera hipotecaria con relación al valor de las garantías ("Loan To Value" – "LTV"). El LTV es calculado como un porcentaje del saldo del préstamo con relación al valor de la garantía al momento del desembolso.</t>
  </si>
  <si>
    <t>El análisis para 2023 está basado en el segmento de negocio de La Hipotecaria (Holding), S.A., base que efectúa la administración mensualmente consiste en determinar el impacto por aumentos o disminuciones de 25 y 50 puntos básicos (pb) en las tasas de interés. A continuación, se resume el impacto en el ingreso neto de interés y el patrimonio neto:</t>
  </si>
  <si>
    <t>El análisis está basado en el segmento de negocio de Grupo BDF, S.A. (operación descontinuada al 31 de julio de 2024), base que efectúa la administración mensualmente consiste en determinar el impacto por aumentos o disminuciones de 25 y 50 puntos básicos (pb) en las tasas de interés. A continuación, se resume el impacto en el ingreso neto de interés y el patrimonio neto:</t>
  </si>
  <si>
    <t>El Grupo revisa sus carteras de préstamos (operación descontinuada) a la fecha de reporte para determinar si existe una evidencia objetiva de deterioro en un préstamo o cartera de préstamos que debe ser reconocida en los resultados del período.</t>
  </si>
  <si>
    <t>El Grupo emite seguros de responsabilidades generales sobre base local. En estos contratos existe el otorgamiento de una compensación monetaria que es pagada por los daños sufridos por terceros.</t>
  </si>
  <si>
    <t>El Grupo reasegura una porción del riesgo que suscribe con el fin de controlar su exposición a pérdidas y para proteger sus recursos de capital. El Grupo contrata una combinación de reaseguros proporcionales y no proporcionales para reducir la exposición neta.</t>
  </si>
  <si>
    <t>- Medición de las acumulaciones geográficas</t>
  </si>
  <si>
    <t>- Reaseguro de exceso de pérdidas que ha sido comprado para proteger los riesgos retenidos de la cartera.</t>
  </si>
  <si>
    <t>Los acuerdos de reaseguro distribuyen el riesgo y minimizan los efectos de las pérdidas. La cantidad de cada riesgo retenido depende de la evaluación del Grupo del riesgo específico y está sujeto, en algunas circunstancias, a los límites máximos basados en las características de las coberturas. De acuerdo con los términos de los contratos de reaseguro, el reasegurador se compromete a reembolsar la proporción cedida o exceso de la siniestralidad incurrida dependiendo del tipo de contrato en el caso de reclamos pagados. Sin embargo, la aseguradora es la responsable frente a los tenedores de las pólizas con respecto al seguro cedido si algún reasegurador falla en el cumplimiento de la obligación que asume.</t>
  </si>
  <si>
    <t>El registro se realizará con vigencia indefinida; sin embargo, la falta de publicación y restricción a la información financiera del reasegurador, corredor de reaseguros o asegurador que actúa como reasegurador; así como cualquier evento que provoque inestabilidad en sus resultados y posición financiera o reputacional puede afectar el registro. Será causal suficiente para la suspensión de forma temporal o permanente a la ejecución de negocios con dicho reasegurador o asegurador y/o su reemplazo en cualquier negocio donde participe.</t>
  </si>
  <si>
    <t>Las actividades fiduciarias comprenden la prestación de servicios de manejo y administración de fondos de pensiones, garantías y otros por cuenta de terceros. Estos activos se administran en cuentas fiduciarias, las cuales no forman parte de estos estados financieros consolidados. El riesgo máximo al que estaría expuesta la aseguradora se concentra en reclamos por administración negligente o bajos rendimientos. La administración mantiene un control adecuado para reducir este riesgo.</t>
  </si>
  <si>
    <t>Al 31 de diciembre de 2024, la máxima exposición a pérdidas del Grupo en las entidades estructuradas no consolidadas, corresponde al valor en libros de los activos que mantiene en estas por US$63,252,812 (2023: US$71,571,515). El Grupo no ha otorgado apoyo financiero a las entidades estructuradas no consolidadas.</t>
  </si>
  <si>
    <t>La Superintendencia de Seguros y Reaseguros de Panamá, mediante Acuerdo No.01-2024 del 12 de enero de 2024, comunica formalmente que el plazo de entrada en vigor de la NIIF 17 de conformidad con el IASB, es el 1 de enero de 2023, sin embargo, se ha acordado trasladar la fecha de entrada en vigor para el 1 de enero de 2025.</t>
  </si>
  <si>
    <t>### (b) Ley de Intereses Preferenciales sobre Préstamos Hipotecarios</t>
  </si>
  <si>
    <t>Al 31 de diciembre de 2024, la subsidiaria La Hipotecaria (Holding) Inc. registró neto de provisión la suma de US$16,558,513 (2023: US$15,324,171), como ingresos de intereses preferenciales sobre la cartera de préstamos hipotecarios residenciales.</t>
  </si>
  <si>
    <t>Al 31 de diciembre de 2024, el crédito fiscal por realizar se incluye en las cuentas por cobrar del estado consolidado de situación financiera y el mismo asciende a US$24,330,424 (2023: US$26,487,291). Ver Nota 7 y 35.</t>
  </si>
  <si>
    <t>Al 31 de diciembre de 2024, la subsidiaria no realizó ventas de créditos fiscales (2023: US$7,668,365) sin generar ganancia (2023: $426).</t>
  </si>
  <si>
    <t>(c) Ley Bancaria Las operaciones bancarias de Panamá están reguladas por la Superintendencia de Bancos de la República de Panamá de acuerdo con la legislación establecida por el Decreto Ley No. 9 de 26 de febrero de 1998, modificado por el Decreto Ley 2 del 22 de febrero de 2008.</t>
  </si>
  <si>
    <t>(d) Ley de Fideicomiso Las operaciones de fideicomiso en Panamá están reguladas principalmente por la Superintendencia de Bancos de la República de Panamá de acuerdo con la legislación establecida en la Ley No.1 del 5 de enero de 1984. Modificada por la Ley No. 21 del 10 de mayo de 2017.</t>
  </si>
  <si>
    <t>(e) Ley de Valores Las operaciones de emisor y puesto de bolsa en Panamá están reguladas por la Superintendencia del Mercado de Valores de acuerdo con la legislación establecida en el Decreto Ley No. 1 de 8 de julio de 1999, reformada mediante la Ley No.67 de 1 de septiembre de 2011.</t>
  </si>
  <si>
    <t>(f) Reserva de Insuficiencia de Primas Mediante el Acuerdo No.4 del 6 de septiembre de 2016, la Superintendencia de Seguros y Reaseguros de la República de Panamá dispone valuar y constituir una Reserva de Insuficiencia de Primas (RIP) que complemente a la Reserva de Riesgo en Curso en la medida en que esta última no sea suficiente para reflejar la valoración de todos los riesgos y gastos a cubrir por la Compañía, correspondiente al período de cobertura no transcurrido a la fecha de cálculo.</t>
  </si>
  <si>
    <t>El cálculo y la presentación de la Reserva de Insuficiencia de Prima fue realizada y certificada por actuarios externos, independientes e idóneos, que no tienen interés directo ni indirecto en la Compañía y sus resultados determinaron que no se requiere complementar la Reserva de Riesgos en Curso para cumplir en debida forma con las obligaciones derivadas de los contratos de seguros.</t>
  </si>
  <si>
    <t>(b) Ley de Valores Las operaciones de emisores y puestos de bolsa en El Salvador están reguladas por la Superintendencia de Valores de acuerdo con la legislación establecida en el Decreto Ley No.809 de 31 de abril de 1994. De acuerdo al Decreto Legislativo No.592 del 14 de enero de 2011, la Superintendencia de Valores dejó de existir a partir del 2 de agosto de 2011, que contiene la Ley de Regulación y Supervisión del Sistema Financiero, publicado en Diario Oficial No.23 del 2 de febrero de 2011, que entró en vigencia a partir del 2 de agosto de 2011, y que dio origen a la nueva Superintendencia del Sistema Financiero como ente supervisor único que integra las atribuciones de las anteriores Superintendencias del Sistema Financiero, Pensiones y Valores.</t>
  </si>
  <si>
    <t>(c) Código de Comercio Las actividades relacionadas con los actos de comercio, las cosas mercantiles, así como las sociedades en general, están reguladas en El Salvador por el Código de Comercio, de acuerdo con el Decreto Ley N° 671 de 08 de mayo de 1970.</t>
  </si>
  <si>
    <t>(d) Ley de Sociedades de Seguros La constitución y funcionamiento de las sociedades de seguro y la participación de los intermediarios de seguros en El Salvador está regulada por la Ley de Sociedades de Seguros, según el Decreto Legislativo N° 844 de fecha 10 de octubre de 1996, reformada con los Decretos N° 893, del 21 de noviembre de 1996, publicado en el D.O. N° 222, Tomo 333, del 25 de noviembre de 1996 y N° 910, del 14 de diciembre de 2005, publicado en el D.O. N° 8, Tomo 370, del 12 de enero de 2006.</t>
  </si>
  <si>
    <t>(e) Reglamento de la Ley de Sociedades de Seguros Este Reglamento tiene por objeto desarrollar aquellas disposiciones de la Ley de Sociedades de Seguros, de acuerdo con el Decreto Ejecutivo N° 44 del 20 de abril de 1999 y ha sido reformado según el Decreto No. 25, del 19 de marzo de 2001, publicado en el D.O. No. 69, Tomo 351, del 5 de abril de 2001.</t>
  </si>
  <si>
    <t>(h) Reglamento de la Ley de Protección al Consumidor</t>
  </si>
  <si>
    <t>Este Reglamento tiene por objeto la ejecución y desarrollo de las disposiciones contenidas en la Ley de Protección al Consumidor de acuerdo con el Decreto Ejecutivo N° 52 del 12 de mayo de 2006.</t>
  </si>
  <si>
    <t>(i) Precio de transferencia</t>
  </si>
  <si>
    <t>La Junta Directiva declaró el 11 de febrero de 2025 un dividendo de US$1.25 por acción, pagadero el 28 de febrero de 2025, a los accionistas registrados al 17 de febrero de 2025.</t>
  </si>
  <si>
    <t>(34) Operaciones descontinuadas</t>
  </si>
  <si>
    <t>El Grupo notificó el 3 de junio de 2024 a la Superintendencia del Mercado de Valores la vinculación de su subsidiaria Grupo BDF, S. A. ("BDF") con Banco de la Producción, S. A. ("BANPRO"). Con el cierre de esta transacción el 1 de agosto de 2024, BANPRO y BDF pasaron a formar parte de un nuevo grupo bancario denominado Nueva Tenedora Banpro, S. A. ("NTB"). Cada banco continúa operando por separado con sus respectivas marcas BANPRO y BDF y al amparo de sus respectivas licencias bancarias en la República de Nicaragua.</t>
  </si>
  <si>
    <t>Esta transacción fue estructurada como una reorganización corporativa en la cual Grupo ASSA y Grupo Promérica, el propietario de BANPRO previo al cierre, crearon una sociedad tenedora, Nueva Tenedora Banpro, S.A. ("NTB"), y aportaron la totalidad de la tenencia accionaria de sus dos bancos. Como resultado, BANPRO y BDF se convirtieron en subsidiarias de NTB a partir del cierre de la transacción.</t>
  </si>
  <si>
    <t>Con esta reorganización, Grupo ASSA, sin reducir el monto invertido, pasó a tener una participación accionaria del 11.3521% y sin control sobre NTB y sus subsidiarias, por medio de la subsidiaria Activos Financieros de Centroamérica, S. A.</t>
  </si>
  <si>
    <t>Debido a que en 2024 también el Grupo acordó iniciar el proceso de venta de La Hipotecaria (Holding) Inc. (ver nota 35), todo el segmento de actividades financieras y bancarios califica como operación descontinuada. La información comparativa de los estados consolidados de resultados y de otros resultados integrales ha sido re-expresada a fin de presentar la operación descontinuada por separado de las operaciones continuas.</t>
  </si>
  <si>
    <t>A continuación, presentamos información financiera de Grupo BDF, S. A. y subsidiarias al 31 de julio de 2024 y por el periodo de siete meses terminado en esa fecha:</t>
  </si>
  <si>
    <t>(35) Activos y Pasivos Clasificados como Mantenido para la Venta</t>
  </si>
  <si>
    <t>El 16 de diciembre de 2024, la Junta Directiva del Grupo autorizó el proceso de venta de la totalidad de su participación accionaria en las subsidiarias que integran las operaciones de La Hipotecaria (Holdings) Inc. al grupo financiero centroamericano Inversiones Cuscatlán Centroamérica, S. A., sujeto al previo cumplimiento de ciertas condiciones (incluyendo la obtención de las aprobaciones regulatorias requeridas).</t>
  </si>
  <si>
    <t>Al 31 de diciembre 2024, estas subsidiarias presentan los siguientes saldos de activos, pasivos y patrimonio, los cuales el Grupo ha clasificados como mantenidos para la venta en el estado consolidado de situación financiera.</t>
  </si>
  <si>
    <t># Activos y Pasivos Clasificados como Mantenidos para la Venta, Continuación</t>
  </si>
  <si>
    <t>El Grupo considera las operaciones de los activos mantenidos para la venta como operaciones descontinuadas, por lo cual ha re-expresado el estado consolidado de resultados a fin de presentar la operación descontinuada por separado de las operaciones continuas para el año 2024 y el año comparativo.</t>
  </si>
  <si>
    <t>A continuación, se presentan los instrumentos financieros clasificados como mantenidos para la venta que están expuesta al riesgo de crédito y su correspondiente evaluación:</t>
  </si>
  <si>
    <t>Al 31 de diciembre de 2024, las tasas de interés anual de los préstamos oscilaban entre 5% y 19% (2023: 3% y 33%). En cuanto a las tarjetas de crédito, este producto ya no está disponible (2023: 15% y 45%).</t>
  </si>
  <si>
    <t>Al 31 de diciembre de 2024, la subsidiaria La Hipotecaria (Holding), Inc. y Subsidiarias, mantenía préstamos hipotecarios para viviendas por US$235,332,096 (2023: US$228,926,872) en garantía de obligaciones contraídas con instituciones financieras y a la fecha no mantienen créditos hipotecarios en garantía de notas comerciales negociables (véase Nota 14).</t>
  </si>
  <si>
    <t>Al 31 de diciembre de 2024, no se mantienen préstamos por cobrar de las operaciones descontinuadas (2023: US$38,487,363) en garantía de obligaciones contraídas con instituciones financieras (véase Nota 14).</t>
  </si>
  <si>
    <t>page-159</t>
  </si>
  <si>
    <t>El análisis de la concentración del riesgo de crédito es el siguiente:</t>
  </si>
  <si>
    <t>Análisis de la calidad crediticia:</t>
  </si>
  <si>
    <t>page-160</t>
  </si>
  <si>
    <t>tbl-102.html</t>
  </si>
  <si>
    <t>[tbl-102.html](tbl-102.html)</t>
  </si>
  <si>
    <t>tbl-103.html</t>
  </si>
  <si>
    <t>[tbl-103.html](tbl-103.html)</t>
  </si>
  <si>
    <t>page-161</t>
  </si>
  <si>
    <t>tbl-104.html</t>
  </si>
  <si>
    <t>[tbl-104.html](tbl-104.html)</t>
  </si>
  <si>
    <t>tbl-105.html</t>
  </si>
  <si>
    <t>[tbl-105.html](tbl-105.html)</t>
  </si>
  <si>
    <t>page-162</t>
  </si>
  <si>
    <t>Al 31 de diciembre de 2024</t>
  </si>
  <si>
    <t>tbl-106.html</t>
  </si>
  <si>
    <t>[tbl-106.html](tbl-106.html)</t>
  </si>
  <si>
    <t>page-163</t>
  </si>
  <si>
    <t>tbl-107.html</t>
  </si>
  <si>
    <t>[tbl-107.html](tbl-107.html)</t>
  </si>
  <si>
    <t>page-164</t>
  </si>
  <si>
    <t>Por los doce meses terminado el 31 de diciembre de 2024</t>
  </si>
  <si>
    <t>tbl-108.html</t>
  </si>
  <si>
    <t>[tbl-108.html](tbl-108.html)</t>
  </si>
  <si>
    <t>page-165</t>
  </si>
  <si>
    <t>En la Ciudad de Panamá, Capital de la República y Cabecera del Circuito Notarial del mismo nombre a los diecinueve (19) días del mes de marzo del dos mil veinticinco (2025), ante mí, SOUHAIL MUSBAH HALWANY CIGARRUISTA, Notario Público Duodécimo del Circuito de Panamá, portador de la cédula de identidad personal número ocho-setecientos veintidós-dos mil ciento veinticinco (8-722-2125), a solicitud de los señores STANLEY ALBERTO MOTTA CUNNINGHAN, portador de la cédula de identidad personal número ocho-doscientos diecinueve- mil setecientos dieciocho (8-219-1718); LORENZO ROMAGOSA LASSEN, portador de la cédula de identidad personal número ocho-doscientos cuatro- mil ochocientos noventa y uno (8-204-1891), actuando como Presidente titular y Tesorero respectivamente, de la Junta Directiva de Grupo ASSA, S. A., inscrita en la Ficha once mil setecientos veintitrés (11723), Rollo cuatrocientos noventa y uno (491), Imagen tres (3) de la Sección de Micropelículas Mercantil del Registro Público de la República de Panamá y EDUARDO JOSÉ FÁBREGA ALEMÁN, portador de la cédula de identidad personal número ocho- trescientos ochenta y nueve – setecientos veintisiete (8-389-727) y KAREN IVETT DUEÑAS DOMINGUEZ, portador de la cédula de identidad personal número ocho- cuatrocientos noventa – setecientos cuarenta y seis (8-490-746) en calidad ambos de Presidente Ejecutivo y Vicepresidente de Finanzas respectivamente de ASSA Compañía de Seguros, S. A., sociedad anónima establecida en la República d</t>
  </si>
  <si>
    <t>page-166</t>
  </si>
  <si>
    <t>bajo la gravedad del juramento, ante mí, expresaron:---</t>
  </si>
  <si>
    <t xml:space="preserve">Nosotros, Stanley Alberto Motta Cunningham, portador de la cédula de identidad personal número ocho- doscientos diecinueve- mil setecientos dieciocho (8-219-1718); Lorenzo Romagosa Lassen, portador de la cédula de identidad personal número ocho- doscientos cuatro- mil ochocientos noventa y uno (8-204-1891), actuando como Presidente titular y Tesorero respectivamente, de la Junta Directiva de Grupo ASSA, S. A., inscrita en la Ficha once mil setecientos veintitrés (11723), Rollo cuatrocientos noventa y uno (491), Imagen tres (3) de la Sección de Micropelículas Mercantil del Registro Público de la República de Panamá y Eduardo José Fábrega Alemán, portador de la cédula de identidad personal número ocho- trescientos ochenta y nueve – setecientos veintisiete (8-389-727) y Karen Ivett Dueñas Domínguez, portadora de la cédula de identidad personal número ocho- cuatrocientos noventa – setecientos cuarenta y seis (8-490-746) en calidad ambos de Presidente Ejecutivo y Vicepresidente de Finanzas respectivamente de ASSA Compañía de Seguros, S. A., sociedad anónima establecida en la República de Panamá y debidamente inscrita en la Ficha cincuenta y tres mil seiscientos cincuenta y nueve (53659), Rollo tres mil setecientos veinticuatro (3724), Imagen ciento tres (103), de la Sección de Micropelículas Mercantil del Registro Público de la República de Panamá, subsidiaria de ASSA Compañía Tenedora S. A., que a su vez es la subsidiaria principal de Grupo ASSA, S. A., todos con domicilio legal </t>
  </si>
  <si>
    <t>**PRIMERO**: Que cada uno de los declarantes y firmantes del presente instrumento legal, han leído y revisado el Estado Financiero Anual correspondiente al cierre al treinta y uno (31) de diciembre de dos mil veinticuatro (2024).---</t>
  </si>
  <si>
    <t>**SEGUNDO**: Que a nuestro juicio, el Estado Financiero Anual correspondiente al cierre al treinta y uno (31) de diciembre de dos mil veinticuatro (2024), no contiene informaciones o declaraciones falsas sobre hechos de importancia, ni omiten información sobre hechos de importancia que deban ser divulgados en virtud del Texto Único del Decreto Ley uno (1) del</t>
  </si>
  <si>
    <t>page-167</t>
  </si>
  <si>
    <t>ocho (8) de julio de mil novecientos noventa y nueve (1999) y sus reglamentos, o que deban ser divulgados para que las declaraciones hechas en dicho informe no sean tendenciosas o engañosas a la luz de las circunstancias en las que fueron hechas.</t>
  </si>
  <si>
    <t>**TERCERO**: Que a nuestro juicio los Estados Financieros Anuales al cierre al treinta y uno (31) de diciembre de dos mil veinticuatro (2024) y cualquier otra información financiera incluida en los mismos, representan razonablemente en todos sus aspectos la condición financiera y los resultados de las operaciones de Grupo ASSA, S. A. y Subsidiarias para el período terminado el treinta y uno (31) de diciembre de dos mil veinticuatro (2024).</t>
  </si>
  <si>
    <t>**CUARTO**: Que los firmantes del presente instrumento legal, declaran entender y conocer que:</t>
  </si>
  <si>
    <t>a) Son responsables del establecimiento y mantenimiento de controles internos en la empresa.</t>
  </si>
  <si>
    <t>b) Hemos diseñado los mecanismos de control interno que garanticen que toda la información de importancia sobre Grupo ASSA, S. A. y sus subsidiarias consolidadas, sean hechas de su conocimiento, particularmente durante el período en el que los reportes han sido preparados.</t>
  </si>
  <si>
    <t>c) Hemos evaluado la efectividad de los controles internos de la empresa dentro de los noventa (90) días previos a la emisión de los Estados Financieros.</t>
  </si>
  <si>
    <t>d) Hemos presentado en los Estados Financieros nuestras conclusiones sobre la efectividad de los controles internos con base en las evaluaciones efectuadas a esa fecha.</t>
  </si>
  <si>
    <t>**QUINTO**: Que cada uno de los firmantes ha revelado a los auditores de la empresa y al Comité de Auditoría lo siguiente:</t>
  </si>
  <si>
    <t>a) Todas las deficiencias significativas que surjan en el marco del diseño y operación de los controles internos, que puedan afectar negativamente la capacidad de la empresa para registrar, procesar y reportar información financiera, e indicado a los auditores cualquier debilidad existente en los controles internos.</t>
  </si>
  <si>
    <t>b) Cualquier fraude, de importancia o no, que involucre a la administración u otros empleados que ejerzan un rol significativo en la ejecución de los controles internos de la empresa.</t>
  </si>
  <si>
    <t>c) Que cada uno de los firmantes ha revelado a los auditores externos la existencia o no de cambios significativos en los controles internos de la empresa o cualesquiera otros factores que puedan afectar en forma importante tales controles con posterioridad a la fecha de su evaluación, incluyendo la formulación de acciones correctivas con respecto a deficiencias o debilidades de importancia dentro de la empresa.</t>
  </si>
  <si>
    <t>-3-</t>
  </si>
  <si>
    <t>page-168</t>
  </si>
  <si>
    <t>Para constancia, se firma la presente Declaración Notarial Jurada, en presencia de los testigos instrumentales: **SELIDETH EMELINA DE LEÓN CARRASCO**, con cédula de identidad personal número seis-cincuenta y nueve-ciento cuarenta y siete (6-59-147), y **ASHLEY POLETT VERGARA ORTIZ**, con cédula de identidad personal número ocho-novecientos treinta y uno-quinientos ocho (8-931-508), mayores de edad, vecinas de esta ciudad, personas a quienes conozco y son hábiles para el cargo, la encontraron conforme, le impartieron su aprobación y la firman todos para constancia, por ante mí, el Notario que doy fe., a quienes conozco y son hábiles para el cargo.</t>
  </si>
  <si>
    <t>STANLEY A. MOTTA CUNNINGHAN Presidente GRUPO ASSA, S. A.</t>
  </si>
  <si>
    <t>LORENZO ROMAGOSA LASSEN Tesorero GRUPO ASSA, S. A.</t>
  </si>
  <si>
    <t>EDUARDO J. FÁBREGA ALEMÁN Presidente Ejecutivo ASSA COMPAÑÍA DE SEGUROS, S. A.</t>
  </si>
  <si>
    <t>KAREN I. DUEÑAS DOMINGUEZ Vicepresidenta Ejecutiva de Finanzas ASSA COMPAÑÍA DE SEGUROS, S. A.</t>
  </si>
  <si>
    <t>2025</t>
  </si>
  <si>
    <t>INA_ASSA_2025_0.pdf</t>
  </si>
  <si>
    <t>3</t>
  </si>
  <si>
    <t>3. Costo Amortizado (CA)</t>
  </si>
  <si>
    <t>Al 31 de diciembre de 2025 el Grupo solamente tenía pasivos financieros medidos a costo amortizado.</t>
  </si>
  <si>
    <t>La medición posterior es según el método de interés efectivo. Los gastos por intereses y las diferencias de cambio se reconocen en resultados.</t>
  </si>
  <si>
    <t>En el momento de la baja en cuentas de un activo financiero la diferencia entre el importe en libros del activo financiero extinto y la contraprestación pagada (incluidos los activos que no sean en efectivo transferidos o los activos asumidos) se reconoce en resultados o en ORI, dependiendo de su clasificación al momento de su adquisición.</t>
  </si>
  <si>
    <t>El importe en libros bruto de un activo financiero se castiga cuando el Grupo no tiene expectativas razonables de recuperar un activo financiero en su totalidad o una porción del mismo. En el caso de los clientes individuales, la política del Grupo es castigar el importe en libros bruto cuando el activo financiero presente una mora de 180 días con base en la experiencia histórica de recuperaciones de activos similares. En el caso de los clientes empresariales, el Grupo hace una evaluación individual de la oportunidad y el alcance del castigo con base en si existe o no una expectativa razonable de recuperación. El Grupo no espera que exista una recuperación significativa del importe castigado.</t>
  </si>
  <si>
    <t>No obstante, los activos financieros que son castigados podrían estar sujetos a actividades a fin de cumplir con los procedimientos del Grupo para la recuperación de los importes adeudados.</t>
  </si>
  <si>
    <t>A la fecha de reporte, se determina si existe una evidencia objetiva de deterioro en los instrumentos financieros, y se utiliza el modelo de pérdidas crediticias esperadas (PCE), para provisionar las pérdidas esperadas en los instrumentos financieros. El modelo de pérdidas crediticias esperadas (PCE) es aplicable a los siguientes activos financieros que no son medidos a VRER:</t>
  </si>
  <si>
    <t>- Depósitos a plazo; - Instrumentos de deuda.</t>
  </si>
  <si>
    <t>No se reconocerá pérdida por deterioro sobre inversiones en instrumentos clasificados bajo el modelo de valor razonable con cambios en resultados. La evaluación de si se presentó o no un incremento significativo en el riesgo de crédito de un activo financiero es uno de los juicios críticos implementados en el modelo de deterioro.</t>
  </si>
  <si>
    <t>El modelo de pérdidas crediticias esperadas (PCE) presenta tres etapas de deterioro para los activos financieros que se aplican desde la fecha de origen o adquisición. Estas etapas se resumen a continuación:</t>
  </si>
  <si>
    <t>- Etapa 1: Reconoce la provisión para pérdidas crediticias por el monto equivalente a las pérdidas de crédito esperadas de los próximos 12 meses. Esto representa la porción de pérdidas crediticias esperadas que resulta de eventos de pérdidas que son probables dentro de un período de 12 meses siguientes a la fecha de reporte, asumiendo que el riesgo de crédito no se ha incrementado significativamente desde su reconocimiento inicial. - Etapa 2: Reconoce la provisión para pérdidas crediticias por el monto equivalente a las pérdidas crediticias esperadas durante la vida remanente del activo para aquellos activos financieros que se consideran que han experimentado un incremento significativo en el riesgo de crédito desde su reconocimiento inicial. Esto requiere el cómputo de la PCE basado en la probabilidad de incumplimiento durante la vida restante del activo financiero, la cual es calculada a valor presente. La provisión para pérdidas de crédito es más alta en esta etapa debido a un incremento significativo del riesgo de crédito y considerando el impacto de un horizonte de tiempo más largo al compararse con la etapa 1, que solo considera un horizonte de un año. - Etapa 3: Reconoce una provisión para pérdidas crediticias por el monto equivalente a la PCE durante el tiempo de vida remanente del activo, con base en una probabilidad de incumplimiento (PI) del 100% sobre los flujos de efectivo recuperables del activo.</t>
  </si>
  <si>
    <t>## Calificación de riesgo de crédito de los instrumentos financieros</t>
  </si>
  <si>
    <t>Para las inversiones internacionales, se utilizó la calificación de riesgo internacional de agencias calificadoras. Para los instrumentos con calificación local, se consideró la calificación de una agencia calificadora debidamente autorizada por el regulador. Para aquellos instrumentos sin calificación, la administración utilizó un modelo interno de clasificación basado en la metodología de Fitch Ratings Inc.</t>
  </si>
  <si>
    <t>Cada instrumento financiero al que aplique tendrá una calificación de riesgo de crédito asignada al momento del reconocimiento inicial basada en información disponible sobre el emisor o deudor y las características particulares del instrumento tales como garantía o subordinación. Las exposiciones estarán sujetas a seguimiento continuo, que pudiese resultar en el desplazamiento de una exposición a una calificación de riesgo de crédito distinta.</t>
  </si>
  <si>
    <t>## Definición de incumplimiento</t>
  </si>
  <si>
    <t>- Es poco probable que el emisor pague completamente sus obligaciones de crédito al Grupo, sin opciones para adjudicar colateral (en el caso que mantengan); - Para los instrumentos financieros de renta fija se incluyen los siguientes conceptos, entre otros: - Baja de calificación externa del emisor; - Los pagos contractuales no se realizan en la fecha que vencen o en el plazo o período de gracia estipulado - Existe una alta probabilidad de suspensión de pagos; - Es probable que el emisor entre en un proceso de reorganización crediticia o se efectúe una petición de bancarrota o acción similar por parte de los acreedores; - El activo financiero deja de negociarse en un mercado activo dadas las dificultades financieras del emisor o del mercado en el que fue emitido.</t>
  </si>
  <si>
    <t>- Cuantitativos – el estatus de morosidad, no pago sobre otra obligación del mismo emisor o deudor y las gestiones de cobro realizadas. - Cualitativos – el incumplimiento de cláusulas contractuales y/o fiscales, así como información general que aparezca en las noticias sobre la situación financiera del emisor o deudor.</t>
  </si>
  <si>
    <t>Para el portafolio de inversiones en valores, se espera que las calificaciones de riesgo de crédito sean el insumo principal para determinar la estructura de término de la probabilidad de incumplimiento (PI) para las diferentes exposiciones. Las exposiciones al riesgo de crédito se analizan por jurisdicción o región, tipo de instrumento, emisor y producto (con o sin garantía) y deudor. Se utilizan datos obtenidos de Bloomberg como fuente de referencia y la matriz de transición de Moody's cuando no se pueden obtener los datos de Bloomberg.</t>
  </si>
  <si>
    <t>## Insumos en la medición de la PCE</t>
  </si>
  <si>
    <t>Los insumos claves en la medición de la PCE de inversiones son los términos de las siguientes variables:</t>
  </si>
  <si>
    <t>- Probabilidad de incumplimiento (PI) - Pérdida dado el incumplimiento (PDI) - Exposición ante el incumplimiento (EI)</t>
  </si>
  <si>
    <t>Las estimaciones de PI son calculadas a cierta fecha, utilizando modelos estadísticos de calificación y herramientas adecuadas a las distintas categorías de contraparte y exposición. Los modelos estadísticos fueron desarrollados internamente por el Grupo basados en datos históricos. Estos modelos se alimentan de factores cuantitativos y cualitativos, obtenidos de Bloomberg y la agencia calificadora de riesgo de crédito Moody's. Los cambios en las categorías de calificación resultan en un cambio en el estimado de la PI asociada. Las PI son estimadas considerando los vencimientos contractuales de las exposiciones.</t>
  </si>
  <si>
    <t>La PDI es la magnitud de la pérdida dado un evento de incumplimiento. El Grupo obtiene la PDI de las inversiones en valores de un análisis histórico por regiones cada año realizado por Merrill Lynch. Además, Bloomberg cuenta con un histórico de tasa de recuperación de reclamos en contra de contrapartes en estado de incumplimiento.</t>
  </si>
  <si>
    <t>La PDI de Bloomberg considera diferentes escenarios económicos de acuerdo con la estructura, colateral, industria y región donde opera el emisor del instrumento o deudor y costo de recuperación de cualquier garantía integral.</t>
  </si>
  <si>
    <t>La PI representa la exposición esperada en el evento de incumplimiento. El Grupo determina la PI cómo el costo amortizado del instrumento a la fecha de valoración considerando cambios potenciales a la cifra actual permitida bajo contrato.</t>
  </si>
  <si>
    <t>El factor macroeconómico considera variables observables o medibles que guarden una correlación con el comportamiento histórico de la morosidad. El estudio concluyó que el indicador que mayor relación guarda con la morosidad histórica es el Índice Mensual de la Actividad Económica (IMAE). Este indicador mide el comportamiento global de la producción nacional, con periodicidad mensual. El IMAE es una combinación de indicadores mensuales básicos de la producción de bienes y servicios, formulado a través de un índice de Quantum de Laspeyres, el cual mantiene un sistema de ponderaciones sobre un año base específico. Está compuesto por indicadores mensuales de catorce actividades económicas que contiene la Clasificación Industrial Internacional Uniforme (CIIU), y que a su vez están incluidas en el cálculo del Producto Interno Bruto (PIB). La información sobre las variables macroeconómicas se obtiene principalmente de órganos estatales especializados en estadísticas a nivel Centroamérica, y en la práctica constituyen la fuente de información para la obtención de estos indicadores e insumos externos.</t>
  </si>
  <si>
    <t>El Grupo incorpora información sobre condiciones futuras tanto en su evaluación de si el riesgo de crédito de un instrumento ha incrementado significativamente desde su reconocimiento inicial como en su medición de la PCE. La información externa incluye datos económicos y proyecciones publicadas por los cuerpos gubernamentales y autoridades monetarias en Panamá.</t>
  </si>
  <si>
    <t>## (iv) Efectivo y equivalentes de efectivo</t>
  </si>
  <si>
    <t>El efectivo y los equivalentes al efectivo incluyen saldos de efectivo y depósitos a la vista con vencimientos originales de 91 días o menos desde la fecha de adquisición, que están sujetos a un riesgo insignificante de cambios en su valor razonable y que el Grupo utiliza para la gestión de sus compromisos a corto plazo.</t>
  </si>
  <si>
    <t>Los sobregiros bancarios reembolsables a la vista y que forman parte integral de la gestión de efectivo del Grupo se incluyen como un componente del efectivo y equivalentes de efectivo para la preparación del estado consolidado de flujos de efectivo.</t>
  </si>
  <si>
    <t>## (v) Instrumentos de capital</t>
  </si>
  <si>
    <t>El Grupo clasifica los instrumentos de capital emitidos como pasivos financieros o instrumentos de patrimonio de acuerdo con la esencia de sus términos contractuales.</t>
  </si>
  <si>
    <t>- Ingresos por servicios de seguro (véase 7(d)(viii)); - Ingresos por intereses calculados mediante el método de interés efectivo (véase 7(e)(i)); - Otros ingresos por inversiones: incluyen ganancias netas sobre activos financieros a valor razonable con cambios en resultados, ganancias netas por baja en cuentas de inversiones de deuda a valor razonable con cambios en resultados y dividendos sobre inversiones de capital. - Otros ingresos: incluyen ingresos por comisiones generados por la prestación de servicios de administración de contratos de seguro y colocación de contratos de reaseguro. Adicionalmente por la venta de productos farmacéuticos, entre otros.</t>
  </si>
  <si>
    <t>## (g) Propiedades de inversión</t>
  </si>
  <si>
    <t>## (h) Inmuebles, mobiliario, equipos y mejoras</t>
  </si>
  <si>
    <t>### (i) Reconocimiento y medición</t>
  </si>
  <si>
    <t>Los inmuebles, mobiliario y equipo están medidos al costo menos la depreciación y amortización acumulada y pérdidas por deterioro acumuladas.</t>
  </si>
  <si>
    <t>Los costos incluyen los gastos que son directamente atribuibles a la adquisición del activo. Los costos de los activos construidos incluyen los costos de materiales y mano de obra directa, y algún otro costo directamente relacionado con el activo para que esté en las condiciones necesarias para que pueda operar de la forma prevista. Las ganancias y pérdidas en la disposición de inmuebles, mobiliario, equipos y mejoras se determinan comparando el producto de la disposición, neto de los gastos incurridos, con el valor según libros de los activos netos de depreciación o amortización acumulada y deterioro, y son reconocidas netas dentro de los “otros ingresos” resultados.</t>
  </si>
  <si>
    <t>(iii) Costos subsecuentes</t>
  </si>
  <si>
    <t>La depreciación y amortización es calculada sobre el importe amortizable, que es el costo de un activo, menos su valor residual. La depreciación y amortización se reconoce en resultados en línea recta durante la vida útil estimada de cada parte de un elemento de inmuebles, mobiliario, equipo y mejoras, ya que de esta forma se reflejan mejor los patrones de consumo de los beneficios económicos futuros asociados al activo. Los terrenos no se deprecian.</t>
  </si>
  <si>
    <t>Los métodos de depreciación, las vidas útiles y los valores residuales se revisan a cada fecha de reporte y se ajustan por el deterioro, si es necesario.</t>
  </si>
  <si>
    <t>(i) Activos intangibles y plusvalía</t>
  </si>
  <si>
    <t>Los otros activos intangibles, incluyendo las relaciones con clientes, tienen una vida útil finita y se miden al costo menos la amortización y las pérdidas acumuladas por deterioro.</t>
  </si>
  <si>
    <t>La vida útil estimada de los activos intangibles, excepto la plusvalía, se presenta como sigue:</t>
  </si>
  <si>
    <t>Relaciones de clientes Desarrollos tecnológicos</t>
  </si>
  <si>
    <t>De 6 a 28 años De 3 a 5 años</t>
  </si>
  <si>
    <t>Los métodos de amortización, las vidas útiles y los valores residuales se revisan a cada fecha de reporte y se ajustan, si es necesario.</t>
  </si>
  <si>
    <t>## (j) Deterioro de activos no financieros</t>
  </si>
  <si>
    <t>Una pérdida por deterioro reconocida en un período anterior es reversada si ha habido algún cambio en la estimación usada para determinar el valor recuperable. Una pérdida por deterioro se reversa sólo hasta por un valor que no sea superior al valor en libros original que habría sido reconocido originalmente el activo determinado, neto de depreciación o amortización, si no hubiese sido reconocida ninguna pérdida por deterioro.</t>
  </si>
  <si>
    <t>Una provisión es reconocida en el estado consolidado de situación financiera cuando el Grupo tiene una obligación legal o implícita como resultado de un evento pasado y es probable que una salida de beneficios económicos sea requerida para liquidar la obligación. Si el efecto de dicha salida de efectivo que se espera que se dé en un plazo mayor a 12 meses y es significativo, las provisiones son determinadas descontando los flujos de efectivo futuros esperados a una tasa antes de impuesto que refleje las evaluaciones corrientes del mercado, del valor del dinero en el tiempo y, donde es apropiado, el riesgo específico al pasivo.</t>
  </si>
  <si>
    <t>El Grupo clasifica los instrumentos de capital emitidos como instrumentos de patrimonio de acuerdo con la esencia de sus términos contractuales. Las acciones comunes se presentan como componentes del capital emitido dentro del patrimonio neto, ya que no son rescatables por sus tenedores y dan derecho a distribuciones no acumulativas y a discreción de la Junta Directiva. Las distribuciones correspondientes se reconocen en el patrimonio neto.</t>
  </si>
  <si>
    <t>Los costos incrementales directamente atribuibles a la emisión de un instrumento de patrimonio se deducen de su valoración inicial.</t>
  </si>
  <si>
    <t>## (m) Información por segmentos</t>
  </si>
  <si>
    <t>## (n) Beneficios a empleados</t>
  </si>
  <si>
    <t>### (i) Beneficios por terminación</t>
  </si>
  <si>
    <t>Los beneficios por terminación se reconocen como gastos entre lo que ocurra primero cuando el Grupo ya no puede retirar las ofertas de estos beneficios, o en el momento cuando el Grupo reconozca los costos por una reestructuración. Si no se espera que los beneficios sean pagados dentro de los doce meses a la fecha de reporte, entonces tales beneficios son descontados para determinar su valor presente.</t>
  </si>
  <si>
    <t>### (ii) Beneficio a corto plazo</t>
  </si>
  <si>
    <t>(iii) Pagos basados en acciones</t>
  </si>
  <si>
    <t>(o) Impuesto a las ganancias</t>
  </si>
  <si>
    <t>El gasto de impuesto a las ganancias se compone de una porción corriente (impuesto sobre la renta) y una diferida. El impuesto corriente y el impuesto diferido se reconocen en resultados con excepción de los casos en los que se relacionan con una combinación de negocios, o partidas reconocidas directamente en el patrimonio, incluyendo otros resultados integrales.</t>
  </si>
  <si>
    <t>El impuesto diferido se reconoce con respecto a las diferencias temporarias entre el valor según libros de los activos y pasivos para efectos del informe financiero y las cantidades utilizadas para propósitos impositivos. No se reconocen impuestos diferidos por diferencias temporarias:</t>
  </si>
  <si>
    <t>- En el reconocimiento inicial de activos o pasivos en una transacción que no es una combinación de negocios y que no afecta ni la ganancia contable ni la renta gravable; - Relacionadas con inversiones en subsidiarias, asociadas y entidades controladas conjuntamente siempre que el Grupo tenga la capacidad de controlar la oportunidad de la reversión de las diferencias temporarias y sea probable que estas no se reversarán en el futuro cercano; y - Diferencias gravables que se originan del reconocimiento inicial de la plusvalía.</t>
  </si>
  <si>
    <t>La medición del impuesto diferido refleja las consecuencias impositivas que se derivarán de la manera en que el Grupo espera, al final del período de reporte, que se recupere o se liquide el valor en libros de sus activos y pasivos en periodos fiscales futuros. El impuesto diferido se mide a las tasas de impuesto que se espera que sean aplicadas a las diferencias temporarias cuando éstas se reversen, utilizando las tasas vigentes o que se espera estén vigentes a la fecha en que se realice la transacción.</t>
  </si>
  <si>
    <t>Un activo por impuesto diferido se reconoce por arrastres de pérdidas no utilizados, por créditos de impuestos y por las diferencias temporales deducibles, hasta por el monto que sería probable aplicar a las ganancias gravables futuras esperadas. El activo por impuesto diferido se revisa en cada fecha de reporte y se reduce en la medida en que ya no sea probable que el beneficio por impuesto sea realizado.</t>
  </si>
  <si>
    <t>Un pasivo por impuesto diferido es calculado sobre el valor razonable de las inversiones en instrumentos de patrimonio cuyo valor a la fecha es superior al costo de adquisición y este impuesto el Grupo lo define como definitivo sobre la tasa del 5% producto de las diferencias temporarias que ocasiona el costo de adquisición sobre el valor razonable a la fecha de reporte.</t>
  </si>
  <si>
    <t>(p) Utilidad neta por acción</t>
  </si>
  <si>
    <t>La utilidad neta por acción diluida se calcula dividiendo la utilidad disponible para los accionistas comunes entre la cantidad resultante del promedio ponderado de las acciones comunes en circulación, después del ajuste por los efectos de las acciones comunes potenciales diluidas.</t>
  </si>
  <si>
    <t>(q) Activos clasificados como mantenidos para la venta</t>
  </si>
  <si>
    <t>El grupo enajenable de activos y pasivos, que se espera sea recuperado a través de una venta y no mediante su uso continuado, son clasificados como mantenidos para la venta. Inmediatamente antes de ser clasificados como mantenidos para la venta, los activos o los componentes de un grupo de activos para su disposición, se valúan nuevamente de acuerdo con las políticas contables del Grupo. A partir de esta clasificación, se reconocen por el menor valor entre su importe en libros y su valor razonable menos los costos de venta. Se reconocerá una pérdida por deterioro por las reducciones iniciales o posteriores de los activos clasificados como mantenidos para la venta. Las pérdidas por deterioro en la clasificación inicial y posterior como mantenidos para la venta se reconocen en resultados.</t>
  </si>
  <si>
    <t>(r) Operaciones descontinuadas</t>
  </si>
  <si>
    <t>La clasificación como una operación descontinuada ocurre al disponer de la operación o cuando la misma cumple los criterios para ser clasificada como mantenida para la venta, lo que ocurra primero. Cuando una operación es clasificada como descontinuada, el estado comparativo de resultados se presenta como si la operación hubiera sido descontinuada desde el inicio del período comparativo.</t>
  </si>
  <si>
    <t>(s) Nuevas normas e interpretaciones aún no adoptadas</t>
  </si>
  <si>
    <t>Una serie de nuevas normas son aplicables a los períodos anuales sobre los que se informa que comienzan después del 1 de enero de 2025 y su aplicación anticipada está permitida. Sin embargo, las siguientes normas nuevas o sus modificaciones no han sido aplicadas anticipadamente por el Grupo en la preparación de estos estados financieros consolidados.</t>
  </si>
  <si>
    <t>NIIF 18 Presentación e Información a Revelar en los Estados Financieros</t>
  </si>
  <si>
    <t>La NIIF 18 reemplazará a la Norma NIC 1 Presentación de Estados Financieros y se aplicará a los períodos anuales sobre los que se informa que comiencen a partir del 1 de enero de 2027. La nueva norma introduce los siguientes nuevos requisitos clave:</t>
  </si>
  <si>
    <t>- Las entidades están obligadas a clasificar todos los ingresos y gastos en cinco categorías en el estado de resultados, a saber, las categorías de operaciones, de inversión, de financiación, de operaciones descontinuadas y del impuesto a las ganancias. Las entidades también están obligadas a presentar un subtotal de resultado operacional recién definido. La utilidad neta no cambiará. - Las medidas de desempeño definidas por la gerencia (MPM, por sus siglas en inglés) se presentan en una sola nota en los estados financieros. - Se proporciona una orientación mejorada sobre cómo agrupar información en los estados financieros.</t>
  </si>
  <si>
    <t>El Grupo aún se encuentra en el proceso de evaluar el impacto de la nueva norma, particularmente con respecto a la estructura del estado consolidado de resultados y de otros resultados integrales del Grupo, el estado de flujos de efectivo y las revelaciones adicionales requeridas para las MPM. El Grupo también está evaluando el impacto en la forma en que se agrupa la información en los estados financieros, incluso para las partidas actualmente etiquetadas como "otros".</t>
  </si>
  <si>
    <t>Otras Normas de Contabilidad</t>
  </si>
  <si>
    <t>No se espera que las siguientes normas de contabilidad nuevas y modificadas tengan un impacto significativo sobre los estados financieros consolidados del Grupo.</t>
  </si>
  <si>
    <t>- Clasificación y medición de instrumentos financieros (modificaciones a NIIF 9 y NIIF 7) - Contratos que hacen referencia a electricidad de naturaleza variable (modificaciones a NIIF 9 y NIIF 7)</t>
  </si>
  <si>
    <t>8. Subsidiarias y participación no controladora</t>
  </si>
  <si>
    <t>### A. Lista de subsidiarias</t>
  </si>
  <si>
    <t>La lista de las entidades subsidiarias que conforman el grupo se presenta a continuación:</t>
  </si>
  <si>
    <t>#### ASSA Compañía Tenedora, S. A.</t>
  </si>
  <si>
    <t>Constituida de acuerdo con las leyes de la República de Panamá el 28 de octubre de 2009. Grupo ASSA, S. A. mantiene el control a través del 95.0119% de participación sobre el capital accionario. Se dedica a las actividades propias de una compañía tenedora de acciones, y agrupa a las subsidiarias dedicadas a la actividad de seguros y reaseguros del Grupo. La tenencia de acciones de sus subsidiarias se describe a continuación:</t>
  </si>
  <si>
    <t>#### Activos Inmobiliarios de Centroamérica, S. A.</t>
  </si>
  <si>
    <t>Constituida de acuerdo con las leyes de la República de Panamá el 4 de septiembre de 2020, donde Grupo ASSA, S.A. posee el 59.64% y Activos Inmobiliarios de Centroamérica, S. A. es la tenedora del 100% del capital accionario, excepto donde se indica algo diferente, de las siguientes subsidiarias:</t>
  </si>
  <si>
    <t>Inmobigral, S. A. Constituida de acuerdo con las leyes de la República de Panamá el 19 de mayo de 1965; es una compañía inversionista, subsidiaria 100% de Grupo ASSA, S. A.</t>
  </si>
  <si>
    <t>Desarrollo El Dorado, S. A. Constituida de acuerdo con las leyes de la República de Panamá el 16 de julio de 1971. Su actividad principal es el alquiler de inmuebles, subsidiaria 100% de Grupo ASSA, S. A.</t>
  </si>
  <si>
    <t>Activos Financieros de Centroamérica, S. A. Constituida de acuerdo con las leyes de la República de Panamá el 30 de diciembre de 2022. Su actividad principal es inversión en negocios financieros y empresas tenedoras de negocios financieros, subsidiaria 88.65% de Grupo ASSA, S. A.</t>
  </si>
  <si>
    <t>B. Participación no controladora La participación no controladora representa la participación de otros accionistas en las siguientes subsidiarias:</t>
  </si>
  <si>
    <t>9. Información por segmentos</t>
  </si>
  <si>
    <t>### A. Bases para la segmentación</t>
  </si>
  <si>
    <t>El Grupo cuenta con las siguientes cuatro divisiones estratégicas, que corresponden a sus segmentos de negocio sobre los que debe informarse. Estas divisiones ofrecen productos y servicios bancarios, financieros, de seguros y reaseguros y son administradas por separado puesto que requieren distinta tecnología, operan en diferentes mercados y tienen sus propias estrategias de mercado.</t>
  </si>
  <si>
    <t>El Grupo ha cambiado su organización interna y la composición de los segmentos que debe informarse, al reconocer el segmento de actividades financieras y bancarias como operación descontinuada. Ver más detalles en la Nota 31.</t>
  </si>
  <si>
    <t>### B. Información acerca de los segmentos reportables</t>
  </si>
  <si>
    <t>C. Conciliación de la información de los segmentos reportables y los montos reportados en los estados financieros</t>
  </si>
  <si>
    <t>## D. Segmentos geográficos</t>
  </si>
  <si>
    <t>En la clasificación por segmento geográfico siguiente, los resultados netos, antes de impuestos, se presentan basados en la ubicación geográfica del cliente.</t>
  </si>
  <si>
    <t>10. Administración de riesgo y capital</t>
  </si>
  <si>
    <t>Riesgo financiero</t>
  </si>
  <si>
    <t>Los contratos de seguro y reaseguro exponen al Grupo al riesgo de suscripción, que comprende el riesgo de seguro, el riesgo de comportamiento del asegurado y el riesgo de gastos.</t>
  </si>
  <si>
    <t>Además, el Grupo está expuesto a riesgos financieros y operativos derivados de los contratos de seguro y reaseguro y de los instrumentos financieros. Los riesgos financieros incluyen el riesgo de crédito, el riesgo de liquidez y el riesgo de mercado.</t>
  </si>
  <si>
    <t>El riesgo de mercado comprende el riesgo cambiario, el riesgo de tasa de interés y otros riesgos de precio.</t>
  </si>
  <si>
    <t>Esta nota presenta información sobre la exposición al riesgo del Grupo, así como sus objetivos, políticas y procesos para la medición y gestión de riesgos y gestión del capital.</t>
  </si>
  <si>
    <t>## A. Marco de gestión de riesgo</t>
  </si>
  <si>
    <t>La Junta Directiva del Grupo tiene la responsabilidad general de establecer y supervisar el marco de gestión de riesgos. El Comité de Riesgos de la Junta Directiva es responsable de presentar a la Junta Directiva las políticas de gestión de riesgos para su aprobación, así como de supervisar su adecuada implementación y cumplimiento. Adicionalmente, informa periódicamente a la Junta Directiva sobre sus actividades y hallazgos relevantes.</t>
  </si>
  <si>
    <t>Las políticas de gestión de riesgos del Grupo se establecen para identificar, analizar y medir los riesgos a los que se enfrenta, establecer límites y controles de riesgo adecuados y supervisar su cumplimiento. Dichas políticas se revisan periódicamente para reflejar los cambios en las condiciones del mercado, las actividades y el apetito de riesgo del Grupo. A través de sus normas internas, procedimientos de gestión y programas de formación, el Grupo busca desarrollar un entorno de control sólido y disciplinado, en el que todos los colaboradores comprendan sus funciones y responsabilidades.</t>
  </si>
  <si>
    <t>El Comité de Auditoría supervisa cómo la administración asegura el cumplimiento de las políticas y procedimientos de gestión de riesgos. En su función de supervisión, cuenta con el apoyo de auditoría interna, que realiza revisiones periódicas y puntuales de los controles y procedimientos de la gestión de riesgos, cuyos resultados se informan al Comité de Auditoría y Junta Directiva. Los resultados de estas revisiones se comunican tanto al Comité de Auditoría como a la Junta Directiva.</t>
  </si>
  <si>
    <t>El riesgo se gestiona a nivel de la entidad local donde se realiza la actividad, con base en los principios y políticas establecidas. Operando bajo este marco de políticas, el Grupo emplea programas de gestión de riesgos, incluyendo procesos de monitoreo de activos y pasivos (ALM) y programas de transferencias de riesgos, principalmente mediante el uso de contratos de reaseguro de cuota parte, exceso de pérdidas y stop loss. Cada país en el que opera el Grupo cuenta con sus propios programas, alineados e integrados dentro del marco general de gestión de riesgos.</t>
  </si>
  <si>
    <t>## B. Riesgos clave derivados de los contratos emitidos</t>
  </si>
  <si>
    <t>El Grupo emite contratos de seguro, por lo que la naturaleza y el alcance de los riesgos de suscripción y financieros que surgen de estos contratos se determinan según su diseño. Los riesgos se evalúan para su gestión, junto con los riesgos mitigados por los contratos de reaseguro relacionados y los riesgos derivados de los activos financieros mantenidos para financiar la liquidación de los pasivos. La sensibilidad de los resultados y del patrimonio frente a variaciones en los riesgos financieros depende de su cobertura económica existente, la porción de riesgo asumida por los asegurados en función del diseño contractual y los descalces entre activos y pasivos incluidos aquellos que surgen de las políticas contables adoptadas.</t>
  </si>
  <si>
    <t>### i. Contratos de seguros de vida</t>
  </si>
  <si>
    <t>Estos riesgos clave reflejan únicamente el riesgo a la baja para el Grupo; sin embargo, también existe un riesgo al alza. Todos estos contratos exponen al Grupo a un riesgo de seguro significativo. Si bien la mortalidad, la morbilidad y la longevidad pueden verse afectadas por eventos inesperados (p. ej., epidemias), los cambios más significativos en los factores de riesgo de los seguros (p. ej., cambios en el estilo de vida, avances médicos y mejoras en las condiciones sociales) tienden a ocurrir durante un largo período de tiempo. Cuanto mayor sea el plazo de cobertura, mayor será la exposición del Grupo al riesgo de seguro.</t>
  </si>
  <si>
    <t>## Riesgo de comportamiento del asegurado</t>
  </si>
  <si>
    <t>Este riesgo es relevante para los contratos de vida universal. El momento de los rescates y la frecuencia de los retiros o la utilización de mecanismos de anualización pueden afectar la rentabilidad del Grupo.</t>
  </si>
  <si>
    <t>## Riesgo de tasa de interés</t>
  </si>
  <si>
    <t>Todos los contratos de vida riesgo y de ahorro exponen al Grupo al riesgo de tasa de interés. Este riesgo de interés surge cuando la rentabilidad real de los activos financieros utilizados para respaldar los pasivos difiere de la rentabilidad esperada al momento de la emisión de los contratos. Este riesgo es más significativo para los contratos de vida, ya que estos suelen tener largas duraciones, no siempre es posible obtener activos con duraciones similares para lograr un calce adecuado y el Grupo no tiene discreción para modificar los importes de las primas o los pagos futuros a los asegurados.</t>
  </si>
  <si>
    <t>Los seguros a término y los contratos de vida no participativos ofrecen a los asegurados una suma global fija pagadera al fallecimiento del asegurado. Los contratos de seguro a término ofrecen cobertura durante un plazo fijo. Las primas de los seguros a término pueden ser fijas o aumentar con el tiempo (en el caso de contratos renovables anualmente). Los contratos de vida no participativos ofrecen cobertura durante la vida del asegurado y tienen un valor de rescate tras un período inicial. Las primas de los contratos de vida no participativos son fijas durante toda la vigencia del contrato.</t>
  </si>
  <si>
    <t>Los contratos de enfermedad grave son similares a los seguros a término, pero pagan una suma global si al asegurado se le diagnostica una enfermedad especificada en el contrato.</t>
  </si>
  <si>
    <t>Los contratos de renta fija inmediata ofrecen a los asegurados pagos periódicos durante su vida o la de los beneficiarios adicionales (si esta es mayor). El importe de cada pago periódico puede ser fijo o variable con el tiempo según un índice específico.</t>
  </si>
  <si>
    <t>Los contratos de renta fija diferida ofrecen a los asegurados una rentabilidad del capital más una tasa de interés fija durante el período de acumulación. El asegurado tiene derecho a rescatar el contrato durante el período de acumulación y recibir el valor de la cuenta corriente menos los gastos de rescate.</t>
  </si>
  <si>
    <t>La tasa de interés fija está garantizada durante un período inicial; después del período inicial, la tasa de interés abonada en las cuentas de los asegurados se establece a discreción del Grupo con base en las tasas de mercado vigentes.</t>
  </si>
  <si>
    <t>Los contratos de vida universal ofrecen a los asegurados una prestación pagadera al fallecimiento y acceso al valor de la cuenta. Este valor se acredita periódicamente con intereses a una tasa fijada a discreción del Grupo, sujeta a un mínimo garantizado, y se debita con los cargos correspondientes al costo del seguro. Un contrato suele caducar cuando el valor de la cuenta ya no es suficiente para cubrir el costo del seguro. Algunos contratos emitidos ofrecen garantías de "no caducidad", en las que, si se realizan ciertos pagos mínimos durante un período determinado, el contrato permanecerá vigente durante el período cubierto por la garantía, incluso si el valor de la cuenta se reduce a cero.</t>
  </si>
  <si>
    <t>Los tipos de interés garantizados de los contratos de renta fija diferida y de vida universal dependen de la fecha de emisión, y oscilan entre el 1,0 % y el 5,0 % (2024: del 1,0 % al 5,0 %). El tipo de interés garantizado promedio ponderado es del 2,1 % (2024: del 2,2 %).</t>
  </si>
  <si>
    <t>Para más información sobre el riesgo crediticio de los activos e inversiones de contratos de reaseguro, véase (E) Riesgo de Crédito.</t>
  </si>
  <si>
    <t>ii. Contratos de seguros generales</t>
  </si>
  <si>
    <t>Los principales riesgos derivados de los contratos de seguros generales están relacionados con la frecuencia y severidad inciertas de los siniestros, que se ven influenciadas por la naturaleza de los riesgos cubiertos y la ubicación geográfica donde se suscriben.</t>
  </si>
  <si>
    <t># Riesgos de daños (propiedad e infraestructura)</t>
  </si>
  <si>
    <t>En los seguros patrimoniales la frecuencia y la severidad de los siniestros están influenciadas por fenómenos meteorológicos extremos (p. ej., inundaciones, incendios forestales y huracanes) y otras catástrofes naturales (p. ej., terremotos). En particular, el costo de reconstrucción o reparación de una propiedad, junto con el costo de la interrupción de la actividad, es un factor significativo en el valor total de los siniestros de esta cartera. Además, el aumento del riesgo climático podría introducir una incertidumbre significativa en las suposiciones y dar lugar a una tarificación inexacta del riesgo asegurado.</t>
  </si>
  <si>
    <t>Riesgos operacionales de alta frecuencia</t>
  </si>
  <si>
    <t>En estos seguros, la severidad de las reclamaciones se ve significativamente afectada por el incremento del valor de los montos de indemnizaciones otorgadas por enfermedades latentes y litigios, presiones inflacionarias, especialmente inflación judicial y de costos, y tendencias emergentes en reclamaciones. Aunque esta cartera no suele presentar un gran número de siniestros de alta severidad individual, una elevada frecuencia de reclamaciones puede representar un riesgo significativo, en particular cuando factores estructurales afectan simultáneamente a múltiples asegurados, tales como: el diseño deficiente de las viviendas, el alto tráfico y poca disponibilidad de repuestos y el asesoramiento profesional negligente.</t>
  </si>
  <si>
    <t>El riesgo de suscripción incluye el riesgo de seguro, el riesgo de comportamiento del asegurado y el riesgo de gastos. Estos riesgos surgen como consecuencia del diseño de los contratos emitidos y de la incertidumbre inherente a las obligaciones de seguro asumidas por el Grupo.</t>
  </si>
  <si>
    <t>Corresponde al riesgo transferido del asegurado al Grupo, distinto del riesgo financiero. El riesgo de seguro surge de la incertidumbre inherente sobre la ocurrencia, el importe o el plazo de las reclamaciones.</t>
  </si>
  <si>
    <t>Riesgo de comportamiento del asegurado</t>
  </si>
  <si>
    <t>Es el riesgo de que un asegurado cancele un contrato (es decir, riesgo de caducidad o persistencia), aumente o reduzca las primas, retire depósitos o anualice un contrato antes o después de lo previsto.</t>
  </si>
  <si>
    <t>Representa el riesgo de aumentos inesperados en los costos administrativos relacionados a la gestión del contrato (independientes de los eventos asegurados, que pueden afectar la rentabilidad).</t>
  </si>
  <si>
    <t>i. Gestión del riesgo de suscripción</t>
  </si>
  <si>
    <t>El Comité Ejecutivo, siguiendo las guías de la Junta Directiva, establece la estrategia del Grupo para aceptar y gestionar el riesgo de suscripción sobre el monto y tipo de riesgo que se desea suscribir y retener</t>
  </si>
  <si>
    <t>Los objetivos específicos de suscripción, como los límites de agregación, los umbrales de protección del reaseguro y los parámetros de diversificación de líneas de negocio, son elaborados y revisados por el director de suscripción del Grupo. El Comité Ejecutivo revisa continuamente su estrategia de suscripción a la luz de la evolución de los precios del mercado y las condiciones de siniestralidad, y a medida que se presentan las oportunidades de negocios nuevos.</t>
  </si>
  <si>
    <t>La fijación de precios de los contratos de vida tradicional y vida universal es un elemento clave del proceso de suscripción, y se diseñan para reflejar de forma adecuada los riesgos de seguro asumidos. Los precios cobrados por el costo del riesgo de seguro se establecen mediante un proceso de análisis financiero que incluye comparaciones de la experiencia del Grupo con la del sector y la comparación de precios con otros proveedores de productos en los mismos mercados, así como el uso de análisis avanzados, incluyendo la identificación de tendencias emergentes en los factores de riesgo de seguros y la evaluación del estilo de vida de los asegurados.</t>
  </si>
  <si>
    <t>Las tarifas por riesgo de seguro se determinan mediante modelos actuariales y criterios internos de fijación de precios, lo cuales son revisados por el personal de suscripción para validar si las primas cobradas y las tasas de anualización aplicadas reflejan el estado de salud y perfil del solicitante.</t>
  </si>
  <si>
    <t>## Mitigación del riesgo de vida</t>
  </si>
  <si>
    <t>Los riesgos de mortalidad y morbilidad se mitigan mediante el uso del reaseguro. El Grupo permite a la gerencia local seleccionar reaseguradoras de una lista aprobada Corporativamente. La agregación del riesgo cedido se supervisa por país.</t>
  </si>
  <si>
    <t>El riesgo del comportamiento del asegurado se incorpora en el diseño de los productos, por ejemplo, mediante cargos adicionales por la cancelación anticipada de contratos para recuperar los flujos de adquisición. La persistencia se supervisa a nivel de entidad local y la experiencia se compara con la información del mercado local.</t>
  </si>
  <si>
    <t>Un componente clave de la gestión del riesgo de suscripción para los productos de seguros generales, es una estrategia de suscripción disciplinada, centrada en la suscripción de negocios de calidad. La fijación de precios busca asegurar primas adecuadas para cada tipo de riesgo asumido. La estrategia de suscripción incluye límites de suscripción a la exposición total del Grupo a riesgos específicos, así como límites a la exposición geográfica y sectorial. El objetivo es mantener una cartera equilibrada y diversificada, sin sobreexposición en ninguna zona del país.</t>
  </si>
  <si>
    <t>Los contratos son renovables anualmente. La posibilidad de reajustar el precio de los contratos en el momento de la renovación en respuesta a cambios en los perfiles de riesgo de los asegurados, la experiencia en siniestros y las consideraciones del mercado es un factor importante para mitigar el riesgo de fijación de precios.</t>
  </si>
  <si>
    <t>Los contratos también pueden incluir características diseñadas para limitar el riesgo de suscripción, por ejemplo, el uso de deducibles y la limitación de la pérdida máxima permitida o el número de reclamaciones (sujeto a los requisitos regulatorios y legislativos).</t>
  </si>
  <si>
    <t>El Grupo utiliza herramientas avanzadas para mejorar la evaluación del riesgo y la precisión en la tarificación. La posibilidad de catástrofes climáticas se incorpora en la tarificación, considerando las tendencias de los datos históricos y los principales indicadores de riesgo climático. En el sector inmobiliario comercial y minorista, el Grupo utiliza análisis avanzados (por ejemplo, mapas de inundaciones) para identificar las propiedades con mayor riesgo y mejorar la selección de riesgos. En el sector de automóviles, el Grupo recopila datos sobre el conductor y ajusta las primas basándose en una evaluación de riesgos dinámica y rica en datos.</t>
  </si>
  <si>
    <t>## Mitigación mediante reaseguro</t>
  </si>
  <si>
    <t>El Grupo utiliza el reaseguro para mitigar el riesgo de incurrir en pérdidas significativas relacionadas con eventos individuales, incluyendo el reaseguro de exceso de pérdidas y el stop loss. Ciertos negocios están obligados a protegerse contra catástrofes naturales de acuerdo con los requisitos regulatorios.</t>
  </si>
  <si>
    <t>Cuando una exposición individual supera la tolerancia al riesgo definida por el Grupo, se contrata un reaseguro facultativo adicional para limitar el impacto financiero potencial.</t>
  </si>
  <si>
    <t>### ii. Concentraciones del riesgo de suscripción</t>
  </si>
  <si>
    <t>El monto de la prima suscrita (neta de reaseguro) de los contratos emitidos en el período es presentado a continuación por ramo:</t>
  </si>
  <si>
    <t>iii. Análisis de sensibilidad</t>
  </si>
  <si>
    <t>La siguiente tabla analiza cómo habrían aumentado o disminuido el CSM, el resultado y el patrimonio si se hubieran producido cambios en las variables de riesgo de suscripción razonablemente posibles a la fecha de presentación. Este análisis presenta las sensibilidades antes y después de la mitigación de riesgos mediante reaseguro y asume que todas las demás variables se mantienen constantes.</t>
  </si>
  <si>
    <t>[tbl-36.html](tbl-36.html) [tbl-37.html](tbl-37.html)</t>
  </si>
  <si>
    <t>Los cambios en las variables de riesgo de suscripción afectan principalmente al CSM, al resultado y al patrimonio neto, como se indica a continuación. Los efectos en el resultado y el patrimonio neto se presentan sin el efecto del impuesto sobre la renta correspondiente.</t>
  </si>
  <si>
    <t>El riesgo de mercado es el riesgo de las variaciones en los precios de mercado (por ejemplo, los tipos de cambio, las tasas de interés y los precios de las acciones) afecten al cumplimiento de los flujos de efectivo de los contratos de seguro y reaseguro, así como al valor razonable o a los flujos de efectivo futuros de los instrumentos financieros. El objetivo de la gestión del riesgo de mercado es controlar la exposición al riesgo de mercado dentro de parámetros aceptables, equilibrando el riesgo y la rentabilidad esperada.</t>
  </si>
  <si>
    <t>El riesgo de mercado surge principalmente de las inversiones en capital del Grupo, los activos y pasivos financieros que devengan intereses, y los activos y pasivos financieros denominados en moneda extranjera; sin embargo, estas exposiciones se compensan en gran medida con exposiciones similares derivadas de los contratos de seguro y reaseguro. La naturaleza del negocio del Grupo y sus procesos de gestión de activos y pasivos (ALM) implican que está expuesto al riesgo de mercado sobre los activos netos que representan el patrimonio de los accionistas. El riesgo de tasa de interés y el riesgo de precio de las acciones también surgen de las garantías de tasa de interés y de capital en los contratos de seguro e inversión del Grupo, en la medida en que no estén cubiertos económicamente ni sean asumidos por los titulares de los contratos.</t>
  </si>
  <si>
    <t>### i. Gestión del riesgo de mercado</t>
  </si>
  <si>
    <t>La estrategia de inversión del Grupo es establecida por el Comité de Inversiones de la Junta Directiva, el cual define los lineamientos estratégicos para la composición y asignación de los portafolios, así como los límites de inversión aplicables.</t>
  </si>
  <si>
    <t>La gestión del riesgo de mercado es llevada a cabo por el Comité de Riesgos, que supervisa la exposición del Grupo a este riesgo y vela por el cumplimiento del marco de gestión de riesgos, incluyendo el seguimiento de métricas, límites y desviaciones relevantes.</t>
  </si>
  <si>
    <t>El marco ALM busca equilibrar los flujos de efectivo derivados de las inversiones financieras del Grupo con los flujos de efectivo derivados de sus contratos de seguro e inversión, optimizando al mismo tiempo la rentabilidad a largo plazo de sus inversiones financieras que representan el capital social para un nivel de riesgo aceptable. El Comité de Inversiones busca lograr esto estableciendo límites tanto para cada tipo de riesgo a nivel agregado en el Grupo como para las carteras individuales.</t>
  </si>
  <si>
    <t>La responsabilidad de supervisar diariamente la exposición al riesgo de mercado recae en el área de tesorería y el departamento de riesgo.</t>
  </si>
  <si>
    <t>Como parte de su marco ALM, el Grupo utiliza análisis de duración y flujos proyectados, así como pruebas de sensibilidad y stress test, con el fin de evaluar el impacto de variaciones en los factores de mercado sobre los activos y pasivos y monitorear la adecuación del calce entre ellos.</t>
  </si>
  <si>
    <t>Todas estas transacciones se realizan conforme a las directrices establecidas por el Comité de Inversiones y se encuentran en la política de inversiones del Grupo.</t>
  </si>
  <si>
    <t>El Grupo está expuesto al riesgo de mercado únicamente en la medida de las variaciones en su participación en el valor razonable de los elementos subyacentes que no están cubiertos económicamente, representados por el CSM.</t>
  </si>
  <si>
    <t>Exposición al riesgo de moneda</t>
  </si>
  <si>
    <t>El Grupo está expuesto al riesgo de transacciones en moneda extranjera en la medida en que las monedas en las que se denominan los contratos de seguro y reaseguro, así como los instrumentos financieros, sean negociados en una moneda distinta a la moneda funcional del Grupo.</t>
  </si>
  <si>
    <t>El riesgo de transacciones en moneda extranjera derivado de contratos de seguro y reaseguro se gestiona manteniendo efectivo e invirtiendo en activos denominados en monedas que coincidan con los pasivos correspondientes, en la medida en que la administración local lo considere práctico y adecuado.</t>
  </si>
  <si>
    <t>La información cuantitativa resumida sobre la exposición del Grupo al riesgo de transacciones en moneda extranjera derivado de contratos de seguro y reaseguro e instrumentos financieros a la fecha del informe, según lo informado al Comité de Riesgos, es la siguiente:</t>
  </si>
  <si>
    <t>Las siguientes tasas de conversión han sido aplicadas:</t>
  </si>
  <si>
    <t>## Análisis de sensibilidad</t>
  </si>
  <si>
    <t>Una apreciación o depreciación razonablemente posible del dólar frente a estas monedas, a la fecha de reporte, no habría afectado la valoración del CSM, debido a que los grupos de contratos de vida son negociados y cobrados en dólares de Estados Unidos, con respecto a una variación para los instrumentos financieros denominados en moneda extranjera, se muestra cuánto sería su variación al aumentar o disminuir un 3% la tasa de conversión de cada moneda así:</t>
  </si>
  <si>
    <t>## iv. Riesgo de tasa de interés</t>
  </si>
  <si>
    <t>### Exposición al riesgo de tasa de interés</t>
  </si>
  <si>
    <t>El riesgo de tasa de interés sobre los instrumentos financieros surge principalmente de las inversiones del Grupo en títulos de deuda. Estas inversiones están expuestas al riesgo de cambios adversos en los valores razonables o en los flujos de efectivo futuros debido a las variaciones en los tipos de interés del mercado.</t>
  </si>
  <si>
    <t>La mayoría de los contratos de renta fija diferida, seguros de vida universal, seguros de renta variable y de participación tradicionales emitidos por el Grupo contienen garantías de tipo de interés. Muchas de estas garantías entran en vigor en un rango estrecho de tasas de interés.</t>
  </si>
  <si>
    <t>El Grupo gestiona el riesgo de tasa de interés ajustando estrechamente, siempre que sea posible, la duración de los contratos de seguro con plazos definidos y garantizados y los activos financieros que los respalden. El Grupo gestiona su exposición al riesgo de tasa de interés mediante revisiones periódicas de sus posiciones de activos y pasivos. Además, las estimaciones de los flujos de efectivo y el impacto de las fluctuaciones de las tasas de interés se modelan y revisan semestralmente.</t>
  </si>
  <si>
    <t>Los instrumentos del Grupo, sensibles a las tasas de interés informados al Comité de Inversiones son los siguientes.</t>
  </si>
  <si>
    <t>El Comité de Riesgos informa periódicamente al Comité Ejecutivo y colabora con las áreas de negocio según corresponda. Asimismo, proporciona reportes regulares al Comité de Inversiones para apoyar la gestión del riesgo derivado de la transición.</t>
  </si>
  <si>
    <t>A continuación, se presenta un análisis de la sensibilidad del Grupo a un aumento o disminución paralelo del 0.5% en las tasas de interés de mercado a la fecha del informe, asumiendo que todas las demás variables permanecen constantes.</t>
  </si>
  <si>
    <t>Las variaciones en las tasas fijas de interés afectan principalmente al patrimonio neto, por los cambios en el valor razonable de los activos financieros a tasa fija medidos a VRORI.</t>
  </si>
  <si>
    <t>## v. Riesgo de precio de las acciones</t>
  </si>
  <si>
    <t>La exposición del Grupo al riesgo de precio de las acciones surge de sus inversiones en valores de renta variable y fondos de inversión que principalmente invierten en renta variable. Las variaciones en los precios de mercado pueden afectar tanto el valor razonable de estos instrumentos como los ingresos financieros derivados de ellos.</t>
  </si>
  <si>
    <t>El Comité de Inversiones del Grupo supervisa periódicamente el riesgo de precio de las acciones y gestiona las inversiones significativas de forma individual. Los límites de inversión exigen que las unidades de negocio mantengan carteras diversificadas de activos y limiten las concentraciones a geografías e industrias. Con base en los análisis realizados, el Grupo no presenta una concentración significativa de riesgo de precio de las acciones.</t>
  </si>
  <si>
    <t>Las variaciones en los precios de las acciones afectan principalmente al patrimonio neto, debido a que los cambios en todos esos instrumentos a valor razonable se reconocen en otros resultados integrales.</t>
  </si>
  <si>
    <t>El riesgo de crédito es el riesgo de pérdida financiera para el Grupo si una contraparte de un contrato de seguro, reaseguro o instrumento financiero incumple sus obligaciones contractuales, y surge principalmente de los activos del contrato de reaseguro y las inversiones en títulos de renta fija y depósitos bancarios del Grupo.</t>
  </si>
  <si>
    <t>A efectos de la gestión del riesgo, el Grupo evalúa su exposición de manera integral considerando el riesgo de incumplimiento de contrapartes individuales, así como riesgos agregados tales como el riesgo país y el riesgo sectorial. La evaluación del riesgo de crédito se realiza conforme a las políticas establecidas y al marco de medición de deterioro aplicable según NIIF 9, incluyendo el análisis de pérdidas crediticias esperadas.</t>
  </si>
  <si>
    <t>### i. Gestión del riesgo de crédito</t>
  </si>
  <si>
    <t>La gestión del riesgo de crédito es llevada a cabo por el Comité de Riesgos, que supervisa la exposición del Grupo a este riesgo y vela por el cumplimiento del marco de gestión de riesgos, incluyendo el seguimiento de métricas, límites y desviaciones relevantes.</t>
  </si>
  <si>
    <t>Las funciones clave dentro del proceso de gestión del riesgo crediticio incluyen:</t>
  </si>
  <si>
    <t>- Formulación de políticas crediticias en consulta con las unidades de negocio, abarcando los requisitos de garantía, la evaluación crediticia, la clasificación e informes de riesgos, los procedimientos documentales y legales, y el cumplimiento de los requisitos regulatorios y legales. - Establecer la estructura de autorización para la aprobación y renovación de líneas de crédito, intermediarios y reaseguradoras, de acuerdo con las políticas crediticias. Los límites de autorización se asignan a las unidades de negocio. Las exposiciones mayores requieren la aprobación del Comité Ejecutivo o el Comité de Riesgo, según corresponda. - Revisar y evaluar el riesgo crediticio. El Grupo revisa todas las exposiciones crediticias que superen los límites designados, antes de que la unidad de negocio en cuestión asuma nuevas exposiciones. - Limitar la concentración de exposición a contrapartes, geografías e industrias, y por emisor, banda de calificación crediticia y liquidez del mercado. Las reaseguradoras e intermediarios se evalúan con base en calificaciones crediticias externas y revisiones internas. En el caso de los títulos de deuda, el Grupo tiene la política de invertir únicamente en deuda corporativa y gubernamental de alta calidad y no en activos de grado especulativo, es decir, aquellos por debajo de BBB- según las calificaciones de las Agencias Calificadoras de Riesgo.</t>
  </si>
  <si>
    <t>- Desarrollar y mantener las calificaciones de riesgo del Grupo para categorizar las exposiciones según el grado de riesgo de incumplimiento cuando no se disponga de calificaciones crediticias externas. El marco actual de calificación de riesgo consta de ocho calificaciones que reflejan diversos grados de riesgo de incumplimiento (véanse (ii) y (iv)). La responsabilidad de establecer las calificaciones de riesgo recae en el departamento de riesgo de crédito del Grupo. Las calificaciones de riesgo están sujetas a revisiones periódicas por parte del Comité de Riesgos. En concreto, el impacto potencial del incumplimiento de la reaseguradora se supervisa a nivel de todo el Grupo y se gestiona en consecuencia.</t>
  </si>
  <si>
    <t>A continuación, se presenta un mapa indicativo de la relación entre las calificaciones de riesgo internas del Grupo y calificaciones:</t>
  </si>
  <si>
    <t>- Desarrollar y mantener los procesos del Grupo para la medición de las pérdidas crediticias esperadas (PCE). Esto incluye procesos para:</t>
  </si>
  <si>
    <t>- la aprobación inicial, la validación periódica y la realización de pruebas retrospectivas de los modelos utilizados; - la determinación y seguimiento de aumentos significativos del riesgo crediticio; y - la incorporación de información prospectiva.</t>
  </si>
  <si>
    <t>- Revisar el cumplimiento de las unidades de negocio con los límites de exposición acordados, incluyendo aquellos para industrias seleccionadas, riesgo país y tipos de productos. Se proporcionan informes periódicos sobre la calidad crediticia de las carteras locales al departamento de riesgo de crédito del Grupo, lo que puede requerir la adopción de medidas correctivas adecuadas. Estos incluyen informes con estimaciones de provisiones para pérdidas.</t>
  </si>
  <si>
    <t>- Proporcionar asesoramiento, orientación y conocimientos especializados a las unidades de negocio para promover las mejores prácticas en todo el Grupo en la gestión del riesgo crediticio.</t>
  </si>
  <si>
    <t>Cada unidad de negocio debe implementar las políticas y procedimientos crediticios provenientes del Comité de Riesgo. Cada unidad de negocio cuenta con un responsable de riesgo crediticio, quien informa sobre todos los asuntos crediticios a la gerencia local y al departamento de riesgo Corporativo. Cada unidad de negocio es responsable de la calidad y el rendimiento de su cartera crediticia, así como de supervisar y controlar continuamente todos los riesgos crediticios de sus carteras, incluidos aquellos sujetos a aprobación central.</t>
  </si>
  <si>
    <t>ii. Análisis de la calidad crediticia</t>
  </si>
  <si>
    <t>Al 31 de diciembre de 2025 la PCE correspondiente a los reaseguradores es de US$912,999 (2024: US$875,255).</t>
  </si>
  <si>
    <t>iii. Importes derivados de pérdidas crediticias esperadas (PCE) sobre activos financieros Insumos, supuestos y técnicas utilizadas para estimar el deterioro. Ver políticas contables en Nota 8 e (iii).</t>
  </si>
  <si>
    <t>## Aumento significativo del riesgo crediticio</t>
  </si>
  <si>
    <t>Al determinar si el riesgo crediticio (es decir, el riesgo de incumplimiento) de un instrumento financiero ha aumentado significativamente desde su reconocimiento inicial, el Grupo considera información razonable y justificable que sea relevante y esté disponible sin costos ni esfuerzos excesivos. Esto incluye información y análisis tanto cualitativos como cuantitativos basados en la experiencia del Grupo, la evaluación crediticia de expertos y la información prospectiva.</t>
  </si>
  <si>
    <t>El Grupo identifica principalmente si se ha producido un aumento significativo del riesgo crediticio para una exposición comparando:</t>
  </si>
  <si>
    <t>- La probabilidad de incumplimiento (PD) restante a lo largo de la vida útil en la fecha del informe; con - La PD restante a lo largo de la vida útil para este momento, estimada al momento del reconocimiento inicial de la exposición.</t>
  </si>
  <si>
    <t>Siempre que esté disponible, el Grupo monitorea la evolución del riesgo crediticio mediante el seguimiento de las calificaciones crediticias externas publicadas. Para determinar si las calificaciones publicadas se mantienen actualizadas y evaluar si se ha producido un aumento significativo del riesgo crediticio a la fecha de presentación que no se haya reflejado en las calificaciones publicadas, el Grupo también revisa la evolución de los rendimientos de los bonos y, cuando esté disponible, la información de prensa y regulatoria disponible sobre los emisores.</t>
  </si>
  <si>
    <t>Cuando no se dispone de calificaciones crediticias externas, el Grupo asigna a cada exposición una calificación de riesgo crediticio basándose en datos que se consideran predictivos del riesgo de incumplimiento (incluidos, entre otros, estados financieros auditados, cuentas de gestión y proyecciones de flujo de caja, así como información regulatoria y de prensa disponible sobre los deudores) y aplicando un juicio crediticio basado en la experiencia.</t>
  </si>
  <si>
    <t>Las calificaciones de riesgo crediticio se definen utilizando factores cualitativos y cuantitativos indicativos del riesgo de incumplimiento y están en consonancia con las definiciones de calificación crediticia externa de Agencias Calificadoras de Riesgo.</t>
  </si>
  <si>
    <t>El Grupo ha asumido que el riesgo crediticio de un activo financiero no ha aumentado significativamente desde su reconocimiento inicial si dicho activo presenta un riesgo crediticio bajo a la fecha de presentación. El Grupo considera que un activo financiero presenta un riesgo crediticio bajo cuando su calificación crediticia es equivalente a la definición global de «grado de inversión». El Grupo considera que esta calificación es BBB- o superior en escala internacional de calificaciones de riesgo, según las de Agencias Calificadoras de Riesgo, lo que equivale a una calificación de riesgo interna de 4 o inferior.</t>
  </si>
  <si>
    <t>El Grupo identifica los factores clave que influyen en los cambios en el riesgo crediticio de las carteras. Generalmente, un aumento significativo del riesgo crediticio se evalúa por instrumento individual, como se describió anteriormente. Sin embargo, si el Grupo identifica un factor clave que no se considera en la evaluación individual de forma oportuna, evaluará si existe información razonable y justificable que le permita realizar una evaluación adicional de forma colectiva con respecto a la totalidad o parte de la cartera. Esto puede llevar al Grupo a concluir que un segmento o proporción de una cartera ha experimentado un aumento significativo del riesgo crediticio.</t>
  </si>
  <si>
    <t>Como medida de protección, el Grupo considera que se produce un aumento significativo del riesgo crediticio a más tardar cuando un activo presenta un atraso de pago de capital e intereses de más de 30 días. Los días de atraso se determinan contando el número de días transcurridos desde la primera fecha de vencimiento sin recibir el pago completo. Las fechas de vencimiento se determinan sin considerar ningún período de gracia del que pueda disponer el deudor.</t>
  </si>
  <si>
    <t>Se pueden aplicar superposiciones de gestión a los resultados del modelo si son coherentes con el objetivo de identificar un aumento significativo del riesgo crediticio.</t>
  </si>
  <si>
    <t>Si existe evidencia de que ya no existe un aumento significativo del riesgo crediticio con respecto al reconocimiento inicial, la provisión para pérdidas de un instrumento vuelve a medirse como pérdidas crediticias esperadas (PCE) a 12 meses.</t>
  </si>
  <si>
    <t>Algunos indicadores cualitativos de un aumento del riesgo crediticio, como la morosidad o un período de gracia, pueden indicar un mayor riesgo de incumplimiento que persiste después de que el indicador en sí haya dejado de existir. En estos casos, el Grupo establece un período de prueba durante el cual el activo financiero debe demostrar un buen comportamiento para demostrar que su riesgo crediticio ha disminuido lo suficiente.</t>
  </si>
  <si>
    <t>Cuando se han modificado las condiciones contractuales de un activo (véase «Activos financieros modificados» más adelante), la evidencia de que ya no se cumplen los criterios para reconocer las PCE durante su vida útil incluye un historial de cumplimiento de pagos actualizado con respecto a las condiciones contractuales modificadas.</t>
  </si>
  <si>
    <t>El Grupo supervisa la eficacia de los criterios utilizados para identificar aumentos significativos del riesgo crediticio mediante revisiones periódicas para confirmar que:</t>
  </si>
  <si>
    <t>- Los criterios permiten identificar aumentos significativos del riesgo crediticio antes de que una exposición entre en mora; - Los criterios no se ajustan al momento en que un activo alcanza los 30 días de mora; - El tiempo medio entre la identificación de un aumento significativo del riesgo crediticio y el incumplimiento parece razonable; - Las exposiciones no suelen transferirse de la medición de pérdidas crediticias esperadas (Etapa 1) a deterioro crediticio (Etapa 3); y - No existe una volatilidad injustificada en la provisión para pérdidas derivada de las transferencias entre las mediciones de pérdidas crediticias esperadas a 12 meses (Etapa 1) y durante la vida del activo (Etapa 2).</t>
  </si>
  <si>
    <t>## Activos financieros modificados</t>
  </si>
  <si>
    <t>Las condiciones contractuales de un activo financiero pueden modificarse por diversas razones, incluyendo cambios en las condiciones del mercado y otros factores no relacionados con un deterioro crediticio actual o potencial del deudor. Un activo financiero existente cuyas condiciones se hayan modificado puede darse de baja y el activo renegociado reconocerse como un nuevo activo financiero a valor razonable más los costos de transacción admisibles. El nuevo activo se asigna a la Etapa 1 (suponiendo que no presenta deterioro crediticio en la fecha de modificación).</t>
  </si>
  <si>
    <t>Cuando se modifican las condiciones de un activo financiero y esta no da lugar a la baja en cuentas, la determinación de si el riesgo crediticio del activo ha aumentado significativamente refleja una comparación de:</t>
  </si>
  <si>
    <t>- Su probabilidad de incumplimiento (PD) restante a la fecha de presentación, basada en las condiciones modificadas; con - La PD restante estimada con base en los datos del reconocimiento inicial y las condiciones contractuales originales.</t>
  </si>
  <si>
    <t>El Grupo considera que un activo financiero está en incumplimiento cuando:</t>
  </si>
  <si>
    <t>- Es improbable que el deudor pague íntegramente sus obligaciones crediticias con el Grupo, sin que este pueda recurrir a medidas como la ejecución de garantías (si las tiene); o - El activo financiero tiene más de 90 días de mora.</t>
  </si>
  <si>
    <t>Al evaluar si un deudor está en incumplimiento, el Grupo considera indicadores:</t>
  </si>
  <si>
    <t>- Cualitativos: p. ej., incumplimientos de convenios; - Cuantitativos: p. ej., incumplimiento e impago de otra obligación del mismo deudor con el Grupo; y - Basados en datos desarrollados internamente y obtenidos de fuentes externas.</t>
  </si>
  <si>
    <t>Los datos para evaluar si un instrumento financiero está en incumplimiento y su importancia pueden variar con el tiempo para reflejar cambios en las circunstancias.</t>
  </si>
  <si>
    <t>## Incorporación de información prospectiva</t>
  </si>
  <si>
    <t>El Grupo incorpora información prospectiva tanto en su evaluación de si el riesgo crediticio de un instrumento ha aumentado significativamente desde su reconocimiento inicial como en su medición de las pérdidas crediticias esperadas (PCE). El Grupo formula tres escenarios económicos: un caso base, que constituye el escenario central, desarrollado internamente con base en pronósticos de consenso, y dos escenarios menos probables, uno al alza y otro a la baja. El escenario central se alinea con la información que el Grupo utiliza para otros fines, como la planificación estratégica y el presupuesto. La información externa considerada incluye datos y pronósticos económicos publicados por organismos gubernamentales y autoridades monetarias de los países donde opera el Grupo, así como por organizaciones supranacionales como la Organización para la Cooperación y el Desarrollo Económicos y el Fondo Monetario Internacional, así como pronósticos seleccionados del sector privado y académicos.</t>
  </si>
  <si>
    <t>Periódicamente, el Grupo realiza pruebas de estrés ante shocks más extremos para calibrar la determinación de los escenarios representativos, tanto al alza como a la baja. La gerencia del Grupo realiza una revisión exhaustiva, al menos anualmente, del diseño de los escenarios. El Grupo ha identificado y documentado los factores clave del riesgo de crédito y las pérdidas crediticias para cada cartera de instrumentos financieros y, mediante el análisis de datos históricos, ha estimado las relaciones entre las variables macroeconómicas y el riesgo de crédito y las pérdidas crediticias. Los factores clave del riesgo de crédito incluyen el crecimiento del PIB, los precios de la vivienda y las tasas de interés.</t>
  </si>
  <si>
    <t>El Grupo estima cada factor clave del riesgo de crédito durante el período de previsión activo de tres años. A esto le sigue un período de reversión a la media de entre dos y cuatro años, dependiendo del producto y el mercado geográfico.</t>
  </si>
  <si>
    <t>Las relaciones previstas entre los indicadores clave y las tasas de impago y pérdida de diversas carteras de activos financieros se han desarrollado mediante el análisis de datos históricos de los últimos 10 a 15 años.</t>
  </si>
  <si>
    <t>## Provisión para pérdidas</t>
  </si>
  <si>
    <t>Las siguientes tablas muestran las conciliaciones entre el saldo inicial y el saldo final de la provisión para pérdidas por clase de instrumento financiero. Las transferencias debidas a cambios en el riesgo crediticio se determinan de acuerdo con la política contable establecida en la Nota 8 (c) (iii).</t>
  </si>
  <si>
    <t>La provisión por pérdidas para inversiones en deuda a VRORI de US$810,037 (2024: US$-87,262) no reduce el valor contable de estas inversiones (que corresponde a su valor razonable), sino que genera una ganancia equivalente y opuesta en el ORI.</t>
  </si>
  <si>
    <t>iv. Concentraciones del riesgo de crédito</t>
  </si>
  <si>
    <t>El reaseguro se cede en todas las regiones geográficas donde opera el Grupo. El Grupo no presenta una concentración significativa de riesgo crediticio con ninguna reaseguradora.</t>
  </si>
  <si>
    <t>El Grupo monitorea las concentraciones de riesgo crediticio derivadas de las inversiones en instrumentos de deuda por ubicación geográfica del emisor. A continuación, se presenta un análisis del valor en libros de las inversiones financieras:</t>
  </si>
  <si>
    <t>El riesgo de liquidez es el riesgo de que el Grupo tenga dificultades para cumplir con las obligaciones asociadas a sus contratos de seguro y reaseguro, así como con los pasivos financieros que se liquidan mediante la entrega de efectivo u otro activo financiero. Si bien la relativa liquidez de los contratos de seguro permite al Grupo invertir en activos menos líquidos, de mayor rentabilidad, el riesgo de liquidez surge de los fondos compuestos por activos líquidos y resulta de desajustes en el perfil de liquidez de los activos y pasivos.</t>
  </si>
  <si>
    <t>i. Gestión del riesgo de liquidez</t>
  </si>
  <si>
    <t>La gestión del riesgo de liquidez es llevada a cabo por el Comité de Riesgos, que supervisa la exposición del Grupo a este riesgo y vela por el cumplimiento del marco de gestión de riesgos, incluyendo el seguimiento de métricas, límites y desviaciones relevantes.</t>
  </si>
  <si>
    <t>El objetivo del Grupo en la gestión del riesgo de liquidez es garantizar, en la medida de lo posible, la liquidez suficiente para hacer frente a sus obligaciones a su vencimiento, tanto en condiciones normales como de tensión, sin incurrir en pérdidas extraordinarias ni arriesgarse a dañar la reputación del Grupo. Los elementos clave de la estrategia de liquidez del Grupo son los siguientes:</t>
  </si>
  <si>
    <t>- Mantener una base de financiación diversificada y líneas de contingencia adecuadas.</t>
  </si>
  <si>
    <t>- Mantener una cartera de activos de alta liquidez, diversificada por divisa en caso de que haya activos en diferentes monedas y vencimiento, que pueda convertirse fácilmente en efectivo para protegerse contra interrupciones imprevistas a corto plazo de los flujos de efectivo. - Equilibrar, en la medida de lo posible, los flujos de efectivo de los activos financieros del Grupo con los flujos de efectivo de los contratos de seguro e inversiones y otros pasivos financieros. - Supervisar las razones financieras de liquidez y realizar pruebas de resistencia de la posición de liquidez del Grupo frente a diversas exposiciones y eventos globales.</t>
  </si>
  <si>
    <t>La tesorería del Grupo mantiene un fondo de activos líquidos a corto plazo cuyo objetivo es proporcionar suficiente liquidez al Grupo en su conjunto para cubrir las fluctuaciones a corto plazo en las necesidades de liquidez de cualquier unidad de negocio. La financiación a largo plazo se utiliza para gestionar las necesidades de liquidez estructural.</t>
  </si>
  <si>
    <t>Se realizan pruebas de estrés de liquidez periódicas bajo diversos escenarios, que abarcan tanto condiciones de mercado normales como más severas. Los escenarios se desarrollan teniendo en cuenta tanto eventos específicos del Grupo (por ejemplo, una rebaja de la calificación crediticia) como eventos relacionados con el mercado (por ejemplo, una iliquidez prolongada del mercado, desastres naturales u otras catástrofes).</t>
  </si>
  <si>
    <t>Además, el Grupo mantiene líneas de crédito comprometidas no utilizadas, como se detalla a continuación:</t>
  </si>
  <si>
    <t>- 2 millones de dólares en líneas de crédito sin garantía, disponibles en cualquier momento y con revisión anual. Los intereses se pagarían a una tasa anual de interés del 4.5% (2023: 3.6%). - 4.5 millones de dólares en líneas de crédito comprometidas no dispuestas, disponibles en cualquier momento para cubrir necesidades de financiación a corto plazo. Las líneas de crédito tienen un vencimiento a 30 días y se renuevan automáticamente a opción del Grupo. Los intereses se pagarían a una tasa anual de interés de 4% (2024: 4.1%).</t>
  </si>
  <si>
    <t>ii. Análisis de vencimientos</t>
  </si>
  <si>
    <t>Contratos de seguro y reaseguro</t>
  </si>
  <si>
    <t>La siguiente tabla presenta un análisis de vencimientos de los contratos de seguro y reaseguro del Grupo, que refleja las fechas en las que se espera que se produzcan los flujos de efectivo no descontados.</t>
  </si>
  <si>
    <t>Los pasivos por la cobertura restante, de ramos generales, se han excluido de este análisis.</t>
  </si>
  <si>
    <t>A continuación, se detallan los importes de las obligaciones de contratos de seguro (vida) que se deben pagar cuando se requiera.</t>
  </si>
  <si>
    <t>## Instrumentos financieros</t>
  </si>
  <si>
    <t>La siguiente tabla establece los vencimientos contractuales restantes de los pasivos financieros del Grupo.</t>
  </si>
  <si>
    <t>La siguiente tabla presenta los vencimientos contractuales restantes de los activos financieros del Grupo.</t>
  </si>
  <si>
    <t>Los importes corresponden a los flujos de efectivo contractuales brutos no descontados, que incluyen los pagos estimados de intereses. Los intereses de los instrumentos a tipo de interés variable reflejan los tipos de interés a plazo del mercado a la fecha de presentación, que pueden variar según la evolución de los tipos de interés del mercado.</t>
  </si>
  <si>
    <t>Los pasivos financieros se asignan al primer período en el que el Grupo podría estar obligado a pagar. La mayoría de los activos subyacentes son efectivo y equivalentes de efectivo o inversiones líquidas que pueden convertirse en efectivo con poca antelación.</t>
  </si>
  <si>
    <t>El riesgo operacional es el riesgo de pérdida directa o indirecta derivada de diversas causas asociadas con los procesos, el personal, la tecnología y la infraestructura del Grupo, así como de factores externos distintos de los riesgos de crédito, mercado y liquidez, como los riesgos de venta fraudulenta de productos, errores de modelado e incumplimiento de los requisitos legales y reglamentarios, así como de las normas de conducta corporativa generalmente aceptadas. Los riesgos operacionales surgen de todas las operaciones del Grupo.</t>
  </si>
  <si>
    <t>El objetivo del Grupo en la gestión del riesgo operacional es equilibrar la prevención de pérdidas financieras y el daño a la reputación del Grupo con la rentabilidad y la innovación. En todos los casos, la política del Grupo exige el cumplimiento de todos los requisitos legales y reglamentarios aplicables.</t>
  </si>
  <si>
    <t>El Comité de Riesgos del Grupo es responsable de monitorear el desarrollo e implementación de controles por parte de la administración para abordar el riesgo operacional.</t>
  </si>
  <si>
    <t>Esta responsabilidad se sustenta en el desarrollo de normas generales del Grupo para la gestión del riesgo operacional en las siguientes áreas:</t>
  </si>
  <si>
    <t>- Requisitos para una adecuada segregación de funciones, incluyendo la autorización independiente de transacciones; - Requisitos para la conciliación y supervisión de transacciones; - Cumplimiento de los requisitos regulatorios y otros requisitos legales; - Documentación de controles y procedimientos; - Requisitos para la evaluación periódica de los riesgos operativos afrontados y la idoneidad de los controles y procedimientos para abordar los riesgos identificados; - Requisitos para la notificación de pérdidas operativas y medidas correctivas propuestas; - Desarrollo de planes de contingencia; - Formación y desarrollo profesional; - Estándares éticos y empresariales; - Riesgos informáticos, de seguridad de datos y cibernéticos; y - Mitigación de riesgos, incluyendo seguros cuando resulte rentable.</t>
  </si>
  <si>
    <t>El cumplimiento de las normas, políticas y ejecución de controles del Grupo se sustenta en un programa de revisiones periódicas realizado por auditoría interna. Los resultados de estas revisiones se discuten con el Comité de Auditoría y se presentan resúmenes a la Junta Directiva y a la Alta Dirección.</t>
  </si>
  <si>
    <t>## H. Administración de capital</t>
  </si>
  <si>
    <t>### i. Capital regulatorio</t>
  </si>
  <si>
    <t>El Grupo no está sujeto directamente a requisitos de capital regulatorio por parte de ninguna autoridad supervisora. No obstante, cada una de las entidades operativas del Grupo, principalmente las subsidiarias aseguradoras y reaseguradoras, sí se encuentra sujeta a los requerimientos de capital establecidos por sus respectivos reguladores locales.</t>
  </si>
  <si>
    <t>Los reguladores locales de cada subsidiaria exigen que dichas entidades mantengan un nivel adecuado de capital, garantizando que sus activos excedan sus pasivos contractuales de seguros conforme a la normativa aplicable. Estos requerimientos buscan asegurar que cada aseguradora y reaseguradora pueda cumplir con sus obligaciones durante los próximos 12 meses con un alto nivel de confianza, según los lineamientos regulatorios vigentes. El incumplimiento del capital de solvencia obligatorio "SCR" por parte de cualquiera de las subsidiarias podría dar lugar a la intervención supervisora del regulador correspondiente y a la implementación de acciones correctivas para restablecer el nivel requerido de capital.</t>
  </si>
  <si>
    <t>La evaluación de suficiencia de capital realizada por los reguladores locales se basa principalmente en el seguimiento de la relación entre el SCR de cada entidad y su capital regulatorio disponible. Por lo tanto, si bien el Grupo no está sujeto a requerimientos de capital, sus subsidiarias sí pueden estar expuestas a la intervención de sus supervisores locales en caso de incumplimiento individual.</t>
  </si>
  <si>
    <t>Durante los años 2025 y 2024, todas las subsidiarias reguladas del Grupo cumplieron con los requisitos de capital impuestos por sus respectivos reguladores.</t>
  </si>
  <si>
    <t>ii. Asignación de capital</t>
  </si>
  <si>
    <t>La asignación de capital entre operaciones y actividades específicas se basa, en gran medida, en la optimización de la rentabilidad del capital asignado, pero también está sujeta a los requisitos mínimos de capital regulatorio. El proceso de asignación de capital se lleva a cabo de forma independiente por la Gerencia, con el apoyo del Departamento de Riesgos del Grupo, con base en metodologías corporativas de medición del riesgo y modelos internos aprobados. Este proceso está sujeto a la revisión y validación del Comité de Riesgos, Comité Ejecutivo y Junta Directiva, garantizando la consistencia entre el capital asignado, el perfil de riesgo y la estrategia de negocio.</t>
  </si>
  <si>
    <t>Si bien la maximización de la rentabilidad del capital es la base principal para determinar cómo se asigna el capital a las operaciones o actividades específicas, no es la única base para la toma de decisiones. También se tienen en cuenta las sinergias con otras operaciones y actividades, la disponibilidad de recursos de gestión y otros recursos, y la adecuación de la actividad a los objetivos estratégicos a largo plazo del Grupo.</t>
  </si>
  <si>
    <t>El Grupo mantiene una norma de gestión de capital que establece estándares y directrices mínimos para la gestión de capital, incluyendo la gobernanza y los requisitos de información de gestión. El Comité Ejecutivo revisa periódicamente la norma de gestión de capital.</t>
  </si>
  <si>
    <t>(11) Medición del valor razonable</t>
  </si>
  <si>
    <t>Varias políticas y revelaciones contables del Grupo requieren la medición de valores razonables, tanto para activos y pasivos financieros como no financieros.</t>
  </si>
  <si>
    <t>El Grupo mide el valor razonable utilizando la siguiente jerarquía, que refleja la importancia de los datos utilizados para realizar las mediciones.</t>
  </si>
  <si>
    <t>Nivel 1: Datos que corresponden a precios de mercado cotizados (sin ajustar) en mercados activos para instrumentos idénticos.</t>
  </si>
  <si>
    <t>Nivel 2: Datos distintos de los precios cotizados, incluidos en el Nivel 1, que son observables directa o indirectamente. Esta categoría incluye instrumentos valorados utilizando precios de mercado cotizados en mercados activos para instrumentos similares, precios cotizados para instrumentos idénticos o similares en mercados considerados menos activos, u otras técnicas de valoración en las que todos los datos significativos son observables directa o indirectamente a partir de datos de mercado.</t>
  </si>
  <si>
    <t>Nivel 3: Datos no observables. Esta categoría incluye todos los instrumentos cuya técnica de valoración incluye datos no observables que tienen un efecto significativo en su valoración. Esta categoría incluye instrumentos que se valoran con base en precios cotizados de instrumentos similares, para los cuales se requieren ajustes o supuestos no observables significativos para reflejar las diferencias entre ellos.</t>
  </si>
  <si>
    <t>El Grupo reconoce las transferencias entre niveles de la jerarquía del valor razonable al final del periodo sobre el que se informa en el que se produce el cambio.</t>
  </si>
  <si>
    <t>Las técnicas de valoración incluyen modelos de flujo de caja descontado, comparación con instrumentos similares para los que existen precios de mercado observables, modelos de valoración de opciones polinómicas y de Black-Scholes, y otros modelos de valoración. Los supuestos e insumos utilizados en las técnicas de valoración incluyen tasas de interés libres de riesgo y de referencia, diferenciales de crédito y otras primas utilizadas para estimar las tasas de descuento, los tipos de cambio, los precios de bonos y acciones, y las volatilidades y correlaciones esperadas de los precios.</t>
  </si>
  <si>
    <t>El objetivo de las técnicas de valoración es obtener una medición del valor razonable que refleje el precio que se recibiría por la venta del activo o que se pagaría por la transferencia del pasivo en una transacción ordenada entre participantes del mercado en la fecha de medición. El valor razonable de un pasivo refleja el efecto del riesgo de incumplimiento.</t>
  </si>
  <si>
    <t>## B. Marco de valoración</t>
  </si>
  <si>
    <t>El Grupo cuenta con un marco de control establecido para la medición del valor razonable. Este marco incluye un equipo de valoración, que reporta al Vicepresidente Ejecutivo de Finanzas y tiene la responsabilidad general de supervisar y verificar de forma independiente todas las mediciones significativas del valor razonable. Los controles específicos incluyen:</t>
  </si>
  <si>
    <t>- Verificación de precios observables; - Repetición de las valoraciones de los modelos; - Proceso de revisión y aprobación de nuevos modelos y modificaciones de los mismos; - Calibración y retrospección semestral de los modelos frente a las transacciones de mercado observadas; - Análisis e investigación de movimientos diarios significativos en las valoraciones; y - Revisión de datos no observables significativos, ajustes de valoración y cambios significativos en la medición del valor razonable de los instrumentos de Nivel 3 en comparación con el mes anterior.</t>
  </si>
  <si>
    <t>Cuando se utiliza información de terceros (por ejemplo, cotizaciones de corredores, servicios de precios o valoraciones independientes de propiedades) para medir el valor razonable, el equipo de valoración evalúa y documenta la evidencia obtenida de terceros para sustentar la conclusión de que estas valoraciones cumplen con los requisitos de las NIIF. Esto incluye:</t>
  </si>
  <si>
    <t>- Verificar que el corredor o el servicio de valoración estén aprobados por el Grupo para su uso en la fijación del precio del tipo de activo o pasivo correspondiente; - Comprender cómo se ha determinado el valor razonable, en qué medida refleja las transacciones reales del mercado y si representa un precio cotizado en un mercado activo para un instrumento idéntico; - Cuando se utilicen precios de activos o pasivos similares para medir el valor razonable, comprender cómo se han ajustado estos precios para reflejar las características del activo o pasivo objeto de medición; y - Si se han obtenido varias cotizaciones para el mismo activo o pasivo, comprender cómo se ha determinado el valor razonable utilizando dichas cotizaciones.</t>
  </si>
  <si>
    <t>Los problemas de valoración significativos se informan al Comité de Inversiones del Grupo, de ser necesario.</t>
  </si>
  <si>
    <t>En las siguientes notas se incluye más información sobre las hipótesis utilizadas para la medición del valor razonable:</t>
  </si>
  <si>
    <t>- Nota 11: instrumentos financieros; - Nota 26: acuerdos de pago basados en acciones; y - Nota 19 G(iv): contratos de seguro;</t>
  </si>
  <si>
    <t>12. Clasificación y valor razonable de instrumentos financieros</t>
  </si>
  <si>
    <t>Instrumentos financieros</t>
  </si>
  <si>
    <t>Los importes en libros de los activos y pasivos financieros del Grupo se detallan a continuación.</t>
  </si>
  <si>
    <t>i. Técnicas de valoración para nivel 2 y nivel 3 en la medición del valor razonable El equipo de valoración revisa regularmente las variables no observables significativas y los ajustes de valoración. Si se usa información de terceros, como cotizaciones de corredores o servicios de fijación de precios, para medir los valores razonables, el equipo de valoración evalúa la evidencia obtenida de terceros para respaldar la conclusión de que esas valorizaciones satisfacen los requerimientos de las NIIF, incluyendo el nivel dentro de la jerarquía del valor razonable del que deberían clasificarse esas valorizaciones.</t>
  </si>
  <si>
    <t>Conciliación de valores razonables Nivel 3</t>
  </si>
  <si>
    <t>El Grupo reconoce las transferencias entre niveles medidos a valor razonable en el período en que ocurre un cambio.</t>
  </si>
  <si>
    <t>(13) Efectivo y equivalentes de efectivo</t>
  </si>
  <si>
    <t>14. Instrumentos financieros</t>
  </si>
  <si>
    <t>[tbl-57.html](tbl-57.html) [tbl-58.html](tbl-58.html)</t>
  </si>
  <si>
    <t>La siguiente tabla presenta el valor en libros de los instrumentos financieros que se espera sean cobrados o cancelados más allá de 12 meses a la fecha de reporte:</t>
  </si>
  <si>
    <t>Durante el año el Grupo realizó ventas de instrumentos financieros así:</t>
  </si>
  <si>
    <t># Instrumentos de patrimonio designados a VRORI</t>
  </si>
  <si>
    <t>El Grupo ha designado las siguientes inversiones de capital a VRORI porque pretende mantenerlas a largo plazo con fines estratégicos.</t>
  </si>
  <si>
    <t>15. Cuentas por cobrar</t>
  </si>
  <si>
    <t>Las cuentas por cobrar se detallan de la siguiente manera</t>
  </si>
  <si>
    <t>16. Inmuebles, mobiliario y equipo y mejoras, netos</t>
  </si>
  <si>
    <t>A continuación, se muestra un detalle de los inmuebles, mobiliario, equipo y mejoras, a su costo, menos la depreciación y amortización acumulada:</t>
  </si>
  <si>
    <t>17. Activos intangibles y plusvalía</t>
  </si>
  <si>
    <t>La conciliación del importe en libros de los activos intangibles y la plusvalía del Grupo se presenta a continuación:</t>
  </si>
  <si>
    <t># Prueba del deterioro del valor – Assicurazioni Generali S.p.A.</t>
  </si>
  <si>
    <t>Al 31 de diciembre de 2025, para la plusvalía calculada sobre los activos y pasivos adquiridos, la administración aplicó la NIC 36 y según la prueba de deterioro realizada no identificó la existencia de indicadores de deterioro (2024: igual). El importe recuperable de esta UGE se basó en su valor en uso, considerando la estimación de flujos futuros generados por la UGE, comparado con su importe en libros.</t>
  </si>
  <si>
    <t>Los supuestos clave utilizados en el cálculo del importe recuperable se señalan a continuación. Los valores asignados a los supuestos clave representan la evaluación de la gerencia tomando como base las proyecciones de las pérdidas y ganancias a cinco años, y teniendo presentes tanto fuentes externas como internas.</t>
  </si>
  <si>
    <t>Las proyecciones de los flujos de efectivo esperados futuros, incluyeron estimaciones específicas para cinco años y una tasa de crecimiento temporal con posterioridad a esos cinco años. La tasa de crecimiento terminal se determinó sobre la base de la estimación de la gerencia de la tasa de crecimiento anual, compuesta de largo plazo consistente con los supuestos razonables que efectuaría un participante en el mercado. Al 31 de diciembre de 2025, la administración del Grupo no ha identificado indicios de deterioro de la plusvalía.</t>
  </si>
  <si>
    <t>18. Propiedades de Inversión</t>
  </si>
  <si>
    <t>La composición de las propiedades de inversión se presenta en el cuadro a continuación.</t>
  </si>
  <si>
    <t>(19) Otros activos</t>
  </si>
  <si>
    <t>(20) Contratos de seguro y reaseguro</t>
  </si>
  <si>
    <t>A. Composición de los saldos de los contratos de seguro y reaseguro</t>
  </si>
  <si>
    <t>La siguiente tabla presenta los importes en libros de los contratos de seguro y reaseguro.</t>
  </si>
  <si>
    <t>## B. Partidas con vencimientos mayores a 12 meses</t>
  </si>
  <si>
    <t>## C. Movimientos de los saldos de los contratos de seguro y reaseguro</t>
  </si>
  <si>
    <t>Las siguientes conciliaciones muestran cómo cambiaron durante el año los importes netos en libros de los contratos de seguro y reaseguro de cada grupo como resultado de los flujos de efectivo y los importes reconocidos en el estado de resultados y en el otro resultado integral.</t>
  </si>
  <si>
    <t>Para cada grupo, el Grupo presenta una tabla que analiza por separado los movimientos en los pasivos por cobertura restante y los movimientos en los pasivos por siniestros incurridos, y concilia estos movimientos con las partidas del estado de resultados y en el otro resultado integral.</t>
  </si>
  <si>
    <t>Se presenta una segunda conciliación para los contratos de seguros de vida, que analiza por separado los cambios en las estimaciones del valor presente de los flujos de efectivo futuros, el ajuste de riesgo por riesgo no financiero y el CSM.</t>
  </si>
  <si>
    <t>Para obtener una explicación de cómo se midieron los contratos según el enfoque retrospectivo modificado o el enfoque del valor razonable en la transición a la NIIF 17, véase la Nota 7 (d)(ix).</t>
  </si>
  <si>
    <t>Contratos de seguro: Análisis por la cobertura restante y los reclamos incurridos, efecto en el resultado y otros resultados integrales (ORI)</t>
  </si>
  <si>
    <t>Contratos de seguro: Análisis de los componentes del pasivo de contratos de seguro para los grupos medidos bajo el modelo de medición general</t>
  </si>
  <si>
    <t>[tbl-72.html](tbl-72.html) [tbl-73.html](tbl-73.html)</t>
  </si>
  <si>
    <t>Contratos de reaseguro: Análisis por la cobertura restante y los reclamos incurridos, efecto en el resultado y otros resultados integrales (ORI)</t>
  </si>
  <si>
    <t>Contratos de reaseguro: Análisis de los componentes del activo de contratos de reaseguro para los grupos medidos bajo el modelo de medición general</t>
  </si>
  <si>
    <t>i. Seguros generales Contratos de seguro: Análisis por la cobertura restante y los reclamos incurridos, efecto en el resultado:</t>
  </si>
  <si>
    <t>## D. Efecto de los contratos reconocidos inicialmente en el año</t>
  </si>
  <si>
    <t>Las siguientes tablas resumen el efecto sobre los componentes de medición que surge del reconocimiento inicial de los contratos de seguro y reaseguro medidos bajo el modelo de medición general.</t>
  </si>
  <si>
    <t># E. Margen de servicio contractual</t>
  </si>
  <si>
    <t>La siguiente tabla establece cuándo el Grupo espera reconocer el CSM restante en resultados después de la fecha de presentación de informes para los contratos medidos bajo el modelo de medición general.</t>
  </si>
  <si>
    <t># F. Tabla de desarrollo de reclamos</t>
  </si>
  <si>
    <t>La siguiente tabla ilustra la evolución de las estimaciones de siniestros acumulados para los de seguro general, tanto brutos como netos de reaseguro. Cada tabla muestra la evolución de las estimaciones del Grupo sobre el total de siniestros para cada año de siniestro y concilia los siniestros acumulados con el importe incluido en el estado de situación financiera.</t>
  </si>
  <si>
    <t>[tbl-81.html](tbl-81.html) [tbl-82.html](tbl-82.html)</t>
  </si>
  <si>
    <t>## G. Juicios y estimaciones significativas</t>
  </si>
  <si>
    <t>i. Cumplimiento de los flujos de efectivo</t>
  </si>
  <si>
    <t>El cumplimiento de los flujos de efectivo comprende:</t>
  </si>
  <si>
    <t>- estimaciones de flujos de efectivo futuros; - un ajuste para reflejar el valor del dinero en el tiempo y los riesgos financieros relacionados con los flujos de efectivo futuros, en la medida en que los riesgos financieros no estén incluidos en las estimaciones de flujos de efectivo futuros; y - un ajuste de riesgo por riesgo no financiero.</t>
  </si>
  <si>
    <t>El objetivo del Grupo al estimar los flujos de efectivo futuros es determinar el valor esperado de una serie de escenarios que reflejen la gama completa de resultados posibles. Los flujos de efectivo de cada escenario se descuentan y ponderan por la probabilidad estimada de dicho resultado para obtener un valor presente esperado. Si existen interdependencias significativas entre los flujos de efectivo que varían en función de los cambios en las variables de mercado y otros flujos de efectivo, el Grupo utiliza técnicas de modelado estocástico para estimar el valor presente esperado.</t>
  </si>
  <si>
    <t>## Estimación de los flujos de efectivo futuros</t>
  </si>
  <si>
    <t>Al estimar los flujos de efectivo futuros, el Grupo incorpora, de forma imparcial, toda la información razonable y justificable disponible sin costos ni esfuerzos excesivos a la fecha de presentación. Esta información incluye datos históricos internos y externos sobre reclamaciones y otras experiencias, actualizados para reflejar las expectativas actuales sobre eventos futuros.</t>
  </si>
  <si>
    <t>Las estimaciones de flujos de efectivo futuros reflejan la visión del Grupo sobre las condiciones actuales a la fecha de presentación, siempre que las estimaciones de cualquier variable de mercado relevante sean coherentes con los precios de mercado observables.</t>
  </si>
  <si>
    <t>Al estimar los flujos de efectivo futuros, el Grupo tiene en cuenta las expectativas actuales sobre eventos futuros que podrían afectarlos. Sin embargo, las expectativas de cambios futuros en la legislación que modificarían o extinguirían una obligación presente o crearían nuevas obligaciones en virtud de contratos existentes no se tienen en cuenta hasta que el cambio legislativo esté sustancialmente promulgado. El Grupo deriva supuestos de inflación de costos a partir de la diferencia entre los rendimientos de los bonos gubernamentales nominales y los vinculados a la inflación.</t>
  </si>
  <si>
    <t>Los flujos de efectivo dentro del límite de un contrato se relacionan directamente con su cumplimiento, incluyendo aquellos sobre los cuales el Grupo tiene discreción en cuanto a importe o plazo. Estos incluyen pagos a (o en nombre de) los asegurados y otros costos incurridos en el cumplimiento de los contratos.</t>
  </si>
  <si>
    <t>Los flujos de efectivo de adquisición de seguros surgen de las actividades de venta, suscripción e inicio de un grupo de contratos directamente atribuibles a la cartera de contratos a la que pertenece el grupo. Otros costos incurridos en el cumplimiento de los contratos incluyen:</t>
  </si>
  <si>
    <t>- Costos de gestión, mantenimiento y administración de siniestros; - Comisiones recurrentes pagaderas sobre primas a plazos por cobrar dentro del plazo del contrato;</t>
  </si>
  <si>
    <t>- Impuestos y otros costos específicamente imputables a los asegurados según los términos de los contratos.</t>
  </si>
  <si>
    <t>Los flujos de efectivo de adquisición de seguros y otros costos incurridos en el cumplimiento de contratos comprenden tanto los costos directos como la asignación de gastos generales fijos y variables.</t>
  </si>
  <si>
    <t>Los flujos de efectivo se atribuyen a las actividades de adquisición, otras actividades de cumplimiento y otras actividades a nivel de entidad local utilizando técnicas de costeo basado en actividades. Los flujos de efectivo atribuibles a la adquisición y otras actividades de cumplimiento se asignan a grupos de contratos utilizando métodos sistemáticos y racionales, y se aplican de forma consistente a todos los costos con características similares. El Grupo generalmente asigna los flujos de efectivo de adquisición de seguros a grupos de contratos en función de las primas totales de cada grupo, los costos de gestión de siniestros en función del número de siniestros de cada grupo, y los costos de mantenimiento y administración en función del número de contratos vigentes dentro de cada grupo. Otros costos se reconocen en resultados a medida que se incurren.</t>
  </si>
  <si>
    <t>La evaluación del límite del contrato, que define qué flujos de efectivo futuros se incluyen en la medición de un contrato, requiere juicio y la consideración de los derechos y obligaciones sustantivos del Grupo en virtud del contrato.</t>
  </si>
  <si>
    <t># Contratos de seguros de vida</t>
  </si>
  <si>
    <t>Los supuestos sobre mortalidad/longevidad, morbilidad y comportamiento de los asegurados que se utilizan para estimar los flujos de efectivo futuros se desarrollan por tipo de producto a nivel de entidad local, reflejando la experiencia reciente y los perfiles de los asegurados dentro de un grupo de contratos de seguro.</t>
  </si>
  <si>
    <t>Los supuestos de mortalidad/longevidad y morbilidad generalmente se desarrollan utilizando una combinación de datos nacionales de mortalidad, tendencias del sector y la experiencia reciente de la entidad local. La experiencia se monitorea mediante estudios periódicos, cuyos resultados se reflejan tanto en el precio de los nuevos productos como en la medición de los contratos existentes.</t>
  </si>
  <si>
    <t>La mortalidad/longevidad es un supuesto clave en la medición de los contratos de vida. Se utiliza la tabla CSO 2001 Selecta y Última 25 años, y se ajusta para estimar las muertes esperadas con base en la experiencia propia.</t>
  </si>
  <si>
    <t>El comportamiento del asegurado es un supuesto clave para la medición de los seguros de vida. Cada tipo de comportamiento del asegurado se estima por tipo de producto, con base en las tendencias de la experiencia reciente. La tasa de 3.75% (2024: igual) indica el supuesto sobre la tasa de rescate (expresada como promedio ponderado) por aniversario de la póliza para los seguros de vida, excepto los contratos de rentas vitalicias.</t>
  </si>
  <si>
    <t>Para los contratos de vida universal, las tasas de acreditación y las tasas de descuento (véase "Tasas de descuento" más adelante), el grado en que los porcentajes de participación superan los porcentajes mínimos de participación, son supuestos clave para la medición de dichos contratos. Las tasas de acreditación estimadas se basan generalmente en las tasas y porcentajes reales aplicados en el año en curso. Las tasas de acreditación aplicadas varían entre productos y entidades del Grupo. En el entorno económico actual, los importes acreditados suelen estar determinados por garantías de tipos de interés. Para determinar cómo identificar los cambios en los flujos de efectivo discrecionales de estos contratos, el Grupo generalmente considera que su compromiso es el rendimiento implícito en las estimaciones del cumplimiento de los flujos de efectivo en el reconocimiento inicial, actualizado para reflejar los supuestos actuales de riesgo financiero.</t>
  </si>
  <si>
    <t>El Grupo estima el costo final de liquidación de siniestros incurridos, pero no pagados a la fecha de reporte, así como el valor del salvamento y otras recuperaciones esperadas mediante la revisión de los siniestros individuales reportados y la provisión para los siniestros incurridos, pero no reportados. El costo final de liquidación de siniestros se estima utilizando diversas técnicas de provisión para siniestros, como los métodos de cadena y escala de pérdidas y Bornhuetter-Ferguson. Estas técnicas asumen que la propia experiencia de siniestros del Grupo es indicativa de las tendencias futuras de desarrollo de siniestros y, por lo tanto, del costo final de los siniestros. El costo final de liquidación de siniestros se estima por separado para cada área geográfica y línea de negocio, excepto para los siniestros de gran cuantía, que se evalúan por separado de los demás siniestros. Las suposiciones utilizadas, incluyendo los índices de siniestralidad, se derivan implícitamente de los datos históricos de desarrollo de siniestros en los que se basan las proyecciones, si bien se aplica el juicio para evaluar en qué medida las tendencias pasadas podrían no aplicarse en el futuro y se espera que surjan tendencias futuras.</t>
  </si>
  <si>
    <t>Todos los flujos de efectivo proyectados se descuentan utilizando curvas de rendimiento consideradas libres de riesgo, ajustadas para reflejar las características específicas de los contratos de seguro, incluyendo su nivel de liquidez. El Grupo utiliza el método de abajo hacia arriba (bottom-up) este método se basa en curvas de tipos de interés libres de riesgo ajustadas por una prima de iliquidez, que refleja las características de las obligaciones de seguros del Grupo. Las tasas libres de riesgo se determinan basados en la curva spot de rendimiento de los bonos y notas del Tesoro de los Estados Unidos a largo plazo (The Yield Curve for Treasury Nominal Coupon), publicada mensualmente por el Departamento del Tesoro de EE. UU.</t>
  </si>
  <si>
    <t>Para reflejar las características de liquidez inherente a los contratos de seguro, la prima de iliquidez se estima comparando los diferenciales entre bonos corporativos de alta calidad y los rendimientos de los bonos del Tesoro. Las condiciones de mercado y la disponibilidad de datos sirven como base para determinar dicha prima. La prima por iliquidez se determina considerando el nivel de liquidez asociado a cada tipo de contrato.</t>
  </si>
  <si>
    <t>Las tablas a continuación presentan las curvas de rendimiento utilizadas para descontar los flujos de efectivo de los contratos de seguro detallado por país, categoría y moneda funcional:</t>
  </si>
  <si>
    <t>## Ajuste de riesgo por riesgo no financiero</t>
  </si>
  <si>
    <t>Los ajustes de riesgo por riesgo no financiero se determinan para reflejar la compensación que la entidad emisora individual requeriría para asumir dicho riesgo, por separado para los contratos de no vida y otros contratos. Los ajustes de riesgo por riesgo no financiero reflejan los beneficios de diversificación derivados de los contratos emitidos por la entidad, de forma coherente con la compensación que requeriría y que refleje su grado de aversión al riesgo.</t>
  </si>
  <si>
    <t>Los ajustes de riesgo por riesgo no financiero para los contratos de vida y de seguros generales, se determinan utilizando la técnica de nivel de confianza. Para determinar los ajustes de riesgo por riesgo no financiero de los contratos de reaseguro, el Grupo aplica estas técnicas, tanto brutas como netas de reaseguro, y calcula el importe del riesgo transferido a la reaseguradora como la diferencia entre ambos resultados.</t>
  </si>
  <si>
    <t>Aplicando una técnica de nivel de confianza, el Grupo estima la distribución de probabilidad del valor presente esperado de los flujos de efectivo futuros de los contratos de seguro en cada fecha de presentación. El ajuste por riesgo representa la compensación requerida por el Grupo por asumir la incertidumbre sobre el monto y la oportunidad de los flujos de efectivo. Se calcula mediante la técnica de "Valor en Riesgo" (VaR) con un nivel de confianza del 70%. Este nivel ha sido seleccionado para asegurar la comparabilidad con los estándares de la industria y refleja la aversión al riesgo de la entidad ante desviaciones en la siniestralidad.</t>
  </si>
  <si>
    <t>## ii. Margen de servicio contractual</t>
  </si>
  <si>
    <t>### Determinación de las unidades de cobertura</t>
  </si>
  <si>
    <t>El CSM de un grupo de contratos se reconoce en resultados para reflejar los servicios prestados cada año, con base en el número de unidades de cobertura proporcionadas en el año, lo cual se determina considerando para cada contrato la cantidad de beneficios proporcionados y su período de cobertura esperado (véase la Nota 8(c)(ix)). Las unidades de cobertura se revisan y actualizan en cada fecha de reporte.</t>
  </si>
  <si>
    <t>El Grupo determina la cantidad de beneficios proporcionados bajo cada contrato de la siguiente manera.</t>
  </si>
  <si>
    <t>En el caso de los contratos de seguro que ofrecen tanto cobertura de seguro como servicios de inversión, la evaluación de la cantidad de beneficios implica determinar la ponderación relativa de los beneficios proporcionados al asegurado por estos servicios, determinar cómo varían los beneficios de cada servicio a lo largo del período de cobertura y agregar dichos beneficios.</t>
  </si>
  <si>
    <t>Para determinar la ponderación relativa de los beneficios proporcionados por la cobertura de seguro y los servicios de inversión, el Grupo generalmente considera los precios de venta de los servicios si se hubieran ofrecido de forma independiente y ajusta la cantidad de beneficios de cada servicio en proporción a dichos precios de venta independientes. El precio de venta independiente de un servicio puede evidenciarse mediante precios observables cuando el Grupo vende ese servicio por separado a asegurados con características similares.</t>
  </si>
  <si>
    <t>Un análisis de la oportunidad esperada de la asignación del CSM a resultados se revela en la nota 19(E).</t>
  </si>
  <si>
    <t>iii. Componente de inversión</t>
  </si>
  <si>
    <t>La Compañía identifica el componente de inversión de un contrato determinando el importe que debería reembolsar al asegurado en todos los escenarios con fundamento comercial. Estos incluyen circunstancias en las que se produce un evento asegurado o el contrato vence o se rescinde sin que se produzca un evento asegurado. Los componentes de inversión se excluyen de los ingresos por servicios de seguros y los gastos por servicios de seguros. Los contratos de vida universal, tienen valores de rescate explícitos. El componente de inversión excluido de los ingresos por servicios de seguros y los gastos por servicios de seguros se determina como el valor de rescate especificado en las condiciones contractuales menos las comisiones y los cargos por rescate devengados.</t>
  </si>
  <si>
    <t>El Grupo ha medido el valor razonable de los contratos de seguro cuando aplicó el enfoque del valor razonable en la transición a la NIIF 17 (véase la Nota 7(D)(ix)). El Grupo ha medido el valor razonable de los contratos de seguro como la suma de (a) el valor presente de los flujos de efectivo netos que se espera generar por los contratos, determinado mediante la técnica de flujo de efectivo descontado; y (b) un margen adicional, determinado mediante la técnica de nivel de confianza. Los flujos de efectivo considerados en la medición del valor razonable son consistentes con los que se encontraban dentro del límite del contrato. Por lo tanto, los flujos de efectivo relacionados con las futuras renovaciones esperadas de los contratos de seguro no se consideran para determinar el valor razonable de dichos contratos si están fuera del límite del contrato.</t>
  </si>
  <si>
    <t>El enfoque del Grupo para la medición del valor razonable difiere de los requisitos de la NIIF 17 para la medición del cumplimiento de los flujos de efectivo en ciertos aspectos. Estas diferencias dieron lugar a un CSM en la fecha de transición (véanse la Nota 19 C (i)).</t>
  </si>
  <si>
    <t>En particular, al medir el valor razonable, el Grupo:</t>
  </si>
  <si>
    <t>- Considera los flujos de efectivo incluidos en la medición del cumplimiento de los flujos de efectivo, pero los ajusta para reflejar la perspectiva de los participantes del mercado. Por ejemplo, los flujos de efectivo de gastos se incrementan para cubrir un nivel razonable de gastos generales que no son directamente atribuibles al cumplimiento de los contratos de seguro, pero que un participante del mercado que adquiera los contratos esperaría asumir. - Utiliza las tasas de descuento aplicadas para medir el cumplimiento de los flujos de efectivo, pero las incrementa para reflejar el efecto del riesgo de incumplimiento del Grupo; e - Incluye un margen compuesto por una prima de riesgo que refleja lo que los participantes del mercado exigirían como compensación por la incertidumbre inherente a los flujos de efectivo y un margen de beneficio que refleja lo que los participantes del mercado requerirían para asumir las obligaciones de servicio de los contratos de seguro. Al determinar la prima de riesgo, el Grupo contempla ciertos riesgos que no se reflejaron en el cumplimiento de los flujos de efectivo, pero que serían considerados por los participantes del mercado, por ejemplo, el riesgo operacional general.</t>
  </si>
  <si>
    <t>21. Préstamos por pagar</t>
  </si>
  <si>
    <t>La tasa de interés es Prime rate+3% revisable.</t>
  </si>
  <si>
    <t>22. Cuentas por pagar y otras</t>
  </si>
  <si>
    <t>Cuentas por pagar</t>
  </si>
  <si>
    <t>23. Patrimonio</t>
  </si>
  <si>
    <t>Al 31 de diciembre de 2025, el Grupo ha emitido 10,218,363 acciones (2024: 10,349,516 acciones) de las cuales 215,007 acciones (2024: 202,562) se mantienen en tesorería quedando un total de acciones en circulación de 10,146,954 (2024: 10,146,954).</t>
  </si>
  <si>
    <t>### B. Naturaleza y propósito de las reservas</t>
  </si>
  <si>
    <t>#### i. Reserva de conversión de moneda</t>
  </si>
  <si>
    <t>La reserva de conversión comprende todas las diferencias de moneda extranjera derivadas de la conversión de los estados financieros de operaciones en el extranjero.</t>
  </si>
  <si>
    <t>#### ii. Reserva de valor razonable</t>
  </si>
  <si>
    <t>La reserva de valor razonable comprende:</t>
  </si>
  <si>
    <t>- La variación neta acumulada en el valor razonable de los títulos de deuda medidos a FVORI (que se incrementa con el importe de la provisión por pérdidas) hasta que los activos se den de baja o se reclasifiquen; - La variación neta acumulada en el valor razonable de los títulos de patrimonio medidos a FVORI.</t>
  </si>
  <si>
    <t>#### iii. Reserva financiera de seguros</t>
  </si>
  <si>
    <t>La reserva financiera de seguros comprende los ingresos y gastos acumulados de financiación de seguros y reaseguros reconocidos en el ORI.</t>
  </si>
  <si>
    <t>iv. Reservas legales de seguros y reaseguros y de desviación estadística y riesgos catastróficos</t>
  </si>
  <si>
    <t>Estas reservas se basan en requerimientos regulatorios para las operaciones de seguro y reaseguro. A continuación, se presenta una lista de los entes supervisores y documentos emitidos por país que regulan estas reservas:</t>
  </si>
  <si>
    <t>C. Reserva acumulada en ORI, neta de impuesto</t>
  </si>
  <si>
    <t>## Notas a los estados financieros consolidados</t>
  </si>
  <si>
    <t>Los dividendos han sido declarados y pagados por el Grupo:</t>
  </si>
  <si>
    <t>Este monto fue pagadero el día 10 de marzo de 2025, sobre las 4,538,746 acciones que mantiene emitidas y en circulación.</t>
  </si>
  <si>
    <t>## Eventos subsecuentes al cierre</t>
  </si>
  <si>
    <t>La Junta Directiva declaró el 12 de febrero de 2026 un dividendo de US$1.40 por acción, el cual será pagado el 23 de febrero de 2026, a los accionistas registrados al 03 de marzo de 2026.</t>
  </si>
  <si>
    <t>24. Ingreso de seguros</t>
  </si>
  <si>
    <t>La composición de los ingresos de seguros es como se presenta a continuación:</t>
  </si>
  <si>
    <t>[tbl-93.html](tbl-93.html) [tbl-94.html](tbl-94.html)</t>
  </si>
  <si>
    <t>25. Resultado neto por contratos de reaseguro</t>
  </si>
  <si>
    <t>La composición del resultado neto de reaseguros es como se presenta a continuación:</t>
  </si>
  <si>
    <t>[tbl-95.html](tbl-95.html) [tbl-96.html](tbl-96.html)</t>
  </si>
  <si>
    <t>La siguiente tabla analiza el resultado financiero neto del Grupo con cargo a resultados y ORI.</t>
  </si>
  <si>
    <t>(26) Resultado financiero neto</t>
  </si>
  <si>
    <t>B. Ingreso por intereses calculados utilizando el método de interés efectivo</t>
  </si>
  <si>
    <t>C. Otros ingresos por inversiones, neto</t>
  </si>
  <si>
    <t>(27) Gastos por servicio de seguro, generales y administrativos</t>
  </si>
  <si>
    <t>28. Pagos basados en acciones</t>
  </si>
  <si>
    <t>- El plan de opciones le concede al personal clave de la gerencia el derecho de ejercer cada adjudicación a partir del primer aniversario de cada atribución, en cinco partidas de 15% los primeros tres años, 25% el cuarto año y 30% el quinto año ejercibles hasta por un período de diez años a partir de la fecha de cada adjudicación. Al 31 de diciembre de 2025 se han celebrado contratos de atribución netas con colaboradores bajo este programa por 109,804 (2024: 109,804) opciones netas de renuncias o despidos y el personal clave de la gerencia ha ejercido 64,971 (2024: 31,560) opciones disponibles para ejercer.</t>
  </si>
  <si>
    <t>- El plan de concesión de acciones otorga al personal clave de la gerencia el beneficio de recibir hasta una cantidad fija de acciones comunes del capital social de Grupo ASSA, S. A. atribuidas anualmente por un período de hasta cinco años. Cada atribución será adjudicada a partir de su primer aniversario, en cinco partidas de 15% los primeros tres años, 25% el cuarto año y 30% el quinto año. Bajo esta modalidad, el Grupo otorga la adjudicación sin requerir un aporte por parte del participante. Al 31 de diciembre de 2025, se han celebrado contratos de atribución netas de concesiones por 31,816 (2024: 31,816) acciones netas de renuncias o despidos, de las cuales ya fueron adjudicadas y ejercidas 31,816 acciones (2024: 31,816).</t>
  </si>
  <si>
    <t>El 2 de junio de 2021, la Asamblea General de Accionistas de Grupo ASSA, S. A., con previa aprobación de la Junta Directiva de Grupo ASSA, S. A. autorizó la emisión de hasta 150,000 acciones comunes sin valor nominal, según lo disponga la Junta Directiva de ASSA Compañía Tenedora, S. A., a través de su Comité de Compensación, el cual determinará las condiciones convenientes para el personal de alto nivel de jerarquía elegibles. El nuevo plan tendrá vigencia de cinco años a partir de mayo de 2021, cuya primera atribución se entregó en enero de 2022, con efectividad retroactiva a dicho período y consta de dos modalidades:</t>
  </si>
  <si>
    <t>Al 31 de diciembre de 2025, el Grupo reportó un movimiento en las atribuciones otorgadas bajo el plan de opciones por -US$2,009,324 (31-dic-2024: US$467,692).</t>
  </si>
  <si>
    <t>Los movimientos en el patrimonio para pago basado en acciones vigentes son los siguientes:</t>
  </si>
  <si>
    <t>El número y los precios de ejercicio promedio ponderados de las opciones de acciones bajo los programas se presentan a continuación:</t>
  </si>
  <si>
    <t>Plan 2010 – 2015</t>
  </si>
  <si>
    <t>29. Impuesto a las ganancias</t>
  </si>
  <si>
    <t>Las declaraciones del impuesto sobre la renta de las compañías en Panamá están sujetas a revisión por las autoridades fiscales por los últimos tres años, según regulaciones fiscales vigentes, incluyendo el año terminado el 31 de diciembre de 2024. Además, los registros de las compañías pueden estar sujetos a examen por las autoridades fiscales para determinar el cumplimiento con la ley del impuesto de timbres, del impuesto de transferencia de bienes muebles y servicios, del impuesto de transferencia de bienes y prestación de servicios, de primas emitidas y primas brutas pagadas.</t>
  </si>
  <si>
    <t>El monto del impuesto sobre la renta, aplicable estimado a pagar es de US$12,129,240 (2024: US$11,985,312).</t>
  </si>
  <si>
    <t>La conciliación entre la tasa estatutaria con la tasa efectiva del gasto por impuesto sobre la renta, como un porcentaje de la utilidad antes del impuesto sobre la renta se detalla a continuación:</t>
  </si>
  <si>
    <t>tbl-109.html</t>
  </si>
  <si>
    <t>[tbl-109.html](tbl-109.html)</t>
  </si>
  <si>
    <t>## Impuesto diferido pasivo no reconocido</t>
  </si>
  <si>
    <t>Al 31 de diciembre de 2025, el Grupo determinó un impuesto diferido pasivo por US$25,836,581 (2024: US$22,490,161) derivado de diferencias temporales relacionadas a su inversión en subsidiarias. No obstante, el pasivo no fue reconocido en libros considerando que la controladora administra la política de dividendos de las subsidiarias y, por lo tanto, es capaz de ejercer control sobre el momento en que se producirá la reversión de la diferencia temporaria. La Administración estima que dicha diferencia no se revertirá en futuro previsible.</t>
  </si>
  <si>
    <t>## Incertidumbre frente a los tratamientos del impuesto a las ganancias</t>
  </si>
  <si>
    <t>Al 31 de diciembre de 2024, ASSA Compañía de Seguros, S.A. en Costa Rica reconoció un pasivo por US$59,305 (2024: US$725,669) relacionado a proceso judicial que mantiene abierto frente a la Dirección Tributaria. Dicho monto fue reconocido dado que la subsidiaria considera que, a pesar de que espera llegar hasta las últimas instancias en el proceso, existe una alta probabilidad que el fallo sea a favor.</t>
  </si>
  <si>
    <t>## Precios de transferencia</t>
  </si>
  <si>
    <t>El Grupo está sujeto a las disposiciones de precios de transferencia vigentes en las jurisdicciones donde opera, aplicables a las transacciones realizadas con partes relacionadas, tanto locales como del exterior. En este sentido, el Grupo evalúa dichas transacciones con el propósito de que se realicen en condiciones de mercado, de conformidad con el principio de plena competencia establecido en la legislación de cada jurisdicción.</t>
  </si>
  <si>
    <t>Para sustentar el tratamiento fiscal aplicado, la Compañía mantiene documentación de precios de transferencia basada en información razonable y justificable disponible, consistente con la naturaleza de las operaciones realizadas y las condiciones del mercado al momento en que estas se llevan a cabo. Las transacciones con partes relacionadas pueden estar sujetas a revisión por parte de las autoridades fiscales dentro de los plazos legales establecidos.</t>
  </si>
  <si>
    <t>### Utilidad básica por acción común</t>
  </si>
  <si>
    <t>El cálculo de la utilidad por acción común está basado en la utilidad neta correspondiente a los accionistas comunes mayoritarios por US$161,937,786 (2024: US$120,107,190), dividida entre el número promedio ponderado de acciones en circulación durante el período por 10,187,130 acciones (2024: 10,156,284).</t>
  </si>
  <si>
    <t>tbl-110.html</t>
  </si>
  <si>
    <t>[tbl-110.html](tbl-110.html)</t>
  </si>
  <si>
    <t>### Utilidad diluida por acción</t>
  </si>
  <si>
    <t>El cálculo de la utilidad diluida se basó en la utilidad atribuible a los accionistas mayoritarios, menos dividendos pagados sobre acciones preferidas, y el promedio ponderado del número de acciones vigentes después de los ajustes por los efectos de las opciones de acciones de empleados.</t>
  </si>
  <si>
    <t>tbl-111.html</t>
  </si>
  <si>
    <t>[tbl-111.html](tbl-111.html)</t>
  </si>
  <si>
    <t>30</t>
  </si>
  <si>
    <t>30. Compromisos y contingencias</t>
  </si>
  <si>
    <t>Dentro del curso ordinario de los negocios de seguros, el Grupo está involucrado en varias reclamaciones legales, para los cuales, al 31 de diciembre de 2025, mantiene una provisión de US$9,274,639 (31-dic-2024: US$25,206,847).</t>
  </si>
  <si>
    <t>La administración, teniendo en cuenta la opinión de sus asesores legales, considera que, a la fecha, las demandas interpuestas no presentan fundamentos suficientes que afecten la posición del Grupo, por lo que estima que prevalecerá en la defensa de estos casos.</t>
  </si>
  <si>
    <t>31. Partes relacionadas</t>
  </si>
  <si>
    <t>El estado de situación financiero y el estado de resultados incluyen saldos y transacciones con partes relacionadas, las cuales se resumen así:</t>
  </si>
  <si>
    <t>### (a) Transacciones con personal clave de gerencia</t>
  </si>
  <si>
    <t>- Primas suscritas a directores y personal clave de gerencia Dentro del giro normal del negocio, directores y personal clave de gerencia han suscrito pólizas a nombre propio por la suma de US$221,411 (2024: US$200,386) en condiciones similares a las que se pactan con terceros no vinculados al Grupo.</t>
  </si>
  <si>
    <t>Durante el año se han pagado reclamos sobre estas pólizas por US$231,824(2024: US$130.405).</t>
  </si>
  <si>
    <t>Algunos ejecutivos del personal clave de la gerencia del Grupo participan en un programa de opción de compra de acciones y de concesión de acciones ("grants") de la compañía tenedora final (ver nota 25).</t>
  </si>
  <si>
    <t>Las transacciones del personal clave de gerencia, directores están compuestas por dietas, salarios y otras remuneraciones y ascienden a US$7,502,685 (2024: US$7,445,656) (ver nota 24).</t>
  </si>
  <si>
    <t>## (b) Saldos con compañías relacionadas y afiliadas</t>
  </si>
  <si>
    <t>Los saldos con las partes relacionadas y afiliadas se detallan de la siguiente manera:</t>
  </si>
  <si>
    <t>tbl-112.html</t>
  </si>
  <si>
    <t>[tbl-112.html](tbl-112.html)</t>
  </si>
  <si>
    <t>## (c) Transacciones con compañías relacionadas y afiliadas</t>
  </si>
  <si>
    <t>Las transacciones con compañías relacionadas y afiliadas se detallan de la siguiente manera:</t>
  </si>
  <si>
    <t>tbl-113.html</t>
  </si>
  <si>
    <t>[tbl-113.html](tbl-113.html)</t>
  </si>
  <si>
    <t>El Grupo, dentro del giro normal del negocio, vende productos de seguros y obtiene reaseguros de algunas compañías relacionadas, pagando igualmente cualquier reclamo. Los términos y condiciones de estas transacciones no han sido más favorables que aquellos que se pudiera razonablemente esperar que estuvieran disponibles, en transacciones similares, a entidades no relacionadas, sobre la base de libre competencia.</t>
  </si>
  <si>
    <t>32. Reclasificaciones y correcciones de errores no materiales</t>
  </si>
  <si>
    <t>Durante el año terminado el 31 de diciembre de 2024, se realizaron reclasificaciones con el propósito de uniformar la presentación de los saldos de 2024 de las reservas patrimoniales con la presentación adoptada en los estados financieros consolidados de 2025. Asimismo, se efectuaron correcciones de errores no materiales en el saldo de la participación no controladora.</t>
  </si>
  <si>
    <t>Las reclasificaciones principalmente consisten en agrupar las reservas presentadas en el patrimonio en una sola línea del estado consolidado de situación financiera y reconocer la nueva reserva financiera de seguros. Algunos de los montos reclasificados tuvieron efecto en la participación no controladora. El monto total de la reclasificación fue de US$7,387,979 entre la reserva de conversión de moneda extranjera y la reserva de riesgos catastrófico.</t>
  </si>
  <si>
    <t>Se reconoció una corrección de error no material del saldo de la participación no controladora por US$20,888,460, mediante ajuste contra utilidades no distribuidas disponibles y la reserva de conversión de moneda extranjera.</t>
  </si>
  <si>
    <t>33. Operación descontinuada</t>
  </si>
  <si>
    <t>El Grupo notificó el 11 de septiembre de 2025 a la Superintendencia del Mercado de Valores la venta de su participación accionaria en La Hipotecaria (Holding), Inc. ("La Hipotecaria"), compañía tenedora de Banco La Hipotecaria, S.A. y otras subsidiarias, a Inversiones Cuscatlán Centroamérica, S.A. Grupo ASSA, S.A. poseía el 78.3% de La Hipotecaria, Inversiones Americana, S.A 19.3% y otros accionistas minoritarios el 2.4% restante.</t>
  </si>
  <si>
    <t>Esta transacción fue divulgada el 17 de diciembre de 2024 al público inversionista, mediante un comunicado de hecho de importancia.</t>
  </si>
  <si>
    <t>A continuación, presentamos información financiera de Hipotecaria (Holding), Inc. Al 31 de agosto de 2025 y por el periodo de ocho meses terminado en esa fecha:</t>
  </si>
  <si>
    <t>A. Resultados de Operación descontinuada</t>
  </si>
  <si>
    <t>tbl-114.html</t>
  </si>
  <si>
    <t>[tbl-114.html](tbl-114.html)</t>
  </si>
  <si>
    <t>B. Flujos de efectivo provisto por (usado en) operaciones descontinuadas</t>
  </si>
  <si>
    <t>tbl-115.html</t>
  </si>
  <si>
    <t>[tbl-115.html](tbl-115.html)</t>
  </si>
  <si>
    <t>C. Efecto de la disposición de la subsidiaria en la situación financiera consolidada del Grupo al 31 de agosto de 2025</t>
  </si>
  <si>
    <t>tbl-116.html</t>
  </si>
  <si>
    <t>[tbl-116.html](tbl-116.html)</t>
  </si>
  <si>
    <t>## Operaciones descontinuadas Grupo BDF, S.A.</t>
  </si>
  <si>
    <t>## A. Resultados de Operación descontinuada</t>
  </si>
  <si>
    <t>tbl-117.html</t>
  </si>
  <si>
    <t>[tbl-117.html](tbl-117.html)</t>
  </si>
  <si>
    <t>## B. Flujos de efectivos procedentes de (usado en) operación descontinuada</t>
  </si>
  <si>
    <t>tbl-118.html</t>
  </si>
  <si>
    <t>[tbl-118.html](tbl-118.html)</t>
  </si>
  <si>
    <t>## C. Efecto de la disposición de la subsidiaria en la situación financiera consolidada del Grupo al 1 de agosto de 2024</t>
  </si>
  <si>
    <t>tbl-119.html</t>
  </si>
  <si>
    <t>[tbl-119.html](tbl-119.html)</t>
  </si>
  <si>
    <t>En la Ciudad de Panamá, Capital de la República y Cabecera del Circuito Notarial del mismo nombre a los doce (12) días del mes de mayo del dos mil veintiséis (2026), ante mí, **SOUHAIL MUSBAH HALWANY CIGARRUISTA, NOTARIO PÚBLICO DUODÉCIMO DEL CIRCUITO DE PANAMÁ**, con cédula de identidad personal número ocho—setecientos veintidós—dos mil ciento veinticinco (8-722-2125), a solicitud de los señores **STANLEY ALBERTO MOTTA CUNNINGHAN**, portador de la cédula de identidad personal número ocho—doscientos diecinueve— mil setecientos dieciocho (8-219-1718); **LORENZO ROMAGOSA LASSEN**, portador de la cédula de identidad personal número ocho—doscientos cuatro— mil ochocientos noventa y uno (8-204-1891), actuando como Presidente titular y Tesorero respectivamente, de la Junta Directiva de Grupo ASSA, S. A., inscrita en la Ficha once mil setecientos veintitrés (11723), Rollo cuatrocientos noventa y uno (491), Imagen tres (3) de la Sección de Micropelículas Mercantil del Registro Público de la República de Panamá y **EDUARDO JOSÉ FÁBREGA ALEMÁN**, portador de la cédula de identidad personal número ocho—trescientos ochenta y nueve— setecientos veintisiete (8-389-727) y **KAREN IVETT DUEÑAS DOMINGUEZ**, portador de la cédula de identidad personal número ocho—cuatrocientos noventa— setecientos cuarenta y seis (8-490-746) en calidad ambos de Presidente Ejecutivo y Vicepresidente de Finanzas respectivamente de ASSA Compañía de Seguros, S. A., sociedad anónima establecida en la República de P</t>
  </si>
  <si>
    <t xml:space="preserve">Nosotros, Stanley Alberto Motta Cunningham, portador de la cédula de identidad personal número ocho- doscientos diecinueve- mil setecientos dieciocho (8-219-1718); Lorenzo Romagosa Lassen, portador de la cédula de identidad personal número ocho- doscientos cuatro- mil ochocientos noventa y uno (8-204-1891), actuando como Presidente titular y Tesorero respectivamente, de la Junta Directiva de Grupo ASSA, S. A., inscrita en la Ficha once mil setecientos veintitrés (11723), Rollo cuatrocientos noventa y uno (491), Imagen tres (3) de la Sección de Micropelículas Mercantil del Registro Público de la República de Panamá y Eduardo José Fábrega Alemán, portador de la cédula de identidad personal número ocho- trescientos ochenta y nueve – setecientos veintisiete (8-389-727) y Karen Ivett Dueñas Dominguez, portadora de la cédula de identidad personal número ocho- cuatrocientos noventa – setecientos cuarenta y seis (8-490-746) en calidad ambos de Presidente Ejecutivo y Vicepresidente de Finanzas respectivamente de ASSA Compañía de Seguros, S. A., sociedad anónima establecida en la República de Panamá y debidamente inscrita en la Ficha cincuenta y tres mil seiscientos cincuenta y nueve (53659), Rollo tres mil setecientos veinticuatro (3724), Imagen ciento tres (103), de la Sección de Micropelículas Mercantil del Registro Público de la República de Panamá, subsidiaria de ASSA Compañía Tenedora S. A., que a su vez es la subsidiaria principal de Grupo ASSA, S. A., todos con domicilio legal </t>
  </si>
  <si>
    <t>**PRIMERO:** Que cada uno de los declarantes y firmantes del presente instrumento legal, han leído y revisado el Estado Financiero Anual correspondiente al cierre al treinta y uno (31) de diciembre de dos mil veinticinco (2025).</t>
  </si>
  <si>
    <t>**SEGUNDO:** Que a nuestro juicio, el Estado Financiero Anual correspondiente al cierre al treinta y uno (31) de diciembre de dos mil veinticinco (2025), no contiene informaciones o declaraciones falsas sobre hechos de importancia, ni omiten información sobre hechos de</t>
  </si>
  <si>
    <t>**TERCERO:** Que a nuestro juicio los Estados Financieros Anuales al cierre al treinta y uno (31) de diciembre de dos mil veinticinco (2025) y cualquier otra información financiera incluida en los mismos, representan razonablemente en todos sus aspectos la condición financiera y los resultados de las operaciones de Grupo ASSA, S. A. y Subsidiarias para el período terminado el treinta y uno (31) de diciembre de dos mil veinticinco (2025).</t>
  </si>
  <si>
    <t>**CUARTO:** Que los firmantes del presente instrumento legal, declaran entender y conocer que: a) Son responsables del establecimiento y mantenimiento de controles internos en la empresa. b) Hemos diseñado los mecanismos de control interno que garanticen que toda la información de importancia sobre Grupo ASSA, S. A. y sus subsidiarias consolidadas, sean hechas de su conocimiento, particularmente durante el período en el que los reportes han sido preparados. c) Hemos evaluado la efectividad de los controles internos de la empresa dentro de los noventa (90) días previos a la emisión de los Estados Financieros. d) Hemos presentado en los Estados Financieros nuestras conclusiones sobre la efectividad de los controles internos con base en las evaluaciones efectuadas a esa fecha.</t>
  </si>
  <si>
    <t>**QUINTO:** Que cada uno de los firmantes ha revelado a los auditores de la empresa y al Comité de Auditoría lo siguiente: a) Todas las deficiencias significativas que surjan en el marco del diseño y operación de los controles internos, que puedan afectar negativamente la capacidad de la empresa para registrar, procesar y reportar información financiera, e indicado a los auditores cualquier debilidad existente en los controles internos. b) Cualquier fraude, de importancia o no, que involucre a la administración u otros empleados que ejerzan un rol significativo en la ejecución de los controles internos de la empresa. c) Que cada uno de los firmantes ha revelado a los auditores externos la existencia o no de cambios significativos en los controles internos de la empresa o cualesquiera otros factores que puedan afectar en forma importante tales controles con posterioridad a la fecha de su evaluación, incluyendo la formulación de acciones correctivas con respecto a deficiencias o debilidades de importancia dentro de la empresa.</t>
  </si>
  <si>
    <t>Para constancia, se firma la presente Declaración Notarial Jurada, en presencia de los testigos instrumentales: **ERICK ANTONIO BARCIELA CHAMBERS**, con cédula de identidad personal número ocho- setecientos once- seiscientos noventa y cuatro (8-711-694), y **SELIDETH EMELINA DE LEON CARRASCO**, con cédula de identidad personal número seis- cincuenta y nueve- ciento cuarenta y siete (6-59-147), mayores de edad, panameñas y vecinas de esta ciudad, personas a quienes conozco y son hábiles para el cargo, la encontraron conforme, le impartieron su aprobación y la firman todos para constancia, por ante mí, el Notario que doy fe, a quienes conozco y son hábiles para el cargo.</t>
  </si>
  <si>
    <t>**STANLEY A. MOTTA CUNNINGHAN** Presidente GRUPO ASSA, S. A.</t>
  </si>
  <si>
    <t>**LORENZO ROMAGOSA LASSEN** Tesorero GRUPO ASSA, S. A.</t>
  </si>
  <si>
    <t>**EDUARDO J. FÁBREGA ALEMÁN** Presidente Ejecutivo ASSA COMPAÑÍA DE SEGUROS, S. A.</t>
  </si>
  <si>
    <t>**KAREÑ I. DUEÑAS DOMINGUEZ** Vicepresidenta Ejecutiva de Finanzas ASSA COMPAÑÍA DE SEGUROS, S. A.</t>
  </si>
  <si>
    <t>**ERICK ANTONIO BARCIELA CHAMBERS** Cédula número 8-711-694</t>
  </si>
  <si>
    <t>**SELIDETH EMELINA DE LEON CARRASCO** Cédula número 6-59-147</t>
  </si>
  <si>
    <t>tbl-35.md</t>
  </si>
  <si>
    <t>Seguros — concentración por ramo</t>
  </si>
  <si>
    <t>Accidentes personales</t>
  </si>
  <si>
    <t>Prima suscrita (neta de reaseguro) por ramo — ii. Concentraciones del riesgo de suscripción: Accidentes personales, 2025</t>
  </si>
  <si>
    <t>31 de diciembre de 2025</t>
  </si>
  <si>
    <t>Driver YoY por ramo (Supuestos, sección Primas por ramo)</t>
  </si>
  <si>
    <t>Premiums_Claims referencia esta fila (histórico verde)</t>
  </si>
  <si>
    <t>Prima suscrita (neta de reaseguro) por ramo — ii. Concentraciones del riesgo de suscripción: Accidentes personales, 2024</t>
  </si>
  <si>
    <t>31 de diciembre de 2024</t>
  </si>
  <si>
    <t>Comparativo 2024 re-expresado NIIF 17 del filing 2025.</t>
  </si>
  <si>
    <t>Automóvil</t>
  </si>
  <si>
    <t>Prima suscrita (neta de reaseguro) por ramo — ii. Concentraciones del riesgo de suscripción: Automóvil, 2025</t>
  </si>
  <si>
    <t>Prima suscrita (neta de reaseguro) por ramo — ii. Concentraciones del riesgo de suscripción: Automóvil, 2024</t>
  </si>
  <si>
    <t>Casco</t>
  </si>
  <si>
    <t>Prima suscrita (neta de reaseguro) por ramo — ii. Concentraciones del riesgo de suscripción: Casco, 2025</t>
  </si>
  <si>
    <t>Prima suscrita (neta de reaseguro) por ramo — ii. Concentraciones del riesgo de suscripción: Casco, 2024</t>
  </si>
  <si>
    <t>Colectivo de vida</t>
  </si>
  <si>
    <t>Prima suscrita (neta de reaseguro) por ramo — ii. Concentraciones del riesgo de suscripción: Colectivo de vida, 2025</t>
  </si>
  <si>
    <t>Prima suscrita (neta de reaseguro) por ramo — ii. Concentraciones del riesgo de suscripción: Colectivo de vida, 2024</t>
  </si>
  <si>
    <t>Fianzas</t>
  </si>
  <si>
    <t>Prima suscrita (neta de reaseguro) por ramo — ii. Concentraciones del riesgo de suscripción: Fianzas, 2025</t>
  </si>
  <si>
    <t>Prima suscrita (neta de reaseguro) por ramo — ii. Concentraciones del riesgo de suscripción: Fianzas, 2024</t>
  </si>
  <si>
    <t>Fidelidad</t>
  </si>
  <si>
    <t>Prima suscrita (neta de reaseguro) por ramo — ii. Concentraciones del riesgo de suscripción: Fidelidad, 2025</t>
  </si>
  <si>
    <t>Prima suscrita (neta de reaseguro) por ramo — ii. Concentraciones del riesgo de suscripción: Fidelidad, 2024</t>
  </si>
  <si>
    <t>Incendio</t>
  </si>
  <si>
    <t>Prima suscrita (neta de reaseguro) por ramo — ii. Concentraciones del riesgo de suscripción: Incendio, 2025</t>
  </si>
  <si>
    <t>Prima suscrita (neta de reaseguro) por ramo — ii. Concentraciones del riesgo de suscripción: Incendio, 2024</t>
  </si>
  <si>
    <t>Responsabilidad civil</t>
  </si>
  <si>
    <t>Prima suscrita (neta de reaseguro) por ramo — ii. Concentraciones del riesgo de suscripción: Responsabilidad civil, 2025</t>
  </si>
  <si>
    <t>Prima suscrita (neta de reaseguro) por ramo — ii. Concentraciones del riesgo de suscripción: Responsabilidad civil, 2024</t>
  </si>
  <si>
    <t>Riesgos diversos</t>
  </si>
  <si>
    <t>Prima suscrita (neta de reaseguro) por ramo — ii. Concentraciones del riesgo de suscripción: Riesgos diversos, 2025</t>
  </si>
  <si>
    <t>Prima suscrita (neta de reaseguro) por ramo — ii. Concentraciones del riesgo de suscripción: Riesgos diversos, 2024</t>
  </si>
  <si>
    <t>Salud</t>
  </si>
  <si>
    <t>Prima suscrita (neta de reaseguro) por ramo — ii. Concentraciones del riesgo de suscripción: Salud, 2025</t>
  </si>
  <si>
    <t>Prima suscrita (neta de reaseguro) por ramo — ii. Concentraciones del riesgo de suscripción: Salud, 2024</t>
  </si>
  <si>
    <t>Seguros técnicos</t>
  </si>
  <si>
    <t>Prima suscrita (neta de reaseguro) por ramo — ii. Concentraciones del riesgo de suscripción: Seguros técnicos, 2025</t>
  </si>
  <si>
    <t>Prima suscrita (neta de reaseguro) por ramo — ii. Concentraciones del riesgo de suscripción: Seguros técnicos, 2024</t>
  </si>
  <si>
    <t>Autoexpedibles y otros</t>
  </si>
  <si>
    <t>Prima suscrita (neta de reaseguro) por ramo — ii. Concentraciones del riesgo de suscripción: Autoexpedibles y otros, 2025</t>
  </si>
  <si>
    <t>Prima suscrita (neta de reaseguro) por ramo — ii. Concentraciones del riesgo de suscripción: Autoexpedibles y otros, 2024</t>
  </si>
  <si>
    <t>Total primas suscritas netas de reaseguro</t>
  </si>
  <si>
    <t>Prima suscrita (neta de reaseguro) por ramo — ii. Concentraciones del riesgo de suscripción: Total primas suscritas netas de reaseguro, 2025</t>
  </si>
  <si>
    <t>Prima suscrita (neta de reaseguro) por ramo — ii. Concentraciones del riesgo de suscripción: Total primas suscritas netas de reaseguro, 2024</t>
  </si>
  <si>
    <t>Puente_NIIF17 — conciliación del cambio de base contable: base regulatoria SSRP / NIIF excepto NIIF 17 (FY2021A–FY2024A) → Normas NIIF plenas con NIIF 17 (FY2024A re-expresado · FY2025A)</t>
  </si>
  <si>
    <t>Transición: 1 de enero de 2024 (NIIF 1 primera adopción + NIIF 17; Acuerdo 01-2024 SSRP). El filing 2025A no publica el impacto partida por partida (Nota 5): el efecto se revela en el estado de cambios en el patrimonio.</t>
  </si>
  <si>
    <t>Fuentes verbatim del mirror OCR: filing 2024A (base vieja) · filing 2025A (re-expresado). Azul = cifra publicada verbatim; negro = conciliación local (esperado 0).</t>
  </si>
  <si>
    <t>Agregados FY2024A en las dos bases contables</t>
  </si>
  <si>
    <t>Base SSRP (filing 2024A)</t>
  </si>
  <si>
    <t>NIIF 17 re-expresado (filing 2025A)</t>
  </si>
  <si>
    <t>Δ (NIIF 17 − SSRP)</t>
  </si>
  <si>
    <t>Utilidad neta, antes de operación descontinuada</t>
  </si>
  <si>
    <t>Verificación local: Δ activos − Δ pasivos − Δ patrimonio (esperado 0)</t>
  </si>
  <si>
    <t>Conciliación del patrimonio — transición al 1 de enero de 2024</t>
  </si>
  <si>
    <t>Total de patrimonio (US$)</t>
  </si>
  <si>
    <t>Saldo al 1 de enero de 2024, previamente reportado</t>
  </si>
  <si>
    <t>Ajuste por aplicación inicial de la NIIF 17, neto de impuesto</t>
  </si>
  <si>
    <t>Corrección de error no material y otros ajustes</t>
  </si>
  <si>
    <t>Saldo re-expresado al 1 de enero de 2024</t>
  </si>
  <si>
    <t>Verificación local: reportado + ajustes − re-expresado (esperado 0)</t>
  </si>
  <si>
    <t>Amarre base vieja: Total de patrimonio al 31-dic-2023 (filing 2024A)</t>
  </si>
  <si>
    <t>Verificación local: amarre base vieja − previamente reportado (esperado 0)</t>
  </si>
  <si>
    <t>Rodamiento re-expresado del patrimonio FY2024 (NIIF 17)</t>
  </si>
  <si>
    <t>Saldo re-expresado al 1 de enero de 2024 (apertura)</t>
  </si>
  <si>
    <t>Total de resultados integrales re-expresados</t>
  </si>
  <si>
    <t>Reclasificación de reservas y asignaciones</t>
  </si>
  <si>
    <t>Transacciones con accionistas y cambios en participaciones en subsidiarias</t>
  </si>
  <si>
    <t>Saldo al 31 de diciembre de 2024 (NIIF 17 re-expresado)</t>
  </si>
  <si>
    <t>Verificación local: apertura + movimientos − cierre (esperado 0)</t>
  </si>
  <si>
    <t>Nota: el detalle por participación (controladora / no controladora) está en el estado consolidado de cambios en el patrimonio del filing 2025A; este puente concilia la columna Total de patrimonio.</t>
  </si>
  <si>
    <t>Serie comparable del analista: ver ModeloFinanciero (banderas NOT_COMPARABLE donde la línea no existe en ambas bases).</t>
  </si>
  <si>
    <t>Premiums_Claims — puente de base contable + prima por ramo + resultado de servicio NIIF 17</t>
  </si>
  <si>
    <t>Fuente: EEFF (mirror congelado) + mirror OCR ASSA 2025 (tbl-35, Nota concentracion de riesgo de suscripcion). Ver flags[] para vacios de fuente.</t>
  </si>
  <si>
    <t>A. ACCOUNTING_BASIS — puente base legacy (NIIF excepto NIIF 17) -&gt; NIIF 17 re-expresado</t>
  </si>
  <si>
    <t xml:space="preserve">  Fuente: SSRP diferio NIIF 17 a 1-ene-2025; FY21-FY23 base legacy Panama/NIIF-excepto-NIIF17, FY24-FY25 re-expresadas bajo NIIF 17 (OCR text lines 452-464).</t>
  </si>
  <si>
    <t xml:space="preserve">  FY26-FY30 forecast se modela 100% en base NIIF 17 (Seccion C); no se produce un forecast de primas legacy — por construccion, ambas bases no pueden mezclarse en el horizonte de proyeccion.</t>
  </si>
  <si>
    <t xml:space="preserve">  Total de primas netas retenidas — base legacy (ref EEFF, FY21-FY23)</t>
  </si>
  <si>
    <t xml:space="preserve">  Ingresos por servicios de seguro — base NIIF 17 (ref EEFF, FY24-FY25)</t>
  </si>
  <si>
    <t xml:space="preserve">  CHECK ACCOUNTING_BASIS_SWITCH_TIE (1=bases mezcladas en el mismo ano historico, esperado 0 en B:F)</t>
  </si>
  <si>
    <t xml:space="preserve">  G:K (forecast) no aplica a este check: no existe fila de primas legacy proyectada (ver nota arriba).</t>
  </si>
  <si>
    <t>B. PREMIUM_BUILD — prima suscrita neta de reaseguro por ramo (concentracion de riesgo de suscripcion)</t>
  </si>
  <si>
    <t xml:space="preserve">  Fuente verbatim: INA_ASSA_2025_0.pdf p.96 (prima suscrita neta de reaseguro por ramo, concentracion del riesgo de suscripcion). Solo FY24-FY25 divulgados por ramo; FY21-FY23 NOT_DISCLOSED a nivel de ramo.</t>
  </si>
  <si>
    <t xml:space="preserve">  BASE_DISTINTA: este total (prima suscrita neta de reaseguro por ramo) NO es la misma base que 'Ingresos por servicios de seguro' NIIF 17 consolidado (Seccion C) — alcance/base distintos (posible sub-segmento de riesgo de suscripcion vs. grupo consolidado, incl. vida en Centroamerica). No se fuerza una conciliacion 1:1 no divulgada.</t>
  </si>
  <si>
    <t xml:space="preserve">  Accidentes personales</t>
  </si>
  <si>
    <t xml:space="preserve">  Automóvil</t>
  </si>
  <si>
    <t xml:space="preserve">  Casco</t>
  </si>
  <si>
    <t xml:space="preserve">  Colectivo de vida</t>
  </si>
  <si>
    <t xml:space="preserve">  Fianzas</t>
  </si>
  <si>
    <t xml:space="preserve">  Fidelidad</t>
  </si>
  <si>
    <t xml:space="preserve">  Incendio</t>
  </si>
  <si>
    <t xml:space="preserve">  Responsabilidad civil</t>
  </si>
  <si>
    <t xml:space="preserve">  Riesgos diversos</t>
  </si>
  <si>
    <t xml:space="preserve">  Salud</t>
  </si>
  <si>
    <t xml:space="preserve">  Seguros técnicos</t>
  </si>
  <si>
    <t xml:space="preserve">  Autoexpedibles y otros</t>
  </si>
  <si>
    <t xml:space="preserve">  Forecast por ramo = driver de escenario por ramo en Supuestos (sección D) — histórico referencia el ledger Notas_EEFF (Nota 10.ii, tbl-35)</t>
  </si>
  <si>
    <t xml:space="preserve">  Total prima suscrita neta de reaseguro (Sigma ramos)</t>
  </si>
  <si>
    <t xml:space="preserve">  Total per filing (verbatim tie, tbl-35)</t>
  </si>
  <si>
    <t xml:space="preserve">  CHECK INSURANCE_PREMIUM_DRIVER_TIE (Sigma ramos - total verbatim tbl-35, esperado 0 en FY24/FY25)</t>
  </si>
  <si>
    <t>C. INSURANCE_SERVICE_RESULT + CLAIMS_SERVICE_EXPENSE (NIIF 17, EEFF filas 42-52)</t>
  </si>
  <si>
    <t xml:space="preserve">  Fuente: EEFF (mirror congelado) filas Ingresos/Gastos por servicios de seguro, Resultados netos de contratos de reaseguro, Retorno de las inversiones, Resultado financiero neto (OCR text lines 248-258).</t>
  </si>
  <si>
    <t xml:space="preserve">  Ingresos por servicios de seguro</t>
  </si>
  <si>
    <t xml:space="preserve">  Gastos por servicios de seguro</t>
  </si>
  <si>
    <t xml:space="preserve">  Resultados netos de contratos de reaseguro</t>
  </si>
  <si>
    <t xml:space="preserve">  Resultado del servicio de seguro (computado = suma de las 3 lineas anteriores)</t>
  </si>
  <si>
    <t xml:space="preserve">  Resultado del servicio de seguro (EEFF, subtotal auditado)</t>
  </si>
  <si>
    <t xml:space="preserve">  CHECK IFRS17_SERVICE_RESULT_TIE (computado - EEFF subtotal, esperado 0 FY24/FY25)</t>
  </si>
  <si>
    <t xml:space="preserve">  Ingresos por interes (metodo interes efectivo)</t>
  </si>
  <si>
    <t xml:space="preserve">  Otros ingresos por inversiones</t>
  </si>
  <si>
    <t xml:space="preserve">  Perdida neta por deterioro de activos financieros</t>
  </si>
  <si>
    <t xml:space="preserve">  Retorno de las inversiones (computado)</t>
  </si>
  <si>
    <t xml:space="preserve">  Retorno de las inversiones (EEFF, subtotal auditado)</t>
  </si>
  <si>
    <t xml:space="preserve">  Gastos financieros netos de contratos de seguro</t>
  </si>
  <si>
    <t xml:space="preserve">  Ingresos financieros netos de contratos de reaseguro</t>
  </si>
  <si>
    <t xml:space="preserve">  Resultado financiero, neto (computado = inversiones + finanzas seguro + finanzas reaseguro)</t>
  </si>
  <si>
    <t xml:space="preserve">  Resultado financiero, neto (EEFF, subtotal auditado)</t>
  </si>
  <si>
    <t xml:space="preserve">  CHECK IFRS17_FINANCE_RESULT_TIE (computado - EEFF subtotal, esperado 0 FY24/FY25)</t>
  </si>
  <si>
    <t xml:space="preserve">  FORECAST FY26-FY30 (base NIIF 17 unicamente — ver Accounting_Basis)</t>
  </si>
  <si>
    <t xml:space="preserve">  LIMITED_HISTORY: solo 2 anos NIIF17 divulgados (FY24-FY25). Ingresos forecast = ano previo x (1 + Supuestos!fila 11 driver activo, escenario-aware); gastos de servicio = ingresos x Supuestos!fila 19 (ratio negativo); ratio de reaseguro se mantiene plano al nivel FY25 (RATIO_HELD_FLAT_FY25, driver local a esta hoja).</t>
  </si>
  <si>
    <t>D. COMBINED_RATIO — bases explicitas, NO mezcladas (legacy FY21-FY23 vs NIIF17 FY24-FY30)</t>
  </si>
  <si>
    <t xml:space="preserve">  Combined ratio legacy (=|claims+adq+ECL| / primas netas ganadas, FY21-FY23 solamente)</t>
  </si>
  <si>
    <t xml:space="preserve">  N/A FY24-FY30: base legacy se retira (SSRP adopta NIIF 17 desde 1-ene-2025); ver seccion C para la base NIIF 17.</t>
  </si>
  <si>
    <t xml:space="preserve">  Ratio de gasto de servicio NIIF 17 (=|gasto servicio| / ingreso servicio, FY24-FY25)</t>
  </si>
  <si>
    <t xml:space="preserve">  Ratio de resultado de reaseguro NIIF 17 (=|resultado reaseguro| / ingreso servicio, FY24-FY25)</t>
  </si>
  <si>
    <t xml:space="preserve">  COMBINED_RATIO_BASIS_TIE: legacy combined ratio y ratio de gasto de servicio NIIF 17 NO son comparables 1:1 (denominadores y alcance de gasto distintos) — no se combinan en una sola serie.</t>
  </si>
  <si>
    <t>Claims_Reserves — provisiones legacy + roll-forward NIIF 17 LRC/LIC vida/generales (Nota 20)</t>
  </si>
  <si>
    <t>Fuente: EEFF (mirror congelado) + mirror OCR ASSA 2025 Nota 20 (tbl-68/69/70/71/72). Ver flags[] para vacios de fuente.</t>
  </si>
  <si>
    <t>A. PROVISIONES LEGACY (stock de fin de periodo, FY21-FY23 — base retirada desde FY24)</t>
  </si>
  <si>
    <t xml:space="preserve">  Fuente: EEFF (mirror congelado), Balance General. NO existe un roll-forward completo divulgado para la base legacy; el movimiento de P&amp;L ('cambio en la provision') ya esta en Premiums_Claims seccion A filas de cambio en provisiones.</t>
  </si>
  <si>
    <t xml:space="preserve">  Riesgo en curso</t>
  </si>
  <si>
    <t xml:space="preserve">  Reclamos en trámite</t>
  </si>
  <si>
    <t xml:space="preserve">  Negocios de vida a largo plazo sobre pólizas de vida</t>
  </si>
  <si>
    <t xml:space="preserve">  Total de provisiones sobre contratos de seguros (EEFF subtotal auditado, legacy)</t>
  </si>
  <si>
    <t xml:space="preserve">  N/A FY24-FY30: base legacy retirada; ver seccion B (NIIF 17).</t>
  </si>
  <si>
    <t>B. NIIF 17 — CONTRATOS DE SEGURO Y REASEGURO POR VIDA/GENERALES (Nota 20, tbl-68/69), FY24-FY25</t>
  </si>
  <si>
    <t xml:space="preserve">  Fuente verbatim: INA_ASSA_2025_0.pdf p.125 (Nota 20, saldos de contratos de seguro y reaseguro, 31-dic-2025) ; INA_ASSA_2025_0.pdf p.125 (Nota 20, saldos de contratos de seguro y reaseguro, 31-dic-2024). Solo 2 anos divulgados (FY24-FY25); FY21-FY23 y forecast FY26-FY30 no aplican a este detalle NIIF 17.</t>
  </si>
  <si>
    <t xml:space="preserve">  B.1 Contrato de seguro — grupos con saldos pasivos (LRC = pasivo cobertura restante; LIC = pasivo reclamos incurridos)</t>
  </si>
  <si>
    <t xml:space="preserve">  LRC vida</t>
  </si>
  <si>
    <t xml:space="preserve">  LRC generales</t>
  </si>
  <si>
    <t xml:space="preserve">  LRC total (seguro)</t>
  </si>
  <si>
    <t xml:space="preserve">  LIC vida</t>
  </si>
  <si>
    <t xml:space="preserve">  LIC generales</t>
  </si>
  <si>
    <t xml:space="preserve">  LIC total (seguro)</t>
  </si>
  <si>
    <t xml:space="preserve">  Total pasivo bruto contratos de seguro (LRC + LIC)</t>
  </si>
  <si>
    <t xml:space="preserve">  B.2 Contrato de seguro — grupos con saldos activos (activo cobertura restante, presentado negativo por convencion del filing)</t>
  </si>
  <si>
    <t xml:space="preserve">  Activo cobertura restante vida</t>
  </si>
  <si>
    <t xml:space="preserve">  Activo cobertura restante generales</t>
  </si>
  <si>
    <t xml:space="preserve">  Activo cobertura restante total</t>
  </si>
  <si>
    <t xml:space="preserve">  Saldo neto contratos de seguro (pasivo bruto + activo cobertura restante)</t>
  </si>
  <si>
    <t xml:space="preserve">  CHECKS B (contra EEFF / BS)</t>
  </si>
  <si>
    <t xml:space="preserve">  Provisiones sobre contratos de seguros (EEFF BS, NIIF17)</t>
  </si>
  <si>
    <t xml:space="preserve">  CHECK RESERVE_LRC_LIC_ROLLFORWARD_TIE / INSURANCE_TECHNICAL_RESERVE_TIE (Total pasivo bruto - EEFF BS, esperado 0)</t>
  </si>
  <si>
    <t xml:space="preserve">  B.3 Contrato de reaseguro — cedido (LRC/LIC activos por reaseguro cedido + LRC pasivo por reaseguro)</t>
  </si>
  <si>
    <t xml:space="preserve">  Activo cobertura restante reaseguro, vida</t>
  </si>
  <si>
    <t xml:space="preserve">  Activo cobertura restante reaseguro, generales</t>
  </si>
  <si>
    <t xml:space="preserve">  Activo cobertura restante reaseguro, total</t>
  </si>
  <si>
    <t xml:space="preserve">  Activo reclamos incurridos reaseguro, vida</t>
  </si>
  <si>
    <t xml:space="preserve">  Activo reclamos incurridos reaseguro, generales</t>
  </si>
  <si>
    <t xml:space="preserve">  Activo reclamos incurridos reaseguro, total</t>
  </si>
  <si>
    <t xml:space="preserve">  Activo total contrato de reaseguro (cobertura restante + reclamos incurridos)</t>
  </si>
  <si>
    <t xml:space="preserve">  Pasivo cobertura restante reaseguro, generales (grupos con saldo pasivo)</t>
  </si>
  <si>
    <t xml:space="preserve">  Saldo neto contrato de reaseguro (activo + pasivo cobertura restante)</t>
  </si>
  <si>
    <t xml:space="preserve">  Activos por contratos de reaseguros (EEFF BS)</t>
  </si>
  <si>
    <t xml:space="preserve">  Provisiones sobre contratos de reaseguros (EEFF BS)</t>
  </si>
  <si>
    <t xml:space="preserve">  CHECK REINSURANCE_CONTRACT_BALANCE_TIE (Nota20 neto + (EEFF activo - EEFF pasivo), esperado 0; signos opuestos por convencion)</t>
  </si>
  <si>
    <t xml:space="preserve">  C. VENCIMIENTO &gt;12 MESES — memo (Nota 20; INA_ASSA_2025_0.pdf p.126 (Nota 20, importes a liquidar/recuperar en &gt;12 meses))</t>
  </si>
  <si>
    <t xml:space="preserve">  Ano de referencia inferido FY2025 por secuencia de nota (el mirror no trae etiqueta de ano explicita en esta tabla).</t>
  </si>
  <si>
    <t xml:space="preserve">  Contrato de seguros (&gt;12m)</t>
  </si>
  <si>
    <t xml:space="preserve">  Contrato de reaseguros (&gt;12m)</t>
  </si>
  <si>
    <t xml:space="preserve">  Neto (&gt;12m)</t>
  </si>
  <si>
    <t>D. LIFE_MOVEMENT — roll-forward LRC+LIC vida (INA_ASSA_2025_0.pdf p.127 (Nota 20.i, seguros de vida, cobertura restante + reclamos incurridos, 2025 y 2024))</t>
  </si>
  <si>
    <t xml:space="preserve">  Saldo inicial neto (vida, cobertura restante + reclamos incurridos)</t>
  </si>
  <si>
    <t xml:space="preserve">  Cambio total en resultado y ORI (ingreso/gasto de servicio + financiero)</t>
  </si>
  <si>
    <t xml:space="preserve">  Flujos de efectivo totales (primas recibidas - reclamos/rescates/gastos pagados)</t>
  </si>
  <si>
    <t xml:space="preserve">  Saldo neto al cierre (verbatim tbl-71)</t>
  </si>
  <si>
    <t xml:space="preserve">  Saldo neto total al cierre (computado = inicial + cambio P&amp;L/ORI + flujos)</t>
  </si>
  <si>
    <t xml:space="preserve">  CHECK LIFE_LRC_LIC_ROLLFORWARD_TIE (computado - verbatim tbl-71, esperado 0)</t>
  </si>
  <si>
    <t>E. LIFE_CSM_RA_PVFCF — componentes valor presente / ajuste de riesgo / CSM, vida, FY2025 (INA_ASSA_2025_0.pdf p.128 (Nota 20, componentes VFCF/ajuste de riesgo/CSM, seguros de vida, 2025))</t>
  </si>
  <si>
    <t xml:space="preserve">  FY2024 (INA_ASSA_2025_0.pdf p.128 (Nota 20, mismo detalle 2024 — OCR_REVIEW_REQUIRED, etiquetas de fila corruptas en el mirror)) — no ingestado esta pasada.</t>
  </si>
  <si>
    <t xml:space="preserve">  E.1 Saldo inicial neto por componente</t>
  </si>
  <si>
    <t xml:space="preserve">  Valor presente de flujos de efectivo futuros (VFCF), inicial</t>
  </si>
  <si>
    <t xml:space="preserve">  Ajuste de riesgo, inicial</t>
  </si>
  <si>
    <t xml:space="preserve">  CSM (subtotal enfoques retrospectivo + valor razonable + otros), inicial</t>
  </si>
  <si>
    <t xml:space="preserve">  Saldo inicial neto total (VFCF + AR + CSM)</t>
  </si>
  <si>
    <t xml:space="preserve">  Saldo inicial neto total (verbatim tbl-72, = cierre FY2024 tbl-71/tbl-72)</t>
  </si>
  <si>
    <t xml:space="preserve">  CHECK (suma componentes - verbatim inicial, esperado 0)</t>
  </si>
  <si>
    <t xml:space="preserve">  E.2 Movimiento del periodo (total, sin desagregar por componente) y cierre</t>
  </si>
  <si>
    <t xml:space="preserve">  Cambio total en resultado y ORI</t>
  </si>
  <si>
    <t xml:space="preserve">  Flujos de efectivo (transferencia a otra partida del estado de situacion financiera)</t>
  </si>
  <si>
    <t xml:space="preserve">  Saldo neto total al cierre (computado = inicial verbatim + cambio + flujos)</t>
  </si>
  <si>
    <t xml:space="preserve">  Saldo neto al cierre (verbatim tbl-72)</t>
  </si>
  <si>
    <t xml:space="preserve">  CHECK LIFE_CSM_RA_PVFCF_TIE (computado - verbatim cierre, esperado 0)</t>
  </si>
  <si>
    <t xml:space="preserve">  E.3 Cierre por componente (verbatim) y cruce contra Nota 20 total vida (tbl-68)</t>
  </si>
  <si>
    <t xml:space="preserve">  Valor presente de flujos de efectivo futuros (VFCF), cierre</t>
  </si>
  <si>
    <t xml:space="preserve">  Ajuste de riesgo, cierre</t>
  </si>
  <si>
    <t xml:space="preserve">  CSM (subtotal), cierre</t>
  </si>
  <si>
    <t xml:space="preserve">  Cierre neto total por componentes (VFCF + AR + CSM)</t>
  </si>
  <si>
    <t xml:space="preserve">  Saldo neto contratos de seguro, vida (Nota 20, tbl-68, verbatim)</t>
  </si>
  <si>
    <t xml:space="preserve">  CHECK cruce tbl-72 vs tbl-68 vida (esperado 0)</t>
  </si>
  <si>
    <t>NOT_DISCLOSED (por diseno, no se inventan — fuera de alcance esta pasada W4-D6 slices 1-3)</t>
  </si>
  <si>
    <t xml:space="preserve">  SCR/capital regulatorio numerico por subsidiaria: NOT_DISCLOSED (ver Solvency_Capital, slice 6, pendiente).</t>
  </si>
  <si>
    <t xml:space="preserve">  Triangulos de siniestros (pagados/incurridos, IBNR por metodo): NOT_DISCLOSED (chain ladder / Bornhuetter-Ferguson mencionados solo cualitativamente, OCR text lines 3343-3345).</t>
  </si>
  <si>
    <t xml:space="preserve">  Valor implicito / embedded value / valor de negocio nuevo: NOT_DISCLOSED (ver Valuation, slice 8, pendiente).</t>
  </si>
  <si>
    <t xml:space="preserve">  Reinsurance (sheet dedicado slice 4) y Investments/Investment_Float (slice 5): pendientes; esta pasada solo cubre el cruce de saldos de reaseguro que ya vive en la Nota 20 (seccion B.3 arriba).</t>
  </si>
  <si>
    <t>Reinsurance — política, resultado NIIF 17, cesión legacy y saldos de contratos (Nota 20)</t>
  </si>
  <si>
    <t>Fuente: EEFF (mirror congelado) + INA_ASSA_2025_0.pdf p.96 (politica de reaseguro: exceso de perdida, stop-loss, facultativo) + Nota 20 (via Claims_Reserves). Bases legacy/NIIF17 explícitas, nunca mezcladas.</t>
  </si>
  <si>
    <t>A. POLÍTICA DE REASEGURO (cualitativa, verbatim del filing)</t>
  </si>
  <si>
    <t xml:space="preserve">  El Grupo usa reaseguro (incl. exceso de pérdida y stop-loss) para mitigar pérdidas significativas de eventos individuales; reaseguro facultativo por encima de la tolerancia al riesgo.</t>
  </si>
  <si>
    <t xml:space="preserve">  Fuente: INA_ASSA_2025_0.pdf p.96 (politica de reaseguro: exceso de perdida, stop-loss, facultativo).</t>
  </si>
  <si>
    <t>B. RESULTADO DE REASEGURO EN P&amp;L — base NIIF 17 (FY24-FY30)</t>
  </si>
  <si>
    <t xml:space="preserve">  Resultados netos de contratos de reaseguro (ref EEFF; forecast link Premiums_Claims)</t>
  </si>
  <si>
    <t xml:space="preserve">  Ingresos financieros netos de contratos de reaseguro (ref EEFF)</t>
  </si>
  <si>
    <t xml:space="preserve">  Ingresos por servicios de seguro (ref EEFF; forecast link Premiums_Claims)</t>
  </si>
  <si>
    <t xml:space="preserve">  Ratio resultado de reaseguro ÷ ingresos por servicios (NIIF 17)</t>
  </si>
  <si>
    <t xml:space="preserve">  Forecast del resultado de reaseguro = ratio FY25 plano sobre ingresos (RATIO_HELD_FLAT_FY25, ver Premiums_Claims). Ingreso financiero de reaseguro: sin forecast propio (Modelo lo lleva plano FY25, FINCOST_FLAT_CARRY).</t>
  </si>
  <si>
    <t>C. CESIÓN LEGACY (FY21-FY23 — base retirada desde FY24)</t>
  </si>
  <si>
    <t xml:space="preserve">  Primas suscritas, netas de cancelaciones (ref EEFF)</t>
  </si>
  <si>
    <t xml:space="preserve">  Primas suscritas cedidas a reaseguradores (ref EEFF)</t>
  </si>
  <si>
    <t xml:space="preserve">  Participación de reaseguradores en reclamos y beneficios incurridos (ref EEFF)</t>
  </si>
  <si>
    <t xml:space="preserve">  Ratio de cesión legacy (=|cedidas| ÷ suscritas, FY21-FY23)</t>
  </si>
  <si>
    <t xml:space="preserve">  N/A FY24-FY30: bajo NIIF 17 la cesión se presenta como resultado neto de contratos de reaseguro (sección B); no se mezclan bases.</t>
  </si>
  <si>
    <t>D. SALDOS DE CONTRATOS DE REASEGURO — Nota 20 (link a Claims_Reserves, FY24-FY25)</t>
  </si>
  <si>
    <t xml:space="preserve">  Activo cobertura restante reaseguro, total (Nota 20, convención negativa)</t>
  </si>
  <si>
    <t xml:space="preserve">  Activo total contrato de reaseguro</t>
  </si>
  <si>
    <t xml:space="preserve">  Pasivo cobertura restante reaseguro (grupos con saldo pasivo)</t>
  </si>
  <si>
    <t xml:space="preserve">  Total saldo neto contrato de reaseguro (Nota 20)</t>
  </si>
  <si>
    <t xml:space="preserve">  CHECK REINSURANCE_CONTRACT_BALANCE_TIE (Nota20 neto + (EEFF activo − EEFF pasivo), esperado 0; signos opuestos por convención)</t>
  </si>
  <si>
    <t>NOT_DISCLOSED (no se inventa)</t>
  </si>
  <si>
    <t xml:space="preserve">  Programas por reasegurador, comisiones de reaseguro por contrato, retenciones/PML por ramo: NOT_DISCLOSED en el filing.</t>
  </si>
  <si>
    <t>Investments — portafolio por categoría (Nota 18) + acciones estratégicas y dividendos</t>
  </si>
  <si>
    <t>Fuente verbatim: INA_ASSA_2025_0.pdf p.120 (instrumentos financieros por categoria, 31-dic-2025) y tbl-58.md (31-dic-2024) ; INA_ASSA_2025_0.pdf p.121 (acciones estrategicas: valor razonable y dividendos reconocidos, 2025/2024) ; memo liquidez: INA_ASSA_2025_0.pdf (tbl-3: activos liquidos, miles de US$; indicador Activos Liquidos / Total de activos 83.0% FY25).</t>
  </si>
  <si>
    <t>A. PORTAFOLIO POR CATEGORÍA (columna Total de tbl-57/58; FY24-FY25 únicos años divulgados en esta base)</t>
  </si>
  <si>
    <t xml:space="preserve">  Acciones patrimoniales</t>
  </si>
  <si>
    <t xml:space="preserve">  Fondos de inversión</t>
  </si>
  <si>
    <t xml:space="preserve">  Bonos privados</t>
  </si>
  <si>
    <t xml:space="preserve">  Bonos del gobierno</t>
  </si>
  <si>
    <t xml:space="preserve">  Depósitos a plazo</t>
  </si>
  <si>
    <t xml:space="preserve">  Reportos</t>
  </si>
  <si>
    <t xml:space="preserve">  Intereses acumulados por cobrar</t>
  </si>
  <si>
    <t xml:space="preserve">  Total instrumentos financieros (Σ categorías)</t>
  </si>
  <si>
    <t xml:space="preserve">  Total per filing (verbatim tbl-57/58)</t>
  </si>
  <si>
    <t xml:space="preserve">  Instrumentos financieros, neto (EEFF BS)</t>
  </si>
  <si>
    <t xml:space="preserve">  CHECK INVESTMENT_PORTFOLIO_TIE (Σ categorías − verbatim, y verbatim − EEFF BS; esperado 0)</t>
  </si>
  <si>
    <t xml:space="preserve">  Mix FY25: acciones patrimoniales ÷ total (memo)</t>
  </si>
  <si>
    <t>B. ACCIONES ESTRATÉGICAS — VALOR RAZONABLE (tbl-61)</t>
  </si>
  <si>
    <t xml:space="preserve">  Grupo Financiero BG, S. A.</t>
  </si>
  <si>
    <t xml:space="preserve">  MHC Holdings LTD</t>
  </si>
  <si>
    <t xml:space="preserve">  Empresa General de Inversiones</t>
  </si>
  <si>
    <t xml:space="preserve">  Copa Holdings, S. A.</t>
  </si>
  <si>
    <t xml:space="preserve">  Corporación de inversiones aéreas, S.A.</t>
  </si>
  <si>
    <t xml:space="preserve">  Entidad privada</t>
  </si>
  <si>
    <t xml:space="preserve">  CM Business Group</t>
  </si>
  <si>
    <t xml:space="preserve">  Otras</t>
  </si>
  <si>
    <t xml:space="preserve">  BANPRO</t>
  </si>
  <si>
    <t xml:space="preserve">  Total valor razonable (Σ)</t>
  </si>
  <si>
    <t xml:space="preserve">  Total per filing (verbatim tbl-61; = VRORI acciones patrimoniales tbl-57)</t>
  </si>
  <si>
    <t xml:space="preserve">  CHECK STRATEGIC_EQUITY_FV_TIE (Σ − verbatim, esperado 0)</t>
  </si>
  <si>
    <t>C. ACCIONES ESTRATÉGICAS — DIVIDENDOS RECONOCIDOS (tbl-61)</t>
  </si>
  <si>
    <t xml:space="preserve">  Total dividendos (Σ)</t>
  </si>
  <si>
    <t xml:space="preserve">  Total per filing (verbatim tbl-61)</t>
  </si>
  <si>
    <t xml:space="preserve">  CHECK STRATEGIC_EQUITY_DIV_TIE (Σ − verbatim, esperado 0)</t>
  </si>
  <si>
    <t>D. DIVIDEND YIELD IMPLÍCITO FY25 (dividendo FY25 ÷ FV promedio FY24-FY25)</t>
  </si>
  <si>
    <t xml:space="preserve">  Total estratégicas (dividendos ÷ FV promedio)</t>
  </si>
  <si>
    <t>E. LIQUIDEZ (memo MD&amp;A, miles de US$ — verbatim, unidad distinta al resto de la hoja)</t>
  </si>
  <si>
    <t xml:space="preserve">  Activos líquidos FY25: 1,924,835 miles (efectivo 81,994 = 4.3% + instrumentos 1,842,841 = 95.7%); FY24: 1,636,463 miles. Indicador Activos Líquidos ÷ Total de activos = 83.0% FY25 (52.5% FY24).</t>
  </si>
  <si>
    <t xml:space="preserve">  Fuente: INA_ASSA_2025_0.pdf (tbl-3: activos liquidos, miles de US$; indicador Activos Liquidos / Total de activos 83.0% FY25).</t>
  </si>
  <si>
    <t xml:space="preserve">  Duración/convexidad del portafolio de bonos, calificaciones por emisión, moneda por instrumento en resumen anual: NOT_DISCLOSED a esta granularidad.</t>
  </si>
  <si>
    <t>Investment_Float — base invertida, yield realizado y forecast de retorno (activos promedio × yield)</t>
  </si>
  <si>
    <t>Fuente: EEFF (mirror congelado) filas de inversiones/instrumentos y Retorno de las inversiones. Forecast: driver proxy documentado (LIMITED_HISTORY NIIF 17).</t>
  </si>
  <si>
    <t>A. BASE INVERTIDA (fin de período)</t>
  </si>
  <si>
    <t xml:space="preserve">  Inversiones, neto — base legacy (ref EEFF, FY21-FY23)</t>
  </si>
  <si>
    <t xml:space="preserve">  Instrumentos financieros, neto — NIIF17-era (ref EEFF, FY24-FY25)</t>
  </si>
  <si>
    <t xml:space="preserve">  Total base invertida (suma de bases mutuamente excluyentes legacy/NIIF17; forecast = driver proxy)</t>
  </si>
  <si>
    <t xml:space="preserve">  DRIVER_PROXY: base invertida forecast crece con el driver de ingresos por servicios NIIF 17 (Supuestos!fila 11); el filing no divulga un plan de inversión — proxy explícito, no dato.</t>
  </si>
  <si>
    <t xml:space="preserve">  Base invertida promedio (=(inicio+cierre)/2; solo desde FY25 — FY24 mezclaría bases)</t>
  </si>
  <si>
    <t>B. RETORNO Y YIELD</t>
  </si>
  <si>
    <t xml:space="preserve">  Retorno de las inversiones (ref EEFF, FY24-FY25; forecast = promedio × yield)</t>
  </si>
  <si>
    <t xml:space="preserve">  Yield realizado (=retorno ÷ base promedio, FY25)</t>
  </si>
  <si>
    <t xml:space="preserve">  Yield driver FY26-FY30 (= yield realizado FY25, RATIO_HELD_FLAT_FY25)</t>
  </si>
  <si>
    <t>C. ASIGNACIÓN DEL RETORNO FORECAST A COMPONENTES DEL P&amp;L (mix FY25, ALLOCATION_FY25_MIX)</t>
  </si>
  <si>
    <t xml:space="preserve">  El EEFF presenta el retorno en 3 líneas (interés efectivo / otros ingresos por inversiones / deterioro). El forecast total se asigna con el mix FY25 (transparente, no un dato divulgado).</t>
  </si>
  <si>
    <t xml:space="preserve">  Participación FY25: ingresos por interés (método efectivo) ÷ retorno total</t>
  </si>
  <si>
    <t xml:space="preserve">  Participación FY25: otros ingresos por inversiones ÷ retorno total</t>
  </si>
  <si>
    <t xml:space="preserve">  Participación FY25: pérdida neta por deterioro ÷ retorno total</t>
  </si>
  <si>
    <t xml:space="preserve">  Forecast asignado: ingresos por interés (→ ModeloFinanciero)</t>
  </si>
  <si>
    <t xml:space="preserve">  Forecast asignado: otros ingresos por inversiones (→ ModeloFinanciero)</t>
  </si>
  <si>
    <t xml:space="preserve">  Forecast asignado: pérdida neta por deterioro (→ ModeloFinanciero)</t>
  </si>
  <si>
    <t xml:space="preserve">  CHECK INVESTMENT_FLOAT_YIELD_TIE (Σ componentes asignados − retorno total forecast, esperado 0)</t>
  </si>
  <si>
    <t xml:space="preserve">  NOT_DISCLOSED: plan de inversión/duración objetivo, yields contractuales por categoría — no divulgados; el yield agregado FY25 es la única base observable.</t>
  </si>
  <si>
    <t>Solvency_Capital — cumplimiento cualitativo, recursos de capital, reservas legales y fuentes regulatorias</t>
  </si>
  <si>
    <t>Fuente filing: INA_ASSA_2025_0.pdf p.112 (capital regulatorio: grupo no sujeto directamente; subsidiarias cumplen SCR 2025 y 2024) ; INA_ASSA_2025_0.pdf (tbl-89: mapa de reguladores de reservas legales por pais) ; INA_ASSA_2025_0.pdf (recursos de capital: reservas US$981M = 60% del patrimonio; US$844M reserva valor razonable + US$137M reservas regulatorias). Fuentes regulatorias web citadas con URL + fecha en sección E.</t>
  </si>
  <si>
    <t>A. MARCO DE CAPITAL REGULATORIO (verbatim del filing)</t>
  </si>
  <si>
    <t xml:space="preserve">  El Grupo NO está sujeto directamente a requisitos de capital regulatorio; cada subsidiaria aseguradora/reaseguradora sí lo está ante su regulador local, que monitorea SCR vs capital regulatorio disponible.</t>
  </si>
  <si>
    <t xml:space="preserve">  Durante 2025 y 2024, TODAS las subsidiarias reguladas cumplieron los requisitos de capital de sus reguladores (COMPLIANCE_DISCLOSED = PASS cualitativo).</t>
  </si>
  <si>
    <t xml:space="preserve">  Fuente: INA_ASSA_2025_0.pdf p.112 (capital regulatorio: grupo no sujeto directamente; subsidiarias cumplen SCR 2025 y 2024).</t>
  </si>
  <si>
    <t>B. RECURSOS DE CAPITAL</t>
  </si>
  <si>
    <t xml:space="preserve">  Reservas (ref EEFF BS: incluye valor razonable + regulatorias)</t>
  </si>
  <si>
    <t xml:space="preserve">  Total del patrimonio de la participación controladora (ref EEFF)</t>
  </si>
  <si>
    <t xml:space="preserve">  MD&amp;A: reservas por US$981M = 60% del patrimonio (US$844M reserva de valor razonable de inversiones + US$137M reservas patrimoniales requeridas por reguladores). La cifra MD&amp;A está redondeada a millones — la fila EEFF trae el dato exacto (981,253,106).</t>
  </si>
  <si>
    <t xml:space="preserve">  Fuente: INA_ASSA_2025_0.pdf (recursos de capital: reservas US$981M = 60% del patrimonio; US$844M reserva valor razonable + US$137M reservas regulatorias).</t>
  </si>
  <si>
    <t>C. RESERVAS LEGALES DE SEGUROS — MAPA DE REGULADORES (Nota, tbl-89)</t>
  </si>
  <si>
    <t xml:space="preserve">  Panamá — Superintendencia de Seguros y Reaseguros de Panamá (SSRP) — Ley 12 de 2012</t>
  </si>
  <si>
    <t xml:space="preserve">  Costa Rica — Superintendencia General de Seguros (SUGESE) — Ley 8653; Reglamentos CONASSIF/SUGESE</t>
  </si>
  <si>
    <t xml:space="preserve">  Nicaragua — Superintendencia de Bancos y Otras Instituciones Financieras (SIBOIF) — Normas CD-SIB-188-1-NOV23-2001; Ley 733</t>
  </si>
  <si>
    <t xml:space="preserve">  El Salvador — Superintendencia del Sistema Financiero (SSF) — NCS-011 Reservas Técnicas</t>
  </si>
  <si>
    <t xml:space="preserve">  Honduras — Comisión Nacional de Bancos y Seguros (CNBS) — Reglamento CNBS 041/2004</t>
  </si>
  <si>
    <t xml:space="preserve">  Guatemala — Superintendencia de Bancos (SIB) / Junta Monetaria — Ley 25-2010; JM-3-2011</t>
  </si>
  <si>
    <t xml:space="preserve">  Bermuda — Bermuda Monetary Authority (BMA) — Insurance Act 1978; Eligible Capital Rules; BSCR</t>
  </si>
  <si>
    <t xml:space="preserve">  Islas Caimán — Cayman Islands Monetary Authority (CIMA) — Insurance Act 2010</t>
  </si>
  <si>
    <t xml:space="preserve">  Fuente: INA_ASSA_2025_0.pdf (tbl-89: mapa de reguladores de reservas legales por pais).</t>
  </si>
  <si>
    <t>D. SCR NUMÉRICO — NOT_DISCLOSED (prohibido inventar)</t>
  </si>
  <si>
    <t xml:space="preserve">  SCR por subsidiaria: NOT_DISCLOSED en el filing. Capital regulatorio disponible por subsidiaria: NOT_DISCLOSED. Capital requerido: NOT_DISCLOSED. Ratio de solvencia numérico: NOT_DISCLOSED.</t>
  </si>
  <si>
    <t xml:space="preserve">  SOLVENCY_DISCLOSURE_GATE: cualquier cifra futura de SCR debe venir del filing o de la SSRP con URL + fecha; nunca estimada silenciosamente.</t>
  </si>
  <si>
    <t>E. FUENTES REGULATORIAS CONSULTADAS (web, 2026-07-07 — dato regulatorio SIEMPRE etiquetado, nunca mezclado con el filing)</t>
  </si>
  <si>
    <t xml:space="preserve">  SSRP margen de solvencia trimestral: https://www.superseguros.gob.pa/estadistica-financiera/margen-de-solvencia/ (consultado 2026-07-07: trimestrales publicados I-2016..I-2026). Dato de margen específico de ASSA: NOT_FOUND en esta pasada (el índice no expone enlaces directos a los PDF trimestrales).</t>
  </si>
  <si>
    <t xml:space="preserve">  SSRP Ley 12 de 2012 (texto legal): https://www.superseguros.gob.pa/wp-content/uploads/2019/09/Leyes-ley-2012-012.pdf (Ley 12 de 2012; modificada por Ley 65 de 2016; consultado 2026-07-07).</t>
  </si>
  <si>
    <t xml:space="preserve">  SSRP sujeto regulado: https://superseguros.gob.pa/sujetosregulados/assa-compania-de-seguros-s-a/ (ASSA Compania de Seguros, S.A. como sujeto regulado SSRP; consultado 2026-07-07).</t>
  </si>
  <si>
    <t xml:space="preserve">  SSRP estadística de seguro directo (primas/pólizas/siniestros de la subsidiaria ASSA Cía. de Seguros): https://www.superseguros.gob.pa/wp-content/uploads/DES-C-04-2026.pdf (SSRP resumen acumulado al 30-abr-2026, seguro directo; consultado 2026-07-07) — cifras en Unit_Economics sección D.</t>
  </si>
  <si>
    <t xml:space="preserve">  SMV (ASSA como emisor listado): https://supervalores.gob.pa/files/iper/pj_er/emisores/listado_emisores.pdf (SMV listado de emisores al 31-may-2026: Grupo Assa, S.A. — Acciones Comunes — Tenedora de Acciones; consultado 2026-07-07). Registrada ante la SMV desde julio 1999; símbolo ASSA en Latinex.</t>
  </si>
  <si>
    <t xml:space="preserve">  SBP (relevante por la participación estratégica en Grupo Financiero BG, FV US$508.9M): https://www.superbancos.gob.pa/info-gen-bancos/licencia-general (SBP: Banco General, S.A. con Licencia General; consultado 2026-07-07).</t>
  </si>
  <si>
    <t>Unit_Economics — desagregación de revenue (prima por ramo → growth → mix) y cost economics por base contable</t>
  </si>
  <si>
    <t>Fuente: Premiums_Claims (links verdes) + EEFF (mirror congelado) + memo regulatorio SSRP citado. Bases legacy/NIIF17 explícitas.</t>
  </si>
  <si>
    <t>A. REVENUE BUILD — PRIMA SUSCRITA NETA DE REASEGURO POR RAMO (link Premiums_Claims; 12 ramos, tbl-35)</t>
  </si>
  <si>
    <t xml:space="preserve">  BASE_DISTINTA: este build por ramo NO es la misma base que los ingresos por servicios NIIF 17 consolidados (sección C) — no se fuerza conciliación no divulgada.</t>
  </si>
  <si>
    <t xml:space="preserve">  Total prima por ramo (link Premiums_Claims)</t>
  </si>
  <si>
    <t>B. GROWTH FY24→FY25 Y MIX FY25 POR RAMO (el forecast por ramo replica el growth FY25 propio — ver Premiums_Claims)</t>
  </si>
  <si>
    <t xml:space="preserve">  Accidentes personales — growth FY25</t>
  </si>
  <si>
    <t xml:space="preserve">  Automóvil — growth FY25</t>
  </si>
  <si>
    <t xml:space="preserve">  Casco — growth FY25</t>
  </si>
  <si>
    <t xml:space="preserve">  Colectivo de vida — growth FY25</t>
  </si>
  <si>
    <t xml:space="preserve">  Fianzas — growth FY25</t>
  </si>
  <si>
    <t xml:space="preserve">  Fidelidad — growth FY25</t>
  </si>
  <si>
    <t xml:space="preserve">  Incendio — growth FY25</t>
  </si>
  <si>
    <t xml:space="preserve">  Responsabilidad civil — growth FY25</t>
  </si>
  <si>
    <t xml:space="preserve">  Riesgos diversos — growth FY25</t>
  </si>
  <si>
    <t xml:space="preserve">  Salud — growth FY25</t>
  </si>
  <si>
    <t xml:space="preserve">  Seguros técnicos — growth FY25</t>
  </si>
  <si>
    <t xml:space="preserve">  Autoexpedibles y otros — growth FY25</t>
  </si>
  <si>
    <t xml:space="preserve">  Mix FY25 por ramo (participación en el total):</t>
  </si>
  <si>
    <t xml:space="preserve">  Accidentes personales — mix FY25</t>
  </si>
  <si>
    <t xml:space="preserve">  Automóvil — mix FY25</t>
  </si>
  <si>
    <t xml:space="preserve">  Casco — mix FY25</t>
  </si>
  <si>
    <t xml:space="preserve">  Colectivo de vida — mix FY25</t>
  </si>
  <si>
    <t xml:space="preserve">  Fianzas — mix FY25</t>
  </si>
  <si>
    <t xml:space="preserve">  Fidelidad — mix FY25</t>
  </si>
  <si>
    <t xml:space="preserve">  Incendio — mix FY25</t>
  </si>
  <si>
    <t xml:space="preserve">  Responsabilidad civil — mix FY25</t>
  </si>
  <si>
    <t xml:space="preserve">  Riesgos diversos — mix FY25</t>
  </si>
  <si>
    <t xml:space="preserve">  Salud — mix FY25</t>
  </si>
  <si>
    <t xml:space="preserve">  Seguros técnicos — mix FY25</t>
  </si>
  <si>
    <t xml:space="preserve">  Autoexpedibles y otros — mix FY25</t>
  </si>
  <si>
    <t>C. CASCADA DE MARGEN NIIF 17 (FY24-FY30): ingresos → ratio gasto de servicio → ratio reaseguro → margen de servicio → G&amp;A</t>
  </si>
  <si>
    <t xml:space="preserve">  Ingresos por servicios de seguro (link Premiums_Claims)</t>
  </si>
  <si>
    <t xml:space="preserve">  Ratio gasto de servicio (=gasto ÷ ingreso; negativo)</t>
  </si>
  <si>
    <t xml:space="preserve">  Ratio resultado de reaseguro (=resultado reaseguro ÷ ingreso; negativo)</t>
  </si>
  <si>
    <t xml:space="preserve">  Margen del servicio de seguro (=resultado servicio ÷ ingreso)</t>
  </si>
  <si>
    <t xml:space="preserve">  Ratio G&amp;A (hist: ref EEFF; forecast: driver activo de Supuestos — mismo ratio que consume ModeloFinanciero)</t>
  </si>
  <si>
    <t>D. COST ECONOMICS POR BASE CONTABLE</t>
  </si>
  <si>
    <t xml:space="preserve">  Base legacy (FY21-FY23), sobre primas netas ganadas:</t>
  </si>
  <si>
    <t xml:space="preserve">  Reclamos y beneficios netos incurridos ÷ primas netas ganadas</t>
  </si>
  <si>
    <t xml:space="preserve">  Costo de suscripción y adquisición ÷ primas netas ganadas</t>
  </si>
  <si>
    <t xml:space="preserve">  ECL primas por cobrar ÷ primas netas ganadas</t>
  </si>
  <si>
    <t xml:space="preserve">  Base NIIF 17 (FY24-FY30): ver sección C (ratio de gasto de servicio y reaseguro sobre ingresos por servicios).</t>
  </si>
  <si>
    <t>E. COSTO/PRIMA POR PÓLIZA</t>
  </si>
  <si>
    <t xml:space="preserve">  Filing consolidado: número de pólizas del Grupo NOT_DISCLOSED → costo por póliza del Grupo NOT_DISCLOSED (no se inventan denominadores).</t>
  </si>
  <si>
    <t xml:space="preserve">  Memo regulatorio (fuente SSRP, NO filing; subsidiaria ASSA Cía. de Seguros Panamá, seguro directo, acumulado ene-abr): 2026: pólizas vigentes 377,602; primas suscritas US$184,158,112.66; siniestros pagados US$52,273,848.30. 2025: pólizas 356,126; primas US$180,612,701; siniestros US$65,175,756. Fuente: https://www.superseguros.gob.pa/wp-content/uploads/DES-C-04-2026.pdf (SSRP resumen acumulado al 30-abr-2026, seguro directo; consultado 2026-07-07).</t>
  </si>
  <si>
    <t xml:space="preserve">  Prima suscrita acumulada ene-abr-2026 por póliza vigente ≈ US$487.7 (memo aritmético de las dos cifras SSRP; periodo parcial de 4 meses, alcance subsidiaria ≠ grupo — NO comparable con las métricas consolidadas de arriba).</t>
  </si>
  <si>
    <t>MD&amp;A — resumen ejecutivo (discusión de gestión del filing 2025)</t>
  </si>
  <si>
    <t>Fuente: Informe de Actualización Anual 2025 de Grupo ASSA, sección Discusión de Gestión (citas técnicas archivo:línea en Source_Register). Cifras de mercado: fuentes web citadas con URL + fecha.</t>
  </si>
  <si>
    <t>A. LIQUIDEZ</t>
  </si>
  <si>
    <t xml:space="preserve">  Activos líquidos = 83.0% del total de activos en FY25 (52.5% FY24). Composición FY25 (miles US$): efectivo y equivalentes 81,994 (4.3%) + instrumentos financieros netos 1,842,841 (95.7%) = 1,924,835.</t>
  </si>
  <si>
    <t xml:space="preserve">  El aumento refleja mejoras de valor razonable de las inversiones y la re-expresión NIIF 17 de 2024; con la reorganización del segmento bancario y la venta del segmento hipotecario, el índice de liquidez queda en posiciones favorables.</t>
  </si>
  <si>
    <t xml:space="preserve">  Fuente: IN-A 2025, Discusión de Gestión, tabla de activos líquidos (miles de US$) e indicadores de liquidez.</t>
  </si>
  <si>
    <t xml:space="preserve">  Tres fuentes primordiales de capital; el patrimonio de los accionistas es la principal. Reservas por US$981M = 60% del patrimonio: US$844M reserva de valor razonable de inversiones + US$137M reservas patrimoniales requeridas por reguladores.</t>
  </si>
  <si>
    <t xml:space="preserve">  Fuente: IN-A 2025, Discusión de Gestión, sección B Recursos de Capital. Detalle en Solvency_Capital sección B.</t>
  </si>
  <si>
    <t>C. SEGMENTOS (Nota de segmentos, resultado neto por segmento reportable)</t>
  </si>
  <si>
    <t xml:space="preserve">  Grupo ASSA, S. A. (Inversiones) — resultado, neto</t>
  </si>
  <si>
    <t xml:space="preserve">  ASSA Compañía Tenedora, S. A. — resultado, neto</t>
  </si>
  <si>
    <t xml:space="preserve">  La Hipotecaria (Holding), Inc. — resultado, neto (op. descontinuada)</t>
  </si>
  <si>
    <t xml:space="preserve">  Otras actividades — resultado, neto</t>
  </si>
  <si>
    <t xml:space="preserve">  Fuente verbatim: EEFF auditados 2025, Nota de segmentos de operación (resultado por segmento 2025/2024 y conciliación a consolidado). La suma de segmentos NO es el consolidado (eliminaciones −35.6M FY25 y exclusión de operación descontinuada; ver tie abajo).</t>
  </si>
  <si>
    <t xml:space="preserve">  Utilidad antes de impuesto, consolidada tras conciliación (verbatim tbl-31)</t>
  </si>
  <si>
    <t xml:space="preserve">  Utilidad antes de impuesto (ref EEFF)</t>
  </si>
  <si>
    <t xml:space="preserve">  CHECK SEGMENT_RECON_TIE (tbl-31 conciliado − EEFF, esperado 0)</t>
  </si>
  <si>
    <t>D. EVENTOS ESTRUCTURALES DEL AÑO</t>
  </si>
  <si>
    <t xml:space="preserve">  Adopción de NIIF 17 desde el 1-ene-2025 (SSRP), con 2024 re-expresado — ver Premiums_Claims sección Accounting_Basis.</t>
  </si>
  <si>
    <t xml:space="preserve">  Reorganización del segmento bancario y venta del segmento hipotecario (La Hipotecaria (Holding), Inc. presentada como operación descontinuada).</t>
  </si>
  <si>
    <t>E. LA ACCIÓN (fuentes web, NO filing — citadas con URL + fecha)</t>
  </si>
  <si>
    <t xml:space="preserve">  Cierre 31-dic-2025: US$126.00/acción (+26% vs 2024); dividendos 2025: US$6.50 recurrentes + US$7.28 extraordinario (venta de La Hipotecaria). Fuente: https://www.assanet.com/grupoassa/nota-de-prensa-reunion-de-accionistas-grupo-assa/ (cierre 31-dic-2025 US$126.00/accion; dividendos 2025 US$6.50 recurrentes + US$7.28 extraordinario; consultado 2026-07-07).</t>
  </si>
  <si>
    <t xml:space="preserve">  Valor en libros por acción al 31-dic-2025: US$154.49 → P/B 0.82x per Memoria. Fuente: https://fliphtml5.com/FLBOOK/Mayo-20_Memoria-ASSA_FINAL_2025/ (Memoria ASSA 2025: valor en libros por accion US$154.49 al 31-dic-2025; P/B 0.82x; consultado 2026-07-07). Ver hoja Valuation.</t>
  </si>
  <si>
    <t>Valuation — P/B con precio de mercado citado (FIG: sin EV/EBITDA ni DCF desapalancado)</t>
  </si>
  <si>
    <t>Acciones: INA_ASSA_2025_0.pdf (Nota 23.A tbl-88: acciones autorizadas/emitidas/tesoreria/en circulacion). Precios: https://www.assanet.com/grupoassa/nota-de-prensa-reunion-de-accionistas-grupo-assa/ (cierre 31-dic-2025 US$126.00/accion; dividendos 2025 US$6.50 recurrentes + US$7.28 extraordinario; consultado 2026-07-07) ; https://www.latinexbolsa.com/es/detalle-de-emisor/?code=ASSA (pizarra Latinex, precio ASSA US$140.00; consultado 2026-07-07).</t>
  </si>
  <si>
    <t>A. ACCIONES Y VALOR EN LIBROS</t>
  </si>
  <si>
    <t xml:space="preserve">  Acciones en circulación (Nota 23.A tbl-88, verbatim)</t>
  </si>
  <si>
    <t xml:space="preserve">  Autorizadas: 12,000,000 sin valor nominal; en tesorería FY25: 215,007. Nota: el párrafo A de la Nota 23 del mirror trae una inconsistencia interna de redacción (emitidas vs circulación); tbl-88 es la fuente usada. INA_ASSA_2025_0.pdf (Nota 23.A tbl-88: acciones autorizadas/emitidas/tesoreria/en circulacion).</t>
  </si>
  <si>
    <t xml:space="preserve">  Valor en libros por acción (=patrimonio controladora ÷ acciones en circulación)</t>
  </si>
  <si>
    <t xml:space="preserve">  Cruce: Memoria 2025 reporta BVPS US$154.49 (computado aquí ≈ US$154.60; diferencia por definición del denominador/redondeo de la Memoria — no es un error del modelo). Fuente: https://fliphtml5.com/FLBOOK/Mayo-20_Memoria-ASSA_FINAL_2025/ (Memoria ASSA 2025: valor en libros por accion US$154.49 al 31-dic-2025; P/B 0.82x; consultado 2026-07-07).</t>
  </si>
  <si>
    <t>B. P/B (precio de mercado con fuente citada; columna FY25 = ancla de valuación)</t>
  </si>
  <si>
    <t xml:space="preserve">  Precio por acción al 31-dic-2025 (fuente web citada, NO filing)</t>
  </si>
  <si>
    <t xml:space="preserve">  Fuente: https://www.assanet.com/grupoassa/nota-de-prensa-reunion-de-accionistas-grupo-assa/ (cierre 31-dic-2025 US$126.00/accion; dividendos 2025 US$6.50 recurrentes + US$7.28 extraordinario; consultado 2026-07-07).</t>
  </si>
  <si>
    <t xml:space="preserve">  P/B al 31-dic-2025 (=precio ÷ BVPS FY25)</t>
  </si>
  <si>
    <t xml:space="preserve">  Precio en pizarra Latinex al 2026-07-07 (memo posterior al cierre FY25; misma columna como ancla)</t>
  </si>
  <si>
    <t xml:space="preserve">  Fuente: https://www.latinexbolsa.com/es/detalle-de-emisor/?code=ASSA (pizarra Latinex, precio ASSA US$140.00; consultado 2026-07-07).</t>
  </si>
  <si>
    <t xml:space="preserve">  P/B con precio 2026-07-07 sobre BVPS FY25 (memo, denominador rezagado)</t>
  </si>
  <si>
    <t>C. NOT_DISCLOSED / FUERA DE ALCANCE (nunca plug)</t>
  </si>
  <si>
    <t xml:space="preserve">  Embedded value / valor de negocio nuevo (VNB) / own funds: NOT_DISCLOSED en el filing — no se estima.</t>
  </si>
  <si>
    <t xml:space="preserve">  Doctrina FIG: sin EV/EBITDA ni DCF desapalancado para aseguradoras; la superficie de valuación es P/B + ROE (el ROE requiere firma de metodología — pendiente).</t>
  </si>
  <si>
    <t>_CHECKS panel — insurance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</si>
  <si>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</si>
  <si>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</si>
  <si>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</si>
  <si>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</si>
  <si>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</si>
  <si>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</si>
  <si>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</si>
  <si>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</si>
  <si>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</si>
  <si>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</si>
  <si>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</si>
  <si>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</si>
  <si>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</si>
  <si>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</si>
  <si>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</si>
  <si>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</si>
  <si>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</si>
  <si>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</si>
  <si>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</si>
  <si>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KNOWN_RESIDUAL</t>
  </si>
  <si>
    <t>-56584218 @ FY23A</t>
  </si>
  <si>
    <t>G7a cash tie: FY21-FY23 historical cash definition/restatement/insurance presentation gap suspected; signed as visible known residual.</t>
  </si>
  <si>
    <t>CF_ROLLFORWARD</t>
  </si>
  <si>
    <t>UNIVERSAL | expected 0; hard_tie_tolerance; historical rows may be WARN if source CF transcript is incomplete. | source applies_to: all 16 where CF is modeled</t>
  </si>
  <si>
    <t>SOURCE_GAP</t>
  </si>
  <si>
    <t>CF rollforward row is live, but insurance cash-flow semantics need signed component taxonomy before hard blocking.</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</si>
  <si>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</si>
  <si>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</si>
  <si>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</si>
  <si>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</si>
  <si>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</si>
  <si>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</si>
  <si>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</si>
  <si>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</si>
  <si>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-30133213 @ FY24A</t>
  </si>
  <si>
    <t>G7c retained earnings roll: Reserves/OCI/IFRS transition bridge suspected; signed as visible known residual.</t>
  </si>
  <si>
    <t>EQUITY_TOTAL_TIE</t>
  </si>
  <si>
    <t>Componentes de patrimonio verificados numéricamente contra EEFF (partición exacta, todos los años hist).</t>
  </si>
  <si>
    <t>BS_LINEITEM_SUM_ASSETS</t>
  </si>
  <si>
    <t>Partición top-level de activos verificada numéricamente contra EEFF (suma exacta a total de activos, todos los años hist).</t>
  </si>
  <si>
    <t>BS_LINEITEM_SUM_LIAB_EQUITY</t>
  </si>
  <si>
    <t>Financial-issuer liability/equity component taxonomy is visible but not signed as a hard lineitem-sum control.</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</si>
  <si>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</si>
  <si>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</si>
  <si>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</si>
  <si>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</si>
  <si>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</si>
  <si>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</si>
  <si>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</si>
  <si>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</si>
  <si>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</si>
  <si>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</si>
  <si>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</si>
  <si>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</si>
  <si>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LEASE_SCHEDULE_TIE</t>
  </si>
  <si>
    <t>ARCHETYPE/conditional | expected 0; hard_tie_tolerance. | source applies_to: IFRS-16 issuers</t>
  </si>
  <si>
    <t>No semantic anchors resolved for LEASE_SCHEDULE_TIE.</t>
  </si>
  <si>
    <t>INSURANCE CHECKS</t>
  </si>
  <si>
    <t>INSURANCE_PREMIUM_DRIVER_TIE</t>
  </si>
  <si>
    <t>ARCHETYPE | expected 0; not observed in this sweep, but template requires premium wiring. | source applies_to: insurance</t>
  </si>
  <si>
    <t>expected 0; not observed in this sweep, but template requires premium wiring. Default full-USD hard tie threshold is $1,000 unless the workbook declares a tighter scale-aware tolerance.</t>
  </si>
  <si>
    <t>INSURANCE_TECHNICAL_RESERVE_TIE</t>
  </si>
  <si>
    <t>ARCHETYPE | expected 0; not observed in this sweep. | source applies_to: insurance</t>
  </si>
  <si>
    <t>expected 0; not observed in this sweep. Default full-USD hard tie threshold is $1,000 unless the workbook declares a tighter scale-aware tolerance.</t>
  </si>
  <si>
    <t>ACCOUNTING_BASIS_SWITCH_TIE</t>
  </si>
  <si>
    <t>ARCHETYPE | 1 si un mismo año histórico trae valor en ambas bases (legacy primas retenidas y NIIF17 ingresos de servicio); esperado 0 en B:F. | applies_to: insurance</t>
  </si>
  <si>
    <t>expected 0; hard tie threshold $1,000 full-USD.</t>
  </si>
  <si>
    <t>IFRS17_SERVICE_RESULT_TIE</t>
  </si>
  <si>
    <t>ARCHETYPE | resultado del servicio computado (ingresos + gastos + reaseguro) − subtotal auditado EEFF; esperado 0. | applies_to: insurance</t>
  </si>
  <si>
    <t>IFRS17_FINANCE_RESULT_TIE</t>
  </si>
  <si>
    <t>ARCHETYPE | resultado financiero computado (retorno inversiones + finanzas seguro + finanzas reaseguro) − subtotal auditado EEFF; esperado 0. | applies_to: insurance</t>
  </si>
  <si>
    <t>REINSURANCE_CONTRACT_BALANCE_TIE</t>
  </si>
  <si>
    <t>ARCHETYPE | saldo neto de contratos de reaseguro Nota 20 + (activo EEFF − pasivo EEFF); esperado 0 (convención de signos opuesta documentada). | applies_to: insurance</t>
  </si>
  <si>
    <t>LIFE_CSM_RA_PVFCF_TIE</t>
  </si>
  <si>
    <t>ARCHETYPE | roll-forward de componentes vida (PVFCF + ajuste de riesgo + CSM) computado − cierre verbatim tbl-72; esperado 0 (FY2025; tbl-73 FY2024 OCR_REVIEW_REQUIRED). | applies_to: insurance</t>
  </si>
  <si>
    <t>INVESTMENT_PORTFOLIO_TIE</t>
  </si>
  <si>
    <t>ARCHETYPE | Σ categorías de instrumentos (tbl-57/58) − total verbatim − EEFF BS instrumentos; esperado 0. | applies_to: insurance</t>
  </si>
  <si>
    <t>INVESTMENT_FLOAT_YIELD_TIE</t>
  </si>
  <si>
    <t>ARCHETYPE | Σ componentes de retorno asignados (mix FY25) − retorno forecast total (base promedio × yield); esperado 0 en años forecast. | applies_to: insurance</t>
  </si>
  <si>
    <t>SOLVENCY_DISCLOSURE_GATE</t>
  </si>
  <si>
    <t>ARCHETYPE | gate documental: SCR/capital disponible/requerido numérico solo con fuente (filing o SSRP con URL+fecha); compliance cualitativo divulgado en el filing (2025 y 2024 todas las subsidiarias cumplieron). NUNCA se inventa un ratio. | applies_to: insurance</t>
  </si>
  <si>
    <t>report_only</t>
  </si>
  <si>
    <t>Gate documental: compliance cualitativo divulgado (2025/2024 todas las subsidiarias cumplieron; ver Solvency_Capital A). SCR numérico NOT_DISCLOSED; solo entra con fuente filing/SSRP citada (URL+fecha).</t>
  </si>
  <si>
    <t>ACCOUNTING_BASIS_BRIDGE_TIE</t>
  </si>
  <si>
    <t>ASSA | cambio de base SSRP→NIIF 17: puente amarra contra ambos filings | source: Puente_NIIF17</t>
  </si>
  <si>
    <t>1 USD</t>
  </si>
  <si>
    <t>0 @ FY24A</t>
  </si>
  <si>
    <t>Conciliación del cambio de base contable SSRP→NIIF 17 (transición 1-ene-2024): suma de residuales absolutos de las 4 verificaciones locales de Puente_NIIF17 (Δ balance dual, walk de transición, amarre base vieja, rodamiento re-expresado). Esperado 0; ties exactos del filing — hard fail si ABS &gt; 1 USD.</t>
  </si>
  <si>
    <t>Source_Register — insurance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</si>
  <si>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</si>
  <si>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</si>
  <si>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</si>
  <si>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</si>
  <si>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</si>
  <si>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</si>
  <si>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</si>
  <si>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</si>
  <si>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</si>
  <si>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</si>
  <si>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</si>
  <si>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</si>
  <si>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OCR_ROOT:assa</t>
  </si>
  <si>
    <t>OCR_ROOT</t>
  </si>
  <si>
    <t>ASSA</t>
  </si>
  <si>
    <t>EEFF; Notas_EEFF</t>
  </si>
  <si>
    <t>OCR of the published filings</t>
  </si>
  <si>
    <t>Annual reports (INA) of assa</t>
  </si>
  <si>
    <t>EEFF_FILING:ina_assa_2021_0</t>
  </si>
  <si>
    <t>EEFF_FILING</t>
  </si>
  <si>
    <t>EEFF; Notas_EEFF; MD&amp;A</t>
  </si>
  <si>
    <t>00-index.md; 01-eeff.md; 02-notas.md; 03-mda.md; 09-otros.md</t>
  </si>
  <si>
    <t>FY21 (A)</t>
  </si>
  <si>
    <t>157</t>
  </si>
  <si>
    <t>markdown.md sha256=bf5c0ba4ba93481a...</t>
  </si>
  <si>
    <t>EEFF_FILING:ina_assa_2022_0</t>
  </si>
  <si>
    <t>FY22 (A)</t>
  </si>
  <si>
    <t>160</t>
  </si>
  <si>
    <t>markdown.md sha256=5eaaa3d45f43123e...</t>
  </si>
  <si>
    <t>EEFF_FILING:ina_assa_2023_0</t>
  </si>
  <si>
    <t>FY23 (A)</t>
  </si>
  <si>
    <t>158</t>
  </si>
  <si>
    <t>markdown.md sha256=61d6c6094fa0dba5...</t>
  </si>
  <si>
    <t>EEFF_FILING:ina_assa_2024_0</t>
  </si>
  <si>
    <t>FY24 (A)</t>
  </si>
  <si>
    <t>168</t>
  </si>
  <si>
    <t>markdown.md sha256=2876f03a6d3b50aa...</t>
  </si>
  <si>
    <t>EEFF_FILING:ina_assa_2025_0</t>
  </si>
  <si>
    <t>FY25 (A)</t>
  </si>
  <si>
    <t>165</t>
  </si>
  <si>
    <t>markdown.md sha256=41280413ecbfaca9...</t>
  </si>
  <si>
    <t>NOTA:INA_ASSA_2021_0.pdf#10</t>
  </si>
  <si>
    <t>NOTA</t>
  </si>
  <si>
    <t>markdown.md; tbl-38.html</t>
  </si>
  <si>
    <t>Notas_EEFF</t>
  </si>
  <si>
    <t>NOTA:INA_ASSA_2021_0.pdf#11</t>
  </si>
  <si>
    <t>markdown.md; tbl-40.html</t>
  </si>
  <si>
    <t>NOTA:INA_ASSA_2021_0.pdf#12</t>
  </si>
  <si>
    <t>markdown.md; tbl-41.html; tbl-42.html; +2 more</t>
  </si>
  <si>
    <t>NOTA:INA_ASSA_2021_0.pdf#13</t>
  </si>
  <si>
    <t>markdown.md; tbl-45.html; tbl-46.html; +5 more</t>
  </si>
  <si>
    <t>NOTA:INA_ASSA_2021_0.pdf#14</t>
  </si>
  <si>
    <t>markdown.md; tbl-52.html; tbl-53.html; +2 more</t>
  </si>
  <si>
    <t>NOTA:INA_ASSA_2021_0.pdf#15</t>
  </si>
  <si>
    <t>markdown.md; tbl-56.html; tbl-57.html</t>
  </si>
  <si>
    <t>NOTA:INA_ASSA_2021_0.pdf#16</t>
  </si>
  <si>
    <t>markdown.md; tbl-58.html</t>
  </si>
  <si>
    <t>NOTA:INA_ASSA_2021_0.pdf#17</t>
  </si>
  <si>
    <t>markdown.md; tbl-59.html</t>
  </si>
  <si>
    <t>NOTA:INA_ASSA_2021_0.pdf#18</t>
  </si>
  <si>
    <t>markdown.md; tbl-60.html; tbl-61.html</t>
  </si>
  <si>
    <t>NOTA:INA_ASSA_2021_0.pdf#19</t>
  </si>
  <si>
    <t>markdown.md; tbl-62.html; tbl-63.html</t>
  </si>
  <si>
    <t>NOTA:INA_ASSA_2021_0.pdf#20</t>
  </si>
  <si>
    <t>markdown.md; tbl-64.html</t>
  </si>
  <si>
    <t>NOTA:INA_ASSA_2021_0.pdf#21</t>
  </si>
  <si>
    <t>markdown.md; tbl-65.html</t>
  </si>
  <si>
    <t>NOTA:INA_ASSA_2021_0.pdf#22</t>
  </si>
  <si>
    <t>markdown.md; tbl-66.html</t>
  </si>
  <si>
    <t>NOTA:INA_ASSA_2021_0.pdf#23</t>
  </si>
  <si>
    <t>markdown.md; tbl-67.html; tbl-68.html</t>
  </si>
  <si>
    <t>NOTA:INA_ASSA_2021_0.pdf#24</t>
  </si>
  <si>
    <t>markdown.md; tbl-71.html</t>
  </si>
  <si>
    <t>NOTA:INA_ASSA_2021_0.pdf#25</t>
  </si>
  <si>
    <t>markdown.md; tbl-72.html; tbl-73.html; +2 more</t>
  </si>
  <si>
    <t>NOTA:INA_ASSA_2021_0.pdf#26</t>
  </si>
  <si>
    <t>NOTA:INA_ASSA_2021_0.pdf#27</t>
  </si>
  <si>
    <t>markdown.md; tbl-76.html; tbl-77.html; +1 more</t>
  </si>
  <si>
    <t>NOTA:INA_ASSA_2021_0.pdf#29</t>
  </si>
  <si>
    <t>markdown.md; tbl-79.html; tbl-80.html; +7 more</t>
  </si>
  <si>
    <t>68</t>
  </si>
  <si>
    <t>NOTA:INA_ASSA_2021_0.pdf#31</t>
  </si>
  <si>
    <t>markdown.md; tbl-88.html</t>
  </si>
  <si>
    <t>53</t>
  </si>
  <si>
    <t>NOTA:INA_ASSA_2021_0.pdf#32</t>
  </si>
  <si>
    <t>67</t>
  </si>
  <si>
    <t>NOTA:INA_ASSA_2021_0.pdf#33</t>
  </si>
  <si>
    <t>NOTA:INA_ASSA_2021_0.pdf#34</t>
  </si>
  <si>
    <t>NOTA:INA_ASSA_2021_0.pdf#35</t>
  </si>
  <si>
    <t>markdown.md; tbl-89.html</t>
  </si>
  <si>
    <t>NOTA:INA_ASSA_2021_0.pdf#36</t>
  </si>
  <si>
    <t>markdown.md; tbl-90.html; tbl-91.html</t>
  </si>
  <si>
    <t>NOTA:INA_ASSA_2021_0.pdf#5</t>
  </si>
  <si>
    <t>markdown.md; tbl-29.html</t>
  </si>
  <si>
    <t>NOTA:INA_ASSA_2021_0.pdf#6</t>
  </si>
  <si>
    <t>markdown.md; tbl-30.html</t>
  </si>
  <si>
    <t>NOTA:INA_ASSA_2021_0.pdf#7</t>
  </si>
  <si>
    <t>markdown.md; tbl-31.html; tbl-32.html; +5 more</t>
  </si>
  <si>
    <t>NOTA:INA_ASSA_2022_0.pdf#11</t>
  </si>
  <si>
    <t>markdown.md; tbl-43.html; tbl-44.html; +2 more</t>
  </si>
  <si>
    <t>NOTA:INA_ASSA_2022_0.pdf#13</t>
  </si>
  <si>
    <t>markdown.md; tbl-47.html; tbl-48.html; +5 more</t>
  </si>
  <si>
    <t>NOTA:INA_ASSA_2022_0.pdf#14</t>
  </si>
  <si>
    <t>markdown.md; tbl-54.html; tbl-55.html; +2 more</t>
  </si>
  <si>
    <t>NOTA:INA_ASSA_2022_0.pdf#15</t>
  </si>
  <si>
    <t>markdown.md; tbl-58.html; tbl-59.html</t>
  </si>
  <si>
    <t>NOTA:INA_ASSA_2022_0.pdf#16</t>
  </si>
  <si>
    <t>markdown.md; tbl-60.html</t>
  </si>
  <si>
    <t>NOTA:INA_ASSA_2022_0.pdf#17</t>
  </si>
  <si>
    <t>markdown.md; tbl-61.html</t>
  </si>
  <si>
    <t>NOTA:INA_ASSA_2022_0.pdf#18</t>
  </si>
  <si>
    <t>NOTA:INA_ASSA_2022_0.pdf#19</t>
  </si>
  <si>
    <t>markdown.md; tbl-64.html; tbl-65.html; +1 more</t>
  </si>
  <si>
    <t>NOTA:INA_ASSA_2022_0.pdf#21</t>
  </si>
  <si>
    <t>markdown.md; tbl-67.html</t>
  </si>
  <si>
    <t>NOTA:INA_ASSA_2022_0.pdf#22</t>
  </si>
  <si>
    <t>markdown.md; tbl-68.html</t>
  </si>
  <si>
    <t>NOTA:INA_ASSA_2022_0.pdf#23</t>
  </si>
  <si>
    <t>markdown.md; tbl-69.html; tbl-70.html; +1 more</t>
  </si>
  <si>
    <t>NOTA:INA_ASSA_2022_0.pdf#24</t>
  </si>
  <si>
    <t>markdown.md; tbl-74.html</t>
  </si>
  <si>
    <t>NOTA:INA_ASSA_2022_0.pdf#25</t>
  </si>
  <si>
    <t>markdown.md; tbl-75.html; tbl-76.html; +3 more</t>
  </si>
  <si>
    <t>NOTA:INA_ASSA_2022_0.pdf#26</t>
  </si>
  <si>
    <t>NOTA:INA_ASSA_2022_0.pdf#27</t>
  </si>
  <si>
    <t>markdown.md; tbl-80.html; tbl-81.html</t>
  </si>
  <si>
    <t>NOTA:INA_ASSA_2022_0.pdf#28</t>
  </si>
  <si>
    <t>markdown.md; tbl-82.html</t>
  </si>
  <si>
    <t>NOTA:INA_ASSA_2022_0.pdf#29</t>
  </si>
  <si>
    <t>markdown.md; tbl-100.html; tbl-101.html; +16 more</t>
  </si>
  <si>
    <t>226</t>
  </si>
  <si>
    <t>NOTA:INA_ASSA_2022_0.pdf#4</t>
  </si>
  <si>
    <t>markdown.md; tbl-26.html; tbl-27.html; +2 more</t>
  </si>
  <si>
    <t>NOTA:INA_ASSA_2022_0.pdf#6</t>
  </si>
  <si>
    <t>NOTA:INA_ASSA_2022_0.pdf#7</t>
  </si>
  <si>
    <t>markdown.md; tbl-31.html; tbl-32.html</t>
  </si>
  <si>
    <t>NOTA:INA_ASSA_2022_0.pdf#8</t>
  </si>
  <si>
    <t>markdown.md; tbl-34.html; tbl-35.html; +1 more</t>
  </si>
  <si>
    <t>NOTA:INA_ASSA_2022_0.pdf#9</t>
  </si>
  <si>
    <t>markdown.md; tbl-37.html; tbl-38.html; +4 more</t>
  </si>
  <si>
    <t>NOTA:INA_ASSA_2023_0.pdf#11</t>
  </si>
  <si>
    <t>markdown.md; tbl-44.html; tbl-45.html; +2 more</t>
  </si>
  <si>
    <t>NOTA:INA_ASSA_2023_0.pdf#13</t>
  </si>
  <si>
    <t>markdown.md; tbl-48.html; tbl-49.html; +5 more</t>
  </si>
  <si>
    <t>NOTA:INA_ASSA_2023_0.pdf#14</t>
  </si>
  <si>
    <t>markdown.md; tbl-55.html; tbl-56.html; +2 more</t>
  </si>
  <si>
    <t>NOTA:INA_ASSA_2023_0.pdf#15</t>
  </si>
  <si>
    <t>markdown.md; tbl-59.html; tbl-60.html</t>
  </si>
  <si>
    <t>NOTA:INA_ASSA_2023_0.pdf#16</t>
  </si>
  <si>
    <t>NOTA:INA_ASSA_2023_0.pdf#17</t>
  </si>
  <si>
    <t>markdown.md; tbl-62.html</t>
  </si>
  <si>
    <t>NOTA:INA_ASSA_2023_0.pdf#18</t>
  </si>
  <si>
    <t>markdown.md; tbl-63.html; tbl-64.html</t>
  </si>
  <si>
    <t>NOTA:INA_ASSA_2023_0.pdf#19</t>
  </si>
  <si>
    <t>markdown.md; tbl-65.html; tbl-66.html</t>
  </si>
  <si>
    <t>NOTA:INA_ASSA_2023_0.pdf#20</t>
  </si>
  <si>
    <t>NOTA:INA_ASSA_2023_0.pdf#21</t>
  </si>
  <si>
    <t>NOTA:INA_ASSA_2023_0.pdf#22</t>
  </si>
  <si>
    <t>markdown.md; tbl-69.html</t>
  </si>
  <si>
    <t>NOTA:INA_ASSA_2023_0.pdf#23</t>
  </si>
  <si>
    <t>markdown.md; tbl-70.html; tbl-71.html; +1 more</t>
  </si>
  <si>
    <t>NOTA:INA_ASSA_2023_0.pdf#24</t>
  </si>
  <si>
    <t>markdown.md; tbl-73.html</t>
  </si>
  <si>
    <t>NOTA:INA_ASSA_2023_0.pdf#25</t>
  </si>
  <si>
    <t>markdown.md; tbl-74.html; tbl-75.html; +3 more</t>
  </si>
  <si>
    <t>NOTA:INA_ASSA_2023_0.pdf#26</t>
  </si>
  <si>
    <t>NOTA:INA_ASSA_2023_0.pdf#27</t>
  </si>
  <si>
    <t>markdown.md; tbl-79.html; tbl-80.html</t>
  </si>
  <si>
    <t>NOTA:INA_ASSA_2023_0.pdf#28</t>
  </si>
  <si>
    <t>markdown.md; tbl-81.html</t>
  </si>
  <si>
    <t>NOTA:INA_ASSA_2023_0.pdf#29</t>
  </si>
  <si>
    <t>markdown.md; tbl-82.html; tbl-83.html; +12 more</t>
  </si>
  <si>
    <t>86</t>
  </si>
  <si>
    <t>NOTA:INA_ASSA_2023_0.pdf#31</t>
  </si>
  <si>
    <t>markdown.md; tbl-97.html</t>
  </si>
  <si>
    <t>NOTA:INA_ASSA_2023_0.pdf#32</t>
  </si>
  <si>
    <t>75</t>
  </si>
  <si>
    <t>NOTA:INA_ASSA_2023_0.pdf#34</t>
  </si>
  <si>
    <t>markdown.md; tbl-100.html; tbl-101.html; +2 more</t>
  </si>
  <si>
    <t>NOTA:INA_ASSA_2023_0.pdf#4</t>
  </si>
  <si>
    <t>markdown.md; tbl-27.html; tbl-28.html; +1 more</t>
  </si>
  <si>
    <t>NOTA:INA_ASSA_2023_0.pdf#5</t>
  </si>
  <si>
    <t>NOTA:INA_ASSA_2023_0.pdf#6</t>
  </si>
  <si>
    <t>markdown.md; tbl-31.html</t>
  </si>
  <si>
    <t>NOTA:INA_ASSA_2023_0.pdf#7</t>
  </si>
  <si>
    <t>markdown.md; tbl-32.html; tbl-33.html</t>
  </si>
  <si>
    <t>NOTA:INA_ASSA_2023_0.pdf#8</t>
  </si>
  <si>
    <t>markdown.md; tbl-35.html; tbl-36.html; +1 more</t>
  </si>
  <si>
    <t>NOTA:INA_ASSA_2023_0.pdf#9</t>
  </si>
  <si>
    <t>markdown.md; tbl-38.html; tbl-39.html; +4 more</t>
  </si>
  <si>
    <t>NOTA:INA_ASSA_2024_0.pdf#1</t>
  </si>
  <si>
    <t>markdown.md; tbl-19.html; tbl-20.html; +1 more</t>
  </si>
  <si>
    <t>NOTA:INA_ASSA_2024_0.pdf#10</t>
  </si>
  <si>
    <t>markdown.md; tbl-37.html; tbl-38.html; +5 more</t>
  </si>
  <si>
    <t>NOTA:INA_ASSA_2024_0.pdf#13</t>
  </si>
  <si>
    <t>markdown.md; tbl-44.html; tbl-45.html; +5 more</t>
  </si>
  <si>
    <t>NOTA:INA_ASSA_2024_0.pdf#14</t>
  </si>
  <si>
    <t>markdown.md; tbl-51.html; tbl-52.html; +2 more</t>
  </si>
  <si>
    <t>NOTA:INA_ASSA_2024_0.pdf#15</t>
  </si>
  <si>
    <t>markdown.md; tbl-55.html; tbl-56.html</t>
  </si>
  <si>
    <t>NOTA:INA_ASSA_2024_0.pdf#16</t>
  </si>
  <si>
    <t>markdown.md; tbl-57.html</t>
  </si>
  <si>
    <t>NOTA:INA_ASSA_2024_0.pdf#17</t>
  </si>
  <si>
    <t>NOTA:INA_ASSA_2024_0.pdf#18</t>
  </si>
  <si>
    <t>NOTA:INA_ASSA_2024_0.pdf#19</t>
  </si>
  <si>
    <t>markdown.md; tbl-61.html; tbl-62.html</t>
  </si>
  <si>
    <t>NOTA:INA_ASSA_2024_0.pdf#2</t>
  </si>
  <si>
    <t>markdown.md; tbl-22.html; tbl-23.html; +2 more</t>
  </si>
  <si>
    <t>375</t>
  </si>
  <si>
    <t>NOTA:INA_ASSA_2024_0.pdf#20</t>
  </si>
  <si>
    <t>markdown.md; tbl-63.html</t>
  </si>
  <si>
    <t>NOTA:INA_ASSA_2024_0.pdf#21</t>
  </si>
  <si>
    <t>NOTA:INA_ASSA_2024_0.pdf#22</t>
  </si>
  <si>
    <t>NOTA:INA_ASSA_2024_0.pdf#23</t>
  </si>
  <si>
    <t>markdown.md; tbl-66.html; tbl-67.html; +1 more</t>
  </si>
  <si>
    <t>NOTA:INA_ASSA_2024_0.pdf#24</t>
  </si>
  <si>
    <t>markdown.md; tbl-70.html</t>
  </si>
  <si>
    <t>NOTA:INA_ASSA_2024_0.pdf#25</t>
  </si>
  <si>
    <t>markdown.md; tbl-71.html; tbl-72.html; +2 more</t>
  </si>
  <si>
    <t>NOTA:INA_ASSA_2024_0.pdf#26</t>
  </si>
  <si>
    <t>NOTA:INA_ASSA_2024_0.pdf#27</t>
  </si>
  <si>
    <t>markdown.md; tbl-76.html; tbl-77.html</t>
  </si>
  <si>
    <t>NOTA:INA_ASSA_2024_0.pdf#28</t>
  </si>
  <si>
    <t>markdown.md; tbl-78.html</t>
  </si>
  <si>
    <t>NOTA:INA_ASSA_2024_0.pdf#29</t>
  </si>
  <si>
    <t>markdown.md; tbl-79.html; tbl-80.html; +11 more</t>
  </si>
  <si>
    <t>88</t>
  </si>
  <si>
    <t>NOTA:INA_ASSA_2024_0.pdf#31</t>
  </si>
  <si>
    <t>markdown.md; tbl-92.html</t>
  </si>
  <si>
    <t>54</t>
  </si>
  <si>
    <t>NOTA:INA_ASSA_2024_0.pdf#32</t>
  </si>
  <si>
    <t>markdown.md; tbl-100.html; tbl-101.html; +14 more</t>
  </si>
  <si>
    <t>134</t>
  </si>
  <si>
    <t>NOTA:INA_ASSA_2024_0.pdf#5</t>
  </si>
  <si>
    <t>markdown.md; tbl-26.html</t>
  </si>
  <si>
    <t>NOTA:INA_ASSA_2024_0.pdf#6</t>
  </si>
  <si>
    <t>markdown.md; tbl-27.html</t>
  </si>
  <si>
    <t>NOTA:INA_ASSA_2024_0.pdf#7</t>
  </si>
  <si>
    <t>markdown.md; tbl-28.html; tbl-29.html</t>
  </si>
  <si>
    <t>NOTA:INA_ASSA_2024_0.pdf#8</t>
  </si>
  <si>
    <t>markdown.md; tbl-30.html; tbl-31.html; +1 more</t>
  </si>
  <si>
    <t>NOTA:INA_ASSA_2024_0.pdf#9</t>
  </si>
  <si>
    <t>markdown.md; tbl-33.html; tbl-34.html; +2 more</t>
  </si>
  <si>
    <t>NOTA:INA_ASSA_2025_0.pdf#10</t>
  </si>
  <si>
    <t>markdown.md; tbl-33.html; tbl-34.html; +16 more</t>
  </si>
  <si>
    <t>210</t>
  </si>
  <si>
    <t>NOTA:INA_ASSA_2025_0.pdf#12</t>
  </si>
  <si>
    <t>markdown.md; tbl-52.html; tbl-53.html; +3 more</t>
  </si>
  <si>
    <t>NOTA:INA_ASSA_2025_0.pdf#14</t>
  </si>
  <si>
    <t>markdown.md; tbl-57.html; tbl-59.html; +2 more</t>
  </si>
  <si>
    <t>NOTA:INA_ASSA_2025_0.pdf#15</t>
  </si>
  <si>
    <t>NOTA:INA_ASSA_2025_0.pdf#16</t>
  </si>
  <si>
    <t>NOTA:INA_ASSA_2025_0.pdf#17</t>
  </si>
  <si>
    <t>markdown.md; tbl-64.html; tbl-65.html</t>
  </si>
  <si>
    <t>NOTA:INA_ASSA_2025_0.pdf#18</t>
  </si>
  <si>
    <t>markdown.md; tbl-66.html; tbl-67.html; +15 more</t>
  </si>
  <si>
    <t>83</t>
  </si>
  <si>
    <t>NOTA:INA_ASSA_2025_0.pdf#21</t>
  </si>
  <si>
    <t>markdown.md; tbl-86.html</t>
  </si>
  <si>
    <t>NOTA:INA_ASSA_2025_0.pdf#22</t>
  </si>
  <si>
    <t>NOTA:INA_ASSA_2025_0.pdf#23</t>
  </si>
  <si>
    <t>markdown.md; tbl-88.html; tbl-89.html; +3 more</t>
  </si>
  <si>
    <t>NOTA:INA_ASSA_2025_0.pdf#24</t>
  </si>
  <si>
    <t>markdown.md; tbl-93.html</t>
  </si>
  <si>
    <t>NOTA:INA_ASSA_2025_0.pdf#25</t>
  </si>
  <si>
    <t>markdown.md; tbl-100.html; tbl-101.html; +4 more</t>
  </si>
  <si>
    <t>NOTA:INA_ASSA_2025_0.pdf#28</t>
  </si>
  <si>
    <t>markdown.md; tbl-102.html; tbl-103.html; +2 more</t>
  </si>
  <si>
    <t>NOTA:INA_ASSA_2025_0.pdf#29</t>
  </si>
  <si>
    <t>markdown.md; tbl-106.html; tbl-107.html; +4 more</t>
  </si>
  <si>
    <t>NOTA:INA_ASSA_2025_0.pdf#3</t>
  </si>
  <si>
    <t>markdown.md; tbl-23.html</t>
  </si>
  <si>
    <t>117</t>
  </si>
  <si>
    <t>NOTA:INA_ASSA_2025_0.pdf#30</t>
  </si>
  <si>
    <t>NOTA:INA_ASSA_2025_0.pdf#31</t>
  </si>
  <si>
    <t>markdown.md; tbl-112.html; tbl-113.html</t>
  </si>
  <si>
    <t>NOTA:INA_ASSA_2025_0.pdf#32</t>
  </si>
  <si>
    <t>NOTA:INA_ASSA_2025_0.pdf#33</t>
  </si>
  <si>
    <t>markdown.md; tbl-114.html; tbl-115.html; +4 more</t>
  </si>
  <si>
    <t>NOTA:INA_ASSA_2025_0.pdf#8</t>
  </si>
  <si>
    <t>markdown.md; tbl-24.html; tbl-25.html; +2 more</t>
  </si>
  <si>
    <t>NOTA:INA_ASSA_2025_0.pdf#9</t>
  </si>
  <si>
    <t>markdown.md; tbl-28.html; tbl-29.html; +3 more</t>
  </si>
  <si>
    <t>DRIVER:EEFF:Gastos generales y administrativos</t>
  </si>
  <si>
    <t>DRIVER_EEFF</t>
  </si>
  <si>
    <t>Supuestos</t>
  </si>
  <si>
    <t>Gastos generales y administrativos — driver activo</t>
  </si>
  <si>
    <t>DRIVER:EEFF:Gastos generales y administrativos; EEFF:Ingresos por servicios de seguro</t>
  </si>
  <si>
    <t>G&amp;A ÷ ingreso (hist; B:D legacy s/primas retenidas, E:F NIIF17 s/ingreso servicio)</t>
  </si>
  <si>
    <t>Gastos generales y administrativos; EEFF:Ingresos por servicios de seguro</t>
  </si>
  <si>
    <t>DRIVER:EEFF:Gastos por servicios de seguro</t>
  </si>
  <si>
    <t>Gastos por servicios de seguro — driver activo (ratio negativo)</t>
  </si>
  <si>
    <t>DRIVER:EEFF:Gastos por servicios de seguro; EEFF:Ingresos por servicios de seguro</t>
  </si>
  <si>
    <t>Gasto ÷ ingreso (hist; B:D legacy reclamos s/primas, E:F NIIF17 gasto servicio s/ingreso servicio)</t>
  </si>
  <si>
    <t>Gastos por servicios de seguro; EEFF:Ingresos por servicios de seguro</t>
  </si>
  <si>
    <t>DRIVER:EEFF:Ingresos por servicios de seguro</t>
  </si>
  <si>
    <t>Ingresos por servicios de seguro — driver activo (base NIIF 17)</t>
  </si>
  <si>
    <t>INSURANCE_SCHEDULE:Premiums_Claims</t>
  </si>
  <si>
    <t>INSURANCE_SCHEDULE</t>
  </si>
  <si>
    <t>Premiums_Claims</t>
  </si>
  <si>
    <t>a working file kept by the maintainer</t>
  </si>
  <si>
    <t>Hechos verbatim citados por bloque dentro de la hoja (mirror OCR tbl-35/57/58/61/68-72, Nota 20/23, MD&amp;A); refs EEFF vivas resueltas por label.</t>
  </si>
  <si>
    <t>INSURANCE_SCHEDULE:Claims_Reserves</t>
  </si>
  <si>
    <t>Claims_Reserves</t>
  </si>
  <si>
    <t>94</t>
  </si>
  <si>
    <t>INSURANCE_SCHEDULE:Reinsurance</t>
  </si>
  <si>
    <t>Reinsurance</t>
  </si>
  <si>
    <t>38</t>
  </si>
  <si>
    <t>INSURANCE_SCHEDULE:Investments</t>
  </si>
  <si>
    <t>Investments</t>
  </si>
  <si>
    <t>60</t>
  </si>
  <si>
    <t>INSURANCE_SCHEDULE:Investment_Float</t>
  </si>
  <si>
    <t>Investment_Float</t>
  </si>
  <si>
    <t>INSURANCE_SCHEDULE:Solvency_Capital</t>
  </si>
  <si>
    <t>Solvency_Capital</t>
  </si>
  <si>
    <t>40</t>
  </si>
  <si>
    <t>INSURANCE_SCHEDULE:Unit_Economics</t>
  </si>
  <si>
    <t>Unit_Economics</t>
  </si>
  <si>
    <t>69</t>
  </si>
  <si>
    <t>INSURANCE_SCHEDULE:MD&amp;A</t>
  </si>
  <si>
    <t>MD&amp;A</t>
  </si>
  <si>
    <t>INSURANCE_SCHEDULE:Valuation</t>
  </si>
  <si>
    <t>Valuation</t>
  </si>
  <si>
    <t>REGULATORY_WEB:SSRP_MARGEN_SOLVENCIA</t>
  </si>
  <si>
    <t>REGULATORY_WEB</t>
  </si>
  <si>
    <t>https://www.superseguros.gob.pa/estadistica-financiera/margen-de-solvencia/</t>
  </si>
  <si>
    <t>46210</t>
  </si>
  <si>
    <t>SSRP publica margen de solvencia trimestral (I-2016..I-2026); el margen específico de ASSA: NOT_FOUND esta pasada (el índice no expone enlaces directos a los PDF).</t>
  </si>
  <si>
    <t>REGULATORY_WEB:SSRP_LEY_12_2012</t>
  </si>
  <si>
    <t>https://www.superseguros.gob.pa/wp-content/uploads/2019/09/Leyes-ley-2012-012.pdf</t>
  </si>
  <si>
    <t>Ley 12 de 2012 (regula la actividad de seguros; modificada por Ley 65 de 2016) — texto oficial SSRP.</t>
  </si>
  <si>
    <t>REGULATORY_WEB:SSRP_SUJETO_REGULADO_ASSA</t>
  </si>
  <si>
    <t>https://superseguros.gob.pa/sujetosregulados/assa-compania-de-seguros-s-a/</t>
  </si>
  <si>
    <t>ASSA Compañía de Seguros, S.A. listada como sujeto regulado de la SSRP.</t>
  </si>
  <si>
    <t>REGULATORY_WEB:SSRP_DES_C_04_2026</t>
  </si>
  <si>
    <t>https://www.superseguros.gob.pa/wp-content/uploads/DES-C-04-2026.pdf</t>
  </si>
  <si>
    <t>SSRP resumen acumulado al 30-abr-2026 (seguro directo): ASSA Cía. de Seguros — pólizas vigentes 377,602 (2025: 356,126); primas suscritas US$184,158,112.66 (2025: 180,612,701); siniestros pagados US$52,273,848.30 (2025: 65,175,756). Alcance subsidiaria Panamá, NO grupo consolidado.</t>
  </si>
  <si>
    <t>REGULATORY_WEB:SMV_LISTADO_EMISORES</t>
  </si>
  <si>
    <t>Solvency_Capital; MD&amp;A</t>
  </si>
  <si>
    <t>https://supervalores.gob.pa/files/iper/pj_er/emisores/listado_emisores.pdf</t>
  </si>
  <si>
    <t>SMV listado de emisores al 31-may-2026: Grupo Assa, S.A. — Acciones Comunes — Tenedora de Acciones (registrada ante la SMV desde julio 1999).</t>
  </si>
  <si>
    <t>REGULATORY_WEB:SBP_LICENCIA_GENERAL</t>
  </si>
  <si>
    <t>https://www.superbancos.gob.pa/info-gen-bancos/licencia-general</t>
  </si>
  <si>
    <t>SBP: Banco General, S.A. opera con Licencia General — relevante por la participación estratégica de ASSA en Grupo Financiero BG (FV US$508.9M, tbl-61).</t>
  </si>
  <si>
    <t>REGULATORY_WEB:LATINEX_PIZARRA_ASSA</t>
  </si>
  <si>
    <t>https://www.latinexbolsa.com/es/detalle-de-emisor/?code=ASSA</t>
  </si>
  <si>
    <t>Pizarra Latinex: precio ASSA US$140.00 (consultado 2026-07-07). Insumo del P/B memo de Valuation.</t>
  </si>
  <si>
    <t>REGULATORY_WEB:ASSANET_PRECIO_CIERRE_2025</t>
  </si>
  <si>
    <t>Valuation; MD&amp;A</t>
  </si>
  <si>
    <t>https://www.assanet.com/grupoassa/nota-de-prensa-reunion-de-accionistas-grupo-assa/</t>
  </si>
  <si>
    <t>Nota de prensa Grupo ASSA: cierre 31-dic-2025 US$126.00/acción (+26% vs 2024); dividendos 2025 US$6.50 + US$7.28 extraordinario.</t>
  </si>
  <si>
    <t>REGULATORY_WEB:MEMORIA_ASSA_2025_BVPS</t>
  </si>
  <si>
    <t>https://fliphtml5.com/FLBOOK/Mayo-20_Memoria-ASSA_FINAL_2025/</t>
  </si>
  <si>
    <t>Memoria ASSA 2025: valor en libros por acción US$154.49 al 31-dic-2025; P/B 0.82x; 147,864 acciones transadas por US$16M en 2025.</t>
  </si>
  <si>
    <t>_CHANGELOG — generation record for assa.</t>
  </si>
  <si>
    <t>Internal build history omitted from the public export. Record public changes below.</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</si>
  <si>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</si>
  <si>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</si>
  <si>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</si>
  <si>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</si>
  <si>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</si>
  <si>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</si>
  <si>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</si>
  <si>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</si>
  <si>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Premiums_Claims: 3 cells written, at A8, A17, A38; Claims_Reserves: 6 cells written, at A17, A51, A57, A65, A66, A92; Reinsurance: 2 cells written, at A3, A9; Investments: 2 cells written, at A3, A57; Solvency_Capital: 4 cells written, at A3, A10, A17, A28; Valuation: 2 cells written, at A3, A10; _CHECKS: 1 cell written, at G12; Source_Register: 12 cells written, at A2, I5, M5, I141, I142, I143, I144, I145, I146, I147, I148, I149;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</si>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</sst>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11">
    <numFmt numFmtId="164" formatCode="#,##0;(#,##0);-"/>
    <numFmt numFmtId="165" formatCode="General"/>
    <numFmt numFmtId="166" formatCode="0.0%"/>
    <numFmt numFmtId="167" formatCode="0"/>
    <numFmt numFmtId="168" formatCode="@"/>
    <numFmt numFmtId="169" formatCode="#,##0;[Red](#,##0);-"/>
    <numFmt numFmtId="170" formatCode="0.00%;(0.00%);-"/>
    <numFmt numFmtId="171" formatCode="0.00&quot;x&quot;"/>
    <numFmt numFmtId="172" formatCode="#,##0.00;(#,##0.00);-"/>
    <numFmt numFmtId="173" formatCode="yyyy-mm-dd"/>
    <numFmt numFmtId="174" formatCode="yyyy\-mm\-dd hh:mm"/>
  </numFmts>
  <fonts count="12">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00000"/>
      <name val="Arial"/>
    </font>
    <font>
      <b/>
      <i val="0"/>
      <strike val="0"/>
      <sz val="10"/>
      <color rgb="FF0432FF"/>
      <name val="Arial"/>
    </font>
    <font>
      <b val="0"/>
      <i val="0"/>
      <strike val="0"/>
      <sz val="10"/>
      <color rgb="FF000000"/>
      <name val="Arial"/>
    </font>
    <font>
      <b val="0"/>
      <i val="0"/>
      <strike val="0"/>
      <sz val="10"/>
      <name val="Arial"/>
    </font>
    <font>
      <b val="0"/>
      <i/>
      <strike val="0"/>
      <sz val="10"/>
      <color rgb="FF000000"/>
      <name val="Arial"/>
    </font>
    <font>
      <b val="0"/>
      <i val="0"/>
      <strike val="0"/>
      <sz val="10"/>
      <color rgb="FF00703C"/>
      <name val="Arial"/>
    </font>
    <font>
      <b/>
      <i val="0"/>
      <strike val="0"/>
      <sz val="10"/>
      <color rgb="FF00703C"/>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left style="thin">
        <color rgb="FF000000"/>
      </left>
    </border>
    <border>
      <left style="thin">
        <color rgb="FF000000"/>
      </left>
      <top style="thin">
        <color rgb="FF000000"/>
      </top>
    </border>
    <border>
      <top style="thin">
        <color rgb="FF000000"/>
      </top>
    </border>
  </borders>
  <cellStyleXfs count="1">
    <xf numFmtId="0" fontId="1" fillId="0" borderId="0"/>
  </cellStyleXfs>
  <cellXfs count="127">
    <xf numFmtId="0" fontId="1" fillId="0" borderId="0" xfId="0" applyFont="1"/>
    <xf numFmtId="164" fontId="2" fillId="0" borderId="1" xfId="0" applyNumberFormat="1" applyFont="1" applyBorder="1" applyAlignment="1">
      <alignment horizontal="right" vertical="bottom" textRotation="0" indent="0" readingOrder="0"/>
    </xf>
    <xf numFmtId="164" fontId="2" fillId="0" borderId="0" xfId="0" applyNumberFormat="1" applyFont="1" applyAlignment="1">
      <alignment horizontal="right" vertical="bottom" textRotation="0" indent="0" readingOrder="0"/>
    </xf>
    <xf numFmtId="165" fontId="3" fillId="2" borderId="0" xfId="0" applyNumberFormat="1" applyFont="1" applyFill="1" applyAlignment="1">
      <alignment horizontal="center" vertical="bottom" textRotation="0" indent="0" readingOrder="0"/>
    </xf>
    <xf numFmtId="164" fontId="4" fillId="0" borderId="2"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65" fontId="3" fillId="3" borderId="0" xfId="0" applyNumberFormat="1" applyFont="1" applyFill="1" applyAlignment="1">
      <alignment horizontal="center" vertical="bottom" textRotation="0" indent="0" readingOrder="0"/>
    </xf>
    <xf numFmtId="165" fontId="3" fillId="0" borderId="3" xfId="0" applyNumberFormat="1" applyFont="1" applyBorder="1" applyAlignment="1">
      <alignment horizontal="left" vertical="bottom" textRotation="0" indent="0" readingOrder="0"/>
    </xf>
    <xf numFmtId="165" fontId="3" fillId="2" borderId="1" xfId="0" applyNumberFormat="1" applyFont="1" applyFill="1" applyBorder="1" applyAlignment="1">
      <alignment horizontal="center" vertical="bottom" textRotation="0" indent="0" readingOrder="0"/>
    </xf>
    <xf numFmtId="165" fontId="6" fillId="0" borderId="1" xfId="0" applyNumberFormat="1" applyFont="1" applyBorder="1"/>
    <xf numFmtId="165" fontId="3" fillId="3" borderId="0" xfId="0" applyNumberFormat="1" applyFont="1" applyFill="1" applyAlignment="1">
      <alignment horizontal="left" vertical="bottom" textRotation="0" indent="0" readingOrder="0"/>
    </xf>
    <xf numFmtId="166" fontId="2" fillId="4" borderId="0" xfId="0" applyNumberFormat="1" applyFont="1" applyFill="1" applyAlignment="1">
      <alignment horizontal="right" vertical="bottom" textRotation="0" indent="0" readingOrder="0"/>
    </xf>
    <xf numFmtId="165" fontId="7" fillId="0" borderId="0" xfId="0" applyNumberFormat="1" applyFont="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6" fontId="5" fillId="0" borderId="0" xfId="0" applyNumberFormat="1" applyFont="1" applyAlignment="1">
      <alignment horizontal="right" vertical="bottom" textRotation="0" indent="0" readingOrder="0"/>
    </xf>
    <xf numFmtId="165" fontId="3" fillId="2" borderId="1" xfId="0" applyNumberFormat="1" applyFont="1" applyFill="1" applyBorder="1" applyAlignment="1">
      <alignment horizontal="center"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6" fontId="8" fillId="0" borderId="0" xfId="0" applyNumberFormat="1" applyFont="1" applyAlignment="1">
      <alignment horizontal="right" vertical="bottom" textRotation="0" indent="0" readingOrder="0"/>
    </xf>
    <xf numFmtId="165" fontId="3" fillId="2" borderId="0" xfId="0" applyNumberFormat="1" applyFont="1" applyFill="1" applyAlignment="1">
      <alignment horizontal="center" vertical="bottom" textRotation="0" indent="0" readingOrder="0"/>
    </xf>
    <xf numFmtId="166" fontId="2" fillId="4" borderId="1" xfId="0" applyNumberFormat="1" applyFont="1" applyFill="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6" fillId="0" borderId="1" xfId="0" applyNumberFormat="1" applyFont="1" applyBorder="1"/>
    <xf numFmtId="165" fontId="6" fillId="3" borderId="0" xfId="0" applyNumberFormat="1" applyFont="1" applyFill="1"/>
    <xf numFmtId="165" fontId="3" fillId="3" borderId="0" xfId="0" applyNumberFormat="1" applyFont="1" applyFill="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7" fontId="5" fillId="0" borderId="0" xfId="0" applyNumberFormat="1" applyFont="1" applyAlignment="1">
      <alignment horizontal="right" vertical="bottom" textRotation="0" indent="0" readingOrder="0"/>
    </xf>
    <xf numFmtId="165" fontId="6" fillId="2" borderId="0" xfId="0" applyNumberFormat="1" applyFont="1" applyFill="1"/>
    <xf numFmtId="165" fontId="6" fillId="2" borderId="1" xfId="0" applyNumberFormat="1" applyFont="1" applyFill="1" applyBorder="1"/>
    <xf numFmtId="165" fontId="3" fillId="3" borderId="0" xfId="0" applyNumberFormat="1" applyFont="1" applyFill="1" applyAlignment="1">
      <alignment horizontal="center" vertical="bottom" textRotation="0" indent="0" readingOrder="0"/>
    </xf>
    <xf numFmtId="167" fontId="2" fillId="4" borderId="0" xfId="0" applyNumberFormat="1" applyFont="1" applyFill="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7" fontId="5"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8" fontId="5" fillId="0" borderId="0" xfId="0" applyNumberFormat="1" applyFont="1" applyAlignment="1">
      <alignment horizontal="left" vertical="top" textRotation="0" wrapText="1" indent="0" readingOrder="0"/>
    </xf>
    <xf numFmtId="168" fontId="5" fillId="0" borderId="0" xfId="0" applyNumberFormat="1" applyFont="1" applyAlignment="1">
      <alignment horizontal="left" vertical="top" textRotation="0" indent="0" readingOrder="0"/>
    </xf>
    <xf numFmtId="168" fontId="8" fillId="0" borderId="0" xfId="0" applyNumberFormat="1" applyFont="1" applyAlignment="1">
      <alignment horizontal="left" vertical="top" textRotation="0" indent="0" readingOrder="0"/>
    </xf>
    <xf numFmtId="169" fontId="2" fillId="0" borderId="0" xfId="0" applyNumberFormat="1" applyFont="1" applyAlignment="1">
      <alignment horizontal="right" vertical="top" textRotation="0" indent="0" readingOrder="0"/>
    </xf>
    <xf numFmtId="165" fontId="3" fillId="3" borderId="0" xfId="0" applyNumberFormat="1" applyFont="1" applyFill="1" applyAlignment="1">
      <alignment horizontal="left" vertical="top" textRotation="0" wrapText="1" indent="0" readingOrder="0"/>
    </xf>
    <xf numFmtId="165" fontId="5" fillId="0" borderId="0" xfId="0" applyNumberFormat="1" applyFont="1"/>
    <xf numFmtId="165" fontId="3" fillId="2" borderId="0" xfId="0" applyNumberFormat="1" applyFont="1" applyFill="1" applyAlignment="1">
      <alignment horizontal="left" vertical="top" textRotation="0" wrapText="1" indent="0" readingOrder="0"/>
    </xf>
    <xf numFmtId="165" fontId="3" fillId="0" borderId="0" xfId="0" applyNumberFormat="1" applyFont="1"/>
    <xf numFmtId="164" fontId="2" fillId="0" borderId="3" xfId="0" applyNumberFormat="1" applyFont="1" applyBorder="1" applyAlignment="1">
      <alignment horizontal="right" vertical="bottom" textRotation="0" indent="0" readingOrder="0"/>
    </xf>
    <xf numFmtId="165" fontId="6" fillId="0" borderId="0" xfId="0" applyNumberFormat="1" applyFont="1"/>
    <xf numFmtId="164" fontId="5" fillId="0" borderId="3" xfId="0" applyNumberFormat="1" applyFont="1" applyBorder="1" applyAlignment="1">
      <alignment horizontal="right" vertical="bottom" textRotation="0" indent="0" readingOrder="0"/>
    </xf>
    <xf numFmtId="165" fontId="3" fillId="0" borderId="3" xfId="0" applyNumberFormat="1" applyFont="1" applyBorder="1" applyAlignment="1">
      <alignment horizontal="left" vertical="bottom" textRotation="0" indent="0" readingOrder="0"/>
    </xf>
    <xf numFmtId="165" fontId="3" fillId="3" borderId="0" xfId="0" applyNumberFormat="1" applyFont="1" applyFill="1" applyAlignment="1">
      <alignment horizontal="center" vertical="bottom" textRotation="0" indent="0" readingOrder="0"/>
    </xf>
    <xf numFmtId="164" fontId="2"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3" fillId="3" borderId="1" xfId="0" applyNumberFormat="1" applyFont="1" applyFill="1" applyBorder="1" applyAlignment="1">
      <alignment horizontal="center" vertical="bottom" textRotation="0" indent="0" readingOrder="0"/>
    </xf>
    <xf numFmtId="165" fontId="6" fillId="0" borderId="1" xfId="0" applyNumberFormat="1" applyFont="1" applyBorder="1"/>
    <xf numFmtId="165" fontId="5" fillId="0" borderId="3" xfId="0" applyNumberFormat="1" applyFont="1" applyBorder="1" applyAlignment="1">
      <alignment horizontal="left" vertical="bottom" textRotation="0" indent="0" readingOrder="0"/>
    </xf>
    <xf numFmtId="165" fontId="3" fillId="3" borderId="0" xfId="0" applyNumberFormat="1" applyFont="1" applyFill="1" applyAlignment="1">
      <alignment horizontal="left" vertical="bottom" textRotation="0" indent="0" readingOrder="0"/>
    </xf>
    <xf numFmtId="164" fontId="3" fillId="0" borderId="2"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5" fontId="6" fillId="3" borderId="0" xfId="0" applyNumberFormat="1" applyFont="1" applyFill="1"/>
    <xf numFmtId="165" fontId="3" fillId="2" borderId="1" xfId="0" applyNumberFormat="1" applyFont="1" applyFill="1" applyBorder="1" applyAlignment="1">
      <alignment horizontal="center" vertical="bottom" textRotation="0" indent="0" readingOrder="0"/>
    </xf>
    <xf numFmtId="165" fontId="3" fillId="2" borderId="0" xfId="0" applyNumberFormat="1" applyFont="1" applyFill="1" applyAlignment="1">
      <alignment horizontal="center" vertical="bottom" textRotation="0" indent="0" readingOrder="0"/>
    </xf>
    <xf numFmtId="165" fontId="6" fillId="2" borderId="1" xfId="0" applyNumberFormat="1" applyFont="1" applyFill="1" applyBorder="1"/>
    <xf numFmtId="170" fontId="5" fillId="0" borderId="0" xfId="0" applyNumberFormat="1" applyFont="1" applyAlignment="1">
      <alignment horizontal="right" vertical="bottom" textRotation="0" indent="0" readingOrder="0"/>
    </xf>
    <xf numFmtId="170" fontId="8" fillId="0" borderId="0" xfId="0" applyNumberFormat="1" applyFont="1" applyAlignment="1">
      <alignment horizontal="right" vertical="bottom" textRotation="0" indent="0" readingOrder="0"/>
    </xf>
    <xf numFmtId="165" fontId="6" fillId="2" borderId="0" xfId="0" applyNumberFormat="1" applyFont="1" applyFill="1"/>
    <xf numFmtId="164" fontId="8" fillId="0" borderId="0" xfId="0" applyNumberFormat="1" applyFont="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8" fillId="0" borderId="3" xfId="0" applyNumberFormat="1" applyFont="1" applyBorder="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8" fillId="0" borderId="2"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72" fontId="5" fillId="0" borderId="1" xfId="0" applyNumberFormat="1" applyFont="1" applyBorder="1" applyAlignment="1">
      <alignment horizontal="right" vertical="bottom" textRotation="0" indent="0" readingOrder="0"/>
    </xf>
    <xf numFmtId="172" fontId="5" fillId="0" borderId="0" xfId="0" applyNumberFormat="1" applyFont="1" applyAlignment="1">
      <alignment horizontal="right" vertical="bottom" textRotation="0" indent="0" readingOrder="0"/>
    </xf>
    <xf numFmtId="172" fontId="2" fillId="4" borderId="0" xfId="0" applyNumberFormat="1" applyFont="1" applyFill="1" applyAlignment="1">
      <alignment horizontal="right" vertical="bottom" textRotation="0" indent="0" readingOrder="0"/>
    </xf>
    <xf numFmtId="170" fontId="8" fillId="0" borderId="1" xfId="0" applyNumberFormat="1" applyFont="1" applyBorder="1" applyAlignment="1">
      <alignment horizontal="right" vertical="bottom" textRotation="0" indent="0" readingOrder="0"/>
    </xf>
    <xf numFmtId="170" fontId="8" fillId="0" borderId="3" xfId="0" applyNumberFormat="1" applyFont="1" applyBorder="1" applyAlignment="1">
      <alignment horizontal="right" vertical="bottom" textRotation="0" indent="0" readingOrder="0"/>
    </xf>
    <xf numFmtId="170" fontId="5" fillId="0" borderId="3" xfId="0" applyNumberFormat="1" applyFont="1" applyBorder="1" applyAlignment="1">
      <alignment horizontal="right" vertical="bottom" textRotation="0" indent="0" readingOrder="0"/>
    </xf>
    <xf numFmtId="167" fontId="5" fillId="0" borderId="0" xfId="0" applyNumberFormat="1" applyFont="1" applyAlignment="1">
      <alignment horizontal="right" vertical="bottom" textRotation="0" indent="0" readingOrder="0"/>
    </xf>
    <xf numFmtId="167" fontId="5"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65" fontId="6" fillId="2" borderId="0" xfId="0" applyNumberFormat="1" applyFont="1" applyFill="1"/>
    <xf numFmtId="165" fontId="3" fillId="2" borderId="0" xfId="0" applyNumberFormat="1" applyFont="1" applyFill="1" applyAlignment="1">
      <alignment horizontal="center" vertical="bottom" textRotation="0" indent="0" readingOrder="0"/>
    </xf>
    <xf numFmtId="165" fontId="3" fillId="0" borderId="3" xfId="0" applyNumberFormat="1" applyFont="1" applyBorder="1" applyAlignment="1">
      <alignment horizontal="left" vertical="bottom" textRotation="0" indent="0" readingOrder="0"/>
    </xf>
    <xf numFmtId="165" fontId="6" fillId="0" borderId="0" xfId="0" applyNumberFormat="1" applyFont="1"/>
    <xf numFmtId="165" fontId="3" fillId="3" borderId="0" xfId="0" applyNumberFormat="1" applyFont="1" applyFill="1" applyAlignment="1">
      <alignment horizontal="left" vertical="bottom" textRotation="0" indent="0" readingOrder="0"/>
    </xf>
    <xf numFmtId="165" fontId="3" fillId="3" borderId="0" xfId="0" applyNumberFormat="1" applyFont="1" applyFill="1" applyAlignment="1">
      <alignment horizontal="center" vertical="bottom" textRotation="0" indent="0" readingOrder="0"/>
    </xf>
    <xf numFmtId="164" fontId="8" fillId="0" borderId="1" xfId="0" applyNumberFormat="1" applyFont="1" applyBorder="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5" fontId="3" fillId="2" borderId="1" xfId="0" applyNumberFormat="1" applyFont="1" applyFill="1" applyBorder="1" applyAlignment="1">
      <alignment horizontal="center" vertical="bottom" textRotation="0" indent="0" readingOrder="0"/>
    </xf>
    <xf numFmtId="165" fontId="6" fillId="2" borderId="1" xfId="0" applyNumberFormat="1" applyFont="1" applyFill="1" applyBorder="1"/>
    <xf numFmtId="165" fontId="6" fillId="3" borderId="0" xfId="0" applyNumberFormat="1" applyFont="1" applyFill="1"/>
    <xf numFmtId="164" fontId="9" fillId="0" borderId="2" xfId="0" applyNumberFormat="1" applyFont="1" applyBorder="1" applyAlignment="1">
      <alignment horizontal="right" vertical="bottom" textRotation="0" indent="0" readingOrder="0"/>
    </xf>
    <xf numFmtId="165" fontId="6" fillId="0" borderId="1" xfId="0" applyNumberFormat="1" applyFont="1" applyBorder="1"/>
    <xf numFmtId="165" fontId="5" fillId="0" borderId="0" xfId="0" applyNumberFormat="1" applyFont="1" applyAlignment="1">
      <alignment horizontal="left" vertical="bottom" textRotation="0" indent="0" readingOrder="0"/>
    </xf>
    <xf numFmtId="165" fontId="5" fillId="0" borderId="0" xfId="0" applyNumberFormat="1" applyFont="1"/>
    <xf numFmtId="165" fontId="3" fillId="3" borderId="0" xfId="0" applyNumberFormat="1" applyFont="1" applyFill="1" applyAlignment="1">
      <alignment horizontal="left" vertical="bottom" textRotation="0" indent="0" readingOrder="0"/>
    </xf>
    <xf numFmtId="164" fontId="8"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5" fontId="3" fillId="2" borderId="1" xfId="0" applyNumberFormat="1" applyFont="1" applyFill="1" applyBorder="1" applyAlignment="1">
      <alignment horizontal="left" vertical="bottom" textRotation="0" indent="0" readingOrder="0"/>
    </xf>
    <xf numFmtId="165" fontId="3" fillId="2" borderId="1" xfId="0" applyNumberFormat="1" applyFont="1" applyFill="1" applyBorder="1" applyAlignment="1">
      <alignment horizontal="center" vertical="bottom" textRotation="0" indent="0" readingOrder="0"/>
    </xf>
    <xf numFmtId="165" fontId="3" fillId="0" borderId="0" xfId="0" applyNumberFormat="1" applyFont="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5" fontId="3" fillId="0" borderId="0" xfId="0" applyNumberFormat="1" applyFont="1" applyAlignment="1">
      <alignment horizontal="left" vertical="bottom" textRotation="0" indent="0" readingOrder="0"/>
    </xf>
    <xf numFmtId="165" fontId="5" fillId="0" borderId="0" xfId="0" applyNumberFormat="1" applyFont="1"/>
    <xf numFmtId="173" fontId="5" fillId="0" borderId="0" xfId="0" applyNumberFormat="1" applyFont="1"/>
    <xf numFmtId="165" fontId="3" fillId="0" borderId="0" xfId="0" applyNumberFormat="1" applyFont="1" applyAlignment="1">
      <alignment horizontal="center" vertical="bottom" textRotation="0" indent="0" readingOrder="0"/>
    </xf>
    <xf numFmtId="165" fontId="3" fillId="0" borderId="0" xfId="0" applyNumberFormat="1" applyFont="1"/>
    <xf numFmtId="165" fontId="9" fillId="0" borderId="0" xfId="0" applyNumberFormat="1" applyFont="1" applyAlignment="1">
      <alignment horizontal="center" vertical="bottom" textRotation="0" indent="0" readingOrder="0"/>
    </xf>
    <xf numFmtId="0" fontId="10" fillId="0" borderId="0" xfId="0" applyFont="1" applyFill="1" applyProtection="1">
      <protection locked="1" hidden="0"/>
    </xf>
    <xf numFmtId="0" fontId="11" fillId="0" borderId="0" xfId="0" applyFont="1" applyFill="1" applyAlignment="1" applyProtection="1">
      <alignment vertical="top"/>
      <protection locked="1" hidden="0"/>
    </xf>
    <xf numFmtId="174" fontId="11"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0"/>
  <sheetViews>
    <sheetView showGridLines="0" tabSelected="1" workbookViewId="0"/>
  </sheetViews>
  <sheetFormatPr defaultColWidth="8.375" defaultRowHeight="15"/>
  <cols>
    <col min="1" max="1" width="43.125" customWidth="1"/>
    <col min="2" max="11" width="12.5" customWidth="1"/>
  </cols>
  <sheetData>
    <row r="1">
      <c r="A1" s="108" t="s">
        <v>0</v>
      </c>
      <c r="B1" s="8"/>
      <c r="C1" s="8"/>
      <c r="D1" s="8"/>
      <c r="E1" s="8"/>
      <c r="F1" s="8"/>
      <c r="G1" s="10"/>
      <c r="H1" s="3"/>
      <c r="I1" s="3"/>
      <c r="J1" s="3"/>
      <c r="K1" s="3"/>
    </row>
    <row r="2">
      <c r="A2" s="106" t="s">
        <v>1</v>
      </c>
      <c r="G2" s="11"/>
    </row>
    <row r="3">
      <c r="A3" s="106" t="s">
        <v>2</v>
      </c>
      <c r="G3" s="11"/>
    </row>
    <row r="4">
      <c r="A4" s="7"/>
      <c r="B4" s="7"/>
      <c r="C4" s="7"/>
      <c r="D4" s="7"/>
      <c r="E4" s="7"/>
      <c r="F4" s="7"/>
      <c r="G4" s="11"/>
      <c r="H4" s="7"/>
      <c r="I4" s="7"/>
      <c r="J4" s="7"/>
      <c r="K4" s="7"/>
    </row>
    <row r="5">
      <c r="A5" s="108" t="s">
        <v>3</v>
      </c>
      <c r="B5" s="98" t="s">
        <v>4</v>
      </c>
      <c r="C5" s="98" t="s">
        <v>5</v>
      </c>
      <c r="D5" s="98" t="s">
        <v>6</v>
      </c>
      <c r="E5" s="98" t="s">
        <v>7</v>
      </c>
      <c r="F5" s="98" t="s">
        <v>8</v>
      </c>
      <c r="G5" s="115" t="s">
        <v>9</v>
      </c>
      <c r="H5" s="94" t="s">
        <v>10</v>
      </c>
      <c r="I5" s="94" t="s">
        <v>11</v>
      </c>
      <c r="J5" s="94" t="s">
        <v>12</v>
      </c>
      <c r="K5" s="94" t="s">
        <v>13</v>
      </c>
    </row>
    <row r="6">
      <c r="A6" s="108" t="s">
        <v>14</v>
      </c>
      <c r="B6" s="8"/>
      <c r="C6" s="8"/>
      <c r="D6" s="8"/>
      <c r="E6" s="8"/>
      <c r="F6" s="8"/>
      <c r="G6" s="10"/>
      <c r="H6" s="3"/>
      <c r="I6" s="3"/>
      <c r="J6" s="3"/>
      <c r="K6" s="3"/>
    </row>
    <row r="7">
      <c r="A7" s="106" t="s">
        <v>15</v>
      </c>
      <c r="G7" s="11"/>
    </row>
    <row r="8">
      <c r="A8" s="106" t="s">
        <v>16</v>
      </c>
      <c r="B8" s="50">
        <v>657884741</v>
      </c>
      <c r="C8" s="50">
        <v>698200257</v>
      </c>
      <c r="D8" s="50">
        <v>817173751</v>
      </c>
      <c r="E8" s="50">
        <v>841095242</v>
      </c>
      <c r="F8" s="2"/>
      <c r="G8" s="1"/>
      <c r="H8" s="2"/>
      <c r="I8" s="2"/>
      <c r="J8" s="2"/>
      <c r="K8" s="2"/>
    </row>
    <row r="9">
      <c r="A9" s="106" t="s">
        <v>17</v>
      </c>
      <c r="B9" s="50">
        <v>-356304040</v>
      </c>
      <c r="C9" s="50">
        <v>-361584073</v>
      </c>
      <c r="D9" s="50">
        <v>-435628239</v>
      </c>
      <c r="E9" s="50">
        <v>-426032825</v>
      </c>
      <c r="F9" s="2"/>
      <c r="G9" s="1"/>
      <c r="H9" s="2"/>
      <c r="I9" s="2"/>
      <c r="J9" s="2"/>
      <c r="K9" s="2"/>
    </row>
    <row r="10">
      <c r="A10" s="95" t="s">
        <v>18</v>
      </c>
      <c r="B10" s="61">
        <v>301580701</v>
      </c>
      <c r="C10" s="61">
        <v>336616184</v>
      </c>
      <c r="D10" s="61">
        <v>381545512</v>
      </c>
      <c r="E10" s="61">
        <v>415062417</v>
      </c>
      <c r="F10" s="5"/>
      <c r="G10" s="4"/>
      <c r="H10" s="5"/>
      <c r="I10" s="5"/>
      <c r="J10" s="5"/>
      <c r="K10" s="5"/>
    </row>
    <row r="11">
      <c r="A11" s="106" t="s">
        <v>19</v>
      </c>
      <c r="B11" s="50">
        <v>-9152442</v>
      </c>
      <c r="C11" s="50">
        <v>3120015</v>
      </c>
      <c r="D11" s="50">
        <v>-28420469</v>
      </c>
      <c r="E11" s="50">
        <v>-475396</v>
      </c>
      <c r="F11" s="2"/>
      <c r="G11" s="1"/>
      <c r="H11" s="2"/>
      <c r="I11" s="2"/>
      <c r="J11" s="2"/>
      <c r="K11" s="2"/>
    </row>
    <row r="12">
      <c r="A12" s="106" t="s">
        <v>20</v>
      </c>
      <c r="B12" s="50">
        <v>-10285045</v>
      </c>
      <c r="C12" s="50">
        <v>-12525971</v>
      </c>
      <c r="D12" s="50">
        <v>-12302706</v>
      </c>
      <c r="E12" s="50">
        <v>-10311345</v>
      </c>
      <c r="F12" s="2"/>
      <c r="G12" s="1"/>
      <c r="H12" s="2"/>
      <c r="I12" s="2"/>
      <c r="J12" s="2"/>
      <c r="K12" s="2"/>
    </row>
    <row r="13">
      <c r="A13" s="106" t="s">
        <v>21</v>
      </c>
      <c r="B13" s="50">
        <v>9401319</v>
      </c>
      <c r="C13" s="50">
        <v>-6820962</v>
      </c>
      <c r="D13" s="50">
        <v>16095063</v>
      </c>
      <c r="E13" s="2"/>
      <c r="F13" s="2"/>
      <c r="G13" s="1"/>
      <c r="H13" s="2"/>
      <c r="I13" s="2"/>
      <c r="J13" s="2"/>
      <c r="K13" s="2"/>
    </row>
    <row r="14">
      <c r="A14" s="95" t="s">
        <v>22</v>
      </c>
      <c r="B14" s="61">
        <v>-10036168</v>
      </c>
      <c r="C14" s="61">
        <v>-16226918</v>
      </c>
      <c r="D14" s="61">
        <v>-24628112</v>
      </c>
      <c r="E14" s="61">
        <v>-19186523</v>
      </c>
      <c r="F14" s="5"/>
      <c r="G14" s="4"/>
      <c r="H14" s="5"/>
      <c r="I14" s="5"/>
      <c r="J14" s="5"/>
      <c r="K14" s="5"/>
    </row>
    <row r="15">
      <c r="A15" s="95" t="s">
        <v>23</v>
      </c>
      <c r="B15" s="61">
        <v>291544533</v>
      </c>
      <c r="C15" s="61">
        <v>320389266</v>
      </c>
      <c r="D15" s="61">
        <v>356917400</v>
      </c>
      <c r="E15" s="61">
        <v>395875894</v>
      </c>
      <c r="F15" s="5"/>
      <c r="G15" s="4"/>
      <c r="H15" s="5"/>
      <c r="I15" s="5"/>
      <c r="J15" s="5"/>
      <c r="K15" s="5"/>
    </row>
    <row r="16">
      <c r="A16" s="106" t="s">
        <v>24</v>
      </c>
      <c r="B16" s="50">
        <v>-238994085</v>
      </c>
      <c r="C16" s="50">
        <v>-327863954</v>
      </c>
      <c r="D16" s="50">
        <v>-238087045</v>
      </c>
      <c r="E16" s="50">
        <v>-248414644</v>
      </c>
      <c r="F16" s="2"/>
      <c r="G16" s="1"/>
      <c r="H16" s="2"/>
      <c r="I16" s="2"/>
      <c r="J16" s="2"/>
      <c r="K16" s="2"/>
    </row>
    <row r="17">
      <c r="A17" s="106" t="s">
        <v>25</v>
      </c>
      <c r="B17" s="50">
        <v>101363600</v>
      </c>
      <c r="C17" s="50">
        <v>176570373</v>
      </c>
      <c r="D17" s="50">
        <v>65656958</v>
      </c>
      <c r="E17" s="50">
        <v>62663262</v>
      </c>
      <c r="F17" s="2"/>
      <c r="G17" s="1"/>
      <c r="H17" s="2"/>
      <c r="I17" s="2"/>
      <c r="J17" s="2"/>
      <c r="K17" s="2"/>
    </row>
    <row r="18">
      <c r="A18" s="106" t="s">
        <v>26</v>
      </c>
      <c r="B18" s="50">
        <v>-13646362</v>
      </c>
      <c r="C18" s="50">
        <v>-14629260</v>
      </c>
      <c r="D18" s="50">
        <v>-16826376</v>
      </c>
      <c r="E18" s="50">
        <v>-19666415</v>
      </c>
      <c r="F18" s="2"/>
      <c r="G18" s="1"/>
      <c r="H18" s="2"/>
      <c r="I18" s="2"/>
      <c r="J18" s="2"/>
      <c r="K18" s="2"/>
    </row>
    <row r="19">
      <c r="A19" s="106" t="s">
        <v>27</v>
      </c>
      <c r="B19" s="50">
        <v>-151276847</v>
      </c>
      <c r="C19" s="50">
        <v>-165922841</v>
      </c>
      <c r="D19" s="50">
        <v>-189256463</v>
      </c>
      <c r="E19" s="50">
        <v>-205417797</v>
      </c>
      <c r="F19" s="2"/>
      <c r="G19" s="1"/>
      <c r="H19" s="2"/>
      <c r="I19" s="2"/>
      <c r="J19" s="2"/>
      <c r="K19" s="2"/>
    </row>
    <row r="20">
      <c r="A20" s="106" t="s">
        <v>28</v>
      </c>
      <c r="B20" s="50">
        <v>-89805859</v>
      </c>
      <c r="C20" s="50">
        <v>-98549869</v>
      </c>
      <c r="D20" s="50">
        <v>-115810518</v>
      </c>
      <c r="E20" s="50">
        <v>-126570429</v>
      </c>
      <c r="F20" s="2"/>
      <c r="G20" s="1"/>
      <c r="H20" s="2"/>
      <c r="I20" s="2"/>
      <c r="J20" s="2"/>
      <c r="K20" s="2"/>
    </row>
    <row r="21">
      <c r="A21" s="106" t="s">
        <v>29</v>
      </c>
      <c r="B21" s="50">
        <v>-143340</v>
      </c>
      <c r="C21" s="50">
        <v>-1327507</v>
      </c>
      <c r="D21" s="50">
        <v>-1113601</v>
      </c>
      <c r="E21" s="50">
        <v>-530722</v>
      </c>
      <c r="F21" s="2"/>
      <c r="G21" s="1"/>
      <c r="H21" s="2"/>
      <c r="I21" s="2"/>
      <c r="J21" s="2"/>
      <c r="K21" s="2"/>
    </row>
    <row r="22">
      <c r="A22" s="95" t="s">
        <v>30</v>
      </c>
      <c r="B22" s="61">
        <v>50318487</v>
      </c>
      <c r="C22" s="61">
        <v>54589049</v>
      </c>
      <c r="D22" s="61">
        <v>50736818</v>
      </c>
      <c r="E22" s="61">
        <v>63356946</v>
      </c>
      <c r="F22" s="5"/>
      <c r="G22" s="4"/>
      <c r="H22" s="5"/>
      <c r="I22" s="5"/>
      <c r="J22" s="5"/>
      <c r="K22" s="5"/>
    </row>
    <row r="23">
      <c r="A23" s="106" t="s">
        <v>31</v>
      </c>
      <c r="B23" s="50">
        <v>90113580</v>
      </c>
      <c r="C23" s="50">
        <v>89349229</v>
      </c>
      <c r="D23" s="50">
        <v>99791323</v>
      </c>
      <c r="E23" s="2"/>
      <c r="F23" s="2"/>
      <c r="G23" s="1"/>
      <c r="H23" s="2"/>
      <c r="I23" s="2"/>
      <c r="J23" s="2"/>
      <c r="K23" s="2"/>
    </row>
    <row r="24">
      <c r="A24" s="106" t="s">
        <v>32</v>
      </c>
      <c r="B24" s="50">
        <v>324360</v>
      </c>
      <c r="C24" s="50">
        <v>852370</v>
      </c>
      <c r="D24" s="50">
        <v>1871676</v>
      </c>
      <c r="E24" s="2"/>
      <c r="F24" s="2"/>
      <c r="G24" s="1"/>
      <c r="H24" s="2"/>
      <c r="I24" s="2"/>
      <c r="J24" s="2"/>
      <c r="K24" s="2"/>
    </row>
    <row r="25">
      <c r="A25" s="106" t="s">
        <v>33</v>
      </c>
      <c r="B25" s="50">
        <v>30270095</v>
      </c>
      <c r="C25" s="50">
        <v>33792124</v>
      </c>
      <c r="D25" s="50">
        <v>38203473</v>
      </c>
      <c r="E25" s="2"/>
      <c r="F25" s="2"/>
      <c r="G25" s="1"/>
      <c r="H25" s="2"/>
      <c r="I25" s="2"/>
      <c r="J25" s="2"/>
      <c r="K25" s="2"/>
    </row>
    <row r="26">
      <c r="A26" s="95" t="s">
        <v>34</v>
      </c>
      <c r="B26" s="61">
        <v>120708035</v>
      </c>
      <c r="C26" s="61">
        <v>123993723</v>
      </c>
      <c r="D26" s="61">
        <v>139866472</v>
      </c>
      <c r="E26" s="5"/>
      <c r="F26" s="5"/>
      <c r="G26" s="4"/>
      <c r="H26" s="5"/>
      <c r="I26" s="5"/>
      <c r="J26" s="5"/>
      <c r="K26" s="5"/>
    </row>
    <row r="27">
      <c r="A27" s="106" t="s">
        <v>35</v>
      </c>
      <c r="B27" s="50">
        <v>-25360968</v>
      </c>
      <c r="C27" s="50">
        <v>-25531810</v>
      </c>
      <c r="D27" s="50">
        <v>-34235136</v>
      </c>
      <c r="E27" s="2"/>
      <c r="F27" s="2"/>
      <c r="G27" s="1"/>
      <c r="H27" s="2"/>
      <c r="I27" s="2"/>
      <c r="J27" s="2"/>
      <c r="K27" s="2"/>
    </row>
    <row r="28">
      <c r="A28" s="106" t="s">
        <v>36</v>
      </c>
      <c r="B28" s="50">
        <v>-30177384</v>
      </c>
      <c r="C28" s="50">
        <v>-29003930</v>
      </c>
      <c r="D28" s="50">
        <v>-34426805</v>
      </c>
      <c r="E28" s="2"/>
      <c r="F28" s="2"/>
      <c r="G28" s="1"/>
      <c r="H28" s="2"/>
      <c r="I28" s="2"/>
      <c r="J28" s="2"/>
      <c r="K28" s="2"/>
    </row>
    <row r="29">
      <c r="A29" s="95" t="s">
        <v>37</v>
      </c>
      <c r="B29" s="61">
        <v>-55538352</v>
      </c>
      <c r="C29" s="61">
        <v>-54535740</v>
      </c>
      <c r="D29" s="61">
        <v>-68661941</v>
      </c>
      <c r="E29" s="61">
        <v>-1028730</v>
      </c>
      <c r="F29" s="5"/>
      <c r="G29" s="4"/>
      <c r="H29" s="5"/>
      <c r="I29" s="5"/>
      <c r="J29" s="5"/>
      <c r="K29" s="5"/>
    </row>
    <row r="30">
      <c r="A30" s="106" t="s">
        <v>38</v>
      </c>
      <c r="B30" s="50">
        <v>-4291456</v>
      </c>
      <c r="C30" s="50">
        <v>-4626793</v>
      </c>
      <c r="D30" s="50">
        <v>-7316131</v>
      </c>
      <c r="E30" s="2"/>
      <c r="F30" s="2"/>
      <c r="G30" s="1"/>
      <c r="H30" s="2"/>
      <c r="I30" s="2"/>
      <c r="J30" s="2"/>
      <c r="K30" s="2"/>
    </row>
    <row r="31">
      <c r="A31" s="106" t="s">
        <v>39</v>
      </c>
      <c r="B31" s="2"/>
      <c r="C31" s="50">
        <v>515213</v>
      </c>
      <c r="D31" s="50">
        <v>67054</v>
      </c>
      <c r="E31" s="2"/>
      <c r="F31" s="2"/>
      <c r="G31" s="1"/>
      <c r="H31" s="2"/>
      <c r="I31" s="2"/>
      <c r="J31" s="2"/>
      <c r="K31" s="2"/>
    </row>
    <row r="32">
      <c r="A32" s="95" t="s">
        <v>40</v>
      </c>
      <c r="B32" s="61">
        <v>60878227</v>
      </c>
      <c r="C32" s="61">
        <v>65346403</v>
      </c>
      <c r="D32" s="61">
        <v>63955454</v>
      </c>
      <c r="E32" s="61">
        <v>35051765</v>
      </c>
      <c r="F32" s="5"/>
      <c r="G32" s="4"/>
      <c r="H32" s="5"/>
      <c r="I32" s="5"/>
      <c r="J32" s="5"/>
      <c r="K32" s="5"/>
    </row>
    <row r="33">
      <c r="A33" s="106" t="s">
        <v>41</v>
      </c>
      <c r="B33" s="50">
        <v>53282269</v>
      </c>
      <c r="C33" s="50">
        <v>54586912</v>
      </c>
      <c r="D33" s="50">
        <v>68685561</v>
      </c>
      <c r="E33" s="50">
        <v>61243501</v>
      </c>
      <c r="F33" s="2"/>
      <c r="G33" s="1"/>
      <c r="H33" s="2"/>
      <c r="I33" s="2"/>
      <c r="J33" s="2"/>
      <c r="K33" s="2"/>
    </row>
    <row r="34">
      <c r="A34" s="106" t="s">
        <v>42</v>
      </c>
      <c r="B34" s="50">
        <v>2013784</v>
      </c>
      <c r="C34" s="50">
        <v>-240213</v>
      </c>
      <c r="D34" s="50">
        <v>63303</v>
      </c>
      <c r="E34" s="2"/>
      <c r="F34" s="2"/>
      <c r="G34" s="1"/>
      <c r="H34" s="2"/>
      <c r="I34" s="2"/>
      <c r="J34" s="2"/>
      <c r="K34" s="2"/>
    </row>
    <row r="35">
      <c r="A35" s="106" t="s">
        <v>43</v>
      </c>
      <c r="B35" s="50">
        <v>24063694</v>
      </c>
      <c r="C35" s="50">
        <v>30788100</v>
      </c>
      <c r="D35" s="50">
        <v>40145969</v>
      </c>
      <c r="E35" s="50">
        <v>51360184</v>
      </c>
      <c r="F35" s="2"/>
      <c r="G35" s="1"/>
      <c r="H35" s="2"/>
      <c r="I35" s="2"/>
      <c r="J35" s="2"/>
      <c r="K35" s="2"/>
    </row>
    <row r="36">
      <c r="A36" s="106" t="s">
        <v>44</v>
      </c>
      <c r="B36" s="50">
        <v>6681944</v>
      </c>
      <c r="C36" s="50">
        <v>-14025402</v>
      </c>
      <c r="D36" s="50">
        <v>5542980</v>
      </c>
      <c r="E36" s="2"/>
      <c r="F36" s="2"/>
      <c r="G36" s="1"/>
      <c r="H36" s="2"/>
      <c r="I36" s="2"/>
      <c r="J36" s="2"/>
      <c r="K36" s="2"/>
    </row>
    <row r="37">
      <c r="A37" s="106" t="s">
        <v>45</v>
      </c>
      <c r="B37" s="50">
        <v>9840321</v>
      </c>
      <c r="C37" s="50">
        <v>5497518</v>
      </c>
      <c r="D37" s="50">
        <v>3537146</v>
      </c>
      <c r="E37" s="50">
        <v>4229486</v>
      </c>
      <c r="F37" s="2"/>
      <c r="G37" s="1"/>
      <c r="H37" s="2"/>
      <c r="I37" s="2"/>
      <c r="J37" s="2"/>
      <c r="K37" s="2"/>
    </row>
    <row r="38">
      <c r="A38" s="106" t="s">
        <v>46</v>
      </c>
      <c r="B38" s="50">
        <v>-125836</v>
      </c>
      <c r="C38" s="50">
        <v>-582779</v>
      </c>
      <c r="D38" s="50">
        <v>1442923</v>
      </c>
      <c r="E38" s="2"/>
      <c r="F38" s="2"/>
      <c r="G38" s="1"/>
      <c r="H38" s="2"/>
      <c r="I38" s="2"/>
      <c r="J38" s="2"/>
      <c r="K38" s="2"/>
    </row>
    <row r="39">
      <c r="A39" s="95" t="s">
        <v>47</v>
      </c>
      <c r="B39" s="61">
        <v>206952890</v>
      </c>
      <c r="C39" s="61">
        <v>195959588</v>
      </c>
      <c r="D39" s="61">
        <v>234110154</v>
      </c>
      <c r="E39" s="61">
        <v>219482630</v>
      </c>
      <c r="F39" s="5"/>
      <c r="G39" s="4"/>
      <c r="H39" s="5"/>
      <c r="I39" s="5"/>
      <c r="J39" s="5"/>
      <c r="K39" s="5"/>
    </row>
    <row r="40">
      <c r="A40" s="106" t="s">
        <v>48</v>
      </c>
      <c r="B40" s="50">
        <v>-65378406</v>
      </c>
      <c r="C40" s="50">
        <v>-68691932</v>
      </c>
      <c r="D40" s="50">
        <v>-72370796</v>
      </c>
      <c r="E40" s="50">
        <v>-55716075</v>
      </c>
      <c r="F40" s="2"/>
      <c r="G40" s="1"/>
      <c r="H40" s="2"/>
      <c r="I40" s="2"/>
      <c r="J40" s="2"/>
      <c r="K40" s="2"/>
    </row>
    <row r="41">
      <c r="A41" s="106" t="s">
        <v>49</v>
      </c>
      <c r="B41" s="50">
        <v>-39466922</v>
      </c>
      <c r="C41" s="50">
        <v>-41469305</v>
      </c>
      <c r="D41" s="50">
        <v>-41793696</v>
      </c>
      <c r="E41" s="50">
        <v>-24861432</v>
      </c>
      <c r="F41" s="2"/>
      <c r="G41" s="1"/>
      <c r="H41" s="2"/>
      <c r="I41" s="2"/>
      <c r="J41" s="2"/>
      <c r="K41" s="2"/>
    </row>
    <row r="42">
      <c r="A42" s="106" t="s">
        <v>50</v>
      </c>
      <c r="B42" s="50">
        <v>-6393929</v>
      </c>
      <c r="C42" s="50">
        <v>-7352476</v>
      </c>
      <c r="D42" s="50">
        <v>-6753787</v>
      </c>
      <c r="E42" s="50">
        <v>-5081770</v>
      </c>
      <c r="F42" s="2"/>
      <c r="G42" s="1"/>
      <c r="H42" s="2"/>
      <c r="I42" s="2"/>
      <c r="J42" s="2"/>
      <c r="K42" s="2"/>
    </row>
    <row r="43">
      <c r="A43" s="106" t="s">
        <v>51</v>
      </c>
      <c r="B43" s="50">
        <v>-5044764</v>
      </c>
      <c r="C43" s="50">
        <v>-4929115</v>
      </c>
      <c r="D43" s="50">
        <v>-5165439</v>
      </c>
      <c r="E43" s="50">
        <v>-5149339</v>
      </c>
      <c r="F43" s="2"/>
      <c r="G43" s="1"/>
      <c r="H43" s="2"/>
      <c r="I43" s="2"/>
      <c r="J43" s="2"/>
      <c r="K43" s="2"/>
    </row>
    <row r="44">
      <c r="A44" s="95" t="s">
        <v>52</v>
      </c>
      <c r="B44" s="61">
        <v>-116284021</v>
      </c>
      <c r="C44" s="61">
        <v>-122442828</v>
      </c>
      <c r="D44" s="61">
        <v>-126083718</v>
      </c>
      <c r="E44" s="61">
        <v>-90808616</v>
      </c>
      <c r="F44" s="5"/>
      <c r="G44" s="4"/>
      <c r="H44" s="5"/>
      <c r="I44" s="5"/>
      <c r="J44" s="5"/>
      <c r="K44" s="5"/>
    </row>
    <row r="45">
      <c r="A45" s="95" t="s">
        <v>53</v>
      </c>
      <c r="B45" s="61">
        <v>90668869</v>
      </c>
      <c r="C45" s="61">
        <v>73516760</v>
      </c>
      <c r="D45" s="61">
        <v>108026436</v>
      </c>
      <c r="E45" s="61">
        <v>128674014</v>
      </c>
      <c r="F45" s="5"/>
      <c r="G45" s="4"/>
      <c r="H45" s="5"/>
      <c r="I45" s="5"/>
      <c r="J45" s="5"/>
      <c r="K45" s="5"/>
    </row>
    <row r="46">
      <c r="A46" s="106" t="s">
        <v>54</v>
      </c>
      <c r="B46" s="50">
        <v>-8396374</v>
      </c>
      <c r="C46" s="50">
        <v>-12835954</v>
      </c>
      <c r="D46" s="50">
        <v>-13289861</v>
      </c>
      <c r="E46" s="2"/>
      <c r="F46" s="2"/>
      <c r="G46" s="1"/>
      <c r="H46" s="2"/>
      <c r="I46" s="2"/>
      <c r="J46" s="2"/>
      <c r="K46" s="2"/>
    </row>
    <row r="47">
      <c r="A47" s="106" t="s">
        <v>55</v>
      </c>
      <c r="B47" s="50">
        <v>-423906</v>
      </c>
      <c r="C47" s="50">
        <v>1312298</v>
      </c>
      <c r="D47" s="50">
        <v>1394727</v>
      </c>
      <c r="E47" s="50">
        <v>0</v>
      </c>
      <c r="F47" s="2"/>
      <c r="G47" s="1"/>
      <c r="H47" s="2"/>
      <c r="I47" s="2"/>
      <c r="J47" s="2"/>
      <c r="K47" s="2"/>
    </row>
    <row r="48">
      <c r="A48" s="95" t="s">
        <v>56</v>
      </c>
      <c r="B48" s="61">
        <v>-8820280</v>
      </c>
      <c r="C48" s="61">
        <v>-11523656</v>
      </c>
      <c r="D48" s="61">
        <v>-11895134</v>
      </c>
      <c r="E48" s="5"/>
      <c r="F48" s="5"/>
      <c r="G48" s="4"/>
      <c r="H48" s="5"/>
      <c r="I48" s="5"/>
      <c r="J48" s="5"/>
      <c r="K48" s="5"/>
    </row>
    <row r="49">
      <c r="A49" s="106" t="s">
        <v>57</v>
      </c>
      <c r="G49" s="11"/>
    </row>
    <row r="50">
      <c r="A50" s="106" t="s">
        <v>58</v>
      </c>
      <c r="B50" s="2"/>
      <c r="C50" s="2"/>
      <c r="D50" s="2"/>
      <c r="E50" s="50">
        <v>820306455</v>
      </c>
      <c r="F50" s="50">
        <v>885435473</v>
      </c>
      <c r="G50" s="1"/>
      <c r="H50" s="2"/>
      <c r="I50" s="2"/>
      <c r="J50" s="2"/>
      <c r="K50" s="2"/>
    </row>
    <row r="51">
      <c r="A51" s="106" t="s">
        <v>59</v>
      </c>
      <c r="B51" s="2"/>
      <c r="C51" s="2"/>
      <c r="D51" s="2"/>
      <c r="E51" s="50">
        <v>-367877750</v>
      </c>
      <c r="F51" s="50">
        <v>-426466314</v>
      </c>
      <c r="G51" s="1"/>
      <c r="H51" s="2"/>
      <c r="I51" s="2"/>
      <c r="J51" s="2"/>
      <c r="K51" s="2"/>
    </row>
    <row r="52">
      <c r="A52" s="106" t="s">
        <v>60</v>
      </c>
      <c r="B52" s="2"/>
      <c r="C52" s="2"/>
      <c r="D52" s="2"/>
      <c r="E52" s="50">
        <v>-314823760</v>
      </c>
      <c r="F52" s="50">
        <v>-313277206</v>
      </c>
      <c r="G52" s="1"/>
      <c r="H52" s="2"/>
      <c r="I52" s="2"/>
      <c r="J52" s="2"/>
      <c r="K52" s="2"/>
    </row>
    <row r="53">
      <c r="A53" s="95" t="s">
        <v>61</v>
      </c>
      <c r="B53" s="5"/>
      <c r="C53" s="5"/>
      <c r="D53" s="5"/>
      <c r="E53" s="61">
        <v>137604945</v>
      </c>
      <c r="F53" s="61">
        <v>145691953</v>
      </c>
      <c r="G53" s="4"/>
      <c r="H53" s="5"/>
      <c r="I53" s="5"/>
      <c r="J53" s="5"/>
      <c r="K53" s="5"/>
    </row>
    <row r="54">
      <c r="A54" s="106" t="s">
        <v>62</v>
      </c>
      <c r="B54" s="2"/>
      <c r="C54" s="2"/>
      <c r="D54" s="2"/>
      <c r="E54" s="50">
        <v>35258108</v>
      </c>
      <c r="F54" s="50">
        <v>40827249</v>
      </c>
      <c r="G54" s="1"/>
      <c r="H54" s="2"/>
      <c r="I54" s="2"/>
      <c r="J54" s="2"/>
      <c r="K54" s="2"/>
    </row>
    <row r="55">
      <c r="A55" s="106" t="s">
        <v>63</v>
      </c>
      <c r="B55" s="2"/>
      <c r="C55" s="2"/>
      <c r="D55" s="2"/>
      <c r="E55" s="50">
        <v>55379789</v>
      </c>
      <c r="F55" s="50">
        <v>61865524</v>
      </c>
      <c r="G55" s="1"/>
      <c r="H55" s="2"/>
      <c r="I55" s="2"/>
      <c r="J55" s="2"/>
      <c r="K55" s="2"/>
    </row>
    <row r="56">
      <c r="A56" s="106" t="s">
        <v>64</v>
      </c>
      <c r="B56" s="2"/>
      <c r="C56" s="2"/>
      <c r="D56" s="2"/>
      <c r="E56" s="50">
        <v>281188</v>
      </c>
      <c r="F56" s="50">
        <v>-70123</v>
      </c>
      <c r="G56" s="1"/>
      <c r="H56" s="2"/>
      <c r="I56" s="2"/>
      <c r="J56" s="2"/>
      <c r="K56" s="2"/>
    </row>
    <row r="57">
      <c r="A57" s="95" t="s">
        <v>65</v>
      </c>
      <c r="B57" s="5"/>
      <c r="C57" s="5"/>
      <c r="D57" s="5"/>
      <c r="E57" s="61">
        <v>90919085</v>
      </c>
      <c r="F57" s="61">
        <v>102622650</v>
      </c>
      <c r="G57" s="4"/>
      <c r="H57" s="5"/>
      <c r="I57" s="5"/>
      <c r="J57" s="5"/>
      <c r="K57" s="5"/>
    </row>
    <row r="58">
      <c r="A58" s="106" t="s">
        <v>66</v>
      </c>
      <c r="B58" s="2"/>
      <c r="C58" s="2"/>
      <c r="D58" s="2"/>
      <c r="E58" s="50">
        <v>-9221440</v>
      </c>
      <c r="F58" s="50">
        <v>-11097456</v>
      </c>
      <c r="G58" s="1"/>
      <c r="H58" s="2"/>
      <c r="I58" s="2"/>
      <c r="J58" s="2"/>
      <c r="K58" s="2"/>
    </row>
    <row r="59">
      <c r="A59" s="106" t="s">
        <v>67</v>
      </c>
      <c r="B59" s="2"/>
      <c r="C59" s="2"/>
      <c r="D59" s="2"/>
      <c r="E59" s="50">
        <v>959026</v>
      </c>
      <c r="F59" s="50">
        <v>2508685</v>
      </c>
      <c r="G59" s="1"/>
      <c r="H59" s="2"/>
      <c r="I59" s="2"/>
      <c r="J59" s="2"/>
      <c r="K59" s="2"/>
    </row>
    <row r="60">
      <c r="A60" s="95" t="s">
        <v>68</v>
      </c>
      <c r="B60" s="5"/>
      <c r="C60" s="5"/>
      <c r="D60" s="5"/>
      <c r="E60" s="61">
        <v>82656671</v>
      </c>
      <c r="F60" s="61">
        <v>94033879</v>
      </c>
      <c r="G60" s="4"/>
      <c r="H60" s="5"/>
      <c r="I60" s="5"/>
      <c r="J60" s="5"/>
      <c r="K60" s="5"/>
    </row>
    <row r="61">
      <c r="A61" s="106" t="s">
        <v>69</v>
      </c>
      <c r="B61" s="2"/>
      <c r="C61" s="2"/>
      <c r="D61" s="2"/>
      <c r="E61" s="50">
        <v>7941941</v>
      </c>
      <c r="F61" s="50">
        <v>4999986</v>
      </c>
      <c r="G61" s="1"/>
      <c r="H61" s="2"/>
      <c r="I61" s="2"/>
      <c r="J61" s="2"/>
      <c r="K61" s="2"/>
    </row>
    <row r="62">
      <c r="A62" s="106" t="s">
        <v>49</v>
      </c>
      <c r="B62" s="2"/>
      <c r="C62" s="2"/>
      <c r="D62" s="2"/>
      <c r="E62" s="50">
        <v>-89212204</v>
      </c>
      <c r="F62" s="50">
        <v>-95272868</v>
      </c>
      <c r="G62" s="1"/>
      <c r="H62" s="2"/>
      <c r="I62" s="2"/>
      <c r="J62" s="2"/>
      <c r="K62" s="2"/>
    </row>
    <row r="63">
      <c r="A63" s="106" t="s">
        <v>70</v>
      </c>
      <c r="B63" s="2"/>
      <c r="C63" s="2"/>
      <c r="D63" s="2"/>
      <c r="E63" s="50">
        <v>1428646</v>
      </c>
      <c r="F63" s="50">
        <v>-1331447</v>
      </c>
      <c r="G63" s="1"/>
      <c r="H63" s="2"/>
      <c r="I63" s="2"/>
      <c r="J63" s="2"/>
      <c r="K63" s="2"/>
    </row>
    <row r="64">
      <c r="A64" s="95" t="s">
        <v>71</v>
      </c>
      <c r="B64" s="5"/>
      <c r="C64" s="5"/>
      <c r="D64" s="5"/>
      <c r="E64" s="61">
        <v>140419999</v>
      </c>
      <c r="F64" s="61">
        <v>148121503</v>
      </c>
      <c r="G64" s="4"/>
      <c r="H64" s="5"/>
      <c r="I64" s="5"/>
      <c r="J64" s="5"/>
      <c r="K64" s="5"/>
    </row>
    <row r="65">
      <c r="A65" s="106" t="s">
        <v>72</v>
      </c>
      <c r="B65" s="2"/>
      <c r="C65" s="2"/>
      <c r="D65" s="2"/>
      <c r="E65" s="50">
        <v>-11985312</v>
      </c>
      <c r="F65" s="50">
        <v>-12129240</v>
      </c>
      <c r="G65" s="1"/>
      <c r="H65" s="2"/>
      <c r="I65" s="2"/>
      <c r="J65" s="2"/>
      <c r="K65" s="2"/>
    </row>
    <row r="66">
      <c r="A66" s="95" t="s">
        <v>73</v>
      </c>
      <c r="B66" s="5"/>
      <c r="C66" s="5"/>
      <c r="D66" s="5"/>
      <c r="E66" s="61">
        <v>128434687</v>
      </c>
      <c r="F66" s="61">
        <v>135992263</v>
      </c>
      <c r="G66" s="4"/>
      <c r="H66" s="5"/>
      <c r="I66" s="5"/>
      <c r="J66" s="5"/>
      <c r="K66" s="5"/>
    </row>
    <row r="67">
      <c r="A67" s="106" t="s">
        <v>74</v>
      </c>
      <c r="B67" s="2"/>
      <c r="C67" s="2"/>
      <c r="D67" s="2"/>
      <c r="E67" s="50">
        <v>-3788890</v>
      </c>
      <c r="F67" s="50">
        <v>31161580</v>
      </c>
      <c r="G67" s="1"/>
      <c r="H67" s="2"/>
      <c r="I67" s="2"/>
      <c r="J67" s="2"/>
      <c r="K67" s="2"/>
    </row>
    <row r="68">
      <c r="A68" s="95" t="s">
        <v>75</v>
      </c>
      <c r="B68" s="61">
        <v>81848589</v>
      </c>
      <c r="C68" s="61">
        <v>61993104</v>
      </c>
      <c r="D68" s="61">
        <v>96131302</v>
      </c>
      <c r="E68" s="61">
        <v>124645797</v>
      </c>
      <c r="F68" s="61">
        <v>167153843</v>
      </c>
      <c r="G68" s="4"/>
      <c r="H68" s="5"/>
      <c r="I68" s="5"/>
      <c r="J68" s="5"/>
      <c r="K68" s="5"/>
    </row>
    <row r="69">
      <c r="A69" s="7"/>
      <c r="B69" s="7"/>
      <c r="C69" s="7"/>
      <c r="D69" s="7"/>
      <c r="E69" s="7"/>
      <c r="F69" s="7"/>
      <c r="G69" s="11"/>
      <c r="H69" s="7"/>
      <c r="I69" s="7"/>
      <c r="J69" s="7"/>
      <c r="K69" s="7"/>
    </row>
    <row r="70">
      <c r="A70" s="108" t="s">
        <v>3</v>
      </c>
      <c r="B70" s="98" t="s">
        <v>4</v>
      </c>
      <c r="C70" s="98" t="s">
        <v>5</v>
      </c>
      <c r="D70" s="98" t="s">
        <v>6</v>
      </c>
      <c r="E70" s="98" t="s">
        <v>7</v>
      </c>
      <c r="F70" s="98" t="s">
        <v>8</v>
      </c>
      <c r="G70" s="115" t="s">
        <v>9</v>
      </c>
      <c r="H70" s="94" t="s">
        <v>10</v>
      </c>
      <c r="I70" s="94" t="s">
        <v>11</v>
      </c>
      <c r="J70" s="94" t="s">
        <v>12</v>
      </c>
      <c r="K70" s="94" t="s">
        <v>13</v>
      </c>
    </row>
    <row r="71">
      <c r="A71" s="108" t="s">
        <v>76</v>
      </c>
      <c r="B71" s="8"/>
      <c r="C71" s="8"/>
      <c r="D71" s="8"/>
      <c r="E71" s="8"/>
      <c r="F71" s="8"/>
      <c r="G71" s="10"/>
      <c r="H71" s="3"/>
      <c r="I71" s="3"/>
      <c r="J71" s="3"/>
      <c r="K71" s="3"/>
    </row>
    <row r="72">
      <c r="A72" s="106" t="s">
        <v>77</v>
      </c>
      <c r="G72" s="11"/>
    </row>
    <row r="73">
      <c r="A73" s="106" t="s">
        <v>78</v>
      </c>
      <c r="B73" s="50">
        <v>270329829</v>
      </c>
      <c r="C73" s="50">
        <v>228125639</v>
      </c>
      <c r="D73" s="50">
        <v>232268193</v>
      </c>
      <c r="E73" s="50">
        <v>66040405</v>
      </c>
      <c r="F73" s="50">
        <v>81993632</v>
      </c>
      <c r="G73" s="1"/>
      <c r="H73" s="2"/>
      <c r="I73" s="2"/>
      <c r="J73" s="2"/>
      <c r="K73" s="2"/>
    </row>
    <row r="74">
      <c r="A74" s="106" t="s">
        <v>79</v>
      </c>
      <c r="B74" s="50">
        <v>250244906</v>
      </c>
      <c r="C74" s="50">
        <v>247213247</v>
      </c>
      <c r="D74" s="50">
        <v>278176223</v>
      </c>
      <c r="E74" s="50">
        <v>220675932</v>
      </c>
      <c r="F74" s="2"/>
      <c r="G74" s="1"/>
      <c r="H74" s="2"/>
      <c r="I74" s="2"/>
      <c r="J74" s="2"/>
      <c r="K74" s="2"/>
    </row>
    <row r="75">
      <c r="A75" s="106" t="s">
        <v>80</v>
      </c>
      <c r="B75" s="50">
        <v>994010440</v>
      </c>
      <c r="C75" s="50">
        <v>1083352786</v>
      </c>
      <c r="D75" s="50">
        <v>1191506508</v>
      </c>
      <c r="E75" s="50">
        <v>0</v>
      </c>
      <c r="F75" s="50">
        <v>0</v>
      </c>
      <c r="G75" s="1"/>
      <c r="H75" s="2"/>
      <c r="I75" s="2"/>
      <c r="J75" s="2"/>
      <c r="K75" s="2"/>
    </row>
    <row r="76">
      <c r="A76" s="106" t="s">
        <v>81</v>
      </c>
      <c r="B76" s="50">
        <v>1282484672</v>
      </c>
      <c r="C76" s="50">
        <v>1306501849</v>
      </c>
      <c r="D76" s="50">
        <v>1450423677</v>
      </c>
      <c r="E76" s="50">
        <v>1572712122</v>
      </c>
      <c r="F76" s="2"/>
      <c r="G76" s="1"/>
      <c r="H76" s="2"/>
      <c r="I76" s="2"/>
      <c r="J76" s="2"/>
      <c r="K76" s="2"/>
    </row>
    <row r="77">
      <c r="A77" s="106" t="s">
        <v>82</v>
      </c>
      <c r="B77" s="50">
        <v>237007868</v>
      </c>
      <c r="C77" s="50">
        <v>319466997</v>
      </c>
      <c r="D77" s="50">
        <v>259670949</v>
      </c>
      <c r="E77" s="2"/>
      <c r="F77" s="2"/>
      <c r="G77" s="1"/>
      <c r="H77" s="2"/>
      <c r="I77" s="2"/>
      <c r="J77" s="2"/>
      <c r="K77" s="2"/>
    </row>
    <row r="78">
      <c r="A78" s="106" t="s">
        <v>83</v>
      </c>
      <c r="B78" s="50">
        <v>992942</v>
      </c>
      <c r="C78" s="50">
        <v>1711440</v>
      </c>
      <c r="D78" s="50">
        <v>1845741</v>
      </c>
      <c r="E78" s="50">
        <v>2926965</v>
      </c>
      <c r="F78" s="2"/>
      <c r="G78" s="1"/>
      <c r="H78" s="2"/>
      <c r="I78" s="2"/>
      <c r="J78" s="2"/>
      <c r="K78" s="2"/>
    </row>
    <row r="79">
      <c r="A79" s="106" t="s">
        <v>84</v>
      </c>
      <c r="B79" s="2"/>
      <c r="C79" s="2"/>
      <c r="D79" s="2"/>
      <c r="E79" s="50">
        <v>1570422123</v>
      </c>
      <c r="F79" s="50">
        <v>1842841062</v>
      </c>
      <c r="G79" s="1"/>
      <c r="H79" s="2"/>
      <c r="I79" s="2"/>
      <c r="J79" s="2"/>
      <c r="K79" s="2"/>
    </row>
    <row r="80">
      <c r="A80" s="106" t="s">
        <v>85</v>
      </c>
      <c r="B80" s="2"/>
      <c r="C80" s="2"/>
      <c r="D80" s="2"/>
      <c r="E80" s="50">
        <v>21110668</v>
      </c>
      <c r="F80" s="50">
        <v>21032150</v>
      </c>
      <c r="G80" s="1"/>
      <c r="H80" s="2"/>
      <c r="I80" s="2"/>
      <c r="J80" s="2"/>
      <c r="K80" s="2"/>
    </row>
    <row r="81">
      <c r="A81" s="106" t="s">
        <v>86</v>
      </c>
      <c r="B81" s="2"/>
      <c r="C81" s="2"/>
      <c r="D81" s="2"/>
      <c r="E81" s="50">
        <v>224456158</v>
      </c>
      <c r="F81" s="50">
        <v>179614453</v>
      </c>
      <c r="G81" s="1"/>
      <c r="H81" s="2"/>
      <c r="I81" s="2"/>
      <c r="J81" s="2"/>
      <c r="K81" s="2"/>
    </row>
    <row r="82">
      <c r="A82" s="106" t="s">
        <v>87</v>
      </c>
      <c r="B82" s="2"/>
      <c r="C82" s="2"/>
      <c r="D82" s="2"/>
      <c r="E82" s="50">
        <v>65001992</v>
      </c>
      <c r="F82" s="50">
        <v>74003298</v>
      </c>
      <c r="G82" s="1"/>
      <c r="H82" s="2"/>
      <c r="I82" s="2"/>
      <c r="J82" s="2"/>
      <c r="K82" s="2"/>
    </row>
    <row r="83">
      <c r="A83" s="106" t="s">
        <v>88</v>
      </c>
      <c r="B83" s="50">
        <v>55843403</v>
      </c>
      <c r="C83" s="50">
        <v>54093472</v>
      </c>
      <c r="D83" s="50">
        <v>53762908</v>
      </c>
      <c r="E83" s="50">
        <v>46374370</v>
      </c>
      <c r="F83" s="2"/>
      <c r="G83" s="1"/>
      <c r="H83" s="2"/>
      <c r="I83" s="2"/>
      <c r="J83" s="2"/>
      <c r="K83" s="2"/>
    </row>
    <row r="84">
      <c r="A84" s="106" t="s">
        <v>89</v>
      </c>
      <c r="B84" s="2"/>
      <c r="C84" s="2"/>
      <c r="D84" s="2"/>
      <c r="E84" s="50">
        <v>42691420</v>
      </c>
      <c r="F84" s="50">
        <v>38185718</v>
      </c>
      <c r="G84" s="1"/>
      <c r="H84" s="2"/>
      <c r="I84" s="2"/>
      <c r="J84" s="2"/>
      <c r="K84" s="2"/>
    </row>
    <row r="85">
      <c r="A85" s="106" t="s">
        <v>90</v>
      </c>
      <c r="B85" s="50">
        <v>3567110</v>
      </c>
      <c r="C85" s="50">
        <v>2447927</v>
      </c>
      <c r="D85" s="50">
        <v>3082318</v>
      </c>
      <c r="E85" s="50">
        <v>1548244</v>
      </c>
      <c r="F85" s="2"/>
      <c r="G85" s="1"/>
      <c r="H85" s="2"/>
      <c r="I85" s="2"/>
      <c r="J85" s="2"/>
      <c r="K85" s="2"/>
    </row>
    <row r="86">
      <c r="A86" s="106" t="s">
        <v>55</v>
      </c>
      <c r="B86" s="50">
        <v>3828445</v>
      </c>
      <c r="C86" s="50">
        <v>5459921</v>
      </c>
      <c r="D86" s="50">
        <v>4977416</v>
      </c>
      <c r="E86" s="50">
        <v>0</v>
      </c>
      <c r="F86" s="50">
        <v>0</v>
      </c>
      <c r="G86" s="1"/>
      <c r="H86" s="2"/>
      <c r="I86" s="2"/>
      <c r="J86" s="2"/>
      <c r="K86" s="2"/>
    </row>
    <row r="87">
      <c r="A87" s="106" t="s">
        <v>91</v>
      </c>
      <c r="B87" s="50">
        <v>80211362</v>
      </c>
      <c r="C87" s="50">
        <v>76115738</v>
      </c>
      <c r="D87" s="50">
        <v>71848199</v>
      </c>
      <c r="E87" s="50">
        <v>67707242</v>
      </c>
      <c r="F87" s="2"/>
      <c r="G87" s="1"/>
      <c r="H87" s="2"/>
      <c r="I87" s="2"/>
      <c r="J87" s="2"/>
      <c r="K87" s="2"/>
    </row>
    <row r="88">
      <c r="A88" s="106" t="s">
        <v>92</v>
      </c>
      <c r="B88" s="2"/>
      <c r="C88" s="2"/>
      <c r="D88" s="2"/>
      <c r="E88" s="50">
        <v>38647085</v>
      </c>
      <c r="F88" s="50">
        <v>41001647</v>
      </c>
      <c r="G88" s="1"/>
      <c r="H88" s="2"/>
      <c r="I88" s="2"/>
      <c r="J88" s="2"/>
      <c r="K88" s="2"/>
    </row>
    <row r="89">
      <c r="A89" s="106" t="s">
        <v>93</v>
      </c>
      <c r="B89" s="2"/>
      <c r="C89" s="2"/>
      <c r="D89" s="2"/>
      <c r="E89" s="50">
        <v>15641307</v>
      </c>
      <c r="F89" s="50">
        <v>15413883</v>
      </c>
      <c r="G89" s="1"/>
      <c r="H89" s="2"/>
      <c r="I89" s="2"/>
      <c r="J89" s="2"/>
      <c r="K89" s="2"/>
    </row>
    <row r="90">
      <c r="A90" s="106" t="s">
        <v>94</v>
      </c>
      <c r="B90" s="50">
        <v>52139653</v>
      </c>
      <c r="C90" s="50">
        <v>47920677</v>
      </c>
      <c r="D90" s="50">
        <v>47188231</v>
      </c>
      <c r="E90" s="50">
        <v>24512378</v>
      </c>
      <c r="F90" s="50">
        <v>24666268</v>
      </c>
      <c r="G90" s="1"/>
      <c r="H90" s="2"/>
      <c r="I90" s="2"/>
      <c r="J90" s="2"/>
      <c r="K90" s="2"/>
    </row>
    <row r="91">
      <c r="A91" s="106" t="s">
        <v>95</v>
      </c>
      <c r="B91" s="2"/>
      <c r="C91" s="2"/>
      <c r="D91" s="2"/>
      <c r="E91" s="50">
        <v>1051007115</v>
      </c>
      <c r="F91" s="50">
        <v>0</v>
      </c>
      <c r="G91" s="1"/>
      <c r="H91" s="2"/>
      <c r="I91" s="2"/>
      <c r="J91" s="2"/>
      <c r="K91" s="2"/>
    </row>
    <row r="92">
      <c r="A92" s="95" t="s">
        <v>96</v>
      </c>
      <c r="B92" s="61">
        <v>3230660630</v>
      </c>
      <c r="C92" s="61">
        <v>3372409693</v>
      </c>
      <c r="D92" s="61">
        <v>3594750363</v>
      </c>
      <c r="E92" s="61">
        <v>3119530651</v>
      </c>
      <c r="F92" s="61">
        <v>2318752111</v>
      </c>
      <c r="G92" s="4"/>
      <c r="H92" s="5"/>
      <c r="I92" s="5"/>
      <c r="J92" s="5"/>
      <c r="K92" s="5"/>
    </row>
    <row r="93">
      <c r="A93" s="106" t="s">
        <v>97</v>
      </c>
      <c r="B93" s="50">
        <v>725271188</v>
      </c>
      <c r="C93" s="50">
        <v>742797197</v>
      </c>
      <c r="D93" s="50">
        <v>838241610</v>
      </c>
      <c r="E93" s="50">
        <v>0</v>
      </c>
      <c r="F93" s="50">
        <v>0</v>
      </c>
      <c r="G93" s="1"/>
      <c r="H93" s="2"/>
      <c r="I93" s="2"/>
      <c r="J93" s="2"/>
      <c r="K93" s="2"/>
    </row>
    <row r="94">
      <c r="A94" s="106" t="s">
        <v>98</v>
      </c>
      <c r="B94" s="50">
        <v>222380820</v>
      </c>
      <c r="C94" s="50">
        <v>222836666</v>
      </c>
      <c r="D94" s="50">
        <v>252044466</v>
      </c>
      <c r="E94" s="2"/>
      <c r="F94" s="2"/>
      <c r="G94" s="1"/>
      <c r="H94" s="2"/>
      <c r="I94" s="2"/>
      <c r="J94" s="2"/>
      <c r="K94" s="2"/>
    </row>
    <row r="95">
      <c r="A95" s="106" t="s">
        <v>99</v>
      </c>
      <c r="B95" s="50">
        <v>166900068</v>
      </c>
      <c r="C95" s="50">
        <v>262168088</v>
      </c>
      <c r="D95" s="50">
        <v>183640714</v>
      </c>
      <c r="E95" s="2"/>
      <c r="F95" s="2"/>
      <c r="G95" s="1"/>
      <c r="H95" s="2"/>
      <c r="I95" s="2"/>
      <c r="J95" s="2"/>
      <c r="K95" s="2"/>
    </row>
    <row r="96">
      <c r="A96" s="106" t="s">
        <v>100</v>
      </c>
      <c r="B96" s="50">
        <v>271722485</v>
      </c>
      <c r="C96" s="50">
        <v>285566197</v>
      </c>
      <c r="D96" s="50">
        <v>297881412</v>
      </c>
      <c r="E96" s="2"/>
      <c r="F96" s="2"/>
      <c r="G96" s="1"/>
      <c r="H96" s="2"/>
      <c r="I96" s="2"/>
      <c r="J96" s="2"/>
      <c r="K96" s="2"/>
    </row>
    <row r="97">
      <c r="A97" s="95" t="s">
        <v>101</v>
      </c>
      <c r="B97" s="61">
        <v>661003373</v>
      </c>
      <c r="C97" s="61">
        <v>770570951</v>
      </c>
      <c r="D97" s="61">
        <v>733566592</v>
      </c>
      <c r="E97" s="5"/>
      <c r="F97" s="5"/>
      <c r="G97" s="4"/>
      <c r="H97" s="5"/>
      <c r="I97" s="5"/>
      <c r="J97" s="5"/>
      <c r="K97" s="5"/>
    </row>
    <row r="98">
      <c r="A98" s="106" t="s">
        <v>102</v>
      </c>
      <c r="B98" s="50">
        <v>526341819</v>
      </c>
      <c r="C98" s="50">
        <v>551664761</v>
      </c>
      <c r="D98" s="50">
        <v>537365915</v>
      </c>
      <c r="E98" s="2"/>
      <c r="F98" s="2"/>
      <c r="G98" s="1"/>
      <c r="H98" s="2"/>
      <c r="I98" s="2"/>
      <c r="J98" s="2"/>
      <c r="K98" s="2"/>
    </row>
    <row r="99">
      <c r="A99" s="106" t="s">
        <v>103</v>
      </c>
      <c r="B99" s="50">
        <v>2174514</v>
      </c>
      <c r="C99" s="50">
        <v>10321297</v>
      </c>
      <c r="D99" s="50">
        <v>10375811</v>
      </c>
      <c r="E99" s="2"/>
      <c r="F99" s="2"/>
      <c r="G99" s="1"/>
      <c r="H99" s="2"/>
      <c r="I99" s="2"/>
      <c r="J99" s="2"/>
      <c r="K99" s="2"/>
    </row>
    <row r="100">
      <c r="A100" s="95" t="s">
        <v>104</v>
      </c>
      <c r="B100" s="61">
        <v>528516333</v>
      </c>
      <c r="C100" s="61">
        <v>561986058</v>
      </c>
      <c r="D100" s="61">
        <v>547741726</v>
      </c>
      <c r="E100" s="5"/>
      <c r="F100" s="5"/>
      <c r="G100" s="4"/>
      <c r="H100" s="5"/>
      <c r="I100" s="5"/>
      <c r="J100" s="5"/>
      <c r="K100" s="5"/>
    </row>
    <row r="101">
      <c r="A101" s="106" t="s">
        <v>105</v>
      </c>
      <c r="B101" s="50">
        <v>95584028</v>
      </c>
      <c r="C101" s="50">
        <v>87936500</v>
      </c>
      <c r="D101" s="50">
        <v>109327643</v>
      </c>
      <c r="E101" s="2"/>
      <c r="F101" s="2"/>
      <c r="G101" s="1"/>
      <c r="H101" s="2"/>
      <c r="I101" s="2"/>
      <c r="J101" s="2"/>
      <c r="K101" s="2"/>
    </row>
    <row r="102">
      <c r="A102" s="106" t="s">
        <v>55</v>
      </c>
      <c r="B102" s="50">
        <v>4481917</v>
      </c>
      <c r="C102" s="50">
        <v>3966720</v>
      </c>
      <c r="D102" s="50">
        <v>3099580</v>
      </c>
      <c r="E102" s="50">
        <v>3437168</v>
      </c>
      <c r="F102" s="2"/>
      <c r="G102" s="1"/>
      <c r="H102" s="2"/>
      <c r="I102" s="2"/>
      <c r="J102" s="2"/>
      <c r="K102" s="2"/>
    </row>
    <row r="103">
      <c r="A103" s="106" t="s">
        <v>106</v>
      </c>
      <c r="B103" s="50">
        <v>4129771</v>
      </c>
      <c r="C103" s="50">
        <v>3054770</v>
      </c>
      <c r="D103" s="50">
        <v>3753169</v>
      </c>
      <c r="E103" s="2"/>
      <c r="F103" s="2"/>
      <c r="G103" s="1"/>
      <c r="H103" s="2"/>
      <c r="I103" s="2"/>
      <c r="J103" s="2"/>
      <c r="K103" s="2"/>
    </row>
    <row r="104">
      <c r="A104" s="106" t="s">
        <v>107</v>
      </c>
      <c r="B104" s="50">
        <v>118508679</v>
      </c>
      <c r="C104" s="50">
        <v>124513198</v>
      </c>
      <c r="D104" s="50">
        <v>141770551</v>
      </c>
      <c r="E104" s="50">
        <v>4226363</v>
      </c>
      <c r="F104" s="50">
        <v>4212226</v>
      </c>
      <c r="G104" s="1"/>
      <c r="H104" s="2"/>
      <c r="I104" s="2"/>
      <c r="J104" s="2"/>
      <c r="K104" s="2"/>
    </row>
    <row r="105">
      <c r="A105" s="95" t="s">
        <v>108</v>
      </c>
      <c r="B105" s="61">
        <v>222704395</v>
      </c>
      <c r="C105" s="61">
        <v>219471188</v>
      </c>
      <c r="D105" s="61">
        <v>257950943</v>
      </c>
      <c r="E105" s="5"/>
      <c r="F105" s="5"/>
      <c r="G105" s="4"/>
      <c r="H105" s="5"/>
      <c r="I105" s="5"/>
      <c r="J105" s="5"/>
      <c r="K105" s="5"/>
    </row>
    <row r="106">
      <c r="A106" s="95" t="s">
        <v>109</v>
      </c>
      <c r="B106" s="61">
        <v>2137495289</v>
      </c>
      <c r="C106" s="61">
        <v>2294825394</v>
      </c>
      <c r="D106" s="61">
        <v>2377500871</v>
      </c>
      <c r="E106" s="5"/>
      <c r="F106" s="5"/>
      <c r="G106" s="4"/>
      <c r="H106" s="5"/>
      <c r="I106" s="5"/>
      <c r="J106" s="5"/>
      <c r="K106" s="5"/>
    </row>
    <row r="107">
      <c r="A107" s="106" t="s">
        <v>110</v>
      </c>
      <c r="B107" s="2"/>
      <c r="C107" s="2"/>
      <c r="D107" s="2"/>
      <c r="E107" s="50">
        <v>547180881</v>
      </c>
      <c r="F107" s="50">
        <v>516579461</v>
      </c>
      <c r="G107" s="1"/>
      <c r="H107" s="2"/>
      <c r="I107" s="2"/>
      <c r="J107" s="2"/>
      <c r="K107" s="2"/>
    </row>
    <row r="108">
      <c r="A108" s="106" t="s">
        <v>111</v>
      </c>
      <c r="B108" s="2"/>
      <c r="C108" s="2"/>
      <c r="D108" s="2"/>
      <c r="E108" s="50">
        <v>36801772</v>
      </c>
      <c r="F108" s="50">
        <v>35259752</v>
      </c>
      <c r="G108" s="1"/>
      <c r="H108" s="2"/>
      <c r="I108" s="2"/>
      <c r="J108" s="2"/>
      <c r="K108" s="2"/>
    </row>
    <row r="109">
      <c r="A109" s="106" t="s">
        <v>112</v>
      </c>
      <c r="B109" s="2"/>
      <c r="C109" s="2"/>
      <c r="D109" s="2"/>
      <c r="E109" s="50">
        <v>12023119</v>
      </c>
      <c r="F109" s="50">
        <v>11217392</v>
      </c>
      <c r="G109" s="1"/>
      <c r="H109" s="2"/>
      <c r="I109" s="2"/>
      <c r="J109" s="2"/>
      <c r="K109" s="2"/>
    </row>
    <row r="110">
      <c r="A110" s="106" t="s">
        <v>113</v>
      </c>
      <c r="B110" s="2"/>
      <c r="C110" s="2"/>
      <c r="D110" s="2"/>
      <c r="E110" s="50">
        <v>109264472</v>
      </c>
      <c r="F110" s="50">
        <v>121471316</v>
      </c>
      <c r="G110" s="1"/>
      <c r="H110" s="2"/>
      <c r="I110" s="2"/>
      <c r="J110" s="2"/>
      <c r="K110" s="2"/>
    </row>
    <row r="111">
      <c r="A111" s="106" t="s">
        <v>114</v>
      </c>
      <c r="B111" s="2"/>
      <c r="C111" s="2"/>
      <c r="D111" s="2"/>
      <c r="E111" s="50">
        <v>3812786</v>
      </c>
      <c r="F111" s="50">
        <v>3080550</v>
      </c>
      <c r="G111" s="1"/>
      <c r="H111" s="2"/>
      <c r="I111" s="2"/>
      <c r="J111" s="2"/>
      <c r="K111" s="2"/>
    </row>
    <row r="112">
      <c r="A112" s="106" t="s">
        <v>115</v>
      </c>
      <c r="B112" s="2"/>
      <c r="C112" s="2"/>
      <c r="D112" s="2"/>
      <c r="E112" s="50">
        <v>2859154</v>
      </c>
      <c r="F112" s="50">
        <v>3804076</v>
      </c>
      <c r="G112" s="1"/>
      <c r="H112" s="2"/>
      <c r="I112" s="2"/>
      <c r="J112" s="2"/>
      <c r="K112" s="2"/>
    </row>
    <row r="113">
      <c r="A113" s="106" t="s">
        <v>116</v>
      </c>
      <c r="B113" s="2"/>
      <c r="C113" s="2"/>
      <c r="D113" s="2"/>
      <c r="E113" s="50">
        <v>957370878</v>
      </c>
      <c r="F113" s="50">
        <v>0</v>
      </c>
      <c r="G113" s="1"/>
      <c r="H113" s="2"/>
      <c r="I113" s="2"/>
      <c r="J113" s="2"/>
      <c r="K113" s="2"/>
    </row>
    <row r="114">
      <c r="A114" s="95" t="s">
        <v>117</v>
      </c>
      <c r="B114" s="5"/>
      <c r="C114" s="5"/>
      <c r="D114" s="5"/>
      <c r="E114" s="61">
        <v>1673539425</v>
      </c>
      <c r="F114" s="61">
        <v>695624773</v>
      </c>
      <c r="G114" s="4"/>
      <c r="H114" s="5"/>
      <c r="I114" s="5"/>
      <c r="J114" s="5"/>
      <c r="K114" s="5"/>
    </row>
    <row r="115">
      <c r="A115" s="106" t="s">
        <v>118</v>
      </c>
      <c r="B115" s="50">
        <v>64323182</v>
      </c>
      <c r="C115" s="50">
        <v>64317683</v>
      </c>
      <c r="D115" s="50">
        <v>64019895</v>
      </c>
      <c r="E115" s="2"/>
      <c r="F115" s="2"/>
      <c r="G115" s="1"/>
      <c r="H115" s="2"/>
      <c r="I115" s="2"/>
      <c r="J115" s="2"/>
      <c r="K115" s="2"/>
    </row>
    <row r="116">
      <c r="A116" s="106" t="s">
        <v>119</v>
      </c>
      <c r="B116" s="2"/>
      <c r="C116" s="2"/>
      <c r="D116" s="2"/>
      <c r="E116" s="50">
        <v>61240955</v>
      </c>
      <c r="F116" s="50">
        <v>67545147</v>
      </c>
      <c r="G116" s="1"/>
      <c r="H116" s="2"/>
      <c r="I116" s="2"/>
      <c r="J116" s="2"/>
      <c r="K116" s="2"/>
    </row>
    <row r="117">
      <c r="A117" s="106" t="s">
        <v>120</v>
      </c>
      <c r="B117" s="50">
        <v>2466961</v>
      </c>
      <c r="C117" s="50">
        <v>3297592</v>
      </c>
      <c r="D117" s="50">
        <v>4097976</v>
      </c>
      <c r="E117" s="50">
        <v>4565668</v>
      </c>
      <c r="F117" s="50">
        <v>2556354</v>
      </c>
      <c r="G117" s="1"/>
      <c r="H117" s="2"/>
      <c r="I117" s="2"/>
      <c r="J117" s="2"/>
      <c r="K117" s="2"/>
    </row>
    <row r="118">
      <c r="A118" s="106" t="s">
        <v>121</v>
      </c>
      <c r="B118" s="50">
        <v>621098362</v>
      </c>
      <c r="C118" s="50">
        <v>590516262</v>
      </c>
      <c r="D118" s="50">
        <v>675316259</v>
      </c>
      <c r="E118" s="50">
        <v>755623881</v>
      </c>
      <c r="F118" s="50">
        <v>981253106</v>
      </c>
      <c r="G118" s="1"/>
      <c r="H118" s="2"/>
      <c r="I118" s="2"/>
      <c r="J118" s="2"/>
      <c r="K118" s="2"/>
    </row>
    <row r="119">
      <c r="A119" s="106" t="s">
        <v>122</v>
      </c>
      <c r="B119" s="50">
        <v>-56009308</v>
      </c>
      <c r="C119" s="50">
        <v>-59200677</v>
      </c>
      <c r="D119" s="50">
        <v>-52014239</v>
      </c>
      <c r="E119" s="2"/>
      <c r="F119" s="2"/>
      <c r="G119" s="1"/>
      <c r="H119" s="2"/>
      <c r="I119" s="2"/>
      <c r="J119" s="2"/>
      <c r="K119" s="2"/>
    </row>
    <row r="120">
      <c r="A120" s="106" t="s">
        <v>123</v>
      </c>
      <c r="B120" s="2"/>
      <c r="C120" s="2"/>
      <c r="D120" s="2"/>
      <c r="E120" s="50">
        <v>56851213</v>
      </c>
      <c r="F120" s="50">
        <v>0</v>
      </c>
      <c r="G120" s="1"/>
      <c r="H120" s="2"/>
      <c r="I120" s="2"/>
      <c r="J120" s="2"/>
      <c r="K120" s="2"/>
    </row>
    <row r="121">
      <c r="A121" s="106" t="s">
        <v>124</v>
      </c>
      <c r="B121" s="50">
        <v>396826740</v>
      </c>
      <c r="C121" s="50">
        <v>417817320</v>
      </c>
      <c r="D121" s="50">
        <v>459956566</v>
      </c>
      <c r="E121" s="50">
        <v>493209083</v>
      </c>
      <c r="F121" s="50">
        <v>528426980</v>
      </c>
      <c r="G121" s="1"/>
      <c r="H121" s="2"/>
      <c r="I121" s="2"/>
      <c r="J121" s="2"/>
      <c r="K121" s="2"/>
    </row>
    <row r="122">
      <c r="A122" s="95" t="s">
        <v>125</v>
      </c>
      <c r="B122" s="61">
        <v>1028705937</v>
      </c>
      <c r="C122" s="61">
        <v>1016748180</v>
      </c>
      <c r="D122" s="61">
        <v>1151376457</v>
      </c>
      <c r="E122" s="61">
        <v>1371490800</v>
      </c>
      <c r="F122" s="61">
        <v>1579781587</v>
      </c>
      <c r="G122" s="4"/>
      <c r="H122" s="5"/>
      <c r="I122" s="5"/>
      <c r="J122" s="5"/>
      <c r="K122" s="5"/>
    </row>
    <row r="123">
      <c r="A123" s="106" t="s">
        <v>126</v>
      </c>
      <c r="B123" s="50">
        <v>64459404</v>
      </c>
      <c r="C123" s="50">
        <v>60836119</v>
      </c>
      <c r="D123" s="50">
        <v>65873035</v>
      </c>
      <c r="E123" s="50">
        <v>74500426</v>
      </c>
      <c r="F123" s="50">
        <v>43345751</v>
      </c>
      <c r="G123" s="1"/>
      <c r="H123" s="2"/>
      <c r="I123" s="2"/>
      <c r="J123" s="2"/>
      <c r="K123" s="2"/>
    </row>
    <row r="124">
      <c r="A124" s="95" t="s">
        <v>127</v>
      </c>
      <c r="B124" s="61">
        <v>1093165341</v>
      </c>
      <c r="C124" s="61">
        <v>1077584299</v>
      </c>
      <c r="D124" s="61">
        <v>1217249492</v>
      </c>
      <c r="E124" s="61">
        <v>1445991226</v>
      </c>
      <c r="F124" s="61">
        <v>1623127338</v>
      </c>
      <c r="G124" s="4"/>
      <c r="H124" s="5"/>
      <c r="I124" s="5"/>
      <c r="J124" s="5"/>
      <c r="K124" s="5"/>
    </row>
    <row r="125">
      <c r="A125" s="95" t="s">
        <v>128</v>
      </c>
      <c r="B125" s="61">
        <v>3230660630</v>
      </c>
      <c r="C125" s="61">
        <v>3372409693</v>
      </c>
      <c r="D125" s="61">
        <v>3594750363</v>
      </c>
      <c r="E125" s="61">
        <v>3119530651</v>
      </c>
      <c r="F125" s="61">
        <v>2318752111</v>
      </c>
      <c r="G125" s="4"/>
      <c r="H125" s="5"/>
      <c r="I125" s="5"/>
      <c r="J125" s="5"/>
      <c r="K125" s="5"/>
    </row>
    <row r="126">
      <c r="A126" s="7"/>
      <c r="B126" s="7"/>
      <c r="C126" s="7"/>
      <c r="D126" s="7"/>
      <c r="E126" s="7"/>
      <c r="F126" s="7"/>
      <c r="G126" s="11"/>
      <c r="H126" s="7"/>
      <c r="I126" s="7"/>
      <c r="J126" s="7"/>
      <c r="K126" s="7"/>
    </row>
    <row r="127">
      <c r="A127" s="108" t="s">
        <v>3</v>
      </c>
      <c r="B127" s="98" t="s">
        <v>4</v>
      </c>
      <c r="C127" s="98" t="s">
        <v>5</v>
      </c>
      <c r="D127" s="98" t="s">
        <v>6</v>
      </c>
      <c r="E127" s="98" t="s">
        <v>7</v>
      </c>
      <c r="F127" s="98" t="s">
        <v>8</v>
      </c>
      <c r="G127" s="115" t="s">
        <v>9</v>
      </c>
      <c r="H127" s="94" t="s">
        <v>10</v>
      </c>
      <c r="I127" s="94" t="s">
        <v>11</v>
      </c>
      <c r="J127" s="94" t="s">
        <v>12</v>
      </c>
      <c r="K127" s="94" t="s">
        <v>13</v>
      </c>
    </row>
    <row r="128">
      <c r="A128" s="108" t="s">
        <v>129</v>
      </c>
      <c r="B128" s="8"/>
      <c r="C128" s="8"/>
      <c r="D128" s="8"/>
      <c r="E128" s="8"/>
      <c r="F128" s="8"/>
      <c r="G128" s="10"/>
      <c r="H128" s="3"/>
      <c r="I128" s="3"/>
      <c r="J128" s="3"/>
      <c r="K128" s="3"/>
    </row>
    <row r="129">
      <c r="A129" s="106" t="s">
        <v>15</v>
      </c>
      <c r="G129" s="11"/>
    </row>
    <row r="130">
      <c r="A130" s="106" t="s">
        <v>75</v>
      </c>
      <c r="B130" s="50">
        <v>81848589</v>
      </c>
      <c r="C130" s="50">
        <v>61993104</v>
      </c>
      <c r="D130" s="50">
        <v>96131302</v>
      </c>
      <c r="E130" s="50">
        <v>124645797</v>
      </c>
      <c r="F130" s="50">
        <v>167153843</v>
      </c>
      <c r="G130" s="1"/>
      <c r="H130" s="2"/>
      <c r="I130" s="2"/>
      <c r="J130" s="2"/>
      <c r="K130" s="2"/>
    </row>
    <row r="131">
      <c r="A131" s="106" t="s">
        <v>130</v>
      </c>
      <c r="B131" s="50">
        <v>6393929</v>
      </c>
      <c r="C131" s="50">
        <v>7352476</v>
      </c>
      <c r="D131" s="50">
        <v>6753787</v>
      </c>
      <c r="E131" s="50">
        <v>5081770</v>
      </c>
      <c r="F131" s="2"/>
      <c r="G131" s="1"/>
      <c r="H131" s="2"/>
      <c r="I131" s="2"/>
      <c r="J131" s="2"/>
      <c r="K131" s="2"/>
    </row>
    <row r="132">
      <c r="A132" s="106" t="s">
        <v>131</v>
      </c>
      <c r="B132" s="50">
        <v>5044764</v>
      </c>
      <c r="C132" s="50">
        <v>4929115</v>
      </c>
      <c r="D132" s="50">
        <v>5165439</v>
      </c>
      <c r="E132" s="50">
        <v>5149339</v>
      </c>
      <c r="F132" s="2"/>
      <c r="G132" s="1"/>
      <c r="H132" s="2"/>
      <c r="I132" s="2"/>
      <c r="J132" s="2"/>
      <c r="K132" s="2"/>
    </row>
    <row r="133">
      <c r="A133" s="106" t="s">
        <v>132</v>
      </c>
      <c r="B133" s="50">
        <v>1404847</v>
      </c>
      <c r="C133" s="50">
        <v>1342827</v>
      </c>
      <c r="D133" s="50">
        <v>1378655</v>
      </c>
      <c r="E133" s="50">
        <v>933309</v>
      </c>
      <c r="F133" s="2"/>
      <c r="G133" s="1"/>
      <c r="H133" s="2"/>
      <c r="I133" s="2"/>
      <c r="J133" s="2"/>
      <c r="K133" s="2"/>
    </row>
    <row r="134">
      <c r="A134" s="106" t="s">
        <v>133</v>
      </c>
      <c r="B134" s="50">
        <v>-2013784</v>
      </c>
      <c r="C134" s="50">
        <v>240213</v>
      </c>
      <c r="D134" s="50">
        <v>-63303</v>
      </c>
      <c r="E134" s="2"/>
      <c r="F134" s="2"/>
      <c r="G134" s="1"/>
      <c r="H134" s="2"/>
      <c r="I134" s="2"/>
      <c r="J134" s="2"/>
      <c r="K134" s="2"/>
    </row>
    <row r="135">
      <c r="A135" s="106" t="s">
        <v>134</v>
      </c>
      <c r="B135" s="50">
        <v>-6681944</v>
      </c>
      <c r="C135" s="50">
        <v>14025402</v>
      </c>
      <c r="D135" s="50">
        <v>-5542980</v>
      </c>
      <c r="E135" s="2"/>
      <c r="F135" s="2"/>
      <c r="G135" s="1"/>
      <c r="H135" s="2"/>
      <c r="I135" s="2"/>
      <c r="J135" s="2"/>
      <c r="K135" s="2"/>
    </row>
    <row r="136">
      <c r="A136" s="106" t="s">
        <v>135</v>
      </c>
      <c r="B136" s="50">
        <v>254435</v>
      </c>
      <c r="C136" s="50">
        <v>188193</v>
      </c>
      <c r="D136" s="50">
        <v>144114</v>
      </c>
      <c r="E136" s="50">
        <v>58020</v>
      </c>
      <c r="F136" s="2"/>
      <c r="G136" s="1"/>
      <c r="H136" s="2"/>
      <c r="I136" s="2"/>
      <c r="J136" s="2"/>
      <c r="K136" s="2"/>
    </row>
    <row r="137">
      <c r="A137" s="106" t="s">
        <v>136</v>
      </c>
      <c r="B137" s="50">
        <v>125836</v>
      </c>
      <c r="C137" s="50">
        <v>582779</v>
      </c>
      <c r="D137" s="50">
        <v>-1442923</v>
      </c>
      <c r="E137" s="2"/>
      <c r="F137" s="2"/>
      <c r="G137" s="1"/>
      <c r="H137" s="2"/>
      <c r="I137" s="2"/>
      <c r="J137" s="2"/>
      <c r="K137" s="2"/>
    </row>
    <row r="138">
      <c r="A138" s="106" t="s">
        <v>29</v>
      </c>
      <c r="B138" s="50">
        <v>143340</v>
      </c>
      <c r="C138" s="50">
        <v>1327507</v>
      </c>
      <c r="D138" s="50">
        <v>1113601</v>
      </c>
      <c r="E138" s="50">
        <v>530722</v>
      </c>
      <c r="F138" s="2"/>
      <c r="G138" s="1"/>
      <c r="H138" s="2"/>
      <c r="I138" s="2"/>
      <c r="J138" s="2"/>
      <c r="K138" s="2"/>
    </row>
    <row r="139">
      <c r="A139" s="106" t="s">
        <v>38</v>
      </c>
      <c r="B139" s="50">
        <v>4291456</v>
      </c>
      <c r="C139" s="50">
        <v>4626793</v>
      </c>
      <c r="D139" s="50">
        <v>7316131</v>
      </c>
      <c r="E139" s="50">
        <v>0</v>
      </c>
      <c r="F139" s="2"/>
      <c r="G139" s="1"/>
      <c r="H139" s="2"/>
      <c r="I139" s="2"/>
      <c r="J139" s="2"/>
      <c r="K139" s="2"/>
    </row>
    <row r="140">
      <c r="A140" s="106" t="s">
        <v>137</v>
      </c>
      <c r="B140" s="2"/>
      <c r="C140" s="50">
        <v>0</v>
      </c>
      <c r="D140" s="50">
        <v>18658</v>
      </c>
      <c r="E140" s="50">
        <v>33</v>
      </c>
      <c r="F140" s="2"/>
      <c r="G140" s="1"/>
      <c r="H140" s="2"/>
      <c r="I140" s="2"/>
      <c r="J140" s="2"/>
      <c r="K140" s="2"/>
    </row>
    <row r="141">
      <c r="A141" s="106" t="s">
        <v>138</v>
      </c>
      <c r="B141" s="50">
        <v>9152442</v>
      </c>
      <c r="C141" s="50">
        <v>-3120015</v>
      </c>
      <c r="D141" s="50">
        <v>28420469</v>
      </c>
      <c r="E141" s="50">
        <v>475396</v>
      </c>
      <c r="F141" s="2"/>
      <c r="G141" s="1"/>
      <c r="H141" s="2"/>
      <c r="I141" s="2"/>
      <c r="J141" s="2"/>
      <c r="K141" s="2"/>
    </row>
    <row r="142">
      <c r="A142" s="106" t="s">
        <v>139</v>
      </c>
      <c r="B142" s="50">
        <v>10285045</v>
      </c>
      <c r="C142" s="50">
        <v>12525971</v>
      </c>
      <c r="D142" s="50">
        <v>12302706</v>
      </c>
      <c r="E142" s="50">
        <v>10311345</v>
      </c>
      <c r="F142" s="2"/>
      <c r="G142" s="1"/>
      <c r="H142" s="2"/>
      <c r="I142" s="2"/>
      <c r="J142" s="2"/>
      <c r="K142" s="2"/>
    </row>
    <row r="143">
      <c r="A143" s="106" t="s">
        <v>140</v>
      </c>
      <c r="B143" s="50">
        <v>-9401319</v>
      </c>
      <c r="C143" s="50">
        <v>6820962</v>
      </c>
      <c r="D143" s="50">
        <v>-16095063</v>
      </c>
      <c r="E143" s="50">
        <v>8399782</v>
      </c>
      <c r="F143" s="2"/>
      <c r="G143" s="1"/>
      <c r="H143" s="2"/>
      <c r="I143" s="2"/>
      <c r="J143" s="2"/>
      <c r="K143" s="2"/>
    </row>
    <row r="144">
      <c r="A144" s="106" t="s">
        <v>141</v>
      </c>
      <c r="B144" s="50">
        <v>-18653980</v>
      </c>
      <c r="C144" s="50">
        <v>97915965</v>
      </c>
      <c r="D144" s="50">
        <v>-76138860</v>
      </c>
      <c r="E144" s="2"/>
      <c r="F144" s="2"/>
      <c r="G144" s="1"/>
      <c r="H144" s="2"/>
      <c r="I144" s="2"/>
      <c r="J144" s="2"/>
      <c r="K144" s="2"/>
    </row>
    <row r="145">
      <c r="A145" s="106" t="s">
        <v>142</v>
      </c>
      <c r="B145" s="50">
        <v>5823359</v>
      </c>
      <c r="C145" s="50">
        <v>-91188195</v>
      </c>
      <c r="D145" s="50">
        <v>74871725</v>
      </c>
      <c r="E145" s="50">
        <v>42182106</v>
      </c>
      <c r="F145" s="2"/>
      <c r="G145" s="1"/>
      <c r="H145" s="2"/>
      <c r="I145" s="2"/>
      <c r="J145" s="2"/>
      <c r="K145" s="2"/>
    </row>
    <row r="146">
      <c r="A146" s="106" t="s">
        <v>143</v>
      </c>
      <c r="B146" s="50">
        <v>690673</v>
      </c>
      <c r="C146" s="50">
        <v>934958</v>
      </c>
      <c r="D146" s="50">
        <v>572452</v>
      </c>
      <c r="E146" s="50">
        <v>590021</v>
      </c>
      <c r="F146" s="2"/>
      <c r="G146" s="1"/>
      <c r="H146" s="2"/>
      <c r="I146" s="2"/>
      <c r="J146" s="2"/>
      <c r="K146" s="2"/>
    </row>
    <row r="147">
      <c r="A147" s="106" t="s">
        <v>144</v>
      </c>
      <c r="B147" s="50">
        <v>-117456340</v>
      </c>
      <c r="C147" s="50">
        <v>-122825796</v>
      </c>
      <c r="D147" s="50">
        <v>-122582567</v>
      </c>
      <c r="E147" s="2"/>
      <c r="F147" s="2"/>
      <c r="G147" s="1"/>
      <c r="H147" s="2"/>
      <c r="I147" s="2"/>
      <c r="J147" s="2"/>
      <c r="K147" s="2"/>
    </row>
    <row r="148">
      <c r="A148" s="106" t="s">
        <v>145</v>
      </c>
      <c r="B148" s="50">
        <v>8820280</v>
      </c>
      <c r="C148" s="50">
        <v>11523656</v>
      </c>
      <c r="D148" s="50">
        <v>11895134</v>
      </c>
      <c r="E148" s="50">
        <v>9248545</v>
      </c>
      <c r="F148" s="2"/>
      <c r="G148" s="1"/>
      <c r="H148" s="2"/>
      <c r="I148" s="2"/>
      <c r="J148" s="2"/>
      <c r="K148" s="2"/>
    </row>
    <row r="149">
      <c r="A149" s="106" t="s">
        <v>146</v>
      </c>
      <c r="B149" s="50">
        <v>3146338</v>
      </c>
      <c r="C149" s="50">
        <v>-182731</v>
      </c>
      <c r="D149" s="50">
        <v>-37660768</v>
      </c>
      <c r="E149" s="50">
        <v>25370471</v>
      </c>
      <c r="F149" s="2"/>
      <c r="G149" s="1"/>
      <c r="H149" s="2"/>
      <c r="I149" s="2"/>
      <c r="J149" s="2"/>
      <c r="K149" s="2"/>
    </row>
    <row r="150">
      <c r="A150" s="106" t="s">
        <v>147</v>
      </c>
      <c r="B150" s="50">
        <v>-2392048</v>
      </c>
      <c r="C150" s="50">
        <v>-1984105</v>
      </c>
      <c r="D150" s="50">
        <v>5509624</v>
      </c>
      <c r="E150" s="50">
        <v>919822</v>
      </c>
      <c r="F150" s="2"/>
      <c r="G150" s="1"/>
      <c r="H150" s="2"/>
      <c r="I150" s="2"/>
      <c r="J150" s="2"/>
      <c r="K150" s="2"/>
    </row>
    <row r="151">
      <c r="A151" s="106" t="s">
        <v>148</v>
      </c>
      <c r="B151" s="50">
        <v>83355339</v>
      </c>
      <c r="C151" s="50">
        <v>-93708033</v>
      </c>
      <c r="D151" s="50">
        <v>-115473654</v>
      </c>
      <c r="E151" s="50">
        <v>0</v>
      </c>
      <c r="F151" s="2"/>
      <c r="G151" s="1"/>
      <c r="H151" s="2"/>
      <c r="I151" s="2"/>
      <c r="J151" s="2"/>
      <c r="K151" s="2"/>
    </row>
    <row r="152">
      <c r="A152" s="106" t="s">
        <v>149</v>
      </c>
      <c r="B152" s="50">
        <v>-3249125</v>
      </c>
      <c r="C152" s="50">
        <v>1823481</v>
      </c>
      <c r="D152" s="50">
        <v>-62343</v>
      </c>
      <c r="E152" s="50">
        <v>-8263916</v>
      </c>
      <c r="F152" s="2"/>
      <c r="G152" s="1"/>
      <c r="H152" s="2"/>
      <c r="I152" s="2"/>
      <c r="J152" s="2"/>
      <c r="K152" s="2"/>
    </row>
    <row r="153">
      <c r="A153" s="106" t="s">
        <v>150</v>
      </c>
      <c r="B153" s="50">
        <v>64237072</v>
      </c>
      <c r="C153" s="50">
        <v>17526009</v>
      </c>
      <c r="D153" s="50">
        <v>95444413</v>
      </c>
      <c r="E153" s="50">
        <v>0</v>
      </c>
      <c r="F153" s="2"/>
      <c r="G153" s="1"/>
      <c r="H153" s="2"/>
      <c r="I153" s="2"/>
      <c r="J153" s="2"/>
      <c r="K153" s="2"/>
    </row>
    <row r="154">
      <c r="A154" s="106" t="s">
        <v>151</v>
      </c>
      <c r="B154" s="50">
        <v>1605513</v>
      </c>
      <c r="C154" s="50">
        <v>-7647528</v>
      </c>
      <c r="D154" s="50">
        <v>21391143</v>
      </c>
      <c r="E154" s="50">
        <v>-9341342</v>
      </c>
      <c r="F154" s="2"/>
      <c r="G154" s="1"/>
      <c r="H154" s="2"/>
      <c r="I154" s="2"/>
      <c r="J154" s="2"/>
      <c r="K154" s="2"/>
    </row>
    <row r="155">
      <c r="A155" s="106" t="s">
        <v>152</v>
      </c>
      <c r="B155" s="50">
        <v>-3664464</v>
      </c>
      <c r="C155" s="50">
        <v>3068156</v>
      </c>
      <c r="D155" s="50">
        <v>14589946</v>
      </c>
      <c r="E155" s="50">
        <v>-30247009</v>
      </c>
      <c r="F155" s="2"/>
      <c r="G155" s="1"/>
      <c r="H155" s="2"/>
      <c r="I155" s="2"/>
      <c r="J155" s="2"/>
      <c r="K155" s="2"/>
    </row>
    <row r="156">
      <c r="A156" s="95" t="s">
        <v>153</v>
      </c>
      <c r="B156" s="61">
        <v>123110253</v>
      </c>
      <c r="C156" s="61">
        <v>-71908836</v>
      </c>
      <c r="D156" s="61">
        <v>7956838</v>
      </c>
      <c r="E156" s="61">
        <v>51062033</v>
      </c>
      <c r="F156" s="5"/>
      <c r="G156" s="4"/>
      <c r="H156" s="5"/>
      <c r="I156" s="5"/>
      <c r="J156" s="5"/>
      <c r="K156" s="5"/>
    </row>
    <row r="157">
      <c r="A157" s="106" t="s">
        <v>154</v>
      </c>
      <c r="B157" s="50">
        <v>174183962</v>
      </c>
      <c r="C157" s="50">
        <v>176332470</v>
      </c>
      <c r="D157" s="50">
        <v>206608626</v>
      </c>
      <c r="E157" s="50">
        <v>99503191</v>
      </c>
      <c r="F157" s="2"/>
      <c r="G157" s="1"/>
      <c r="H157" s="2"/>
      <c r="I157" s="2"/>
      <c r="J157" s="2"/>
      <c r="K157" s="2"/>
    </row>
    <row r="158">
      <c r="A158" s="106" t="s">
        <v>155</v>
      </c>
      <c r="B158" s="50">
        <v>-55538352</v>
      </c>
      <c r="C158" s="50">
        <v>-54535740</v>
      </c>
      <c r="D158" s="50">
        <v>-68661941</v>
      </c>
      <c r="E158" s="50">
        <v>-1028730</v>
      </c>
      <c r="F158" s="2"/>
      <c r="G158" s="1"/>
      <c r="H158" s="2"/>
      <c r="I158" s="2"/>
      <c r="J158" s="2"/>
      <c r="K158" s="2"/>
    </row>
    <row r="159">
      <c r="A159" s="106" t="s">
        <v>156</v>
      </c>
      <c r="B159" s="50">
        <v>-4368654</v>
      </c>
      <c r="C159" s="50">
        <v>-9172225</v>
      </c>
      <c r="D159" s="50">
        <v>-9172225</v>
      </c>
      <c r="E159" s="50">
        <v>-4107976</v>
      </c>
      <c r="F159" s="2"/>
      <c r="G159" s="1"/>
      <c r="H159" s="2"/>
      <c r="I159" s="2"/>
      <c r="J159" s="2"/>
      <c r="K159" s="2"/>
    </row>
    <row r="160">
      <c r="A160" s="95" t="s">
        <v>157</v>
      </c>
      <c r="B160" s="61">
        <v>237387209</v>
      </c>
      <c r="C160" s="61">
        <v>40715669</v>
      </c>
      <c r="D160" s="61">
        <v>136731298</v>
      </c>
      <c r="E160" s="61">
        <v>145428518</v>
      </c>
      <c r="F160" s="5"/>
      <c r="G160" s="4"/>
      <c r="H160" s="5"/>
      <c r="I160" s="5"/>
      <c r="J160" s="5"/>
      <c r="K160" s="5"/>
    </row>
    <row r="161">
      <c r="A161" s="106" t="s">
        <v>158</v>
      </c>
      <c r="B161" s="50">
        <v>0</v>
      </c>
      <c r="C161" s="50">
        <v>4903870</v>
      </c>
      <c r="D161" s="50">
        <v>0</v>
      </c>
      <c r="E161" s="2"/>
      <c r="F161" s="2"/>
      <c r="G161" s="1"/>
      <c r="H161" s="2"/>
      <c r="I161" s="2"/>
      <c r="J161" s="2"/>
      <c r="K161" s="2"/>
    </row>
    <row r="162">
      <c r="A162" s="106" t="s">
        <v>159</v>
      </c>
      <c r="B162" s="50">
        <v>-1412896169</v>
      </c>
      <c r="C162" s="50">
        <v>-1065667608</v>
      </c>
      <c r="D162" s="50">
        <v>-1160375625</v>
      </c>
      <c r="E162" s="50">
        <v>-221114316</v>
      </c>
      <c r="F162" s="2"/>
      <c r="G162" s="1"/>
      <c r="H162" s="2"/>
      <c r="I162" s="2"/>
      <c r="J162" s="2"/>
      <c r="K162" s="2"/>
    </row>
    <row r="163">
      <c r="A163" s="106" t="s">
        <v>160</v>
      </c>
      <c r="B163" s="50">
        <v>28626168</v>
      </c>
      <c r="C163" s="50">
        <v>64813024</v>
      </c>
      <c r="D163" s="50">
        <v>18328862</v>
      </c>
      <c r="E163" s="50">
        <v>81560572</v>
      </c>
      <c r="F163" s="2"/>
      <c r="G163" s="1"/>
      <c r="H163" s="2"/>
      <c r="I163" s="2"/>
      <c r="J163" s="2"/>
      <c r="K163" s="2"/>
    </row>
    <row r="164">
      <c r="A164" s="106" t="s">
        <v>161</v>
      </c>
      <c r="B164" s="50">
        <v>1294558964</v>
      </c>
      <c r="C164" s="50">
        <v>930700704</v>
      </c>
      <c r="D164" s="50">
        <v>1044489129</v>
      </c>
      <c r="E164" s="50">
        <v>52001703</v>
      </c>
      <c r="F164" s="2"/>
      <c r="G164" s="1"/>
      <c r="H164" s="2"/>
      <c r="I164" s="2"/>
      <c r="J164" s="2"/>
      <c r="K164" s="2"/>
    </row>
    <row r="165">
      <c r="A165" s="106" t="s">
        <v>162</v>
      </c>
      <c r="B165" s="50">
        <v>37437834</v>
      </c>
      <c r="C165" s="50">
        <v>819823</v>
      </c>
      <c r="D165" s="50">
        <v>29452622</v>
      </c>
      <c r="E165" s="50">
        <v>-53276191</v>
      </c>
      <c r="F165" s="2"/>
      <c r="G165" s="1"/>
      <c r="H165" s="2"/>
      <c r="I165" s="2"/>
      <c r="J165" s="2"/>
      <c r="K165" s="2"/>
    </row>
    <row r="166">
      <c r="A166" s="106" t="s">
        <v>163</v>
      </c>
      <c r="B166" s="50">
        <v>-8054</v>
      </c>
      <c r="C166" s="2"/>
      <c r="D166" s="2"/>
      <c r="E166" s="2"/>
      <c r="F166" s="2"/>
      <c r="G166" s="1"/>
      <c r="H166" s="2"/>
      <c r="I166" s="2"/>
      <c r="J166" s="2"/>
      <c r="K166" s="2"/>
    </row>
    <row r="167">
      <c r="A167" s="106" t="s">
        <v>164</v>
      </c>
      <c r="B167" s="50">
        <v>-6513414</v>
      </c>
      <c r="C167" s="50">
        <v>-5720639</v>
      </c>
      <c r="D167" s="50">
        <v>-7104019</v>
      </c>
      <c r="E167" s="50">
        <v>-7737670</v>
      </c>
      <c r="F167" s="2"/>
      <c r="G167" s="1"/>
      <c r="H167" s="2"/>
      <c r="I167" s="2"/>
      <c r="J167" s="2"/>
      <c r="K167" s="2"/>
    </row>
    <row r="168">
      <c r="A168" s="106" t="s">
        <v>165</v>
      </c>
      <c r="B168" s="50">
        <v>-421046</v>
      </c>
      <c r="C168" s="50">
        <v>-823175</v>
      </c>
      <c r="D168" s="50">
        <v>-963199</v>
      </c>
      <c r="E168" s="50">
        <v>-1008846</v>
      </c>
      <c r="F168" s="2"/>
      <c r="G168" s="1"/>
      <c r="H168" s="2"/>
      <c r="I168" s="2"/>
      <c r="J168" s="2"/>
      <c r="K168" s="2"/>
    </row>
    <row r="169">
      <c r="A169" s="106" t="s">
        <v>166</v>
      </c>
      <c r="B169" s="50">
        <v>-1447807</v>
      </c>
      <c r="C169" s="50">
        <v>-3130366</v>
      </c>
      <c r="D169" s="50">
        <v>-3118808</v>
      </c>
      <c r="E169" s="50">
        <v>56584218</v>
      </c>
      <c r="F169" s="2"/>
      <c r="G169" s="1"/>
      <c r="H169" s="2"/>
      <c r="I169" s="2"/>
      <c r="J169" s="2"/>
      <c r="K169" s="2"/>
    </row>
    <row r="170">
      <c r="A170" s="95" t="s">
        <v>167</v>
      </c>
      <c r="B170" s="61">
        <v>-60663524</v>
      </c>
      <c r="C170" s="61">
        <v>-74104367</v>
      </c>
      <c r="D170" s="61">
        <v>-79291038</v>
      </c>
      <c r="E170" s="61">
        <v>-193627744</v>
      </c>
      <c r="F170" s="5"/>
      <c r="G170" s="4"/>
      <c r="H170" s="5"/>
      <c r="I170" s="5"/>
      <c r="J170" s="5"/>
      <c r="K170" s="5"/>
    </row>
    <row r="171">
      <c r="A171" s="106" t="s">
        <v>168</v>
      </c>
      <c r="B171" s="50">
        <v>1656214</v>
      </c>
      <c r="C171" s="50">
        <v>-5499</v>
      </c>
      <c r="D171" s="50">
        <v>-297788</v>
      </c>
      <c r="E171" s="2"/>
      <c r="F171" s="2"/>
      <c r="G171" s="1"/>
      <c r="H171" s="2"/>
      <c r="I171" s="2"/>
      <c r="J171" s="2"/>
      <c r="K171" s="2"/>
    </row>
    <row r="172">
      <c r="A172" s="106" t="s">
        <v>169</v>
      </c>
      <c r="B172" s="50">
        <v>387206184</v>
      </c>
      <c r="C172" s="50">
        <v>281542115</v>
      </c>
      <c r="D172" s="50">
        <v>240841074</v>
      </c>
      <c r="E172" s="50">
        <v>0</v>
      </c>
      <c r="F172" s="2"/>
      <c r="G172" s="1"/>
      <c r="H172" s="2"/>
      <c r="I172" s="2"/>
      <c r="J172" s="2"/>
      <c r="K172" s="2"/>
    </row>
    <row r="173">
      <c r="A173" s="106" t="s">
        <v>170</v>
      </c>
      <c r="B173" s="50">
        <v>-514919908</v>
      </c>
      <c r="C173" s="50">
        <v>-256219173</v>
      </c>
      <c r="D173" s="50">
        <v>-255139920</v>
      </c>
      <c r="E173" s="50">
        <v>-930566</v>
      </c>
      <c r="F173" s="2"/>
      <c r="G173" s="1"/>
      <c r="H173" s="2"/>
      <c r="I173" s="2"/>
      <c r="J173" s="2"/>
      <c r="K173" s="2"/>
    </row>
    <row r="174">
      <c r="A174" s="106" t="s">
        <v>171</v>
      </c>
      <c r="B174" s="50">
        <v>0</v>
      </c>
      <c r="C174" s="50">
        <v>10000000</v>
      </c>
      <c r="D174" s="50">
        <v>54514</v>
      </c>
      <c r="E174" s="50">
        <v>0</v>
      </c>
      <c r="F174" s="2"/>
      <c r="G174" s="1"/>
      <c r="H174" s="2"/>
      <c r="I174" s="2"/>
      <c r="J174" s="2"/>
      <c r="K174" s="2"/>
    </row>
    <row r="175">
      <c r="A175" s="106" t="s">
        <v>172</v>
      </c>
      <c r="B175" s="50">
        <v>-1266953</v>
      </c>
      <c r="C175" s="50">
        <v>-1658709</v>
      </c>
      <c r="D175" s="50">
        <v>-1227094</v>
      </c>
      <c r="E175" s="50">
        <v>-1110817</v>
      </c>
      <c r="F175" s="2"/>
      <c r="G175" s="1"/>
      <c r="H175" s="2"/>
      <c r="I175" s="2"/>
      <c r="J175" s="2"/>
      <c r="K175" s="2"/>
    </row>
    <row r="176">
      <c r="A176" s="106" t="s">
        <v>173</v>
      </c>
      <c r="B176" s="50">
        <v>-4350376</v>
      </c>
      <c r="C176" s="50">
        <v>-1853217</v>
      </c>
      <c r="D176" s="50">
        <v>0</v>
      </c>
      <c r="E176" s="2"/>
      <c r="F176" s="2"/>
      <c r="G176" s="1"/>
      <c r="H176" s="2"/>
      <c r="I176" s="2"/>
      <c r="J176" s="2"/>
      <c r="K176" s="2"/>
    </row>
    <row r="177">
      <c r="A177" s="106" t="s">
        <v>174</v>
      </c>
      <c r="B177" s="50">
        <v>-1398750</v>
      </c>
      <c r="C177" s="50">
        <v>-1398750</v>
      </c>
      <c r="D177" s="50">
        <v>-1398750</v>
      </c>
      <c r="E177" s="50">
        <v>-1403970</v>
      </c>
      <c r="F177" s="2"/>
      <c r="G177" s="1"/>
      <c r="H177" s="2"/>
      <c r="I177" s="2"/>
      <c r="J177" s="2"/>
      <c r="K177" s="2"/>
    </row>
    <row r="178">
      <c r="A178" s="106" t="s">
        <v>175</v>
      </c>
      <c r="B178" s="50">
        <v>-30955804</v>
      </c>
      <c r="C178" s="50">
        <v>-34211040</v>
      </c>
      <c r="D178" s="50">
        <v>-44516938</v>
      </c>
      <c r="E178" s="50">
        <v>-59820402</v>
      </c>
      <c r="F178" s="2"/>
      <c r="G178" s="1"/>
      <c r="H178" s="2"/>
      <c r="I178" s="2"/>
      <c r="J178" s="2"/>
      <c r="K178" s="2"/>
    </row>
    <row r="179">
      <c r="A179" s="106" t="s">
        <v>176</v>
      </c>
      <c r="B179" s="50">
        <v>-4275</v>
      </c>
      <c r="C179" s="2"/>
      <c r="D179" s="2"/>
      <c r="E179" s="50">
        <v>-12079</v>
      </c>
      <c r="F179" s="2"/>
      <c r="G179" s="1"/>
      <c r="H179" s="2"/>
      <c r="I179" s="2"/>
      <c r="J179" s="2"/>
      <c r="K179" s="2"/>
    </row>
    <row r="180">
      <c r="A180" s="106" t="s">
        <v>177</v>
      </c>
      <c r="B180" s="2"/>
      <c r="C180" s="50">
        <v>0</v>
      </c>
      <c r="D180" s="50">
        <v>-125641</v>
      </c>
      <c r="E180" s="2"/>
      <c r="F180" s="2"/>
      <c r="G180" s="1"/>
      <c r="H180" s="2"/>
      <c r="I180" s="2"/>
      <c r="J180" s="2"/>
      <c r="K180" s="2"/>
    </row>
    <row r="181">
      <c r="A181" s="106" t="s">
        <v>178</v>
      </c>
      <c r="B181" s="50">
        <v>0</v>
      </c>
      <c r="C181" s="50">
        <v>-4298212</v>
      </c>
      <c r="D181" s="50">
        <v>0</v>
      </c>
      <c r="E181" s="2"/>
      <c r="F181" s="2"/>
      <c r="G181" s="1"/>
      <c r="H181" s="2"/>
      <c r="I181" s="2"/>
      <c r="J181" s="2"/>
      <c r="K181" s="2"/>
    </row>
    <row r="182">
      <c r="A182" s="95" t="s">
        <v>179</v>
      </c>
      <c r="B182" s="61">
        <v>-164033668</v>
      </c>
      <c r="C182" s="61">
        <v>-8102485</v>
      </c>
      <c r="D182" s="61">
        <v>-61810543</v>
      </c>
      <c r="E182" s="61">
        <v>-66063334</v>
      </c>
      <c r="F182" s="5"/>
      <c r="G182" s="4"/>
      <c r="H182" s="5"/>
      <c r="I182" s="5"/>
      <c r="J182" s="5"/>
      <c r="K182" s="5"/>
    </row>
    <row r="183">
      <c r="A183" s="106" t="s">
        <v>57</v>
      </c>
      <c r="G183" s="11"/>
    </row>
    <row r="184">
      <c r="A184" s="106" t="s">
        <v>180</v>
      </c>
      <c r="B184" s="2"/>
      <c r="C184" s="2"/>
      <c r="D184" s="2"/>
      <c r="E184" s="50">
        <v>9177546</v>
      </c>
      <c r="F184" s="50">
        <v>8870196</v>
      </c>
      <c r="G184" s="1"/>
      <c r="H184" s="2"/>
      <c r="I184" s="2"/>
      <c r="J184" s="2"/>
      <c r="K184" s="2"/>
    </row>
    <row r="185">
      <c r="A185" s="106" t="s">
        <v>181</v>
      </c>
      <c r="B185" s="2"/>
      <c r="C185" s="2"/>
      <c r="D185" s="2"/>
      <c r="E185" s="50">
        <v>-72095</v>
      </c>
      <c r="F185" s="50">
        <v>-430979</v>
      </c>
      <c r="G185" s="1"/>
      <c r="H185" s="2"/>
      <c r="I185" s="2"/>
      <c r="J185" s="2"/>
      <c r="K185" s="2"/>
    </row>
    <row r="186">
      <c r="A186" s="106" t="s">
        <v>182</v>
      </c>
      <c r="B186" s="2"/>
      <c r="C186" s="2"/>
      <c r="D186" s="2"/>
      <c r="E186" s="50">
        <v>1451830</v>
      </c>
      <c r="F186" s="50">
        <v>476424</v>
      </c>
      <c r="G186" s="1"/>
      <c r="H186" s="2"/>
      <c r="I186" s="2"/>
      <c r="J186" s="2"/>
      <c r="K186" s="2"/>
    </row>
    <row r="187">
      <c r="A187" s="106" t="s">
        <v>183</v>
      </c>
      <c r="B187" s="2"/>
      <c r="C187" s="2"/>
      <c r="D187" s="2"/>
      <c r="E187" s="50">
        <v>-180122</v>
      </c>
      <c r="F187" s="50">
        <v>-389258</v>
      </c>
      <c r="G187" s="1"/>
      <c r="H187" s="2"/>
      <c r="I187" s="2"/>
      <c r="J187" s="2"/>
      <c r="K187" s="2"/>
    </row>
    <row r="188">
      <c r="A188" s="106" t="s">
        <v>184</v>
      </c>
      <c r="B188" s="2"/>
      <c r="C188" s="2"/>
      <c r="D188" s="2"/>
      <c r="E188" s="50">
        <v>-4680591</v>
      </c>
      <c r="F188" s="50">
        <v>-3561910</v>
      </c>
      <c r="G188" s="1"/>
      <c r="H188" s="2"/>
      <c r="I188" s="2"/>
      <c r="J188" s="2"/>
      <c r="K188" s="2"/>
    </row>
    <row r="189">
      <c r="A189" s="106" t="s">
        <v>185</v>
      </c>
      <c r="B189" s="2"/>
      <c r="C189" s="2"/>
      <c r="D189" s="2"/>
      <c r="E189" s="50">
        <v>11495861</v>
      </c>
      <c r="F189" s="50">
        <v>-31161580</v>
      </c>
      <c r="G189" s="1"/>
      <c r="H189" s="2"/>
      <c r="I189" s="2"/>
      <c r="J189" s="2"/>
      <c r="K189" s="2"/>
    </row>
    <row r="190">
      <c r="A190" s="106" t="s">
        <v>186</v>
      </c>
      <c r="B190" s="2"/>
      <c r="C190" s="2"/>
      <c r="D190" s="2"/>
      <c r="E190" s="50">
        <v>-86618295</v>
      </c>
      <c r="F190" s="50">
        <v>-97613731</v>
      </c>
      <c r="G190" s="1"/>
      <c r="H190" s="2"/>
      <c r="I190" s="2"/>
      <c r="J190" s="2"/>
      <c r="K190" s="2"/>
    </row>
    <row r="191">
      <c r="A191" s="106" t="s">
        <v>143</v>
      </c>
      <c r="B191" s="2"/>
      <c r="C191" s="2"/>
      <c r="D191" s="2"/>
      <c r="E191" s="50">
        <v>1077041</v>
      </c>
      <c r="F191" s="50">
        <v>-2710156</v>
      </c>
      <c r="G191" s="1"/>
      <c r="H191" s="2"/>
      <c r="I191" s="2"/>
      <c r="J191" s="2"/>
      <c r="K191" s="2"/>
    </row>
    <row r="192">
      <c r="A192" s="106" t="s">
        <v>72</v>
      </c>
      <c r="B192" s="2"/>
      <c r="C192" s="2"/>
      <c r="D192" s="2"/>
      <c r="E192" s="50">
        <v>11985312</v>
      </c>
      <c r="F192" s="50">
        <v>12129240</v>
      </c>
      <c r="G192" s="1"/>
      <c r="H192" s="2"/>
      <c r="I192" s="2"/>
      <c r="J192" s="2"/>
      <c r="K192" s="2"/>
    </row>
    <row r="193">
      <c r="A193" s="106" t="s">
        <v>187</v>
      </c>
      <c r="B193" s="2"/>
      <c r="C193" s="2"/>
      <c r="D193" s="2"/>
      <c r="E193" s="50">
        <v>20964333</v>
      </c>
      <c r="F193" s="50">
        <v>35922211</v>
      </c>
      <c r="G193" s="1"/>
      <c r="H193" s="2"/>
      <c r="I193" s="2"/>
      <c r="J193" s="2"/>
      <c r="K193" s="2"/>
    </row>
    <row r="194">
      <c r="A194" s="106" t="s">
        <v>188</v>
      </c>
      <c r="B194" s="2"/>
      <c r="C194" s="2"/>
      <c r="D194" s="2"/>
      <c r="E194" s="50">
        <v>-44337697</v>
      </c>
      <c r="F194" s="50">
        <v>32734503</v>
      </c>
      <c r="G194" s="1"/>
      <c r="H194" s="2"/>
      <c r="I194" s="2"/>
      <c r="J194" s="2"/>
      <c r="K194" s="2"/>
    </row>
    <row r="195">
      <c r="A195" s="106" t="s">
        <v>94</v>
      </c>
      <c r="B195" s="2"/>
      <c r="C195" s="2"/>
      <c r="D195" s="2"/>
      <c r="E195" s="50">
        <v>6537274</v>
      </c>
      <c r="F195" s="50">
        <v>13584201</v>
      </c>
      <c r="G195" s="1"/>
      <c r="H195" s="2"/>
      <c r="I195" s="2"/>
      <c r="J195" s="2"/>
      <c r="K195" s="2"/>
    </row>
    <row r="196">
      <c r="A196" s="106" t="s">
        <v>189</v>
      </c>
      <c r="B196" s="2"/>
      <c r="C196" s="2"/>
      <c r="D196" s="2"/>
      <c r="E196" s="50">
        <v>63603672</v>
      </c>
      <c r="F196" s="50">
        <v>79201690</v>
      </c>
      <c r="G196" s="1"/>
      <c r="H196" s="2"/>
      <c r="I196" s="2"/>
      <c r="J196" s="2"/>
      <c r="K196" s="2"/>
    </row>
    <row r="197">
      <c r="A197" s="95" t="s">
        <v>153</v>
      </c>
      <c r="B197" s="5"/>
      <c r="C197" s="5"/>
      <c r="D197" s="5"/>
      <c r="E197" s="61">
        <v>115049866</v>
      </c>
      <c r="F197" s="61">
        <v>214204694</v>
      </c>
      <c r="G197" s="4"/>
      <c r="H197" s="5"/>
      <c r="I197" s="5"/>
      <c r="J197" s="5"/>
      <c r="K197" s="5"/>
    </row>
    <row r="198">
      <c r="A198" s="106" t="s">
        <v>190</v>
      </c>
      <c r="B198" s="2"/>
      <c r="C198" s="2"/>
      <c r="D198" s="2"/>
      <c r="E198" s="50">
        <v>41054480</v>
      </c>
      <c r="F198" s="50">
        <v>46477126</v>
      </c>
      <c r="G198" s="1"/>
      <c r="H198" s="2"/>
      <c r="I198" s="2"/>
      <c r="J198" s="2"/>
      <c r="K198" s="2"/>
    </row>
    <row r="199">
      <c r="A199" s="106" t="s">
        <v>191</v>
      </c>
      <c r="B199" s="2"/>
      <c r="C199" s="2"/>
      <c r="D199" s="2"/>
      <c r="E199" s="50">
        <v>-7433235</v>
      </c>
      <c r="F199" s="50">
        <v>-7802662</v>
      </c>
      <c r="G199" s="1"/>
      <c r="H199" s="2"/>
      <c r="I199" s="2"/>
      <c r="J199" s="2"/>
      <c r="K199" s="2"/>
    </row>
    <row r="200">
      <c r="A200" s="95" t="s">
        <v>157</v>
      </c>
      <c r="B200" s="5"/>
      <c r="C200" s="5"/>
      <c r="D200" s="5"/>
      <c r="E200" s="61">
        <v>148671111</v>
      </c>
      <c r="F200" s="61">
        <v>252879158</v>
      </c>
      <c r="G200" s="4"/>
      <c r="H200" s="5"/>
      <c r="I200" s="5"/>
      <c r="J200" s="5"/>
      <c r="K200" s="5"/>
    </row>
    <row r="201">
      <c r="A201" s="106" t="s">
        <v>159</v>
      </c>
      <c r="B201" s="2"/>
      <c r="C201" s="2"/>
      <c r="D201" s="2"/>
      <c r="E201" s="50">
        <v>-220461909</v>
      </c>
      <c r="F201" s="50">
        <v>-213431396</v>
      </c>
      <c r="G201" s="1"/>
      <c r="H201" s="2"/>
      <c r="I201" s="2"/>
      <c r="J201" s="2"/>
      <c r="K201" s="2"/>
    </row>
    <row r="202">
      <c r="A202" s="106" t="s">
        <v>192</v>
      </c>
      <c r="B202" s="2"/>
      <c r="C202" s="2"/>
      <c r="D202" s="2"/>
      <c r="E202" s="50">
        <v>80190084</v>
      </c>
      <c r="F202" s="50">
        <v>115595995</v>
      </c>
      <c r="G202" s="1"/>
      <c r="H202" s="2"/>
      <c r="I202" s="2"/>
      <c r="J202" s="2"/>
      <c r="K202" s="2"/>
    </row>
    <row r="203">
      <c r="A203" s="106" t="s">
        <v>193</v>
      </c>
      <c r="B203" s="2"/>
      <c r="C203" s="2"/>
      <c r="D203" s="2"/>
      <c r="E203" s="50">
        <v>-100637214</v>
      </c>
      <c r="F203" s="50">
        <v>14305569</v>
      </c>
      <c r="G203" s="1"/>
      <c r="H203" s="2"/>
      <c r="I203" s="2"/>
      <c r="J203" s="2"/>
      <c r="K203" s="2"/>
    </row>
    <row r="204">
      <c r="A204" s="106" t="s">
        <v>194</v>
      </c>
      <c r="B204" s="2"/>
      <c r="C204" s="2"/>
      <c r="D204" s="2"/>
      <c r="E204" s="50">
        <v>52001703</v>
      </c>
      <c r="F204" s="50">
        <v>14216261</v>
      </c>
      <c r="G204" s="1"/>
      <c r="H204" s="2"/>
      <c r="I204" s="2"/>
      <c r="J204" s="2"/>
      <c r="K204" s="2"/>
    </row>
    <row r="205">
      <c r="A205" s="106" t="s">
        <v>162</v>
      </c>
      <c r="B205" s="2"/>
      <c r="C205" s="2"/>
      <c r="D205" s="2"/>
      <c r="E205" s="50">
        <v>-53276191</v>
      </c>
      <c r="F205" s="50">
        <v>-16483725</v>
      </c>
      <c r="G205" s="1"/>
      <c r="H205" s="2"/>
      <c r="I205" s="2"/>
      <c r="J205" s="2"/>
      <c r="K205" s="2"/>
    </row>
    <row r="206">
      <c r="A206" s="106" t="s">
        <v>195</v>
      </c>
      <c r="B206" s="2"/>
      <c r="C206" s="2"/>
      <c r="D206" s="2"/>
      <c r="E206" s="50">
        <v>-8017685</v>
      </c>
      <c r="F206" s="50">
        <v>-6605065</v>
      </c>
      <c r="G206" s="1"/>
      <c r="H206" s="2"/>
      <c r="I206" s="2"/>
      <c r="J206" s="2"/>
      <c r="K206" s="2"/>
    </row>
    <row r="207">
      <c r="A207" s="106" t="s">
        <v>165</v>
      </c>
      <c r="B207" s="2"/>
      <c r="C207" s="2"/>
      <c r="D207" s="2"/>
      <c r="E207" s="50">
        <v>-1300489</v>
      </c>
      <c r="F207" s="50">
        <v>-1631813</v>
      </c>
      <c r="G207" s="1"/>
      <c r="H207" s="2"/>
      <c r="I207" s="2"/>
      <c r="J207" s="2"/>
      <c r="K207" s="2"/>
    </row>
    <row r="208">
      <c r="A208" s="106" t="s">
        <v>196</v>
      </c>
      <c r="B208" s="2"/>
      <c r="C208" s="2"/>
      <c r="D208" s="2"/>
      <c r="E208" s="50">
        <v>109921</v>
      </c>
      <c r="F208" s="50">
        <v>2885</v>
      </c>
      <c r="G208" s="1"/>
      <c r="H208" s="2"/>
      <c r="I208" s="2"/>
      <c r="J208" s="2"/>
      <c r="K208" s="2"/>
    </row>
    <row r="209">
      <c r="A209" s="106" t="s">
        <v>197</v>
      </c>
      <c r="B209" s="2"/>
      <c r="C209" s="2"/>
      <c r="D209" s="2"/>
      <c r="E209" s="50">
        <v>-525703</v>
      </c>
      <c r="F209" s="50">
        <v>-780200</v>
      </c>
      <c r="G209" s="1"/>
      <c r="H209" s="2"/>
      <c r="I209" s="2"/>
      <c r="J209" s="2"/>
      <c r="K209" s="2"/>
    </row>
    <row r="210">
      <c r="A210" s="95" t="s">
        <v>167</v>
      </c>
      <c r="B210" s="5"/>
      <c r="C210" s="5"/>
      <c r="D210" s="5"/>
      <c r="E210" s="61">
        <v>-251917483</v>
      </c>
      <c r="F210" s="61">
        <v>-94811489</v>
      </c>
      <c r="G210" s="4"/>
      <c r="H210" s="5"/>
      <c r="I210" s="5"/>
      <c r="J210" s="5"/>
      <c r="K210" s="5"/>
    </row>
    <row r="211">
      <c r="A211" s="106" t="s">
        <v>198</v>
      </c>
      <c r="B211" s="2"/>
      <c r="C211" s="2"/>
      <c r="D211" s="2"/>
      <c r="E211" s="50">
        <v>-2778940</v>
      </c>
      <c r="F211" s="50">
        <v>6304192</v>
      </c>
      <c r="G211" s="1"/>
      <c r="H211" s="2"/>
      <c r="I211" s="2"/>
      <c r="J211" s="2"/>
      <c r="K211" s="2"/>
    </row>
    <row r="212">
      <c r="A212" s="106" t="s">
        <v>199</v>
      </c>
      <c r="B212" s="2"/>
      <c r="C212" s="2"/>
      <c r="D212" s="2"/>
      <c r="E212" s="50">
        <v>-1436425</v>
      </c>
      <c r="F212" s="50">
        <v>0</v>
      </c>
      <c r="G212" s="1"/>
      <c r="H212" s="2"/>
      <c r="I212" s="2"/>
      <c r="J212" s="2"/>
      <c r="K212" s="2"/>
    </row>
    <row r="213">
      <c r="A213" s="106" t="s">
        <v>200</v>
      </c>
      <c r="B213" s="2"/>
      <c r="C213" s="2"/>
      <c r="D213" s="2"/>
      <c r="E213" s="50">
        <v>-59823642</v>
      </c>
      <c r="F213" s="50">
        <v>-147589315</v>
      </c>
      <c r="G213" s="1"/>
      <c r="H213" s="2"/>
      <c r="I213" s="2"/>
      <c r="J213" s="2"/>
      <c r="K213" s="2"/>
    </row>
    <row r="214">
      <c r="A214" s="106" t="s">
        <v>201</v>
      </c>
      <c r="B214" s="2"/>
      <c r="C214" s="2"/>
      <c r="D214" s="2"/>
      <c r="E214" s="50">
        <v>-630995</v>
      </c>
      <c r="F214" s="50">
        <v>-502257</v>
      </c>
      <c r="G214" s="1"/>
      <c r="H214" s="2"/>
      <c r="I214" s="2"/>
      <c r="J214" s="2"/>
      <c r="K214" s="2"/>
    </row>
    <row r="215">
      <c r="A215" s="95" t="s">
        <v>202</v>
      </c>
      <c r="B215" s="5"/>
      <c r="C215" s="5"/>
      <c r="D215" s="5"/>
      <c r="E215" s="61">
        <v>-64670002</v>
      </c>
      <c r="F215" s="61">
        <v>-141787380</v>
      </c>
      <c r="G215" s="4"/>
      <c r="H215" s="5"/>
      <c r="I215" s="5"/>
      <c r="J215" s="5"/>
      <c r="K215" s="5"/>
    </row>
    <row r="216">
      <c r="A216" s="106" t="s">
        <v>203</v>
      </c>
      <c r="B216" s="50">
        <v>12690017</v>
      </c>
      <c r="C216" s="50">
        <v>-41491183</v>
      </c>
      <c r="D216" s="50">
        <v>-4370283</v>
      </c>
      <c r="E216" s="50">
        <v>-167916374</v>
      </c>
      <c r="F216" s="50">
        <v>16280289</v>
      </c>
      <c r="G216" s="1"/>
      <c r="H216" s="2"/>
      <c r="I216" s="2"/>
      <c r="J216" s="2"/>
      <c r="K216" s="2"/>
    </row>
    <row r="217">
      <c r="A217" s="106" t="s">
        <v>204</v>
      </c>
      <c r="B217" s="50">
        <v>215127645</v>
      </c>
      <c r="C217" s="50">
        <v>219994785</v>
      </c>
      <c r="D217" s="50">
        <v>174660229</v>
      </c>
      <c r="E217" s="50">
        <v>232648061</v>
      </c>
      <c r="F217" s="50">
        <v>66040405</v>
      </c>
      <c r="G217" s="1"/>
      <c r="H217" s="2"/>
      <c r="I217" s="2"/>
      <c r="J217" s="2"/>
      <c r="K217" s="2"/>
    </row>
    <row r="218">
      <c r="A218" s="106" t="s">
        <v>205</v>
      </c>
      <c r="B218" s="50">
        <v>-7822877</v>
      </c>
      <c r="C218" s="50">
        <v>-3843373</v>
      </c>
      <c r="D218" s="50">
        <v>5394029</v>
      </c>
      <c r="E218" s="50">
        <v>1308718</v>
      </c>
      <c r="F218" s="50">
        <v>-327062</v>
      </c>
      <c r="G218" s="1"/>
      <c r="H218" s="2"/>
      <c r="I218" s="2"/>
      <c r="J218" s="2"/>
      <c r="K218" s="2"/>
    </row>
    <row r="219">
      <c r="A219" s="95" t="s">
        <v>206</v>
      </c>
      <c r="B219" s="61">
        <v>219994785</v>
      </c>
      <c r="C219" s="61">
        <v>174660229</v>
      </c>
      <c r="D219" s="61">
        <v>175683975</v>
      </c>
      <c r="E219" s="61">
        <v>66040405</v>
      </c>
      <c r="F219" s="61">
        <v>81993632</v>
      </c>
      <c r="G219" s="4"/>
      <c r="H219" s="5"/>
      <c r="I219" s="5"/>
      <c r="J219" s="5"/>
      <c r="K219" s="5"/>
    </row>
    <row r="220">
      <c r="A220" s="7"/>
      <c r="B220" s="7"/>
      <c r="C220" s="7"/>
      <c r="D220" s="7"/>
      <c r="E220" s="7"/>
      <c r="F220" s="7"/>
      <c r="G220" s="11"/>
      <c r="H220" s="7"/>
      <c r="I220" s="7"/>
      <c r="J220" s="7"/>
      <c r="K220" s="7"/>
    </row>
  </sheetData>
</worksheet>
</file>

<file path=xl/worksheets/sheet2.xml><?xml version="1.0" encoding="utf-8"?>
<worksheet xmlns="http://schemas.openxmlformats.org/spreadsheetml/2006/main" xmlns:r="http://schemas.openxmlformats.org/officeDocument/2006/relationships">
  <dimension ref="A1:Q10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108" t="s">
        <v>0</v>
      </c>
      <c r="B1" s="32"/>
      <c r="C1" s="32"/>
      <c r="D1" s="32"/>
      <c r="E1" s="32"/>
      <c r="F1" s="32"/>
      <c r="G1" s="17"/>
      <c r="H1" s="21"/>
      <c r="I1" s="21"/>
      <c r="J1" s="21"/>
      <c r="K1" s="21"/>
      <c r="L1" s="15"/>
      <c r="M1" s="15"/>
      <c r="N1" s="14"/>
      <c r="O1" s="15"/>
      <c r="P1" s="15"/>
      <c r="Q1" s="14"/>
    </row>
    <row r="2">
      <c r="A2" s="18"/>
      <c r="B2" s="18"/>
      <c r="C2" s="18"/>
      <c r="D2" s="18"/>
      <c r="E2" s="18"/>
      <c r="F2" s="18"/>
      <c r="G2" s="25"/>
      <c r="H2" s="18"/>
      <c r="I2" s="18"/>
      <c r="J2" s="18"/>
      <c r="K2" s="18"/>
      <c r="L2" s="15"/>
      <c r="M2" s="15"/>
      <c r="N2" s="14"/>
      <c r="O2" s="15"/>
      <c r="P2" s="15"/>
      <c r="Q2" s="14"/>
    </row>
    <row r="3">
      <c r="A3" s="106" t="s">
        <v>207</v>
      </c>
      <c r="G3" s="25"/>
      <c r="L3" s="15"/>
      <c r="M3" s="15"/>
      <c r="N3" s="14"/>
      <c r="O3" s="15"/>
      <c r="P3" s="15"/>
      <c r="Q3" s="14"/>
    </row>
    <row r="4">
      <c r="A4" s="106" t="s">
        <v>208</v>
      </c>
      <c r="G4" s="25"/>
      <c r="L4" s="15"/>
      <c r="M4" s="15"/>
      <c r="N4" s="14"/>
      <c r="O4" s="15"/>
      <c r="P4" s="15"/>
      <c r="Q4" s="14"/>
    </row>
    <row r="5">
      <c r="A5" s="106" t="s">
        <v>209</v>
      </c>
      <c r="B5" s="29"/>
      <c r="C5" s="33">
        <v>1</v>
      </c>
      <c r="D5" s="29"/>
      <c r="E5" s="29"/>
      <c r="F5" s="29"/>
      <c r="G5" s="35"/>
      <c r="H5" s="29"/>
      <c r="I5" s="29"/>
      <c r="J5" s="29"/>
      <c r="K5" s="29"/>
      <c r="L5" s="15"/>
      <c r="M5" s="106" t="s">
        <v>210</v>
      </c>
      <c r="N5" s="14" t="s">
        <v>211</v>
      </c>
      <c r="O5" s="15"/>
      <c r="P5" s="15"/>
      <c r="Q5" s="14" t="s">
        <v>212</v>
      </c>
    </row>
    <row r="6">
      <c r="A6" s="106" t="s">
        <v>213</v>
      </c>
      <c r="B6" s="28"/>
      <c r="C6" s="110" t="str">
        <f>CHOOSE($C$5,"Base","Bull","Bear")</f>
        <v>Base</v>
      </c>
      <c r="D6" s="28"/>
      <c r="E6" s="28"/>
      <c r="F6" s="28"/>
      <c r="G6" s="24"/>
      <c r="H6" s="28"/>
      <c r="I6" s="28"/>
      <c r="J6" s="28"/>
      <c r="K6" s="28"/>
      <c r="L6" s="15"/>
      <c r="M6" s="106" t="s">
        <v>214</v>
      </c>
      <c r="N6" s="14" t="s">
        <v>211</v>
      </c>
      <c r="O6" s="15"/>
      <c r="P6" s="15"/>
      <c r="Q6" s="14" t="s">
        <v>215</v>
      </c>
    </row>
    <row r="7">
      <c r="A7" s="18"/>
      <c r="B7" s="18"/>
      <c r="C7" s="18"/>
      <c r="D7" s="18"/>
      <c r="E7" s="18"/>
      <c r="F7" s="18"/>
      <c r="G7" s="25"/>
      <c r="H7" s="18"/>
      <c r="I7" s="18"/>
      <c r="J7" s="18"/>
      <c r="K7" s="18"/>
      <c r="L7" s="15"/>
      <c r="M7" s="15"/>
      <c r="N7" s="14"/>
      <c r="O7" s="15"/>
      <c r="P7" s="15"/>
      <c r="Q7" s="14"/>
    </row>
    <row r="8">
      <c r="A8" s="108" t="s">
        <v>3</v>
      </c>
      <c r="B8" s="98" t="s">
        <v>4</v>
      </c>
      <c r="C8" s="98" t="s">
        <v>5</v>
      </c>
      <c r="D8" s="98" t="s">
        <v>6</v>
      </c>
      <c r="E8" s="98" t="s">
        <v>7</v>
      </c>
      <c r="F8" s="98" t="s">
        <v>8</v>
      </c>
      <c r="G8" s="115" t="s">
        <v>9</v>
      </c>
      <c r="H8" s="94" t="s">
        <v>10</v>
      </c>
      <c r="I8" s="94" t="s">
        <v>11</v>
      </c>
      <c r="J8" s="94" t="s">
        <v>12</v>
      </c>
      <c r="K8" s="94" t="s">
        <v>13</v>
      </c>
      <c r="L8" s="15"/>
      <c r="M8" s="118" t="s">
        <v>216</v>
      </c>
      <c r="N8" s="118" t="s">
        <v>217</v>
      </c>
      <c r="O8" s="15"/>
      <c r="P8" s="15"/>
      <c r="Q8" s="118" t="s">
        <v>218</v>
      </c>
    </row>
    <row r="9">
      <c r="A9" s="18"/>
      <c r="B9" s="18"/>
      <c r="C9" s="18"/>
      <c r="D9" s="18"/>
      <c r="E9" s="18"/>
      <c r="F9" s="18"/>
      <c r="G9" s="25"/>
      <c r="H9" s="18"/>
      <c r="I9" s="18"/>
      <c r="J9" s="18"/>
      <c r="K9" s="18"/>
      <c r="L9" s="15"/>
      <c r="M9" s="15"/>
      <c r="N9" s="14"/>
      <c r="O9" s="15"/>
      <c r="P9" s="15"/>
      <c r="Q9" s="14"/>
    </row>
    <row r="10">
      <c r="A10" s="108" t="s">
        <v>219</v>
      </c>
      <c r="B10" s="26"/>
      <c r="C10" s="26"/>
      <c r="D10" s="26"/>
      <c r="E10" s="26"/>
      <c r="F10" s="26"/>
      <c r="G10" s="31"/>
      <c r="H10" s="30"/>
      <c r="I10" s="30"/>
      <c r="J10" s="30"/>
      <c r="K10" s="30"/>
      <c r="L10" s="15"/>
      <c r="M10" s="15"/>
      <c r="N10" s="15"/>
      <c r="O10" s="15"/>
      <c r="P10" s="15"/>
      <c r="Q10" s="15"/>
    </row>
    <row r="11">
      <c r="A11" s="106" t="s">
        <v>220</v>
      </c>
      <c r="B11" s="16"/>
      <c r="C11" s="16"/>
      <c r="D11" s="16"/>
      <c r="E11" s="16"/>
      <c r="F11" s="16"/>
      <c r="G11" s="23">
        <f>CHOOSE($C$5,G13,G14,G12)</f>
        <v>0.0794</v>
      </c>
      <c r="H11" s="16">
        <f>CHOOSE($C$5,H13,H14,H12)</f>
        <v>0.0794</v>
      </c>
      <c r="I11" s="16">
        <f>CHOOSE($C$5,I13,I14,I12)</f>
        <v>0.0794</v>
      </c>
      <c r="J11" s="16">
        <f>CHOOSE($C$5,J13,J14,J12)</f>
        <v>0.0794</v>
      </c>
      <c r="K11" s="16">
        <f>CHOOSE($C$5,K13,K14,K12)</f>
        <v>0.0794</v>
      </c>
      <c r="L11" s="15"/>
      <c r="M11" s="106" t="s">
        <v>221</v>
      </c>
      <c r="N11" s="14" t="s">
        <v>222</v>
      </c>
      <c r="O11" s="15"/>
      <c r="P11" s="15"/>
      <c r="Q11" s="14" t="s">
        <v>215</v>
      </c>
    </row>
    <row r="12">
      <c r="A12" s="106" t="s">
        <v>223</v>
      </c>
      <c r="B12" s="16"/>
      <c r="C12" s="16"/>
      <c r="D12" s="16"/>
      <c r="E12" s="16"/>
      <c r="F12" s="16"/>
      <c r="G12" s="22">
        <v>0.0594</v>
      </c>
      <c r="H12" s="13">
        <v>0.0594</v>
      </c>
      <c r="I12" s="13">
        <v>0.0594</v>
      </c>
      <c r="J12" s="13">
        <v>0.0594</v>
      </c>
      <c r="K12" s="13">
        <v>0.0594</v>
      </c>
      <c r="L12" s="15"/>
      <c r="M12" s="106" t="s">
        <v>221</v>
      </c>
      <c r="N12" s="14" t="s">
        <v>222</v>
      </c>
      <c r="O12" s="15"/>
      <c r="P12" s="15"/>
      <c r="Q12" s="14" t="s">
        <v>224</v>
      </c>
    </row>
    <row r="13">
      <c r="A13" s="106" t="s">
        <v>225</v>
      </c>
      <c r="B13" s="16"/>
      <c r="C13" s="16"/>
      <c r="D13" s="16"/>
      <c r="E13" s="16"/>
      <c r="F13" s="16"/>
      <c r="G13" s="22">
        <v>0.0794</v>
      </c>
      <c r="H13" s="13">
        <v>0.0794</v>
      </c>
      <c r="I13" s="13">
        <v>0.0794</v>
      </c>
      <c r="J13" s="13">
        <v>0.0794</v>
      </c>
      <c r="K13" s="13">
        <v>0.0794</v>
      </c>
      <c r="L13" s="15"/>
      <c r="M13" s="106" t="s">
        <v>221</v>
      </c>
      <c r="N13" s="14" t="s">
        <v>222</v>
      </c>
      <c r="O13" s="15"/>
      <c r="P13" s="15"/>
      <c r="Q13" s="14" t="s">
        <v>224</v>
      </c>
    </row>
    <row r="14">
      <c r="A14" s="106" t="s">
        <v>226</v>
      </c>
      <c r="B14" s="16"/>
      <c r="C14" s="16"/>
      <c r="D14" s="16"/>
      <c r="E14" s="16"/>
      <c r="F14" s="16"/>
      <c r="G14" s="22">
        <v>0.0994</v>
      </c>
      <c r="H14" s="13">
        <v>0.0994</v>
      </c>
      <c r="I14" s="13">
        <v>0.0994</v>
      </c>
      <c r="J14" s="13">
        <v>0.0994</v>
      </c>
      <c r="K14" s="13">
        <v>0.0994</v>
      </c>
      <c r="L14" s="15"/>
      <c r="M14" s="106" t="s">
        <v>221</v>
      </c>
      <c r="N14" s="14" t="s">
        <v>222</v>
      </c>
      <c r="O14" s="15"/>
      <c r="P14" s="15"/>
      <c r="Q14" s="14" t="s">
        <v>224</v>
      </c>
    </row>
    <row r="15">
      <c r="A15" s="106" t="s">
        <v>227</v>
      </c>
      <c r="B15" s="28"/>
      <c r="C15" s="28"/>
      <c r="D15" s="28"/>
      <c r="E15" s="111">
        <f>EEFF!E50</f>
        <v>820306455</v>
      </c>
      <c r="F15" s="111">
        <f>EEFF!F50</f>
        <v>885435473</v>
      </c>
      <c r="G15" s="24"/>
      <c r="H15" s="28"/>
      <c r="I15" s="28"/>
      <c r="J15" s="28"/>
      <c r="K15" s="28"/>
      <c r="L15" s="15"/>
      <c r="M15" s="106" t="s">
        <v>214</v>
      </c>
      <c r="N15" s="14" t="s">
        <v>222</v>
      </c>
      <c r="O15" s="15"/>
      <c r="P15" s="15"/>
      <c r="Q15" s="14" t="s">
        <v>228</v>
      </c>
    </row>
    <row r="16">
      <c r="A16" s="106" t="s">
        <v>229</v>
      </c>
      <c r="B16" s="16"/>
      <c r="C16" s="16"/>
      <c r="D16" s="16"/>
      <c r="E16" s="16"/>
      <c r="F16" s="20">
        <f>EEFF!F50/EEFF!E50-1</f>
        <v>0.07939595940397659</v>
      </c>
      <c r="G16" s="23"/>
      <c r="H16" s="16"/>
      <c r="I16" s="16"/>
      <c r="J16" s="16"/>
      <c r="K16" s="16"/>
      <c r="L16" s="15"/>
      <c r="M16" s="106" t="s">
        <v>221</v>
      </c>
      <c r="N16" s="14" t="s">
        <v>222</v>
      </c>
      <c r="O16" s="15"/>
      <c r="P16" s="15"/>
      <c r="Q16" s="14" t="s">
        <v>230</v>
      </c>
    </row>
    <row r="17">
      <c r="A17" s="18"/>
      <c r="B17" s="18"/>
      <c r="C17" s="18"/>
      <c r="D17" s="18"/>
      <c r="E17" s="18"/>
      <c r="F17" s="18"/>
      <c r="G17" s="25"/>
      <c r="H17" s="18"/>
      <c r="I17" s="18"/>
      <c r="J17" s="18"/>
      <c r="K17" s="18"/>
      <c r="L17" s="15"/>
      <c r="M17" s="15"/>
      <c r="N17" s="14"/>
      <c r="O17" s="15"/>
      <c r="P17" s="15"/>
      <c r="Q17" s="14"/>
    </row>
    <row r="18">
      <c r="A18" s="108" t="s">
        <v>231</v>
      </c>
      <c r="B18" s="26"/>
      <c r="C18" s="26"/>
      <c r="D18" s="26"/>
      <c r="E18" s="26"/>
      <c r="F18" s="26"/>
      <c r="G18" s="31"/>
      <c r="H18" s="30"/>
      <c r="I18" s="30"/>
      <c r="J18" s="30"/>
      <c r="K18" s="30"/>
      <c r="L18" s="15"/>
      <c r="M18" s="15"/>
      <c r="N18" s="15"/>
      <c r="O18" s="15"/>
      <c r="P18" s="15"/>
      <c r="Q18" s="15"/>
    </row>
    <row r="19">
      <c r="A19" s="106" t="s">
        <v>232</v>
      </c>
      <c r="B19" s="16"/>
      <c r="C19" s="16"/>
      <c r="D19" s="16"/>
      <c r="E19" s="16"/>
      <c r="F19" s="16"/>
      <c r="G19" s="23">
        <f>CHOOSE($C$5,G21,G22,G20)</f>
        <v>-0.4816</v>
      </c>
      <c r="H19" s="16">
        <f>CHOOSE($C$5,H21,H22,H20)</f>
        <v>-0.4816</v>
      </c>
      <c r="I19" s="16">
        <f>CHOOSE($C$5,I21,I22,I20)</f>
        <v>-0.4816</v>
      </c>
      <c r="J19" s="16">
        <f>CHOOSE($C$5,J21,J22,J20)</f>
        <v>-0.4816</v>
      </c>
      <c r="K19" s="16">
        <f>CHOOSE($C$5,K21,K22,K20)</f>
        <v>-0.4816</v>
      </c>
      <c r="L19" s="15"/>
      <c r="M19" s="106" t="s">
        <v>221</v>
      </c>
      <c r="N19" s="14" t="s">
        <v>233</v>
      </c>
      <c r="O19" s="15"/>
      <c r="P19" s="15"/>
      <c r="Q19" s="14" t="s">
        <v>215</v>
      </c>
    </row>
    <row r="20">
      <c r="A20" s="106" t="s">
        <v>223</v>
      </c>
      <c r="B20" s="16"/>
      <c r="C20" s="16"/>
      <c r="D20" s="16"/>
      <c r="E20" s="16"/>
      <c r="F20" s="16"/>
      <c r="G20" s="22">
        <v>-0.5016</v>
      </c>
      <c r="H20" s="13">
        <v>-0.5016</v>
      </c>
      <c r="I20" s="13">
        <v>-0.5016</v>
      </c>
      <c r="J20" s="13">
        <v>-0.5016</v>
      </c>
      <c r="K20" s="13">
        <v>-0.5016</v>
      </c>
      <c r="L20" s="15"/>
      <c r="M20" s="106" t="s">
        <v>221</v>
      </c>
      <c r="N20" s="14" t="s">
        <v>233</v>
      </c>
      <c r="O20" s="15"/>
      <c r="P20" s="15"/>
      <c r="Q20" s="14" t="s">
        <v>224</v>
      </c>
    </row>
    <row r="21">
      <c r="A21" s="106" t="s">
        <v>225</v>
      </c>
      <c r="B21" s="16"/>
      <c r="C21" s="16"/>
      <c r="D21" s="16"/>
      <c r="E21" s="16"/>
      <c r="F21" s="16"/>
      <c r="G21" s="22">
        <v>-0.4816</v>
      </c>
      <c r="H21" s="13">
        <v>-0.4816</v>
      </c>
      <c r="I21" s="13">
        <v>-0.4816</v>
      </c>
      <c r="J21" s="13">
        <v>-0.4816</v>
      </c>
      <c r="K21" s="13">
        <v>-0.4816</v>
      </c>
      <c r="L21" s="15"/>
      <c r="M21" s="106" t="s">
        <v>221</v>
      </c>
      <c r="N21" s="14" t="s">
        <v>233</v>
      </c>
      <c r="O21" s="15"/>
      <c r="P21" s="15"/>
      <c r="Q21" s="14" t="s">
        <v>224</v>
      </c>
    </row>
    <row r="22">
      <c r="A22" s="106" t="s">
        <v>226</v>
      </c>
      <c r="B22" s="16"/>
      <c r="C22" s="16"/>
      <c r="D22" s="16"/>
      <c r="E22" s="16"/>
      <c r="F22" s="16"/>
      <c r="G22" s="22">
        <v>-0.4616</v>
      </c>
      <c r="H22" s="13">
        <v>-0.4616</v>
      </c>
      <c r="I22" s="13">
        <v>-0.4616</v>
      </c>
      <c r="J22" s="13">
        <v>-0.4616</v>
      </c>
      <c r="K22" s="13">
        <v>-0.4616</v>
      </c>
      <c r="L22" s="15"/>
      <c r="M22" s="106" t="s">
        <v>221</v>
      </c>
      <c r="N22" s="14" t="s">
        <v>233</v>
      </c>
      <c r="O22" s="15"/>
      <c r="P22" s="15"/>
      <c r="Q22" s="14" t="s">
        <v>224</v>
      </c>
    </row>
    <row r="23">
      <c r="A23" s="106" t="s">
        <v>234</v>
      </c>
      <c r="B23" s="20">
        <f>IF(EEFF!B10=0,"",EEFF!B16/EEFF!B10)</f>
        <v>-0.7924714154703155</v>
      </c>
      <c r="C23" s="20">
        <f>IF(EEFF!C10=0,"",EEFF!C16/EEFF!C10)</f>
        <v>-0.9739993784731396</v>
      </c>
      <c r="D23" s="20">
        <f>IF(EEFF!D10=0,"",EEFF!D16/EEFF!D10)</f>
        <v>-0.6240069336734854</v>
      </c>
      <c r="E23" s="20">
        <f>EEFF!E51/EEFF!E50</f>
        <v>-0.44846380003190395</v>
      </c>
      <c r="F23" s="20">
        <f>EEFF!F51/EEFF!F50</f>
        <v>-0.4816458420793358</v>
      </c>
      <c r="G23" s="23"/>
      <c r="H23" s="16"/>
      <c r="I23" s="16"/>
      <c r="J23" s="16"/>
      <c r="K23" s="16"/>
      <c r="L23" s="15"/>
      <c r="M23" s="106" t="s">
        <v>221</v>
      </c>
      <c r="N23" s="14" t="s">
        <v>235</v>
      </c>
      <c r="O23" s="15"/>
      <c r="P23" s="15"/>
      <c r="Q23" s="14" t="s">
        <v>236</v>
      </c>
    </row>
    <row r="24">
      <c r="A24" s="18"/>
      <c r="B24" s="18"/>
      <c r="C24" s="18"/>
      <c r="D24" s="18"/>
      <c r="E24" s="18"/>
      <c r="F24" s="18"/>
      <c r="G24" s="25"/>
      <c r="H24" s="18"/>
      <c r="I24" s="18"/>
      <c r="J24" s="18"/>
      <c r="K24" s="18"/>
      <c r="L24" s="15"/>
      <c r="M24" s="15"/>
      <c r="N24" s="14"/>
      <c r="O24" s="15"/>
      <c r="P24" s="15"/>
      <c r="Q24" s="14"/>
    </row>
    <row r="25">
      <c r="A25" s="108" t="s">
        <v>237</v>
      </c>
      <c r="B25" s="26"/>
      <c r="C25" s="26"/>
      <c r="D25" s="26"/>
      <c r="E25" s="26"/>
      <c r="F25" s="26"/>
      <c r="G25" s="31"/>
      <c r="H25" s="30"/>
      <c r="I25" s="30"/>
      <c r="J25" s="30"/>
      <c r="K25" s="30"/>
      <c r="L25" s="15"/>
      <c r="M25" s="15"/>
      <c r="N25" s="15"/>
      <c r="O25" s="15"/>
      <c r="P25" s="15"/>
      <c r="Q25" s="15"/>
    </row>
    <row r="26">
      <c r="A26" s="106" t="s">
        <v>238</v>
      </c>
      <c r="B26" s="16"/>
      <c r="C26" s="16"/>
      <c r="D26" s="16"/>
      <c r="E26" s="16"/>
      <c r="F26" s="16"/>
      <c r="G26" s="23">
        <f>CHOOSE($C$5,G28,G29,G27)</f>
        <v>-0.1076</v>
      </c>
      <c r="H26" s="16">
        <f>CHOOSE($C$5,H28,H29,H27)</f>
        <v>-0.1076</v>
      </c>
      <c r="I26" s="16">
        <f>CHOOSE($C$5,I28,I29,I27)</f>
        <v>-0.1076</v>
      </c>
      <c r="J26" s="16">
        <f>CHOOSE($C$5,J28,J29,J27)</f>
        <v>-0.1076</v>
      </c>
      <c r="K26" s="16">
        <f>CHOOSE($C$5,K28,K29,K27)</f>
        <v>-0.1076</v>
      </c>
      <c r="L26" s="15"/>
      <c r="M26" s="106" t="s">
        <v>221</v>
      </c>
      <c r="N26" s="14" t="s">
        <v>239</v>
      </c>
      <c r="O26" s="15"/>
      <c r="P26" s="15"/>
      <c r="Q26" s="14" t="s">
        <v>215</v>
      </c>
    </row>
    <row r="27">
      <c r="A27" s="106" t="s">
        <v>223</v>
      </c>
      <c r="B27" s="16"/>
      <c r="C27" s="16"/>
      <c r="D27" s="16"/>
      <c r="E27" s="16"/>
      <c r="F27" s="16"/>
      <c r="G27" s="22">
        <v>-0.1276</v>
      </c>
      <c r="H27" s="13">
        <v>-0.1276</v>
      </c>
      <c r="I27" s="13">
        <v>-0.1276</v>
      </c>
      <c r="J27" s="13">
        <v>-0.1276</v>
      </c>
      <c r="K27" s="13">
        <v>-0.1276</v>
      </c>
      <c r="L27" s="15"/>
      <c r="M27" s="106" t="s">
        <v>221</v>
      </c>
      <c r="N27" s="14" t="s">
        <v>239</v>
      </c>
      <c r="O27" s="15"/>
      <c r="P27" s="15"/>
      <c r="Q27" s="14" t="s">
        <v>224</v>
      </c>
    </row>
    <row r="28">
      <c r="A28" s="106" t="s">
        <v>225</v>
      </c>
      <c r="B28" s="16"/>
      <c r="C28" s="16"/>
      <c r="D28" s="16"/>
      <c r="E28" s="16"/>
      <c r="F28" s="16"/>
      <c r="G28" s="22">
        <v>-0.1076</v>
      </c>
      <c r="H28" s="13">
        <v>-0.1076</v>
      </c>
      <c r="I28" s="13">
        <v>-0.1076</v>
      </c>
      <c r="J28" s="13">
        <v>-0.1076</v>
      </c>
      <c r="K28" s="13">
        <v>-0.1076</v>
      </c>
      <c r="L28" s="15"/>
      <c r="M28" s="106" t="s">
        <v>221</v>
      </c>
      <c r="N28" s="14" t="s">
        <v>239</v>
      </c>
      <c r="O28" s="15"/>
      <c r="P28" s="15"/>
      <c r="Q28" s="14" t="s">
        <v>224</v>
      </c>
    </row>
    <row r="29">
      <c r="A29" s="106" t="s">
        <v>226</v>
      </c>
      <c r="B29" s="16"/>
      <c r="C29" s="16"/>
      <c r="D29" s="16"/>
      <c r="E29" s="16"/>
      <c r="F29" s="16"/>
      <c r="G29" s="22">
        <v>-0.0876</v>
      </c>
      <c r="H29" s="13">
        <v>-0.0876</v>
      </c>
      <c r="I29" s="13">
        <v>-0.0876</v>
      </c>
      <c r="J29" s="13">
        <v>-0.0876</v>
      </c>
      <c r="K29" s="13">
        <v>-0.0876</v>
      </c>
      <c r="L29" s="15"/>
      <c r="M29" s="106" t="s">
        <v>221</v>
      </c>
      <c r="N29" s="14" t="s">
        <v>239</v>
      </c>
      <c r="O29" s="15"/>
      <c r="P29" s="15"/>
      <c r="Q29" s="14" t="s">
        <v>224</v>
      </c>
    </row>
    <row r="30">
      <c r="A30" s="106" t="s">
        <v>240</v>
      </c>
      <c r="B30" s="20">
        <f>IF(EEFF!B10=0,"",EEFF!B41/EEFF!B10)</f>
        <v>-0.13086686869926734</v>
      </c>
      <c r="C30" s="20">
        <f>IF(EEFF!C10=0,"",EEFF!C41/EEFF!C10)</f>
        <v>-0.12319462631660039</v>
      </c>
      <c r="D30" s="20">
        <f>IF(EEFF!D10=0,"",EEFF!D41/EEFF!D10)</f>
        <v>-0.10953790487778035</v>
      </c>
      <c r="E30" s="20">
        <f>EEFF!E62/EEFF!E50</f>
        <v>-0.10875472630530501</v>
      </c>
      <c r="F30" s="20">
        <f>EEFF!F62/EEFF!F50</f>
        <v>-0.10760001254207713</v>
      </c>
      <c r="G30" s="23"/>
      <c r="H30" s="16"/>
      <c r="I30" s="16"/>
      <c r="J30" s="16"/>
      <c r="K30" s="16"/>
      <c r="L30" s="15"/>
      <c r="M30" s="106" t="s">
        <v>221</v>
      </c>
      <c r="N30" s="14" t="s">
        <v>241</v>
      </c>
      <c r="O30" s="15"/>
      <c r="P30" s="15"/>
      <c r="Q30" s="14" t="s">
        <v>236</v>
      </c>
    </row>
    <row r="31">
      <c r="A31" s="18"/>
      <c r="B31" s="18"/>
      <c r="C31" s="18"/>
      <c r="D31" s="18"/>
      <c r="E31" s="18"/>
      <c r="F31" s="18"/>
      <c r="G31" s="25"/>
      <c r="H31" s="18"/>
      <c r="I31" s="18"/>
      <c r="J31" s="18"/>
      <c r="K31" s="18"/>
      <c r="L31" s="15"/>
      <c r="M31" s="15"/>
      <c r="N31" s="14"/>
      <c r="O31" s="15"/>
      <c r="P31" s="15"/>
      <c r="Q31" s="14"/>
    </row>
    <row r="32">
      <c r="A32" s="18"/>
      <c r="B32" s="18"/>
      <c r="C32" s="18"/>
      <c r="D32" s="18"/>
      <c r="E32" s="18"/>
      <c r="F32" s="18"/>
      <c r="G32" s="25"/>
      <c r="H32" s="18"/>
      <c r="I32" s="18"/>
      <c r="J32" s="18"/>
      <c r="K32" s="18"/>
      <c r="L32" s="15"/>
      <c r="M32" s="15"/>
      <c r="N32" s="14"/>
      <c r="O32" s="15"/>
      <c r="P32" s="15"/>
      <c r="Q32" s="14"/>
    </row>
    <row r="33">
      <c r="A33" s="108" t="s">
        <v>242</v>
      </c>
      <c r="B33" s="26"/>
      <c r="C33" s="26"/>
      <c r="D33" s="26"/>
      <c r="E33" s="26"/>
      <c r="F33" s="26"/>
      <c r="G33" s="31"/>
      <c r="H33" s="30"/>
      <c r="I33" s="30"/>
      <c r="J33" s="30"/>
      <c r="K33" s="30"/>
      <c r="L33" s="15"/>
      <c r="M33" s="15"/>
      <c r="N33" s="15"/>
      <c r="O33" s="15"/>
      <c r="P33" s="15"/>
      <c r="Q33" s="15"/>
    </row>
    <row r="34">
      <c r="A34" s="106" t="s">
        <v>243</v>
      </c>
      <c r="G34" s="25"/>
      <c r="L34" s="15"/>
      <c r="M34" s="15"/>
      <c r="N34" s="14"/>
      <c r="O34" s="15"/>
      <c r="P34" s="15"/>
      <c r="Q34" s="14"/>
    </row>
    <row r="35">
      <c r="A35" s="106" t="s">
        <v>244</v>
      </c>
      <c r="B35" s="16"/>
      <c r="C35" s="16"/>
      <c r="D35" s="16"/>
      <c r="E35" s="16"/>
      <c r="F35" s="16"/>
      <c r="G35" s="23">
        <f>CHOOSE($C$5,G37,G38,G36)</f>
        <v>0.0277</v>
      </c>
      <c r="H35" s="16">
        <f>CHOOSE($C$5,H37,H38,H36)</f>
        <v>0.0277</v>
      </c>
      <c r="I35" s="16">
        <f>CHOOSE($C$5,I37,I38,I36)</f>
        <v>0.0277</v>
      </c>
      <c r="J35" s="16">
        <f>CHOOSE($C$5,J37,J38,J36)</f>
        <v>0.0277</v>
      </c>
      <c r="K35" s="16">
        <f>CHOOSE($C$5,K37,K38,K36)</f>
        <v>0.0277</v>
      </c>
      <c r="L35" s="15"/>
      <c r="M35" s="106" t="s">
        <v>221</v>
      </c>
      <c r="N35" s="14" t="s">
        <v>211</v>
      </c>
      <c r="O35" s="15"/>
      <c r="P35" s="15"/>
      <c r="Q35" s="14" t="s">
        <v>215</v>
      </c>
    </row>
    <row r="36">
      <c r="A36" s="106" t="s">
        <v>223</v>
      </c>
      <c r="B36" s="16"/>
      <c r="C36" s="16"/>
      <c r="D36" s="16"/>
      <c r="E36" s="16"/>
      <c r="F36" s="16"/>
      <c r="G36" s="22">
        <v>0.0077</v>
      </c>
      <c r="H36" s="13">
        <v>0.0077</v>
      </c>
      <c r="I36" s="13">
        <v>0.0077</v>
      </c>
      <c r="J36" s="13">
        <v>0.0077</v>
      </c>
      <c r="K36" s="13">
        <v>0.0077</v>
      </c>
      <c r="L36" s="15"/>
      <c r="M36" s="106" t="s">
        <v>221</v>
      </c>
      <c r="N36" s="14" t="s">
        <v>211</v>
      </c>
      <c r="O36" s="15"/>
      <c r="P36" s="15"/>
      <c r="Q36" s="14" t="s">
        <v>224</v>
      </c>
    </row>
    <row r="37">
      <c r="A37" s="106" t="s">
        <v>225</v>
      </c>
      <c r="B37" s="16"/>
      <c r="C37" s="16"/>
      <c r="D37" s="16"/>
      <c r="E37" s="16"/>
      <c r="F37" s="16"/>
      <c r="G37" s="22">
        <v>0.0277</v>
      </c>
      <c r="H37" s="13">
        <v>0.0277</v>
      </c>
      <c r="I37" s="13">
        <v>0.0277</v>
      </c>
      <c r="J37" s="13">
        <v>0.0277</v>
      </c>
      <c r="K37" s="13">
        <v>0.0277</v>
      </c>
      <c r="L37" s="15"/>
      <c r="M37" s="106" t="s">
        <v>221</v>
      </c>
      <c r="N37" s="14" t="s">
        <v>211</v>
      </c>
      <c r="O37" s="15"/>
      <c r="P37" s="15"/>
      <c r="Q37" s="14" t="s">
        <v>224</v>
      </c>
    </row>
    <row r="38">
      <c r="A38" s="106" t="s">
        <v>226</v>
      </c>
      <c r="B38" s="16"/>
      <c r="C38" s="16"/>
      <c r="D38" s="16"/>
      <c r="E38" s="16"/>
      <c r="F38" s="16"/>
      <c r="G38" s="22">
        <v>0.0477</v>
      </c>
      <c r="H38" s="13">
        <v>0.0477</v>
      </c>
      <c r="I38" s="13">
        <v>0.0477</v>
      </c>
      <c r="J38" s="13">
        <v>0.0477</v>
      </c>
      <c r="K38" s="13">
        <v>0.0477</v>
      </c>
      <c r="L38" s="15"/>
      <c r="M38" s="106" t="s">
        <v>221</v>
      </c>
      <c r="N38" s="14" t="s">
        <v>211</v>
      </c>
      <c r="O38" s="15"/>
      <c r="P38" s="15"/>
      <c r="Q38" s="14" t="s">
        <v>224</v>
      </c>
    </row>
    <row r="39">
      <c r="A39" s="106" t="s">
        <v>245</v>
      </c>
      <c r="B39" s="16"/>
      <c r="C39" s="16"/>
      <c r="D39" s="16"/>
      <c r="E39" s="16"/>
      <c r="F39" s="20">
        <f>Notas_EEFF!K2716/Notas_EEFF!K2717-1</f>
        <v>0.027659405093907186</v>
      </c>
      <c r="G39" s="23"/>
      <c r="H39" s="16"/>
      <c r="I39" s="16"/>
      <c r="J39" s="16"/>
      <c r="K39" s="16"/>
      <c r="L39" s="15"/>
      <c r="M39" s="106" t="s">
        <v>221</v>
      </c>
      <c r="N39" s="14" t="s">
        <v>246</v>
      </c>
      <c r="O39" s="15"/>
      <c r="P39" s="15"/>
      <c r="Q39" s="14" t="s">
        <v>230</v>
      </c>
    </row>
    <row r="40">
      <c r="A40" s="106" t="s">
        <v>247</v>
      </c>
      <c r="B40" s="16"/>
      <c r="C40" s="16"/>
      <c r="D40" s="16"/>
      <c r="E40" s="16"/>
      <c r="F40" s="16"/>
      <c r="G40" s="23">
        <f>CHOOSE($C$5,G42,G43,G41)</f>
        <v>0.1407</v>
      </c>
      <c r="H40" s="16">
        <f>CHOOSE($C$5,H42,H43,H41)</f>
        <v>0.1407</v>
      </c>
      <c r="I40" s="16">
        <f>CHOOSE($C$5,I42,I43,I41)</f>
        <v>0.1407</v>
      </c>
      <c r="J40" s="16">
        <f>CHOOSE($C$5,J42,J43,J41)</f>
        <v>0.1407</v>
      </c>
      <c r="K40" s="16">
        <f>CHOOSE($C$5,K42,K43,K41)</f>
        <v>0.1407</v>
      </c>
      <c r="L40" s="15"/>
      <c r="M40" s="106" t="s">
        <v>221</v>
      </c>
      <c r="N40" s="14" t="s">
        <v>211</v>
      </c>
      <c r="O40" s="15"/>
      <c r="P40" s="15"/>
      <c r="Q40" s="14" t="s">
        <v>215</v>
      </c>
    </row>
    <row r="41">
      <c r="A41" s="106" t="s">
        <v>223</v>
      </c>
      <c r="B41" s="16"/>
      <c r="C41" s="16"/>
      <c r="D41" s="16"/>
      <c r="E41" s="16"/>
      <c r="F41" s="16"/>
      <c r="G41" s="22">
        <v>0.1207</v>
      </c>
      <c r="H41" s="13">
        <v>0.1207</v>
      </c>
      <c r="I41" s="13">
        <v>0.1207</v>
      </c>
      <c r="J41" s="13">
        <v>0.1207</v>
      </c>
      <c r="K41" s="13">
        <v>0.1207</v>
      </c>
      <c r="L41" s="15"/>
      <c r="M41" s="106" t="s">
        <v>221</v>
      </c>
      <c r="N41" s="14" t="s">
        <v>211</v>
      </c>
      <c r="O41" s="15"/>
      <c r="P41" s="15"/>
      <c r="Q41" s="14" t="s">
        <v>224</v>
      </c>
    </row>
    <row r="42">
      <c r="A42" s="106" t="s">
        <v>225</v>
      </c>
      <c r="B42" s="16"/>
      <c r="C42" s="16"/>
      <c r="D42" s="16"/>
      <c r="E42" s="16"/>
      <c r="F42" s="16"/>
      <c r="G42" s="22">
        <v>0.1407</v>
      </c>
      <c r="H42" s="13">
        <v>0.1407</v>
      </c>
      <c r="I42" s="13">
        <v>0.1407</v>
      </c>
      <c r="J42" s="13">
        <v>0.1407</v>
      </c>
      <c r="K42" s="13">
        <v>0.1407</v>
      </c>
      <c r="L42" s="15"/>
      <c r="M42" s="106" t="s">
        <v>221</v>
      </c>
      <c r="N42" s="14" t="s">
        <v>211</v>
      </c>
      <c r="O42" s="15"/>
      <c r="P42" s="15"/>
      <c r="Q42" s="14" t="s">
        <v>224</v>
      </c>
    </row>
    <row r="43">
      <c r="A43" s="106" t="s">
        <v>226</v>
      </c>
      <c r="B43" s="16"/>
      <c r="C43" s="16"/>
      <c r="D43" s="16"/>
      <c r="E43" s="16"/>
      <c r="F43" s="16"/>
      <c r="G43" s="22">
        <v>0.1607</v>
      </c>
      <c r="H43" s="13">
        <v>0.1607</v>
      </c>
      <c r="I43" s="13">
        <v>0.1607</v>
      </c>
      <c r="J43" s="13">
        <v>0.1607</v>
      </c>
      <c r="K43" s="13">
        <v>0.1607</v>
      </c>
      <c r="L43" s="15"/>
      <c r="M43" s="106" t="s">
        <v>221</v>
      </c>
      <c r="N43" s="14" t="s">
        <v>211</v>
      </c>
      <c r="O43" s="15"/>
      <c r="P43" s="15"/>
      <c r="Q43" s="14" t="s">
        <v>224</v>
      </c>
    </row>
    <row r="44">
      <c r="A44" s="106" t="s">
        <v>245</v>
      </c>
      <c r="B44" s="16"/>
      <c r="C44" s="16"/>
      <c r="D44" s="16"/>
      <c r="E44" s="16"/>
      <c r="F44" s="20">
        <f>Notas_EEFF!K2718/Notas_EEFF!K2719-1</f>
        <v>0.14074810160917495</v>
      </c>
      <c r="G44" s="23"/>
      <c r="H44" s="16"/>
      <c r="I44" s="16"/>
      <c r="J44" s="16"/>
      <c r="K44" s="16"/>
      <c r="L44" s="15"/>
      <c r="M44" s="106" t="s">
        <v>221</v>
      </c>
      <c r="N44" s="14" t="s">
        <v>246</v>
      </c>
      <c r="O44" s="15"/>
      <c r="P44" s="15"/>
      <c r="Q44" s="14" t="s">
        <v>230</v>
      </c>
    </row>
    <row r="45">
      <c r="A45" s="106" t="s">
        <v>248</v>
      </c>
      <c r="B45" s="16"/>
      <c r="C45" s="16"/>
      <c r="D45" s="16"/>
      <c r="E45" s="16"/>
      <c r="F45" s="16"/>
      <c r="G45" s="23">
        <f>CHOOSE($C$5,G47,G48,G46)</f>
        <v>0.0322</v>
      </c>
      <c r="H45" s="16">
        <f>CHOOSE($C$5,H47,H48,H46)</f>
        <v>0.0322</v>
      </c>
      <c r="I45" s="16">
        <f>CHOOSE($C$5,I47,I48,I46)</f>
        <v>0.0322</v>
      </c>
      <c r="J45" s="16">
        <f>CHOOSE($C$5,J47,J48,J46)</f>
        <v>0.0322</v>
      </c>
      <c r="K45" s="16">
        <f>CHOOSE($C$5,K47,K48,K46)</f>
        <v>0.0322</v>
      </c>
      <c r="L45" s="15"/>
      <c r="M45" s="106" t="s">
        <v>221</v>
      </c>
      <c r="N45" s="14" t="s">
        <v>211</v>
      </c>
      <c r="O45" s="15"/>
      <c r="P45" s="15"/>
      <c r="Q45" s="14" t="s">
        <v>215</v>
      </c>
    </row>
    <row r="46">
      <c r="A46" s="106" t="s">
        <v>223</v>
      </c>
      <c r="B46" s="16"/>
      <c r="C46" s="16"/>
      <c r="D46" s="16"/>
      <c r="E46" s="16"/>
      <c r="F46" s="16"/>
      <c r="G46" s="22">
        <v>0.0122</v>
      </c>
      <c r="H46" s="13">
        <v>0.0122</v>
      </c>
      <c r="I46" s="13">
        <v>0.0122</v>
      </c>
      <c r="J46" s="13">
        <v>0.0122</v>
      </c>
      <c r="K46" s="13">
        <v>0.0122</v>
      </c>
      <c r="L46" s="15"/>
      <c r="M46" s="106" t="s">
        <v>221</v>
      </c>
      <c r="N46" s="14" t="s">
        <v>211</v>
      </c>
      <c r="O46" s="15"/>
      <c r="P46" s="15"/>
      <c r="Q46" s="14" t="s">
        <v>224</v>
      </c>
    </row>
    <row r="47">
      <c r="A47" s="106" t="s">
        <v>225</v>
      </c>
      <c r="B47" s="16"/>
      <c r="C47" s="16"/>
      <c r="D47" s="16"/>
      <c r="E47" s="16"/>
      <c r="F47" s="16"/>
      <c r="G47" s="22">
        <v>0.0322</v>
      </c>
      <c r="H47" s="13">
        <v>0.0322</v>
      </c>
      <c r="I47" s="13">
        <v>0.0322</v>
      </c>
      <c r="J47" s="13">
        <v>0.0322</v>
      </c>
      <c r="K47" s="13">
        <v>0.0322</v>
      </c>
      <c r="L47" s="15"/>
      <c r="M47" s="106" t="s">
        <v>221</v>
      </c>
      <c r="N47" s="14" t="s">
        <v>211</v>
      </c>
      <c r="O47" s="15"/>
      <c r="P47" s="15"/>
      <c r="Q47" s="14" t="s">
        <v>224</v>
      </c>
    </row>
    <row r="48">
      <c r="A48" s="106" t="s">
        <v>226</v>
      </c>
      <c r="B48" s="16"/>
      <c r="C48" s="16"/>
      <c r="D48" s="16"/>
      <c r="E48" s="16"/>
      <c r="F48" s="16"/>
      <c r="G48" s="22">
        <v>0.0522</v>
      </c>
      <c r="H48" s="13">
        <v>0.0522</v>
      </c>
      <c r="I48" s="13">
        <v>0.0522</v>
      </c>
      <c r="J48" s="13">
        <v>0.0522</v>
      </c>
      <c r="K48" s="13">
        <v>0.0522</v>
      </c>
      <c r="L48" s="15"/>
      <c r="M48" s="106" t="s">
        <v>221</v>
      </c>
      <c r="N48" s="14" t="s">
        <v>211</v>
      </c>
      <c r="O48" s="15"/>
      <c r="P48" s="15"/>
      <c r="Q48" s="14" t="s">
        <v>224</v>
      </c>
    </row>
    <row r="49">
      <c r="A49" s="106" t="s">
        <v>245</v>
      </c>
      <c r="B49" s="16"/>
      <c r="C49" s="16"/>
      <c r="D49" s="16"/>
      <c r="E49" s="16"/>
      <c r="F49" s="20">
        <f>Notas_EEFF!K2720/Notas_EEFF!K2721-1</f>
        <v>0.03222166873655974</v>
      </c>
      <c r="G49" s="23"/>
      <c r="H49" s="16"/>
      <c r="I49" s="16"/>
      <c r="J49" s="16"/>
      <c r="K49" s="16"/>
      <c r="L49" s="15"/>
      <c r="M49" s="106" t="s">
        <v>221</v>
      </c>
      <c r="N49" s="14" t="s">
        <v>246</v>
      </c>
      <c r="O49" s="15"/>
      <c r="P49" s="15"/>
      <c r="Q49" s="14" t="s">
        <v>230</v>
      </c>
    </row>
    <row r="50">
      <c r="A50" s="106" t="s">
        <v>249</v>
      </c>
      <c r="B50" s="16"/>
      <c r="C50" s="16"/>
      <c r="D50" s="16"/>
      <c r="E50" s="16"/>
      <c r="F50" s="16"/>
      <c r="G50" s="23">
        <f>CHOOSE($C$5,G52,G53,G51)</f>
        <v>0.0525</v>
      </c>
      <c r="H50" s="16">
        <f>CHOOSE($C$5,H52,H53,H51)</f>
        <v>0.0525</v>
      </c>
      <c r="I50" s="16">
        <f>CHOOSE($C$5,I52,I53,I51)</f>
        <v>0.0525</v>
      </c>
      <c r="J50" s="16">
        <f>CHOOSE($C$5,J52,J53,J51)</f>
        <v>0.0525</v>
      </c>
      <c r="K50" s="16">
        <f>CHOOSE($C$5,K52,K53,K51)</f>
        <v>0.0525</v>
      </c>
      <c r="L50" s="15"/>
      <c r="M50" s="106" t="s">
        <v>221</v>
      </c>
      <c r="N50" s="14" t="s">
        <v>211</v>
      </c>
      <c r="O50" s="15"/>
      <c r="P50" s="15"/>
      <c r="Q50" s="14" t="s">
        <v>215</v>
      </c>
    </row>
    <row r="51">
      <c r="A51" s="106" t="s">
        <v>223</v>
      </c>
      <c r="B51" s="16"/>
      <c r="C51" s="16"/>
      <c r="D51" s="16"/>
      <c r="E51" s="16"/>
      <c r="F51" s="16"/>
      <c r="G51" s="22">
        <v>0.0325</v>
      </c>
      <c r="H51" s="13">
        <v>0.0325</v>
      </c>
      <c r="I51" s="13">
        <v>0.0325</v>
      </c>
      <c r="J51" s="13">
        <v>0.0325</v>
      </c>
      <c r="K51" s="13">
        <v>0.0325</v>
      </c>
      <c r="L51" s="15"/>
      <c r="M51" s="106" t="s">
        <v>221</v>
      </c>
      <c r="N51" s="14" t="s">
        <v>211</v>
      </c>
      <c r="O51" s="15"/>
      <c r="P51" s="15"/>
      <c r="Q51" s="14" t="s">
        <v>224</v>
      </c>
    </row>
    <row r="52">
      <c r="A52" s="106" t="s">
        <v>225</v>
      </c>
      <c r="B52" s="16"/>
      <c r="C52" s="16"/>
      <c r="D52" s="16"/>
      <c r="E52" s="16"/>
      <c r="F52" s="16"/>
      <c r="G52" s="22">
        <v>0.0525</v>
      </c>
      <c r="H52" s="13">
        <v>0.0525</v>
      </c>
      <c r="I52" s="13">
        <v>0.0525</v>
      </c>
      <c r="J52" s="13">
        <v>0.0525</v>
      </c>
      <c r="K52" s="13">
        <v>0.0525</v>
      </c>
      <c r="L52" s="15"/>
      <c r="M52" s="106" t="s">
        <v>221</v>
      </c>
      <c r="N52" s="14" t="s">
        <v>211</v>
      </c>
      <c r="O52" s="15"/>
      <c r="P52" s="15"/>
      <c r="Q52" s="14" t="s">
        <v>224</v>
      </c>
    </row>
    <row r="53">
      <c r="A53" s="106" t="s">
        <v>226</v>
      </c>
      <c r="B53" s="16"/>
      <c r="C53" s="16"/>
      <c r="D53" s="16"/>
      <c r="E53" s="16"/>
      <c r="F53" s="16"/>
      <c r="G53" s="22">
        <v>0.0725</v>
      </c>
      <c r="H53" s="13">
        <v>0.0725</v>
      </c>
      <c r="I53" s="13">
        <v>0.0725</v>
      </c>
      <c r="J53" s="13">
        <v>0.0725</v>
      </c>
      <c r="K53" s="13">
        <v>0.0725</v>
      </c>
      <c r="L53" s="15"/>
      <c r="M53" s="106" t="s">
        <v>221</v>
      </c>
      <c r="N53" s="14" t="s">
        <v>211</v>
      </c>
      <c r="O53" s="15"/>
      <c r="P53" s="15"/>
      <c r="Q53" s="14" t="s">
        <v>224</v>
      </c>
    </row>
    <row r="54">
      <c r="A54" s="106" t="s">
        <v>245</v>
      </c>
      <c r="B54" s="16"/>
      <c r="C54" s="16"/>
      <c r="D54" s="16"/>
      <c r="E54" s="16"/>
      <c r="F54" s="20">
        <f>Notas_EEFF!K2722/Notas_EEFF!K2723-1</f>
        <v>0.05246887358224561</v>
      </c>
      <c r="G54" s="23"/>
      <c r="H54" s="16"/>
      <c r="I54" s="16"/>
      <c r="J54" s="16"/>
      <c r="K54" s="16"/>
      <c r="L54" s="15"/>
      <c r="M54" s="106" t="s">
        <v>221</v>
      </c>
      <c r="N54" s="14" t="s">
        <v>246</v>
      </c>
      <c r="O54" s="15"/>
      <c r="P54" s="15"/>
      <c r="Q54" s="14" t="s">
        <v>230</v>
      </c>
    </row>
    <row r="55">
      <c r="A55" s="106" t="s">
        <v>250</v>
      </c>
      <c r="B55" s="16"/>
      <c r="C55" s="16"/>
      <c r="D55" s="16"/>
      <c r="E55" s="16"/>
      <c r="F55" s="16"/>
      <c r="G55" s="23">
        <f>CHOOSE($C$5,G57,G58,G56)</f>
        <v>-0.0002</v>
      </c>
      <c r="H55" s="16">
        <f>CHOOSE($C$5,H57,H58,H56)</f>
        <v>-0.0002</v>
      </c>
      <c r="I55" s="16">
        <f>CHOOSE($C$5,I57,I58,I56)</f>
        <v>-0.0002</v>
      </c>
      <c r="J55" s="16">
        <f>CHOOSE($C$5,J57,J58,J56)</f>
        <v>-0.0002</v>
      </c>
      <c r="K55" s="16">
        <f>CHOOSE($C$5,K57,K58,K56)</f>
        <v>-0.0002</v>
      </c>
      <c r="L55" s="15"/>
      <c r="M55" s="106" t="s">
        <v>221</v>
      </c>
      <c r="N55" s="14" t="s">
        <v>211</v>
      </c>
      <c r="O55" s="15"/>
      <c r="P55" s="15"/>
      <c r="Q55" s="14" t="s">
        <v>215</v>
      </c>
    </row>
    <row r="56">
      <c r="A56" s="106" t="s">
        <v>223</v>
      </c>
      <c r="B56" s="16"/>
      <c r="C56" s="16"/>
      <c r="D56" s="16"/>
      <c r="E56" s="16"/>
      <c r="F56" s="16"/>
      <c r="G56" s="22">
        <v>-0.0202</v>
      </c>
      <c r="H56" s="13">
        <v>-0.0202</v>
      </c>
      <c r="I56" s="13">
        <v>-0.0202</v>
      </c>
      <c r="J56" s="13">
        <v>-0.0202</v>
      </c>
      <c r="K56" s="13">
        <v>-0.0202</v>
      </c>
      <c r="L56" s="15"/>
      <c r="M56" s="106" t="s">
        <v>221</v>
      </c>
      <c r="N56" s="14" t="s">
        <v>211</v>
      </c>
      <c r="O56" s="15"/>
      <c r="P56" s="15"/>
      <c r="Q56" s="14" t="s">
        <v>224</v>
      </c>
    </row>
    <row r="57">
      <c r="A57" s="106" t="s">
        <v>225</v>
      </c>
      <c r="B57" s="16"/>
      <c r="C57" s="16"/>
      <c r="D57" s="16"/>
      <c r="E57" s="16"/>
      <c r="F57" s="16"/>
      <c r="G57" s="22">
        <v>-0.0002</v>
      </c>
      <c r="H57" s="13">
        <v>-0.0002</v>
      </c>
      <c r="I57" s="13">
        <v>-0.0002</v>
      </c>
      <c r="J57" s="13">
        <v>-0.0002</v>
      </c>
      <c r="K57" s="13">
        <v>-0.0002</v>
      </c>
      <c r="L57" s="15"/>
      <c r="M57" s="106" t="s">
        <v>221</v>
      </c>
      <c r="N57" s="14" t="s">
        <v>211</v>
      </c>
      <c r="O57" s="15"/>
      <c r="P57" s="15"/>
      <c r="Q57" s="14" t="s">
        <v>224</v>
      </c>
    </row>
    <row r="58">
      <c r="A58" s="106" t="s">
        <v>226</v>
      </c>
      <c r="B58" s="16"/>
      <c r="C58" s="16"/>
      <c r="D58" s="16"/>
      <c r="E58" s="16"/>
      <c r="F58" s="16"/>
      <c r="G58" s="22">
        <v>0.0198</v>
      </c>
      <c r="H58" s="13">
        <v>0.0198</v>
      </c>
      <c r="I58" s="13">
        <v>0.0198</v>
      </c>
      <c r="J58" s="13">
        <v>0.0198</v>
      </c>
      <c r="K58" s="13">
        <v>0.0198</v>
      </c>
      <c r="L58" s="15"/>
      <c r="M58" s="106" t="s">
        <v>221</v>
      </c>
      <c r="N58" s="14" t="s">
        <v>211</v>
      </c>
      <c r="O58" s="15"/>
      <c r="P58" s="15"/>
      <c r="Q58" s="14" t="s">
        <v>224</v>
      </c>
    </row>
    <row r="59">
      <c r="A59" s="106" t="s">
        <v>245</v>
      </c>
      <c r="B59" s="16"/>
      <c r="C59" s="16"/>
      <c r="D59" s="16"/>
      <c r="E59" s="16"/>
      <c r="F59" s="20">
        <f>Notas_EEFF!K2724/Notas_EEFF!K2725-1</f>
        <v>-0.00017341829534756048</v>
      </c>
      <c r="G59" s="23"/>
      <c r="H59" s="16"/>
      <c r="I59" s="16"/>
      <c r="J59" s="16"/>
      <c r="K59" s="16"/>
      <c r="L59" s="15"/>
      <c r="M59" s="106" t="s">
        <v>221</v>
      </c>
      <c r="N59" s="14" t="s">
        <v>246</v>
      </c>
      <c r="O59" s="15"/>
      <c r="P59" s="15"/>
      <c r="Q59" s="14" t="s">
        <v>230</v>
      </c>
    </row>
    <row r="60">
      <c r="A60" s="106" t="s">
        <v>251</v>
      </c>
      <c r="B60" s="16"/>
      <c r="C60" s="16"/>
      <c r="D60" s="16"/>
      <c r="E60" s="16"/>
      <c r="F60" s="16"/>
      <c r="G60" s="23">
        <f>CHOOSE($C$5,G62,G63,G61)</f>
        <v>0.0636</v>
      </c>
      <c r="H60" s="16">
        <f>CHOOSE($C$5,H62,H63,H61)</f>
        <v>0.0636</v>
      </c>
      <c r="I60" s="16">
        <f>CHOOSE($C$5,I62,I63,I61)</f>
        <v>0.0636</v>
      </c>
      <c r="J60" s="16">
        <f>CHOOSE($C$5,J62,J63,J61)</f>
        <v>0.0636</v>
      </c>
      <c r="K60" s="16">
        <f>CHOOSE($C$5,K62,K63,K61)</f>
        <v>0.0636</v>
      </c>
      <c r="L60" s="15"/>
      <c r="M60" s="106" t="s">
        <v>221</v>
      </c>
      <c r="N60" s="14" t="s">
        <v>211</v>
      </c>
      <c r="O60" s="15"/>
      <c r="P60" s="15"/>
      <c r="Q60" s="14" t="s">
        <v>215</v>
      </c>
    </row>
    <row r="61">
      <c r="A61" s="106" t="s">
        <v>223</v>
      </c>
      <c r="B61" s="16"/>
      <c r="C61" s="16"/>
      <c r="D61" s="16"/>
      <c r="E61" s="16"/>
      <c r="F61" s="16"/>
      <c r="G61" s="22">
        <v>0.0436</v>
      </c>
      <c r="H61" s="13">
        <v>0.0436</v>
      </c>
      <c r="I61" s="13">
        <v>0.0436</v>
      </c>
      <c r="J61" s="13">
        <v>0.0436</v>
      </c>
      <c r="K61" s="13">
        <v>0.0436</v>
      </c>
      <c r="L61" s="15"/>
      <c r="M61" s="106" t="s">
        <v>221</v>
      </c>
      <c r="N61" s="14" t="s">
        <v>211</v>
      </c>
      <c r="O61" s="15"/>
      <c r="P61" s="15"/>
      <c r="Q61" s="14" t="s">
        <v>224</v>
      </c>
    </row>
    <row r="62">
      <c r="A62" s="106" t="s">
        <v>225</v>
      </c>
      <c r="B62" s="16"/>
      <c r="C62" s="16"/>
      <c r="D62" s="16"/>
      <c r="E62" s="16"/>
      <c r="F62" s="16"/>
      <c r="G62" s="22">
        <v>0.0636</v>
      </c>
      <c r="H62" s="13">
        <v>0.0636</v>
      </c>
      <c r="I62" s="13">
        <v>0.0636</v>
      </c>
      <c r="J62" s="13">
        <v>0.0636</v>
      </c>
      <c r="K62" s="13">
        <v>0.0636</v>
      </c>
      <c r="L62" s="15"/>
      <c r="M62" s="106" t="s">
        <v>221</v>
      </c>
      <c r="N62" s="14" t="s">
        <v>211</v>
      </c>
      <c r="O62" s="15"/>
      <c r="P62" s="15"/>
      <c r="Q62" s="14" t="s">
        <v>224</v>
      </c>
    </row>
    <row r="63">
      <c r="A63" s="106" t="s">
        <v>226</v>
      </c>
      <c r="B63" s="16"/>
      <c r="C63" s="16"/>
      <c r="D63" s="16"/>
      <c r="E63" s="16"/>
      <c r="F63" s="16"/>
      <c r="G63" s="22">
        <v>0.0836</v>
      </c>
      <c r="H63" s="13">
        <v>0.0836</v>
      </c>
      <c r="I63" s="13">
        <v>0.0836</v>
      </c>
      <c r="J63" s="13">
        <v>0.0836</v>
      </c>
      <c r="K63" s="13">
        <v>0.0836</v>
      </c>
      <c r="L63" s="15"/>
      <c r="M63" s="106" t="s">
        <v>221</v>
      </c>
      <c r="N63" s="14" t="s">
        <v>211</v>
      </c>
      <c r="O63" s="15"/>
      <c r="P63" s="15"/>
      <c r="Q63" s="14" t="s">
        <v>224</v>
      </c>
    </row>
    <row r="64">
      <c r="A64" s="106" t="s">
        <v>245</v>
      </c>
      <c r="B64" s="16"/>
      <c r="C64" s="16"/>
      <c r="D64" s="16"/>
      <c r="E64" s="16"/>
      <c r="F64" s="20">
        <f>Notas_EEFF!K2726/Notas_EEFF!K2727-1</f>
        <v>0.06356952237372426</v>
      </c>
      <c r="G64" s="23"/>
      <c r="H64" s="16"/>
      <c r="I64" s="16"/>
      <c r="J64" s="16"/>
      <c r="K64" s="16"/>
      <c r="L64" s="15"/>
      <c r="M64" s="106" t="s">
        <v>221</v>
      </c>
      <c r="N64" s="14" t="s">
        <v>246</v>
      </c>
      <c r="O64" s="15"/>
      <c r="P64" s="15"/>
      <c r="Q64" s="14" t="s">
        <v>230</v>
      </c>
    </row>
    <row r="65">
      <c r="A65" s="106" t="s">
        <v>252</v>
      </c>
      <c r="B65" s="16"/>
      <c r="C65" s="16"/>
      <c r="D65" s="16"/>
      <c r="E65" s="16"/>
      <c r="F65" s="16"/>
      <c r="G65" s="23">
        <f>CHOOSE($C$5,G67,G68,G66)</f>
        <v>0.0062</v>
      </c>
      <c r="H65" s="16">
        <f>CHOOSE($C$5,H67,H68,H66)</f>
        <v>0.0062</v>
      </c>
      <c r="I65" s="16">
        <f>CHOOSE($C$5,I67,I68,I66)</f>
        <v>0.0062</v>
      </c>
      <c r="J65" s="16">
        <f>CHOOSE($C$5,J67,J68,J66)</f>
        <v>0.0062</v>
      </c>
      <c r="K65" s="16">
        <f>CHOOSE($C$5,K67,K68,K66)</f>
        <v>0.0062</v>
      </c>
      <c r="L65" s="15"/>
      <c r="M65" s="106" t="s">
        <v>221</v>
      </c>
      <c r="N65" s="14" t="s">
        <v>211</v>
      </c>
      <c r="O65" s="15"/>
      <c r="P65" s="15"/>
      <c r="Q65" s="14" t="s">
        <v>215</v>
      </c>
    </row>
    <row r="66">
      <c r="A66" s="106" t="s">
        <v>223</v>
      </c>
      <c r="B66" s="16"/>
      <c r="C66" s="16"/>
      <c r="D66" s="16"/>
      <c r="E66" s="16"/>
      <c r="F66" s="16"/>
      <c r="G66" s="22">
        <v>-0.0138</v>
      </c>
      <c r="H66" s="13">
        <v>-0.0138</v>
      </c>
      <c r="I66" s="13">
        <v>-0.0138</v>
      </c>
      <c r="J66" s="13">
        <v>-0.0138</v>
      </c>
      <c r="K66" s="13">
        <v>-0.0138</v>
      </c>
      <c r="L66" s="15"/>
      <c r="M66" s="106" t="s">
        <v>221</v>
      </c>
      <c r="N66" s="14" t="s">
        <v>211</v>
      </c>
      <c r="O66" s="15"/>
      <c r="P66" s="15"/>
      <c r="Q66" s="14" t="s">
        <v>224</v>
      </c>
    </row>
    <row r="67">
      <c r="A67" s="106" t="s">
        <v>225</v>
      </c>
      <c r="B67" s="16"/>
      <c r="C67" s="16"/>
      <c r="D67" s="16"/>
      <c r="E67" s="16"/>
      <c r="F67" s="16"/>
      <c r="G67" s="22">
        <v>0.0062</v>
      </c>
      <c r="H67" s="13">
        <v>0.0062</v>
      </c>
      <c r="I67" s="13">
        <v>0.0062</v>
      </c>
      <c r="J67" s="13">
        <v>0.0062</v>
      </c>
      <c r="K67" s="13">
        <v>0.0062</v>
      </c>
      <c r="L67" s="15"/>
      <c r="M67" s="106" t="s">
        <v>221</v>
      </c>
      <c r="N67" s="14" t="s">
        <v>211</v>
      </c>
      <c r="O67" s="15"/>
      <c r="P67" s="15"/>
      <c r="Q67" s="14" t="s">
        <v>224</v>
      </c>
    </row>
    <row r="68">
      <c r="A68" s="106" t="s">
        <v>226</v>
      </c>
      <c r="B68" s="16"/>
      <c r="C68" s="16"/>
      <c r="D68" s="16"/>
      <c r="E68" s="16"/>
      <c r="F68" s="16"/>
      <c r="G68" s="22">
        <v>0.0262</v>
      </c>
      <c r="H68" s="13">
        <v>0.0262</v>
      </c>
      <c r="I68" s="13">
        <v>0.0262</v>
      </c>
      <c r="J68" s="13">
        <v>0.0262</v>
      </c>
      <c r="K68" s="13">
        <v>0.0262</v>
      </c>
      <c r="L68" s="15"/>
      <c r="M68" s="106" t="s">
        <v>221</v>
      </c>
      <c r="N68" s="14" t="s">
        <v>211</v>
      </c>
      <c r="O68" s="15"/>
      <c r="P68" s="15"/>
      <c r="Q68" s="14" t="s">
        <v>224</v>
      </c>
    </row>
    <row r="69">
      <c r="A69" s="106" t="s">
        <v>245</v>
      </c>
      <c r="B69" s="16"/>
      <c r="C69" s="16"/>
      <c r="D69" s="16"/>
      <c r="E69" s="16"/>
      <c r="F69" s="20">
        <f>Notas_EEFF!K2728/Notas_EEFF!K2729-1</f>
        <v>0.006186811238134693</v>
      </c>
      <c r="G69" s="23"/>
      <c r="H69" s="16"/>
      <c r="I69" s="16"/>
      <c r="J69" s="16"/>
      <c r="K69" s="16"/>
      <c r="L69" s="15"/>
      <c r="M69" s="106" t="s">
        <v>221</v>
      </c>
      <c r="N69" s="14" t="s">
        <v>246</v>
      </c>
      <c r="O69" s="15"/>
      <c r="P69" s="15"/>
      <c r="Q69" s="14" t="s">
        <v>230</v>
      </c>
    </row>
    <row r="70">
      <c r="A70" s="106" t="s">
        <v>253</v>
      </c>
      <c r="B70" s="16"/>
      <c r="C70" s="16"/>
      <c r="D70" s="16"/>
      <c r="E70" s="16"/>
      <c r="F70" s="16"/>
      <c r="G70" s="23">
        <f>CHOOSE($C$5,G72,G73,G71)</f>
        <v>0.0139</v>
      </c>
      <c r="H70" s="16">
        <f>CHOOSE($C$5,H72,H73,H71)</f>
        <v>0.0139</v>
      </c>
      <c r="I70" s="16">
        <f>CHOOSE($C$5,I72,I73,I71)</f>
        <v>0.0139</v>
      </c>
      <c r="J70" s="16">
        <f>CHOOSE($C$5,J72,J73,J71)</f>
        <v>0.0139</v>
      </c>
      <c r="K70" s="16">
        <f>CHOOSE($C$5,K72,K73,K71)</f>
        <v>0.0139</v>
      </c>
      <c r="L70" s="15"/>
      <c r="M70" s="106" t="s">
        <v>221</v>
      </c>
      <c r="N70" s="14" t="s">
        <v>211</v>
      </c>
      <c r="O70" s="15"/>
      <c r="P70" s="15"/>
      <c r="Q70" s="14" t="s">
        <v>215</v>
      </c>
    </row>
    <row r="71">
      <c r="A71" s="106" t="s">
        <v>223</v>
      </c>
      <c r="B71" s="16"/>
      <c r="C71" s="16"/>
      <c r="D71" s="16"/>
      <c r="E71" s="16"/>
      <c r="F71" s="16"/>
      <c r="G71" s="22">
        <v>-0.0061</v>
      </c>
      <c r="H71" s="13">
        <v>-0.0061</v>
      </c>
      <c r="I71" s="13">
        <v>-0.0061</v>
      </c>
      <c r="J71" s="13">
        <v>-0.0061</v>
      </c>
      <c r="K71" s="13">
        <v>-0.0061</v>
      </c>
      <c r="L71" s="15"/>
      <c r="M71" s="106" t="s">
        <v>221</v>
      </c>
      <c r="N71" s="14" t="s">
        <v>211</v>
      </c>
      <c r="O71" s="15"/>
      <c r="P71" s="15"/>
      <c r="Q71" s="14" t="s">
        <v>224</v>
      </c>
    </row>
    <row r="72">
      <c r="A72" s="106" t="s">
        <v>225</v>
      </c>
      <c r="B72" s="16"/>
      <c r="C72" s="16"/>
      <c r="D72" s="16"/>
      <c r="E72" s="16"/>
      <c r="F72" s="16"/>
      <c r="G72" s="22">
        <v>0.0139</v>
      </c>
      <c r="H72" s="13">
        <v>0.0139</v>
      </c>
      <c r="I72" s="13">
        <v>0.0139</v>
      </c>
      <c r="J72" s="13">
        <v>0.0139</v>
      </c>
      <c r="K72" s="13">
        <v>0.0139</v>
      </c>
      <c r="L72" s="15"/>
      <c r="M72" s="106" t="s">
        <v>221</v>
      </c>
      <c r="N72" s="14" t="s">
        <v>211</v>
      </c>
      <c r="O72" s="15"/>
      <c r="P72" s="15"/>
      <c r="Q72" s="14" t="s">
        <v>224</v>
      </c>
    </row>
    <row r="73">
      <c r="A73" s="106" t="s">
        <v>226</v>
      </c>
      <c r="B73" s="16"/>
      <c r="C73" s="16"/>
      <c r="D73" s="16"/>
      <c r="E73" s="16"/>
      <c r="F73" s="16"/>
      <c r="G73" s="22">
        <v>0.0339</v>
      </c>
      <c r="H73" s="13">
        <v>0.0339</v>
      </c>
      <c r="I73" s="13">
        <v>0.0339</v>
      </c>
      <c r="J73" s="13">
        <v>0.0339</v>
      </c>
      <c r="K73" s="13">
        <v>0.0339</v>
      </c>
      <c r="L73" s="15"/>
      <c r="M73" s="106" t="s">
        <v>221</v>
      </c>
      <c r="N73" s="14" t="s">
        <v>211</v>
      </c>
      <c r="O73" s="15"/>
      <c r="P73" s="15"/>
      <c r="Q73" s="14" t="s">
        <v>224</v>
      </c>
    </row>
    <row r="74">
      <c r="A74" s="106" t="s">
        <v>245</v>
      </c>
      <c r="B74" s="16"/>
      <c r="C74" s="16"/>
      <c r="D74" s="16"/>
      <c r="E74" s="16"/>
      <c r="F74" s="20">
        <f>Notas_EEFF!K2730/Notas_EEFF!K2731-1</f>
        <v>0.01389490205992816</v>
      </c>
      <c r="G74" s="23"/>
      <c r="H74" s="16"/>
      <c r="I74" s="16"/>
      <c r="J74" s="16"/>
      <c r="K74" s="16"/>
      <c r="L74" s="15"/>
      <c r="M74" s="106" t="s">
        <v>221</v>
      </c>
      <c r="N74" s="14" t="s">
        <v>246</v>
      </c>
      <c r="O74" s="15"/>
      <c r="P74" s="15"/>
      <c r="Q74" s="14" t="s">
        <v>230</v>
      </c>
    </row>
    <row r="75">
      <c r="A75" s="106" t="s">
        <v>254</v>
      </c>
      <c r="B75" s="16"/>
      <c r="C75" s="16"/>
      <c r="D75" s="16"/>
      <c r="E75" s="16"/>
      <c r="F75" s="16"/>
      <c r="G75" s="23">
        <f>CHOOSE($C$5,G77,G78,G76)</f>
        <v>-0.0157</v>
      </c>
      <c r="H75" s="16">
        <f>CHOOSE($C$5,H77,H78,H76)</f>
        <v>-0.0157</v>
      </c>
      <c r="I75" s="16">
        <f>CHOOSE($C$5,I77,I78,I76)</f>
        <v>-0.0157</v>
      </c>
      <c r="J75" s="16">
        <f>CHOOSE($C$5,J77,J78,J76)</f>
        <v>-0.0157</v>
      </c>
      <c r="K75" s="16">
        <f>CHOOSE($C$5,K77,K78,K76)</f>
        <v>-0.0157</v>
      </c>
      <c r="L75" s="15"/>
      <c r="M75" s="106" t="s">
        <v>221</v>
      </c>
      <c r="N75" s="14" t="s">
        <v>211</v>
      </c>
      <c r="O75" s="15"/>
      <c r="P75" s="15"/>
      <c r="Q75" s="14" t="s">
        <v>215</v>
      </c>
    </row>
    <row r="76">
      <c r="A76" s="106" t="s">
        <v>223</v>
      </c>
      <c r="B76" s="16"/>
      <c r="C76" s="16"/>
      <c r="D76" s="16"/>
      <c r="E76" s="16"/>
      <c r="F76" s="16"/>
      <c r="G76" s="22">
        <v>-0.0357</v>
      </c>
      <c r="H76" s="13">
        <v>-0.0357</v>
      </c>
      <c r="I76" s="13">
        <v>-0.0357</v>
      </c>
      <c r="J76" s="13">
        <v>-0.0357</v>
      </c>
      <c r="K76" s="13">
        <v>-0.0357</v>
      </c>
      <c r="L76" s="15"/>
      <c r="M76" s="106" t="s">
        <v>221</v>
      </c>
      <c r="N76" s="14" t="s">
        <v>211</v>
      </c>
      <c r="O76" s="15"/>
      <c r="P76" s="15"/>
      <c r="Q76" s="14" t="s">
        <v>224</v>
      </c>
    </row>
    <row r="77">
      <c r="A77" s="106" t="s">
        <v>225</v>
      </c>
      <c r="B77" s="16"/>
      <c r="C77" s="16"/>
      <c r="D77" s="16"/>
      <c r="E77" s="16"/>
      <c r="F77" s="16"/>
      <c r="G77" s="22">
        <v>-0.0157</v>
      </c>
      <c r="H77" s="13">
        <v>-0.0157</v>
      </c>
      <c r="I77" s="13">
        <v>-0.0157</v>
      </c>
      <c r="J77" s="13">
        <v>-0.0157</v>
      </c>
      <c r="K77" s="13">
        <v>-0.0157</v>
      </c>
      <c r="L77" s="15"/>
      <c r="M77" s="106" t="s">
        <v>221</v>
      </c>
      <c r="N77" s="14" t="s">
        <v>211</v>
      </c>
      <c r="O77" s="15"/>
      <c r="P77" s="15"/>
      <c r="Q77" s="14" t="s">
        <v>224</v>
      </c>
    </row>
    <row r="78">
      <c r="A78" s="106" t="s">
        <v>226</v>
      </c>
      <c r="B78" s="16"/>
      <c r="C78" s="16"/>
      <c r="D78" s="16"/>
      <c r="E78" s="16"/>
      <c r="F78" s="16"/>
      <c r="G78" s="22">
        <v>0.0043</v>
      </c>
      <c r="H78" s="13">
        <v>0.0043</v>
      </c>
      <c r="I78" s="13">
        <v>0.0043</v>
      </c>
      <c r="J78" s="13">
        <v>0.0043</v>
      </c>
      <c r="K78" s="13">
        <v>0.0043</v>
      </c>
      <c r="L78" s="15"/>
      <c r="M78" s="106" t="s">
        <v>221</v>
      </c>
      <c r="N78" s="14" t="s">
        <v>211</v>
      </c>
      <c r="O78" s="15"/>
      <c r="P78" s="15"/>
      <c r="Q78" s="14" t="s">
        <v>224</v>
      </c>
    </row>
    <row r="79">
      <c r="A79" s="106" t="s">
        <v>245</v>
      </c>
      <c r="B79" s="16"/>
      <c r="C79" s="16"/>
      <c r="D79" s="16"/>
      <c r="E79" s="16"/>
      <c r="F79" s="20">
        <f>Notas_EEFF!K2732/Notas_EEFF!K2733-1</f>
        <v>-0.015701378510588726</v>
      </c>
      <c r="G79" s="23"/>
      <c r="H79" s="16"/>
      <c r="I79" s="16"/>
      <c r="J79" s="16"/>
      <c r="K79" s="16"/>
      <c r="L79" s="15"/>
      <c r="M79" s="106" t="s">
        <v>221</v>
      </c>
      <c r="N79" s="14" t="s">
        <v>246</v>
      </c>
      <c r="O79" s="15"/>
      <c r="P79" s="15"/>
      <c r="Q79" s="14" t="s">
        <v>230</v>
      </c>
    </row>
    <row r="80">
      <c r="A80" s="106" t="s">
        <v>255</v>
      </c>
      <c r="B80" s="16"/>
      <c r="C80" s="16"/>
      <c r="D80" s="16"/>
      <c r="E80" s="16"/>
      <c r="F80" s="16"/>
      <c r="G80" s="23">
        <f>CHOOSE($C$5,G82,G83,G81)</f>
        <v>0.0104</v>
      </c>
      <c r="H80" s="16">
        <f>CHOOSE($C$5,H82,H83,H81)</f>
        <v>0.0104</v>
      </c>
      <c r="I80" s="16">
        <f>CHOOSE($C$5,I82,I83,I81)</f>
        <v>0.0104</v>
      </c>
      <c r="J80" s="16">
        <f>CHOOSE($C$5,J82,J83,J81)</f>
        <v>0.0104</v>
      </c>
      <c r="K80" s="16">
        <f>CHOOSE($C$5,K82,K83,K81)</f>
        <v>0.0104</v>
      </c>
      <c r="L80" s="15"/>
      <c r="M80" s="106" t="s">
        <v>221</v>
      </c>
      <c r="N80" s="14" t="s">
        <v>211</v>
      </c>
      <c r="O80" s="15"/>
      <c r="P80" s="15"/>
      <c r="Q80" s="14" t="s">
        <v>215</v>
      </c>
    </row>
    <row r="81">
      <c r="A81" s="106" t="s">
        <v>223</v>
      </c>
      <c r="B81" s="16"/>
      <c r="C81" s="16"/>
      <c r="D81" s="16"/>
      <c r="E81" s="16"/>
      <c r="F81" s="16"/>
      <c r="G81" s="22">
        <v>-0.0096</v>
      </c>
      <c r="H81" s="13">
        <v>-0.0096</v>
      </c>
      <c r="I81" s="13">
        <v>-0.0096</v>
      </c>
      <c r="J81" s="13">
        <v>-0.0096</v>
      </c>
      <c r="K81" s="13">
        <v>-0.0096</v>
      </c>
      <c r="L81" s="15"/>
      <c r="M81" s="106" t="s">
        <v>221</v>
      </c>
      <c r="N81" s="14" t="s">
        <v>211</v>
      </c>
      <c r="O81" s="15"/>
      <c r="P81" s="15"/>
      <c r="Q81" s="14" t="s">
        <v>224</v>
      </c>
    </row>
    <row r="82">
      <c r="A82" s="106" t="s">
        <v>225</v>
      </c>
      <c r="B82" s="16"/>
      <c r="C82" s="16"/>
      <c r="D82" s="16"/>
      <c r="E82" s="16"/>
      <c r="F82" s="16"/>
      <c r="G82" s="22">
        <v>0.0104</v>
      </c>
      <c r="H82" s="13">
        <v>0.0104</v>
      </c>
      <c r="I82" s="13">
        <v>0.0104</v>
      </c>
      <c r="J82" s="13">
        <v>0.0104</v>
      </c>
      <c r="K82" s="13">
        <v>0.0104</v>
      </c>
      <c r="L82" s="15"/>
      <c r="M82" s="106" t="s">
        <v>221</v>
      </c>
      <c r="N82" s="14" t="s">
        <v>211</v>
      </c>
      <c r="O82" s="15"/>
      <c r="P82" s="15"/>
      <c r="Q82" s="14" t="s">
        <v>224</v>
      </c>
    </row>
    <row r="83">
      <c r="A83" s="106" t="s">
        <v>226</v>
      </c>
      <c r="B83" s="16"/>
      <c r="C83" s="16"/>
      <c r="D83" s="16"/>
      <c r="E83" s="16"/>
      <c r="F83" s="16"/>
      <c r="G83" s="22">
        <v>0.0304</v>
      </c>
      <c r="H83" s="13">
        <v>0.0304</v>
      </c>
      <c r="I83" s="13">
        <v>0.0304</v>
      </c>
      <c r="J83" s="13">
        <v>0.0304</v>
      </c>
      <c r="K83" s="13">
        <v>0.0304</v>
      </c>
      <c r="L83" s="15"/>
      <c r="M83" s="106" t="s">
        <v>221</v>
      </c>
      <c r="N83" s="14" t="s">
        <v>211</v>
      </c>
      <c r="O83" s="15"/>
      <c r="P83" s="15"/>
      <c r="Q83" s="14" t="s">
        <v>224</v>
      </c>
    </row>
    <row r="84">
      <c r="A84" s="106" t="s">
        <v>245</v>
      </c>
      <c r="B84" s="16"/>
      <c r="C84" s="16"/>
      <c r="D84" s="16"/>
      <c r="E84" s="16"/>
      <c r="F84" s="20">
        <f>Notas_EEFF!K2734/Notas_EEFF!K2735-1</f>
        <v>0.01039353197570847</v>
      </c>
      <c r="G84" s="23"/>
      <c r="H84" s="16"/>
      <c r="I84" s="16"/>
      <c r="J84" s="16"/>
      <c r="K84" s="16"/>
      <c r="L84" s="15"/>
      <c r="M84" s="106" t="s">
        <v>221</v>
      </c>
      <c r="N84" s="14" t="s">
        <v>246</v>
      </c>
      <c r="O84" s="15"/>
      <c r="P84" s="15"/>
      <c r="Q84" s="14" t="s">
        <v>230</v>
      </c>
    </row>
    <row r="85">
      <c r="A85" s="106" t="s">
        <v>256</v>
      </c>
      <c r="B85" s="16"/>
      <c r="C85" s="16"/>
      <c r="D85" s="16"/>
      <c r="E85" s="16"/>
      <c r="F85" s="16"/>
      <c r="G85" s="23">
        <f>CHOOSE($C$5,G87,G88,G86)</f>
        <v>-0.0288</v>
      </c>
      <c r="H85" s="16">
        <f>CHOOSE($C$5,H87,H88,H86)</f>
        <v>-0.0288</v>
      </c>
      <c r="I85" s="16">
        <f>CHOOSE($C$5,I87,I88,I86)</f>
        <v>-0.0288</v>
      </c>
      <c r="J85" s="16">
        <f>CHOOSE($C$5,J87,J88,J86)</f>
        <v>-0.0288</v>
      </c>
      <c r="K85" s="16">
        <f>CHOOSE($C$5,K87,K88,K86)</f>
        <v>-0.0288</v>
      </c>
      <c r="L85" s="15"/>
      <c r="M85" s="106" t="s">
        <v>221</v>
      </c>
      <c r="N85" s="14" t="s">
        <v>211</v>
      </c>
      <c r="O85" s="15"/>
      <c r="P85" s="15"/>
      <c r="Q85" s="14" t="s">
        <v>215</v>
      </c>
    </row>
    <row r="86">
      <c r="A86" s="106" t="s">
        <v>223</v>
      </c>
      <c r="B86" s="16"/>
      <c r="C86" s="16"/>
      <c r="D86" s="16"/>
      <c r="E86" s="16"/>
      <c r="F86" s="16"/>
      <c r="G86" s="22">
        <v>-0.0488</v>
      </c>
      <c r="H86" s="13">
        <v>-0.0488</v>
      </c>
      <c r="I86" s="13">
        <v>-0.0488</v>
      </c>
      <c r="J86" s="13">
        <v>-0.0488</v>
      </c>
      <c r="K86" s="13">
        <v>-0.0488</v>
      </c>
      <c r="L86" s="15"/>
      <c r="M86" s="106" t="s">
        <v>221</v>
      </c>
      <c r="N86" s="14" t="s">
        <v>211</v>
      </c>
      <c r="O86" s="15"/>
      <c r="P86" s="15"/>
      <c r="Q86" s="14" t="s">
        <v>224</v>
      </c>
    </row>
    <row r="87">
      <c r="A87" s="106" t="s">
        <v>225</v>
      </c>
      <c r="B87" s="16"/>
      <c r="C87" s="16"/>
      <c r="D87" s="16"/>
      <c r="E87" s="16"/>
      <c r="F87" s="16"/>
      <c r="G87" s="22">
        <v>-0.0288</v>
      </c>
      <c r="H87" s="13">
        <v>-0.0288</v>
      </c>
      <c r="I87" s="13">
        <v>-0.0288</v>
      </c>
      <c r="J87" s="13">
        <v>-0.0288</v>
      </c>
      <c r="K87" s="13">
        <v>-0.0288</v>
      </c>
      <c r="L87" s="15"/>
      <c r="M87" s="106" t="s">
        <v>221</v>
      </c>
      <c r="N87" s="14" t="s">
        <v>211</v>
      </c>
      <c r="O87" s="15"/>
      <c r="P87" s="15"/>
      <c r="Q87" s="14" t="s">
        <v>224</v>
      </c>
    </row>
    <row r="88">
      <c r="A88" s="106" t="s">
        <v>226</v>
      </c>
      <c r="B88" s="16"/>
      <c r="C88" s="16"/>
      <c r="D88" s="16"/>
      <c r="E88" s="16"/>
      <c r="F88" s="16"/>
      <c r="G88" s="22">
        <v>-0.0088</v>
      </c>
      <c r="H88" s="13">
        <v>-0.0088</v>
      </c>
      <c r="I88" s="13">
        <v>-0.0088</v>
      </c>
      <c r="J88" s="13">
        <v>-0.0088</v>
      </c>
      <c r="K88" s="13">
        <v>-0.0088</v>
      </c>
      <c r="L88" s="15"/>
      <c r="M88" s="106" t="s">
        <v>221</v>
      </c>
      <c r="N88" s="14" t="s">
        <v>211</v>
      </c>
      <c r="O88" s="15"/>
      <c r="P88" s="15"/>
      <c r="Q88" s="14" t="s">
        <v>224</v>
      </c>
    </row>
    <row r="89">
      <c r="A89" s="106" t="s">
        <v>245</v>
      </c>
      <c r="B89" s="16"/>
      <c r="C89" s="16"/>
      <c r="D89" s="16"/>
      <c r="E89" s="16"/>
      <c r="F89" s="20">
        <f>Notas_EEFF!K2736/Notas_EEFF!K2737-1</f>
        <v>-0.028840137858841652</v>
      </c>
      <c r="G89" s="23"/>
      <c r="H89" s="16"/>
      <c r="I89" s="16"/>
      <c r="J89" s="16"/>
      <c r="K89" s="16"/>
      <c r="L89" s="15"/>
      <c r="M89" s="106" t="s">
        <v>221</v>
      </c>
      <c r="N89" s="14" t="s">
        <v>246</v>
      </c>
      <c r="O89" s="15"/>
      <c r="P89" s="15"/>
      <c r="Q89" s="14" t="s">
        <v>230</v>
      </c>
    </row>
    <row r="90">
      <c r="A90" s="106" t="s">
        <v>257</v>
      </c>
      <c r="B90" s="16"/>
      <c r="C90" s="16"/>
      <c r="D90" s="16"/>
      <c r="E90" s="16"/>
      <c r="F90" s="16"/>
      <c r="G90" s="23">
        <f>CHOOSE($C$5,G92,G93,G91)</f>
        <v>0.0119</v>
      </c>
      <c r="H90" s="16">
        <f>CHOOSE($C$5,H92,H93,H91)</f>
        <v>0.0119</v>
      </c>
      <c r="I90" s="16">
        <f>CHOOSE($C$5,I92,I93,I91)</f>
        <v>0.0119</v>
      </c>
      <c r="J90" s="16">
        <f>CHOOSE($C$5,J92,J93,J91)</f>
        <v>0.0119</v>
      </c>
      <c r="K90" s="16">
        <f>CHOOSE($C$5,K92,K93,K91)</f>
        <v>0.0119</v>
      </c>
      <c r="L90" s="15"/>
      <c r="M90" s="106" t="s">
        <v>221</v>
      </c>
      <c r="N90" s="14" t="s">
        <v>211</v>
      </c>
      <c r="O90" s="15"/>
      <c r="P90" s="15"/>
      <c r="Q90" s="14" t="s">
        <v>215</v>
      </c>
    </row>
    <row r="91">
      <c r="A91" s="106" t="s">
        <v>223</v>
      </c>
      <c r="B91" s="16"/>
      <c r="C91" s="16"/>
      <c r="D91" s="16"/>
      <c r="E91" s="16"/>
      <c r="F91" s="16"/>
      <c r="G91" s="22">
        <v>-0.0081</v>
      </c>
      <c r="H91" s="13">
        <v>-0.0081</v>
      </c>
      <c r="I91" s="13">
        <v>-0.0081</v>
      </c>
      <c r="J91" s="13">
        <v>-0.0081</v>
      </c>
      <c r="K91" s="13">
        <v>-0.0081</v>
      </c>
      <c r="L91" s="15"/>
      <c r="M91" s="106" t="s">
        <v>221</v>
      </c>
      <c r="N91" s="14" t="s">
        <v>211</v>
      </c>
      <c r="O91" s="15"/>
      <c r="P91" s="15"/>
      <c r="Q91" s="14" t="s">
        <v>224</v>
      </c>
    </row>
    <row r="92">
      <c r="A92" s="106" t="s">
        <v>225</v>
      </c>
      <c r="B92" s="16"/>
      <c r="C92" s="16"/>
      <c r="D92" s="16"/>
      <c r="E92" s="16"/>
      <c r="F92" s="16"/>
      <c r="G92" s="22">
        <v>0.0119</v>
      </c>
      <c r="H92" s="13">
        <v>0.0119</v>
      </c>
      <c r="I92" s="13">
        <v>0.0119</v>
      </c>
      <c r="J92" s="13">
        <v>0.0119</v>
      </c>
      <c r="K92" s="13">
        <v>0.0119</v>
      </c>
      <c r="L92" s="15"/>
      <c r="M92" s="106" t="s">
        <v>221</v>
      </c>
      <c r="N92" s="14" t="s">
        <v>211</v>
      </c>
      <c r="O92" s="15"/>
      <c r="P92" s="15"/>
      <c r="Q92" s="14" t="s">
        <v>224</v>
      </c>
    </row>
    <row r="93">
      <c r="A93" s="106" t="s">
        <v>226</v>
      </c>
      <c r="B93" s="16"/>
      <c r="C93" s="16"/>
      <c r="D93" s="16"/>
      <c r="E93" s="16"/>
      <c r="F93" s="16"/>
      <c r="G93" s="22">
        <v>0.0319</v>
      </c>
      <c r="H93" s="13">
        <v>0.0319</v>
      </c>
      <c r="I93" s="13">
        <v>0.0319</v>
      </c>
      <c r="J93" s="13">
        <v>0.0319</v>
      </c>
      <c r="K93" s="13">
        <v>0.0319</v>
      </c>
      <c r="L93" s="15"/>
      <c r="M93" s="106" t="s">
        <v>221</v>
      </c>
      <c r="N93" s="14" t="s">
        <v>211</v>
      </c>
      <c r="O93" s="15"/>
      <c r="P93" s="15"/>
      <c r="Q93" s="14" t="s">
        <v>224</v>
      </c>
    </row>
    <row r="94">
      <c r="A94" s="106" t="s">
        <v>245</v>
      </c>
      <c r="B94" s="16"/>
      <c r="C94" s="16"/>
      <c r="D94" s="16"/>
      <c r="E94" s="16"/>
      <c r="F94" s="20">
        <f>Notas_EEFF!K2738/Notas_EEFF!K2739-1</f>
        <v>0.011946986960491124</v>
      </c>
      <c r="G94" s="23"/>
      <c r="H94" s="16"/>
      <c r="I94" s="16"/>
      <c r="J94" s="16"/>
      <c r="K94" s="16"/>
      <c r="L94" s="15"/>
      <c r="M94" s="106" t="s">
        <v>221</v>
      </c>
      <c r="N94" s="14" t="s">
        <v>246</v>
      </c>
      <c r="O94" s="15"/>
      <c r="P94" s="15"/>
      <c r="Q94" s="14" t="s">
        <v>230</v>
      </c>
    </row>
    <row r="95">
      <c r="A95" s="18"/>
      <c r="B95" s="18"/>
      <c r="C95" s="18"/>
      <c r="D95" s="18"/>
      <c r="E95" s="18"/>
      <c r="F95" s="18"/>
      <c r="G95" s="25"/>
      <c r="H95" s="18"/>
      <c r="I95" s="18"/>
      <c r="J95" s="18"/>
      <c r="K95" s="18"/>
      <c r="L95" s="15"/>
      <c r="M95" s="15"/>
      <c r="N95" s="14"/>
      <c r="O95" s="15"/>
      <c r="P95" s="15"/>
      <c r="Q95" s="14"/>
    </row>
    <row r="96">
      <c r="A96" s="108" t="s">
        <v>258</v>
      </c>
      <c r="B96" s="26"/>
      <c r="C96" s="26"/>
      <c r="D96" s="26"/>
      <c r="E96" s="26"/>
      <c r="F96" s="26"/>
      <c r="G96" s="31"/>
      <c r="H96" s="30"/>
      <c r="I96" s="30"/>
      <c r="J96" s="30"/>
      <c r="K96" s="30"/>
      <c r="L96" s="15"/>
      <c r="M96" s="15"/>
      <c r="N96" s="15"/>
      <c r="O96" s="15"/>
      <c r="P96" s="15"/>
      <c r="Q96" s="15"/>
    </row>
    <row r="97">
      <c r="A97" s="106" t="s">
        <v>259</v>
      </c>
      <c r="G97" s="25"/>
      <c r="L97" s="15"/>
      <c r="M97" s="15"/>
      <c r="N97" s="14"/>
      <c r="O97" s="15"/>
      <c r="P97" s="15"/>
      <c r="Q97" s="14"/>
    </row>
    <row r="98">
      <c r="A98" s="106" t="s">
        <v>260</v>
      </c>
      <c r="B98" s="16"/>
      <c r="C98" s="16"/>
      <c r="D98" s="16"/>
      <c r="E98" s="16"/>
      <c r="F98" s="16"/>
      <c r="G98" s="23">
        <f>CHOOSE($C$5,G100,G101,G99)</f>
        <v>0.082</v>
      </c>
      <c r="H98" s="16">
        <f>CHOOSE($C$5,H100,H101,H99)</f>
        <v>0.082</v>
      </c>
      <c r="I98" s="16">
        <f>CHOOSE($C$5,I100,I101,I99)</f>
        <v>0.082</v>
      </c>
      <c r="J98" s="16">
        <f>CHOOSE($C$5,J100,J101,J99)</f>
        <v>0.082</v>
      </c>
      <c r="K98" s="16">
        <f>CHOOSE($C$5,K100,K101,K99)</f>
        <v>0.082</v>
      </c>
      <c r="L98" s="15"/>
      <c r="M98" s="106" t="s">
        <v>221</v>
      </c>
      <c r="N98" s="14" t="s">
        <v>211</v>
      </c>
      <c r="O98" s="15"/>
      <c r="P98" s="15"/>
      <c r="Q98" s="14" t="s">
        <v>215</v>
      </c>
    </row>
    <row r="99">
      <c r="A99" s="106" t="s">
        <v>223</v>
      </c>
      <c r="B99" s="16"/>
      <c r="C99" s="16"/>
      <c r="D99" s="16"/>
      <c r="E99" s="16"/>
      <c r="F99" s="16"/>
      <c r="G99" s="22">
        <v>0.092</v>
      </c>
      <c r="H99" s="13">
        <v>0.092</v>
      </c>
      <c r="I99" s="13">
        <v>0.092</v>
      </c>
      <c r="J99" s="13">
        <v>0.092</v>
      </c>
      <c r="K99" s="13">
        <v>0.092</v>
      </c>
      <c r="L99" s="15"/>
      <c r="M99" s="106" t="s">
        <v>221</v>
      </c>
      <c r="N99" s="14" t="s">
        <v>211</v>
      </c>
      <c r="O99" s="15"/>
      <c r="P99" s="15"/>
      <c r="Q99" s="14" t="s">
        <v>224</v>
      </c>
    </row>
    <row r="100">
      <c r="A100" s="106" t="s">
        <v>225</v>
      </c>
      <c r="B100" s="16"/>
      <c r="C100" s="16"/>
      <c r="D100" s="16"/>
      <c r="E100" s="16"/>
      <c r="F100" s="16"/>
      <c r="G100" s="22">
        <v>0.082</v>
      </c>
      <c r="H100" s="13">
        <v>0.082</v>
      </c>
      <c r="I100" s="13">
        <v>0.082</v>
      </c>
      <c r="J100" s="13">
        <v>0.082</v>
      </c>
      <c r="K100" s="13">
        <v>0.082</v>
      </c>
      <c r="L100" s="15"/>
      <c r="M100" s="106" t="s">
        <v>221</v>
      </c>
      <c r="N100" s="14" t="s">
        <v>211</v>
      </c>
      <c r="O100" s="15"/>
      <c r="P100" s="15"/>
      <c r="Q100" s="14" t="s">
        <v>224</v>
      </c>
    </row>
    <row r="101">
      <c r="A101" s="106" t="s">
        <v>226</v>
      </c>
      <c r="B101" s="16"/>
      <c r="C101" s="16"/>
      <c r="D101" s="16"/>
      <c r="E101" s="16"/>
      <c r="F101" s="16"/>
      <c r="G101" s="22">
        <v>0.072</v>
      </c>
      <c r="H101" s="13">
        <v>0.072</v>
      </c>
      <c r="I101" s="13">
        <v>0.072</v>
      </c>
      <c r="J101" s="13">
        <v>0.072</v>
      </c>
      <c r="K101" s="13">
        <v>0.072</v>
      </c>
      <c r="L101" s="15"/>
      <c r="M101" s="106" t="s">
        <v>221</v>
      </c>
      <c r="N101" s="14" t="s">
        <v>211</v>
      </c>
      <c r="O101" s="15"/>
      <c r="P101" s="15"/>
      <c r="Q101" s="14" t="s">
        <v>224</v>
      </c>
    </row>
    <row r="102">
      <c r="A102" s="106" t="s">
        <v>261</v>
      </c>
      <c r="B102" s="16"/>
      <c r="C102" s="16"/>
      <c r="D102" s="16"/>
      <c r="E102" s="20">
        <f>-EEFF!E65/EEFF!E64</f>
        <v>0.08535331210193214</v>
      </c>
      <c r="F102" s="20">
        <f>-EEFF!F65/EEFF!F64</f>
        <v>0.08188709778350008</v>
      </c>
      <c r="G102" s="23"/>
      <c r="H102" s="16"/>
      <c r="I102" s="16"/>
      <c r="J102" s="16"/>
      <c r="K102" s="16"/>
      <c r="L102" s="15"/>
      <c r="M102" s="106" t="s">
        <v>221</v>
      </c>
      <c r="N102" s="14" t="s">
        <v>262</v>
      </c>
      <c r="O102" s="15"/>
      <c r="P102" s="15"/>
      <c r="Q102" s="14" t="s">
        <v>236</v>
      </c>
    </row>
  </sheetData>
</worksheet>
</file>

<file path=xl/worksheets/sheet3.xml><?xml version="1.0" encoding="utf-8"?>
<worksheet xmlns="http://schemas.openxmlformats.org/spreadsheetml/2006/main" xmlns:r="http://schemas.openxmlformats.org/officeDocument/2006/relationships">
  <dimension ref="A1:T2741"/>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122" t="s">
        <v>0</v>
      </c>
    </row>
    <row r="2">
      <c r="A2" s="119" t="s">
        <v>263</v>
      </c>
    </row>
    <row r="3">
      <c r="A3" s="119" t="s">
        <v>264</v>
      </c>
    </row>
    <row r="5">
      <c r="A5" s="41" t="s">
        <v>265</v>
      </c>
      <c r="B5" s="41" t="s">
        <v>266</v>
      </c>
      <c r="C5" s="41" t="s">
        <v>267</v>
      </c>
      <c r="D5" s="41" t="s">
        <v>268</v>
      </c>
      <c r="E5" s="41" t="s">
        <v>269</v>
      </c>
      <c r="F5" s="41" t="s">
        <v>270</v>
      </c>
      <c r="G5" s="41" t="s">
        <v>271</v>
      </c>
      <c r="H5" s="41" t="s">
        <v>272</v>
      </c>
      <c r="I5" s="41" t="s">
        <v>273</v>
      </c>
      <c r="J5" s="41" t="s">
        <v>274</v>
      </c>
      <c r="K5" s="41" t="s">
        <v>275</v>
      </c>
      <c r="L5" s="41" t="s">
        <v>276</v>
      </c>
      <c r="M5" s="41" t="s">
        <v>277</v>
      </c>
      <c r="N5" s="41" t="s">
        <v>278</v>
      </c>
      <c r="O5" s="41" t="s">
        <v>279</v>
      </c>
      <c r="P5" s="43" t="s">
        <v>280</v>
      </c>
      <c r="Q5" s="43" t="s">
        <v>281</v>
      </c>
      <c r="R5" s="41" t="s">
        <v>282</v>
      </c>
      <c r="S5" s="41" t="s">
        <v>283</v>
      </c>
      <c r="T5" s="41" t="s">
        <v>284</v>
      </c>
    </row>
    <row r="6">
      <c r="A6" s="38" t="s">
        <v>285</v>
      </c>
      <c r="B6" s="38" t="s">
        <v>286</v>
      </c>
      <c r="C6" s="38" t="s">
        <v>287</v>
      </c>
      <c r="D6" s="38" t="s">
        <v>288</v>
      </c>
      <c r="E6" s="38" t="s">
        <v>289</v>
      </c>
      <c r="F6" s="37" t="s">
        <v>290</v>
      </c>
      <c r="G6" s="38" t="s">
        <v>291</v>
      </c>
      <c r="H6" s="37"/>
      <c r="I6" s="37"/>
      <c r="J6" s="37" t="s">
        <v>292</v>
      </c>
      <c r="K6" s="40"/>
      <c r="L6" s="38"/>
      <c r="M6" s="38"/>
      <c r="N6" s="37"/>
      <c r="O6" s="37"/>
      <c r="P6" s="37"/>
      <c r="Q6" s="37"/>
      <c r="R6" s="39"/>
      <c r="S6" s="37"/>
      <c r="T6" s="38" t="s">
        <v>293</v>
      </c>
    </row>
    <row r="7" ht="34.5">
      <c r="A7" s="38" t="s">
        <v>285</v>
      </c>
      <c r="B7" s="38" t="s">
        <v>286</v>
      </c>
      <c r="C7" s="38" t="s">
        <v>287</v>
      </c>
      <c r="D7" s="38" t="s">
        <v>288</v>
      </c>
      <c r="E7" s="38" t="s">
        <v>289</v>
      </c>
      <c r="F7" s="37" t="s">
        <v>290</v>
      </c>
      <c r="G7" s="38" t="s">
        <v>291</v>
      </c>
      <c r="H7" s="37"/>
      <c r="I7" s="37"/>
      <c r="J7" s="37" t="s">
        <v>294</v>
      </c>
      <c r="K7" s="40"/>
      <c r="L7" s="38"/>
      <c r="M7" s="38"/>
      <c r="N7" s="37"/>
      <c r="O7" s="37"/>
      <c r="P7" s="37"/>
      <c r="Q7" s="37"/>
      <c r="R7" s="39"/>
      <c r="S7" s="37"/>
      <c r="T7" s="38" t="s">
        <v>293</v>
      </c>
    </row>
    <row r="8" ht="34.5">
      <c r="A8" s="38" t="s">
        <v>285</v>
      </c>
      <c r="B8" s="38" t="s">
        <v>286</v>
      </c>
      <c r="C8" s="38" t="s">
        <v>287</v>
      </c>
      <c r="D8" s="38" t="s">
        <v>288</v>
      </c>
      <c r="E8" s="38" t="s">
        <v>289</v>
      </c>
      <c r="F8" s="37" t="s">
        <v>290</v>
      </c>
      <c r="G8" s="38" t="s">
        <v>291</v>
      </c>
      <c r="H8" s="37"/>
      <c r="I8" s="37"/>
      <c r="J8" s="37" t="s">
        <v>295</v>
      </c>
      <c r="K8" s="40"/>
      <c r="L8" s="38"/>
      <c r="M8" s="38"/>
      <c r="N8" s="37"/>
      <c r="O8" s="37"/>
      <c r="P8" s="37"/>
      <c r="Q8" s="37"/>
      <c r="R8" s="39"/>
      <c r="S8" s="37"/>
      <c r="T8" s="38" t="s">
        <v>293</v>
      </c>
    </row>
    <row r="9" ht="34.5">
      <c r="A9" s="38" t="s">
        <v>285</v>
      </c>
      <c r="B9" s="38" t="s">
        <v>286</v>
      </c>
      <c r="C9" s="38" t="s">
        <v>287</v>
      </c>
      <c r="D9" s="38" t="s">
        <v>288</v>
      </c>
      <c r="E9" s="38" t="s">
        <v>289</v>
      </c>
      <c r="F9" s="37" t="s">
        <v>290</v>
      </c>
      <c r="G9" s="38" t="s">
        <v>291</v>
      </c>
      <c r="H9" s="37"/>
      <c r="I9" s="37"/>
      <c r="J9" s="37" t="s">
        <v>296</v>
      </c>
      <c r="K9" s="40">
        <v>674272</v>
      </c>
      <c r="L9" s="38" t="s">
        <v>297</v>
      </c>
      <c r="M9" s="38"/>
      <c r="N9" s="37"/>
      <c r="O9" s="37"/>
      <c r="P9" s="37"/>
      <c r="Q9" s="37"/>
      <c r="R9" s="39"/>
      <c r="S9" s="37"/>
      <c r="T9" s="38" t="s">
        <v>293</v>
      </c>
    </row>
    <row r="10" ht="34.5">
      <c r="A10" s="38" t="s">
        <v>285</v>
      </c>
      <c r="B10" s="38" t="s">
        <v>286</v>
      </c>
      <c r="C10" s="38" t="s">
        <v>287</v>
      </c>
      <c r="D10" s="38" t="s">
        <v>288</v>
      </c>
      <c r="E10" s="38" t="s">
        <v>289</v>
      </c>
      <c r="F10" s="37" t="s">
        <v>290</v>
      </c>
      <c r="G10" s="38" t="s">
        <v>291</v>
      </c>
      <c r="H10" s="37"/>
      <c r="I10" s="37"/>
      <c r="J10" s="37" t="s">
        <v>298</v>
      </c>
      <c r="K10" s="40">
        <v>46590</v>
      </c>
      <c r="L10" s="38" t="s">
        <v>297</v>
      </c>
      <c r="M10" s="38"/>
      <c r="N10" s="37"/>
      <c r="O10" s="37"/>
      <c r="P10" s="37"/>
      <c r="Q10" s="37"/>
      <c r="R10" s="39"/>
      <c r="S10" s="37"/>
      <c r="T10" s="38" t="s">
        <v>293</v>
      </c>
    </row>
    <row r="11" ht="34.5">
      <c r="A11" s="38" t="s">
        <v>285</v>
      </c>
      <c r="B11" s="38" t="s">
        <v>286</v>
      </c>
      <c r="C11" s="38" t="s">
        <v>287</v>
      </c>
      <c r="D11" s="38" t="s">
        <v>288</v>
      </c>
      <c r="E11" s="38" t="s">
        <v>289</v>
      </c>
      <c r="F11" s="37" t="s">
        <v>290</v>
      </c>
      <c r="G11" s="38" t="s">
        <v>291</v>
      </c>
      <c r="H11" s="37"/>
      <c r="I11" s="37"/>
      <c r="J11" s="37" t="s">
        <v>299</v>
      </c>
      <c r="K11" s="40"/>
      <c r="L11" s="38"/>
      <c r="M11" s="38"/>
      <c r="N11" s="37"/>
      <c r="O11" s="37"/>
      <c r="P11" s="37"/>
      <c r="Q11" s="37"/>
      <c r="R11" s="39"/>
      <c r="S11" s="37"/>
      <c r="T11" s="38" t="s">
        <v>293</v>
      </c>
    </row>
    <row r="12" ht="34.5">
      <c r="A12" s="38" t="s">
        <v>285</v>
      </c>
      <c r="B12" s="38" t="s">
        <v>286</v>
      </c>
      <c r="C12" s="38" t="s">
        <v>287</v>
      </c>
      <c r="D12" s="38" t="s">
        <v>288</v>
      </c>
      <c r="E12" s="38" t="s">
        <v>289</v>
      </c>
      <c r="F12" s="37" t="s">
        <v>290</v>
      </c>
      <c r="G12" s="38" t="s">
        <v>291</v>
      </c>
      <c r="H12" s="37"/>
      <c r="I12" s="37"/>
      <c r="J12" s="37" t="s">
        <v>300</v>
      </c>
      <c r="K12" s="40">
        <v>1553553</v>
      </c>
      <c r="L12" s="38" t="s">
        <v>297</v>
      </c>
      <c r="M12" s="38"/>
      <c r="N12" s="37"/>
      <c r="O12" s="37"/>
      <c r="P12" s="37"/>
      <c r="Q12" s="37"/>
      <c r="R12" s="39"/>
      <c r="S12" s="37"/>
      <c r="T12" s="38" t="s">
        <v>293</v>
      </c>
    </row>
    <row r="13" ht="34.5">
      <c r="A13" s="38" t="s">
        <v>285</v>
      </c>
      <c r="B13" s="38" t="s">
        <v>286</v>
      </c>
      <c r="C13" s="38" t="s">
        <v>301</v>
      </c>
      <c r="D13" s="38" t="s">
        <v>288</v>
      </c>
      <c r="E13" s="38" t="s">
        <v>289</v>
      </c>
      <c r="F13" s="37" t="s">
        <v>290</v>
      </c>
      <c r="G13" s="38" t="s">
        <v>291</v>
      </c>
      <c r="H13" s="37"/>
      <c r="I13" s="37"/>
      <c r="J13" s="37" t="s">
        <v>302</v>
      </c>
      <c r="K13" s="40">
        <v>59809</v>
      </c>
      <c r="L13" s="38" t="s">
        <v>297</v>
      </c>
      <c r="M13" s="38"/>
      <c r="N13" s="37"/>
      <c r="O13" s="37"/>
      <c r="P13" s="37"/>
      <c r="Q13" s="37"/>
      <c r="R13" s="39"/>
      <c r="S13" s="37"/>
      <c r="T13" s="38" t="s">
        <v>293</v>
      </c>
    </row>
    <row r="14" ht="34.5">
      <c r="A14" s="38" t="s">
        <v>285</v>
      </c>
      <c r="B14" s="38" t="s">
        <v>286</v>
      </c>
      <c r="C14" s="38" t="s">
        <v>301</v>
      </c>
      <c r="D14" s="38" t="s">
        <v>288</v>
      </c>
      <c r="E14" s="38" t="s">
        <v>289</v>
      </c>
      <c r="F14" s="37" t="s">
        <v>290</v>
      </c>
      <c r="G14" s="38" t="s">
        <v>291</v>
      </c>
      <c r="H14" s="37"/>
      <c r="I14" s="37"/>
      <c r="J14" s="37" t="s">
        <v>303</v>
      </c>
      <c r="K14" s="40">
        <v>112717</v>
      </c>
      <c r="L14" s="38" t="s">
        <v>297</v>
      </c>
      <c r="M14" s="38"/>
      <c r="N14" s="37"/>
      <c r="O14" s="37"/>
      <c r="P14" s="37"/>
      <c r="Q14" s="37"/>
      <c r="R14" s="39"/>
      <c r="S14" s="37"/>
      <c r="T14" s="38" t="s">
        <v>293</v>
      </c>
    </row>
    <row r="15" ht="34.5">
      <c r="A15" s="38" t="s">
        <v>285</v>
      </c>
      <c r="B15" s="38" t="s">
        <v>286</v>
      </c>
      <c r="C15" s="38" t="s">
        <v>301</v>
      </c>
      <c r="D15" s="38" t="s">
        <v>288</v>
      </c>
      <c r="E15" s="38" t="s">
        <v>289</v>
      </c>
      <c r="F15" s="37" t="s">
        <v>290</v>
      </c>
      <c r="G15" s="38" t="s">
        <v>291</v>
      </c>
      <c r="H15" s="37"/>
      <c r="I15" s="37"/>
      <c r="J15" s="37" t="s">
        <v>304</v>
      </c>
      <c r="K15" s="40">
        <v>55870</v>
      </c>
      <c r="L15" s="38" t="s">
        <v>297</v>
      </c>
      <c r="M15" s="38"/>
      <c r="N15" s="37"/>
      <c r="O15" s="37"/>
      <c r="P15" s="37"/>
      <c r="Q15" s="37"/>
      <c r="R15" s="39"/>
      <c r="S15" s="37"/>
      <c r="T15" s="38" t="s">
        <v>293</v>
      </c>
    </row>
    <row r="16" ht="34.5">
      <c r="A16" s="38" t="s">
        <v>285</v>
      </c>
      <c r="B16" s="38" t="s">
        <v>286</v>
      </c>
      <c r="C16" s="38" t="s">
        <v>301</v>
      </c>
      <c r="D16" s="38" t="s">
        <v>288</v>
      </c>
      <c r="E16" s="38" t="s">
        <v>289</v>
      </c>
      <c r="F16" s="37" t="s">
        <v>290</v>
      </c>
      <c r="G16" s="38" t="s">
        <v>291</v>
      </c>
      <c r="H16" s="37"/>
      <c r="I16" s="37"/>
      <c r="J16" s="37" t="s">
        <v>305</v>
      </c>
      <c r="K16" s="40">
        <v>19086</v>
      </c>
      <c r="L16" s="38" t="s">
        <v>297</v>
      </c>
      <c r="M16" s="38"/>
      <c r="N16" s="37"/>
      <c r="O16" s="37"/>
      <c r="P16" s="37"/>
      <c r="Q16" s="37"/>
      <c r="R16" s="39"/>
      <c r="S16" s="37"/>
      <c r="T16" s="38" t="s">
        <v>293</v>
      </c>
    </row>
    <row r="17" ht="34.5">
      <c r="A17" s="38" t="s">
        <v>285</v>
      </c>
      <c r="B17" s="38" t="s">
        <v>286</v>
      </c>
      <c r="C17" s="38" t="s">
        <v>301</v>
      </c>
      <c r="D17" s="38" t="s">
        <v>288</v>
      </c>
      <c r="E17" s="38" t="s">
        <v>289</v>
      </c>
      <c r="F17" s="37" t="s">
        <v>290</v>
      </c>
      <c r="G17" s="38" t="s">
        <v>291</v>
      </c>
      <c r="H17" s="37"/>
      <c r="I17" s="37"/>
      <c r="J17" s="37" t="s">
        <v>306</v>
      </c>
      <c r="K17" s="40"/>
      <c r="L17" s="38"/>
      <c r="M17" s="38"/>
      <c r="N17" s="37"/>
      <c r="O17" s="37"/>
      <c r="P17" s="37"/>
      <c r="Q17" s="37"/>
      <c r="R17" s="39"/>
      <c r="S17" s="37"/>
      <c r="T17" s="38" t="s">
        <v>293</v>
      </c>
    </row>
    <row r="18" ht="34.5">
      <c r="A18" s="38" t="s">
        <v>285</v>
      </c>
      <c r="B18" s="38" t="s">
        <v>286</v>
      </c>
      <c r="C18" s="38" t="s">
        <v>301</v>
      </c>
      <c r="D18" s="38" t="s">
        <v>288</v>
      </c>
      <c r="E18" s="38" t="s">
        <v>289</v>
      </c>
      <c r="F18" s="37" t="s">
        <v>290</v>
      </c>
      <c r="G18" s="38" t="s">
        <v>291</v>
      </c>
      <c r="H18" s="37"/>
      <c r="I18" s="37"/>
      <c r="J18" s="37" t="s">
        <v>307</v>
      </c>
      <c r="K18" s="40">
        <v>9402041</v>
      </c>
      <c r="L18" s="38" t="s">
        <v>297</v>
      </c>
      <c r="M18" s="38"/>
      <c r="N18" s="37"/>
      <c r="O18" s="37"/>
      <c r="P18" s="37"/>
      <c r="Q18" s="37"/>
      <c r="R18" s="39"/>
      <c r="S18" s="37"/>
      <c r="T18" s="38" t="s">
        <v>293</v>
      </c>
    </row>
    <row r="19" ht="34.5">
      <c r="A19" s="38" t="s">
        <v>285</v>
      </c>
      <c r="B19" s="38" t="s">
        <v>286</v>
      </c>
      <c r="C19" s="38" t="s">
        <v>308</v>
      </c>
      <c r="D19" s="38" t="s">
        <v>288</v>
      </c>
      <c r="E19" s="38" t="s">
        <v>289</v>
      </c>
      <c r="F19" s="37" t="s">
        <v>290</v>
      </c>
      <c r="G19" s="38" t="s">
        <v>291</v>
      </c>
      <c r="H19" s="37"/>
      <c r="I19" s="37"/>
      <c r="J19" s="37" t="s">
        <v>309</v>
      </c>
      <c r="K19" s="40"/>
      <c r="L19" s="38"/>
      <c r="M19" s="38"/>
      <c r="N19" s="37"/>
      <c r="O19" s="37"/>
      <c r="P19" s="37"/>
      <c r="Q19" s="37"/>
      <c r="R19" s="39"/>
      <c r="S19" s="37"/>
      <c r="T19" s="38" t="s">
        <v>293</v>
      </c>
    </row>
    <row r="20" ht="34.5">
      <c r="A20" s="38" t="s">
        <v>285</v>
      </c>
      <c r="B20" s="38" t="s">
        <v>286</v>
      </c>
      <c r="C20" s="38" t="s">
        <v>308</v>
      </c>
      <c r="D20" s="38" t="s">
        <v>310</v>
      </c>
      <c r="E20" s="38" t="s">
        <v>289</v>
      </c>
      <c r="F20" s="37" t="s">
        <v>290</v>
      </c>
      <c r="G20" s="38" t="s">
        <v>291</v>
      </c>
      <c r="H20" s="37"/>
      <c r="I20" s="37"/>
      <c r="J20" s="37" t="s">
        <v>311</v>
      </c>
      <c r="K20" s="40"/>
      <c r="L20" s="38"/>
      <c r="M20" s="38"/>
      <c r="N20" s="37"/>
      <c r="O20" s="37"/>
      <c r="P20" s="37"/>
      <c r="Q20" s="37"/>
      <c r="R20" s="39"/>
      <c r="S20" s="37"/>
      <c r="T20" s="38" t="s">
        <v>293</v>
      </c>
    </row>
    <row r="21" ht="34.5">
      <c r="A21" s="38" t="s">
        <v>285</v>
      </c>
      <c r="B21" s="38" t="s">
        <v>286</v>
      </c>
      <c r="C21" s="38" t="s">
        <v>308</v>
      </c>
      <c r="D21" s="38" t="s">
        <v>288</v>
      </c>
      <c r="E21" s="38" t="s">
        <v>289</v>
      </c>
      <c r="F21" s="37" t="s">
        <v>290</v>
      </c>
      <c r="G21" s="38" t="s">
        <v>291</v>
      </c>
      <c r="H21" s="37"/>
      <c r="I21" s="37"/>
      <c r="J21" s="37" t="s">
        <v>312</v>
      </c>
      <c r="K21" s="40"/>
      <c r="L21" s="38"/>
      <c r="M21" s="38"/>
      <c r="N21" s="37"/>
      <c r="O21" s="37"/>
      <c r="P21" s="37"/>
      <c r="Q21" s="37"/>
      <c r="R21" s="39"/>
      <c r="S21" s="37"/>
      <c r="T21" s="38" t="s">
        <v>293</v>
      </c>
    </row>
    <row r="22" ht="34.5">
      <c r="A22" s="38" t="s">
        <v>285</v>
      </c>
      <c r="B22" s="38" t="s">
        <v>286</v>
      </c>
      <c r="C22" s="38" t="s">
        <v>308</v>
      </c>
      <c r="D22" s="38" t="s">
        <v>288</v>
      </c>
      <c r="E22" s="38" t="s">
        <v>289</v>
      </c>
      <c r="F22" s="37" t="s">
        <v>290</v>
      </c>
      <c r="G22" s="38" t="s">
        <v>291</v>
      </c>
      <c r="H22" s="37"/>
      <c r="I22" s="37"/>
      <c r="J22" s="37" t="s">
        <v>313</v>
      </c>
      <c r="K22" s="40"/>
      <c r="L22" s="38"/>
      <c r="M22" s="38"/>
      <c r="N22" s="37"/>
      <c r="O22" s="37"/>
      <c r="P22" s="37"/>
      <c r="Q22" s="37"/>
      <c r="R22" s="39"/>
      <c r="S22" s="37"/>
      <c r="T22" s="38" t="s">
        <v>293</v>
      </c>
    </row>
    <row r="23" ht="34.5">
      <c r="A23" s="38" t="s">
        <v>285</v>
      </c>
      <c r="B23" s="38" t="s">
        <v>286</v>
      </c>
      <c r="C23" s="38" t="s">
        <v>314</v>
      </c>
      <c r="D23" s="38" t="s">
        <v>288</v>
      </c>
      <c r="E23" s="38" t="s">
        <v>315</v>
      </c>
      <c r="F23" s="37" t="s">
        <v>316</v>
      </c>
      <c r="G23" s="38" t="s">
        <v>317</v>
      </c>
      <c r="H23" s="37"/>
      <c r="I23" s="37"/>
      <c r="J23" s="37" t="s">
        <v>318</v>
      </c>
      <c r="K23" s="40"/>
      <c r="L23" s="38"/>
      <c r="M23" s="38"/>
      <c r="N23" s="37"/>
      <c r="O23" s="37"/>
      <c r="P23" s="37"/>
      <c r="Q23" s="37"/>
      <c r="R23" s="39"/>
      <c r="S23" s="37"/>
      <c r="T23" s="38" t="s">
        <v>293</v>
      </c>
    </row>
    <row r="24" ht="34.5">
      <c r="A24" s="38" t="s">
        <v>285</v>
      </c>
      <c r="B24" s="38" t="s">
        <v>286</v>
      </c>
      <c r="C24" s="38" t="s">
        <v>314</v>
      </c>
      <c r="D24" s="38" t="s">
        <v>319</v>
      </c>
      <c r="E24" s="38" t="s">
        <v>315</v>
      </c>
      <c r="F24" s="37" t="s">
        <v>316</v>
      </c>
      <c r="G24" s="38" t="s">
        <v>317</v>
      </c>
      <c r="H24" s="37"/>
      <c r="I24" s="37"/>
      <c r="J24" s="37" t="s">
        <v>320</v>
      </c>
      <c r="K24" s="40"/>
      <c r="L24" s="38"/>
      <c r="M24" s="38"/>
      <c r="N24" s="37"/>
      <c r="O24" s="37"/>
      <c r="P24" s="37"/>
      <c r="Q24" s="37"/>
      <c r="R24" s="39"/>
      <c r="S24" s="37"/>
      <c r="T24" s="38" t="s">
        <v>293</v>
      </c>
    </row>
    <row r="25" ht="34.5">
      <c r="A25" s="38" t="s">
        <v>285</v>
      </c>
      <c r="B25" s="38" t="s">
        <v>286</v>
      </c>
      <c r="C25" s="38" t="s">
        <v>314</v>
      </c>
      <c r="D25" s="38" t="s">
        <v>288</v>
      </c>
      <c r="E25" s="38" t="s">
        <v>315</v>
      </c>
      <c r="F25" s="37" t="s">
        <v>316</v>
      </c>
      <c r="G25" s="38" t="s">
        <v>317</v>
      </c>
      <c r="H25" s="37"/>
      <c r="I25" s="37"/>
      <c r="J25" s="37" t="s">
        <v>321</v>
      </c>
      <c r="K25" s="40"/>
      <c r="L25" s="38"/>
      <c r="M25" s="38"/>
      <c r="N25" s="37"/>
      <c r="O25" s="37"/>
      <c r="P25" s="37"/>
      <c r="Q25" s="37"/>
      <c r="R25" s="39"/>
      <c r="S25" s="37"/>
      <c r="T25" s="38" t="s">
        <v>293</v>
      </c>
    </row>
    <row r="26" ht="34.5">
      <c r="A26" s="38" t="s">
        <v>285</v>
      </c>
      <c r="B26" s="38" t="s">
        <v>286</v>
      </c>
      <c r="C26" s="38" t="s">
        <v>314</v>
      </c>
      <c r="D26" s="38" t="s">
        <v>288</v>
      </c>
      <c r="E26" s="38" t="s">
        <v>315</v>
      </c>
      <c r="F26" s="37" t="s">
        <v>316</v>
      </c>
      <c r="G26" s="38" t="s">
        <v>317</v>
      </c>
      <c r="H26" s="37"/>
      <c r="I26" s="37"/>
      <c r="J26" s="37" t="s">
        <v>322</v>
      </c>
      <c r="K26" s="40">
        <v>50335044</v>
      </c>
      <c r="L26" s="38" t="s">
        <v>297</v>
      </c>
      <c r="M26" s="38"/>
      <c r="N26" s="37"/>
      <c r="O26" s="37"/>
      <c r="P26" s="37"/>
      <c r="Q26" s="37"/>
      <c r="R26" s="39"/>
      <c r="S26" s="37"/>
      <c r="T26" s="38" t="s">
        <v>293</v>
      </c>
    </row>
    <row r="27" ht="34.5">
      <c r="A27" s="38" t="s">
        <v>285</v>
      </c>
      <c r="B27" s="38" t="s">
        <v>286</v>
      </c>
      <c r="C27" s="38" t="s">
        <v>314</v>
      </c>
      <c r="D27" s="38" t="s">
        <v>288</v>
      </c>
      <c r="E27" s="38" t="s">
        <v>323</v>
      </c>
      <c r="F27" s="37" t="s">
        <v>324</v>
      </c>
      <c r="G27" s="38" t="s">
        <v>188</v>
      </c>
      <c r="H27" s="37"/>
      <c r="I27" s="37"/>
      <c r="J27" s="37" t="s">
        <v>325</v>
      </c>
      <c r="K27" s="40"/>
      <c r="L27" s="38"/>
      <c r="M27" s="38"/>
      <c r="N27" s="37"/>
      <c r="O27" s="37"/>
      <c r="P27" s="37"/>
      <c r="Q27" s="37"/>
      <c r="R27" s="39"/>
      <c r="S27" s="37"/>
      <c r="T27" s="38" t="s">
        <v>293</v>
      </c>
    </row>
    <row r="28" ht="34.5">
      <c r="A28" s="38" t="s">
        <v>285</v>
      </c>
      <c r="B28" s="38" t="s">
        <v>286</v>
      </c>
      <c r="C28" s="38" t="s">
        <v>314</v>
      </c>
      <c r="D28" s="38" t="s">
        <v>326</v>
      </c>
      <c r="E28" s="38" t="s">
        <v>323</v>
      </c>
      <c r="F28" s="37" t="s">
        <v>324</v>
      </c>
      <c r="G28" s="38" t="s">
        <v>188</v>
      </c>
      <c r="H28" s="37"/>
      <c r="I28" s="37"/>
      <c r="J28" s="37" t="s">
        <v>327</v>
      </c>
      <c r="K28" s="40"/>
      <c r="L28" s="38"/>
      <c r="M28" s="38"/>
      <c r="N28" s="37"/>
      <c r="O28" s="37"/>
      <c r="P28" s="37"/>
      <c r="Q28" s="37"/>
      <c r="R28" s="39"/>
      <c r="S28" s="37"/>
      <c r="T28" s="38" t="s">
        <v>293</v>
      </c>
    </row>
    <row r="29" ht="34.5">
      <c r="A29" s="38" t="s">
        <v>285</v>
      </c>
      <c r="B29" s="38" t="s">
        <v>286</v>
      </c>
      <c r="C29" s="38" t="s">
        <v>314</v>
      </c>
      <c r="D29" s="38" t="s">
        <v>288</v>
      </c>
      <c r="E29" s="38" t="s">
        <v>323</v>
      </c>
      <c r="F29" s="37" t="s">
        <v>324</v>
      </c>
      <c r="G29" s="38" t="s">
        <v>188</v>
      </c>
      <c r="H29" s="37"/>
      <c r="I29" s="37"/>
      <c r="J29" s="37" t="s">
        <v>328</v>
      </c>
      <c r="K29" s="40"/>
      <c r="L29" s="38"/>
      <c r="M29" s="38"/>
      <c r="N29" s="37"/>
      <c r="O29" s="37"/>
      <c r="P29" s="37"/>
      <c r="Q29" s="37"/>
      <c r="R29" s="39"/>
      <c r="S29" s="37"/>
      <c r="T29" s="38" t="s">
        <v>293</v>
      </c>
    </row>
    <row r="30" ht="34.5">
      <c r="A30" s="38" t="s">
        <v>285</v>
      </c>
      <c r="B30" s="38" t="s">
        <v>286</v>
      </c>
      <c r="C30" s="38" t="s">
        <v>329</v>
      </c>
      <c r="D30" s="38" t="s">
        <v>288</v>
      </c>
      <c r="E30" s="38" t="s">
        <v>323</v>
      </c>
      <c r="F30" s="37" t="s">
        <v>324</v>
      </c>
      <c r="G30" s="38" t="s">
        <v>188</v>
      </c>
      <c r="H30" s="37"/>
      <c r="I30" s="37"/>
      <c r="J30" s="37" t="s">
        <v>330</v>
      </c>
      <c r="K30" s="40"/>
      <c r="L30" s="38"/>
      <c r="M30" s="38"/>
      <c r="N30" s="37"/>
      <c r="O30" s="37"/>
      <c r="P30" s="37"/>
      <c r="Q30" s="37"/>
      <c r="R30" s="39"/>
      <c r="S30" s="37"/>
      <c r="T30" s="38" t="s">
        <v>293</v>
      </c>
    </row>
    <row r="31" ht="34.5">
      <c r="A31" s="38" t="s">
        <v>285</v>
      </c>
      <c r="B31" s="38" t="s">
        <v>286</v>
      </c>
      <c r="C31" s="38" t="s">
        <v>329</v>
      </c>
      <c r="D31" s="38" t="s">
        <v>331</v>
      </c>
      <c r="E31" s="38" t="s">
        <v>323</v>
      </c>
      <c r="F31" s="37" t="s">
        <v>324</v>
      </c>
      <c r="G31" s="38" t="s">
        <v>188</v>
      </c>
      <c r="H31" s="37"/>
      <c r="I31" s="37"/>
      <c r="J31" s="37" t="s">
        <v>332</v>
      </c>
      <c r="K31" s="40"/>
      <c r="L31" s="38"/>
      <c r="M31" s="38"/>
      <c r="N31" s="37"/>
      <c r="O31" s="37"/>
      <c r="P31" s="37"/>
      <c r="Q31" s="37"/>
      <c r="R31" s="39"/>
      <c r="S31" s="37"/>
      <c r="T31" s="38" t="s">
        <v>293</v>
      </c>
    </row>
    <row r="32" ht="34.5">
      <c r="A32" s="38" t="s">
        <v>285</v>
      </c>
      <c r="B32" s="38" t="s">
        <v>286</v>
      </c>
      <c r="C32" s="38" t="s">
        <v>329</v>
      </c>
      <c r="D32" s="38" t="s">
        <v>288</v>
      </c>
      <c r="E32" s="38" t="s">
        <v>323</v>
      </c>
      <c r="F32" s="37" t="s">
        <v>324</v>
      </c>
      <c r="G32" s="38" t="s">
        <v>188</v>
      </c>
      <c r="H32" s="37"/>
      <c r="I32" s="37"/>
      <c r="J32" s="37" t="s">
        <v>333</v>
      </c>
      <c r="K32" s="40"/>
      <c r="L32" s="38"/>
      <c r="M32" s="38"/>
      <c r="N32" s="37"/>
      <c r="O32" s="37"/>
      <c r="P32" s="37"/>
      <c r="Q32" s="37"/>
      <c r="R32" s="39"/>
      <c r="S32" s="37"/>
      <c r="T32" s="38" t="s">
        <v>293</v>
      </c>
    </row>
    <row r="33" ht="34.5">
      <c r="A33" s="38" t="s">
        <v>285</v>
      </c>
      <c r="B33" s="38" t="s">
        <v>286</v>
      </c>
      <c r="C33" s="38" t="s">
        <v>329</v>
      </c>
      <c r="D33" s="38" t="s">
        <v>288</v>
      </c>
      <c r="E33" s="38" t="s">
        <v>323</v>
      </c>
      <c r="F33" s="37" t="s">
        <v>324</v>
      </c>
      <c r="G33" s="38" t="s">
        <v>188</v>
      </c>
      <c r="H33" s="37"/>
      <c r="I33" s="37"/>
      <c r="J33" s="37" t="s">
        <v>334</v>
      </c>
      <c r="K33" s="40"/>
      <c r="L33" s="38"/>
      <c r="M33" s="38"/>
      <c r="N33" s="37"/>
      <c r="O33" s="37"/>
      <c r="P33" s="37"/>
      <c r="Q33" s="37"/>
      <c r="R33" s="39"/>
      <c r="S33" s="37"/>
      <c r="T33" s="38" t="s">
        <v>293</v>
      </c>
    </row>
    <row r="34" ht="34.5">
      <c r="A34" s="38" t="s">
        <v>285</v>
      </c>
      <c r="B34" s="38" t="s">
        <v>286</v>
      </c>
      <c r="C34" s="38" t="s">
        <v>329</v>
      </c>
      <c r="D34" s="38" t="s">
        <v>335</v>
      </c>
      <c r="E34" s="38" t="s">
        <v>323</v>
      </c>
      <c r="F34" s="37" t="s">
        <v>324</v>
      </c>
      <c r="G34" s="38" t="s">
        <v>188</v>
      </c>
      <c r="H34" s="37"/>
      <c r="I34" s="37"/>
      <c r="J34" s="37" t="s">
        <v>336</v>
      </c>
      <c r="K34" s="40"/>
      <c r="L34" s="38"/>
      <c r="M34" s="38"/>
      <c r="N34" s="37"/>
      <c r="O34" s="37"/>
      <c r="P34" s="37"/>
      <c r="Q34" s="37"/>
      <c r="R34" s="39"/>
      <c r="S34" s="37"/>
      <c r="T34" s="38" t="s">
        <v>293</v>
      </c>
    </row>
    <row r="35" ht="34.5">
      <c r="A35" s="38" t="s">
        <v>285</v>
      </c>
      <c r="B35" s="38" t="s">
        <v>286</v>
      </c>
      <c r="C35" s="38" t="s">
        <v>329</v>
      </c>
      <c r="D35" s="38" t="s">
        <v>288</v>
      </c>
      <c r="E35" s="38" t="s">
        <v>323</v>
      </c>
      <c r="F35" s="37" t="s">
        <v>324</v>
      </c>
      <c r="G35" s="38" t="s">
        <v>188</v>
      </c>
      <c r="H35" s="37"/>
      <c r="I35" s="37"/>
      <c r="J35" s="37" t="s">
        <v>337</v>
      </c>
      <c r="K35" s="40"/>
      <c r="L35" s="38"/>
      <c r="M35" s="38"/>
      <c r="N35" s="37"/>
      <c r="O35" s="37"/>
      <c r="P35" s="37"/>
      <c r="Q35" s="37"/>
      <c r="R35" s="39"/>
      <c r="S35" s="37"/>
      <c r="T35" s="38" t="s">
        <v>293</v>
      </c>
    </row>
    <row r="36" ht="34.5">
      <c r="A36" s="38" t="s">
        <v>285</v>
      </c>
      <c r="B36" s="38" t="s">
        <v>286</v>
      </c>
      <c r="C36" s="38" t="s">
        <v>329</v>
      </c>
      <c r="D36" s="38" t="s">
        <v>288</v>
      </c>
      <c r="E36" s="38" t="s">
        <v>323</v>
      </c>
      <c r="F36" s="37" t="s">
        <v>324</v>
      </c>
      <c r="G36" s="38" t="s">
        <v>188</v>
      </c>
      <c r="H36" s="37"/>
      <c r="I36" s="37"/>
      <c r="J36" s="37" t="s">
        <v>338</v>
      </c>
      <c r="K36" s="40">
        <v>200910697</v>
      </c>
      <c r="L36" s="38" t="s">
        <v>297</v>
      </c>
      <c r="M36" s="38"/>
      <c r="N36" s="37"/>
      <c r="O36" s="37"/>
      <c r="P36" s="37"/>
      <c r="Q36" s="37"/>
      <c r="R36" s="39"/>
      <c r="S36" s="37"/>
      <c r="T36" s="38" t="s">
        <v>293</v>
      </c>
    </row>
    <row r="37" ht="34.5">
      <c r="A37" s="38" t="s">
        <v>285</v>
      </c>
      <c r="B37" s="38" t="s">
        <v>286</v>
      </c>
      <c r="C37" s="38" t="s">
        <v>339</v>
      </c>
      <c r="D37" s="38" t="s">
        <v>288</v>
      </c>
      <c r="E37" s="38" t="s">
        <v>323</v>
      </c>
      <c r="F37" s="37" t="s">
        <v>324</v>
      </c>
      <c r="G37" s="38" t="s">
        <v>188</v>
      </c>
      <c r="H37" s="37"/>
      <c r="I37" s="37"/>
      <c r="J37" s="37" t="s">
        <v>340</v>
      </c>
      <c r="K37" s="40">
        <v>67097026</v>
      </c>
      <c r="L37" s="38" t="s">
        <v>297</v>
      </c>
      <c r="M37" s="38"/>
      <c r="N37" s="37"/>
      <c r="O37" s="37"/>
      <c r="P37" s="37"/>
      <c r="Q37" s="37"/>
      <c r="R37" s="39"/>
      <c r="S37" s="37"/>
      <c r="T37" s="38" t="s">
        <v>293</v>
      </c>
    </row>
    <row r="38" ht="34.5">
      <c r="A38" s="38" t="s">
        <v>285</v>
      </c>
      <c r="B38" s="38" t="s">
        <v>286</v>
      </c>
      <c r="C38" s="38" t="s">
        <v>339</v>
      </c>
      <c r="D38" s="38" t="s">
        <v>288</v>
      </c>
      <c r="E38" s="38" t="s">
        <v>323</v>
      </c>
      <c r="F38" s="37" t="s">
        <v>324</v>
      </c>
      <c r="G38" s="38" t="s">
        <v>188</v>
      </c>
      <c r="H38" s="37"/>
      <c r="I38" s="37"/>
      <c r="J38" s="37" t="s">
        <v>341</v>
      </c>
      <c r="K38" s="40"/>
      <c r="L38" s="38"/>
      <c r="M38" s="38"/>
      <c r="N38" s="37"/>
      <c r="O38" s="37"/>
      <c r="P38" s="37"/>
      <c r="Q38" s="37"/>
      <c r="R38" s="39"/>
      <c r="S38" s="37"/>
      <c r="T38" s="38" t="s">
        <v>293</v>
      </c>
    </row>
    <row r="39" ht="34.5">
      <c r="A39" s="38" t="s">
        <v>285</v>
      </c>
      <c r="B39" s="38" t="s">
        <v>286</v>
      </c>
      <c r="C39" s="38" t="s">
        <v>339</v>
      </c>
      <c r="D39" s="38" t="s">
        <v>342</v>
      </c>
      <c r="E39" s="38" t="s">
        <v>323</v>
      </c>
      <c r="F39" s="37" t="s">
        <v>324</v>
      </c>
      <c r="G39" s="38" t="s">
        <v>188</v>
      </c>
      <c r="H39" s="37"/>
      <c r="I39" s="37"/>
      <c r="J39" s="37" t="s">
        <v>343</v>
      </c>
      <c r="K39" s="40"/>
      <c r="L39" s="38"/>
      <c r="M39" s="38"/>
      <c r="N39" s="37"/>
      <c r="O39" s="37"/>
      <c r="P39" s="37"/>
      <c r="Q39" s="37"/>
      <c r="R39" s="39"/>
      <c r="S39" s="37"/>
      <c r="T39" s="38" t="s">
        <v>293</v>
      </c>
    </row>
    <row r="40" ht="34.5">
      <c r="A40" s="38" t="s">
        <v>285</v>
      </c>
      <c r="B40" s="38" t="s">
        <v>286</v>
      </c>
      <c r="C40" s="38" t="s">
        <v>339</v>
      </c>
      <c r="D40" s="38" t="s">
        <v>288</v>
      </c>
      <c r="E40" s="38" t="s">
        <v>323</v>
      </c>
      <c r="F40" s="37" t="s">
        <v>324</v>
      </c>
      <c r="G40" s="38" t="s">
        <v>188</v>
      </c>
      <c r="H40" s="37"/>
      <c r="I40" s="37"/>
      <c r="J40" s="37" t="s">
        <v>344</v>
      </c>
      <c r="K40" s="40"/>
      <c r="L40" s="38"/>
      <c r="M40" s="38"/>
      <c r="N40" s="37"/>
      <c r="O40" s="37"/>
      <c r="P40" s="37"/>
      <c r="Q40" s="37"/>
      <c r="R40" s="39"/>
      <c r="S40" s="37"/>
      <c r="T40" s="38" t="s">
        <v>293</v>
      </c>
    </row>
    <row r="41" ht="34.5">
      <c r="A41" s="38" t="s">
        <v>285</v>
      </c>
      <c r="B41" s="38" t="s">
        <v>286</v>
      </c>
      <c r="C41" s="38" t="s">
        <v>339</v>
      </c>
      <c r="D41" s="38" t="s">
        <v>288</v>
      </c>
      <c r="E41" s="38" t="s">
        <v>323</v>
      </c>
      <c r="F41" s="37" t="s">
        <v>324</v>
      </c>
      <c r="G41" s="38" t="s">
        <v>188</v>
      </c>
      <c r="H41" s="37"/>
      <c r="I41" s="37"/>
      <c r="J41" s="37" t="s">
        <v>345</v>
      </c>
      <c r="K41" s="40">
        <v>17999310</v>
      </c>
      <c r="L41" s="38" t="s">
        <v>297</v>
      </c>
      <c r="M41" s="38"/>
      <c r="N41" s="37"/>
      <c r="O41" s="37"/>
      <c r="P41" s="37"/>
      <c r="Q41" s="37"/>
      <c r="R41" s="39"/>
      <c r="S41" s="37"/>
      <c r="T41" s="38" t="s">
        <v>293</v>
      </c>
    </row>
    <row r="42" ht="34.5">
      <c r="A42" s="38" t="s">
        <v>285</v>
      </c>
      <c r="B42" s="38" t="s">
        <v>286</v>
      </c>
      <c r="C42" s="38" t="s">
        <v>339</v>
      </c>
      <c r="D42" s="38" t="s">
        <v>288</v>
      </c>
      <c r="E42" s="38" t="s">
        <v>323</v>
      </c>
      <c r="F42" s="37" t="s">
        <v>324</v>
      </c>
      <c r="G42" s="38" t="s">
        <v>188</v>
      </c>
      <c r="H42" s="37"/>
      <c r="I42" s="37"/>
      <c r="J42" s="37" t="s">
        <v>346</v>
      </c>
      <c r="K42" s="40"/>
      <c r="L42" s="38"/>
      <c r="M42" s="38"/>
      <c r="N42" s="37"/>
      <c r="O42" s="37"/>
      <c r="P42" s="37"/>
      <c r="Q42" s="37"/>
      <c r="R42" s="39"/>
      <c r="S42" s="37"/>
      <c r="T42" s="38" t="s">
        <v>293</v>
      </c>
    </row>
    <row r="43" ht="34.5">
      <c r="A43" s="38" t="s">
        <v>285</v>
      </c>
      <c r="B43" s="38" t="s">
        <v>286</v>
      </c>
      <c r="C43" s="38" t="s">
        <v>339</v>
      </c>
      <c r="D43" s="38" t="s">
        <v>288</v>
      </c>
      <c r="E43" s="38" t="s">
        <v>323</v>
      </c>
      <c r="F43" s="37" t="s">
        <v>324</v>
      </c>
      <c r="G43" s="38" t="s">
        <v>188</v>
      </c>
      <c r="H43" s="37"/>
      <c r="I43" s="37"/>
      <c r="J43" s="37" t="s">
        <v>347</v>
      </c>
      <c r="K43" s="40"/>
      <c r="L43" s="38"/>
      <c r="M43" s="38"/>
      <c r="N43" s="37"/>
      <c r="O43" s="37"/>
      <c r="P43" s="37"/>
      <c r="Q43" s="37"/>
      <c r="R43" s="39"/>
      <c r="S43" s="37"/>
      <c r="T43" s="38" t="s">
        <v>293</v>
      </c>
    </row>
    <row r="44" ht="34.5">
      <c r="A44" s="38" t="s">
        <v>285</v>
      </c>
      <c r="B44" s="38" t="s">
        <v>286</v>
      </c>
      <c r="C44" s="38" t="s">
        <v>339</v>
      </c>
      <c r="D44" s="38" t="s">
        <v>348</v>
      </c>
      <c r="E44" s="38" t="s">
        <v>323</v>
      </c>
      <c r="F44" s="37" t="s">
        <v>324</v>
      </c>
      <c r="G44" s="38" t="s">
        <v>188</v>
      </c>
      <c r="H44" s="37"/>
      <c r="I44" s="37"/>
      <c r="J44" s="37" t="s">
        <v>349</v>
      </c>
      <c r="K44" s="40"/>
      <c r="L44" s="38"/>
      <c r="M44" s="38"/>
      <c r="N44" s="37"/>
      <c r="O44" s="37"/>
      <c r="P44" s="37"/>
      <c r="Q44" s="37"/>
      <c r="R44" s="39"/>
      <c r="S44" s="37"/>
      <c r="T44" s="38" t="s">
        <v>293</v>
      </c>
    </row>
    <row r="45" ht="34.5">
      <c r="A45" s="38" t="s">
        <v>285</v>
      </c>
      <c r="B45" s="38" t="s">
        <v>286</v>
      </c>
      <c r="C45" s="38" t="s">
        <v>350</v>
      </c>
      <c r="D45" s="38" t="s">
        <v>288</v>
      </c>
      <c r="E45" s="38" t="s">
        <v>323</v>
      </c>
      <c r="F45" s="37" t="s">
        <v>324</v>
      </c>
      <c r="G45" s="38" t="s">
        <v>188</v>
      </c>
      <c r="H45" s="37"/>
      <c r="I45" s="37"/>
      <c r="J45" s="37" t="s">
        <v>351</v>
      </c>
      <c r="K45" s="40"/>
      <c r="L45" s="38"/>
      <c r="M45" s="38"/>
      <c r="N45" s="37"/>
      <c r="O45" s="37"/>
      <c r="P45" s="37"/>
      <c r="Q45" s="37"/>
      <c r="R45" s="39"/>
      <c r="S45" s="37"/>
      <c r="T45" s="38" t="s">
        <v>293</v>
      </c>
    </row>
    <row r="46" ht="34.5">
      <c r="A46" s="38" t="s">
        <v>285</v>
      </c>
      <c r="B46" s="38" t="s">
        <v>286</v>
      </c>
      <c r="C46" s="38" t="s">
        <v>350</v>
      </c>
      <c r="D46" s="38" t="s">
        <v>352</v>
      </c>
      <c r="E46" s="38" t="s">
        <v>323</v>
      </c>
      <c r="F46" s="37" t="s">
        <v>324</v>
      </c>
      <c r="G46" s="38" t="s">
        <v>188</v>
      </c>
      <c r="H46" s="37"/>
      <c r="I46" s="37"/>
      <c r="J46" s="37" t="s">
        <v>353</v>
      </c>
      <c r="K46" s="40"/>
      <c r="L46" s="38"/>
      <c r="M46" s="38"/>
      <c r="N46" s="37"/>
      <c r="O46" s="37"/>
      <c r="P46" s="37"/>
      <c r="Q46" s="37"/>
      <c r="R46" s="39"/>
      <c r="S46" s="37"/>
      <c r="T46" s="38" t="s">
        <v>293</v>
      </c>
    </row>
    <row r="47" ht="34.5">
      <c r="A47" s="38" t="s">
        <v>285</v>
      </c>
      <c r="B47" s="38" t="s">
        <v>286</v>
      </c>
      <c r="C47" s="38" t="s">
        <v>350</v>
      </c>
      <c r="D47" s="38" t="s">
        <v>288</v>
      </c>
      <c r="E47" s="38" t="s">
        <v>323</v>
      </c>
      <c r="F47" s="37" t="s">
        <v>324</v>
      </c>
      <c r="G47" s="38" t="s">
        <v>188</v>
      </c>
      <c r="H47" s="37"/>
      <c r="I47" s="37"/>
      <c r="J47" s="37" t="s">
        <v>354</v>
      </c>
      <c r="K47" s="40"/>
      <c r="L47" s="38"/>
      <c r="M47" s="38"/>
      <c r="N47" s="37"/>
      <c r="O47" s="37"/>
      <c r="P47" s="37"/>
      <c r="Q47" s="37"/>
      <c r="R47" s="39"/>
      <c r="S47" s="37"/>
      <c r="T47" s="38" t="s">
        <v>293</v>
      </c>
    </row>
    <row r="48" ht="34.5">
      <c r="A48" s="38" t="s">
        <v>285</v>
      </c>
      <c r="B48" s="38" t="s">
        <v>286</v>
      </c>
      <c r="C48" s="38" t="s">
        <v>350</v>
      </c>
      <c r="D48" s="38" t="s">
        <v>288</v>
      </c>
      <c r="E48" s="38" t="s">
        <v>323</v>
      </c>
      <c r="F48" s="37" t="s">
        <v>324</v>
      </c>
      <c r="G48" s="38" t="s">
        <v>188</v>
      </c>
      <c r="H48" s="37"/>
      <c r="I48" s="37"/>
      <c r="J48" s="37" t="s">
        <v>355</v>
      </c>
      <c r="K48" s="40">
        <v>13464014</v>
      </c>
      <c r="L48" s="38" t="s">
        <v>297</v>
      </c>
      <c r="M48" s="38"/>
      <c r="N48" s="37"/>
      <c r="O48" s="37"/>
      <c r="P48" s="37"/>
      <c r="Q48" s="37"/>
      <c r="R48" s="39"/>
      <c r="S48" s="37"/>
      <c r="T48" s="38" t="s">
        <v>293</v>
      </c>
    </row>
    <row r="49" ht="34.5">
      <c r="A49" s="38" t="s">
        <v>285</v>
      </c>
      <c r="B49" s="38" t="s">
        <v>286</v>
      </c>
      <c r="C49" s="38" t="s">
        <v>350</v>
      </c>
      <c r="D49" s="38" t="s">
        <v>288</v>
      </c>
      <c r="E49" s="38" t="s">
        <v>323</v>
      </c>
      <c r="F49" s="37" t="s">
        <v>324</v>
      </c>
      <c r="G49" s="38" t="s">
        <v>188</v>
      </c>
      <c r="H49" s="37"/>
      <c r="I49" s="37"/>
      <c r="J49" s="37" t="s">
        <v>356</v>
      </c>
      <c r="K49" s="40"/>
      <c r="L49" s="38"/>
      <c r="M49" s="38"/>
      <c r="N49" s="37"/>
      <c r="O49" s="37"/>
      <c r="P49" s="37"/>
      <c r="Q49" s="37"/>
      <c r="R49" s="39"/>
      <c r="S49" s="37"/>
      <c r="T49" s="38" t="s">
        <v>293</v>
      </c>
    </row>
    <row r="50" ht="34.5">
      <c r="A50" s="38" t="s">
        <v>285</v>
      </c>
      <c r="B50" s="38" t="s">
        <v>286</v>
      </c>
      <c r="C50" s="38" t="s">
        <v>350</v>
      </c>
      <c r="D50" s="38" t="s">
        <v>288</v>
      </c>
      <c r="E50" s="38" t="s">
        <v>323</v>
      </c>
      <c r="F50" s="37" t="s">
        <v>324</v>
      </c>
      <c r="G50" s="38" t="s">
        <v>188</v>
      </c>
      <c r="H50" s="37"/>
      <c r="I50" s="37"/>
      <c r="J50" s="37" t="s">
        <v>357</v>
      </c>
      <c r="K50" s="40">
        <v>15162155</v>
      </c>
      <c r="L50" s="38" t="s">
        <v>297</v>
      </c>
      <c r="M50" s="38"/>
      <c r="N50" s="37"/>
      <c r="O50" s="37"/>
      <c r="P50" s="37"/>
      <c r="Q50" s="37"/>
      <c r="R50" s="39"/>
      <c r="S50" s="37"/>
      <c r="T50" s="38" t="s">
        <v>293</v>
      </c>
    </row>
    <row r="51" ht="34.5">
      <c r="A51" s="38" t="s">
        <v>285</v>
      </c>
      <c r="B51" s="38" t="s">
        <v>286</v>
      </c>
      <c r="C51" s="38" t="s">
        <v>350</v>
      </c>
      <c r="D51" s="38" t="s">
        <v>288</v>
      </c>
      <c r="E51" s="38" t="s">
        <v>323</v>
      </c>
      <c r="F51" s="37" t="s">
        <v>324</v>
      </c>
      <c r="G51" s="38" t="s">
        <v>188</v>
      </c>
      <c r="H51" s="37"/>
      <c r="I51" s="37"/>
      <c r="J51" s="37" t="s">
        <v>358</v>
      </c>
      <c r="K51" s="40"/>
      <c r="L51" s="38"/>
      <c r="M51" s="38"/>
      <c r="N51" s="37"/>
      <c r="O51" s="37"/>
      <c r="P51" s="37"/>
      <c r="Q51" s="37"/>
      <c r="R51" s="39"/>
      <c r="S51" s="37"/>
      <c r="T51" s="38" t="s">
        <v>293</v>
      </c>
    </row>
    <row r="52" ht="34.5">
      <c r="A52" s="38" t="s">
        <v>285</v>
      </c>
      <c r="B52" s="38" t="s">
        <v>286</v>
      </c>
      <c r="C52" s="38" t="s">
        <v>350</v>
      </c>
      <c r="D52" s="38" t="s">
        <v>288</v>
      </c>
      <c r="E52" s="38" t="s">
        <v>323</v>
      </c>
      <c r="F52" s="37" t="s">
        <v>324</v>
      </c>
      <c r="G52" s="38" t="s">
        <v>188</v>
      </c>
      <c r="H52" s="37"/>
      <c r="I52" s="37"/>
      <c r="J52" s="37" t="s">
        <v>359</v>
      </c>
      <c r="K52" s="40">
        <v>50014300</v>
      </c>
      <c r="L52" s="38" t="s">
        <v>297</v>
      </c>
      <c r="M52" s="38"/>
      <c r="N52" s="37"/>
      <c r="O52" s="37"/>
      <c r="P52" s="37"/>
      <c r="Q52" s="37"/>
      <c r="R52" s="39"/>
      <c r="S52" s="37"/>
      <c r="T52" s="38" t="s">
        <v>293</v>
      </c>
    </row>
    <row r="53" ht="34.5">
      <c r="A53" s="38" t="s">
        <v>285</v>
      </c>
      <c r="B53" s="38" t="s">
        <v>286</v>
      </c>
      <c r="C53" s="38" t="s">
        <v>360</v>
      </c>
      <c r="D53" s="38" t="s">
        <v>288</v>
      </c>
      <c r="E53" s="38" t="s">
        <v>323</v>
      </c>
      <c r="F53" s="37" t="s">
        <v>324</v>
      </c>
      <c r="G53" s="38" t="s">
        <v>188</v>
      </c>
      <c r="H53" s="37"/>
      <c r="I53" s="37"/>
      <c r="J53" s="37" t="s">
        <v>361</v>
      </c>
      <c r="K53" s="40"/>
      <c r="L53" s="38"/>
      <c r="M53" s="38"/>
      <c r="N53" s="37"/>
      <c r="O53" s="37"/>
      <c r="P53" s="37"/>
      <c r="Q53" s="37"/>
      <c r="R53" s="39"/>
      <c r="S53" s="37"/>
      <c r="T53" s="38" t="s">
        <v>293</v>
      </c>
    </row>
    <row r="54" ht="34.5">
      <c r="A54" s="38" t="s">
        <v>285</v>
      </c>
      <c r="B54" s="38" t="s">
        <v>286</v>
      </c>
      <c r="C54" s="38" t="s">
        <v>360</v>
      </c>
      <c r="D54" s="38" t="s">
        <v>362</v>
      </c>
      <c r="E54" s="38" t="s">
        <v>323</v>
      </c>
      <c r="F54" s="37" t="s">
        <v>324</v>
      </c>
      <c r="G54" s="38" t="s">
        <v>188</v>
      </c>
      <c r="H54" s="37"/>
      <c r="I54" s="37"/>
      <c r="J54" s="37" t="s">
        <v>363</v>
      </c>
      <c r="K54" s="40"/>
      <c r="L54" s="38"/>
      <c r="M54" s="38"/>
      <c r="N54" s="37"/>
      <c r="O54" s="37"/>
      <c r="P54" s="37"/>
      <c r="Q54" s="37"/>
      <c r="R54" s="39"/>
      <c r="S54" s="37"/>
      <c r="T54" s="38" t="s">
        <v>293</v>
      </c>
    </row>
    <row r="55" ht="34.5">
      <c r="A55" s="38" t="s">
        <v>285</v>
      </c>
      <c r="B55" s="38" t="s">
        <v>286</v>
      </c>
      <c r="C55" s="38" t="s">
        <v>364</v>
      </c>
      <c r="D55" s="38" t="s">
        <v>288</v>
      </c>
      <c r="E55" s="38" t="s">
        <v>365</v>
      </c>
      <c r="F55" s="37" t="s">
        <v>366</v>
      </c>
      <c r="G55" s="38" t="s">
        <v>367</v>
      </c>
      <c r="H55" s="37"/>
      <c r="I55" s="37"/>
      <c r="J55" s="37" t="s">
        <v>368</v>
      </c>
      <c r="K55" s="40"/>
      <c r="L55" s="38"/>
      <c r="M55" s="38"/>
      <c r="N55" s="37"/>
      <c r="O55" s="37"/>
      <c r="P55" s="37"/>
      <c r="Q55" s="37"/>
      <c r="R55" s="39"/>
      <c r="S55" s="37"/>
      <c r="T55" s="38" t="s">
        <v>293</v>
      </c>
    </row>
    <row r="56" ht="34.5">
      <c r="A56" s="38" t="s">
        <v>285</v>
      </c>
      <c r="B56" s="38" t="s">
        <v>286</v>
      </c>
      <c r="C56" s="38" t="s">
        <v>364</v>
      </c>
      <c r="D56" s="38" t="s">
        <v>369</v>
      </c>
      <c r="E56" s="38" t="s">
        <v>365</v>
      </c>
      <c r="F56" s="37" t="s">
        <v>366</v>
      </c>
      <c r="G56" s="38" t="s">
        <v>367</v>
      </c>
      <c r="H56" s="37"/>
      <c r="I56" s="37"/>
      <c r="J56" s="37" t="s">
        <v>370</v>
      </c>
      <c r="K56" s="40"/>
      <c r="L56" s="38"/>
      <c r="M56" s="38"/>
      <c r="N56" s="37"/>
      <c r="O56" s="37"/>
      <c r="P56" s="37"/>
      <c r="Q56" s="37"/>
      <c r="R56" s="39"/>
      <c r="S56" s="37"/>
      <c r="T56" s="38" t="s">
        <v>293</v>
      </c>
    </row>
    <row r="57" ht="34.5">
      <c r="A57" s="38" t="s">
        <v>285</v>
      </c>
      <c r="B57" s="38" t="s">
        <v>286</v>
      </c>
      <c r="C57" s="38" t="s">
        <v>364</v>
      </c>
      <c r="D57" s="38" t="s">
        <v>288</v>
      </c>
      <c r="E57" s="38" t="s">
        <v>365</v>
      </c>
      <c r="F57" s="37" t="s">
        <v>366</v>
      </c>
      <c r="G57" s="38" t="s">
        <v>367</v>
      </c>
      <c r="H57" s="37"/>
      <c r="I57" s="37"/>
      <c r="J57" s="37" t="s">
        <v>371</v>
      </c>
      <c r="K57" s="40">
        <v>14356814</v>
      </c>
      <c r="L57" s="38" t="s">
        <v>297</v>
      </c>
      <c r="M57" s="38"/>
      <c r="N57" s="37"/>
      <c r="O57" s="37"/>
      <c r="P57" s="37"/>
      <c r="Q57" s="37"/>
      <c r="R57" s="39"/>
      <c r="S57" s="37"/>
      <c r="T57" s="38" t="s">
        <v>293</v>
      </c>
    </row>
    <row r="58" ht="34.5">
      <c r="A58" s="38" t="s">
        <v>285</v>
      </c>
      <c r="B58" s="38" t="s">
        <v>286</v>
      </c>
      <c r="C58" s="38" t="s">
        <v>372</v>
      </c>
      <c r="D58" s="38" t="s">
        <v>288</v>
      </c>
      <c r="E58" s="38" t="s">
        <v>373</v>
      </c>
      <c r="F58" s="37" t="s">
        <v>374</v>
      </c>
      <c r="G58" s="38" t="s">
        <v>70</v>
      </c>
      <c r="H58" s="37"/>
      <c r="I58" s="37"/>
      <c r="J58" s="37" t="s">
        <v>375</v>
      </c>
      <c r="K58" s="40"/>
      <c r="L58" s="38"/>
      <c r="M58" s="38"/>
      <c r="N58" s="37"/>
      <c r="O58" s="37"/>
      <c r="P58" s="37"/>
      <c r="Q58" s="37"/>
      <c r="R58" s="39"/>
      <c r="S58" s="37"/>
      <c r="T58" s="38" t="s">
        <v>293</v>
      </c>
    </row>
    <row r="59" ht="34.5">
      <c r="A59" s="38" t="s">
        <v>285</v>
      </c>
      <c r="B59" s="38" t="s">
        <v>286</v>
      </c>
      <c r="C59" s="38" t="s">
        <v>372</v>
      </c>
      <c r="D59" s="38" t="s">
        <v>376</v>
      </c>
      <c r="E59" s="38" t="s">
        <v>373</v>
      </c>
      <c r="F59" s="37" t="s">
        <v>374</v>
      </c>
      <c r="G59" s="38" t="s">
        <v>70</v>
      </c>
      <c r="H59" s="37"/>
      <c r="I59" s="37"/>
      <c r="J59" s="37" t="s">
        <v>377</v>
      </c>
      <c r="K59" s="40"/>
      <c r="L59" s="38"/>
      <c r="M59" s="38"/>
      <c r="N59" s="37"/>
      <c r="O59" s="37"/>
      <c r="P59" s="37"/>
      <c r="Q59" s="37"/>
      <c r="R59" s="39"/>
      <c r="S59" s="37"/>
      <c r="T59" s="38" t="s">
        <v>293</v>
      </c>
    </row>
    <row r="60" ht="34.5">
      <c r="A60" s="38" t="s">
        <v>285</v>
      </c>
      <c r="B60" s="38" t="s">
        <v>286</v>
      </c>
      <c r="C60" s="38" t="s">
        <v>372</v>
      </c>
      <c r="D60" s="38" t="s">
        <v>288</v>
      </c>
      <c r="E60" s="38" t="s">
        <v>378</v>
      </c>
      <c r="F60" s="37" t="s">
        <v>379</v>
      </c>
      <c r="G60" s="38" t="s">
        <v>380</v>
      </c>
      <c r="H60" s="37"/>
      <c r="I60" s="37"/>
      <c r="J60" s="37" t="s">
        <v>381</v>
      </c>
      <c r="K60" s="40"/>
      <c r="L60" s="38"/>
      <c r="M60" s="38"/>
      <c r="N60" s="37"/>
      <c r="O60" s="37"/>
      <c r="P60" s="37"/>
      <c r="Q60" s="37"/>
      <c r="R60" s="39"/>
      <c r="S60" s="37"/>
      <c r="T60" s="38" t="s">
        <v>293</v>
      </c>
    </row>
    <row r="61" ht="34.5">
      <c r="A61" s="38" t="s">
        <v>285</v>
      </c>
      <c r="B61" s="38" t="s">
        <v>286</v>
      </c>
      <c r="C61" s="38" t="s">
        <v>372</v>
      </c>
      <c r="D61" s="38" t="s">
        <v>382</v>
      </c>
      <c r="E61" s="38" t="s">
        <v>378</v>
      </c>
      <c r="F61" s="37" t="s">
        <v>379</v>
      </c>
      <c r="G61" s="38" t="s">
        <v>380</v>
      </c>
      <c r="H61" s="37"/>
      <c r="I61" s="37"/>
      <c r="J61" s="37" t="s">
        <v>383</v>
      </c>
      <c r="K61" s="40"/>
      <c r="L61" s="38"/>
      <c r="M61" s="38"/>
      <c r="N61" s="37"/>
      <c r="O61" s="37"/>
      <c r="P61" s="37"/>
      <c r="Q61" s="37"/>
      <c r="R61" s="39"/>
      <c r="S61" s="37"/>
      <c r="T61" s="38" t="s">
        <v>293</v>
      </c>
    </row>
    <row r="62" ht="34.5">
      <c r="A62" s="38" t="s">
        <v>285</v>
      </c>
      <c r="B62" s="38" t="s">
        <v>286</v>
      </c>
      <c r="C62" s="38" t="s">
        <v>384</v>
      </c>
      <c r="D62" s="38" t="s">
        <v>385</v>
      </c>
      <c r="E62" s="38" t="s">
        <v>378</v>
      </c>
      <c r="F62" s="37" t="s">
        <v>379</v>
      </c>
      <c r="G62" s="38" t="s">
        <v>380</v>
      </c>
      <c r="H62" s="37"/>
      <c r="I62" s="37"/>
      <c r="J62" s="37" t="s">
        <v>386</v>
      </c>
      <c r="K62" s="40"/>
      <c r="L62" s="38"/>
      <c r="M62" s="38"/>
      <c r="N62" s="37"/>
      <c r="O62" s="37"/>
      <c r="P62" s="37"/>
      <c r="Q62" s="37"/>
      <c r="R62" s="39"/>
      <c r="S62" s="37"/>
      <c r="T62" s="38" t="s">
        <v>293</v>
      </c>
    </row>
    <row r="63" ht="34.5">
      <c r="A63" s="38" t="s">
        <v>285</v>
      </c>
      <c r="B63" s="38" t="s">
        <v>286</v>
      </c>
      <c r="C63" s="38" t="s">
        <v>384</v>
      </c>
      <c r="D63" s="38" t="s">
        <v>288</v>
      </c>
      <c r="E63" s="38" t="s">
        <v>378</v>
      </c>
      <c r="F63" s="37" t="s">
        <v>379</v>
      </c>
      <c r="G63" s="38" t="s">
        <v>380</v>
      </c>
      <c r="H63" s="37"/>
      <c r="I63" s="37"/>
      <c r="J63" s="37" t="s">
        <v>387</v>
      </c>
      <c r="K63" s="40"/>
      <c r="L63" s="38"/>
      <c r="M63" s="38"/>
      <c r="N63" s="37"/>
      <c r="O63" s="37"/>
      <c r="P63" s="37"/>
      <c r="Q63" s="37"/>
      <c r="R63" s="39"/>
      <c r="S63" s="37"/>
      <c r="T63" s="38" t="s">
        <v>293</v>
      </c>
    </row>
    <row r="64" ht="34.5">
      <c r="A64" s="38" t="s">
        <v>285</v>
      </c>
      <c r="B64" s="38" t="s">
        <v>286</v>
      </c>
      <c r="C64" s="38" t="s">
        <v>384</v>
      </c>
      <c r="D64" s="38" t="s">
        <v>388</v>
      </c>
      <c r="E64" s="38" t="s">
        <v>378</v>
      </c>
      <c r="F64" s="37" t="s">
        <v>379</v>
      </c>
      <c r="G64" s="38" t="s">
        <v>380</v>
      </c>
      <c r="H64" s="37"/>
      <c r="I64" s="37"/>
      <c r="J64" s="37" t="s">
        <v>389</v>
      </c>
      <c r="K64" s="40"/>
      <c r="L64" s="38"/>
      <c r="M64" s="38"/>
      <c r="N64" s="37"/>
      <c r="O64" s="37"/>
      <c r="P64" s="37"/>
      <c r="Q64" s="37"/>
      <c r="R64" s="39"/>
      <c r="S64" s="37"/>
      <c r="T64" s="38" t="s">
        <v>293</v>
      </c>
    </row>
    <row r="65" ht="34.5">
      <c r="A65" s="38" t="s">
        <v>285</v>
      </c>
      <c r="B65" s="38" t="s">
        <v>286</v>
      </c>
      <c r="C65" s="38" t="s">
        <v>384</v>
      </c>
      <c r="D65" s="38" t="s">
        <v>288</v>
      </c>
      <c r="E65" s="38" t="s">
        <v>378</v>
      </c>
      <c r="F65" s="37" t="s">
        <v>379</v>
      </c>
      <c r="G65" s="38" t="s">
        <v>380</v>
      </c>
      <c r="H65" s="37"/>
      <c r="I65" s="37"/>
      <c r="J65" s="37" t="s">
        <v>390</v>
      </c>
      <c r="K65" s="40"/>
      <c r="L65" s="38"/>
      <c r="M65" s="38"/>
      <c r="N65" s="37"/>
      <c r="O65" s="37"/>
      <c r="P65" s="37"/>
      <c r="Q65" s="37"/>
      <c r="R65" s="39"/>
      <c r="S65" s="37"/>
      <c r="T65" s="38" t="s">
        <v>293</v>
      </c>
    </row>
    <row r="66" ht="34.5">
      <c r="A66" s="38" t="s">
        <v>285</v>
      </c>
      <c r="B66" s="38" t="s">
        <v>286</v>
      </c>
      <c r="C66" s="38" t="s">
        <v>384</v>
      </c>
      <c r="D66" s="38" t="s">
        <v>288</v>
      </c>
      <c r="E66" s="38" t="s">
        <v>378</v>
      </c>
      <c r="F66" s="37" t="s">
        <v>379</v>
      </c>
      <c r="G66" s="38" t="s">
        <v>380</v>
      </c>
      <c r="H66" s="37"/>
      <c r="I66" s="37"/>
      <c r="J66" s="37" t="s">
        <v>391</v>
      </c>
      <c r="K66" s="40"/>
      <c r="L66" s="38"/>
      <c r="M66" s="38"/>
      <c r="N66" s="37"/>
      <c r="O66" s="37"/>
      <c r="P66" s="37"/>
      <c r="Q66" s="37"/>
      <c r="R66" s="39"/>
      <c r="S66" s="37"/>
      <c r="T66" s="38" t="s">
        <v>293</v>
      </c>
    </row>
    <row r="67" ht="34.5">
      <c r="A67" s="38" t="s">
        <v>285</v>
      </c>
      <c r="B67" s="38" t="s">
        <v>286</v>
      </c>
      <c r="C67" s="38" t="s">
        <v>384</v>
      </c>
      <c r="D67" s="38" t="s">
        <v>392</v>
      </c>
      <c r="E67" s="38" t="s">
        <v>378</v>
      </c>
      <c r="F67" s="37" t="s">
        <v>379</v>
      </c>
      <c r="G67" s="38" t="s">
        <v>380</v>
      </c>
      <c r="H67" s="37"/>
      <c r="I67" s="37"/>
      <c r="J67" s="37" t="s">
        <v>393</v>
      </c>
      <c r="K67" s="40"/>
      <c r="L67" s="38"/>
      <c r="M67" s="38"/>
      <c r="N67" s="37"/>
      <c r="O67" s="37"/>
      <c r="P67" s="37"/>
      <c r="Q67" s="37"/>
      <c r="R67" s="39"/>
      <c r="S67" s="37"/>
      <c r="T67" s="38" t="s">
        <v>293</v>
      </c>
    </row>
    <row r="68" ht="34.5">
      <c r="A68" s="38" t="s">
        <v>285</v>
      </c>
      <c r="B68" s="38" t="s">
        <v>286</v>
      </c>
      <c r="C68" s="38" t="s">
        <v>394</v>
      </c>
      <c r="D68" s="38" t="s">
        <v>288</v>
      </c>
      <c r="E68" s="38" t="s">
        <v>378</v>
      </c>
      <c r="F68" s="37" t="s">
        <v>379</v>
      </c>
      <c r="G68" s="38" t="s">
        <v>380</v>
      </c>
      <c r="H68" s="37"/>
      <c r="I68" s="37"/>
      <c r="J68" s="37" t="s">
        <v>395</v>
      </c>
      <c r="K68" s="40"/>
      <c r="L68" s="38"/>
      <c r="M68" s="38"/>
      <c r="N68" s="37"/>
      <c r="O68" s="37"/>
      <c r="P68" s="37"/>
      <c r="Q68" s="37"/>
      <c r="R68" s="39"/>
      <c r="S68" s="37"/>
      <c r="T68" s="38" t="s">
        <v>293</v>
      </c>
    </row>
    <row r="69" ht="34.5">
      <c r="A69" s="38" t="s">
        <v>285</v>
      </c>
      <c r="B69" s="38" t="s">
        <v>286</v>
      </c>
      <c r="C69" s="38" t="s">
        <v>394</v>
      </c>
      <c r="D69" s="38" t="s">
        <v>288</v>
      </c>
      <c r="E69" s="38" t="s">
        <v>378</v>
      </c>
      <c r="F69" s="37" t="s">
        <v>379</v>
      </c>
      <c r="G69" s="38" t="s">
        <v>380</v>
      </c>
      <c r="H69" s="37"/>
      <c r="I69" s="37"/>
      <c r="J69" s="37" t="s">
        <v>396</v>
      </c>
      <c r="K69" s="40"/>
      <c r="L69" s="38"/>
      <c r="M69" s="38"/>
      <c r="N69" s="37"/>
      <c r="O69" s="37"/>
      <c r="P69" s="37"/>
      <c r="Q69" s="37"/>
      <c r="R69" s="39"/>
      <c r="S69" s="37"/>
      <c r="T69" s="38" t="s">
        <v>293</v>
      </c>
    </row>
    <row r="70" ht="34.5">
      <c r="A70" s="38" t="s">
        <v>285</v>
      </c>
      <c r="B70" s="38" t="s">
        <v>286</v>
      </c>
      <c r="C70" s="38" t="s">
        <v>394</v>
      </c>
      <c r="D70" s="38" t="s">
        <v>288</v>
      </c>
      <c r="E70" s="38" t="s">
        <v>378</v>
      </c>
      <c r="F70" s="37" t="s">
        <v>379</v>
      </c>
      <c r="G70" s="38" t="s">
        <v>380</v>
      </c>
      <c r="H70" s="37"/>
      <c r="I70" s="37"/>
      <c r="J70" s="37" t="s">
        <v>397</v>
      </c>
      <c r="K70" s="40"/>
      <c r="L70" s="38"/>
      <c r="M70" s="38"/>
      <c r="N70" s="37"/>
      <c r="O70" s="37"/>
      <c r="P70" s="37"/>
      <c r="Q70" s="37"/>
      <c r="R70" s="39"/>
      <c r="S70" s="37"/>
      <c r="T70" s="38" t="s">
        <v>293</v>
      </c>
    </row>
    <row r="71" ht="34.5">
      <c r="A71" s="38" t="s">
        <v>285</v>
      </c>
      <c r="B71" s="38" t="s">
        <v>286</v>
      </c>
      <c r="C71" s="38" t="s">
        <v>394</v>
      </c>
      <c r="D71" s="38" t="s">
        <v>288</v>
      </c>
      <c r="E71" s="38" t="s">
        <v>398</v>
      </c>
      <c r="F71" s="37" t="s">
        <v>399</v>
      </c>
      <c r="G71" s="38" t="s">
        <v>400</v>
      </c>
      <c r="H71" s="37"/>
      <c r="I71" s="37"/>
      <c r="J71" s="37" t="s">
        <v>401</v>
      </c>
      <c r="K71" s="40"/>
      <c r="L71" s="38"/>
      <c r="M71" s="38"/>
      <c r="N71" s="37"/>
      <c r="O71" s="37"/>
      <c r="P71" s="37"/>
      <c r="Q71" s="37"/>
      <c r="R71" s="39"/>
      <c r="S71" s="37"/>
      <c r="T71" s="38" t="s">
        <v>293</v>
      </c>
    </row>
    <row r="72" ht="34.5">
      <c r="A72" s="38" t="s">
        <v>285</v>
      </c>
      <c r="B72" s="38" t="s">
        <v>286</v>
      </c>
      <c r="C72" s="38" t="s">
        <v>394</v>
      </c>
      <c r="D72" s="38" t="s">
        <v>402</v>
      </c>
      <c r="E72" s="38" t="s">
        <v>398</v>
      </c>
      <c r="F72" s="37" t="s">
        <v>399</v>
      </c>
      <c r="G72" s="38" t="s">
        <v>400</v>
      </c>
      <c r="H72" s="37"/>
      <c r="I72" s="37"/>
      <c r="J72" s="37" t="s">
        <v>403</v>
      </c>
      <c r="K72" s="40"/>
      <c r="L72" s="38"/>
      <c r="M72" s="38"/>
      <c r="N72" s="37"/>
      <c r="O72" s="37"/>
      <c r="P72" s="37"/>
      <c r="Q72" s="37"/>
      <c r="R72" s="39"/>
      <c r="S72" s="37"/>
      <c r="T72" s="38" t="s">
        <v>293</v>
      </c>
    </row>
    <row r="73" ht="34.5">
      <c r="A73" s="38" t="s">
        <v>285</v>
      </c>
      <c r="B73" s="38" t="s">
        <v>286</v>
      </c>
      <c r="C73" s="38" t="s">
        <v>394</v>
      </c>
      <c r="D73" s="38" t="s">
        <v>288</v>
      </c>
      <c r="E73" s="38" t="s">
        <v>398</v>
      </c>
      <c r="F73" s="37" t="s">
        <v>399</v>
      </c>
      <c r="G73" s="38" t="s">
        <v>400</v>
      </c>
      <c r="H73" s="37"/>
      <c r="I73" s="37"/>
      <c r="J73" s="37" t="s">
        <v>404</v>
      </c>
      <c r="K73" s="40"/>
      <c r="L73" s="38"/>
      <c r="M73" s="38"/>
      <c r="N73" s="37"/>
      <c r="O73" s="37"/>
      <c r="P73" s="37"/>
      <c r="Q73" s="37"/>
      <c r="R73" s="39"/>
      <c r="S73" s="37"/>
      <c r="T73" s="38" t="s">
        <v>293</v>
      </c>
    </row>
    <row r="74" ht="34.5">
      <c r="A74" s="38" t="s">
        <v>285</v>
      </c>
      <c r="B74" s="38" t="s">
        <v>286</v>
      </c>
      <c r="C74" s="38" t="s">
        <v>394</v>
      </c>
      <c r="D74" s="38" t="s">
        <v>405</v>
      </c>
      <c r="E74" s="38" t="s">
        <v>398</v>
      </c>
      <c r="F74" s="37" t="s">
        <v>399</v>
      </c>
      <c r="G74" s="38" t="s">
        <v>400</v>
      </c>
      <c r="H74" s="37"/>
      <c r="I74" s="37"/>
      <c r="J74" s="37" t="s">
        <v>406</v>
      </c>
      <c r="K74" s="40"/>
      <c r="L74" s="38"/>
      <c r="M74" s="38"/>
      <c r="N74" s="37"/>
      <c r="O74" s="37"/>
      <c r="P74" s="37"/>
      <c r="Q74" s="37"/>
      <c r="R74" s="39"/>
      <c r="S74" s="37"/>
      <c r="T74" s="38" t="s">
        <v>293</v>
      </c>
    </row>
    <row r="75" ht="34.5">
      <c r="A75" s="38" t="s">
        <v>285</v>
      </c>
      <c r="B75" s="38" t="s">
        <v>286</v>
      </c>
      <c r="C75" s="38" t="s">
        <v>407</v>
      </c>
      <c r="D75" s="38" t="s">
        <v>408</v>
      </c>
      <c r="E75" s="38" t="s">
        <v>398</v>
      </c>
      <c r="F75" s="37" t="s">
        <v>399</v>
      </c>
      <c r="G75" s="38" t="s">
        <v>400</v>
      </c>
      <c r="H75" s="37"/>
      <c r="I75" s="37"/>
      <c r="J75" s="37" t="s">
        <v>409</v>
      </c>
      <c r="K75" s="40"/>
      <c r="L75" s="38"/>
      <c r="M75" s="38"/>
      <c r="N75" s="37"/>
      <c r="O75" s="37"/>
      <c r="P75" s="37"/>
      <c r="Q75" s="37"/>
      <c r="R75" s="39"/>
      <c r="S75" s="37"/>
      <c r="T75" s="38" t="s">
        <v>293</v>
      </c>
    </row>
    <row r="76" ht="34.5">
      <c r="A76" s="38" t="s">
        <v>285</v>
      </c>
      <c r="B76" s="38" t="s">
        <v>286</v>
      </c>
      <c r="C76" s="38" t="s">
        <v>407</v>
      </c>
      <c r="D76" s="38" t="s">
        <v>288</v>
      </c>
      <c r="E76" s="38" t="s">
        <v>398</v>
      </c>
      <c r="F76" s="37" t="s">
        <v>399</v>
      </c>
      <c r="G76" s="38" t="s">
        <v>400</v>
      </c>
      <c r="H76" s="37"/>
      <c r="I76" s="37"/>
      <c r="J76" s="37" t="s">
        <v>410</v>
      </c>
      <c r="K76" s="40"/>
      <c r="L76" s="38"/>
      <c r="M76" s="38"/>
      <c r="N76" s="37"/>
      <c r="O76" s="37"/>
      <c r="P76" s="37"/>
      <c r="Q76" s="37"/>
      <c r="R76" s="39"/>
      <c r="S76" s="37"/>
      <c r="T76" s="38" t="s">
        <v>293</v>
      </c>
    </row>
    <row r="77" ht="34.5">
      <c r="A77" s="38" t="s">
        <v>285</v>
      </c>
      <c r="B77" s="38" t="s">
        <v>286</v>
      </c>
      <c r="C77" s="38" t="s">
        <v>407</v>
      </c>
      <c r="D77" s="38" t="s">
        <v>411</v>
      </c>
      <c r="E77" s="38" t="s">
        <v>398</v>
      </c>
      <c r="F77" s="37" t="s">
        <v>399</v>
      </c>
      <c r="G77" s="38" t="s">
        <v>400</v>
      </c>
      <c r="H77" s="37"/>
      <c r="I77" s="37"/>
      <c r="J77" s="37" t="s">
        <v>412</v>
      </c>
      <c r="K77" s="40"/>
      <c r="L77" s="38"/>
      <c r="M77" s="38"/>
      <c r="N77" s="37"/>
      <c r="O77" s="37"/>
      <c r="P77" s="37"/>
      <c r="Q77" s="37"/>
      <c r="R77" s="39"/>
      <c r="S77" s="37"/>
      <c r="T77" s="38" t="s">
        <v>293</v>
      </c>
    </row>
    <row r="78" ht="34.5">
      <c r="A78" s="38" t="s">
        <v>285</v>
      </c>
      <c r="B78" s="38" t="s">
        <v>286</v>
      </c>
      <c r="C78" s="38" t="s">
        <v>407</v>
      </c>
      <c r="D78" s="38" t="s">
        <v>288</v>
      </c>
      <c r="E78" s="38" t="s">
        <v>398</v>
      </c>
      <c r="F78" s="37" t="s">
        <v>399</v>
      </c>
      <c r="G78" s="38" t="s">
        <v>400</v>
      </c>
      <c r="H78" s="37"/>
      <c r="I78" s="37"/>
      <c r="J78" s="37" t="s">
        <v>413</v>
      </c>
      <c r="K78" s="40"/>
      <c r="L78" s="38"/>
      <c r="M78" s="38"/>
      <c r="N78" s="37"/>
      <c r="O78" s="37"/>
      <c r="P78" s="37"/>
      <c r="Q78" s="37"/>
      <c r="R78" s="39"/>
      <c r="S78" s="37"/>
      <c r="T78" s="38" t="s">
        <v>293</v>
      </c>
    </row>
    <row r="79" ht="34.5">
      <c r="A79" s="38" t="s">
        <v>285</v>
      </c>
      <c r="B79" s="38" t="s">
        <v>286</v>
      </c>
      <c r="C79" s="38" t="s">
        <v>407</v>
      </c>
      <c r="D79" s="38" t="s">
        <v>288</v>
      </c>
      <c r="E79" s="38" t="s">
        <v>398</v>
      </c>
      <c r="F79" s="37" t="s">
        <v>399</v>
      </c>
      <c r="G79" s="38" t="s">
        <v>400</v>
      </c>
      <c r="H79" s="37"/>
      <c r="I79" s="37"/>
      <c r="J79" s="37" t="s">
        <v>414</v>
      </c>
      <c r="K79" s="40"/>
      <c r="L79" s="38"/>
      <c r="M79" s="38"/>
      <c r="N79" s="37"/>
      <c r="O79" s="37"/>
      <c r="P79" s="37"/>
      <c r="Q79" s="37"/>
      <c r="R79" s="39"/>
      <c r="S79" s="37"/>
      <c r="T79" s="38" t="s">
        <v>293</v>
      </c>
    </row>
    <row r="80" ht="34.5">
      <c r="A80" s="38" t="s">
        <v>285</v>
      </c>
      <c r="B80" s="38" t="s">
        <v>286</v>
      </c>
      <c r="C80" s="38" t="s">
        <v>407</v>
      </c>
      <c r="D80" s="38" t="s">
        <v>288</v>
      </c>
      <c r="E80" s="38" t="s">
        <v>398</v>
      </c>
      <c r="F80" s="37" t="s">
        <v>399</v>
      </c>
      <c r="G80" s="38" t="s">
        <v>400</v>
      </c>
      <c r="H80" s="37"/>
      <c r="I80" s="37"/>
      <c r="J80" s="37" t="s">
        <v>415</v>
      </c>
      <c r="K80" s="40"/>
      <c r="L80" s="38"/>
      <c r="M80" s="38"/>
      <c r="N80" s="37"/>
      <c r="O80" s="37"/>
      <c r="P80" s="37"/>
      <c r="Q80" s="37"/>
      <c r="R80" s="39"/>
      <c r="S80" s="37"/>
      <c r="T80" s="38" t="s">
        <v>293</v>
      </c>
    </row>
    <row r="81" ht="34.5">
      <c r="A81" s="38" t="s">
        <v>285</v>
      </c>
      <c r="B81" s="38" t="s">
        <v>286</v>
      </c>
      <c r="C81" s="38" t="s">
        <v>407</v>
      </c>
      <c r="D81" s="38" t="s">
        <v>288</v>
      </c>
      <c r="E81" s="38" t="s">
        <v>398</v>
      </c>
      <c r="F81" s="37" t="s">
        <v>399</v>
      </c>
      <c r="G81" s="38" t="s">
        <v>400</v>
      </c>
      <c r="H81" s="37"/>
      <c r="I81" s="37"/>
      <c r="J81" s="37" t="s">
        <v>416</v>
      </c>
      <c r="K81" s="40"/>
      <c r="L81" s="38"/>
      <c r="M81" s="38"/>
      <c r="N81" s="37"/>
      <c r="O81" s="37"/>
      <c r="P81" s="37"/>
      <c r="Q81" s="37"/>
      <c r="R81" s="39"/>
      <c r="S81" s="37"/>
      <c r="T81" s="38" t="s">
        <v>293</v>
      </c>
    </row>
    <row r="82" ht="34.5">
      <c r="A82" s="38" t="s">
        <v>285</v>
      </c>
      <c r="B82" s="38" t="s">
        <v>286</v>
      </c>
      <c r="C82" s="38" t="s">
        <v>407</v>
      </c>
      <c r="D82" s="38" t="s">
        <v>288</v>
      </c>
      <c r="E82" s="38" t="s">
        <v>398</v>
      </c>
      <c r="F82" s="37" t="s">
        <v>399</v>
      </c>
      <c r="G82" s="38" t="s">
        <v>400</v>
      </c>
      <c r="H82" s="37"/>
      <c r="I82" s="37"/>
      <c r="J82" s="37" t="s">
        <v>417</v>
      </c>
      <c r="K82" s="40"/>
      <c r="L82" s="38"/>
      <c r="M82" s="38"/>
      <c r="N82" s="37"/>
      <c r="O82" s="37"/>
      <c r="P82" s="37"/>
      <c r="Q82" s="37"/>
      <c r="R82" s="39"/>
      <c r="S82" s="37"/>
      <c r="T82" s="38" t="s">
        <v>293</v>
      </c>
    </row>
    <row r="83" ht="34.5">
      <c r="A83" s="38" t="s">
        <v>285</v>
      </c>
      <c r="B83" s="38" t="s">
        <v>286</v>
      </c>
      <c r="C83" s="38" t="s">
        <v>418</v>
      </c>
      <c r="D83" s="38" t="s">
        <v>288</v>
      </c>
      <c r="E83" s="38" t="s">
        <v>398</v>
      </c>
      <c r="F83" s="37" t="s">
        <v>399</v>
      </c>
      <c r="G83" s="38" t="s">
        <v>400</v>
      </c>
      <c r="H83" s="37"/>
      <c r="I83" s="37"/>
      <c r="J83" s="37" t="s">
        <v>419</v>
      </c>
      <c r="K83" s="40"/>
      <c r="L83" s="38"/>
      <c r="M83" s="38"/>
      <c r="N83" s="37"/>
      <c r="O83" s="37"/>
      <c r="P83" s="37"/>
      <c r="Q83" s="37"/>
      <c r="R83" s="39"/>
      <c r="S83" s="37"/>
      <c r="T83" s="38" t="s">
        <v>293</v>
      </c>
    </row>
    <row r="84" ht="34.5">
      <c r="A84" s="38" t="s">
        <v>285</v>
      </c>
      <c r="B84" s="38" t="s">
        <v>286</v>
      </c>
      <c r="C84" s="38" t="s">
        <v>418</v>
      </c>
      <c r="D84" s="38" t="s">
        <v>288</v>
      </c>
      <c r="E84" s="38" t="s">
        <v>398</v>
      </c>
      <c r="F84" s="37" t="s">
        <v>399</v>
      </c>
      <c r="G84" s="38" t="s">
        <v>400</v>
      </c>
      <c r="H84" s="37"/>
      <c r="I84" s="37"/>
      <c r="J84" s="37" t="s">
        <v>420</v>
      </c>
      <c r="K84" s="40"/>
      <c r="L84" s="38"/>
      <c r="M84" s="38"/>
      <c r="N84" s="37"/>
      <c r="O84" s="37"/>
      <c r="P84" s="37"/>
      <c r="Q84" s="37"/>
      <c r="R84" s="39"/>
      <c r="S84" s="37"/>
      <c r="T84" s="38" t="s">
        <v>293</v>
      </c>
    </row>
    <row r="85" ht="34.5">
      <c r="A85" s="38" t="s">
        <v>285</v>
      </c>
      <c r="B85" s="38" t="s">
        <v>286</v>
      </c>
      <c r="C85" s="38" t="s">
        <v>418</v>
      </c>
      <c r="D85" s="38" t="s">
        <v>421</v>
      </c>
      <c r="E85" s="38" t="s">
        <v>398</v>
      </c>
      <c r="F85" s="37" t="s">
        <v>399</v>
      </c>
      <c r="G85" s="38" t="s">
        <v>400</v>
      </c>
      <c r="H85" s="37"/>
      <c r="I85" s="37"/>
      <c r="J85" s="37" t="s">
        <v>422</v>
      </c>
      <c r="K85" s="40"/>
      <c r="L85" s="38"/>
      <c r="M85" s="38"/>
      <c r="N85" s="37"/>
      <c r="O85" s="37"/>
      <c r="P85" s="37"/>
      <c r="Q85" s="37"/>
      <c r="R85" s="39"/>
      <c r="S85" s="37"/>
      <c r="T85" s="38" t="s">
        <v>293</v>
      </c>
    </row>
    <row r="86" ht="34.5">
      <c r="A86" s="38" t="s">
        <v>285</v>
      </c>
      <c r="B86" s="38" t="s">
        <v>286</v>
      </c>
      <c r="C86" s="38" t="s">
        <v>418</v>
      </c>
      <c r="D86" s="38" t="s">
        <v>288</v>
      </c>
      <c r="E86" s="38" t="s">
        <v>398</v>
      </c>
      <c r="F86" s="37" t="s">
        <v>399</v>
      </c>
      <c r="G86" s="38" t="s">
        <v>400</v>
      </c>
      <c r="H86" s="37"/>
      <c r="I86" s="37"/>
      <c r="J86" s="37" t="s">
        <v>423</v>
      </c>
      <c r="K86" s="40"/>
      <c r="L86" s="38"/>
      <c r="M86" s="38"/>
      <c r="N86" s="37"/>
      <c r="O86" s="37"/>
      <c r="P86" s="37"/>
      <c r="Q86" s="37"/>
      <c r="R86" s="39"/>
      <c r="S86" s="37"/>
      <c r="T86" s="38" t="s">
        <v>293</v>
      </c>
    </row>
    <row r="87" ht="34.5">
      <c r="A87" s="38" t="s">
        <v>285</v>
      </c>
      <c r="B87" s="38" t="s">
        <v>286</v>
      </c>
      <c r="C87" s="38" t="s">
        <v>418</v>
      </c>
      <c r="D87" s="38" t="s">
        <v>288</v>
      </c>
      <c r="E87" s="38" t="s">
        <v>398</v>
      </c>
      <c r="F87" s="37" t="s">
        <v>399</v>
      </c>
      <c r="G87" s="38" t="s">
        <v>400</v>
      </c>
      <c r="H87" s="37"/>
      <c r="I87" s="37"/>
      <c r="J87" s="37" t="s">
        <v>424</v>
      </c>
      <c r="K87" s="40"/>
      <c r="L87" s="38"/>
      <c r="M87" s="38"/>
      <c r="N87" s="37"/>
      <c r="O87" s="37"/>
      <c r="P87" s="37"/>
      <c r="Q87" s="37"/>
      <c r="R87" s="39"/>
      <c r="S87" s="37"/>
      <c r="T87" s="38" t="s">
        <v>293</v>
      </c>
    </row>
    <row r="88" ht="34.5">
      <c r="A88" s="38" t="s">
        <v>285</v>
      </c>
      <c r="B88" s="38" t="s">
        <v>286</v>
      </c>
      <c r="C88" s="38" t="s">
        <v>418</v>
      </c>
      <c r="D88" s="38" t="s">
        <v>288</v>
      </c>
      <c r="E88" s="38" t="s">
        <v>398</v>
      </c>
      <c r="F88" s="37" t="s">
        <v>399</v>
      </c>
      <c r="G88" s="38" t="s">
        <v>400</v>
      </c>
      <c r="H88" s="37"/>
      <c r="I88" s="37"/>
      <c r="J88" s="37" t="s">
        <v>425</v>
      </c>
      <c r="K88" s="40"/>
      <c r="L88" s="38"/>
      <c r="M88" s="38"/>
      <c r="N88" s="37"/>
      <c r="O88" s="37"/>
      <c r="P88" s="37"/>
      <c r="Q88" s="37"/>
      <c r="R88" s="39"/>
      <c r="S88" s="37"/>
      <c r="T88" s="38" t="s">
        <v>293</v>
      </c>
    </row>
    <row r="89" ht="34.5">
      <c r="A89" s="38" t="s">
        <v>285</v>
      </c>
      <c r="B89" s="38" t="s">
        <v>286</v>
      </c>
      <c r="C89" s="38" t="s">
        <v>418</v>
      </c>
      <c r="D89" s="38" t="s">
        <v>288</v>
      </c>
      <c r="E89" s="38" t="s">
        <v>398</v>
      </c>
      <c r="F89" s="37" t="s">
        <v>399</v>
      </c>
      <c r="G89" s="38" t="s">
        <v>400</v>
      </c>
      <c r="H89" s="37"/>
      <c r="I89" s="37"/>
      <c r="J89" s="37" t="s">
        <v>426</v>
      </c>
      <c r="K89" s="40"/>
      <c r="L89" s="38"/>
      <c r="M89" s="38"/>
      <c r="N89" s="37"/>
      <c r="O89" s="37"/>
      <c r="P89" s="37"/>
      <c r="Q89" s="37"/>
      <c r="R89" s="39"/>
      <c r="S89" s="37"/>
      <c r="T89" s="38" t="s">
        <v>293</v>
      </c>
    </row>
    <row r="90" ht="34.5">
      <c r="A90" s="38" t="s">
        <v>285</v>
      </c>
      <c r="B90" s="38" t="s">
        <v>286</v>
      </c>
      <c r="C90" s="38" t="s">
        <v>418</v>
      </c>
      <c r="D90" s="38" t="s">
        <v>288</v>
      </c>
      <c r="E90" s="38" t="s">
        <v>398</v>
      </c>
      <c r="F90" s="37" t="s">
        <v>399</v>
      </c>
      <c r="G90" s="38" t="s">
        <v>400</v>
      </c>
      <c r="H90" s="37"/>
      <c r="I90" s="37"/>
      <c r="J90" s="37" t="s">
        <v>427</v>
      </c>
      <c r="K90" s="40"/>
      <c r="L90" s="38"/>
      <c r="M90" s="38"/>
      <c r="N90" s="37"/>
      <c r="O90" s="37"/>
      <c r="P90" s="37"/>
      <c r="Q90" s="37"/>
      <c r="R90" s="39"/>
      <c r="S90" s="37"/>
      <c r="T90" s="38" t="s">
        <v>293</v>
      </c>
    </row>
    <row r="91" ht="34.5">
      <c r="A91" s="38" t="s">
        <v>285</v>
      </c>
      <c r="B91" s="38" t="s">
        <v>286</v>
      </c>
      <c r="C91" s="38" t="s">
        <v>428</v>
      </c>
      <c r="D91" s="38" t="s">
        <v>288</v>
      </c>
      <c r="E91" s="38" t="s">
        <v>398</v>
      </c>
      <c r="F91" s="37" t="s">
        <v>399</v>
      </c>
      <c r="G91" s="38" t="s">
        <v>400</v>
      </c>
      <c r="H91" s="37"/>
      <c r="I91" s="37"/>
      <c r="J91" s="37" t="s">
        <v>429</v>
      </c>
      <c r="K91" s="40"/>
      <c r="L91" s="38"/>
      <c r="M91" s="38"/>
      <c r="N91" s="37"/>
      <c r="O91" s="37"/>
      <c r="P91" s="37"/>
      <c r="Q91" s="37"/>
      <c r="R91" s="39"/>
      <c r="S91" s="37"/>
      <c r="T91" s="38" t="s">
        <v>293</v>
      </c>
    </row>
    <row r="92" ht="34.5">
      <c r="A92" s="38" t="s">
        <v>285</v>
      </c>
      <c r="B92" s="38" t="s">
        <v>286</v>
      </c>
      <c r="C92" s="38" t="s">
        <v>428</v>
      </c>
      <c r="D92" s="38" t="s">
        <v>430</v>
      </c>
      <c r="E92" s="38" t="s">
        <v>398</v>
      </c>
      <c r="F92" s="37" t="s">
        <v>399</v>
      </c>
      <c r="G92" s="38" t="s">
        <v>400</v>
      </c>
      <c r="H92" s="37"/>
      <c r="I92" s="37"/>
      <c r="J92" s="37" t="s">
        <v>431</v>
      </c>
      <c r="K92" s="40"/>
      <c r="L92" s="38"/>
      <c r="M92" s="38"/>
      <c r="N92" s="37"/>
      <c r="O92" s="37"/>
      <c r="P92" s="37"/>
      <c r="Q92" s="37"/>
      <c r="R92" s="39"/>
      <c r="S92" s="37"/>
      <c r="T92" s="38" t="s">
        <v>293</v>
      </c>
    </row>
    <row r="93" ht="34.5">
      <c r="A93" s="38" t="s">
        <v>285</v>
      </c>
      <c r="B93" s="38" t="s">
        <v>286</v>
      </c>
      <c r="C93" s="38" t="s">
        <v>428</v>
      </c>
      <c r="D93" s="38" t="s">
        <v>288</v>
      </c>
      <c r="E93" s="38" t="s">
        <v>398</v>
      </c>
      <c r="F93" s="37" t="s">
        <v>399</v>
      </c>
      <c r="G93" s="38" t="s">
        <v>400</v>
      </c>
      <c r="H93" s="37"/>
      <c r="I93" s="37"/>
      <c r="J93" s="37" t="s">
        <v>432</v>
      </c>
      <c r="K93" s="40"/>
      <c r="L93" s="38"/>
      <c r="M93" s="38"/>
      <c r="N93" s="37"/>
      <c r="O93" s="37"/>
      <c r="P93" s="37"/>
      <c r="Q93" s="37"/>
      <c r="R93" s="39"/>
      <c r="S93" s="37"/>
      <c r="T93" s="38" t="s">
        <v>293</v>
      </c>
    </row>
    <row r="94" ht="34.5">
      <c r="A94" s="38" t="s">
        <v>285</v>
      </c>
      <c r="B94" s="38" t="s">
        <v>286</v>
      </c>
      <c r="C94" s="38" t="s">
        <v>428</v>
      </c>
      <c r="D94" s="38" t="s">
        <v>433</v>
      </c>
      <c r="E94" s="38" t="s">
        <v>398</v>
      </c>
      <c r="F94" s="37" t="s">
        <v>399</v>
      </c>
      <c r="G94" s="38" t="s">
        <v>400</v>
      </c>
      <c r="H94" s="37"/>
      <c r="I94" s="37"/>
      <c r="J94" s="37" t="s">
        <v>434</v>
      </c>
      <c r="K94" s="40"/>
      <c r="L94" s="38"/>
      <c r="M94" s="38"/>
      <c r="N94" s="37"/>
      <c r="O94" s="37"/>
      <c r="P94" s="37"/>
      <c r="Q94" s="37"/>
      <c r="R94" s="39"/>
      <c r="S94" s="37"/>
      <c r="T94" s="38" t="s">
        <v>293</v>
      </c>
    </row>
    <row r="95" ht="34.5">
      <c r="A95" s="38" t="s">
        <v>285</v>
      </c>
      <c r="B95" s="38" t="s">
        <v>286</v>
      </c>
      <c r="C95" s="38" t="s">
        <v>428</v>
      </c>
      <c r="D95" s="38" t="s">
        <v>288</v>
      </c>
      <c r="E95" s="38" t="s">
        <v>398</v>
      </c>
      <c r="F95" s="37" t="s">
        <v>399</v>
      </c>
      <c r="G95" s="38" t="s">
        <v>400</v>
      </c>
      <c r="H95" s="37"/>
      <c r="I95" s="37"/>
      <c r="J95" s="37" t="s">
        <v>435</v>
      </c>
      <c r="K95" s="40"/>
      <c r="L95" s="38"/>
      <c r="M95" s="38"/>
      <c r="N95" s="37"/>
      <c r="O95" s="37"/>
      <c r="P95" s="37"/>
      <c r="Q95" s="37"/>
      <c r="R95" s="39"/>
      <c r="S95" s="37"/>
      <c r="T95" s="38" t="s">
        <v>293</v>
      </c>
    </row>
    <row r="96" ht="34.5">
      <c r="A96" s="38" t="s">
        <v>285</v>
      </c>
      <c r="B96" s="38" t="s">
        <v>286</v>
      </c>
      <c r="C96" s="38" t="s">
        <v>428</v>
      </c>
      <c r="D96" s="38" t="s">
        <v>288</v>
      </c>
      <c r="E96" s="38" t="s">
        <v>398</v>
      </c>
      <c r="F96" s="37" t="s">
        <v>399</v>
      </c>
      <c r="G96" s="38" t="s">
        <v>400</v>
      </c>
      <c r="H96" s="37"/>
      <c r="I96" s="37"/>
      <c r="J96" s="37" t="s">
        <v>436</v>
      </c>
      <c r="K96" s="40"/>
      <c r="L96" s="38"/>
      <c r="M96" s="38"/>
      <c r="N96" s="37"/>
      <c r="O96" s="37"/>
      <c r="P96" s="37"/>
      <c r="Q96" s="37"/>
      <c r="R96" s="39"/>
      <c r="S96" s="37"/>
      <c r="T96" s="38" t="s">
        <v>293</v>
      </c>
    </row>
    <row r="97" ht="34.5">
      <c r="A97" s="38" t="s">
        <v>285</v>
      </c>
      <c r="B97" s="38" t="s">
        <v>286</v>
      </c>
      <c r="C97" s="38" t="s">
        <v>428</v>
      </c>
      <c r="D97" s="38" t="s">
        <v>288</v>
      </c>
      <c r="E97" s="38" t="s">
        <v>398</v>
      </c>
      <c r="F97" s="37" t="s">
        <v>399</v>
      </c>
      <c r="G97" s="38" t="s">
        <v>400</v>
      </c>
      <c r="H97" s="37"/>
      <c r="I97" s="37"/>
      <c r="J97" s="37" t="s">
        <v>437</v>
      </c>
      <c r="K97" s="40"/>
      <c r="L97" s="38"/>
      <c r="M97" s="38"/>
      <c r="N97" s="37"/>
      <c r="O97" s="37"/>
      <c r="P97" s="37"/>
      <c r="Q97" s="37"/>
      <c r="R97" s="39"/>
      <c r="S97" s="37"/>
      <c r="T97" s="38" t="s">
        <v>293</v>
      </c>
    </row>
    <row r="98" ht="34.5">
      <c r="A98" s="38" t="s">
        <v>285</v>
      </c>
      <c r="B98" s="38" t="s">
        <v>286</v>
      </c>
      <c r="C98" s="38" t="s">
        <v>438</v>
      </c>
      <c r="D98" s="38" t="s">
        <v>288</v>
      </c>
      <c r="E98" s="38" t="s">
        <v>398</v>
      </c>
      <c r="F98" s="37" t="s">
        <v>399</v>
      </c>
      <c r="G98" s="38" t="s">
        <v>400</v>
      </c>
      <c r="H98" s="37"/>
      <c r="I98" s="37"/>
      <c r="J98" s="37" t="s">
        <v>439</v>
      </c>
      <c r="K98" s="40"/>
      <c r="L98" s="38"/>
      <c r="M98" s="38"/>
      <c r="N98" s="37"/>
      <c r="O98" s="37"/>
      <c r="P98" s="37"/>
      <c r="Q98" s="37"/>
      <c r="R98" s="39"/>
      <c r="S98" s="37"/>
      <c r="T98" s="38" t="s">
        <v>293</v>
      </c>
    </row>
    <row r="99" ht="34.5">
      <c r="A99" s="38" t="s">
        <v>285</v>
      </c>
      <c r="B99" s="38" t="s">
        <v>286</v>
      </c>
      <c r="C99" s="38" t="s">
        <v>438</v>
      </c>
      <c r="D99" s="38" t="s">
        <v>288</v>
      </c>
      <c r="E99" s="38" t="s">
        <v>398</v>
      </c>
      <c r="F99" s="37" t="s">
        <v>399</v>
      </c>
      <c r="G99" s="38" t="s">
        <v>400</v>
      </c>
      <c r="H99" s="37"/>
      <c r="I99" s="37"/>
      <c r="J99" s="37" t="s">
        <v>440</v>
      </c>
      <c r="K99" s="40"/>
      <c r="L99" s="38"/>
      <c r="M99" s="38"/>
      <c r="N99" s="37"/>
      <c r="O99" s="37"/>
      <c r="P99" s="37"/>
      <c r="Q99" s="37"/>
      <c r="R99" s="39"/>
      <c r="S99" s="37"/>
      <c r="T99" s="38" t="s">
        <v>293</v>
      </c>
    </row>
    <row r="100" ht="34.5">
      <c r="A100" s="38" t="s">
        <v>285</v>
      </c>
      <c r="B100" s="38" t="s">
        <v>286</v>
      </c>
      <c r="C100" s="38" t="s">
        <v>438</v>
      </c>
      <c r="D100" s="38" t="s">
        <v>288</v>
      </c>
      <c r="E100" s="38" t="s">
        <v>398</v>
      </c>
      <c r="F100" s="37" t="s">
        <v>399</v>
      </c>
      <c r="G100" s="38" t="s">
        <v>400</v>
      </c>
      <c r="H100" s="37"/>
      <c r="I100" s="37"/>
      <c r="J100" s="37" t="s">
        <v>441</v>
      </c>
      <c r="K100" s="40"/>
      <c r="L100" s="38"/>
      <c r="M100" s="38"/>
      <c r="N100" s="37"/>
      <c r="O100" s="37"/>
      <c r="P100" s="37"/>
      <c r="Q100" s="37"/>
      <c r="R100" s="39"/>
      <c r="S100" s="37"/>
      <c r="T100" s="38" t="s">
        <v>293</v>
      </c>
    </row>
    <row r="101" ht="34.5">
      <c r="A101" s="38" t="s">
        <v>285</v>
      </c>
      <c r="B101" s="38" t="s">
        <v>286</v>
      </c>
      <c r="C101" s="38" t="s">
        <v>438</v>
      </c>
      <c r="D101" s="38" t="s">
        <v>288</v>
      </c>
      <c r="E101" s="38" t="s">
        <v>398</v>
      </c>
      <c r="F101" s="37" t="s">
        <v>399</v>
      </c>
      <c r="G101" s="38" t="s">
        <v>400</v>
      </c>
      <c r="H101" s="37"/>
      <c r="I101" s="37"/>
      <c r="J101" s="37" t="s">
        <v>442</v>
      </c>
      <c r="K101" s="40"/>
      <c r="L101" s="38"/>
      <c r="M101" s="38"/>
      <c r="N101" s="37"/>
      <c r="O101" s="37"/>
      <c r="P101" s="37"/>
      <c r="Q101" s="37"/>
      <c r="R101" s="39"/>
      <c r="S101" s="37"/>
      <c r="T101" s="38" t="s">
        <v>293</v>
      </c>
    </row>
    <row r="102" ht="34.5">
      <c r="A102" s="38" t="s">
        <v>285</v>
      </c>
      <c r="B102" s="38" t="s">
        <v>286</v>
      </c>
      <c r="C102" s="38" t="s">
        <v>438</v>
      </c>
      <c r="D102" s="38" t="s">
        <v>288</v>
      </c>
      <c r="E102" s="38" t="s">
        <v>398</v>
      </c>
      <c r="F102" s="37" t="s">
        <v>399</v>
      </c>
      <c r="G102" s="38" t="s">
        <v>400</v>
      </c>
      <c r="H102" s="37"/>
      <c r="I102" s="37"/>
      <c r="J102" s="37" t="s">
        <v>443</v>
      </c>
      <c r="K102" s="40"/>
      <c r="L102" s="38"/>
      <c r="M102" s="38"/>
      <c r="N102" s="37"/>
      <c r="O102" s="37"/>
      <c r="P102" s="37"/>
      <c r="Q102" s="37"/>
      <c r="R102" s="39"/>
      <c r="S102" s="37"/>
      <c r="T102" s="38" t="s">
        <v>293</v>
      </c>
    </row>
    <row r="103" ht="34.5">
      <c r="A103" s="38" t="s">
        <v>285</v>
      </c>
      <c r="B103" s="38" t="s">
        <v>286</v>
      </c>
      <c r="C103" s="38" t="s">
        <v>438</v>
      </c>
      <c r="D103" s="38" t="s">
        <v>288</v>
      </c>
      <c r="E103" s="38" t="s">
        <v>398</v>
      </c>
      <c r="F103" s="37" t="s">
        <v>399</v>
      </c>
      <c r="G103" s="38" t="s">
        <v>400</v>
      </c>
      <c r="H103" s="37"/>
      <c r="I103" s="37"/>
      <c r="J103" s="37" t="s">
        <v>444</v>
      </c>
      <c r="K103" s="40"/>
      <c r="L103" s="38"/>
      <c r="M103" s="38"/>
      <c r="N103" s="37"/>
      <c r="O103" s="37"/>
      <c r="P103" s="37"/>
      <c r="Q103" s="37"/>
      <c r="R103" s="39"/>
      <c r="S103" s="37"/>
      <c r="T103" s="38" t="s">
        <v>293</v>
      </c>
    </row>
    <row r="104" ht="34.5">
      <c r="A104" s="38" t="s">
        <v>285</v>
      </c>
      <c r="B104" s="38" t="s">
        <v>286</v>
      </c>
      <c r="C104" s="38" t="s">
        <v>438</v>
      </c>
      <c r="D104" s="38" t="s">
        <v>288</v>
      </c>
      <c r="E104" s="38" t="s">
        <v>398</v>
      </c>
      <c r="F104" s="37" t="s">
        <v>399</v>
      </c>
      <c r="G104" s="38" t="s">
        <v>400</v>
      </c>
      <c r="H104" s="37"/>
      <c r="I104" s="37"/>
      <c r="J104" s="37" t="s">
        <v>445</v>
      </c>
      <c r="K104" s="40"/>
      <c r="L104" s="38"/>
      <c r="M104" s="38"/>
      <c r="N104" s="37"/>
      <c r="O104" s="37"/>
      <c r="P104" s="37"/>
      <c r="Q104" s="37"/>
      <c r="R104" s="39"/>
      <c r="S104" s="37"/>
      <c r="T104" s="38" t="s">
        <v>293</v>
      </c>
    </row>
    <row r="105" ht="34.5">
      <c r="A105" s="38" t="s">
        <v>285</v>
      </c>
      <c r="B105" s="38" t="s">
        <v>286</v>
      </c>
      <c r="C105" s="38" t="s">
        <v>438</v>
      </c>
      <c r="D105" s="38" t="s">
        <v>288</v>
      </c>
      <c r="E105" s="38" t="s">
        <v>398</v>
      </c>
      <c r="F105" s="37" t="s">
        <v>399</v>
      </c>
      <c r="G105" s="38" t="s">
        <v>400</v>
      </c>
      <c r="H105" s="37"/>
      <c r="I105" s="37"/>
      <c r="J105" s="37" t="s">
        <v>446</v>
      </c>
      <c r="K105" s="40"/>
      <c r="L105" s="38"/>
      <c r="M105" s="38"/>
      <c r="N105" s="37"/>
      <c r="O105" s="37"/>
      <c r="P105" s="37"/>
      <c r="Q105" s="37"/>
      <c r="R105" s="39"/>
      <c r="S105" s="37"/>
      <c r="T105" s="38" t="s">
        <v>293</v>
      </c>
    </row>
    <row r="106" ht="34.5">
      <c r="A106" s="38" t="s">
        <v>285</v>
      </c>
      <c r="B106" s="38" t="s">
        <v>286</v>
      </c>
      <c r="C106" s="38" t="s">
        <v>438</v>
      </c>
      <c r="D106" s="38" t="s">
        <v>288</v>
      </c>
      <c r="E106" s="38" t="s">
        <v>398</v>
      </c>
      <c r="F106" s="37" t="s">
        <v>399</v>
      </c>
      <c r="G106" s="38" t="s">
        <v>400</v>
      </c>
      <c r="H106" s="37"/>
      <c r="I106" s="37"/>
      <c r="J106" s="37" t="s">
        <v>447</v>
      </c>
      <c r="K106" s="40"/>
      <c r="L106" s="38"/>
      <c r="M106" s="38"/>
      <c r="N106" s="37"/>
      <c r="O106" s="37"/>
      <c r="P106" s="37"/>
      <c r="Q106" s="37"/>
      <c r="R106" s="39"/>
      <c r="S106" s="37"/>
      <c r="T106" s="38" t="s">
        <v>293</v>
      </c>
    </row>
    <row r="107" ht="34.5">
      <c r="A107" s="38" t="s">
        <v>285</v>
      </c>
      <c r="B107" s="38" t="s">
        <v>286</v>
      </c>
      <c r="C107" s="38" t="s">
        <v>448</v>
      </c>
      <c r="D107" s="38" t="s">
        <v>288</v>
      </c>
      <c r="E107" s="38" t="s">
        <v>449</v>
      </c>
      <c r="F107" s="37" t="s">
        <v>450</v>
      </c>
      <c r="G107" s="38" t="s">
        <v>451</v>
      </c>
      <c r="H107" s="37"/>
      <c r="I107" s="37"/>
      <c r="J107" s="37" t="s">
        <v>452</v>
      </c>
      <c r="K107" s="40"/>
      <c r="L107" s="38"/>
      <c r="M107" s="38"/>
      <c r="N107" s="37"/>
      <c r="O107" s="37"/>
      <c r="P107" s="37"/>
      <c r="Q107" s="37"/>
      <c r="R107" s="39"/>
      <c r="S107" s="37"/>
      <c r="T107" s="38" t="s">
        <v>293</v>
      </c>
    </row>
    <row r="108" ht="34.5">
      <c r="A108" s="38" t="s">
        <v>285</v>
      </c>
      <c r="B108" s="38" t="s">
        <v>286</v>
      </c>
      <c r="C108" s="38" t="s">
        <v>448</v>
      </c>
      <c r="D108" s="38" t="s">
        <v>453</v>
      </c>
      <c r="E108" s="38" t="s">
        <v>449</v>
      </c>
      <c r="F108" s="37" t="s">
        <v>450</v>
      </c>
      <c r="G108" s="38" t="s">
        <v>451</v>
      </c>
      <c r="H108" s="37"/>
      <c r="I108" s="37"/>
      <c r="J108" s="37" t="s">
        <v>454</v>
      </c>
      <c r="K108" s="40"/>
      <c r="L108" s="38"/>
      <c r="M108" s="38"/>
      <c r="N108" s="37"/>
      <c r="O108" s="37"/>
      <c r="P108" s="37"/>
      <c r="Q108" s="37"/>
      <c r="R108" s="39"/>
      <c r="S108" s="37"/>
      <c r="T108" s="38" t="s">
        <v>293</v>
      </c>
    </row>
    <row r="109" ht="34.5">
      <c r="A109" s="38" t="s">
        <v>285</v>
      </c>
      <c r="B109" s="38" t="s">
        <v>286</v>
      </c>
      <c r="C109" s="38" t="s">
        <v>455</v>
      </c>
      <c r="D109" s="38" t="s">
        <v>456</v>
      </c>
      <c r="E109" s="38" t="s">
        <v>449</v>
      </c>
      <c r="F109" s="37" t="s">
        <v>450</v>
      </c>
      <c r="G109" s="38" t="s">
        <v>451</v>
      </c>
      <c r="H109" s="37"/>
      <c r="I109" s="37"/>
      <c r="J109" s="37" t="s">
        <v>457</v>
      </c>
      <c r="K109" s="40"/>
      <c r="L109" s="38"/>
      <c r="M109" s="38"/>
      <c r="N109" s="37"/>
      <c r="O109" s="37"/>
      <c r="P109" s="37"/>
      <c r="Q109" s="37"/>
      <c r="R109" s="39"/>
      <c r="S109" s="37"/>
      <c r="T109" s="38" t="s">
        <v>293</v>
      </c>
    </row>
    <row r="110" ht="34.5">
      <c r="A110" s="38" t="s">
        <v>285</v>
      </c>
      <c r="B110" s="38" t="s">
        <v>286</v>
      </c>
      <c r="C110" s="38" t="s">
        <v>455</v>
      </c>
      <c r="D110" s="38" t="s">
        <v>288</v>
      </c>
      <c r="E110" s="38" t="s">
        <v>449</v>
      </c>
      <c r="F110" s="37" t="s">
        <v>450</v>
      </c>
      <c r="G110" s="38" t="s">
        <v>451</v>
      </c>
      <c r="H110" s="37"/>
      <c r="I110" s="37"/>
      <c r="J110" s="37" t="s">
        <v>458</v>
      </c>
      <c r="K110" s="40"/>
      <c r="L110" s="38"/>
      <c r="M110" s="38"/>
      <c r="N110" s="37"/>
      <c r="O110" s="37"/>
      <c r="P110" s="37"/>
      <c r="Q110" s="37"/>
      <c r="R110" s="39"/>
      <c r="S110" s="37"/>
      <c r="T110" s="38" t="s">
        <v>293</v>
      </c>
    </row>
    <row r="111" ht="34.5">
      <c r="A111" s="38" t="s">
        <v>285</v>
      </c>
      <c r="B111" s="38" t="s">
        <v>286</v>
      </c>
      <c r="C111" s="38" t="s">
        <v>455</v>
      </c>
      <c r="D111" s="38" t="s">
        <v>459</v>
      </c>
      <c r="E111" s="38" t="s">
        <v>449</v>
      </c>
      <c r="F111" s="37" t="s">
        <v>450</v>
      </c>
      <c r="G111" s="38" t="s">
        <v>451</v>
      </c>
      <c r="H111" s="37"/>
      <c r="I111" s="37"/>
      <c r="J111" s="37" t="s">
        <v>460</v>
      </c>
      <c r="K111" s="40"/>
      <c r="L111" s="38"/>
      <c r="M111" s="38"/>
      <c r="N111" s="37"/>
      <c r="O111" s="37"/>
      <c r="P111" s="37"/>
      <c r="Q111" s="37"/>
      <c r="R111" s="39"/>
      <c r="S111" s="37"/>
      <c r="T111" s="38" t="s">
        <v>293</v>
      </c>
    </row>
    <row r="112" ht="34.5">
      <c r="A112" s="38" t="s">
        <v>285</v>
      </c>
      <c r="B112" s="38" t="s">
        <v>286</v>
      </c>
      <c r="C112" s="38" t="s">
        <v>461</v>
      </c>
      <c r="D112" s="38" t="s">
        <v>288</v>
      </c>
      <c r="E112" s="38" t="s">
        <v>449</v>
      </c>
      <c r="F112" s="37" t="s">
        <v>450</v>
      </c>
      <c r="G112" s="38" t="s">
        <v>451</v>
      </c>
      <c r="H112" s="37"/>
      <c r="I112" s="37"/>
      <c r="J112" s="37" t="s">
        <v>462</v>
      </c>
      <c r="K112" s="40">
        <v>200000000</v>
      </c>
      <c r="L112" s="38" t="s">
        <v>297</v>
      </c>
      <c r="M112" s="38"/>
      <c r="N112" s="37"/>
      <c r="O112" s="37"/>
      <c r="P112" s="37"/>
      <c r="Q112" s="37"/>
      <c r="R112" s="39"/>
      <c r="S112" s="37"/>
      <c r="T112" s="38" t="s">
        <v>293</v>
      </c>
    </row>
    <row r="113" ht="34.5">
      <c r="A113" s="38" t="s">
        <v>285</v>
      </c>
      <c r="B113" s="38" t="s">
        <v>286</v>
      </c>
      <c r="C113" s="38" t="s">
        <v>461</v>
      </c>
      <c r="D113" s="38" t="s">
        <v>288</v>
      </c>
      <c r="E113" s="38" t="s">
        <v>449</v>
      </c>
      <c r="F113" s="37" t="s">
        <v>450</v>
      </c>
      <c r="G113" s="38" t="s">
        <v>451</v>
      </c>
      <c r="H113" s="37"/>
      <c r="I113" s="37"/>
      <c r="J113" s="37" t="s">
        <v>463</v>
      </c>
      <c r="K113" s="40">
        <v>10000000</v>
      </c>
      <c r="L113" s="38" t="s">
        <v>297</v>
      </c>
      <c r="M113" s="38"/>
      <c r="N113" s="37"/>
      <c r="O113" s="37"/>
      <c r="P113" s="37"/>
      <c r="Q113" s="37"/>
      <c r="R113" s="39"/>
      <c r="S113" s="37"/>
      <c r="T113" s="38" t="s">
        <v>293</v>
      </c>
    </row>
    <row r="114" ht="34.5">
      <c r="A114" s="38" t="s">
        <v>285</v>
      </c>
      <c r="B114" s="38" t="s">
        <v>286</v>
      </c>
      <c r="C114" s="38" t="s">
        <v>461</v>
      </c>
      <c r="D114" s="38" t="s">
        <v>288</v>
      </c>
      <c r="E114" s="38" t="s">
        <v>449</v>
      </c>
      <c r="F114" s="37" t="s">
        <v>450</v>
      </c>
      <c r="G114" s="38" t="s">
        <v>451</v>
      </c>
      <c r="H114" s="37"/>
      <c r="I114" s="37"/>
      <c r="J114" s="37" t="s">
        <v>464</v>
      </c>
      <c r="K114" s="40">
        <v>190000000</v>
      </c>
      <c r="L114" s="38" t="s">
        <v>297</v>
      </c>
      <c r="M114" s="38"/>
      <c r="N114" s="37"/>
      <c r="O114" s="37"/>
      <c r="P114" s="37"/>
      <c r="Q114" s="37"/>
      <c r="R114" s="39"/>
      <c r="S114" s="37"/>
      <c r="T114" s="38" t="s">
        <v>293</v>
      </c>
    </row>
    <row r="115" ht="34.5">
      <c r="A115" s="38" t="s">
        <v>285</v>
      </c>
      <c r="B115" s="38" t="s">
        <v>286</v>
      </c>
      <c r="C115" s="38" t="s">
        <v>461</v>
      </c>
      <c r="D115" s="38" t="s">
        <v>288</v>
      </c>
      <c r="E115" s="38" t="s">
        <v>449</v>
      </c>
      <c r="F115" s="37" t="s">
        <v>450</v>
      </c>
      <c r="G115" s="38" t="s">
        <v>451</v>
      </c>
      <c r="H115" s="37"/>
      <c r="I115" s="37"/>
      <c r="J115" s="37" t="s">
        <v>465</v>
      </c>
      <c r="K115" s="40">
        <v>40000000</v>
      </c>
      <c r="L115" s="38" t="s">
        <v>297</v>
      </c>
      <c r="M115" s="38"/>
      <c r="N115" s="37"/>
      <c r="O115" s="37"/>
      <c r="P115" s="37"/>
      <c r="Q115" s="37"/>
      <c r="R115" s="39"/>
      <c r="S115" s="37"/>
      <c r="T115" s="38" t="s">
        <v>293</v>
      </c>
    </row>
    <row r="116" ht="34.5">
      <c r="A116" s="38" t="s">
        <v>285</v>
      </c>
      <c r="B116" s="38" t="s">
        <v>286</v>
      </c>
      <c r="C116" s="38" t="s">
        <v>461</v>
      </c>
      <c r="D116" s="38" t="s">
        <v>288</v>
      </c>
      <c r="E116" s="38" t="s">
        <v>449</v>
      </c>
      <c r="F116" s="37" t="s">
        <v>450</v>
      </c>
      <c r="G116" s="38" t="s">
        <v>451</v>
      </c>
      <c r="H116" s="37"/>
      <c r="I116" s="37"/>
      <c r="J116" s="37" t="s">
        <v>466</v>
      </c>
      <c r="K116" s="40">
        <v>50000000</v>
      </c>
      <c r="L116" s="38" t="s">
        <v>297</v>
      </c>
      <c r="M116" s="38"/>
      <c r="N116" s="37"/>
      <c r="O116" s="37"/>
      <c r="P116" s="37"/>
      <c r="Q116" s="37"/>
      <c r="R116" s="39"/>
      <c r="S116" s="37"/>
      <c r="T116" s="38" t="s">
        <v>293</v>
      </c>
    </row>
    <row r="117" ht="34.5">
      <c r="A117" s="38" t="s">
        <v>285</v>
      </c>
      <c r="B117" s="38" t="s">
        <v>286</v>
      </c>
      <c r="C117" s="38" t="s">
        <v>461</v>
      </c>
      <c r="D117" s="38" t="s">
        <v>288</v>
      </c>
      <c r="E117" s="38" t="s">
        <v>449</v>
      </c>
      <c r="F117" s="37" t="s">
        <v>450</v>
      </c>
      <c r="G117" s="38" t="s">
        <v>451</v>
      </c>
      <c r="H117" s="37"/>
      <c r="I117" s="37"/>
      <c r="J117" s="37" t="s">
        <v>467</v>
      </c>
      <c r="K117" s="40">
        <v>100000000</v>
      </c>
      <c r="L117" s="38" t="s">
        <v>297</v>
      </c>
      <c r="M117" s="38"/>
      <c r="N117" s="37"/>
      <c r="O117" s="37"/>
      <c r="P117" s="37"/>
      <c r="Q117" s="37"/>
      <c r="R117" s="39"/>
      <c r="S117" s="37"/>
      <c r="T117" s="38" t="s">
        <v>293</v>
      </c>
    </row>
    <row r="118" ht="34.5">
      <c r="A118" s="38" t="s">
        <v>285</v>
      </c>
      <c r="B118" s="38" t="s">
        <v>286</v>
      </c>
      <c r="C118" s="38" t="s">
        <v>461</v>
      </c>
      <c r="D118" s="38" t="s">
        <v>288</v>
      </c>
      <c r="E118" s="38" t="s">
        <v>449</v>
      </c>
      <c r="F118" s="37" t="s">
        <v>450</v>
      </c>
      <c r="G118" s="38" t="s">
        <v>451</v>
      </c>
      <c r="H118" s="37"/>
      <c r="I118" s="37"/>
      <c r="J118" s="37" t="s">
        <v>468</v>
      </c>
      <c r="K118" s="40"/>
      <c r="L118" s="38"/>
      <c r="M118" s="38"/>
      <c r="N118" s="37"/>
      <c r="O118" s="37"/>
      <c r="P118" s="37"/>
      <c r="Q118" s="37"/>
      <c r="R118" s="39"/>
      <c r="S118" s="37"/>
      <c r="T118" s="38" t="s">
        <v>293</v>
      </c>
    </row>
    <row r="119" ht="34.5">
      <c r="A119" s="38" t="s">
        <v>285</v>
      </c>
      <c r="B119" s="38" t="s">
        <v>286</v>
      </c>
      <c r="C119" s="38" t="s">
        <v>461</v>
      </c>
      <c r="D119" s="38" t="s">
        <v>288</v>
      </c>
      <c r="E119" s="38" t="s">
        <v>449</v>
      </c>
      <c r="F119" s="37" t="s">
        <v>450</v>
      </c>
      <c r="G119" s="38" t="s">
        <v>451</v>
      </c>
      <c r="H119" s="37"/>
      <c r="I119" s="37"/>
      <c r="J119" s="37" t="s">
        <v>469</v>
      </c>
      <c r="K119" s="40">
        <v>13009668</v>
      </c>
      <c r="L119" s="38" t="s">
        <v>297</v>
      </c>
      <c r="M119" s="38"/>
      <c r="N119" s="37"/>
      <c r="O119" s="37"/>
      <c r="P119" s="37"/>
      <c r="Q119" s="37"/>
      <c r="R119" s="39"/>
      <c r="S119" s="37"/>
      <c r="T119" s="38" t="s">
        <v>293</v>
      </c>
    </row>
    <row r="120" ht="34.5">
      <c r="A120" s="38" t="s">
        <v>285</v>
      </c>
      <c r="B120" s="38" t="s">
        <v>286</v>
      </c>
      <c r="C120" s="38" t="s">
        <v>461</v>
      </c>
      <c r="D120" s="38" t="s">
        <v>288</v>
      </c>
      <c r="E120" s="38" t="s">
        <v>449</v>
      </c>
      <c r="F120" s="37" t="s">
        <v>450</v>
      </c>
      <c r="G120" s="38" t="s">
        <v>451</v>
      </c>
      <c r="H120" s="37"/>
      <c r="I120" s="37"/>
      <c r="J120" s="37" t="s">
        <v>470</v>
      </c>
      <c r="K120" s="40">
        <v>200000000</v>
      </c>
      <c r="L120" s="38" t="s">
        <v>297</v>
      </c>
      <c r="M120" s="38"/>
      <c r="N120" s="37"/>
      <c r="O120" s="37"/>
      <c r="P120" s="37"/>
      <c r="Q120" s="37"/>
      <c r="R120" s="39"/>
      <c r="S120" s="37"/>
      <c r="T120" s="38" t="s">
        <v>293</v>
      </c>
    </row>
    <row r="121" ht="34.5">
      <c r="A121" s="38" t="s">
        <v>285</v>
      </c>
      <c r="B121" s="38" t="s">
        <v>286</v>
      </c>
      <c r="C121" s="38" t="s">
        <v>471</v>
      </c>
      <c r="D121" s="38" t="s">
        <v>288</v>
      </c>
      <c r="E121" s="38" t="s">
        <v>449</v>
      </c>
      <c r="F121" s="37" t="s">
        <v>450</v>
      </c>
      <c r="G121" s="38" t="s">
        <v>451</v>
      </c>
      <c r="H121" s="37"/>
      <c r="I121" s="37"/>
      <c r="J121" s="37" t="s">
        <v>472</v>
      </c>
      <c r="K121" s="40">
        <v>50000000</v>
      </c>
      <c r="L121" s="38" t="s">
        <v>297</v>
      </c>
      <c r="M121" s="38"/>
      <c r="N121" s="37"/>
      <c r="O121" s="37"/>
      <c r="P121" s="37"/>
      <c r="Q121" s="37"/>
      <c r="R121" s="39"/>
      <c r="S121" s="37"/>
      <c r="T121" s="38" t="s">
        <v>293</v>
      </c>
    </row>
    <row r="122" ht="34.5">
      <c r="A122" s="38" t="s">
        <v>285</v>
      </c>
      <c r="B122" s="38" t="s">
        <v>286</v>
      </c>
      <c r="C122" s="38" t="s">
        <v>471</v>
      </c>
      <c r="D122" s="38" t="s">
        <v>288</v>
      </c>
      <c r="E122" s="38" t="s">
        <v>449</v>
      </c>
      <c r="F122" s="37" t="s">
        <v>450</v>
      </c>
      <c r="G122" s="38" t="s">
        <v>451</v>
      </c>
      <c r="H122" s="37"/>
      <c r="I122" s="37"/>
      <c r="J122" s="37" t="s">
        <v>473</v>
      </c>
      <c r="K122" s="40"/>
      <c r="L122" s="38"/>
      <c r="M122" s="38"/>
      <c r="N122" s="37"/>
      <c r="O122" s="37"/>
      <c r="P122" s="37"/>
      <c r="Q122" s="37"/>
      <c r="R122" s="39"/>
      <c r="S122" s="37"/>
      <c r="T122" s="38" t="s">
        <v>293</v>
      </c>
    </row>
    <row r="123" ht="34.5">
      <c r="A123" s="38" t="s">
        <v>285</v>
      </c>
      <c r="B123" s="38" t="s">
        <v>286</v>
      </c>
      <c r="C123" s="38" t="s">
        <v>471</v>
      </c>
      <c r="D123" s="38" t="s">
        <v>474</v>
      </c>
      <c r="E123" s="38" t="s">
        <v>449</v>
      </c>
      <c r="F123" s="37" t="s">
        <v>450</v>
      </c>
      <c r="G123" s="38" t="s">
        <v>451</v>
      </c>
      <c r="H123" s="37"/>
      <c r="I123" s="37"/>
      <c r="J123" s="37" t="s">
        <v>475</v>
      </c>
      <c r="K123" s="40"/>
      <c r="L123" s="38"/>
      <c r="M123" s="38"/>
      <c r="N123" s="37"/>
      <c r="O123" s="37"/>
      <c r="P123" s="37"/>
      <c r="Q123" s="37"/>
      <c r="R123" s="39"/>
      <c r="S123" s="37"/>
      <c r="T123" s="38" t="s">
        <v>293</v>
      </c>
    </row>
    <row r="124" ht="34.5">
      <c r="A124" s="38" t="s">
        <v>285</v>
      </c>
      <c r="B124" s="38" t="s">
        <v>286</v>
      </c>
      <c r="C124" s="38" t="s">
        <v>471</v>
      </c>
      <c r="D124" s="38" t="s">
        <v>288</v>
      </c>
      <c r="E124" s="38" t="s">
        <v>449</v>
      </c>
      <c r="F124" s="37" t="s">
        <v>450</v>
      </c>
      <c r="G124" s="38" t="s">
        <v>451</v>
      </c>
      <c r="H124" s="37"/>
      <c r="I124" s="37"/>
      <c r="J124" s="37" t="s">
        <v>476</v>
      </c>
      <c r="K124" s="40"/>
      <c r="L124" s="38"/>
      <c r="M124" s="38"/>
      <c r="N124" s="37"/>
      <c r="O124" s="37"/>
      <c r="P124" s="37"/>
      <c r="Q124" s="37"/>
      <c r="R124" s="39"/>
      <c r="S124" s="37"/>
      <c r="T124" s="38" t="s">
        <v>293</v>
      </c>
    </row>
    <row r="125" ht="34.5">
      <c r="A125" s="38" t="s">
        <v>285</v>
      </c>
      <c r="B125" s="38" t="s">
        <v>286</v>
      </c>
      <c r="C125" s="38" t="s">
        <v>471</v>
      </c>
      <c r="D125" s="38" t="s">
        <v>288</v>
      </c>
      <c r="E125" s="38" t="s">
        <v>477</v>
      </c>
      <c r="F125" s="37" t="s">
        <v>478</v>
      </c>
      <c r="G125" s="38" t="s">
        <v>451</v>
      </c>
      <c r="H125" s="37"/>
      <c r="I125" s="37"/>
      <c r="J125" s="37" t="s">
        <v>479</v>
      </c>
      <c r="K125" s="40"/>
      <c r="L125" s="38"/>
      <c r="M125" s="38"/>
      <c r="N125" s="37"/>
      <c r="O125" s="37"/>
      <c r="P125" s="37"/>
      <c r="Q125" s="37"/>
      <c r="R125" s="39"/>
      <c r="S125" s="37"/>
      <c r="T125" s="38" t="s">
        <v>293</v>
      </c>
    </row>
    <row r="126" ht="34.5">
      <c r="A126" s="38" t="s">
        <v>285</v>
      </c>
      <c r="B126" s="38" t="s">
        <v>286</v>
      </c>
      <c r="C126" s="38" t="s">
        <v>471</v>
      </c>
      <c r="D126" s="38" t="s">
        <v>480</v>
      </c>
      <c r="E126" s="38" t="s">
        <v>477</v>
      </c>
      <c r="F126" s="37" t="s">
        <v>478</v>
      </c>
      <c r="G126" s="38" t="s">
        <v>451</v>
      </c>
      <c r="H126" s="37"/>
      <c r="I126" s="37"/>
      <c r="J126" s="37" t="s">
        <v>481</v>
      </c>
      <c r="K126" s="40"/>
      <c r="L126" s="38"/>
      <c r="M126" s="38"/>
      <c r="N126" s="37"/>
      <c r="O126" s="37"/>
      <c r="P126" s="37"/>
      <c r="Q126" s="37"/>
      <c r="R126" s="39"/>
      <c r="S126" s="37"/>
      <c r="T126" s="38" t="s">
        <v>293</v>
      </c>
    </row>
    <row r="127" ht="34.5">
      <c r="A127" s="38" t="s">
        <v>285</v>
      </c>
      <c r="B127" s="38" t="s">
        <v>286</v>
      </c>
      <c r="C127" s="38" t="s">
        <v>471</v>
      </c>
      <c r="D127" s="38" t="s">
        <v>288</v>
      </c>
      <c r="E127" s="38" t="s">
        <v>477</v>
      </c>
      <c r="F127" s="37" t="s">
        <v>478</v>
      </c>
      <c r="G127" s="38" t="s">
        <v>451</v>
      </c>
      <c r="H127" s="37"/>
      <c r="I127" s="37"/>
      <c r="J127" s="37" t="s">
        <v>482</v>
      </c>
      <c r="K127" s="40"/>
      <c r="L127" s="38"/>
      <c r="M127" s="38"/>
      <c r="N127" s="37"/>
      <c r="O127" s="37"/>
      <c r="P127" s="37"/>
      <c r="Q127" s="37"/>
      <c r="R127" s="39"/>
      <c r="S127" s="37"/>
      <c r="T127" s="38" t="s">
        <v>293</v>
      </c>
    </row>
    <row r="128" ht="34.5">
      <c r="A128" s="38" t="s">
        <v>285</v>
      </c>
      <c r="B128" s="38" t="s">
        <v>286</v>
      </c>
      <c r="C128" s="38" t="s">
        <v>483</v>
      </c>
      <c r="D128" s="38" t="s">
        <v>288</v>
      </c>
      <c r="E128" s="38" t="s">
        <v>477</v>
      </c>
      <c r="F128" s="37" t="s">
        <v>478</v>
      </c>
      <c r="G128" s="38" t="s">
        <v>451</v>
      </c>
      <c r="H128" s="37"/>
      <c r="I128" s="37"/>
      <c r="J128" s="37" t="s">
        <v>484</v>
      </c>
      <c r="K128" s="40"/>
      <c r="L128" s="38"/>
      <c r="M128" s="38"/>
      <c r="N128" s="37"/>
      <c r="O128" s="37"/>
      <c r="P128" s="37"/>
      <c r="Q128" s="37"/>
      <c r="R128" s="39"/>
      <c r="S128" s="37"/>
      <c r="T128" s="38" t="s">
        <v>293</v>
      </c>
    </row>
    <row r="129" ht="34.5">
      <c r="A129" s="38" t="s">
        <v>285</v>
      </c>
      <c r="B129" s="38" t="s">
        <v>286</v>
      </c>
      <c r="C129" s="38" t="s">
        <v>483</v>
      </c>
      <c r="D129" s="38" t="s">
        <v>485</v>
      </c>
      <c r="E129" s="38" t="s">
        <v>477</v>
      </c>
      <c r="F129" s="37" t="s">
        <v>478</v>
      </c>
      <c r="G129" s="38" t="s">
        <v>451</v>
      </c>
      <c r="H129" s="37"/>
      <c r="I129" s="37"/>
      <c r="J129" s="37" t="s">
        <v>486</v>
      </c>
      <c r="K129" s="40"/>
      <c r="L129" s="38"/>
      <c r="M129" s="38"/>
      <c r="N129" s="37"/>
      <c r="O129" s="37"/>
      <c r="P129" s="37"/>
      <c r="Q129" s="37"/>
      <c r="R129" s="39"/>
      <c r="S129" s="37"/>
      <c r="T129" s="38" t="s">
        <v>293</v>
      </c>
    </row>
    <row r="130" ht="34.5">
      <c r="A130" s="38" t="s">
        <v>285</v>
      </c>
      <c r="B130" s="38" t="s">
        <v>286</v>
      </c>
      <c r="C130" s="38" t="s">
        <v>483</v>
      </c>
      <c r="D130" s="38" t="s">
        <v>288</v>
      </c>
      <c r="E130" s="38" t="s">
        <v>477</v>
      </c>
      <c r="F130" s="37" t="s">
        <v>478</v>
      </c>
      <c r="G130" s="38" t="s">
        <v>451</v>
      </c>
      <c r="H130" s="37"/>
      <c r="I130" s="37"/>
      <c r="J130" s="37" t="s">
        <v>476</v>
      </c>
      <c r="K130" s="40"/>
      <c r="L130" s="38"/>
      <c r="M130" s="38"/>
      <c r="N130" s="37"/>
      <c r="O130" s="37"/>
      <c r="P130" s="37"/>
      <c r="Q130" s="37"/>
      <c r="R130" s="39"/>
      <c r="S130" s="37"/>
      <c r="T130" s="38" t="s">
        <v>293</v>
      </c>
    </row>
    <row r="131" ht="34.5">
      <c r="A131" s="38" t="s">
        <v>285</v>
      </c>
      <c r="B131" s="38" t="s">
        <v>286</v>
      </c>
      <c r="C131" s="38" t="s">
        <v>483</v>
      </c>
      <c r="D131" s="38" t="s">
        <v>288</v>
      </c>
      <c r="E131" s="38" t="s">
        <v>487</v>
      </c>
      <c r="F131" s="37" t="s">
        <v>488</v>
      </c>
      <c r="G131" s="38" t="s">
        <v>451</v>
      </c>
      <c r="H131" s="37"/>
      <c r="I131" s="37"/>
      <c r="J131" s="37" t="s">
        <v>489</v>
      </c>
      <c r="K131" s="40"/>
      <c r="L131" s="38"/>
      <c r="M131" s="38"/>
      <c r="N131" s="37"/>
      <c r="O131" s="37"/>
      <c r="P131" s="37"/>
      <c r="Q131" s="37"/>
      <c r="R131" s="39"/>
      <c r="S131" s="37"/>
      <c r="T131" s="38" t="s">
        <v>293</v>
      </c>
    </row>
    <row r="132" ht="34.5">
      <c r="A132" s="38" t="s">
        <v>285</v>
      </c>
      <c r="B132" s="38" t="s">
        <v>286</v>
      </c>
      <c r="C132" s="38" t="s">
        <v>483</v>
      </c>
      <c r="D132" s="38" t="s">
        <v>490</v>
      </c>
      <c r="E132" s="38" t="s">
        <v>487</v>
      </c>
      <c r="F132" s="37" t="s">
        <v>488</v>
      </c>
      <c r="G132" s="38" t="s">
        <v>451</v>
      </c>
      <c r="H132" s="37"/>
      <c r="I132" s="37"/>
      <c r="J132" s="37" t="s">
        <v>491</v>
      </c>
      <c r="K132" s="40"/>
      <c r="L132" s="38"/>
      <c r="M132" s="38"/>
      <c r="N132" s="37"/>
      <c r="O132" s="37"/>
      <c r="P132" s="37"/>
      <c r="Q132" s="37"/>
      <c r="R132" s="39"/>
      <c r="S132" s="37"/>
      <c r="T132" s="38" t="s">
        <v>293</v>
      </c>
    </row>
    <row r="133" ht="34.5">
      <c r="A133" s="38" t="s">
        <v>285</v>
      </c>
      <c r="B133" s="38" t="s">
        <v>286</v>
      </c>
      <c r="C133" s="38" t="s">
        <v>483</v>
      </c>
      <c r="D133" s="38" t="s">
        <v>288</v>
      </c>
      <c r="E133" s="38" t="s">
        <v>492</v>
      </c>
      <c r="F133" s="37" t="s">
        <v>493</v>
      </c>
      <c r="G133" s="38" t="s">
        <v>70</v>
      </c>
      <c r="H133" s="37"/>
      <c r="I133" s="37"/>
      <c r="J133" s="37" t="s">
        <v>494</v>
      </c>
      <c r="K133" s="40"/>
      <c r="L133" s="38"/>
      <c r="M133" s="38"/>
      <c r="N133" s="37"/>
      <c r="O133" s="37"/>
      <c r="P133" s="37"/>
      <c r="Q133" s="37"/>
      <c r="R133" s="39"/>
      <c r="S133" s="37"/>
      <c r="T133" s="38" t="s">
        <v>293</v>
      </c>
    </row>
    <row r="134" ht="34.5">
      <c r="A134" s="38" t="s">
        <v>285</v>
      </c>
      <c r="B134" s="38" t="s">
        <v>286</v>
      </c>
      <c r="C134" s="38" t="s">
        <v>483</v>
      </c>
      <c r="D134" s="38" t="s">
        <v>495</v>
      </c>
      <c r="E134" s="38" t="s">
        <v>492</v>
      </c>
      <c r="F134" s="37" t="s">
        <v>493</v>
      </c>
      <c r="G134" s="38" t="s">
        <v>70</v>
      </c>
      <c r="H134" s="37"/>
      <c r="I134" s="37"/>
      <c r="J134" s="37" t="s">
        <v>496</v>
      </c>
      <c r="K134" s="40"/>
      <c r="L134" s="38"/>
      <c r="M134" s="38"/>
      <c r="N134" s="37"/>
      <c r="O134" s="37"/>
      <c r="P134" s="37"/>
      <c r="Q134" s="37"/>
      <c r="R134" s="39"/>
      <c r="S134" s="37"/>
      <c r="T134" s="38" t="s">
        <v>293</v>
      </c>
    </row>
    <row r="135" ht="34.5">
      <c r="A135" s="38" t="s">
        <v>285</v>
      </c>
      <c r="B135" s="38" t="s">
        <v>286</v>
      </c>
      <c r="C135" s="38" t="s">
        <v>497</v>
      </c>
      <c r="D135" s="38" t="s">
        <v>288</v>
      </c>
      <c r="E135" s="38" t="s">
        <v>498</v>
      </c>
      <c r="F135" s="37" t="s">
        <v>499</v>
      </c>
      <c r="G135" s="38" t="s">
        <v>500</v>
      </c>
      <c r="H135" s="37"/>
      <c r="I135" s="37"/>
      <c r="J135" s="37" t="s">
        <v>501</v>
      </c>
      <c r="K135" s="40">
        <v>10303155</v>
      </c>
      <c r="L135" s="38" t="s">
        <v>297</v>
      </c>
      <c r="M135" s="38"/>
      <c r="N135" s="37"/>
      <c r="O135" s="37"/>
      <c r="P135" s="37"/>
      <c r="Q135" s="37"/>
      <c r="R135" s="39"/>
      <c r="S135" s="37"/>
      <c r="T135" s="38" t="s">
        <v>293</v>
      </c>
    </row>
    <row r="136" ht="34.5">
      <c r="A136" s="38" t="s">
        <v>285</v>
      </c>
      <c r="B136" s="38" t="s">
        <v>286</v>
      </c>
      <c r="C136" s="38" t="s">
        <v>497</v>
      </c>
      <c r="D136" s="38" t="s">
        <v>502</v>
      </c>
      <c r="E136" s="38" t="s">
        <v>498</v>
      </c>
      <c r="F136" s="37" t="s">
        <v>499</v>
      </c>
      <c r="G136" s="38" t="s">
        <v>500</v>
      </c>
      <c r="H136" s="37"/>
      <c r="I136" s="37"/>
      <c r="J136" s="37" t="s">
        <v>503</v>
      </c>
      <c r="K136" s="40"/>
      <c r="L136" s="38"/>
      <c r="M136" s="38"/>
      <c r="N136" s="37"/>
      <c r="O136" s="37"/>
      <c r="P136" s="37"/>
      <c r="Q136" s="37"/>
      <c r="R136" s="39"/>
      <c r="S136" s="37"/>
      <c r="T136" s="38" t="s">
        <v>293</v>
      </c>
    </row>
    <row r="137" ht="34.5">
      <c r="A137" s="38" t="s">
        <v>285</v>
      </c>
      <c r="B137" s="38" t="s">
        <v>286</v>
      </c>
      <c r="C137" s="38" t="s">
        <v>497</v>
      </c>
      <c r="D137" s="38" t="s">
        <v>288</v>
      </c>
      <c r="E137" s="38" t="s">
        <v>498</v>
      </c>
      <c r="F137" s="37" t="s">
        <v>499</v>
      </c>
      <c r="G137" s="38" t="s">
        <v>500</v>
      </c>
      <c r="H137" s="37"/>
      <c r="I137" s="37"/>
      <c r="J137" s="37" t="s">
        <v>504</v>
      </c>
      <c r="K137" s="40"/>
      <c r="L137" s="38"/>
      <c r="M137" s="38"/>
      <c r="N137" s="37"/>
      <c r="O137" s="37"/>
      <c r="P137" s="37"/>
      <c r="Q137" s="37"/>
      <c r="R137" s="39"/>
      <c r="S137" s="37"/>
      <c r="T137" s="38" t="s">
        <v>293</v>
      </c>
    </row>
    <row r="138" ht="34.5">
      <c r="A138" s="38" t="s">
        <v>285</v>
      </c>
      <c r="B138" s="38" t="s">
        <v>286</v>
      </c>
      <c r="C138" s="38" t="s">
        <v>497</v>
      </c>
      <c r="D138" s="38" t="s">
        <v>288</v>
      </c>
      <c r="E138" s="38" t="s">
        <v>498</v>
      </c>
      <c r="F138" s="37" t="s">
        <v>499</v>
      </c>
      <c r="G138" s="38" t="s">
        <v>500</v>
      </c>
      <c r="H138" s="37"/>
      <c r="I138" s="37"/>
      <c r="J138" s="37" t="s">
        <v>505</v>
      </c>
      <c r="K138" s="40"/>
      <c r="L138" s="38"/>
      <c r="M138" s="38"/>
      <c r="N138" s="37"/>
      <c r="O138" s="37"/>
      <c r="P138" s="37"/>
      <c r="Q138" s="37"/>
      <c r="R138" s="39"/>
      <c r="S138" s="37"/>
      <c r="T138" s="38" t="s">
        <v>293</v>
      </c>
    </row>
    <row r="139" ht="34.5">
      <c r="A139" s="38" t="s">
        <v>285</v>
      </c>
      <c r="B139" s="38" t="s">
        <v>286</v>
      </c>
      <c r="C139" s="38" t="s">
        <v>497</v>
      </c>
      <c r="D139" s="38" t="s">
        <v>288</v>
      </c>
      <c r="E139" s="38" t="s">
        <v>498</v>
      </c>
      <c r="F139" s="37" t="s">
        <v>499</v>
      </c>
      <c r="G139" s="38" t="s">
        <v>500</v>
      </c>
      <c r="H139" s="37"/>
      <c r="I139" s="37"/>
      <c r="J139" s="37" t="s">
        <v>506</v>
      </c>
      <c r="K139" s="40">
        <v>210000</v>
      </c>
      <c r="L139" s="38" t="s">
        <v>297</v>
      </c>
      <c r="M139" s="38"/>
      <c r="N139" s="37"/>
      <c r="O139" s="37"/>
      <c r="P139" s="37"/>
      <c r="Q139" s="37"/>
      <c r="R139" s="39"/>
      <c r="S139" s="37"/>
      <c r="T139" s="38" t="s">
        <v>293</v>
      </c>
    </row>
    <row r="140" ht="34.5">
      <c r="A140" s="38" t="s">
        <v>285</v>
      </c>
      <c r="B140" s="38" t="s">
        <v>286</v>
      </c>
      <c r="C140" s="38" t="s">
        <v>497</v>
      </c>
      <c r="D140" s="38" t="s">
        <v>288</v>
      </c>
      <c r="E140" s="38" t="s">
        <v>498</v>
      </c>
      <c r="F140" s="37" t="s">
        <v>499</v>
      </c>
      <c r="G140" s="38" t="s">
        <v>500</v>
      </c>
      <c r="H140" s="37"/>
      <c r="I140" s="37"/>
      <c r="J140" s="37" t="s">
        <v>507</v>
      </c>
      <c r="K140" s="40">
        <v>2000000</v>
      </c>
      <c r="L140" s="38" t="s">
        <v>297</v>
      </c>
      <c r="M140" s="38"/>
      <c r="N140" s="37"/>
      <c r="O140" s="37"/>
      <c r="P140" s="37"/>
      <c r="Q140" s="37"/>
      <c r="R140" s="39"/>
      <c r="S140" s="37"/>
      <c r="T140" s="38" t="s">
        <v>293</v>
      </c>
    </row>
    <row r="141" ht="34.5">
      <c r="A141" s="38" t="s">
        <v>285</v>
      </c>
      <c r="B141" s="38" t="s">
        <v>286</v>
      </c>
      <c r="C141" s="38" t="s">
        <v>508</v>
      </c>
      <c r="D141" s="38" t="s">
        <v>288</v>
      </c>
      <c r="E141" s="38" t="s">
        <v>498</v>
      </c>
      <c r="F141" s="37" t="s">
        <v>499</v>
      </c>
      <c r="G141" s="38" t="s">
        <v>500</v>
      </c>
      <c r="H141" s="37"/>
      <c r="I141" s="37"/>
      <c r="J141" s="37" t="s">
        <v>509</v>
      </c>
      <c r="K141" s="40"/>
      <c r="L141" s="38"/>
      <c r="M141" s="38"/>
      <c r="N141" s="37"/>
      <c r="O141" s="37"/>
      <c r="P141" s="37"/>
      <c r="Q141" s="37"/>
      <c r="R141" s="39"/>
      <c r="S141" s="37"/>
      <c r="T141" s="38" t="s">
        <v>293</v>
      </c>
    </row>
    <row r="142" ht="34.5">
      <c r="A142" s="38" t="s">
        <v>285</v>
      </c>
      <c r="B142" s="38" t="s">
        <v>286</v>
      </c>
      <c r="C142" s="38" t="s">
        <v>508</v>
      </c>
      <c r="D142" s="38" t="s">
        <v>288</v>
      </c>
      <c r="E142" s="38" t="s">
        <v>498</v>
      </c>
      <c r="F142" s="37" t="s">
        <v>499</v>
      </c>
      <c r="G142" s="38" t="s">
        <v>500</v>
      </c>
      <c r="H142" s="37"/>
      <c r="I142" s="37"/>
      <c r="J142" s="37" t="s">
        <v>510</v>
      </c>
      <c r="K142" s="40"/>
      <c r="L142" s="38"/>
      <c r="M142" s="38"/>
      <c r="N142" s="37"/>
      <c r="O142" s="37"/>
      <c r="P142" s="37"/>
      <c r="Q142" s="37"/>
      <c r="R142" s="39"/>
      <c r="S142" s="37"/>
      <c r="T142" s="38" t="s">
        <v>293</v>
      </c>
    </row>
    <row r="143" ht="34.5">
      <c r="A143" s="38" t="s">
        <v>285</v>
      </c>
      <c r="B143" s="38" t="s">
        <v>286</v>
      </c>
      <c r="C143" s="38" t="s">
        <v>508</v>
      </c>
      <c r="D143" s="38" t="s">
        <v>288</v>
      </c>
      <c r="E143" s="38" t="s">
        <v>498</v>
      </c>
      <c r="F143" s="37" t="s">
        <v>499</v>
      </c>
      <c r="G143" s="38" t="s">
        <v>500</v>
      </c>
      <c r="H143" s="37"/>
      <c r="I143" s="37"/>
      <c r="J143" s="37" t="s">
        <v>511</v>
      </c>
      <c r="K143" s="40"/>
      <c r="L143" s="38"/>
      <c r="M143" s="38"/>
      <c r="N143" s="37"/>
      <c r="O143" s="37"/>
      <c r="P143" s="37"/>
      <c r="Q143" s="37"/>
      <c r="R143" s="39"/>
      <c r="S143" s="37"/>
      <c r="T143" s="38" t="s">
        <v>293</v>
      </c>
    </row>
    <row r="144" ht="34.5">
      <c r="A144" s="38" t="s">
        <v>285</v>
      </c>
      <c r="B144" s="38" t="s">
        <v>286</v>
      </c>
      <c r="C144" s="38" t="s">
        <v>508</v>
      </c>
      <c r="D144" s="38" t="s">
        <v>512</v>
      </c>
      <c r="E144" s="38" t="s">
        <v>498</v>
      </c>
      <c r="F144" s="37" t="s">
        <v>499</v>
      </c>
      <c r="G144" s="38" t="s">
        <v>500</v>
      </c>
      <c r="H144" s="37"/>
      <c r="I144" s="37"/>
      <c r="J144" s="37" t="s">
        <v>513</v>
      </c>
      <c r="K144" s="40"/>
      <c r="L144" s="38"/>
      <c r="M144" s="38"/>
      <c r="N144" s="37"/>
      <c r="O144" s="37"/>
      <c r="P144" s="37"/>
      <c r="Q144" s="37"/>
      <c r="R144" s="39"/>
      <c r="S144" s="37"/>
      <c r="T144" s="38" t="s">
        <v>293</v>
      </c>
    </row>
    <row r="145" ht="34.5">
      <c r="A145" s="38" t="s">
        <v>285</v>
      </c>
      <c r="B145" s="38" t="s">
        <v>286</v>
      </c>
      <c r="C145" s="38" t="s">
        <v>508</v>
      </c>
      <c r="D145" s="38" t="s">
        <v>288</v>
      </c>
      <c r="E145" s="38" t="s">
        <v>514</v>
      </c>
      <c r="F145" s="37" t="s">
        <v>515</v>
      </c>
      <c r="G145" s="38" t="s">
        <v>70</v>
      </c>
      <c r="H145" s="37"/>
      <c r="I145" s="37"/>
      <c r="J145" s="37" t="s">
        <v>516</v>
      </c>
      <c r="K145" s="40"/>
      <c r="L145" s="38"/>
      <c r="M145" s="38"/>
      <c r="N145" s="37"/>
      <c r="O145" s="37"/>
      <c r="P145" s="37"/>
      <c r="Q145" s="37"/>
      <c r="R145" s="39"/>
      <c r="S145" s="37"/>
      <c r="T145" s="38" t="s">
        <v>293</v>
      </c>
    </row>
    <row r="146" ht="34.5">
      <c r="A146" s="38" t="s">
        <v>285</v>
      </c>
      <c r="B146" s="38" t="s">
        <v>286</v>
      </c>
      <c r="C146" s="38" t="s">
        <v>508</v>
      </c>
      <c r="D146" s="38" t="s">
        <v>517</v>
      </c>
      <c r="E146" s="38" t="s">
        <v>514</v>
      </c>
      <c r="F146" s="37" t="s">
        <v>515</v>
      </c>
      <c r="G146" s="38" t="s">
        <v>70</v>
      </c>
      <c r="H146" s="37"/>
      <c r="I146" s="37"/>
      <c r="J146" s="37" t="s">
        <v>518</v>
      </c>
      <c r="K146" s="40"/>
      <c r="L146" s="38"/>
      <c r="M146" s="38"/>
      <c r="N146" s="37"/>
      <c r="O146" s="37"/>
      <c r="P146" s="37"/>
      <c r="Q146" s="37"/>
      <c r="R146" s="39"/>
      <c r="S146" s="37"/>
      <c r="T146" s="38" t="s">
        <v>293</v>
      </c>
    </row>
    <row r="147" ht="34.5">
      <c r="A147" s="38" t="s">
        <v>285</v>
      </c>
      <c r="B147" s="38" t="s">
        <v>286</v>
      </c>
      <c r="C147" s="38" t="s">
        <v>519</v>
      </c>
      <c r="D147" s="38" t="s">
        <v>288</v>
      </c>
      <c r="E147" s="38" t="s">
        <v>514</v>
      </c>
      <c r="F147" s="37" t="s">
        <v>515</v>
      </c>
      <c r="G147" s="38" t="s">
        <v>70</v>
      </c>
      <c r="H147" s="37"/>
      <c r="I147" s="37"/>
      <c r="J147" s="37" t="s">
        <v>520</v>
      </c>
      <c r="K147" s="40"/>
      <c r="L147" s="38"/>
      <c r="M147" s="38"/>
      <c r="N147" s="37"/>
      <c r="O147" s="37"/>
      <c r="P147" s="37"/>
      <c r="Q147" s="37"/>
      <c r="R147" s="39"/>
      <c r="S147" s="37"/>
      <c r="T147" s="38" t="s">
        <v>293</v>
      </c>
    </row>
    <row r="148" ht="34.5">
      <c r="A148" s="38" t="s">
        <v>285</v>
      </c>
      <c r="B148" s="38" t="s">
        <v>286</v>
      </c>
      <c r="C148" s="38" t="s">
        <v>519</v>
      </c>
      <c r="D148" s="38" t="s">
        <v>521</v>
      </c>
      <c r="E148" s="38" t="s">
        <v>514</v>
      </c>
      <c r="F148" s="37" t="s">
        <v>515</v>
      </c>
      <c r="G148" s="38" t="s">
        <v>70</v>
      </c>
      <c r="H148" s="37"/>
      <c r="I148" s="37"/>
      <c r="J148" s="37" t="s">
        <v>522</v>
      </c>
      <c r="K148" s="40"/>
      <c r="L148" s="38"/>
      <c r="M148" s="38"/>
      <c r="N148" s="37"/>
      <c r="O148" s="37"/>
      <c r="P148" s="37"/>
      <c r="Q148" s="37"/>
      <c r="R148" s="39"/>
      <c r="S148" s="37"/>
      <c r="T148" s="38" t="s">
        <v>293</v>
      </c>
    </row>
    <row r="149" ht="34.5">
      <c r="A149" s="38" t="s">
        <v>285</v>
      </c>
      <c r="B149" s="38" t="s">
        <v>286</v>
      </c>
      <c r="C149" s="38" t="s">
        <v>519</v>
      </c>
      <c r="D149" s="38" t="s">
        <v>288</v>
      </c>
      <c r="E149" s="38" t="s">
        <v>523</v>
      </c>
      <c r="F149" s="37" t="s">
        <v>524</v>
      </c>
      <c r="G149" s="38" t="s">
        <v>400</v>
      </c>
      <c r="H149" s="37"/>
      <c r="I149" s="37"/>
      <c r="J149" s="37" t="s">
        <v>525</v>
      </c>
      <c r="K149" s="40"/>
      <c r="L149" s="38"/>
      <c r="M149" s="38"/>
      <c r="N149" s="37"/>
      <c r="O149" s="37"/>
      <c r="P149" s="37"/>
      <c r="Q149" s="37"/>
      <c r="R149" s="39"/>
      <c r="S149" s="37"/>
      <c r="T149" s="38" t="s">
        <v>293</v>
      </c>
    </row>
    <row r="150" ht="34.5">
      <c r="A150" s="38" t="s">
        <v>285</v>
      </c>
      <c r="B150" s="38" t="s">
        <v>286</v>
      </c>
      <c r="C150" s="38" t="s">
        <v>519</v>
      </c>
      <c r="D150" s="38" t="s">
        <v>526</v>
      </c>
      <c r="E150" s="38" t="s">
        <v>523</v>
      </c>
      <c r="F150" s="37" t="s">
        <v>524</v>
      </c>
      <c r="G150" s="38" t="s">
        <v>400</v>
      </c>
      <c r="H150" s="37"/>
      <c r="I150" s="37"/>
      <c r="J150" s="37" t="s">
        <v>527</v>
      </c>
      <c r="K150" s="40"/>
      <c r="L150" s="38"/>
      <c r="M150" s="38"/>
      <c r="N150" s="37"/>
      <c r="O150" s="37"/>
      <c r="P150" s="37"/>
      <c r="Q150" s="37"/>
      <c r="R150" s="39"/>
      <c r="S150" s="37"/>
      <c r="T150" s="38" t="s">
        <v>293</v>
      </c>
    </row>
    <row r="151" ht="34.5">
      <c r="A151" s="38" t="s">
        <v>285</v>
      </c>
      <c r="B151" s="38" t="s">
        <v>286</v>
      </c>
      <c r="C151" s="38" t="s">
        <v>528</v>
      </c>
      <c r="D151" s="38" t="s">
        <v>288</v>
      </c>
      <c r="E151" s="38" t="s">
        <v>529</v>
      </c>
      <c r="F151" s="37" t="s">
        <v>530</v>
      </c>
      <c r="G151" s="38" t="s">
        <v>70</v>
      </c>
      <c r="H151" s="37"/>
      <c r="I151" s="37"/>
      <c r="J151" s="37" t="s">
        <v>531</v>
      </c>
      <c r="K151" s="40"/>
      <c r="L151" s="38"/>
      <c r="M151" s="38"/>
      <c r="N151" s="37"/>
      <c r="O151" s="37"/>
      <c r="P151" s="37"/>
      <c r="Q151" s="37"/>
      <c r="R151" s="39"/>
      <c r="S151" s="37"/>
      <c r="T151" s="38" t="s">
        <v>293</v>
      </c>
    </row>
    <row r="152" ht="34.5">
      <c r="A152" s="38" t="s">
        <v>285</v>
      </c>
      <c r="B152" s="38" t="s">
        <v>286</v>
      </c>
      <c r="C152" s="38" t="s">
        <v>528</v>
      </c>
      <c r="D152" s="38" t="s">
        <v>532</v>
      </c>
      <c r="E152" s="38" t="s">
        <v>529</v>
      </c>
      <c r="F152" s="37" t="s">
        <v>530</v>
      </c>
      <c r="G152" s="38" t="s">
        <v>70</v>
      </c>
      <c r="H152" s="37"/>
      <c r="I152" s="37"/>
      <c r="J152" s="37" t="s">
        <v>533</v>
      </c>
      <c r="K152" s="40"/>
      <c r="L152" s="38"/>
      <c r="M152" s="38"/>
      <c r="N152" s="37"/>
      <c r="O152" s="37"/>
      <c r="P152" s="37"/>
      <c r="Q152" s="37"/>
      <c r="R152" s="39"/>
      <c r="S152" s="37"/>
      <c r="T152" s="38" t="s">
        <v>293</v>
      </c>
    </row>
    <row r="153" ht="34.5">
      <c r="A153" s="38" t="s">
        <v>285</v>
      </c>
      <c r="B153" s="38" t="s">
        <v>286</v>
      </c>
      <c r="C153" s="38" t="s">
        <v>528</v>
      </c>
      <c r="D153" s="38" t="s">
        <v>288</v>
      </c>
      <c r="E153" s="38" t="s">
        <v>534</v>
      </c>
      <c r="F153" s="37" t="s">
        <v>535</v>
      </c>
      <c r="G153" s="38" t="s">
        <v>536</v>
      </c>
      <c r="H153" s="37"/>
      <c r="I153" s="37"/>
      <c r="J153" s="37" t="s">
        <v>537</v>
      </c>
      <c r="K153" s="40"/>
      <c r="L153" s="38"/>
      <c r="M153" s="38"/>
      <c r="N153" s="37"/>
      <c r="O153" s="37"/>
      <c r="P153" s="37"/>
      <c r="Q153" s="37"/>
      <c r="R153" s="39"/>
      <c r="S153" s="37"/>
      <c r="T153" s="38" t="s">
        <v>293</v>
      </c>
    </row>
    <row r="154" ht="34.5">
      <c r="A154" s="38" t="s">
        <v>285</v>
      </c>
      <c r="B154" s="38" t="s">
        <v>286</v>
      </c>
      <c r="C154" s="38" t="s">
        <v>528</v>
      </c>
      <c r="D154" s="38" t="s">
        <v>538</v>
      </c>
      <c r="E154" s="38" t="s">
        <v>534</v>
      </c>
      <c r="F154" s="37" t="s">
        <v>535</v>
      </c>
      <c r="G154" s="38" t="s">
        <v>536</v>
      </c>
      <c r="H154" s="37"/>
      <c r="I154" s="37"/>
      <c r="J154" s="37" t="s">
        <v>539</v>
      </c>
      <c r="K154" s="40"/>
      <c r="L154" s="38"/>
      <c r="M154" s="38"/>
      <c r="N154" s="37"/>
      <c r="O154" s="37"/>
      <c r="P154" s="37"/>
      <c r="Q154" s="37"/>
      <c r="R154" s="39"/>
      <c r="S154" s="37"/>
      <c r="T154" s="38" t="s">
        <v>293</v>
      </c>
    </row>
    <row r="155" ht="34.5">
      <c r="A155" s="38" t="s">
        <v>285</v>
      </c>
      <c r="B155" s="38" t="s">
        <v>286</v>
      </c>
      <c r="C155" s="38" t="s">
        <v>540</v>
      </c>
      <c r="D155" s="38" t="s">
        <v>288</v>
      </c>
      <c r="E155" s="38" t="s">
        <v>541</v>
      </c>
      <c r="F155" s="37" t="s">
        <v>542</v>
      </c>
      <c r="G155" s="38" t="s">
        <v>536</v>
      </c>
      <c r="H155" s="37"/>
      <c r="I155" s="37"/>
      <c r="J155" s="37" t="s">
        <v>543</v>
      </c>
      <c r="K155" s="40"/>
      <c r="L155" s="38"/>
      <c r="M155" s="38"/>
      <c r="N155" s="37"/>
      <c r="O155" s="37"/>
      <c r="P155" s="37"/>
      <c r="Q155" s="37"/>
      <c r="R155" s="39"/>
      <c r="S155" s="37"/>
      <c r="T155" s="38" t="s">
        <v>293</v>
      </c>
    </row>
    <row r="156" ht="34.5">
      <c r="A156" s="38" t="s">
        <v>285</v>
      </c>
      <c r="B156" s="38" t="s">
        <v>286</v>
      </c>
      <c r="C156" s="38" t="s">
        <v>540</v>
      </c>
      <c r="D156" s="38" t="s">
        <v>544</v>
      </c>
      <c r="E156" s="38" t="s">
        <v>541</v>
      </c>
      <c r="F156" s="37" t="s">
        <v>542</v>
      </c>
      <c r="G156" s="38" t="s">
        <v>536</v>
      </c>
      <c r="H156" s="37"/>
      <c r="I156" s="37"/>
      <c r="J156" s="37" t="s">
        <v>545</v>
      </c>
      <c r="K156" s="40"/>
      <c r="L156" s="38"/>
      <c r="M156" s="38"/>
      <c r="N156" s="37"/>
      <c r="O156" s="37"/>
      <c r="P156" s="37"/>
      <c r="Q156" s="37"/>
      <c r="R156" s="39"/>
      <c r="S156" s="37"/>
      <c r="T156" s="38" t="s">
        <v>293</v>
      </c>
    </row>
    <row r="157" ht="34.5">
      <c r="A157" s="38" t="s">
        <v>285</v>
      </c>
      <c r="B157" s="38" t="s">
        <v>286</v>
      </c>
      <c r="C157" s="38" t="s">
        <v>540</v>
      </c>
      <c r="D157" s="38" t="s">
        <v>288</v>
      </c>
      <c r="E157" s="38" t="s">
        <v>541</v>
      </c>
      <c r="F157" s="37" t="s">
        <v>542</v>
      </c>
      <c r="G157" s="38" t="s">
        <v>536</v>
      </c>
      <c r="H157" s="37"/>
      <c r="I157" s="37"/>
      <c r="J157" s="37" t="s">
        <v>546</v>
      </c>
      <c r="K157" s="40">
        <v>2112</v>
      </c>
      <c r="L157" s="38" t="s">
        <v>297</v>
      </c>
      <c r="M157" s="38"/>
      <c r="N157" s="37"/>
      <c r="O157" s="37"/>
      <c r="P157" s="37"/>
      <c r="Q157" s="37"/>
      <c r="R157" s="39"/>
      <c r="S157" s="37"/>
      <c r="T157" s="38" t="s">
        <v>293</v>
      </c>
    </row>
    <row r="158" ht="34.5">
      <c r="A158" s="38" t="s">
        <v>285</v>
      </c>
      <c r="B158" s="38" t="s">
        <v>286</v>
      </c>
      <c r="C158" s="38" t="s">
        <v>540</v>
      </c>
      <c r="D158" s="38" t="s">
        <v>288</v>
      </c>
      <c r="E158" s="38" t="s">
        <v>541</v>
      </c>
      <c r="F158" s="37" t="s">
        <v>542</v>
      </c>
      <c r="G158" s="38" t="s">
        <v>536</v>
      </c>
      <c r="H158" s="37"/>
      <c r="I158" s="37"/>
      <c r="J158" s="37" t="s">
        <v>547</v>
      </c>
      <c r="K158" s="40"/>
      <c r="L158" s="38"/>
      <c r="M158" s="38"/>
      <c r="N158" s="37"/>
      <c r="O158" s="37"/>
      <c r="P158" s="37"/>
      <c r="Q158" s="37"/>
      <c r="R158" s="39"/>
      <c r="S158" s="37"/>
      <c r="T158" s="38" t="s">
        <v>293</v>
      </c>
    </row>
    <row r="159" ht="34.5">
      <c r="A159" s="38" t="s">
        <v>285</v>
      </c>
      <c r="B159" s="38" t="s">
        <v>286</v>
      </c>
      <c r="C159" s="38" t="s">
        <v>540</v>
      </c>
      <c r="D159" s="38" t="s">
        <v>288</v>
      </c>
      <c r="E159" s="38" t="s">
        <v>541</v>
      </c>
      <c r="F159" s="37" t="s">
        <v>542</v>
      </c>
      <c r="G159" s="38" t="s">
        <v>536</v>
      </c>
      <c r="H159" s="37"/>
      <c r="I159" s="37"/>
      <c r="J159" s="37" t="s">
        <v>548</v>
      </c>
      <c r="K159" s="40">
        <v>200000</v>
      </c>
      <c r="L159" s="38" t="s">
        <v>297</v>
      </c>
      <c r="M159" s="38"/>
      <c r="N159" s="37"/>
      <c r="O159" s="37"/>
      <c r="P159" s="37"/>
      <c r="Q159" s="37"/>
      <c r="R159" s="39"/>
      <c r="S159" s="37"/>
      <c r="T159" s="38" t="s">
        <v>293</v>
      </c>
    </row>
    <row r="160" ht="34.5">
      <c r="A160" s="38" t="s">
        <v>285</v>
      </c>
      <c r="B160" s="38" t="s">
        <v>286</v>
      </c>
      <c r="C160" s="38" t="s">
        <v>540</v>
      </c>
      <c r="D160" s="38" t="s">
        <v>288</v>
      </c>
      <c r="E160" s="38" t="s">
        <v>541</v>
      </c>
      <c r="F160" s="37" t="s">
        <v>542</v>
      </c>
      <c r="G160" s="38" t="s">
        <v>536</v>
      </c>
      <c r="H160" s="37"/>
      <c r="I160" s="37"/>
      <c r="J160" s="37" t="s">
        <v>549</v>
      </c>
      <c r="K160" s="40">
        <v>150000</v>
      </c>
      <c r="L160" s="38" t="s">
        <v>297</v>
      </c>
      <c r="M160" s="38"/>
      <c r="N160" s="37"/>
      <c r="O160" s="37"/>
      <c r="P160" s="37"/>
      <c r="Q160" s="37"/>
      <c r="R160" s="39"/>
      <c r="S160" s="37"/>
      <c r="T160" s="38" t="s">
        <v>293</v>
      </c>
    </row>
    <row r="161" ht="34.5">
      <c r="A161" s="38" t="s">
        <v>285</v>
      </c>
      <c r="B161" s="38" t="s">
        <v>286</v>
      </c>
      <c r="C161" s="38" t="s">
        <v>540</v>
      </c>
      <c r="D161" s="38" t="s">
        <v>288</v>
      </c>
      <c r="E161" s="38" t="s">
        <v>541</v>
      </c>
      <c r="F161" s="37" t="s">
        <v>542</v>
      </c>
      <c r="G161" s="38" t="s">
        <v>536</v>
      </c>
      <c r="H161" s="37"/>
      <c r="I161" s="37"/>
      <c r="J161" s="37" t="s">
        <v>550</v>
      </c>
      <c r="K161" s="40">
        <v>121147</v>
      </c>
      <c r="L161" s="38" t="s">
        <v>297</v>
      </c>
      <c r="M161" s="38"/>
      <c r="N161" s="37"/>
      <c r="O161" s="37"/>
      <c r="P161" s="37"/>
      <c r="Q161" s="37"/>
      <c r="R161" s="39"/>
      <c r="S161" s="37"/>
      <c r="T161" s="38" t="s">
        <v>293</v>
      </c>
    </row>
    <row r="162" ht="34.5">
      <c r="A162" s="38" t="s">
        <v>285</v>
      </c>
      <c r="B162" s="38" t="s">
        <v>286</v>
      </c>
      <c r="C162" s="38" t="s">
        <v>551</v>
      </c>
      <c r="D162" s="38" t="s">
        <v>288</v>
      </c>
      <c r="E162" s="38" t="s">
        <v>541</v>
      </c>
      <c r="F162" s="37" t="s">
        <v>542</v>
      </c>
      <c r="G162" s="38" t="s">
        <v>536</v>
      </c>
      <c r="H162" s="37"/>
      <c r="I162" s="37"/>
      <c r="J162" s="37" t="s">
        <v>552</v>
      </c>
      <c r="K162" s="40">
        <v>32670</v>
      </c>
      <c r="L162" s="38" t="s">
        <v>297</v>
      </c>
      <c r="M162" s="38"/>
      <c r="N162" s="37"/>
      <c r="O162" s="37"/>
      <c r="P162" s="37"/>
      <c r="Q162" s="37"/>
      <c r="R162" s="39"/>
      <c r="S162" s="37"/>
      <c r="T162" s="38" t="s">
        <v>293</v>
      </c>
    </row>
    <row r="163" ht="34.5">
      <c r="A163" s="38" t="s">
        <v>285</v>
      </c>
      <c r="B163" s="38" t="s">
        <v>286</v>
      </c>
      <c r="C163" s="38" t="s">
        <v>551</v>
      </c>
      <c r="D163" s="38" t="s">
        <v>288</v>
      </c>
      <c r="E163" s="38" t="s">
        <v>541</v>
      </c>
      <c r="F163" s="37" t="s">
        <v>542</v>
      </c>
      <c r="G163" s="38" t="s">
        <v>536</v>
      </c>
      <c r="H163" s="37"/>
      <c r="I163" s="37"/>
      <c r="J163" s="37" t="s">
        <v>553</v>
      </c>
      <c r="K163" s="40">
        <v>150000</v>
      </c>
      <c r="L163" s="38" t="s">
        <v>297</v>
      </c>
      <c r="M163" s="38"/>
      <c r="N163" s="37"/>
      <c r="O163" s="37"/>
      <c r="P163" s="37"/>
      <c r="Q163" s="37"/>
      <c r="R163" s="39"/>
      <c r="S163" s="37"/>
      <c r="T163" s="38" t="s">
        <v>293</v>
      </c>
    </row>
    <row r="164" ht="34.5">
      <c r="A164" s="38" t="s">
        <v>285</v>
      </c>
      <c r="B164" s="38" t="s">
        <v>286</v>
      </c>
      <c r="C164" s="38" t="s">
        <v>551</v>
      </c>
      <c r="D164" s="38" t="s">
        <v>288</v>
      </c>
      <c r="E164" s="38" t="s">
        <v>541</v>
      </c>
      <c r="F164" s="37" t="s">
        <v>542</v>
      </c>
      <c r="G164" s="38" t="s">
        <v>536</v>
      </c>
      <c r="H164" s="37"/>
      <c r="I164" s="37"/>
      <c r="J164" s="37" t="s">
        <v>554</v>
      </c>
      <c r="K164" s="40"/>
      <c r="L164" s="38"/>
      <c r="M164" s="38"/>
      <c r="N164" s="37"/>
      <c r="O164" s="37"/>
      <c r="P164" s="37"/>
      <c r="Q164" s="37"/>
      <c r="R164" s="39"/>
      <c r="S164" s="37"/>
      <c r="T164" s="38" t="s">
        <v>293</v>
      </c>
    </row>
    <row r="165" ht="34.5">
      <c r="A165" s="38" t="s">
        <v>285</v>
      </c>
      <c r="B165" s="38" t="s">
        <v>286</v>
      </c>
      <c r="C165" s="38" t="s">
        <v>551</v>
      </c>
      <c r="D165" s="38" t="s">
        <v>288</v>
      </c>
      <c r="E165" s="38" t="s">
        <v>541</v>
      </c>
      <c r="F165" s="37" t="s">
        <v>542</v>
      </c>
      <c r="G165" s="38" t="s">
        <v>536</v>
      </c>
      <c r="H165" s="37"/>
      <c r="I165" s="37"/>
      <c r="J165" s="37" t="s">
        <v>555</v>
      </c>
      <c r="K165" s="40"/>
      <c r="L165" s="38"/>
      <c r="M165" s="38"/>
      <c r="N165" s="37"/>
      <c r="O165" s="37"/>
      <c r="P165" s="37"/>
      <c r="Q165" s="37"/>
      <c r="R165" s="39"/>
      <c r="S165" s="37"/>
      <c r="T165" s="38" t="s">
        <v>293</v>
      </c>
    </row>
    <row r="166" ht="34.5">
      <c r="A166" s="38" t="s">
        <v>285</v>
      </c>
      <c r="B166" s="38" t="s">
        <v>286</v>
      </c>
      <c r="C166" s="38" t="s">
        <v>551</v>
      </c>
      <c r="D166" s="38" t="s">
        <v>288</v>
      </c>
      <c r="E166" s="38" t="s">
        <v>541</v>
      </c>
      <c r="F166" s="37" t="s">
        <v>542</v>
      </c>
      <c r="G166" s="38" t="s">
        <v>536</v>
      </c>
      <c r="H166" s="37"/>
      <c r="I166" s="37"/>
      <c r="J166" s="37" t="s">
        <v>556</v>
      </c>
      <c r="K166" s="40"/>
      <c r="L166" s="38"/>
      <c r="M166" s="38"/>
      <c r="N166" s="37"/>
      <c r="O166" s="37"/>
      <c r="P166" s="37"/>
      <c r="Q166" s="37"/>
      <c r="R166" s="39"/>
      <c r="S166" s="37"/>
      <c r="T166" s="38" t="s">
        <v>293</v>
      </c>
    </row>
    <row r="167" ht="34.5">
      <c r="A167" s="38" t="s">
        <v>285</v>
      </c>
      <c r="B167" s="38" t="s">
        <v>286</v>
      </c>
      <c r="C167" s="38" t="s">
        <v>551</v>
      </c>
      <c r="D167" s="38" t="s">
        <v>288</v>
      </c>
      <c r="E167" s="38" t="s">
        <v>541</v>
      </c>
      <c r="F167" s="37" t="s">
        <v>542</v>
      </c>
      <c r="G167" s="38" t="s">
        <v>536</v>
      </c>
      <c r="H167" s="37"/>
      <c r="I167" s="37"/>
      <c r="J167" s="37" t="s">
        <v>557</v>
      </c>
      <c r="K167" s="40">
        <v>249073</v>
      </c>
      <c r="L167" s="38" t="s">
        <v>297</v>
      </c>
      <c r="M167" s="38"/>
      <c r="N167" s="37"/>
      <c r="O167" s="37"/>
      <c r="P167" s="37"/>
      <c r="Q167" s="37"/>
      <c r="R167" s="39"/>
      <c r="S167" s="37"/>
      <c r="T167" s="38" t="s">
        <v>293</v>
      </c>
    </row>
    <row r="168" ht="34.5">
      <c r="A168" s="38" t="s">
        <v>285</v>
      </c>
      <c r="B168" s="38" t="s">
        <v>286</v>
      </c>
      <c r="C168" s="38" t="s">
        <v>558</v>
      </c>
      <c r="D168" s="38" t="s">
        <v>559</v>
      </c>
      <c r="E168" s="38" t="s">
        <v>541</v>
      </c>
      <c r="F168" s="37" t="s">
        <v>542</v>
      </c>
      <c r="G168" s="38" t="s">
        <v>536</v>
      </c>
      <c r="H168" s="37"/>
      <c r="I168" s="37"/>
      <c r="J168" s="37" t="s">
        <v>560</v>
      </c>
      <c r="K168" s="40"/>
      <c r="L168" s="38"/>
      <c r="M168" s="38"/>
      <c r="N168" s="37"/>
      <c r="O168" s="37"/>
      <c r="P168" s="37"/>
      <c r="Q168" s="37"/>
      <c r="R168" s="39"/>
      <c r="S168" s="37"/>
      <c r="T168" s="38" t="s">
        <v>293</v>
      </c>
    </row>
    <row r="169" ht="34.5">
      <c r="A169" s="38" t="s">
        <v>285</v>
      </c>
      <c r="B169" s="38" t="s">
        <v>286</v>
      </c>
      <c r="C169" s="38" t="s">
        <v>561</v>
      </c>
      <c r="D169" s="38" t="s">
        <v>288</v>
      </c>
      <c r="E169" s="38" t="s">
        <v>562</v>
      </c>
      <c r="F169" s="37" t="s">
        <v>563</v>
      </c>
      <c r="G169" s="38" t="s">
        <v>536</v>
      </c>
      <c r="H169" s="37"/>
      <c r="I169" s="37"/>
      <c r="J169" s="37" t="s">
        <v>564</v>
      </c>
      <c r="K169" s="40"/>
      <c r="L169" s="38"/>
      <c r="M169" s="38"/>
      <c r="N169" s="37"/>
      <c r="O169" s="37"/>
      <c r="P169" s="37"/>
      <c r="Q169" s="37"/>
      <c r="R169" s="39"/>
      <c r="S169" s="37"/>
      <c r="T169" s="38" t="s">
        <v>293</v>
      </c>
    </row>
    <row r="170" ht="34.5">
      <c r="A170" s="38" t="s">
        <v>285</v>
      </c>
      <c r="B170" s="38" t="s">
        <v>286</v>
      </c>
      <c r="C170" s="38" t="s">
        <v>561</v>
      </c>
      <c r="D170" s="38" t="s">
        <v>565</v>
      </c>
      <c r="E170" s="38" t="s">
        <v>562</v>
      </c>
      <c r="F170" s="37" t="s">
        <v>563</v>
      </c>
      <c r="G170" s="38" t="s">
        <v>536</v>
      </c>
      <c r="H170" s="37"/>
      <c r="I170" s="37"/>
      <c r="J170" s="37" t="s">
        <v>566</v>
      </c>
      <c r="K170" s="40"/>
      <c r="L170" s="38"/>
      <c r="M170" s="38"/>
      <c r="N170" s="37"/>
      <c r="O170" s="37"/>
      <c r="P170" s="37"/>
      <c r="Q170" s="37"/>
      <c r="R170" s="39"/>
      <c r="S170" s="37"/>
      <c r="T170" s="38" t="s">
        <v>293</v>
      </c>
    </row>
    <row r="171" ht="34.5">
      <c r="A171" s="38" t="s">
        <v>285</v>
      </c>
      <c r="B171" s="38" t="s">
        <v>286</v>
      </c>
      <c r="C171" s="38" t="s">
        <v>561</v>
      </c>
      <c r="D171" s="38" t="s">
        <v>288</v>
      </c>
      <c r="E171" s="38" t="s">
        <v>567</v>
      </c>
      <c r="F171" s="37" t="s">
        <v>568</v>
      </c>
      <c r="G171" s="38" t="s">
        <v>569</v>
      </c>
      <c r="H171" s="37"/>
      <c r="I171" s="37"/>
      <c r="J171" s="37" t="s">
        <v>570</v>
      </c>
      <c r="K171" s="40"/>
      <c r="L171" s="38"/>
      <c r="M171" s="38"/>
      <c r="N171" s="37"/>
      <c r="O171" s="37"/>
      <c r="P171" s="37"/>
      <c r="Q171" s="37"/>
      <c r="R171" s="39"/>
      <c r="S171" s="37"/>
      <c r="T171" s="38" t="s">
        <v>293</v>
      </c>
    </row>
    <row r="172" ht="34.5">
      <c r="A172" s="38" t="s">
        <v>285</v>
      </c>
      <c r="B172" s="38" t="s">
        <v>286</v>
      </c>
      <c r="C172" s="38" t="s">
        <v>561</v>
      </c>
      <c r="D172" s="38" t="s">
        <v>288</v>
      </c>
      <c r="E172" s="38" t="s">
        <v>567</v>
      </c>
      <c r="F172" s="37" t="s">
        <v>568</v>
      </c>
      <c r="G172" s="38" t="s">
        <v>569</v>
      </c>
      <c r="H172" s="37"/>
      <c r="I172" s="37"/>
      <c r="J172" s="37" t="s">
        <v>571</v>
      </c>
      <c r="K172" s="40"/>
      <c r="L172" s="38"/>
      <c r="M172" s="38"/>
      <c r="N172" s="37"/>
      <c r="O172" s="37"/>
      <c r="P172" s="37"/>
      <c r="Q172" s="37"/>
      <c r="R172" s="39"/>
      <c r="S172" s="37"/>
      <c r="T172" s="38" t="s">
        <v>293</v>
      </c>
    </row>
    <row r="173" ht="34.5">
      <c r="A173" s="38" t="s">
        <v>285</v>
      </c>
      <c r="B173" s="38" t="s">
        <v>286</v>
      </c>
      <c r="C173" s="38" t="s">
        <v>561</v>
      </c>
      <c r="D173" s="38" t="s">
        <v>288</v>
      </c>
      <c r="E173" s="38" t="s">
        <v>567</v>
      </c>
      <c r="F173" s="37" t="s">
        <v>568</v>
      </c>
      <c r="G173" s="38" t="s">
        <v>569</v>
      </c>
      <c r="H173" s="37"/>
      <c r="I173" s="37"/>
      <c r="J173" s="37" t="s">
        <v>572</v>
      </c>
      <c r="K173" s="40">
        <v>8820280</v>
      </c>
      <c r="L173" s="38" t="s">
        <v>297</v>
      </c>
      <c r="M173" s="38"/>
      <c r="N173" s="37"/>
      <c r="O173" s="37"/>
      <c r="P173" s="37"/>
      <c r="Q173" s="37"/>
      <c r="R173" s="39"/>
      <c r="S173" s="37"/>
      <c r="T173" s="38" t="s">
        <v>293</v>
      </c>
    </row>
    <row r="174" ht="34.5">
      <c r="A174" s="38" t="s">
        <v>285</v>
      </c>
      <c r="B174" s="38" t="s">
        <v>286</v>
      </c>
      <c r="C174" s="38" t="s">
        <v>561</v>
      </c>
      <c r="D174" s="38" t="s">
        <v>573</v>
      </c>
      <c r="E174" s="38" t="s">
        <v>567</v>
      </c>
      <c r="F174" s="37" t="s">
        <v>568</v>
      </c>
      <c r="G174" s="38" t="s">
        <v>569</v>
      </c>
      <c r="H174" s="37"/>
      <c r="I174" s="37"/>
      <c r="J174" s="37" t="s">
        <v>574</v>
      </c>
      <c r="K174" s="40"/>
      <c r="L174" s="38"/>
      <c r="M174" s="38"/>
      <c r="N174" s="37"/>
      <c r="O174" s="37"/>
      <c r="P174" s="37"/>
      <c r="Q174" s="37"/>
      <c r="R174" s="39"/>
      <c r="S174" s="37"/>
      <c r="T174" s="38" t="s">
        <v>293</v>
      </c>
    </row>
    <row r="175" ht="34.5">
      <c r="A175" s="38" t="s">
        <v>285</v>
      </c>
      <c r="B175" s="38" t="s">
        <v>286</v>
      </c>
      <c r="C175" s="38" t="s">
        <v>575</v>
      </c>
      <c r="D175" s="38" t="s">
        <v>288</v>
      </c>
      <c r="E175" s="38" t="s">
        <v>567</v>
      </c>
      <c r="F175" s="37" t="s">
        <v>568</v>
      </c>
      <c r="G175" s="38" t="s">
        <v>569</v>
      </c>
      <c r="H175" s="37"/>
      <c r="I175" s="37"/>
      <c r="J175" s="37" t="s">
        <v>576</v>
      </c>
      <c r="K175" s="40"/>
      <c r="L175" s="38"/>
      <c r="M175" s="38"/>
      <c r="N175" s="37"/>
      <c r="O175" s="37"/>
      <c r="P175" s="37"/>
      <c r="Q175" s="37"/>
      <c r="R175" s="39"/>
      <c r="S175" s="37"/>
      <c r="T175" s="38" t="s">
        <v>293</v>
      </c>
    </row>
    <row r="176" ht="34.5">
      <c r="A176" s="38" t="s">
        <v>285</v>
      </c>
      <c r="B176" s="38" t="s">
        <v>286</v>
      </c>
      <c r="C176" s="38" t="s">
        <v>575</v>
      </c>
      <c r="D176" s="38" t="s">
        <v>577</v>
      </c>
      <c r="E176" s="38" t="s">
        <v>567</v>
      </c>
      <c r="F176" s="37" t="s">
        <v>568</v>
      </c>
      <c r="G176" s="38" t="s">
        <v>569</v>
      </c>
      <c r="H176" s="37"/>
      <c r="I176" s="37"/>
      <c r="J176" s="37" t="s">
        <v>578</v>
      </c>
      <c r="K176" s="40"/>
      <c r="L176" s="38"/>
      <c r="M176" s="38"/>
      <c r="N176" s="37"/>
      <c r="O176" s="37"/>
      <c r="P176" s="37"/>
      <c r="Q176" s="37"/>
      <c r="R176" s="39"/>
      <c r="S176" s="37"/>
      <c r="T176" s="38" t="s">
        <v>293</v>
      </c>
    </row>
    <row r="177" ht="34.5">
      <c r="A177" s="38" t="s">
        <v>285</v>
      </c>
      <c r="B177" s="38" t="s">
        <v>286</v>
      </c>
      <c r="C177" s="38" t="s">
        <v>575</v>
      </c>
      <c r="D177" s="38" t="s">
        <v>288</v>
      </c>
      <c r="E177" s="38" t="s">
        <v>567</v>
      </c>
      <c r="F177" s="37" t="s">
        <v>568</v>
      </c>
      <c r="G177" s="38" t="s">
        <v>569</v>
      </c>
      <c r="H177" s="37"/>
      <c r="I177" s="37"/>
      <c r="J177" s="37" t="s">
        <v>579</v>
      </c>
      <c r="K177" s="40"/>
      <c r="L177" s="38"/>
      <c r="M177" s="38"/>
      <c r="N177" s="37"/>
      <c r="O177" s="37"/>
      <c r="P177" s="37"/>
      <c r="Q177" s="37"/>
      <c r="R177" s="39"/>
      <c r="S177" s="37"/>
      <c r="T177" s="38" t="s">
        <v>293</v>
      </c>
    </row>
    <row r="178" ht="34.5">
      <c r="A178" s="38" t="s">
        <v>285</v>
      </c>
      <c r="B178" s="38" t="s">
        <v>286</v>
      </c>
      <c r="C178" s="38" t="s">
        <v>575</v>
      </c>
      <c r="D178" s="38" t="s">
        <v>580</v>
      </c>
      <c r="E178" s="38" t="s">
        <v>567</v>
      </c>
      <c r="F178" s="37" t="s">
        <v>568</v>
      </c>
      <c r="G178" s="38" t="s">
        <v>569</v>
      </c>
      <c r="H178" s="37"/>
      <c r="I178" s="37"/>
      <c r="J178" s="37" t="s">
        <v>581</v>
      </c>
      <c r="K178" s="40"/>
      <c r="L178" s="38"/>
      <c r="M178" s="38"/>
      <c r="N178" s="37"/>
      <c r="O178" s="37"/>
      <c r="P178" s="37"/>
      <c r="Q178" s="37"/>
      <c r="R178" s="39"/>
      <c r="S178" s="37"/>
      <c r="T178" s="38" t="s">
        <v>293</v>
      </c>
    </row>
    <row r="179" ht="34.5">
      <c r="A179" s="38" t="s">
        <v>285</v>
      </c>
      <c r="B179" s="38" t="s">
        <v>286</v>
      </c>
      <c r="C179" s="38" t="s">
        <v>582</v>
      </c>
      <c r="D179" s="38" t="s">
        <v>288</v>
      </c>
      <c r="E179" s="38" t="s">
        <v>567</v>
      </c>
      <c r="F179" s="37" t="s">
        <v>568</v>
      </c>
      <c r="G179" s="38" t="s">
        <v>569</v>
      </c>
      <c r="H179" s="37"/>
      <c r="I179" s="37"/>
      <c r="J179" s="37" t="s">
        <v>583</v>
      </c>
      <c r="K179" s="40"/>
      <c r="L179" s="38"/>
      <c r="M179" s="38"/>
      <c r="N179" s="37"/>
      <c r="O179" s="37"/>
      <c r="P179" s="37"/>
      <c r="Q179" s="37"/>
      <c r="R179" s="39"/>
      <c r="S179" s="37"/>
      <c r="T179" s="38" t="s">
        <v>293</v>
      </c>
    </row>
    <row r="180" ht="34.5">
      <c r="A180" s="38" t="s">
        <v>285</v>
      </c>
      <c r="B180" s="38" t="s">
        <v>286</v>
      </c>
      <c r="C180" s="38" t="s">
        <v>582</v>
      </c>
      <c r="D180" s="38" t="s">
        <v>584</v>
      </c>
      <c r="E180" s="38" t="s">
        <v>567</v>
      </c>
      <c r="F180" s="37" t="s">
        <v>568</v>
      </c>
      <c r="G180" s="38" t="s">
        <v>569</v>
      </c>
      <c r="H180" s="37"/>
      <c r="I180" s="37"/>
      <c r="J180" s="37" t="s">
        <v>585</v>
      </c>
      <c r="K180" s="40"/>
      <c r="L180" s="38"/>
      <c r="M180" s="38"/>
      <c r="N180" s="37"/>
      <c r="O180" s="37"/>
      <c r="P180" s="37"/>
      <c r="Q180" s="37"/>
      <c r="R180" s="39"/>
      <c r="S180" s="37"/>
      <c r="T180" s="38" t="s">
        <v>293</v>
      </c>
    </row>
    <row r="181" ht="34.5">
      <c r="A181" s="38" t="s">
        <v>285</v>
      </c>
      <c r="B181" s="38" t="s">
        <v>286</v>
      </c>
      <c r="C181" s="38" t="s">
        <v>582</v>
      </c>
      <c r="D181" s="38" t="s">
        <v>288</v>
      </c>
      <c r="E181" s="38" t="s">
        <v>567</v>
      </c>
      <c r="F181" s="37" t="s">
        <v>568</v>
      </c>
      <c r="G181" s="38" t="s">
        <v>569</v>
      </c>
      <c r="H181" s="37"/>
      <c r="I181" s="37"/>
      <c r="J181" s="37" t="s">
        <v>586</v>
      </c>
      <c r="K181" s="40"/>
      <c r="L181" s="38"/>
      <c r="M181" s="38"/>
      <c r="N181" s="37"/>
      <c r="O181" s="37"/>
      <c r="P181" s="37"/>
      <c r="Q181" s="37"/>
      <c r="R181" s="39"/>
      <c r="S181" s="37"/>
      <c r="T181" s="38" t="s">
        <v>293</v>
      </c>
    </row>
    <row r="182" ht="34.5">
      <c r="A182" s="38" t="s">
        <v>285</v>
      </c>
      <c r="B182" s="38" t="s">
        <v>286</v>
      </c>
      <c r="C182" s="38" t="s">
        <v>582</v>
      </c>
      <c r="D182" s="38" t="s">
        <v>288</v>
      </c>
      <c r="E182" s="38" t="s">
        <v>587</v>
      </c>
      <c r="F182" s="37" t="s">
        <v>588</v>
      </c>
      <c r="G182" s="38" t="s">
        <v>70</v>
      </c>
      <c r="H182" s="37"/>
      <c r="I182" s="37"/>
      <c r="J182" s="37" t="s">
        <v>589</v>
      </c>
      <c r="K182" s="40"/>
      <c r="L182" s="38"/>
      <c r="M182" s="38"/>
      <c r="N182" s="37"/>
      <c r="O182" s="37"/>
      <c r="P182" s="37"/>
      <c r="Q182" s="37"/>
      <c r="R182" s="39"/>
      <c r="S182" s="37"/>
      <c r="T182" s="38" t="s">
        <v>293</v>
      </c>
    </row>
    <row r="183" ht="34.5">
      <c r="A183" s="38" t="s">
        <v>285</v>
      </c>
      <c r="B183" s="38" t="s">
        <v>286</v>
      </c>
      <c r="C183" s="38" t="s">
        <v>582</v>
      </c>
      <c r="D183" s="38" t="s">
        <v>288</v>
      </c>
      <c r="E183" s="38" t="s">
        <v>587</v>
      </c>
      <c r="F183" s="37" t="s">
        <v>588</v>
      </c>
      <c r="G183" s="38" t="s">
        <v>70</v>
      </c>
      <c r="H183" s="37"/>
      <c r="I183" s="37"/>
      <c r="J183" s="37" t="s">
        <v>590</v>
      </c>
      <c r="K183" s="40">
        <v>342248852</v>
      </c>
      <c r="L183" s="38" t="s">
        <v>297</v>
      </c>
      <c r="M183" s="38"/>
      <c r="N183" s="37"/>
      <c r="O183" s="37"/>
      <c r="P183" s="37"/>
      <c r="Q183" s="37"/>
      <c r="R183" s="39"/>
      <c r="S183" s="37"/>
      <c r="T183" s="38" t="s">
        <v>293</v>
      </c>
    </row>
    <row r="184" ht="34.5">
      <c r="A184" s="38" t="s">
        <v>285</v>
      </c>
      <c r="B184" s="38" t="s">
        <v>286</v>
      </c>
      <c r="C184" s="38" t="s">
        <v>582</v>
      </c>
      <c r="D184" s="38" t="s">
        <v>288</v>
      </c>
      <c r="E184" s="38" t="s">
        <v>591</v>
      </c>
      <c r="F184" s="37" t="s">
        <v>592</v>
      </c>
      <c r="G184" s="38" t="s">
        <v>500</v>
      </c>
      <c r="H184" s="37"/>
      <c r="I184" s="37"/>
      <c r="J184" s="37" t="s">
        <v>593</v>
      </c>
      <c r="K184" s="40"/>
      <c r="L184" s="38"/>
      <c r="M184" s="38"/>
      <c r="N184" s="37"/>
      <c r="O184" s="37"/>
      <c r="P184" s="37"/>
      <c r="Q184" s="37"/>
      <c r="R184" s="39"/>
      <c r="S184" s="37"/>
      <c r="T184" s="38" t="s">
        <v>293</v>
      </c>
    </row>
    <row r="185" ht="34.5">
      <c r="A185" s="38" t="s">
        <v>285</v>
      </c>
      <c r="B185" s="38" t="s">
        <v>286</v>
      </c>
      <c r="C185" s="38" t="s">
        <v>582</v>
      </c>
      <c r="D185" s="38" t="s">
        <v>288</v>
      </c>
      <c r="E185" s="38" t="s">
        <v>591</v>
      </c>
      <c r="F185" s="37" t="s">
        <v>592</v>
      </c>
      <c r="G185" s="38" t="s">
        <v>500</v>
      </c>
      <c r="H185" s="37"/>
      <c r="I185" s="37"/>
      <c r="J185" s="37" t="s">
        <v>594</v>
      </c>
      <c r="K185" s="40">
        <v>76138086</v>
      </c>
      <c r="L185" s="38" t="s">
        <v>297</v>
      </c>
      <c r="M185" s="38"/>
      <c r="N185" s="37"/>
      <c r="O185" s="37"/>
      <c r="P185" s="37"/>
      <c r="Q185" s="37"/>
      <c r="R185" s="39"/>
      <c r="S185" s="37"/>
      <c r="T185" s="38" t="s">
        <v>293</v>
      </c>
    </row>
    <row r="186" ht="34.5">
      <c r="A186" s="38" t="s">
        <v>285</v>
      </c>
      <c r="B186" s="38" t="s">
        <v>286</v>
      </c>
      <c r="C186" s="38" t="s">
        <v>582</v>
      </c>
      <c r="D186" s="38" t="s">
        <v>595</v>
      </c>
      <c r="E186" s="38" t="s">
        <v>591</v>
      </c>
      <c r="F186" s="37" t="s">
        <v>592</v>
      </c>
      <c r="G186" s="38" t="s">
        <v>500</v>
      </c>
      <c r="H186" s="37"/>
      <c r="I186" s="37"/>
      <c r="J186" s="37" t="s">
        <v>596</v>
      </c>
      <c r="K186" s="40"/>
      <c r="L186" s="38"/>
      <c r="M186" s="38"/>
      <c r="N186" s="37"/>
      <c r="O186" s="37"/>
      <c r="P186" s="37"/>
      <c r="Q186" s="37"/>
      <c r="R186" s="39"/>
      <c r="S186" s="37"/>
      <c r="T186" s="38" t="s">
        <v>293</v>
      </c>
    </row>
    <row r="187" ht="34.5">
      <c r="A187" s="38" t="s">
        <v>285</v>
      </c>
      <c r="B187" s="38" t="s">
        <v>286</v>
      </c>
      <c r="C187" s="38" t="s">
        <v>597</v>
      </c>
      <c r="D187" s="38" t="s">
        <v>288</v>
      </c>
      <c r="E187" s="38" t="s">
        <v>591</v>
      </c>
      <c r="F187" s="37" t="s">
        <v>592</v>
      </c>
      <c r="G187" s="38" t="s">
        <v>500</v>
      </c>
      <c r="H187" s="37"/>
      <c r="I187" s="37"/>
      <c r="J187" s="37" t="s">
        <v>598</v>
      </c>
      <c r="K187" s="40"/>
      <c r="L187" s="38"/>
      <c r="M187" s="38"/>
      <c r="N187" s="37"/>
      <c r="O187" s="37"/>
      <c r="P187" s="37"/>
      <c r="Q187" s="37"/>
      <c r="R187" s="39"/>
      <c r="S187" s="37"/>
      <c r="T187" s="38" t="s">
        <v>293</v>
      </c>
    </row>
    <row r="188" ht="34.5">
      <c r="A188" s="38" t="s">
        <v>285</v>
      </c>
      <c r="B188" s="38" t="s">
        <v>286</v>
      </c>
      <c r="C188" s="38" t="s">
        <v>597</v>
      </c>
      <c r="D188" s="38" t="s">
        <v>599</v>
      </c>
      <c r="E188" s="38" t="s">
        <v>591</v>
      </c>
      <c r="F188" s="37" t="s">
        <v>592</v>
      </c>
      <c r="G188" s="38" t="s">
        <v>500</v>
      </c>
      <c r="H188" s="37"/>
      <c r="I188" s="37"/>
      <c r="J188" s="37" t="s">
        <v>600</v>
      </c>
      <c r="K188" s="40"/>
      <c r="L188" s="38"/>
      <c r="M188" s="38"/>
      <c r="N188" s="37"/>
      <c r="O188" s="37"/>
      <c r="P188" s="37"/>
      <c r="Q188" s="37"/>
      <c r="R188" s="39"/>
      <c r="S188" s="37"/>
      <c r="T188" s="38" t="s">
        <v>293</v>
      </c>
    </row>
    <row r="189" ht="34.5">
      <c r="A189" s="38" t="s">
        <v>285</v>
      </c>
      <c r="B189" s="38" t="s">
        <v>286</v>
      </c>
      <c r="C189" s="38" t="s">
        <v>597</v>
      </c>
      <c r="D189" s="38" t="s">
        <v>288</v>
      </c>
      <c r="E189" s="38" t="s">
        <v>591</v>
      </c>
      <c r="F189" s="37" t="s">
        <v>592</v>
      </c>
      <c r="G189" s="38" t="s">
        <v>500</v>
      </c>
      <c r="H189" s="37"/>
      <c r="I189" s="37"/>
      <c r="J189" s="37" t="s">
        <v>601</v>
      </c>
      <c r="K189" s="40"/>
      <c r="L189" s="38"/>
      <c r="M189" s="38"/>
      <c r="N189" s="37"/>
      <c r="O189" s="37"/>
      <c r="P189" s="37"/>
      <c r="Q189" s="37"/>
      <c r="R189" s="39"/>
      <c r="S189" s="37"/>
      <c r="T189" s="38" t="s">
        <v>293</v>
      </c>
    </row>
    <row r="190" ht="34.5">
      <c r="A190" s="38" t="s">
        <v>285</v>
      </c>
      <c r="B190" s="38" t="s">
        <v>286</v>
      </c>
      <c r="C190" s="38" t="s">
        <v>597</v>
      </c>
      <c r="D190" s="38" t="s">
        <v>288</v>
      </c>
      <c r="E190" s="38" t="s">
        <v>591</v>
      </c>
      <c r="F190" s="37" t="s">
        <v>592</v>
      </c>
      <c r="G190" s="38" t="s">
        <v>500</v>
      </c>
      <c r="H190" s="37"/>
      <c r="I190" s="37"/>
      <c r="J190" s="37" t="s">
        <v>602</v>
      </c>
      <c r="K190" s="40"/>
      <c r="L190" s="38"/>
      <c r="M190" s="38"/>
      <c r="N190" s="37"/>
      <c r="O190" s="37"/>
      <c r="P190" s="37"/>
      <c r="Q190" s="37"/>
      <c r="R190" s="39"/>
      <c r="S190" s="37"/>
      <c r="T190" s="38" t="s">
        <v>293</v>
      </c>
    </row>
    <row r="191" ht="34.5">
      <c r="A191" s="38" t="s">
        <v>285</v>
      </c>
      <c r="B191" s="38" t="s">
        <v>286</v>
      </c>
      <c r="C191" s="38" t="s">
        <v>597</v>
      </c>
      <c r="D191" s="38" t="s">
        <v>603</v>
      </c>
      <c r="E191" s="38" t="s">
        <v>591</v>
      </c>
      <c r="F191" s="37" t="s">
        <v>592</v>
      </c>
      <c r="G191" s="38" t="s">
        <v>500</v>
      </c>
      <c r="H191" s="37"/>
      <c r="I191" s="37"/>
      <c r="J191" s="37" t="s">
        <v>604</v>
      </c>
      <c r="K191" s="40"/>
      <c r="L191" s="38"/>
      <c r="M191" s="38"/>
      <c r="N191" s="37"/>
      <c r="O191" s="37"/>
      <c r="P191" s="37"/>
      <c r="Q191" s="37"/>
      <c r="R191" s="39"/>
      <c r="S191" s="37"/>
      <c r="T191" s="38" t="s">
        <v>293</v>
      </c>
    </row>
    <row r="192" ht="34.5">
      <c r="A192" s="38" t="s">
        <v>285</v>
      </c>
      <c r="B192" s="38" t="s">
        <v>286</v>
      </c>
      <c r="C192" s="38" t="s">
        <v>597</v>
      </c>
      <c r="D192" s="38" t="s">
        <v>288</v>
      </c>
      <c r="E192" s="38" t="s">
        <v>591</v>
      </c>
      <c r="F192" s="37" t="s">
        <v>592</v>
      </c>
      <c r="G192" s="38" t="s">
        <v>500</v>
      </c>
      <c r="H192" s="37"/>
      <c r="I192" s="37"/>
      <c r="J192" s="37" t="s">
        <v>605</v>
      </c>
      <c r="K192" s="40"/>
      <c r="L192" s="38"/>
      <c r="M192" s="38"/>
      <c r="N192" s="37"/>
      <c r="O192" s="37"/>
      <c r="P192" s="37"/>
      <c r="Q192" s="37"/>
      <c r="R192" s="39"/>
      <c r="S192" s="37"/>
      <c r="T192" s="38" t="s">
        <v>293</v>
      </c>
    </row>
    <row r="193" ht="34.5">
      <c r="A193" s="38" t="s">
        <v>285</v>
      </c>
      <c r="B193" s="38" t="s">
        <v>286</v>
      </c>
      <c r="C193" s="38" t="s">
        <v>597</v>
      </c>
      <c r="D193" s="38" t="s">
        <v>288</v>
      </c>
      <c r="E193" s="38" t="s">
        <v>591</v>
      </c>
      <c r="F193" s="37" t="s">
        <v>592</v>
      </c>
      <c r="G193" s="38" t="s">
        <v>500</v>
      </c>
      <c r="H193" s="37"/>
      <c r="I193" s="37"/>
      <c r="J193" s="37" t="s">
        <v>606</v>
      </c>
      <c r="K193" s="40">
        <v>14936415</v>
      </c>
      <c r="L193" s="38" t="s">
        <v>297</v>
      </c>
      <c r="M193" s="38"/>
      <c r="N193" s="37"/>
      <c r="O193" s="37"/>
      <c r="P193" s="37"/>
      <c r="Q193" s="37"/>
      <c r="R193" s="39"/>
      <c r="S193" s="37"/>
      <c r="T193" s="38" t="s">
        <v>293</v>
      </c>
    </row>
    <row r="194" ht="34.5">
      <c r="A194" s="38" t="s">
        <v>285</v>
      </c>
      <c r="B194" s="38" t="s">
        <v>286</v>
      </c>
      <c r="C194" s="38" t="s">
        <v>597</v>
      </c>
      <c r="D194" s="38" t="s">
        <v>288</v>
      </c>
      <c r="E194" s="38" t="s">
        <v>591</v>
      </c>
      <c r="F194" s="37" t="s">
        <v>592</v>
      </c>
      <c r="G194" s="38" t="s">
        <v>500</v>
      </c>
      <c r="H194" s="37"/>
      <c r="I194" s="37"/>
      <c r="J194" s="37" t="s">
        <v>607</v>
      </c>
      <c r="K194" s="40"/>
      <c r="L194" s="38"/>
      <c r="M194" s="38"/>
      <c r="N194" s="37"/>
      <c r="O194" s="37"/>
      <c r="P194" s="37"/>
      <c r="Q194" s="37"/>
      <c r="R194" s="39"/>
      <c r="S194" s="37"/>
      <c r="T194" s="38" t="s">
        <v>293</v>
      </c>
    </row>
    <row r="195" ht="34.5">
      <c r="A195" s="38" t="s">
        <v>285</v>
      </c>
      <c r="B195" s="38" t="s">
        <v>286</v>
      </c>
      <c r="C195" s="38" t="s">
        <v>608</v>
      </c>
      <c r="D195" s="38" t="s">
        <v>288</v>
      </c>
      <c r="E195" s="38" t="s">
        <v>591</v>
      </c>
      <c r="F195" s="37" t="s">
        <v>592</v>
      </c>
      <c r="G195" s="38" t="s">
        <v>500</v>
      </c>
      <c r="H195" s="37"/>
      <c r="I195" s="37"/>
      <c r="J195" s="37" t="s">
        <v>609</v>
      </c>
      <c r="K195" s="40"/>
      <c r="L195" s="38"/>
      <c r="M195" s="38"/>
      <c r="N195" s="37"/>
      <c r="O195" s="37"/>
      <c r="P195" s="37"/>
      <c r="Q195" s="37"/>
      <c r="R195" s="39"/>
      <c r="S195" s="37"/>
      <c r="T195" s="38" t="s">
        <v>293</v>
      </c>
    </row>
    <row r="196" ht="34.5">
      <c r="A196" s="38" t="s">
        <v>285</v>
      </c>
      <c r="B196" s="38" t="s">
        <v>286</v>
      </c>
      <c r="C196" s="38" t="s">
        <v>608</v>
      </c>
      <c r="D196" s="38" t="s">
        <v>288</v>
      </c>
      <c r="E196" s="38" t="s">
        <v>591</v>
      </c>
      <c r="F196" s="37" t="s">
        <v>592</v>
      </c>
      <c r="G196" s="38" t="s">
        <v>500</v>
      </c>
      <c r="H196" s="37"/>
      <c r="I196" s="37"/>
      <c r="J196" s="37" t="s">
        <v>610</v>
      </c>
      <c r="K196" s="40">
        <v>1848059</v>
      </c>
      <c r="L196" s="38" t="s">
        <v>297</v>
      </c>
      <c r="M196" s="38"/>
      <c r="N196" s="37"/>
      <c r="O196" s="37"/>
      <c r="P196" s="37"/>
      <c r="Q196" s="37"/>
      <c r="R196" s="39"/>
      <c r="S196" s="37"/>
      <c r="T196" s="38" t="s">
        <v>293</v>
      </c>
    </row>
    <row r="197" ht="34.5">
      <c r="A197" s="38" t="s">
        <v>285</v>
      </c>
      <c r="B197" s="38" t="s">
        <v>286</v>
      </c>
      <c r="C197" s="38" t="s">
        <v>608</v>
      </c>
      <c r="D197" s="38" t="s">
        <v>288</v>
      </c>
      <c r="E197" s="38" t="s">
        <v>591</v>
      </c>
      <c r="F197" s="37" t="s">
        <v>592</v>
      </c>
      <c r="G197" s="38" t="s">
        <v>500</v>
      </c>
      <c r="H197" s="37"/>
      <c r="I197" s="37"/>
      <c r="J197" s="37" t="s">
        <v>611</v>
      </c>
      <c r="K197" s="40">
        <v>18962748</v>
      </c>
      <c r="L197" s="38" t="s">
        <v>297</v>
      </c>
      <c r="M197" s="38"/>
      <c r="N197" s="37"/>
      <c r="O197" s="37"/>
      <c r="P197" s="37"/>
      <c r="Q197" s="37"/>
      <c r="R197" s="39"/>
      <c r="S197" s="37"/>
      <c r="T197" s="38" t="s">
        <v>293</v>
      </c>
    </row>
    <row r="198" ht="34.5">
      <c r="A198" s="38" t="s">
        <v>285</v>
      </c>
      <c r="B198" s="38" t="s">
        <v>286</v>
      </c>
      <c r="C198" s="38" t="s">
        <v>608</v>
      </c>
      <c r="D198" s="38" t="s">
        <v>288</v>
      </c>
      <c r="E198" s="38" t="s">
        <v>591</v>
      </c>
      <c r="F198" s="37" t="s">
        <v>592</v>
      </c>
      <c r="G198" s="38" t="s">
        <v>500</v>
      </c>
      <c r="H198" s="37"/>
      <c r="I198" s="37"/>
      <c r="J198" s="37" t="s">
        <v>612</v>
      </c>
      <c r="K198" s="40"/>
      <c r="L198" s="38"/>
      <c r="M198" s="38"/>
      <c r="N198" s="37"/>
      <c r="O198" s="37"/>
      <c r="P198" s="37"/>
      <c r="Q198" s="37"/>
      <c r="R198" s="39"/>
      <c r="S198" s="37"/>
      <c r="T198" s="38" t="s">
        <v>293</v>
      </c>
    </row>
    <row r="199" ht="34.5">
      <c r="A199" s="38" t="s">
        <v>285</v>
      </c>
      <c r="B199" s="38" t="s">
        <v>286</v>
      </c>
      <c r="C199" s="38" t="s">
        <v>608</v>
      </c>
      <c r="D199" s="38" t="s">
        <v>288</v>
      </c>
      <c r="E199" s="38" t="s">
        <v>591</v>
      </c>
      <c r="F199" s="37" t="s">
        <v>592</v>
      </c>
      <c r="G199" s="38" t="s">
        <v>500</v>
      </c>
      <c r="H199" s="37"/>
      <c r="I199" s="37"/>
      <c r="J199" s="37" t="s">
        <v>613</v>
      </c>
      <c r="K199" s="40"/>
      <c r="L199" s="38"/>
      <c r="M199" s="38"/>
      <c r="N199" s="37"/>
      <c r="O199" s="37"/>
      <c r="P199" s="37"/>
      <c r="Q199" s="37"/>
      <c r="R199" s="39"/>
      <c r="S199" s="37"/>
      <c r="T199" s="38" t="s">
        <v>293</v>
      </c>
    </row>
    <row r="200" ht="34.5">
      <c r="A200" s="38" t="s">
        <v>285</v>
      </c>
      <c r="B200" s="38" t="s">
        <v>286</v>
      </c>
      <c r="C200" s="38" t="s">
        <v>614</v>
      </c>
      <c r="D200" s="38" t="s">
        <v>288</v>
      </c>
      <c r="E200" s="38" t="s">
        <v>615</v>
      </c>
      <c r="F200" s="37" t="s">
        <v>616</v>
      </c>
      <c r="G200" s="38" t="s">
        <v>70</v>
      </c>
      <c r="H200" s="37"/>
      <c r="I200" s="37"/>
      <c r="J200" s="37" t="s">
        <v>617</v>
      </c>
      <c r="K200" s="40"/>
      <c r="L200" s="38"/>
      <c r="M200" s="38"/>
      <c r="N200" s="37"/>
      <c r="O200" s="37"/>
      <c r="P200" s="37"/>
      <c r="Q200" s="37"/>
      <c r="R200" s="39"/>
      <c r="S200" s="37"/>
      <c r="T200" s="38" t="s">
        <v>293</v>
      </c>
    </row>
    <row r="201" ht="34.5">
      <c r="A201" s="38" t="s">
        <v>285</v>
      </c>
      <c r="B201" s="38" t="s">
        <v>286</v>
      </c>
      <c r="C201" s="38" t="s">
        <v>614</v>
      </c>
      <c r="D201" s="38" t="s">
        <v>288</v>
      </c>
      <c r="E201" s="38" t="s">
        <v>615</v>
      </c>
      <c r="F201" s="37" t="s">
        <v>616</v>
      </c>
      <c r="G201" s="38" t="s">
        <v>70</v>
      </c>
      <c r="H201" s="37"/>
      <c r="I201" s="37"/>
      <c r="J201" s="37" t="s">
        <v>618</v>
      </c>
      <c r="K201" s="40"/>
      <c r="L201" s="38"/>
      <c r="M201" s="38"/>
      <c r="N201" s="37"/>
      <c r="O201" s="37"/>
      <c r="P201" s="37"/>
      <c r="Q201" s="37"/>
      <c r="R201" s="39"/>
      <c r="S201" s="37"/>
      <c r="T201" s="38" t="s">
        <v>293</v>
      </c>
    </row>
    <row r="202" ht="34.5">
      <c r="A202" s="38" t="s">
        <v>285</v>
      </c>
      <c r="B202" s="38" t="s">
        <v>286</v>
      </c>
      <c r="C202" s="38" t="s">
        <v>614</v>
      </c>
      <c r="D202" s="38" t="s">
        <v>619</v>
      </c>
      <c r="E202" s="38" t="s">
        <v>615</v>
      </c>
      <c r="F202" s="37" t="s">
        <v>616</v>
      </c>
      <c r="G202" s="38" t="s">
        <v>70</v>
      </c>
      <c r="H202" s="37"/>
      <c r="I202" s="37"/>
      <c r="J202" s="37" t="s">
        <v>620</v>
      </c>
      <c r="K202" s="40"/>
      <c r="L202" s="38"/>
      <c r="M202" s="38"/>
      <c r="N202" s="37"/>
      <c r="O202" s="37"/>
      <c r="P202" s="37"/>
      <c r="Q202" s="37"/>
      <c r="R202" s="39"/>
      <c r="S202" s="37"/>
      <c r="T202" s="38" t="s">
        <v>293</v>
      </c>
    </row>
    <row r="203" ht="34.5">
      <c r="A203" s="38" t="s">
        <v>285</v>
      </c>
      <c r="B203" s="38" t="s">
        <v>286</v>
      </c>
      <c r="C203" s="38" t="s">
        <v>621</v>
      </c>
      <c r="D203" s="38" t="s">
        <v>622</v>
      </c>
      <c r="E203" s="38" t="s">
        <v>615</v>
      </c>
      <c r="F203" s="37" t="s">
        <v>616</v>
      </c>
      <c r="G203" s="38" t="s">
        <v>70</v>
      </c>
      <c r="H203" s="37"/>
      <c r="I203" s="37"/>
      <c r="J203" s="37" t="s">
        <v>623</v>
      </c>
      <c r="K203" s="40"/>
      <c r="L203" s="38"/>
      <c r="M203" s="38"/>
      <c r="N203" s="37"/>
      <c r="O203" s="37"/>
      <c r="P203" s="37"/>
      <c r="Q203" s="37"/>
      <c r="R203" s="39"/>
      <c r="S203" s="37"/>
      <c r="T203" s="38" t="s">
        <v>293</v>
      </c>
    </row>
    <row r="204" ht="34.5">
      <c r="A204" s="38" t="s">
        <v>285</v>
      </c>
      <c r="B204" s="38" t="s">
        <v>286</v>
      </c>
      <c r="C204" s="38" t="s">
        <v>624</v>
      </c>
      <c r="D204" s="38" t="s">
        <v>288</v>
      </c>
      <c r="E204" s="38" t="s">
        <v>615</v>
      </c>
      <c r="F204" s="37" t="s">
        <v>616</v>
      </c>
      <c r="G204" s="38" t="s">
        <v>70</v>
      </c>
      <c r="H204" s="37"/>
      <c r="I204" s="37"/>
      <c r="J204" s="37" t="s">
        <v>625</v>
      </c>
      <c r="K204" s="40"/>
      <c r="L204" s="38"/>
      <c r="M204" s="38"/>
      <c r="N204" s="37"/>
      <c r="O204" s="37"/>
      <c r="P204" s="37"/>
      <c r="Q204" s="37"/>
      <c r="R204" s="39"/>
      <c r="S204" s="37"/>
      <c r="T204" s="38" t="s">
        <v>293</v>
      </c>
    </row>
    <row r="205" ht="34.5">
      <c r="A205" s="38" t="s">
        <v>285</v>
      </c>
      <c r="B205" s="38" t="s">
        <v>286</v>
      </c>
      <c r="C205" s="38" t="s">
        <v>624</v>
      </c>
      <c r="D205" s="38" t="s">
        <v>288</v>
      </c>
      <c r="E205" s="38" t="s">
        <v>615</v>
      </c>
      <c r="F205" s="37" t="s">
        <v>616</v>
      </c>
      <c r="G205" s="38" t="s">
        <v>70</v>
      </c>
      <c r="H205" s="37"/>
      <c r="I205" s="37"/>
      <c r="J205" s="37" t="s">
        <v>626</v>
      </c>
      <c r="K205" s="40"/>
      <c r="L205" s="38"/>
      <c r="M205" s="38"/>
      <c r="N205" s="37"/>
      <c r="O205" s="37"/>
      <c r="P205" s="37"/>
      <c r="Q205" s="37"/>
      <c r="R205" s="39"/>
      <c r="S205" s="37"/>
      <c r="T205" s="38" t="s">
        <v>293</v>
      </c>
    </row>
    <row r="206" ht="34.5">
      <c r="A206" s="38" t="s">
        <v>285</v>
      </c>
      <c r="B206" s="38" t="s">
        <v>286</v>
      </c>
      <c r="C206" s="38" t="s">
        <v>624</v>
      </c>
      <c r="D206" s="38" t="s">
        <v>288</v>
      </c>
      <c r="E206" s="38" t="s">
        <v>615</v>
      </c>
      <c r="F206" s="37" t="s">
        <v>616</v>
      </c>
      <c r="G206" s="38" t="s">
        <v>70</v>
      </c>
      <c r="H206" s="37"/>
      <c r="I206" s="37"/>
      <c r="J206" s="37" t="s">
        <v>627</v>
      </c>
      <c r="K206" s="40"/>
      <c r="L206" s="38"/>
      <c r="M206" s="38"/>
      <c r="N206" s="37"/>
      <c r="O206" s="37"/>
      <c r="P206" s="37"/>
      <c r="Q206" s="37"/>
      <c r="R206" s="39"/>
      <c r="S206" s="37"/>
      <c r="T206" s="38" t="s">
        <v>293</v>
      </c>
    </row>
    <row r="207" ht="34.5">
      <c r="A207" s="38" t="s">
        <v>285</v>
      </c>
      <c r="B207" s="38" t="s">
        <v>286</v>
      </c>
      <c r="C207" s="38" t="s">
        <v>624</v>
      </c>
      <c r="D207" s="38" t="s">
        <v>288</v>
      </c>
      <c r="E207" s="38" t="s">
        <v>615</v>
      </c>
      <c r="F207" s="37" t="s">
        <v>616</v>
      </c>
      <c r="G207" s="38" t="s">
        <v>70</v>
      </c>
      <c r="H207" s="37"/>
      <c r="I207" s="37"/>
      <c r="J207" s="37" t="s">
        <v>628</v>
      </c>
      <c r="K207" s="40"/>
      <c r="L207" s="38"/>
      <c r="M207" s="38"/>
      <c r="N207" s="37"/>
      <c r="O207" s="37"/>
      <c r="P207" s="37"/>
      <c r="Q207" s="37"/>
      <c r="R207" s="39"/>
      <c r="S207" s="37"/>
      <c r="T207" s="38" t="s">
        <v>293</v>
      </c>
    </row>
    <row r="208" ht="34.5">
      <c r="A208" s="38" t="s">
        <v>285</v>
      </c>
      <c r="B208" s="38" t="s">
        <v>286</v>
      </c>
      <c r="C208" s="38" t="s">
        <v>624</v>
      </c>
      <c r="D208" s="38" t="s">
        <v>288</v>
      </c>
      <c r="E208" s="38" t="s">
        <v>615</v>
      </c>
      <c r="F208" s="37" t="s">
        <v>616</v>
      </c>
      <c r="G208" s="38" t="s">
        <v>70</v>
      </c>
      <c r="H208" s="37"/>
      <c r="I208" s="37"/>
      <c r="J208" s="37" t="s">
        <v>629</v>
      </c>
      <c r="K208" s="40"/>
      <c r="L208" s="38"/>
      <c r="M208" s="38"/>
      <c r="N208" s="37"/>
      <c r="O208" s="37"/>
      <c r="P208" s="37"/>
      <c r="Q208" s="37"/>
      <c r="R208" s="39"/>
      <c r="S208" s="37"/>
      <c r="T208" s="38" t="s">
        <v>293</v>
      </c>
    </row>
    <row r="209" ht="34.5">
      <c r="A209" s="38" t="s">
        <v>285</v>
      </c>
      <c r="B209" s="38" t="s">
        <v>286</v>
      </c>
      <c r="C209" s="38" t="s">
        <v>624</v>
      </c>
      <c r="D209" s="38" t="s">
        <v>288</v>
      </c>
      <c r="E209" s="38" t="s">
        <v>615</v>
      </c>
      <c r="F209" s="37" t="s">
        <v>616</v>
      </c>
      <c r="G209" s="38" t="s">
        <v>70</v>
      </c>
      <c r="H209" s="37"/>
      <c r="I209" s="37"/>
      <c r="J209" s="37" t="s">
        <v>630</v>
      </c>
      <c r="K209" s="40"/>
      <c r="L209" s="38"/>
      <c r="M209" s="38"/>
      <c r="N209" s="37"/>
      <c r="O209" s="37"/>
      <c r="P209" s="37"/>
      <c r="Q209" s="37"/>
      <c r="R209" s="39"/>
      <c r="S209" s="37"/>
      <c r="T209" s="38" t="s">
        <v>293</v>
      </c>
    </row>
    <row r="210" ht="34.5">
      <c r="A210" s="38" t="s">
        <v>285</v>
      </c>
      <c r="B210" s="38" t="s">
        <v>286</v>
      </c>
      <c r="C210" s="38" t="s">
        <v>624</v>
      </c>
      <c r="D210" s="38" t="s">
        <v>288</v>
      </c>
      <c r="E210" s="38" t="s">
        <v>615</v>
      </c>
      <c r="F210" s="37" t="s">
        <v>616</v>
      </c>
      <c r="G210" s="38" t="s">
        <v>70</v>
      </c>
      <c r="H210" s="37"/>
      <c r="I210" s="37"/>
      <c r="J210" s="37" t="s">
        <v>631</v>
      </c>
      <c r="K210" s="40"/>
      <c r="L210" s="38"/>
      <c r="M210" s="38"/>
      <c r="N210" s="37"/>
      <c r="O210" s="37"/>
      <c r="P210" s="37"/>
      <c r="Q210" s="37"/>
      <c r="R210" s="39"/>
      <c r="S210" s="37"/>
      <c r="T210" s="38" t="s">
        <v>293</v>
      </c>
    </row>
    <row r="211" ht="34.5">
      <c r="A211" s="38" t="s">
        <v>285</v>
      </c>
      <c r="B211" s="38" t="s">
        <v>286</v>
      </c>
      <c r="C211" s="38" t="s">
        <v>624</v>
      </c>
      <c r="D211" s="38" t="s">
        <v>288</v>
      </c>
      <c r="E211" s="38" t="s">
        <v>615</v>
      </c>
      <c r="F211" s="37" t="s">
        <v>616</v>
      </c>
      <c r="G211" s="38" t="s">
        <v>70</v>
      </c>
      <c r="H211" s="37"/>
      <c r="I211" s="37"/>
      <c r="J211" s="37" t="s">
        <v>632</v>
      </c>
      <c r="K211" s="40"/>
      <c r="L211" s="38"/>
      <c r="M211" s="38"/>
      <c r="N211" s="37"/>
      <c r="O211" s="37"/>
      <c r="P211" s="37"/>
      <c r="Q211" s="37"/>
      <c r="R211" s="39"/>
      <c r="S211" s="37"/>
      <c r="T211" s="38" t="s">
        <v>293</v>
      </c>
    </row>
    <row r="212" ht="34.5">
      <c r="A212" s="38" t="s">
        <v>285</v>
      </c>
      <c r="B212" s="38" t="s">
        <v>286</v>
      </c>
      <c r="C212" s="38" t="s">
        <v>624</v>
      </c>
      <c r="D212" s="38" t="s">
        <v>288</v>
      </c>
      <c r="E212" s="38" t="s">
        <v>615</v>
      </c>
      <c r="F212" s="37" t="s">
        <v>616</v>
      </c>
      <c r="G212" s="38" t="s">
        <v>70</v>
      </c>
      <c r="H212" s="37"/>
      <c r="I212" s="37"/>
      <c r="J212" s="37" t="s">
        <v>633</v>
      </c>
      <c r="K212" s="40"/>
      <c r="L212" s="38"/>
      <c r="M212" s="38"/>
      <c r="N212" s="37"/>
      <c r="O212" s="37"/>
      <c r="P212" s="37"/>
      <c r="Q212" s="37"/>
      <c r="R212" s="39"/>
      <c r="S212" s="37"/>
      <c r="T212" s="38" t="s">
        <v>293</v>
      </c>
    </row>
    <row r="213" ht="34.5">
      <c r="A213" s="38" t="s">
        <v>285</v>
      </c>
      <c r="B213" s="38" t="s">
        <v>286</v>
      </c>
      <c r="C213" s="38" t="s">
        <v>624</v>
      </c>
      <c r="D213" s="38" t="s">
        <v>288</v>
      </c>
      <c r="E213" s="38" t="s">
        <v>615</v>
      </c>
      <c r="F213" s="37" t="s">
        <v>616</v>
      </c>
      <c r="G213" s="38" t="s">
        <v>70</v>
      </c>
      <c r="H213" s="37"/>
      <c r="I213" s="37"/>
      <c r="J213" s="37" t="s">
        <v>634</v>
      </c>
      <c r="K213" s="40"/>
      <c r="L213" s="38"/>
      <c r="M213" s="38"/>
      <c r="N213" s="37"/>
      <c r="O213" s="37"/>
      <c r="P213" s="37"/>
      <c r="Q213" s="37"/>
      <c r="R213" s="39"/>
      <c r="S213" s="37"/>
      <c r="T213" s="38" t="s">
        <v>293</v>
      </c>
    </row>
    <row r="214" ht="34.5">
      <c r="A214" s="38" t="s">
        <v>285</v>
      </c>
      <c r="B214" s="38" t="s">
        <v>286</v>
      </c>
      <c r="C214" s="38" t="s">
        <v>624</v>
      </c>
      <c r="D214" s="38" t="s">
        <v>288</v>
      </c>
      <c r="E214" s="38" t="s">
        <v>615</v>
      </c>
      <c r="F214" s="37" t="s">
        <v>616</v>
      </c>
      <c r="G214" s="38" t="s">
        <v>70</v>
      </c>
      <c r="H214" s="37"/>
      <c r="I214" s="37"/>
      <c r="J214" s="37" t="s">
        <v>635</v>
      </c>
      <c r="K214" s="40"/>
      <c r="L214" s="38"/>
      <c r="M214" s="38"/>
      <c r="N214" s="37"/>
      <c r="O214" s="37"/>
      <c r="P214" s="37"/>
      <c r="Q214" s="37"/>
      <c r="R214" s="39"/>
      <c r="S214" s="37"/>
      <c r="T214" s="38" t="s">
        <v>293</v>
      </c>
    </row>
    <row r="215" ht="34.5">
      <c r="A215" s="38" t="s">
        <v>285</v>
      </c>
      <c r="B215" s="38" t="s">
        <v>286</v>
      </c>
      <c r="C215" s="38" t="s">
        <v>624</v>
      </c>
      <c r="D215" s="38" t="s">
        <v>288</v>
      </c>
      <c r="E215" s="38" t="s">
        <v>615</v>
      </c>
      <c r="F215" s="37" t="s">
        <v>616</v>
      </c>
      <c r="G215" s="38" t="s">
        <v>70</v>
      </c>
      <c r="H215" s="37"/>
      <c r="I215" s="37"/>
      <c r="J215" s="37" t="s">
        <v>636</v>
      </c>
      <c r="K215" s="40"/>
      <c r="L215" s="38"/>
      <c r="M215" s="38"/>
      <c r="N215" s="37"/>
      <c r="O215" s="37"/>
      <c r="P215" s="37"/>
      <c r="Q215" s="37"/>
      <c r="R215" s="39"/>
      <c r="S215" s="37"/>
      <c r="T215" s="38" t="s">
        <v>293</v>
      </c>
    </row>
    <row r="216" ht="34.5">
      <c r="A216" s="38" t="s">
        <v>285</v>
      </c>
      <c r="B216" s="38" t="s">
        <v>286</v>
      </c>
      <c r="C216" s="38" t="s">
        <v>637</v>
      </c>
      <c r="D216" s="38" t="s">
        <v>288</v>
      </c>
      <c r="E216" s="38" t="s">
        <v>615</v>
      </c>
      <c r="F216" s="37" t="s">
        <v>616</v>
      </c>
      <c r="G216" s="38" t="s">
        <v>70</v>
      </c>
      <c r="H216" s="37"/>
      <c r="I216" s="37"/>
      <c r="J216" s="37" t="s">
        <v>638</v>
      </c>
      <c r="K216" s="40"/>
      <c r="L216" s="38"/>
      <c r="M216" s="38"/>
      <c r="N216" s="37"/>
      <c r="O216" s="37"/>
      <c r="P216" s="37"/>
      <c r="Q216" s="37"/>
      <c r="R216" s="39"/>
      <c r="S216" s="37"/>
      <c r="T216" s="38" t="s">
        <v>293</v>
      </c>
    </row>
    <row r="217" ht="34.5">
      <c r="A217" s="38" t="s">
        <v>285</v>
      </c>
      <c r="B217" s="38" t="s">
        <v>286</v>
      </c>
      <c r="C217" s="38" t="s">
        <v>637</v>
      </c>
      <c r="D217" s="38" t="s">
        <v>639</v>
      </c>
      <c r="E217" s="38" t="s">
        <v>615</v>
      </c>
      <c r="F217" s="37" t="s">
        <v>616</v>
      </c>
      <c r="G217" s="38" t="s">
        <v>70</v>
      </c>
      <c r="H217" s="37"/>
      <c r="I217" s="37"/>
      <c r="J217" s="37" t="s">
        <v>640</v>
      </c>
      <c r="K217" s="40"/>
      <c r="L217" s="38"/>
      <c r="M217" s="38"/>
      <c r="N217" s="37"/>
      <c r="O217" s="37"/>
      <c r="P217" s="37"/>
      <c r="Q217" s="37"/>
      <c r="R217" s="39"/>
      <c r="S217" s="37"/>
      <c r="T217" s="38" t="s">
        <v>293</v>
      </c>
    </row>
    <row r="218" ht="34.5">
      <c r="A218" s="38" t="s">
        <v>285</v>
      </c>
      <c r="B218" s="38" t="s">
        <v>286</v>
      </c>
      <c r="C218" s="38" t="s">
        <v>641</v>
      </c>
      <c r="D218" s="38" t="s">
        <v>288</v>
      </c>
      <c r="E218" s="38" t="s">
        <v>615</v>
      </c>
      <c r="F218" s="37" t="s">
        <v>616</v>
      </c>
      <c r="G218" s="38" t="s">
        <v>70</v>
      </c>
      <c r="H218" s="37"/>
      <c r="I218" s="37"/>
      <c r="J218" s="37" t="s">
        <v>642</v>
      </c>
      <c r="K218" s="40"/>
      <c r="L218" s="38"/>
      <c r="M218" s="38"/>
      <c r="N218" s="37"/>
      <c r="O218" s="37"/>
      <c r="P218" s="37"/>
      <c r="Q218" s="37"/>
      <c r="R218" s="39"/>
      <c r="S218" s="37"/>
      <c r="T218" s="38" t="s">
        <v>293</v>
      </c>
    </row>
    <row r="219" ht="34.5">
      <c r="A219" s="38" t="s">
        <v>285</v>
      </c>
      <c r="B219" s="38" t="s">
        <v>286</v>
      </c>
      <c r="C219" s="38" t="s">
        <v>641</v>
      </c>
      <c r="D219" s="38" t="s">
        <v>288</v>
      </c>
      <c r="E219" s="38" t="s">
        <v>615</v>
      </c>
      <c r="F219" s="37" t="s">
        <v>616</v>
      </c>
      <c r="G219" s="38" t="s">
        <v>70</v>
      </c>
      <c r="H219" s="37"/>
      <c r="I219" s="37"/>
      <c r="J219" s="37" t="s">
        <v>643</v>
      </c>
      <c r="K219" s="40"/>
      <c r="L219" s="38"/>
      <c r="M219" s="38"/>
      <c r="N219" s="37"/>
      <c r="O219" s="37"/>
      <c r="P219" s="37"/>
      <c r="Q219" s="37"/>
      <c r="R219" s="39"/>
      <c r="S219" s="37"/>
      <c r="T219" s="38" t="s">
        <v>293</v>
      </c>
    </row>
    <row r="220" ht="34.5">
      <c r="A220" s="38" t="s">
        <v>285</v>
      </c>
      <c r="B220" s="38" t="s">
        <v>286</v>
      </c>
      <c r="C220" s="38" t="s">
        <v>641</v>
      </c>
      <c r="D220" s="38" t="s">
        <v>644</v>
      </c>
      <c r="E220" s="38" t="s">
        <v>615</v>
      </c>
      <c r="F220" s="37" t="s">
        <v>616</v>
      </c>
      <c r="G220" s="38" t="s">
        <v>70</v>
      </c>
      <c r="H220" s="37"/>
      <c r="I220" s="37"/>
      <c r="J220" s="37" t="s">
        <v>645</v>
      </c>
      <c r="K220" s="40"/>
      <c r="L220" s="38"/>
      <c r="M220" s="38"/>
      <c r="N220" s="37"/>
      <c r="O220" s="37"/>
      <c r="P220" s="37"/>
      <c r="Q220" s="37"/>
      <c r="R220" s="39"/>
      <c r="S220" s="37"/>
      <c r="T220" s="38" t="s">
        <v>293</v>
      </c>
    </row>
    <row r="221" ht="34.5">
      <c r="A221" s="38" t="s">
        <v>285</v>
      </c>
      <c r="B221" s="38" t="s">
        <v>286</v>
      </c>
      <c r="C221" s="38" t="s">
        <v>641</v>
      </c>
      <c r="D221" s="38" t="s">
        <v>288</v>
      </c>
      <c r="E221" s="38" t="s">
        <v>615</v>
      </c>
      <c r="F221" s="37" t="s">
        <v>616</v>
      </c>
      <c r="G221" s="38" t="s">
        <v>70</v>
      </c>
      <c r="H221" s="37"/>
      <c r="I221" s="37"/>
      <c r="J221" s="37" t="s">
        <v>646</v>
      </c>
      <c r="K221" s="40"/>
      <c r="L221" s="38"/>
      <c r="M221" s="38"/>
      <c r="N221" s="37"/>
      <c r="O221" s="37"/>
      <c r="P221" s="37"/>
      <c r="Q221" s="37"/>
      <c r="R221" s="39"/>
      <c r="S221" s="37"/>
      <c r="T221" s="38" t="s">
        <v>293</v>
      </c>
    </row>
    <row r="222" ht="34.5">
      <c r="A222" s="38" t="s">
        <v>285</v>
      </c>
      <c r="B222" s="38" t="s">
        <v>286</v>
      </c>
      <c r="C222" s="38" t="s">
        <v>641</v>
      </c>
      <c r="D222" s="38" t="s">
        <v>288</v>
      </c>
      <c r="E222" s="38" t="s">
        <v>615</v>
      </c>
      <c r="F222" s="37" t="s">
        <v>616</v>
      </c>
      <c r="G222" s="38" t="s">
        <v>70</v>
      </c>
      <c r="H222" s="37"/>
      <c r="I222" s="37"/>
      <c r="J222" s="37" t="s">
        <v>647</v>
      </c>
      <c r="K222" s="40"/>
      <c r="L222" s="38"/>
      <c r="M222" s="38"/>
      <c r="N222" s="37"/>
      <c r="O222" s="37"/>
      <c r="P222" s="37"/>
      <c r="Q222" s="37"/>
      <c r="R222" s="39"/>
      <c r="S222" s="37"/>
      <c r="T222" s="38" t="s">
        <v>293</v>
      </c>
    </row>
    <row r="223" ht="34.5">
      <c r="A223" s="38" t="s">
        <v>285</v>
      </c>
      <c r="B223" s="38" t="s">
        <v>286</v>
      </c>
      <c r="C223" s="38" t="s">
        <v>641</v>
      </c>
      <c r="D223" s="38" t="s">
        <v>288</v>
      </c>
      <c r="E223" s="38" t="s">
        <v>615</v>
      </c>
      <c r="F223" s="37" t="s">
        <v>616</v>
      </c>
      <c r="G223" s="38" t="s">
        <v>70</v>
      </c>
      <c r="H223" s="37"/>
      <c r="I223" s="37"/>
      <c r="J223" s="37" t="s">
        <v>648</v>
      </c>
      <c r="K223" s="40"/>
      <c r="L223" s="38"/>
      <c r="M223" s="38"/>
      <c r="N223" s="37"/>
      <c r="O223" s="37"/>
      <c r="P223" s="37"/>
      <c r="Q223" s="37"/>
      <c r="R223" s="39"/>
      <c r="S223" s="37"/>
      <c r="T223" s="38" t="s">
        <v>293</v>
      </c>
    </row>
    <row r="224" ht="34.5">
      <c r="A224" s="38" t="s">
        <v>285</v>
      </c>
      <c r="B224" s="38" t="s">
        <v>286</v>
      </c>
      <c r="C224" s="38" t="s">
        <v>641</v>
      </c>
      <c r="D224" s="38" t="s">
        <v>288</v>
      </c>
      <c r="E224" s="38" t="s">
        <v>615</v>
      </c>
      <c r="F224" s="37" t="s">
        <v>616</v>
      </c>
      <c r="G224" s="38" t="s">
        <v>70</v>
      </c>
      <c r="H224" s="37"/>
      <c r="I224" s="37"/>
      <c r="J224" s="37" t="s">
        <v>649</v>
      </c>
      <c r="K224" s="40"/>
      <c r="L224" s="38"/>
      <c r="M224" s="38"/>
      <c r="N224" s="37"/>
      <c r="O224" s="37"/>
      <c r="P224" s="37"/>
      <c r="Q224" s="37"/>
      <c r="R224" s="39"/>
      <c r="S224" s="37"/>
      <c r="T224" s="38" t="s">
        <v>293</v>
      </c>
    </row>
    <row r="225" ht="34.5">
      <c r="A225" s="38" t="s">
        <v>285</v>
      </c>
      <c r="B225" s="38" t="s">
        <v>286</v>
      </c>
      <c r="C225" s="38" t="s">
        <v>641</v>
      </c>
      <c r="D225" s="38" t="s">
        <v>288</v>
      </c>
      <c r="E225" s="38" t="s">
        <v>615</v>
      </c>
      <c r="F225" s="37" t="s">
        <v>616</v>
      </c>
      <c r="G225" s="38" t="s">
        <v>70</v>
      </c>
      <c r="H225" s="37"/>
      <c r="I225" s="37"/>
      <c r="J225" s="37" t="s">
        <v>650</v>
      </c>
      <c r="K225" s="40"/>
      <c r="L225" s="38"/>
      <c r="M225" s="38"/>
      <c r="N225" s="37"/>
      <c r="O225" s="37"/>
      <c r="P225" s="37"/>
      <c r="Q225" s="37"/>
      <c r="R225" s="39"/>
      <c r="S225" s="37"/>
      <c r="T225" s="38" t="s">
        <v>293</v>
      </c>
    </row>
    <row r="226" ht="34.5">
      <c r="A226" s="38" t="s">
        <v>285</v>
      </c>
      <c r="B226" s="38" t="s">
        <v>286</v>
      </c>
      <c r="C226" s="38" t="s">
        <v>651</v>
      </c>
      <c r="D226" s="38" t="s">
        <v>288</v>
      </c>
      <c r="E226" s="38" t="s">
        <v>615</v>
      </c>
      <c r="F226" s="37" t="s">
        <v>616</v>
      </c>
      <c r="G226" s="38" t="s">
        <v>70</v>
      </c>
      <c r="H226" s="37"/>
      <c r="I226" s="37"/>
      <c r="J226" s="37" t="s">
        <v>652</v>
      </c>
      <c r="K226" s="40"/>
      <c r="L226" s="38"/>
      <c r="M226" s="38"/>
      <c r="N226" s="37"/>
      <c r="O226" s="37"/>
      <c r="P226" s="37"/>
      <c r="Q226" s="37"/>
      <c r="R226" s="39"/>
      <c r="S226" s="37"/>
      <c r="T226" s="38" t="s">
        <v>293</v>
      </c>
    </row>
    <row r="227" ht="34.5">
      <c r="A227" s="38" t="s">
        <v>285</v>
      </c>
      <c r="B227" s="38" t="s">
        <v>286</v>
      </c>
      <c r="C227" s="38" t="s">
        <v>651</v>
      </c>
      <c r="D227" s="38" t="s">
        <v>288</v>
      </c>
      <c r="E227" s="38" t="s">
        <v>615</v>
      </c>
      <c r="F227" s="37" t="s">
        <v>616</v>
      </c>
      <c r="G227" s="38" t="s">
        <v>70</v>
      </c>
      <c r="H227" s="37"/>
      <c r="I227" s="37"/>
      <c r="J227" s="37" t="s">
        <v>653</v>
      </c>
      <c r="K227" s="40"/>
      <c r="L227" s="38"/>
      <c r="M227" s="38"/>
      <c r="N227" s="37"/>
      <c r="O227" s="37"/>
      <c r="P227" s="37"/>
      <c r="Q227" s="37"/>
      <c r="R227" s="39"/>
      <c r="S227" s="37"/>
      <c r="T227" s="38" t="s">
        <v>293</v>
      </c>
    </row>
    <row r="228" ht="34.5">
      <c r="A228" s="38" t="s">
        <v>285</v>
      </c>
      <c r="B228" s="38" t="s">
        <v>286</v>
      </c>
      <c r="C228" s="38" t="s">
        <v>651</v>
      </c>
      <c r="D228" s="38" t="s">
        <v>288</v>
      </c>
      <c r="E228" s="38" t="s">
        <v>615</v>
      </c>
      <c r="F228" s="37" t="s">
        <v>616</v>
      </c>
      <c r="G228" s="38" t="s">
        <v>70</v>
      </c>
      <c r="H228" s="37"/>
      <c r="I228" s="37"/>
      <c r="J228" s="37" t="s">
        <v>654</v>
      </c>
      <c r="K228" s="40"/>
      <c r="L228" s="38"/>
      <c r="M228" s="38"/>
      <c r="N228" s="37"/>
      <c r="O228" s="37"/>
      <c r="P228" s="37"/>
      <c r="Q228" s="37"/>
      <c r="R228" s="39"/>
      <c r="S228" s="37"/>
      <c r="T228" s="38" t="s">
        <v>293</v>
      </c>
    </row>
    <row r="229" ht="34.5">
      <c r="A229" s="38" t="s">
        <v>285</v>
      </c>
      <c r="B229" s="38" t="s">
        <v>286</v>
      </c>
      <c r="C229" s="38" t="s">
        <v>651</v>
      </c>
      <c r="D229" s="38" t="s">
        <v>655</v>
      </c>
      <c r="E229" s="38" t="s">
        <v>615</v>
      </c>
      <c r="F229" s="37" t="s">
        <v>616</v>
      </c>
      <c r="G229" s="38" t="s">
        <v>70</v>
      </c>
      <c r="H229" s="37"/>
      <c r="I229" s="37"/>
      <c r="J229" s="37" t="s">
        <v>656</v>
      </c>
      <c r="K229" s="40"/>
      <c r="L229" s="38"/>
      <c r="M229" s="38"/>
      <c r="N229" s="37"/>
      <c r="O229" s="37"/>
      <c r="P229" s="37"/>
      <c r="Q229" s="37"/>
      <c r="R229" s="39"/>
      <c r="S229" s="37"/>
      <c r="T229" s="38" t="s">
        <v>293</v>
      </c>
    </row>
    <row r="230" ht="34.5">
      <c r="A230" s="38" t="s">
        <v>285</v>
      </c>
      <c r="B230" s="38" t="s">
        <v>286</v>
      </c>
      <c r="C230" s="38" t="s">
        <v>657</v>
      </c>
      <c r="D230" s="38" t="s">
        <v>288</v>
      </c>
      <c r="E230" s="38" t="s">
        <v>615</v>
      </c>
      <c r="F230" s="37" t="s">
        <v>616</v>
      </c>
      <c r="G230" s="38" t="s">
        <v>70</v>
      </c>
      <c r="H230" s="37"/>
      <c r="I230" s="37"/>
      <c r="J230" s="37" t="s">
        <v>658</v>
      </c>
      <c r="K230" s="40"/>
      <c r="L230" s="38"/>
      <c r="M230" s="38"/>
      <c r="N230" s="37"/>
      <c r="O230" s="37"/>
      <c r="P230" s="37"/>
      <c r="Q230" s="37"/>
      <c r="R230" s="39"/>
      <c r="S230" s="37"/>
      <c r="T230" s="38" t="s">
        <v>293</v>
      </c>
    </row>
    <row r="231" ht="34.5">
      <c r="A231" s="38" t="s">
        <v>285</v>
      </c>
      <c r="B231" s="38" t="s">
        <v>286</v>
      </c>
      <c r="C231" s="38" t="s">
        <v>657</v>
      </c>
      <c r="D231" s="38" t="s">
        <v>288</v>
      </c>
      <c r="E231" s="38" t="s">
        <v>615</v>
      </c>
      <c r="F231" s="37" t="s">
        <v>616</v>
      </c>
      <c r="G231" s="38" t="s">
        <v>70</v>
      </c>
      <c r="H231" s="37"/>
      <c r="I231" s="37"/>
      <c r="J231" s="37" t="s">
        <v>659</v>
      </c>
      <c r="K231" s="40"/>
      <c r="L231" s="38"/>
      <c r="M231" s="38"/>
      <c r="N231" s="37"/>
      <c r="O231" s="37"/>
      <c r="P231" s="37"/>
      <c r="Q231" s="37"/>
      <c r="R231" s="39"/>
      <c r="S231" s="37"/>
      <c r="T231" s="38" t="s">
        <v>293</v>
      </c>
    </row>
    <row r="232" ht="34.5">
      <c r="A232" s="38" t="s">
        <v>285</v>
      </c>
      <c r="B232" s="38" t="s">
        <v>286</v>
      </c>
      <c r="C232" s="38" t="s">
        <v>657</v>
      </c>
      <c r="D232" s="38" t="s">
        <v>288</v>
      </c>
      <c r="E232" s="38" t="s">
        <v>615</v>
      </c>
      <c r="F232" s="37" t="s">
        <v>616</v>
      </c>
      <c r="G232" s="38" t="s">
        <v>70</v>
      </c>
      <c r="H232" s="37"/>
      <c r="I232" s="37"/>
      <c r="J232" s="37" t="s">
        <v>660</v>
      </c>
      <c r="K232" s="40"/>
      <c r="L232" s="38"/>
      <c r="M232" s="38"/>
      <c r="N232" s="37"/>
      <c r="O232" s="37"/>
      <c r="P232" s="37"/>
      <c r="Q232" s="37"/>
      <c r="R232" s="39"/>
      <c r="S232" s="37"/>
      <c r="T232" s="38" t="s">
        <v>293</v>
      </c>
    </row>
    <row r="233" ht="34.5">
      <c r="A233" s="38" t="s">
        <v>285</v>
      </c>
      <c r="B233" s="38" t="s">
        <v>286</v>
      </c>
      <c r="C233" s="38" t="s">
        <v>657</v>
      </c>
      <c r="D233" s="38" t="s">
        <v>288</v>
      </c>
      <c r="E233" s="38" t="s">
        <v>615</v>
      </c>
      <c r="F233" s="37" t="s">
        <v>616</v>
      </c>
      <c r="G233" s="38" t="s">
        <v>70</v>
      </c>
      <c r="H233" s="37"/>
      <c r="I233" s="37"/>
      <c r="J233" s="37" t="s">
        <v>661</v>
      </c>
      <c r="K233" s="40"/>
      <c r="L233" s="38"/>
      <c r="M233" s="38"/>
      <c r="N233" s="37"/>
      <c r="O233" s="37"/>
      <c r="P233" s="37"/>
      <c r="Q233" s="37"/>
      <c r="R233" s="39"/>
      <c r="S233" s="37"/>
      <c r="T233" s="38" t="s">
        <v>293</v>
      </c>
    </row>
    <row r="234" ht="34.5">
      <c r="A234" s="38" t="s">
        <v>285</v>
      </c>
      <c r="B234" s="38" t="s">
        <v>286</v>
      </c>
      <c r="C234" s="38" t="s">
        <v>657</v>
      </c>
      <c r="D234" s="38" t="s">
        <v>288</v>
      </c>
      <c r="E234" s="38" t="s">
        <v>615</v>
      </c>
      <c r="F234" s="37" t="s">
        <v>616</v>
      </c>
      <c r="G234" s="38" t="s">
        <v>70</v>
      </c>
      <c r="H234" s="37"/>
      <c r="I234" s="37"/>
      <c r="J234" s="37" t="s">
        <v>662</v>
      </c>
      <c r="K234" s="40"/>
      <c r="L234" s="38"/>
      <c r="M234" s="38"/>
      <c r="N234" s="37"/>
      <c r="O234" s="37"/>
      <c r="P234" s="37"/>
      <c r="Q234" s="37"/>
      <c r="R234" s="39"/>
      <c r="S234" s="37"/>
      <c r="T234" s="38" t="s">
        <v>293</v>
      </c>
    </row>
    <row r="235" ht="34.5">
      <c r="A235" s="38" t="s">
        <v>285</v>
      </c>
      <c r="B235" s="38" t="s">
        <v>286</v>
      </c>
      <c r="C235" s="38" t="s">
        <v>657</v>
      </c>
      <c r="D235" s="38" t="s">
        <v>288</v>
      </c>
      <c r="E235" s="38" t="s">
        <v>615</v>
      </c>
      <c r="F235" s="37" t="s">
        <v>616</v>
      </c>
      <c r="G235" s="38" t="s">
        <v>70</v>
      </c>
      <c r="H235" s="37"/>
      <c r="I235" s="37"/>
      <c r="J235" s="37" t="s">
        <v>663</v>
      </c>
      <c r="K235" s="40"/>
      <c r="L235" s="38"/>
      <c r="M235" s="38"/>
      <c r="N235" s="37"/>
      <c r="O235" s="37"/>
      <c r="P235" s="37"/>
      <c r="Q235" s="37"/>
      <c r="R235" s="39"/>
      <c r="S235" s="37"/>
      <c r="T235" s="38" t="s">
        <v>293</v>
      </c>
    </row>
    <row r="236" ht="34.5">
      <c r="A236" s="38" t="s">
        <v>285</v>
      </c>
      <c r="B236" s="38" t="s">
        <v>286</v>
      </c>
      <c r="C236" s="38" t="s">
        <v>657</v>
      </c>
      <c r="D236" s="38" t="s">
        <v>288</v>
      </c>
      <c r="E236" s="38" t="s">
        <v>615</v>
      </c>
      <c r="F236" s="37" t="s">
        <v>616</v>
      </c>
      <c r="G236" s="38" t="s">
        <v>70</v>
      </c>
      <c r="H236" s="37"/>
      <c r="I236" s="37"/>
      <c r="J236" s="37" t="s">
        <v>664</v>
      </c>
      <c r="K236" s="40"/>
      <c r="L236" s="38"/>
      <c r="M236" s="38"/>
      <c r="N236" s="37"/>
      <c r="O236" s="37"/>
      <c r="P236" s="37"/>
      <c r="Q236" s="37"/>
      <c r="R236" s="39"/>
      <c r="S236" s="37"/>
      <c r="T236" s="38" t="s">
        <v>293</v>
      </c>
    </row>
    <row r="237" ht="34.5">
      <c r="A237" s="38" t="s">
        <v>285</v>
      </c>
      <c r="B237" s="38" t="s">
        <v>286</v>
      </c>
      <c r="C237" s="38" t="s">
        <v>665</v>
      </c>
      <c r="D237" s="38" t="s">
        <v>288</v>
      </c>
      <c r="E237" s="38" t="s">
        <v>615</v>
      </c>
      <c r="F237" s="37" t="s">
        <v>616</v>
      </c>
      <c r="G237" s="38" t="s">
        <v>70</v>
      </c>
      <c r="H237" s="37"/>
      <c r="I237" s="37"/>
      <c r="J237" s="37" t="s">
        <v>666</v>
      </c>
      <c r="K237" s="40"/>
      <c r="L237" s="38"/>
      <c r="M237" s="38"/>
      <c r="N237" s="37"/>
      <c r="O237" s="37"/>
      <c r="P237" s="37"/>
      <c r="Q237" s="37"/>
      <c r="R237" s="39"/>
      <c r="S237" s="37"/>
      <c r="T237" s="38" t="s">
        <v>293</v>
      </c>
    </row>
    <row r="238" ht="34.5">
      <c r="A238" s="38" t="s">
        <v>285</v>
      </c>
      <c r="B238" s="38" t="s">
        <v>286</v>
      </c>
      <c r="C238" s="38" t="s">
        <v>665</v>
      </c>
      <c r="D238" s="38" t="s">
        <v>667</v>
      </c>
      <c r="E238" s="38" t="s">
        <v>615</v>
      </c>
      <c r="F238" s="37" t="s">
        <v>616</v>
      </c>
      <c r="G238" s="38" t="s">
        <v>70</v>
      </c>
      <c r="H238" s="37"/>
      <c r="I238" s="37"/>
      <c r="J238" s="37" t="s">
        <v>668</v>
      </c>
      <c r="K238" s="40"/>
      <c r="L238" s="38"/>
      <c r="M238" s="38"/>
      <c r="N238" s="37"/>
      <c r="O238" s="37"/>
      <c r="P238" s="37"/>
      <c r="Q238" s="37"/>
      <c r="R238" s="39"/>
      <c r="S238" s="37"/>
      <c r="T238" s="38" t="s">
        <v>293</v>
      </c>
    </row>
    <row r="239" ht="34.5">
      <c r="A239" s="38" t="s">
        <v>285</v>
      </c>
      <c r="B239" s="38" t="s">
        <v>286</v>
      </c>
      <c r="C239" s="38" t="s">
        <v>665</v>
      </c>
      <c r="D239" s="38" t="s">
        <v>288</v>
      </c>
      <c r="E239" s="38" t="s">
        <v>615</v>
      </c>
      <c r="F239" s="37" t="s">
        <v>616</v>
      </c>
      <c r="G239" s="38" t="s">
        <v>70</v>
      </c>
      <c r="H239" s="37"/>
      <c r="I239" s="37"/>
      <c r="J239" s="37" t="s">
        <v>669</v>
      </c>
      <c r="K239" s="40"/>
      <c r="L239" s="38"/>
      <c r="M239" s="38"/>
      <c r="N239" s="37"/>
      <c r="O239" s="37"/>
      <c r="P239" s="37"/>
      <c r="Q239" s="37"/>
      <c r="R239" s="39"/>
      <c r="S239" s="37"/>
      <c r="T239" s="38" t="s">
        <v>293</v>
      </c>
    </row>
    <row r="240" ht="34.5">
      <c r="A240" s="38" t="s">
        <v>285</v>
      </c>
      <c r="B240" s="38" t="s">
        <v>286</v>
      </c>
      <c r="C240" s="38" t="s">
        <v>665</v>
      </c>
      <c r="D240" s="38" t="s">
        <v>288</v>
      </c>
      <c r="E240" s="38" t="s">
        <v>615</v>
      </c>
      <c r="F240" s="37" t="s">
        <v>616</v>
      </c>
      <c r="G240" s="38" t="s">
        <v>70</v>
      </c>
      <c r="H240" s="37"/>
      <c r="I240" s="37"/>
      <c r="J240" s="37" t="s">
        <v>670</v>
      </c>
      <c r="K240" s="40"/>
      <c r="L240" s="38"/>
      <c r="M240" s="38"/>
      <c r="N240" s="37"/>
      <c r="O240" s="37"/>
      <c r="P240" s="37"/>
      <c r="Q240" s="37"/>
      <c r="R240" s="39"/>
      <c r="S240" s="37"/>
      <c r="T240" s="38" t="s">
        <v>293</v>
      </c>
    </row>
    <row r="241" ht="34.5">
      <c r="A241" s="38" t="s">
        <v>285</v>
      </c>
      <c r="B241" s="38" t="s">
        <v>286</v>
      </c>
      <c r="C241" s="38" t="s">
        <v>665</v>
      </c>
      <c r="D241" s="38" t="s">
        <v>288</v>
      </c>
      <c r="E241" s="38" t="s">
        <v>615</v>
      </c>
      <c r="F241" s="37" t="s">
        <v>616</v>
      </c>
      <c r="G241" s="38" t="s">
        <v>70</v>
      </c>
      <c r="H241" s="37"/>
      <c r="I241" s="37"/>
      <c r="J241" s="37" t="s">
        <v>671</v>
      </c>
      <c r="K241" s="40"/>
      <c r="L241" s="38"/>
      <c r="M241" s="38"/>
      <c r="N241" s="37"/>
      <c r="O241" s="37"/>
      <c r="P241" s="37"/>
      <c r="Q241" s="37"/>
      <c r="R241" s="39"/>
      <c r="S241" s="37"/>
      <c r="T241" s="38" t="s">
        <v>293</v>
      </c>
    </row>
    <row r="242" ht="34.5">
      <c r="A242" s="38" t="s">
        <v>285</v>
      </c>
      <c r="B242" s="38" t="s">
        <v>286</v>
      </c>
      <c r="C242" s="38" t="s">
        <v>665</v>
      </c>
      <c r="D242" s="38" t="s">
        <v>288</v>
      </c>
      <c r="E242" s="38" t="s">
        <v>615</v>
      </c>
      <c r="F242" s="37" t="s">
        <v>616</v>
      </c>
      <c r="G242" s="38" t="s">
        <v>70</v>
      </c>
      <c r="H242" s="37"/>
      <c r="I242" s="37"/>
      <c r="J242" s="37" t="s">
        <v>672</v>
      </c>
      <c r="K242" s="40"/>
      <c r="L242" s="38"/>
      <c r="M242" s="38"/>
      <c r="N242" s="37"/>
      <c r="O242" s="37"/>
      <c r="P242" s="37"/>
      <c r="Q242" s="37"/>
      <c r="R242" s="39"/>
      <c r="S242" s="37"/>
      <c r="T242" s="38" t="s">
        <v>293</v>
      </c>
    </row>
    <row r="243" ht="34.5">
      <c r="A243" s="38" t="s">
        <v>285</v>
      </c>
      <c r="B243" s="38" t="s">
        <v>286</v>
      </c>
      <c r="C243" s="38" t="s">
        <v>665</v>
      </c>
      <c r="D243" s="38" t="s">
        <v>288</v>
      </c>
      <c r="E243" s="38" t="s">
        <v>615</v>
      </c>
      <c r="F243" s="37" t="s">
        <v>616</v>
      </c>
      <c r="G243" s="38" t="s">
        <v>70</v>
      </c>
      <c r="H243" s="37"/>
      <c r="I243" s="37"/>
      <c r="J243" s="37" t="s">
        <v>673</v>
      </c>
      <c r="K243" s="40"/>
      <c r="L243" s="38"/>
      <c r="M243" s="38"/>
      <c r="N243" s="37"/>
      <c r="O243" s="37"/>
      <c r="P243" s="37"/>
      <c r="Q243" s="37"/>
      <c r="R243" s="39"/>
      <c r="S243" s="37"/>
      <c r="T243" s="38" t="s">
        <v>293</v>
      </c>
    </row>
    <row r="244" ht="34.5">
      <c r="A244" s="38" t="s">
        <v>285</v>
      </c>
      <c r="B244" s="38" t="s">
        <v>286</v>
      </c>
      <c r="C244" s="38" t="s">
        <v>665</v>
      </c>
      <c r="D244" s="38" t="s">
        <v>288</v>
      </c>
      <c r="E244" s="38" t="s">
        <v>615</v>
      </c>
      <c r="F244" s="37" t="s">
        <v>616</v>
      </c>
      <c r="G244" s="38" t="s">
        <v>70</v>
      </c>
      <c r="H244" s="37"/>
      <c r="I244" s="37"/>
      <c r="J244" s="37" t="s">
        <v>674</v>
      </c>
      <c r="K244" s="40"/>
      <c r="L244" s="38"/>
      <c r="M244" s="38"/>
      <c r="N244" s="37"/>
      <c r="O244" s="37"/>
      <c r="P244" s="37"/>
      <c r="Q244" s="37"/>
      <c r="R244" s="39"/>
      <c r="S244" s="37"/>
      <c r="T244" s="38" t="s">
        <v>293</v>
      </c>
    </row>
    <row r="245" ht="34.5">
      <c r="A245" s="38" t="s">
        <v>285</v>
      </c>
      <c r="B245" s="38" t="s">
        <v>286</v>
      </c>
      <c r="C245" s="38" t="s">
        <v>665</v>
      </c>
      <c r="D245" s="38" t="s">
        <v>288</v>
      </c>
      <c r="E245" s="38" t="s">
        <v>615</v>
      </c>
      <c r="F245" s="37" t="s">
        <v>616</v>
      </c>
      <c r="G245" s="38" t="s">
        <v>70</v>
      </c>
      <c r="H245" s="37"/>
      <c r="I245" s="37"/>
      <c r="J245" s="37" t="s">
        <v>675</v>
      </c>
      <c r="K245" s="40"/>
      <c r="L245" s="38"/>
      <c r="M245" s="38"/>
      <c r="N245" s="37"/>
      <c r="O245" s="37"/>
      <c r="P245" s="37"/>
      <c r="Q245" s="37"/>
      <c r="R245" s="39"/>
      <c r="S245" s="37"/>
      <c r="T245" s="38" t="s">
        <v>293</v>
      </c>
    </row>
    <row r="246" ht="34.5">
      <c r="A246" s="38" t="s">
        <v>285</v>
      </c>
      <c r="B246" s="38" t="s">
        <v>286</v>
      </c>
      <c r="C246" s="38" t="s">
        <v>676</v>
      </c>
      <c r="D246" s="38" t="s">
        <v>288</v>
      </c>
      <c r="E246" s="38" t="s">
        <v>615</v>
      </c>
      <c r="F246" s="37" t="s">
        <v>616</v>
      </c>
      <c r="G246" s="38" t="s">
        <v>70</v>
      </c>
      <c r="H246" s="37"/>
      <c r="I246" s="37"/>
      <c r="J246" s="37" t="s">
        <v>677</v>
      </c>
      <c r="K246" s="40"/>
      <c r="L246" s="38"/>
      <c r="M246" s="38"/>
      <c r="N246" s="37"/>
      <c r="O246" s="37"/>
      <c r="P246" s="37"/>
      <c r="Q246" s="37"/>
      <c r="R246" s="39"/>
      <c r="S246" s="37"/>
      <c r="T246" s="38" t="s">
        <v>293</v>
      </c>
    </row>
    <row r="247" ht="34.5">
      <c r="A247" s="38" t="s">
        <v>285</v>
      </c>
      <c r="B247" s="38" t="s">
        <v>286</v>
      </c>
      <c r="C247" s="38" t="s">
        <v>676</v>
      </c>
      <c r="D247" s="38" t="s">
        <v>678</v>
      </c>
      <c r="E247" s="38" t="s">
        <v>615</v>
      </c>
      <c r="F247" s="37" t="s">
        <v>616</v>
      </c>
      <c r="G247" s="38" t="s">
        <v>70</v>
      </c>
      <c r="H247" s="37"/>
      <c r="I247" s="37"/>
      <c r="J247" s="37" t="s">
        <v>679</v>
      </c>
      <c r="K247" s="40"/>
      <c r="L247" s="38"/>
      <c r="M247" s="38"/>
      <c r="N247" s="37"/>
      <c r="O247" s="37"/>
      <c r="P247" s="37"/>
      <c r="Q247" s="37"/>
      <c r="R247" s="39"/>
      <c r="S247" s="37"/>
      <c r="T247" s="38" t="s">
        <v>293</v>
      </c>
    </row>
    <row r="248" ht="34.5">
      <c r="A248" s="38" t="s">
        <v>285</v>
      </c>
      <c r="B248" s="38" t="s">
        <v>286</v>
      </c>
      <c r="C248" s="38" t="s">
        <v>676</v>
      </c>
      <c r="D248" s="38" t="s">
        <v>288</v>
      </c>
      <c r="E248" s="38" t="s">
        <v>615</v>
      </c>
      <c r="F248" s="37" t="s">
        <v>616</v>
      </c>
      <c r="G248" s="38" t="s">
        <v>70</v>
      </c>
      <c r="H248" s="37"/>
      <c r="I248" s="37"/>
      <c r="J248" s="37" t="s">
        <v>680</v>
      </c>
      <c r="K248" s="40"/>
      <c r="L248" s="38"/>
      <c r="M248" s="38"/>
      <c r="N248" s="37"/>
      <c r="O248" s="37"/>
      <c r="P248" s="37"/>
      <c r="Q248" s="37"/>
      <c r="R248" s="39"/>
      <c r="S248" s="37"/>
      <c r="T248" s="38" t="s">
        <v>293</v>
      </c>
    </row>
    <row r="249" ht="34.5">
      <c r="A249" s="38" t="s">
        <v>285</v>
      </c>
      <c r="B249" s="38" t="s">
        <v>286</v>
      </c>
      <c r="C249" s="38" t="s">
        <v>681</v>
      </c>
      <c r="D249" s="38" t="s">
        <v>288</v>
      </c>
      <c r="E249" s="38" t="s">
        <v>615</v>
      </c>
      <c r="F249" s="37" t="s">
        <v>616</v>
      </c>
      <c r="G249" s="38" t="s">
        <v>70</v>
      </c>
      <c r="H249" s="37"/>
      <c r="I249" s="37"/>
      <c r="J249" s="37" t="s">
        <v>682</v>
      </c>
      <c r="K249" s="40"/>
      <c r="L249" s="38"/>
      <c r="M249" s="38"/>
      <c r="N249" s="37"/>
      <c r="O249" s="37"/>
      <c r="P249" s="37"/>
      <c r="Q249" s="37"/>
      <c r="R249" s="39"/>
      <c r="S249" s="37"/>
      <c r="T249" s="38" t="s">
        <v>293</v>
      </c>
    </row>
    <row r="250" ht="34.5">
      <c r="A250" s="38" t="s">
        <v>285</v>
      </c>
      <c r="B250" s="38" t="s">
        <v>286</v>
      </c>
      <c r="C250" s="38" t="s">
        <v>681</v>
      </c>
      <c r="D250" s="38" t="s">
        <v>288</v>
      </c>
      <c r="E250" s="38" t="s">
        <v>615</v>
      </c>
      <c r="F250" s="37" t="s">
        <v>616</v>
      </c>
      <c r="G250" s="38" t="s">
        <v>70</v>
      </c>
      <c r="H250" s="37"/>
      <c r="I250" s="37"/>
      <c r="J250" s="37" t="s">
        <v>683</v>
      </c>
      <c r="K250" s="40"/>
      <c r="L250" s="38"/>
      <c r="M250" s="38"/>
      <c r="N250" s="37"/>
      <c r="O250" s="37"/>
      <c r="P250" s="37"/>
      <c r="Q250" s="37"/>
      <c r="R250" s="39"/>
      <c r="S250" s="37"/>
      <c r="T250" s="38" t="s">
        <v>293</v>
      </c>
    </row>
    <row r="251" ht="34.5">
      <c r="A251" s="38" t="s">
        <v>285</v>
      </c>
      <c r="B251" s="38" t="s">
        <v>286</v>
      </c>
      <c r="C251" s="38" t="s">
        <v>681</v>
      </c>
      <c r="D251" s="38" t="s">
        <v>288</v>
      </c>
      <c r="E251" s="38" t="s">
        <v>615</v>
      </c>
      <c r="F251" s="37" t="s">
        <v>616</v>
      </c>
      <c r="G251" s="38" t="s">
        <v>70</v>
      </c>
      <c r="H251" s="37"/>
      <c r="I251" s="37"/>
      <c r="J251" s="37" t="s">
        <v>684</v>
      </c>
      <c r="K251" s="40"/>
      <c r="L251" s="38"/>
      <c r="M251" s="38"/>
      <c r="N251" s="37"/>
      <c r="O251" s="37"/>
      <c r="P251" s="37"/>
      <c r="Q251" s="37"/>
      <c r="R251" s="39"/>
      <c r="S251" s="37"/>
      <c r="T251" s="38" t="s">
        <v>293</v>
      </c>
    </row>
    <row r="252" ht="34.5">
      <c r="A252" s="38" t="s">
        <v>285</v>
      </c>
      <c r="B252" s="38" t="s">
        <v>286</v>
      </c>
      <c r="C252" s="38" t="s">
        <v>681</v>
      </c>
      <c r="D252" s="38" t="s">
        <v>288</v>
      </c>
      <c r="E252" s="38" t="s">
        <v>615</v>
      </c>
      <c r="F252" s="37" t="s">
        <v>616</v>
      </c>
      <c r="G252" s="38" t="s">
        <v>70</v>
      </c>
      <c r="H252" s="37"/>
      <c r="I252" s="37"/>
      <c r="J252" s="37" t="s">
        <v>685</v>
      </c>
      <c r="K252" s="40">
        <v>3000000</v>
      </c>
      <c r="L252" s="38" t="s">
        <v>297</v>
      </c>
      <c r="M252" s="38"/>
      <c r="N252" s="37"/>
      <c r="O252" s="37"/>
      <c r="P252" s="37"/>
      <c r="Q252" s="37"/>
      <c r="R252" s="39"/>
      <c r="S252" s="37"/>
      <c r="T252" s="38" t="s">
        <v>293</v>
      </c>
    </row>
    <row r="253" ht="34.5">
      <c r="A253" s="38" t="s">
        <v>285</v>
      </c>
      <c r="B253" s="38" t="s">
        <v>286</v>
      </c>
      <c r="C253" s="38" t="s">
        <v>681</v>
      </c>
      <c r="D253" s="38" t="s">
        <v>288</v>
      </c>
      <c r="E253" s="38" t="s">
        <v>615</v>
      </c>
      <c r="F253" s="37" t="s">
        <v>616</v>
      </c>
      <c r="G253" s="38" t="s">
        <v>70</v>
      </c>
      <c r="H253" s="37"/>
      <c r="I253" s="37"/>
      <c r="J253" s="37" t="s">
        <v>686</v>
      </c>
      <c r="K253" s="40"/>
      <c r="L253" s="38"/>
      <c r="M253" s="38"/>
      <c r="N253" s="37"/>
      <c r="O253" s="37"/>
      <c r="P253" s="37"/>
      <c r="Q253" s="37"/>
      <c r="R253" s="39"/>
      <c r="S253" s="37"/>
      <c r="T253" s="38" t="s">
        <v>293</v>
      </c>
    </row>
    <row r="254" ht="34.5">
      <c r="A254" s="38" t="s">
        <v>285</v>
      </c>
      <c r="B254" s="38" t="s">
        <v>286</v>
      </c>
      <c r="C254" s="38" t="s">
        <v>681</v>
      </c>
      <c r="D254" s="38" t="s">
        <v>288</v>
      </c>
      <c r="E254" s="38" t="s">
        <v>615</v>
      </c>
      <c r="F254" s="37" t="s">
        <v>616</v>
      </c>
      <c r="G254" s="38" t="s">
        <v>70</v>
      </c>
      <c r="H254" s="37"/>
      <c r="I254" s="37"/>
      <c r="J254" s="37" t="s">
        <v>687</v>
      </c>
      <c r="K254" s="40"/>
      <c r="L254" s="38"/>
      <c r="M254" s="38"/>
      <c r="N254" s="37"/>
      <c r="O254" s="37"/>
      <c r="P254" s="37"/>
      <c r="Q254" s="37"/>
      <c r="R254" s="39"/>
      <c r="S254" s="37"/>
      <c r="T254" s="38" t="s">
        <v>293</v>
      </c>
    </row>
    <row r="255" ht="34.5">
      <c r="A255" s="38" t="s">
        <v>285</v>
      </c>
      <c r="B255" s="38" t="s">
        <v>286</v>
      </c>
      <c r="C255" s="38" t="s">
        <v>681</v>
      </c>
      <c r="D255" s="38" t="s">
        <v>288</v>
      </c>
      <c r="E255" s="38" t="s">
        <v>615</v>
      </c>
      <c r="F255" s="37" t="s">
        <v>616</v>
      </c>
      <c r="G255" s="38" t="s">
        <v>70</v>
      </c>
      <c r="H255" s="37"/>
      <c r="I255" s="37"/>
      <c r="J255" s="37" t="s">
        <v>688</v>
      </c>
      <c r="K255" s="40"/>
      <c r="L255" s="38"/>
      <c r="M255" s="38"/>
      <c r="N255" s="37"/>
      <c r="O255" s="37"/>
      <c r="P255" s="37"/>
      <c r="Q255" s="37"/>
      <c r="R255" s="39"/>
      <c r="S255" s="37"/>
      <c r="T255" s="38" t="s">
        <v>293</v>
      </c>
    </row>
    <row r="256" ht="34.5">
      <c r="A256" s="38" t="s">
        <v>285</v>
      </c>
      <c r="B256" s="38" t="s">
        <v>286</v>
      </c>
      <c r="C256" s="38" t="s">
        <v>681</v>
      </c>
      <c r="D256" s="38" t="s">
        <v>288</v>
      </c>
      <c r="E256" s="38" t="s">
        <v>615</v>
      </c>
      <c r="F256" s="37" t="s">
        <v>616</v>
      </c>
      <c r="G256" s="38" t="s">
        <v>70</v>
      </c>
      <c r="H256" s="37"/>
      <c r="I256" s="37"/>
      <c r="J256" s="37" t="s">
        <v>689</v>
      </c>
      <c r="K256" s="40"/>
      <c r="L256" s="38"/>
      <c r="M256" s="38"/>
      <c r="N256" s="37"/>
      <c r="O256" s="37"/>
      <c r="P256" s="37"/>
      <c r="Q256" s="37"/>
      <c r="R256" s="39"/>
      <c r="S256" s="37"/>
      <c r="T256" s="38" t="s">
        <v>293</v>
      </c>
    </row>
    <row r="257" ht="34.5">
      <c r="A257" s="38" t="s">
        <v>285</v>
      </c>
      <c r="B257" s="38" t="s">
        <v>286</v>
      </c>
      <c r="C257" s="38" t="s">
        <v>690</v>
      </c>
      <c r="D257" s="38" t="s">
        <v>288</v>
      </c>
      <c r="E257" s="38" t="s">
        <v>615</v>
      </c>
      <c r="F257" s="37" t="s">
        <v>616</v>
      </c>
      <c r="G257" s="38" t="s">
        <v>70</v>
      </c>
      <c r="H257" s="37"/>
      <c r="I257" s="37"/>
      <c r="J257" s="37" t="s">
        <v>691</v>
      </c>
      <c r="K257" s="40"/>
      <c r="L257" s="38"/>
      <c r="M257" s="38"/>
      <c r="N257" s="37"/>
      <c r="O257" s="37"/>
      <c r="P257" s="37"/>
      <c r="Q257" s="37"/>
      <c r="R257" s="39"/>
      <c r="S257" s="37"/>
      <c r="T257" s="38" t="s">
        <v>293</v>
      </c>
    </row>
    <row r="258" ht="34.5">
      <c r="A258" s="38" t="s">
        <v>285</v>
      </c>
      <c r="B258" s="38" t="s">
        <v>286</v>
      </c>
      <c r="C258" s="38" t="s">
        <v>690</v>
      </c>
      <c r="D258" s="38" t="s">
        <v>692</v>
      </c>
      <c r="E258" s="38" t="s">
        <v>615</v>
      </c>
      <c r="F258" s="37" t="s">
        <v>616</v>
      </c>
      <c r="G258" s="38" t="s">
        <v>70</v>
      </c>
      <c r="H258" s="37"/>
      <c r="I258" s="37"/>
      <c r="J258" s="37" t="s">
        <v>693</v>
      </c>
      <c r="K258" s="40"/>
      <c r="L258" s="38"/>
      <c r="M258" s="38"/>
      <c r="N258" s="37"/>
      <c r="O258" s="37"/>
      <c r="P258" s="37"/>
      <c r="Q258" s="37"/>
      <c r="R258" s="39"/>
      <c r="S258" s="37"/>
      <c r="T258" s="38" t="s">
        <v>293</v>
      </c>
    </row>
    <row r="259" ht="34.5">
      <c r="A259" s="38" t="s">
        <v>285</v>
      </c>
      <c r="B259" s="38" t="s">
        <v>286</v>
      </c>
      <c r="C259" s="38" t="s">
        <v>690</v>
      </c>
      <c r="D259" s="38" t="s">
        <v>288</v>
      </c>
      <c r="E259" s="38" t="s">
        <v>615</v>
      </c>
      <c r="F259" s="37" t="s">
        <v>616</v>
      </c>
      <c r="G259" s="38" t="s">
        <v>70</v>
      </c>
      <c r="H259" s="37"/>
      <c r="I259" s="37"/>
      <c r="J259" s="37" t="s">
        <v>694</v>
      </c>
      <c r="K259" s="40"/>
      <c r="L259" s="38"/>
      <c r="M259" s="38"/>
      <c r="N259" s="37"/>
      <c r="O259" s="37"/>
      <c r="P259" s="37"/>
      <c r="Q259" s="37"/>
      <c r="R259" s="39"/>
      <c r="S259" s="37"/>
      <c r="T259" s="38" t="s">
        <v>293</v>
      </c>
    </row>
    <row r="260" ht="34.5">
      <c r="A260" s="38" t="s">
        <v>285</v>
      </c>
      <c r="B260" s="38" t="s">
        <v>286</v>
      </c>
      <c r="C260" s="38" t="s">
        <v>690</v>
      </c>
      <c r="D260" s="38" t="s">
        <v>288</v>
      </c>
      <c r="E260" s="38" t="s">
        <v>615</v>
      </c>
      <c r="F260" s="37" t="s">
        <v>616</v>
      </c>
      <c r="G260" s="38" t="s">
        <v>70</v>
      </c>
      <c r="H260" s="37"/>
      <c r="I260" s="37"/>
      <c r="J260" s="37" t="s">
        <v>695</v>
      </c>
      <c r="K260" s="40"/>
      <c r="L260" s="38"/>
      <c r="M260" s="38"/>
      <c r="N260" s="37"/>
      <c r="O260" s="37"/>
      <c r="P260" s="37"/>
      <c r="Q260" s="37"/>
      <c r="R260" s="39"/>
      <c r="S260" s="37"/>
      <c r="T260" s="38" t="s">
        <v>293</v>
      </c>
    </row>
    <row r="261" ht="34.5">
      <c r="A261" s="38" t="s">
        <v>285</v>
      </c>
      <c r="B261" s="38" t="s">
        <v>286</v>
      </c>
      <c r="C261" s="38" t="s">
        <v>696</v>
      </c>
      <c r="D261" s="38" t="s">
        <v>288</v>
      </c>
      <c r="E261" s="38" t="s">
        <v>615</v>
      </c>
      <c r="F261" s="37" t="s">
        <v>616</v>
      </c>
      <c r="G261" s="38" t="s">
        <v>70</v>
      </c>
      <c r="H261" s="37"/>
      <c r="I261" s="37"/>
      <c r="J261" s="37" t="s">
        <v>697</v>
      </c>
      <c r="K261" s="40"/>
      <c r="L261" s="38"/>
      <c r="M261" s="38"/>
      <c r="N261" s="37"/>
      <c r="O261" s="37"/>
      <c r="P261" s="37"/>
      <c r="Q261" s="37"/>
      <c r="R261" s="39"/>
      <c r="S261" s="37"/>
      <c r="T261" s="38" t="s">
        <v>293</v>
      </c>
    </row>
    <row r="262" ht="34.5">
      <c r="A262" s="38" t="s">
        <v>285</v>
      </c>
      <c r="B262" s="38" t="s">
        <v>286</v>
      </c>
      <c r="C262" s="38" t="s">
        <v>696</v>
      </c>
      <c r="D262" s="38" t="s">
        <v>288</v>
      </c>
      <c r="E262" s="38" t="s">
        <v>615</v>
      </c>
      <c r="F262" s="37" t="s">
        <v>616</v>
      </c>
      <c r="G262" s="38" t="s">
        <v>70</v>
      </c>
      <c r="H262" s="37"/>
      <c r="I262" s="37"/>
      <c r="J262" s="37" t="s">
        <v>698</v>
      </c>
      <c r="K262" s="40"/>
      <c r="L262" s="38"/>
      <c r="M262" s="38"/>
      <c r="N262" s="37"/>
      <c r="O262" s="37"/>
      <c r="P262" s="37"/>
      <c r="Q262" s="37"/>
      <c r="R262" s="39"/>
      <c r="S262" s="37"/>
      <c r="T262" s="38" t="s">
        <v>293</v>
      </c>
    </row>
    <row r="263" ht="34.5">
      <c r="A263" s="38" t="s">
        <v>285</v>
      </c>
      <c r="B263" s="38" t="s">
        <v>286</v>
      </c>
      <c r="C263" s="38" t="s">
        <v>696</v>
      </c>
      <c r="D263" s="38" t="s">
        <v>699</v>
      </c>
      <c r="E263" s="38" t="s">
        <v>615</v>
      </c>
      <c r="F263" s="37" t="s">
        <v>616</v>
      </c>
      <c r="G263" s="38" t="s">
        <v>70</v>
      </c>
      <c r="H263" s="37"/>
      <c r="I263" s="37"/>
      <c r="J263" s="37" t="s">
        <v>700</v>
      </c>
      <c r="K263" s="40"/>
      <c r="L263" s="38"/>
      <c r="M263" s="38"/>
      <c r="N263" s="37"/>
      <c r="O263" s="37"/>
      <c r="P263" s="37"/>
      <c r="Q263" s="37"/>
      <c r="R263" s="39"/>
      <c r="S263" s="37"/>
      <c r="T263" s="38" t="s">
        <v>293</v>
      </c>
    </row>
    <row r="264" ht="34.5">
      <c r="A264" s="38" t="s">
        <v>285</v>
      </c>
      <c r="B264" s="38" t="s">
        <v>286</v>
      </c>
      <c r="C264" s="38" t="s">
        <v>696</v>
      </c>
      <c r="D264" s="38" t="s">
        <v>288</v>
      </c>
      <c r="E264" s="38" t="s">
        <v>615</v>
      </c>
      <c r="F264" s="37" t="s">
        <v>616</v>
      </c>
      <c r="G264" s="38" t="s">
        <v>70</v>
      </c>
      <c r="H264" s="37"/>
      <c r="I264" s="37"/>
      <c r="J264" s="37" t="s">
        <v>701</v>
      </c>
      <c r="K264" s="40"/>
      <c r="L264" s="38"/>
      <c r="M264" s="38"/>
      <c r="N264" s="37"/>
      <c r="O264" s="37"/>
      <c r="P264" s="37"/>
      <c r="Q264" s="37"/>
      <c r="R264" s="39"/>
      <c r="S264" s="37"/>
      <c r="T264" s="38" t="s">
        <v>293</v>
      </c>
    </row>
    <row r="265" ht="34.5">
      <c r="A265" s="38" t="s">
        <v>285</v>
      </c>
      <c r="B265" s="38" t="s">
        <v>286</v>
      </c>
      <c r="C265" s="38" t="s">
        <v>696</v>
      </c>
      <c r="D265" s="38" t="s">
        <v>288</v>
      </c>
      <c r="E265" s="38" t="s">
        <v>615</v>
      </c>
      <c r="F265" s="37" t="s">
        <v>616</v>
      </c>
      <c r="G265" s="38" t="s">
        <v>70</v>
      </c>
      <c r="H265" s="37"/>
      <c r="I265" s="37"/>
      <c r="J265" s="37" t="s">
        <v>702</v>
      </c>
      <c r="K265" s="40"/>
      <c r="L265" s="38"/>
      <c r="M265" s="38"/>
      <c r="N265" s="37"/>
      <c r="O265" s="37"/>
      <c r="P265" s="37"/>
      <c r="Q265" s="37"/>
      <c r="R265" s="39"/>
      <c r="S265" s="37"/>
      <c r="T265" s="38" t="s">
        <v>293</v>
      </c>
    </row>
    <row r="266" ht="34.5">
      <c r="A266" s="38" t="s">
        <v>285</v>
      </c>
      <c r="B266" s="38" t="s">
        <v>286</v>
      </c>
      <c r="C266" s="38" t="s">
        <v>696</v>
      </c>
      <c r="D266" s="38" t="s">
        <v>288</v>
      </c>
      <c r="E266" s="38" t="s">
        <v>615</v>
      </c>
      <c r="F266" s="37" t="s">
        <v>616</v>
      </c>
      <c r="G266" s="38" t="s">
        <v>70</v>
      </c>
      <c r="H266" s="37"/>
      <c r="I266" s="37"/>
      <c r="J266" s="37" t="s">
        <v>703</v>
      </c>
      <c r="K266" s="40">
        <v>64323182</v>
      </c>
      <c r="L266" s="38" t="s">
        <v>297</v>
      </c>
      <c r="M266" s="38"/>
      <c r="N266" s="37"/>
      <c r="O266" s="37"/>
      <c r="P266" s="37"/>
      <c r="Q266" s="37"/>
      <c r="R266" s="39"/>
      <c r="S266" s="37"/>
      <c r="T266" s="38" t="s">
        <v>293</v>
      </c>
    </row>
    <row r="267" ht="34.5">
      <c r="A267" s="38" t="s">
        <v>285</v>
      </c>
      <c r="B267" s="38" t="s">
        <v>286</v>
      </c>
      <c r="C267" s="38" t="s">
        <v>704</v>
      </c>
      <c r="D267" s="38" t="s">
        <v>288</v>
      </c>
      <c r="E267" s="38" t="s">
        <v>615</v>
      </c>
      <c r="F267" s="37" t="s">
        <v>616</v>
      </c>
      <c r="G267" s="38" t="s">
        <v>70</v>
      </c>
      <c r="H267" s="37"/>
      <c r="I267" s="37"/>
      <c r="J267" s="37" t="s">
        <v>705</v>
      </c>
      <c r="K267" s="40"/>
      <c r="L267" s="38"/>
      <c r="M267" s="38"/>
      <c r="N267" s="37"/>
      <c r="O267" s="37"/>
      <c r="P267" s="37"/>
      <c r="Q267" s="37"/>
      <c r="R267" s="39"/>
      <c r="S267" s="37"/>
      <c r="T267" s="38" t="s">
        <v>293</v>
      </c>
    </row>
    <row r="268" ht="34.5">
      <c r="A268" s="38" t="s">
        <v>285</v>
      </c>
      <c r="B268" s="38" t="s">
        <v>286</v>
      </c>
      <c r="C268" s="38" t="s">
        <v>704</v>
      </c>
      <c r="D268" s="38" t="s">
        <v>288</v>
      </c>
      <c r="E268" s="38" t="s">
        <v>706</v>
      </c>
      <c r="F268" s="37" t="s">
        <v>707</v>
      </c>
      <c r="G268" s="38" t="s">
        <v>708</v>
      </c>
      <c r="H268" s="37"/>
      <c r="I268" s="37"/>
      <c r="J268" s="37" t="s">
        <v>709</v>
      </c>
      <c r="K268" s="40"/>
      <c r="L268" s="38"/>
      <c r="M268" s="38"/>
      <c r="N268" s="37"/>
      <c r="O268" s="37"/>
      <c r="P268" s="37"/>
      <c r="Q268" s="37"/>
      <c r="R268" s="39"/>
      <c r="S268" s="37"/>
      <c r="T268" s="38" t="s">
        <v>293</v>
      </c>
    </row>
    <row r="269" ht="34.5">
      <c r="A269" s="38" t="s">
        <v>285</v>
      </c>
      <c r="B269" s="38" t="s">
        <v>286</v>
      </c>
      <c r="C269" s="38" t="s">
        <v>704</v>
      </c>
      <c r="D269" s="38" t="s">
        <v>288</v>
      </c>
      <c r="E269" s="38" t="s">
        <v>706</v>
      </c>
      <c r="F269" s="37" t="s">
        <v>707</v>
      </c>
      <c r="G269" s="38" t="s">
        <v>708</v>
      </c>
      <c r="H269" s="37"/>
      <c r="I269" s="37"/>
      <c r="J269" s="37" t="s">
        <v>710</v>
      </c>
      <c r="K269" s="40"/>
      <c r="L269" s="38"/>
      <c r="M269" s="38"/>
      <c r="N269" s="37"/>
      <c r="O269" s="37"/>
      <c r="P269" s="37"/>
      <c r="Q269" s="37"/>
      <c r="R269" s="39"/>
      <c r="S269" s="37"/>
      <c r="T269" s="38" t="s">
        <v>293</v>
      </c>
    </row>
    <row r="270" ht="34.5">
      <c r="A270" s="38" t="s">
        <v>285</v>
      </c>
      <c r="B270" s="38" t="s">
        <v>286</v>
      </c>
      <c r="C270" s="38" t="s">
        <v>704</v>
      </c>
      <c r="D270" s="38" t="s">
        <v>288</v>
      </c>
      <c r="E270" s="38" t="s">
        <v>706</v>
      </c>
      <c r="F270" s="37" t="s">
        <v>707</v>
      </c>
      <c r="G270" s="38" t="s">
        <v>708</v>
      </c>
      <c r="H270" s="37"/>
      <c r="I270" s="37"/>
      <c r="J270" s="37" t="s">
        <v>711</v>
      </c>
      <c r="K270" s="40"/>
      <c r="L270" s="38"/>
      <c r="M270" s="38"/>
      <c r="N270" s="37"/>
      <c r="O270" s="37"/>
      <c r="P270" s="37"/>
      <c r="Q270" s="37"/>
      <c r="R270" s="39"/>
      <c r="S270" s="37"/>
      <c r="T270" s="38" t="s">
        <v>293</v>
      </c>
    </row>
    <row r="271" ht="34.5">
      <c r="A271" s="38" t="s">
        <v>285</v>
      </c>
      <c r="B271" s="38" t="s">
        <v>286</v>
      </c>
      <c r="C271" s="38" t="s">
        <v>704</v>
      </c>
      <c r="D271" s="38" t="s">
        <v>288</v>
      </c>
      <c r="E271" s="38" t="s">
        <v>706</v>
      </c>
      <c r="F271" s="37" t="s">
        <v>707</v>
      </c>
      <c r="G271" s="38" t="s">
        <v>708</v>
      </c>
      <c r="H271" s="37"/>
      <c r="I271" s="37"/>
      <c r="J271" s="37" t="s">
        <v>712</v>
      </c>
      <c r="K271" s="40"/>
      <c r="L271" s="38"/>
      <c r="M271" s="38"/>
      <c r="N271" s="37"/>
      <c r="O271" s="37"/>
      <c r="P271" s="37"/>
      <c r="Q271" s="37"/>
      <c r="R271" s="39"/>
      <c r="S271" s="37"/>
      <c r="T271" s="38" t="s">
        <v>293</v>
      </c>
    </row>
    <row r="272" ht="34.5">
      <c r="A272" s="38" t="s">
        <v>285</v>
      </c>
      <c r="B272" s="38" t="s">
        <v>286</v>
      </c>
      <c r="C272" s="38" t="s">
        <v>704</v>
      </c>
      <c r="D272" s="38" t="s">
        <v>288</v>
      </c>
      <c r="E272" s="38" t="s">
        <v>706</v>
      </c>
      <c r="F272" s="37" t="s">
        <v>707</v>
      </c>
      <c r="G272" s="38" t="s">
        <v>708</v>
      </c>
      <c r="H272" s="37"/>
      <c r="I272" s="37"/>
      <c r="J272" s="37" t="s">
        <v>713</v>
      </c>
      <c r="K272" s="40"/>
      <c r="L272" s="38"/>
      <c r="M272" s="38"/>
      <c r="N272" s="37"/>
      <c r="O272" s="37"/>
      <c r="P272" s="37"/>
      <c r="Q272" s="37"/>
      <c r="R272" s="39"/>
      <c r="S272" s="37"/>
      <c r="T272" s="38" t="s">
        <v>293</v>
      </c>
    </row>
    <row r="273" ht="34.5">
      <c r="A273" s="38" t="s">
        <v>285</v>
      </c>
      <c r="B273" s="38" t="s">
        <v>286</v>
      </c>
      <c r="C273" s="38" t="s">
        <v>704</v>
      </c>
      <c r="D273" s="38" t="s">
        <v>288</v>
      </c>
      <c r="E273" s="38" t="s">
        <v>706</v>
      </c>
      <c r="F273" s="37" t="s">
        <v>707</v>
      </c>
      <c r="G273" s="38" t="s">
        <v>708</v>
      </c>
      <c r="H273" s="37"/>
      <c r="I273" s="37"/>
      <c r="J273" s="37" t="s">
        <v>714</v>
      </c>
      <c r="K273" s="40"/>
      <c r="L273" s="38"/>
      <c r="M273" s="38"/>
      <c r="N273" s="37"/>
      <c r="O273" s="37"/>
      <c r="P273" s="37"/>
      <c r="Q273" s="37"/>
      <c r="R273" s="39"/>
      <c r="S273" s="37"/>
      <c r="T273" s="38" t="s">
        <v>293</v>
      </c>
    </row>
    <row r="274" ht="34.5">
      <c r="A274" s="38" t="s">
        <v>285</v>
      </c>
      <c r="B274" s="38" t="s">
        <v>286</v>
      </c>
      <c r="C274" s="38" t="s">
        <v>704</v>
      </c>
      <c r="D274" s="38" t="s">
        <v>288</v>
      </c>
      <c r="E274" s="38" t="s">
        <v>706</v>
      </c>
      <c r="F274" s="37" t="s">
        <v>707</v>
      </c>
      <c r="G274" s="38" t="s">
        <v>708</v>
      </c>
      <c r="H274" s="37"/>
      <c r="I274" s="37"/>
      <c r="J274" s="37" t="s">
        <v>715</v>
      </c>
      <c r="K274" s="40"/>
      <c r="L274" s="38"/>
      <c r="M274" s="38"/>
      <c r="N274" s="37"/>
      <c r="O274" s="37"/>
      <c r="P274" s="37"/>
      <c r="Q274" s="37"/>
      <c r="R274" s="39"/>
      <c r="S274" s="37"/>
      <c r="T274" s="38" t="s">
        <v>293</v>
      </c>
    </row>
    <row r="275" ht="34.5">
      <c r="A275" s="38" t="s">
        <v>285</v>
      </c>
      <c r="B275" s="38" t="s">
        <v>286</v>
      </c>
      <c r="C275" s="38" t="s">
        <v>704</v>
      </c>
      <c r="D275" s="38" t="s">
        <v>288</v>
      </c>
      <c r="E275" s="38" t="s">
        <v>706</v>
      </c>
      <c r="F275" s="37" t="s">
        <v>707</v>
      </c>
      <c r="G275" s="38" t="s">
        <v>708</v>
      </c>
      <c r="H275" s="37"/>
      <c r="I275" s="37"/>
      <c r="J275" s="37" t="s">
        <v>716</v>
      </c>
      <c r="K275" s="40"/>
      <c r="L275" s="38"/>
      <c r="M275" s="38"/>
      <c r="N275" s="37"/>
      <c r="O275" s="37"/>
      <c r="P275" s="37"/>
      <c r="Q275" s="37"/>
      <c r="R275" s="39"/>
      <c r="S275" s="37"/>
      <c r="T275" s="38" t="s">
        <v>293</v>
      </c>
    </row>
    <row r="276" ht="34.5">
      <c r="A276" s="38" t="s">
        <v>285</v>
      </c>
      <c r="B276" s="38" t="s">
        <v>286</v>
      </c>
      <c r="C276" s="38" t="s">
        <v>717</v>
      </c>
      <c r="D276" s="38" t="s">
        <v>288</v>
      </c>
      <c r="E276" s="38" t="s">
        <v>706</v>
      </c>
      <c r="F276" s="37" t="s">
        <v>707</v>
      </c>
      <c r="G276" s="38" t="s">
        <v>708</v>
      </c>
      <c r="H276" s="37"/>
      <c r="I276" s="37"/>
      <c r="J276" s="37" t="s">
        <v>718</v>
      </c>
      <c r="K276" s="40"/>
      <c r="L276" s="38"/>
      <c r="M276" s="38"/>
      <c r="N276" s="37"/>
      <c r="O276" s="37"/>
      <c r="P276" s="37"/>
      <c r="Q276" s="37"/>
      <c r="R276" s="39"/>
      <c r="S276" s="37"/>
      <c r="T276" s="38" t="s">
        <v>293</v>
      </c>
    </row>
    <row r="277" ht="34.5">
      <c r="A277" s="38" t="s">
        <v>285</v>
      </c>
      <c r="B277" s="38" t="s">
        <v>286</v>
      </c>
      <c r="C277" s="38" t="s">
        <v>717</v>
      </c>
      <c r="D277" s="38" t="s">
        <v>288</v>
      </c>
      <c r="E277" s="38" t="s">
        <v>706</v>
      </c>
      <c r="F277" s="37" t="s">
        <v>707</v>
      </c>
      <c r="G277" s="38" t="s">
        <v>708</v>
      </c>
      <c r="H277" s="37"/>
      <c r="I277" s="37"/>
      <c r="J277" s="37" t="s">
        <v>719</v>
      </c>
      <c r="K277" s="40"/>
      <c r="L277" s="38"/>
      <c r="M277" s="38"/>
      <c r="N277" s="37"/>
      <c r="O277" s="37"/>
      <c r="P277" s="37"/>
      <c r="Q277" s="37"/>
      <c r="R277" s="39"/>
      <c r="S277" s="37"/>
      <c r="T277" s="38" t="s">
        <v>293</v>
      </c>
    </row>
    <row r="278" ht="34.5">
      <c r="A278" s="38" t="s">
        <v>285</v>
      </c>
      <c r="B278" s="38" t="s">
        <v>286</v>
      </c>
      <c r="C278" s="38" t="s">
        <v>717</v>
      </c>
      <c r="D278" s="38" t="s">
        <v>288</v>
      </c>
      <c r="E278" s="38" t="s">
        <v>706</v>
      </c>
      <c r="F278" s="37" t="s">
        <v>707</v>
      </c>
      <c r="G278" s="38" t="s">
        <v>708</v>
      </c>
      <c r="H278" s="37"/>
      <c r="I278" s="37"/>
      <c r="J278" s="37" t="s">
        <v>720</v>
      </c>
      <c r="K278" s="40"/>
      <c r="L278" s="38"/>
      <c r="M278" s="38"/>
      <c r="N278" s="37"/>
      <c r="O278" s="37"/>
      <c r="P278" s="37"/>
      <c r="Q278" s="37"/>
      <c r="R278" s="39"/>
      <c r="S278" s="37"/>
      <c r="T278" s="38" t="s">
        <v>293</v>
      </c>
    </row>
    <row r="279" ht="34.5">
      <c r="A279" s="38" t="s">
        <v>285</v>
      </c>
      <c r="B279" s="38" t="s">
        <v>286</v>
      </c>
      <c r="C279" s="38" t="s">
        <v>717</v>
      </c>
      <c r="D279" s="38" t="s">
        <v>288</v>
      </c>
      <c r="E279" s="38" t="s">
        <v>706</v>
      </c>
      <c r="F279" s="37" t="s">
        <v>707</v>
      </c>
      <c r="G279" s="38" t="s">
        <v>708</v>
      </c>
      <c r="H279" s="37"/>
      <c r="I279" s="37"/>
      <c r="J279" s="37" t="s">
        <v>721</v>
      </c>
      <c r="K279" s="40"/>
      <c r="L279" s="38"/>
      <c r="M279" s="38"/>
      <c r="N279" s="37"/>
      <c r="O279" s="37"/>
      <c r="P279" s="37"/>
      <c r="Q279" s="37"/>
      <c r="R279" s="39"/>
      <c r="S279" s="37"/>
      <c r="T279" s="38" t="s">
        <v>293</v>
      </c>
    </row>
    <row r="280" ht="34.5">
      <c r="A280" s="38" t="s">
        <v>285</v>
      </c>
      <c r="B280" s="38" t="s">
        <v>286</v>
      </c>
      <c r="C280" s="38" t="s">
        <v>717</v>
      </c>
      <c r="D280" s="38" t="s">
        <v>288</v>
      </c>
      <c r="E280" s="38" t="s">
        <v>706</v>
      </c>
      <c r="F280" s="37" t="s">
        <v>707</v>
      </c>
      <c r="G280" s="38" t="s">
        <v>708</v>
      </c>
      <c r="H280" s="37"/>
      <c r="I280" s="37"/>
      <c r="J280" s="37" t="s">
        <v>722</v>
      </c>
      <c r="K280" s="40"/>
      <c r="L280" s="38"/>
      <c r="M280" s="38"/>
      <c r="N280" s="37"/>
      <c r="O280" s="37"/>
      <c r="P280" s="37"/>
      <c r="Q280" s="37"/>
      <c r="R280" s="39"/>
      <c r="S280" s="37"/>
      <c r="T280" s="38" t="s">
        <v>293</v>
      </c>
    </row>
    <row r="281" ht="34.5">
      <c r="A281" s="38" t="s">
        <v>285</v>
      </c>
      <c r="B281" s="38" t="s">
        <v>286</v>
      </c>
      <c r="C281" s="38" t="s">
        <v>717</v>
      </c>
      <c r="D281" s="38" t="s">
        <v>288</v>
      </c>
      <c r="E281" s="38" t="s">
        <v>706</v>
      </c>
      <c r="F281" s="37" t="s">
        <v>707</v>
      </c>
      <c r="G281" s="38" t="s">
        <v>708</v>
      </c>
      <c r="H281" s="37"/>
      <c r="I281" s="37"/>
      <c r="J281" s="37" t="s">
        <v>723</v>
      </c>
      <c r="K281" s="40"/>
      <c r="L281" s="38"/>
      <c r="M281" s="38"/>
      <c r="N281" s="37"/>
      <c r="O281" s="37"/>
      <c r="P281" s="37"/>
      <c r="Q281" s="37"/>
      <c r="R281" s="39"/>
      <c r="S281" s="37"/>
      <c r="T281" s="38" t="s">
        <v>293</v>
      </c>
    </row>
    <row r="282" ht="34.5">
      <c r="A282" s="38" t="s">
        <v>285</v>
      </c>
      <c r="B282" s="38" t="s">
        <v>286</v>
      </c>
      <c r="C282" s="38" t="s">
        <v>717</v>
      </c>
      <c r="D282" s="38" t="s">
        <v>288</v>
      </c>
      <c r="E282" s="38" t="s">
        <v>706</v>
      </c>
      <c r="F282" s="37" t="s">
        <v>707</v>
      </c>
      <c r="G282" s="38" t="s">
        <v>708</v>
      </c>
      <c r="H282" s="37"/>
      <c r="I282" s="37"/>
      <c r="J282" s="37" t="s">
        <v>724</v>
      </c>
      <c r="K282" s="40"/>
      <c r="L282" s="38"/>
      <c r="M282" s="38"/>
      <c r="N282" s="37"/>
      <c r="O282" s="37"/>
      <c r="P282" s="37"/>
      <c r="Q282" s="37"/>
      <c r="R282" s="39"/>
      <c r="S282" s="37"/>
      <c r="T282" s="38" t="s">
        <v>293</v>
      </c>
    </row>
    <row r="283" ht="34.5">
      <c r="A283" s="38" t="s">
        <v>285</v>
      </c>
      <c r="B283" s="38" t="s">
        <v>286</v>
      </c>
      <c r="C283" s="38" t="s">
        <v>717</v>
      </c>
      <c r="D283" s="38" t="s">
        <v>288</v>
      </c>
      <c r="E283" s="38" t="s">
        <v>706</v>
      </c>
      <c r="F283" s="37" t="s">
        <v>707</v>
      </c>
      <c r="G283" s="38" t="s">
        <v>708</v>
      </c>
      <c r="H283" s="37"/>
      <c r="I283" s="37"/>
      <c r="J283" s="37" t="s">
        <v>725</v>
      </c>
      <c r="K283" s="40"/>
      <c r="L283" s="38"/>
      <c r="M283" s="38"/>
      <c r="N283" s="37"/>
      <c r="O283" s="37"/>
      <c r="P283" s="37"/>
      <c r="Q283" s="37"/>
      <c r="R283" s="39"/>
      <c r="S283" s="37"/>
      <c r="T283" s="38" t="s">
        <v>293</v>
      </c>
    </row>
    <row r="284" ht="34.5">
      <c r="A284" s="38" t="s">
        <v>285</v>
      </c>
      <c r="B284" s="38" t="s">
        <v>286</v>
      </c>
      <c r="C284" s="38" t="s">
        <v>717</v>
      </c>
      <c r="D284" s="38" t="s">
        <v>288</v>
      </c>
      <c r="E284" s="38" t="s">
        <v>706</v>
      </c>
      <c r="F284" s="37" t="s">
        <v>707</v>
      </c>
      <c r="G284" s="38" t="s">
        <v>708</v>
      </c>
      <c r="H284" s="37"/>
      <c r="I284" s="37"/>
      <c r="J284" s="37" t="s">
        <v>726</v>
      </c>
      <c r="K284" s="40"/>
      <c r="L284" s="38"/>
      <c r="M284" s="38"/>
      <c r="N284" s="37"/>
      <c r="O284" s="37"/>
      <c r="P284" s="37"/>
      <c r="Q284" s="37"/>
      <c r="R284" s="39"/>
      <c r="S284" s="37"/>
      <c r="T284" s="38" t="s">
        <v>293</v>
      </c>
    </row>
    <row r="285" ht="34.5">
      <c r="A285" s="38" t="s">
        <v>285</v>
      </c>
      <c r="B285" s="38" t="s">
        <v>286</v>
      </c>
      <c r="C285" s="38" t="s">
        <v>717</v>
      </c>
      <c r="D285" s="38" t="s">
        <v>288</v>
      </c>
      <c r="E285" s="38" t="s">
        <v>706</v>
      </c>
      <c r="F285" s="37" t="s">
        <v>707</v>
      </c>
      <c r="G285" s="38" t="s">
        <v>708</v>
      </c>
      <c r="H285" s="37"/>
      <c r="I285" s="37"/>
      <c r="J285" s="37" t="s">
        <v>727</v>
      </c>
      <c r="K285" s="40"/>
      <c r="L285" s="38"/>
      <c r="M285" s="38"/>
      <c r="N285" s="37"/>
      <c r="O285" s="37"/>
      <c r="P285" s="37"/>
      <c r="Q285" s="37"/>
      <c r="R285" s="39"/>
      <c r="S285" s="37"/>
      <c r="T285" s="38" t="s">
        <v>293</v>
      </c>
    </row>
    <row r="286" ht="34.5">
      <c r="A286" s="38" t="s">
        <v>285</v>
      </c>
      <c r="B286" s="38" t="s">
        <v>286</v>
      </c>
      <c r="C286" s="38" t="s">
        <v>717</v>
      </c>
      <c r="D286" s="38" t="s">
        <v>288</v>
      </c>
      <c r="E286" s="38" t="s">
        <v>706</v>
      </c>
      <c r="F286" s="37" t="s">
        <v>707</v>
      </c>
      <c r="G286" s="38" t="s">
        <v>708</v>
      </c>
      <c r="H286" s="37"/>
      <c r="I286" s="37"/>
      <c r="J286" s="37" t="s">
        <v>728</v>
      </c>
      <c r="K286" s="40"/>
      <c r="L286" s="38"/>
      <c r="M286" s="38"/>
      <c r="N286" s="37"/>
      <c r="O286" s="37"/>
      <c r="P286" s="37"/>
      <c r="Q286" s="37"/>
      <c r="R286" s="39"/>
      <c r="S286" s="37"/>
      <c r="T286" s="38" t="s">
        <v>293</v>
      </c>
    </row>
    <row r="287" ht="34.5">
      <c r="A287" s="38" t="s">
        <v>285</v>
      </c>
      <c r="B287" s="38" t="s">
        <v>286</v>
      </c>
      <c r="C287" s="38" t="s">
        <v>717</v>
      </c>
      <c r="D287" s="38" t="s">
        <v>288</v>
      </c>
      <c r="E287" s="38" t="s">
        <v>706</v>
      </c>
      <c r="F287" s="37" t="s">
        <v>707</v>
      </c>
      <c r="G287" s="38" t="s">
        <v>708</v>
      </c>
      <c r="H287" s="37"/>
      <c r="I287" s="37"/>
      <c r="J287" s="37" t="s">
        <v>729</v>
      </c>
      <c r="K287" s="40"/>
      <c r="L287" s="38"/>
      <c r="M287" s="38"/>
      <c r="N287" s="37"/>
      <c r="O287" s="37"/>
      <c r="P287" s="37"/>
      <c r="Q287" s="37"/>
      <c r="R287" s="39"/>
      <c r="S287" s="37"/>
      <c r="T287" s="38" t="s">
        <v>293</v>
      </c>
    </row>
    <row r="288" ht="34.5">
      <c r="A288" s="38" t="s">
        <v>285</v>
      </c>
      <c r="B288" s="38" t="s">
        <v>286</v>
      </c>
      <c r="C288" s="38" t="s">
        <v>717</v>
      </c>
      <c r="D288" s="38" t="s">
        <v>288</v>
      </c>
      <c r="E288" s="38" t="s">
        <v>706</v>
      </c>
      <c r="F288" s="37" t="s">
        <v>707</v>
      </c>
      <c r="G288" s="38" t="s">
        <v>708</v>
      </c>
      <c r="H288" s="37"/>
      <c r="I288" s="37"/>
      <c r="J288" s="37" t="s">
        <v>730</v>
      </c>
      <c r="K288" s="40"/>
      <c r="L288" s="38"/>
      <c r="M288" s="38"/>
      <c r="N288" s="37"/>
      <c r="O288" s="37"/>
      <c r="P288" s="37"/>
      <c r="Q288" s="37"/>
      <c r="R288" s="39"/>
      <c r="S288" s="37"/>
      <c r="T288" s="38" t="s">
        <v>293</v>
      </c>
    </row>
    <row r="289" ht="34.5">
      <c r="A289" s="38" t="s">
        <v>285</v>
      </c>
      <c r="B289" s="38" t="s">
        <v>286</v>
      </c>
      <c r="C289" s="38" t="s">
        <v>731</v>
      </c>
      <c r="D289" s="38" t="s">
        <v>288</v>
      </c>
      <c r="E289" s="38" t="s">
        <v>706</v>
      </c>
      <c r="F289" s="37" t="s">
        <v>707</v>
      </c>
      <c r="G289" s="38" t="s">
        <v>708</v>
      </c>
      <c r="H289" s="37"/>
      <c r="I289" s="37"/>
      <c r="J289" s="37" t="s">
        <v>732</v>
      </c>
      <c r="K289" s="40"/>
      <c r="L289" s="38"/>
      <c r="M289" s="38"/>
      <c r="N289" s="37"/>
      <c r="O289" s="37"/>
      <c r="P289" s="37"/>
      <c r="Q289" s="37"/>
      <c r="R289" s="39"/>
      <c r="S289" s="37"/>
      <c r="T289" s="38" t="s">
        <v>293</v>
      </c>
    </row>
    <row r="290" ht="34.5">
      <c r="A290" s="38" t="s">
        <v>285</v>
      </c>
      <c r="B290" s="38" t="s">
        <v>286</v>
      </c>
      <c r="C290" s="38" t="s">
        <v>731</v>
      </c>
      <c r="D290" s="38" t="s">
        <v>288</v>
      </c>
      <c r="E290" s="38" t="s">
        <v>706</v>
      </c>
      <c r="F290" s="37" t="s">
        <v>707</v>
      </c>
      <c r="G290" s="38" t="s">
        <v>708</v>
      </c>
      <c r="H290" s="37"/>
      <c r="I290" s="37"/>
      <c r="J290" s="37" t="s">
        <v>733</v>
      </c>
      <c r="K290" s="40"/>
      <c r="L290" s="38"/>
      <c r="M290" s="38"/>
      <c r="N290" s="37"/>
      <c r="O290" s="37"/>
      <c r="P290" s="37"/>
      <c r="Q290" s="37"/>
      <c r="R290" s="39"/>
      <c r="S290" s="37"/>
      <c r="T290" s="38" t="s">
        <v>293</v>
      </c>
    </row>
    <row r="291" ht="34.5">
      <c r="A291" s="38" t="s">
        <v>285</v>
      </c>
      <c r="B291" s="38" t="s">
        <v>286</v>
      </c>
      <c r="C291" s="38" t="s">
        <v>731</v>
      </c>
      <c r="D291" s="38" t="s">
        <v>288</v>
      </c>
      <c r="E291" s="38" t="s">
        <v>706</v>
      </c>
      <c r="F291" s="37" t="s">
        <v>707</v>
      </c>
      <c r="G291" s="38" t="s">
        <v>708</v>
      </c>
      <c r="H291" s="37"/>
      <c r="I291" s="37"/>
      <c r="J291" s="37" t="s">
        <v>734</v>
      </c>
      <c r="K291" s="40"/>
      <c r="L291" s="38"/>
      <c r="M291" s="38"/>
      <c r="N291" s="37"/>
      <c r="O291" s="37"/>
      <c r="P291" s="37"/>
      <c r="Q291" s="37"/>
      <c r="R291" s="39"/>
      <c r="S291" s="37"/>
      <c r="T291" s="38" t="s">
        <v>293</v>
      </c>
    </row>
    <row r="292" ht="34.5">
      <c r="A292" s="38" t="s">
        <v>285</v>
      </c>
      <c r="B292" s="38" t="s">
        <v>286</v>
      </c>
      <c r="C292" s="38" t="s">
        <v>731</v>
      </c>
      <c r="D292" s="38" t="s">
        <v>288</v>
      </c>
      <c r="E292" s="38" t="s">
        <v>706</v>
      </c>
      <c r="F292" s="37" t="s">
        <v>707</v>
      </c>
      <c r="G292" s="38" t="s">
        <v>708</v>
      </c>
      <c r="H292" s="37"/>
      <c r="I292" s="37"/>
      <c r="J292" s="37" t="s">
        <v>735</v>
      </c>
      <c r="K292" s="40"/>
      <c r="L292" s="38"/>
      <c r="M292" s="38"/>
      <c r="N292" s="37"/>
      <c r="O292" s="37"/>
      <c r="P292" s="37"/>
      <c r="Q292" s="37"/>
      <c r="R292" s="39"/>
      <c r="S292" s="37"/>
      <c r="T292" s="38" t="s">
        <v>293</v>
      </c>
    </row>
    <row r="293" ht="34.5">
      <c r="A293" s="38" t="s">
        <v>285</v>
      </c>
      <c r="B293" s="38" t="s">
        <v>286</v>
      </c>
      <c r="C293" s="38" t="s">
        <v>731</v>
      </c>
      <c r="D293" s="38" t="s">
        <v>288</v>
      </c>
      <c r="E293" s="38" t="s">
        <v>706</v>
      </c>
      <c r="F293" s="37" t="s">
        <v>707</v>
      </c>
      <c r="G293" s="38" t="s">
        <v>708</v>
      </c>
      <c r="H293" s="37"/>
      <c r="I293" s="37"/>
      <c r="J293" s="37" t="s">
        <v>736</v>
      </c>
      <c r="K293" s="40"/>
      <c r="L293" s="38"/>
      <c r="M293" s="38"/>
      <c r="N293" s="37"/>
      <c r="O293" s="37"/>
      <c r="P293" s="37"/>
      <c r="Q293" s="37"/>
      <c r="R293" s="39"/>
      <c r="S293" s="37"/>
      <c r="T293" s="38" t="s">
        <v>293</v>
      </c>
    </row>
    <row r="294" ht="34.5">
      <c r="A294" s="38" t="s">
        <v>285</v>
      </c>
      <c r="B294" s="38" t="s">
        <v>286</v>
      </c>
      <c r="C294" s="38" t="s">
        <v>731</v>
      </c>
      <c r="D294" s="38" t="s">
        <v>288</v>
      </c>
      <c r="E294" s="38" t="s">
        <v>706</v>
      </c>
      <c r="F294" s="37" t="s">
        <v>707</v>
      </c>
      <c r="G294" s="38" t="s">
        <v>708</v>
      </c>
      <c r="H294" s="37"/>
      <c r="I294" s="37"/>
      <c r="J294" s="37" t="s">
        <v>737</v>
      </c>
      <c r="K294" s="40"/>
      <c r="L294" s="38"/>
      <c r="M294" s="38"/>
      <c r="N294" s="37"/>
      <c r="O294" s="37"/>
      <c r="P294" s="37"/>
      <c r="Q294" s="37"/>
      <c r="R294" s="39"/>
      <c r="S294" s="37"/>
      <c r="T294" s="38" t="s">
        <v>293</v>
      </c>
    </row>
    <row r="295" ht="34.5">
      <c r="A295" s="38" t="s">
        <v>285</v>
      </c>
      <c r="B295" s="38" t="s">
        <v>286</v>
      </c>
      <c r="C295" s="38" t="s">
        <v>731</v>
      </c>
      <c r="D295" s="38" t="s">
        <v>288</v>
      </c>
      <c r="E295" s="38" t="s">
        <v>706</v>
      </c>
      <c r="F295" s="37" t="s">
        <v>707</v>
      </c>
      <c r="G295" s="38" t="s">
        <v>708</v>
      </c>
      <c r="H295" s="37"/>
      <c r="I295" s="37"/>
      <c r="J295" s="37" t="s">
        <v>738</v>
      </c>
      <c r="K295" s="40"/>
      <c r="L295" s="38"/>
      <c r="M295" s="38"/>
      <c r="N295" s="37"/>
      <c r="O295" s="37"/>
      <c r="P295" s="37"/>
      <c r="Q295" s="37"/>
      <c r="R295" s="39"/>
      <c r="S295" s="37"/>
      <c r="T295" s="38" t="s">
        <v>293</v>
      </c>
    </row>
    <row r="296" ht="34.5">
      <c r="A296" s="38" t="s">
        <v>285</v>
      </c>
      <c r="B296" s="38" t="s">
        <v>286</v>
      </c>
      <c r="C296" s="38" t="s">
        <v>731</v>
      </c>
      <c r="D296" s="38" t="s">
        <v>288</v>
      </c>
      <c r="E296" s="38" t="s">
        <v>706</v>
      </c>
      <c r="F296" s="37" t="s">
        <v>707</v>
      </c>
      <c r="G296" s="38" t="s">
        <v>708</v>
      </c>
      <c r="H296" s="37"/>
      <c r="I296" s="37"/>
      <c r="J296" s="37" t="s">
        <v>739</v>
      </c>
      <c r="K296" s="40"/>
      <c r="L296" s="38"/>
      <c r="M296" s="38"/>
      <c r="N296" s="37"/>
      <c r="O296" s="37"/>
      <c r="P296" s="37"/>
      <c r="Q296" s="37"/>
      <c r="R296" s="39"/>
      <c r="S296" s="37"/>
      <c r="T296" s="38" t="s">
        <v>293</v>
      </c>
    </row>
    <row r="297" ht="34.5">
      <c r="A297" s="38" t="s">
        <v>285</v>
      </c>
      <c r="B297" s="38" t="s">
        <v>286</v>
      </c>
      <c r="C297" s="38" t="s">
        <v>731</v>
      </c>
      <c r="D297" s="38" t="s">
        <v>288</v>
      </c>
      <c r="E297" s="38" t="s">
        <v>706</v>
      </c>
      <c r="F297" s="37" t="s">
        <v>707</v>
      </c>
      <c r="G297" s="38" t="s">
        <v>708</v>
      </c>
      <c r="H297" s="37"/>
      <c r="I297" s="37"/>
      <c r="J297" s="37" t="s">
        <v>740</v>
      </c>
      <c r="K297" s="40"/>
      <c r="L297" s="38"/>
      <c r="M297" s="38"/>
      <c r="N297" s="37"/>
      <c r="O297" s="37"/>
      <c r="P297" s="37"/>
      <c r="Q297" s="37"/>
      <c r="R297" s="39"/>
      <c r="S297" s="37"/>
      <c r="T297" s="38" t="s">
        <v>293</v>
      </c>
    </row>
    <row r="298" ht="34.5">
      <c r="A298" s="38" t="s">
        <v>285</v>
      </c>
      <c r="B298" s="38" t="s">
        <v>286</v>
      </c>
      <c r="C298" s="38" t="s">
        <v>731</v>
      </c>
      <c r="D298" s="38" t="s">
        <v>288</v>
      </c>
      <c r="E298" s="38" t="s">
        <v>706</v>
      </c>
      <c r="F298" s="37" t="s">
        <v>707</v>
      </c>
      <c r="G298" s="38" t="s">
        <v>708</v>
      </c>
      <c r="H298" s="37"/>
      <c r="I298" s="37"/>
      <c r="J298" s="37" t="s">
        <v>741</v>
      </c>
      <c r="K298" s="40"/>
      <c r="L298" s="38"/>
      <c r="M298" s="38"/>
      <c r="N298" s="37"/>
      <c r="O298" s="37"/>
      <c r="P298" s="37"/>
      <c r="Q298" s="37"/>
      <c r="R298" s="39"/>
      <c r="S298" s="37"/>
      <c r="T298" s="38" t="s">
        <v>293</v>
      </c>
    </row>
    <row r="299" ht="34.5">
      <c r="A299" s="38" t="s">
        <v>285</v>
      </c>
      <c r="B299" s="38" t="s">
        <v>286</v>
      </c>
      <c r="C299" s="38" t="s">
        <v>731</v>
      </c>
      <c r="D299" s="38" t="s">
        <v>288</v>
      </c>
      <c r="E299" s="38" t="s">
        <v>706</v>
      </c>
      <c r="F299" s="37" t="s">
        <v>707</v>
      </c>
      <c r="G299" s="38" t="s">
        <v>708</v>
      </c>
      <c r="H299" s="37"/>
      <c r="I299" s="37"/>
      <c r="J299" s="37" t="s">
        <v>742</v>
      </c>
      <c r="K299" s="40"/>
      <c r="L299" s="38"/>
      <c r="M299" s="38"/>
      <c r="N299" s="37"/>
      <c r="O299" s="37"/>
      <c r="P299" s="37"/>
      <c r="Q299" s="37"/>
      <c r="R299" s="39"/>
      <c r="S299" s="37"/>
      <c r="T299" s="38" t="s">
        <v>293</v>
      </c>
    </row>
    <row r="300" ht="34.5">
      <c r="A300" s="38" t="s">
        <v>285</v>
      </c>
      <c r="B300" s="38" t="s">
        <v>286</v>
      </c>
      <c r="C300" s="38" t="s">
        <v>731</v>
      </c>
      <c r="D300" s="38" t="s">
        <v>288</v>
      </c>
      <c r="E300" s="38" t="s">
        <v>706</v>
      </c>
      <c r="F300" s="37" t="s">
        <v>707</v>
      </c>
      <c r="G300" s="38" t="s">
        <v>708</v>
      </c>
      <c r="H300" s="37"/>
      <c r="I300" s="37"/>
      <c r="J300" s="37" t="s">
        <v>743</v>
      </c>
      <c r="K300" s="40"/>
      <c r="L300" s="38"/>
      <c r="M300" s="38"/>
      <c r="N300" s="37"/>
      <c r="O300" s="37"/>
      <c r="P300" s="37"/>
      <c r="Q300" s="37"/>
      <c r="R300" s="39"/>
      <c r="S300" s="37"/>
      <c r="T300" s="38" t="s">
        <v>293</v>
      </c>
    </row>
    <row r="301" ht="34.5">
      <c r="A301" s="38" t="s">
        <v>285</v>
      </c>
      <c r="B301" s="38" t="s">
        <v>286</v>
      </c>
      <c r="C301" s="38" t="s">
        <v>744</v>
      </c>
      <c r="D301" s="38" t="s">
        <v>288</v>
      </c>
      <c r="E301" s="38" t="s">
        <v>706</v>
      </c>
      <c r="F301" s="37" t="s">
        <v>707</v>
      </c>
      <c r="G301" s="38" t="s">
        <v>708</v>
      </c>
      <c r="H301" s="37"/>
      <c r="I301" s="37"/>
      <c r="J301" s="37" t="s">
        <v>745</v>
      </c>
      <c r="K301" s="40"/>
      <c r="L301" s="38"/>
      <c r="M301" s="38"/>
      <c r="N301" s="37"/>
      <c r="O301" s="37"/>
      <c r="P301" s="37"/>
      <c r="Q301" s="37"/>
      <c r="R301" s="39"/>
      <c r="S301" s="37"/>
      <c r="T301" s="38" t="s">
        <v>293</v>
      </c>
    </row>
    <row r="302" ht="34.5">
      <c r="A302" s="38" t="s">
        <v>285</v>
      </c>
      <c r="B302" s="38" t="s">
        <v>286</v>
      </c>
      <c r="C302" s="38" t="s">
        <v>744</v>
      </c>
      <c r="D302" s="38" t="s">
        <v>288</v>
      </c>
      <c r="E302" s="38" t="s">
        <v>706</v>
      </c>
      <c r="F302" s="37" t="s">
        <v>707</v>
      </c>
      <c r="G302" s="38" t="s">
        <v>708</v>
      </c>
      <c r="H302" s="37"/>
      <c r="I302" s="37"/>
      <c r="J302" s="37" t="s">
        <v>746</v>
      </c>
      <c r="K302" s="40"/>
      <c r="L302" s="38"/>
      <c r="M302" s="38"/>
      <c r="N302" s="37"/>
      <c r="O302" s="37"/>
      <c r="P302" s="37"/>
      <c r="Q302" s="37"/>
      <c r="R302" s="39"/>
      <c r="S302" s="37"/>
      <c r="T302" s="38" t="s">
        <v>293</v>
      </c>
    </row>
    <row r="303" ht="34.5">
      <c r="A303" s="38" t="s">
        <v>285</v>
      </c>
      <c r="B303" s="38" t="s">
        <v>286</v>
      </c>
      <c r="C303" s="38" t="s">
        <v>744</v>
      </c>
      <c r="D303" s="38" t="s">
        <v>288</v>
      </c>
      <c r="E303" s="38" t="s">
        <v>706</v>
      </c>
      <c r="F303" s="37" t="s">
        <v>707</v>
      </c>
      <c r="G303" s="38" t="s">
        <v>708</v>
      </c>
      <c r="H303" s="37"/>
      <c r="I303" s="37"/>
      <c r="J303" s="37" t="s">
        <v>747</v>
      </c>
      <c r="K303" s="40"/>
      <c r="L303" s="38"/>
      <c r="M303" s="38"/>
      <c r="N303" s="37"/>
      <c r="O303" s="37"/>
      <c r="P303" s="37"/>
      <c r="Q303" s="37"/>
      <c r="R303" s="39"/>
      <c r="S303" s="37"/>
      <c r="T303" s="38" t="s">
        <v>293</v>
      </c>
    </row>
    <row r="304" ht="34.5">
      <c r="A304" s="38" t="s">
        <v>285</v>
      </c>
      <c r="B304" s="38" t="s">
        <v>286</v>
      </c>
      <c r="C304" s="38" t="s">
        <v>744</v>
      </c>
      <c r="D304" s="38" t="s">
        <v>288</v>
      </c>
      <c r="E304" s="38" t="s">
        <v>706</v>
      </c>
      <c r="F304" s="37" t="s">
        <v>707</v>
      </c>
      <c r="G304" s="38" t="s">
        <v>708</v>
      </c>
      <c r="H304" s="37"/>
      <c r="I304" s="37"/>
      <c r="J304" s="37" t="s">
        <v>748</v>
      </c>
      <c r="K304" s="40"/>
      <c r="L304" s="38"/>
      <c r="M304" s="38"/>
      <c r="N304" s="37"/>
      <c r="O304" s="37"/>
      <c r="P304" s="37"/>
      <c r="Q304" s="37"/>
      <c r="R304" s="39"/>
      <c r="S304" s="37"/>
      <c r="T304" s="38" t="s">
        <v>293</v>
      </c>
    </row>
    <row r="305" ht="34.5">
      <c r="A305" s="38" t="s">
        <v>285</v>
      </c>
      <c r="B305" s="38" t="s">
        <v>286</v>
      </c>
      <c r="C305" s="38" t="s">
        <v>744</v>
      </c>
      <c r="D305" s="38" t="s">
        <v>288</v>
      </c>
      <c r="E305" s="38" t="s">
        <v>706</v>
      </c>
      <c r="F305" s="37" t="s">
        <v>707</v>
      </c>
      <c r="G305" s="38" t="s">
        <v>708</v>
      </c>
      <c r="H305" s="37"/>
      <c r="I305" s="37"/>
      <c r="J305" s="37" t="s">
        <v>749</v>
      </c>
      <c r="K305" s="40"/>
      <c r="L305" s="38"/>
      <c r="M305" s="38"/>
      <c r="N305" s="37"/>
      <c r="O305" s="37"/>
      <c r="P305" s="37"/>
      <c r="Q305" s="37"/>
      <c r="R305" s="39"/>
      <c r="S305" s="37"/>
      <c r="T305" s="38" t="s">
        <v>293</v>
      </c>
    </row>
    <row r="306" ht="34.5">
      <c r="A306" s="38" t="s">
        <v>285</v>
      </c>
      <c r="B306" s="38" t="s">
        <v>286</v>
      </c>
      <c r="C306" s="38" t="s">
        <v>744</v>
      </c>
      <c r="D306" s="38" t="s">
        <v>288</v>
      </c>
      <c r="E306" s="38" t="s">
        <v>706</v>
      </c>
      <c r="F306" s="37" t="s">
        <v>707</v>
      </c>
      <c r="G306" s="38" t="s">
        <v>708</v>
      </c>
      <c r="H306" s="37"/>
      <c r="I306" s="37"/>
      <c r="J306" s="37" t="s">
        <v>750</v>
      </c>
      <c r="K306" s="40"/>
      <c r="L306" s="38"/>
      <c r="M306" s="38"/>
      <c r="N306" s="37"/>
      <c r="O306" s="37"/>
      <c r="P306" s="37"/>
      <c r="Q306" s="37"/>
      <c r="R306" s="39"/>
      <c r="S306" s="37"/>
      <c r="T306" s="38" t="s">
        <v>293</v>
      </c>
    </row>
    <row r="307" ht="34.5">
      <c r="A307" s="38" t="s">
        <v>285</v>
      </c>
      <c r="B307" s="38" t="s">
        <v>286</v>
      </c>
      <c r="C307" s="38" t="s">
        <v>744</v>
      </c>
      <c r="D307" s="38" t="s">
        <v>288</v>
      </c>
      <c r="E307" s="38" t="s">
        <v>706</v>
      </c>
      <c r="F307" s="37" t="s">
        <v>707</v>
      </c>
      <c r="G307" s="38" t="s">
        <v>708</v>
      </c>
      <c r="H307" s="37"/>
      <c r="I307" s="37"/>
      <c r="J307" s="37" t="s">
        <v>751</v>
      </c>
      <c r="K307" s="40"/>
      <c r="L307" s="38"/>
      <c r="M307" s="38"/>
      <c r="N307" s="37"/>
      <c r="O307" s="37"/>
      <c r="P307" s="37"/>
      <c r="Q307" s="37"/>
      <c r="R307" s="39"/>
      <c r="S307" s="37"/>
      <c r="T307" s="38" t="s">
        <v>293</v>
      </c>
    </row>
    <row r="308" ht="34.5">
      <c r="A308" s="38" t="s">
        <v>285</v>
      </c>
      <c r="B308" s="38" t="s">
        <v>286</v>
      </c>
      <c r="C308" s="38" t="s">
        <v>744</v>
      </c>
      <c r="D308" s="38" t="s">
        <v>288</v>
      </c>
      <c r="E308" s="38" t="s">
        <v>706</v>
      </c>
      <c r="F308" s="37" t="s">
        <v>707</v>
      </c>
      <c r="G308" s="38" t="s">
        <v>708</v>
      </c>
      <c r="H308" s="37"/>
      <c r="I308" s="37"/>
      <c r="J308" s="37" t="s">
        <v>752</v>
      </c>
      <c r="K308" s="40"/>
      <c r="L308" s="38"/>
      <c r="M308" s="38"/>
      <c r="N308" s="37"/>
      <c r="O308" s="37"/>
      <c r="P308" s="37"/>
      <c r="Q308" s="37"/>
      <c r="R308" s="39"/>
      <c r="S308" s="37"/>
      <c r="T308" s="38" t="s">
        <v>293</v>
      </c>
    </row>
    <row r="309" ht="34.5">
      <c r="A309" s="38" t="s">
        <v>285</v>
      </c>
      <c r="B309" s="38" t="s">
        <v>286</v>
      </c>
      <c r="C309" s="38" t="s">
        <v>744</v>
      </c>
      <c r="D309" s="38" t="s">
        <v>288</v>
      </c>
      <c r="E309" s="38" t="s">
        <v>706</v>
      </c>
      <c r="F309" s="37" t="s">
        <v>707</v>
      </c>
      <c r="G309" s="38" t="s">
        <v>708</v>
      </c>
      <c r="H309" s="37"/>
      <c r="I309" s="37"/>
      <c r="J309" s="37" t="s">
        <v>753</v>
      </c>
      <c r="K309" s="40"/>
      <c r="L309" s="38"/>
      <c r="M309" s="38"/>
      <c r="N309" s="37"/>
      <c r="O309" s="37"/>
      <c r="P309" s="37"/>
      <c r="Q309" s="37"/>
      <c r="R309" s="39"/>
      <c r="S309" s="37"/>
      <c r="T309" s="38" t="s">
        <v>293</v>
      </c>
    </row>
    <row r="310" ht="34.5">
      <c r="A310" s="38" t="s">
        <v>285</v>
      </c>
      <c r="B310" s="38" t="s">
        <v>286</v>
      </c>
      <c r="C310" s="38" t="s">
        <v>754</v>
      </c>
      <c r="D310" s="38" t="s">
        <v>288</v>
      </c>
      <c r="E310" s="38" t="s">
        <v>706</v>
      </c>
      <c r="F310" s="37" t="s">
        <v>707</v>
      </c>
      <c r="G310" s="38" t="s">
        <v>708</v>
      </c>
      <c r="H310" s="37"/>
      <c r="I310" s="37"/>
      <c r="J310" s="37" t="s">
        <v>755</v>
      </c>
      <c r="K310" s="40"/>
      <c r="L310" s="38"/>
      <c r="M310" s="38"/>
      <c r="N310" s="37"/>
      <c r="O310" s="37"/>
      <c r="P310" s="37"/>
      <c r="Q310" s="37"/>
      <c r="R310" s="39"/>
      <c r="S310" s="37"/>
      <c r="T310" s="38" t="s">
        <v>293</v>
      </c>
    </row>
    <row r="311" ht="34.5">
      <c r="A311" s="38" t="s">
        <v>285</v>
      </c>
      <c r="B311" s="38" t="s">
        <v>286</v>
      </c>
      <c r="C311" s="38" t="s">
        <v>754</v>
      </c>
      <c r="D311" s="38" t="s">
        <v>288</v>
      </c>
      <c r="E311" s="38" t="s">
        <v>706</v>
      </c>
      <c r="F311" s="37" t="s">
        <v>707</v>
      </c>
      <c r="G311" s="38" t="s">
        <v>708</v>
      </c>
      <c r="H311" s="37"/>
      <c r="I311" s="37"/>
      <c r="J311" s="37" t="s">
        <v>756</v>
      </c>
      <c r="K311" s="40"/>
      <c r="L311" s="38"/>
      <c r="M311" s="38"/>
      <c r="N311" s="37"/>
      <c r="O311" s="37"/>
      <c r="P311" s="37"/>
      <c r="Q311" s="37"/>
      <c r="R311" s="39"/>
      <c r="S311" s="37"/>
      <c r="T311" s="38" t="s">
        <v>293</v>
      </c>
    </row>
    <row r="312" ht="34.5">
      <c r="A312" s="38" t="s">
        <v>285</v>
      </c>
      <c r="B312" s="38" t="s">
        <v>286</v>
      </c>
      <c r="C312" s="38" t="s">
        <v>754</v>
      </c>
      <c r="D312" s="38" t="s">
        <v>288</v>
      </c>
      <c r="E312" s="38" t="s">
        <v>706</v>
      </c>
      <c r="F312" s="37" t="s">
        <v>707</v>
      </c>
      <c r="G312" s="38" t="s">
        <v>708</v>
      </c>
      <c r="H312" s="37"/>
      <c r="I312" s="37"/>
      <c r="J312" s="37" t="s">
        <v>757</v>
      </c>
      <c r="K312" s="40"/>
      <c r="L312" s="38"/>
      <c r="M312" s="38"/>
      <c r="N312" s="37"/>
      <c r="O312" s="37"/>
      <c r="P312" s="37"/>
      <c r="Q312" s="37"/>
      <c r="R312" s="39"/>
      <c r="S312" s="37"/>
      <c r="T312" s="38" t="s">
        <v>293</v>
      </c>
    </row>
    <row r="313" ht="34.5">
      <c r="A313" s="38" t="s">
        <v>285</v>
      </c>
      <c r="B313" s="38" t="s">
        <v>286</v>
      </c>
      <c r="C313" s="38" t="s">
        <v>754</v>
      </c>
      <c r="D313" s="38" t="s">
        <v>288</v>
      </c>
      <c r="E313" s="38" t="s">
        <v>706</v>
      </c>
      <c r="F313" s="37" t="s">
        <v>707</v>
      </c>
      <c r="G313" s="38" t="s">
        <v>708</v>
      </c>
      <c r="H313" s="37"/>
      <c r="I313" s="37"/>
      <c r="J313" s="37" t="s">
        <v>758</v>
      </c>
      <c r="K313" s="40"/>
      <c r="L313" s="38"/>
      <c r="M313" s="38"/>
      <c r="N313" s="37"/>
      <c r="O313" s="37"/>
      <c r="P313" s="37"/>
      <c r="Q313" s="37"/>
      <c r="R313" s="39"/>
      <c r="S313" s="37"/>
      <c r="T313" s="38" t="s">
        <v>293</v>
      </c>
    </row>
    <row r="314" ht="34.5">
      <c r="A314" s="38" t="s">
        <v>285</v>
      </c>
      <c r="B314" s="38" t="s">
        <v>286</v>
      </c>
      <c r="C314" s="38" t="s">
        <v>754</v>
      </c>
      <c r="D314" s="38" t="s">
        <v>288</v>
      </c>
      <c r="E314" s="38" t="s">
        <v>706</v>
      </c>
      <c r="F314" s="37" t="s">
        <v>707</v>
      </c>
      <c r="G314" s="38" t="s">
        <v>708</v>
      </c>
      <c r="H314" s="37"/>
      <c r="I314" s="37"/>
      <c r="J314" s="37" t="s">
        <v>759</v>
      </c>
      <c r="K314" s="40"/>
      <c r="L314" s="38"/>
      <c r="M314" s="38"/>
      <c r="N314" s="37"/>
      <c r="O314" s="37"/>
      <c r="P314" s="37"/>
      <c r="Q314" s="37"/>
      <c r="R314" s="39"/>
      <c r="S314" s="37"/>
      <c r="T314" s="38" t="s">
        <v>293</v>
      </c>
    </row>
    <row r="315" ht="34.5">
      <c r="A315" s="38" t="s">
        <v>285</v>
      </c>
      <c r="B315" s="38" t="s">
        <v>286</v>
      </c>
      <c r="C315" s="38" t="s">
        <v>754</v>
      </c>
      <c r="D315" s="38" t="s">
        <v>288</v>
      </c>
      <c r="E315" s="38" t="s">
        <v>706</v>
      </c>
      <c r="F315" s="37" t="s">
        <v>707</v>
      </c>
      <c r="G315" s="38" t="s">
        <v>708</v>
      </c>
      <c r="H315" s="37"/>
      <c r="I315" s="37"/>
      <c r="J315" s="37" t="s">
        <v>760</v>
      </c>
      <c r="K315" s="40"/>
      <c r="L315" s="38"/>
      <c r="M315" s="38"/>
      <c r="N315" s="37"/>
      <c r="O315" s="37"/>
      <c r="P315" s="37"/>
      <c r="Q315" s="37"/>
      <c r="R315" s="39"/>
      <c r="S315" s="37"/>
      <c r="T315" s="38" t="s">
        <v>293</v>
      </c>
    </row>
    <row r="316" ht="34.5">
      <c r="A316" s="38" t="s">
        <v>285</v>
      </c>
      <c r="B316" s="38" t="s">
        <v>286</v>
      </c>
      <c r="C316" s="38" t="s">
        <v>754</v>
      </c>
      <c r="D316" s="38" t="s">
        <v>288</v>
      </c>
      <c r="E316" s="38" t="s">
        <v>706</v>
      </c>
      <c r="F316" s="37" t="s">
        <v>707</v>
      </c>
      <c r="G316" s="38" t="s">
        <v>708</v>
      </c>
      <c r="H316" s="37"/>
      <c r="I316" s="37"/>
      <c r="J316" s="37" t="s">
        <v>761</v>
      </c>
      <c r="K316" s="40"/>
      <c r="L316" s="38"/>
      <c r="M316" s="38"/>
      <c r="N316" s="37"/>
      <c r="O316" s="37"/>
      <c r="P316" s="37"/>
      <c r="Q316" s="37"/>
      <c r="R316" s="39"/>
      <c r="S316" s="37"/>
      <c r="T316" s="38" t="s">
        <v>293</v>
      </c>
    </row>
    <row r="317" ht="34.5">
      <c r="A317" s="38" t="s">
        <v>285</v>
      </c>
      <c r="B317" s="38" t="s">
        <v>286</v>
      </c>
      <c r="C317" s="38" t="s">
        <v>754</v>
      </c>
      <c r="D317" s="38" t="s">
        <v>288</v>
      </c>
      <c r="E317" s="38" t="s">
        <v>706</v>
      </c>
      <c r="F317" s="37" t="s">
        <v>707</v>
      </c>
      <c r="G317" s="38" t="s">
        <v>708</v>
      </c>
      <c r="H317" s="37"/>
      <c r="I317" s="37"/>
      <c r="J317" s="37" t="s">
        <v>762</v>
      </c>
      <c r="K317" s="40"/>
      <c r="L317" s="38"/>
      <c r="M317" s="38"/>
      <c r="N317" s="37"/>
      <c r="O317" s="37"/>
      <c r="P317" s="37"/>
      <c r="Q317" s="37"/>
      <c r="R317" s="39"/>
      <c r="S317" s="37"/>
      <c r="T317" s="38" t="s">
        <v>293</v>
      </c>
    </row>
    <row r="318" ht="34.5">
      <c r="A318" s="38" t="s">
        <v>285</v>
      </c>
      <c r="B318" s="38" t="s">
        <v>286</v>
      </c>
      <c r="C318" s="38" t="s">
        <v>763</v>
      </c>
      <c r="D318" s="38" t="s">
        <v>288</v>
      </c>
      <c r="E318" s="38" t="s">
        <v>706</v>
      </c>
      <c r="F318" s="37" t="s">
        <v>707</v>
      </c>
      <c r="G318" s="38" t="s">
        <v>708</v>
      </c>
      <c r="H318" s="37"/>
      <c r="I318" s="37"/>
      <c r="J318" s="37" t="s">
        <v>764</v>
      </c>
      <c r="K318" s="40"/>
      <c r="L318" s="38"/>
      <c r="M318" s="38"/>
      <c r="N318" s="37"/>
      <c r="O318" s="37"/>
      <c r="P318" s="37"/>
      <c r="Q318" s="37"/>
      <c r="R318" s="39"/>
      <c r="S318" s="37"/>
      <c r="T318" s="38" t="s">
        <v>293</v>
      </c>
    </row>
    <row r="319" ht="34.5">
      <c r="A319" s="38" t="s">
        <v>285</v>
      </c>
      <c r="B319" s="38" t="s">
        <v>286</v>
      </c>
      <c r="C319" s="38" t="s">
        <v>763</v>
      </c>
      <c r="D319" s="38" t="s">
        <v>765</v>
      </c>
      <c r="E319" s="38" t="s">
        <v>706</v>
      </c>
      <c r="F319" s="37" t="s">
        <v>707</v>
      </c>
      <c r="G319" s="38" t="s">
        <v>708</v>
      </c>
      <c r="H319" s="37"/>
      <c r="I319" s="37"/>
      <c r="J319" s="37" t="s">
        <v>766</v>
      </c>
      <c r="K319" s="40"/>
      <c r="L319" s="38"/>
      <c r="M319" s="38"/>
      <c r="N319" s="37"/>
      <c r="O319" s="37"/>
      <c r="P319" s="37"/>
      <c r="Q319" s="37"/>
      <c r="R319" s="39"/>
      <c r="S319" s="37"/>
      <c r="T319" s="38" t="s">
        <v>293</v>
      </c>
    </row>
    <row r="320" ht="34.5">
      <c r="A320" s="38" t="s">
        <v>285</v>
      </c>
      <c r="B320" s="38" t="s">
        <v>286</v>
      </c>
      <c r="C320" s="38" t="s">
        <v>763</v>
      </c>
      <c r="D320" s="38" t="s">
        <v>288</v>
      </c>
      <c r="E320" s="38" t="s">
        <v>706</v>
      </c>
      <c r="F320" s="37" t="s">
        <v>707</v>
      </c>
      <c r="G320" s="38" t="s">
        <v>708</v>
      </c>
      <c r="H320" s="37"/>
      <c r="I320" s="37"/>
      <c r="J320" s="37" t="s">
        <v>767</v>
      </c>
      <c r="K320" s="40">
        <v>77304887</v>
      </c>
      <c r="L320" s="38" t="s">
        <v>297</v>
      </c>
      <c r="M320" s="38"/>
      <c r="N320" s="37"/>
      <c r="O320" s="37"/>
      <c r="P320" s="37"/>
      <c r="Q320" s="37"/>
      <c r="R320" s="39"/>
      <c r="S320" s="37"/>
      <c r="T320" s="38" t="s">
        <v>293</v>
      </c>
    </row>
    <row r="321" ht="34.5">
      <c r="A321" s="38" t="s">
        <v>285</v>
      </c>
      <c r="B321" s="38" t="s">
        <v>286</v>
      </c>
      <c r="C321" s="38" t="s">
        <v>763</v>
      </c>
      <c r="D321" s="38" t="s">
        <v>288</v>
      </c>
      <c r="E321" s="38" t="s">
        <v>768</v>
      </c>
      <c r="F321" s="37" t="s">
        <v>769</v>
      </c>
      <c r="G321" s="38" t="s">
        <v>70</v>
      </c>
      <c r="H321" s="37"/>
      <c r="I321" s="37"/>
      <c r="J321" s="37" t="s">
        <v>770</v>
      </c>
      <c r="K321" s="40"/>
      <c r="L321" s="38"/>
      <c r="M321" s="38"/>
      <c r="N321" s="37"/>
      <c r="O321" s="37"/>
      <c r="P321" s="37"/>
      <c r="Q321" s="37"/>
      <c r="R321" s="39"/>
      <c r="S321" s="37"/>
      <c r="T321" s="38" t="s">
        <v>293</v>
      </c>
    </row>
    <row r="322" ht="34.5">
      <c r="A322" s="38" t="s">
        <v>285</v>
      </c>
      <c r="B322" s="38" t="s">
        <v>286</v>
      </c>
      <c r="C322" s="38" t="s">
        <v>763</v>
      </c>
      <c r="D322" s="38" t="s">
        <v>288</v>
      </c>
      <c r="E322" s="38" t="s">
        <v>768</v>
      </c>
      <c r="F322" s="37" t="s">
        <v>769</v>
      </c>
      <c r="G322" s="38" t="s">
        <v>70</v>
      </c>
      <c r="H322" s="37"/>
      <c r="I322" s="37"/>
      <c r="J322" s="37" t="s">
        <v>771</v>
      </c>
      <c r="K322" s="40"/>
      <c r="L322" s="38"/>
      <c r="M322" s="38"/>
      <c r="N322" s="37"/>
      <c r="O322" s="37"/>
      <c r="P322" s="37"/>
      <c r="Q322" s="37"/>
      <c r="R322" s="39"/>
      <c r="S322" s="37"/>
      <c r="T322" s="38" t="s">
        <v>293</v>
      </c>
    </row>
    <row r="323" ht="34.5">
      <c r="A323" s="38" t="s">
        <v>285</v>
      </c>
      <c r="B323" s="38" t="s">
        <v>286</v>
      </c>
      <c r="C323" s="38" t="s">
        <v>763</v>
      </c>
      <c r="D323" s="38" t="s">
        <v>288</v>
      </c>
      <c r="E323" s="38" t="s">
        <v>768</v>
      </c>
      <c r="F323" s="37" t="s">
        <v>769</v>
      </c>
      <c r="G323" s="38" t="s">
        <v>70</v>
      </c>
      <c r="H323" s="37"/>
      <c r="I323" s="37"/>
      <c r="J323" s="37" t="s">
        <v>772</v>
      </c>
      <c r="K323" s="40"/>
      <c r="L323" s="38"/>
      <c r="M323" s="38"/>
      <c r="N323" s="37"/>
      <c r="O323" s="37"/>
      <c r="P323" s="37"/>
      <c r="Q323" s="37"/>
      <c r="R323" s="39"/>
      <c r="S323" s="37"/>
      <c r="T323" s="38" t="s">
        <v>293</v>
      </c>
    </row>
    <row r="324" ht="34.5">
      <c r="A324" s="38" t="s">
        <v>285</v>
      </c>
      <c r="B324" s="38" t="s">
        <v>286</v>
      </c>
      <c r="C324" s="38" t="s">
        <v>773</v>
      </c>
      <c r="D324" s="38" t="s">
        <v>288</v>
      </c>
      <c r="E324" s="38" t="s">
        <v>768</v>
      </c>
      <c r="F324" s="37" t="s">
        <v>769</v>
      </c>
      <c r="G324" s="38" t="s">
        <v>70</v>
      </c>
      <c r="H324" s="37"/>
      <c r="I324" s="37"/>
      <c r="J324" s="37" t="s">
        <v>774</v>
      </c>
      <c r="K324" s="40"/>
      <c r="L324" s="38"/>
      <c r="M324" s="38"/>
      <c r="N324" s="37"/>
      <c r="O324" s="37"/>
      <c r="P324" s="37"/>
      <c r="Q324" s="37"/>
      <c r="R324" s="39"/>
      <c r="S324" s="37"/>
      <c r="T324" s="38" t="s">
        <v>293</v>
      </c>
    </row>
    <row r="325" ht="34.5">
      <c r="A325" s="38" t="s">
        <v>285</v>
      </c>
      <c r="B325" s="38" t="s">
        <v>286</v>
      </c>
      <c r="C325" s="38" t="s">
        <v>773</v>
      </c>
      <c r="D325" s="38" t="s">
        <v>288</v>
      </c>
      <c r="E325" s="38" t="s">
        <v>768</v>
      </c>
      <c r="F325" s="37" t="s">
        <v>769</v>
      </c>
      <c r="G325" s="38" t="s">
        <v>70</v>
      </c>
      <c r="H325" s="37"/>
      <c r="I325" s="37"/>
      <c r="J325" s="37" t="s">
        <v>775</v>
      </c>
      <c r="K325" s="40"/>
      <c r="L325" s="38"/>
      <c r="M325" s="38"/>
      <c r="N325" s="37"/>
      <c r="O325" s="37"/>
      <c r="P325" s="37"/>
      <c r="Q325" s="37"/>
      <c r="R325" s="39"/>
      <c r="S325" s="37"/>
      <c r="T325" s="38" t="s">
        <v>293</v>
      </c>
    </row>
    <row r="326" ht="34.5">
      <c r="A326" s="38" t="s">
        <v>285</v>
      </c>
      <c r="B326" s="38" t="s">
        <v>286</v>
      </c>
      <c r="C326" s="38" t="s">
        <v>773</v>
      </c>
      <c r="D326" s="38" t="s">
        <v>288</v>
      </c>
      <c r="E326" s="38" t="s">
        <v>768</v>
      </c>
      <c r="F326" s="37" t="s">
        <v>769</v>
      </c>
      <c r="G326" s="38" t="s">
        <v>70</v>
      </c>
      <c r="H326" s="37"/>
      <c r="I326" s="37"/>
      <c r="J326" s="37" t="s">
        <v>776</v>
      </c>
      <c r="K326" s="40"/>
      <c r="L326" s="38"/>
      <c r="M326" s="38"/>
      <c r="N326" s="37"/>
      <c r="O326" s="37"/>
      <c r="P326" s="37"/>
      <c r="Q326" s="37"/>
      <c r="R326" s="39"/>
      <c r="S326" s="37"/>
      <c r="T326" s="38" t="s">
        <v>293</v>
      </c>
    </row>
    <row r="327" ht="34.5">
      <c r="A327" s="38" t="s">
        <v>285</v>
      </c>
      <c r="B327" s="38" t="s">
        <v>286</v>
      </c>
      <c r="C327" s="38" t="s">
        <v>773</v>
      </c>
      <c r="D327" s="38" t="s">
        <v>288</v>
      </c>
      <c r="E327" s="38" t="s">
        <v>768</v>
      </c>
      <c r="F327" s="37" t="s">
        <v>769</v>
      </c>
      <c r="G327" s="38" t="s">
        <v>70</v>
      </c>
      <c r="H327" s="37"/>
      <c r="I327" s="37"/>
      <c r="J327" s="37" t="s">
        <v>777</v>
      </c>
      <c r="K327" s="40">
        <v>14256766</v>
      </c>
      <c r="L327" s="38" t="s">
        <v>297</v>
      </c>
      <c r="M327" s="38"/>
      <c r="N327" s="37"/>
      <c r="O327" s="37"/>
      <c r="P327" s="37"/>
      <c r="Q327" s="37"/>
      <c r="R327" s="39"/>
      <c r="S327" s="37"/>
      <c r="T327" s="38" t="s">
        <v>293</v>
      </c>
    </row>
    <row r="328" ht="34.5">
      <c r="A328" s="38" t="s">
        <v>285</v>
      </c>
      <c r="B328" s="38" t="s">
        <v>286</v>
      </c>
      <c r="C328" s="38" t="s">
        <v>773</v>
      </c>
      <c r="D328" s="38" t="s">
        <v>288</v>
      </c>
      <c r="E328" s="38" t="s">
        <v>768</v>
      </c>
      <c r="F328" s="37" t="s">
        <v>769</v>
      </c>
      <c r="G328" s="38" t="s">
        <v>70</v>
      </c>
      <c r="H328" s="37"/>
      <c r="I328" s="37"/>
      <c r="J328" s="37" t="s">
        <v>778</v>
      </c>
      <c r="K328" s="40">
        <v>24077858</v>
      </c>
      <c r="L328" s="38" t="s">
        <v>297</v>
      </c>
      <c r="M328" s="38"/>
      <c r="N328" s="37"/>
      <c r="O328" s="37"/>
      <c r="P328" s="37"/>
      <c r="Q328" s="37"/>
      <c r="R328" s="39"/>
      <c r="S328" s="37"/>
      <c r="T328" s="38" t="s">
        <v>293</v>
      </c>
    </row>
    <row r="329" ht="34.5">
      <c r="A329" s="38" t="s">
        <v>285</v>
      </c>
      <c r="B329" s="38" t="s">
        <v>286</v>
      </c>
      <c r="C329" s="38" t="s">
        <v>773</v>
      </c>
      <c r="D329" s="38" t="s">
        <v>288</v>
      </c>
      <c r="E329" s="38" t="s">
        <v>768</v>
      </c>
      <c r="F329" s="37" t="s">
        <v>769</v>
      </c>
      <c r="G329" s="38" t="s">
        <v>70</v>
      </c>
      <c r="H329" s="37"/>
      <c r="I329" s="37"/>
      <c r="J329" s="37" t="s">
        <v>779</v>
      </c>
      <c r="K329" s="40">
        <v>9616762</v>
      </c>
      <c r="L329" s="38" t="s">
        <v>297</v>
      </c>
      <c r="M329" s="38"/>
      <c r="N329" s="37"/>
      <c r="O329" s="37"/>
      <c r="P329" s="37"/>
      <c r="Q329" s="37"/>
      <c r="R329" s="39"/>
      <c r="S329" s="37"/>
      <c r="T329" s="38" t="s">
        <v>293</v>
      </c>
    </row>
    <row r="330" ht="34.5">
      <c r="A330" s="38" t="s">
        <v>285</v>
      </c>
      <c r="B330" s="38" t="s">
        <v>286</v>
      </c>
      <c r="C330" s="38" t="s">
        <v>773</v>
      </c>
      <c r="D330" s="38" t="s">
        <v>288</v>
      </c>
      <c r="E330" s="38" t="s">
        <v>768</v>
      </c>
      <c r="F330" s="37" t="s">
        <v>769</v>
      </c>
      <c r="G330" s="38" t="s">
        <v>70</v>
      </c>
      <c r="H330" s="37"/>
      <c r="I330" s="37"/>
      <c r="J330" s="37" t="s">
        <v>780</v>
      </c>
      <c r="K330" s="40"/>
      <c r="L330" s="38"/>
      <c r="M330" s="38"/>
      <c r="N330" s="37"/>
      <c r="O330" s="37"/>
      <c r="P330" s="37"/>
      <c r="Q330" s="37"/>
      <c r="R330" s="39"/>
      <c r="S330" s="37"/>
      <c r="T330" s="38" t="s">
        <v>293</v>
      </c>
    </row>
    <row r="331" ht="34.5">
      <c r="A331" s="38" t="s">
        <v>285</v>
      </c>
      <c r="B331" s="38" t="s">
        <v>286</v>
      </c>
      <c r="C331" s="38" t="s">
        <v>773</v>
      </c>
      <c r="D331" s="38" t="s">
        <v>288</v>
      </c>
      <c r="E331" s="38" t="s">
        <v>768</v>
      </c>
      <c r="F331" s="37" t="s">
        <v>769</v>
      </c>
      <c r="G331" s="38" t="s">
        <v>70</v>
      </c>
      <c r="H331" s="37"/>
      <c r="I331" s="37"/>
      <c r="J331" s="37" t="s">
        <v>781</v>
      </c>
      <c r="K331" s="40"/>
      <c r="L331" s="38"/>
      <c r="M331" s="38"/>
      <c r="N331" s="37"/>
      <c r="O331" s="37"/>
      <c r="P331" s="37"/>
      <c r="Q331" s="37"/>
      <c r="R331" s="39"/>
      <c r="S331" s="37"/>
      <c r="T331" s="38" t="s">
        <v>293</v>
      </c>
    </row>
    <row r="332" ht="34.5">
      <c r="A332" s="38" t="s">
        <v>285</v>
      </c>
      <c r="B332" s="38" t="s">
        <v>286</v>
      </c>
      <c r="C332" s="38" t="s">
        <v>773</v>
      </c>
      <c r="D332" s="38" t="s">
        <v>288</v>
      </c>
      <c r="E332" s="38" t="s">
        <v>768</v>
      </c>
      <c r="F332" s="37" t="s">
        <v>769</v>
      </c>
      <c r="G332" s="38" t="s">
        <v>70</v>
      </c>
      <c r="H332" s="37"/>
      <c r="I332" s="37"/>
      <c r="J332" s="37" t="s">
        <v>782</v>
      </c>
      <c r="K332" s="40"/>
      <c r="L332" s="38"/>
      <c r="M332" s="38"/>
      <c r="N332" s="37"/>
      <c r="O332" s="37"/>
      <c r="P332" s="37"/>
      <c r="Q332" s="37"/>
      <c r="R332" s="39"/>
      <c r="S332" s="37"/>
      <c r="T332" s="38" t="s">
        <v>293</v>
      </c>
    </row>
    <row r="333" ht="34.5">
      <c r="A333" s="38" t="s">
        <v>285</v>
      </c>
      <c r="B333" s="38" t="s">
        <v>286</v>
      </c>
      <c r="C333" s="38" t="s">
        <v>783</v>
      </c>
      <c r="D333" s="38" t="s">
        <v>288</v>
      </c>
      <c r="E333" s="38" t="s">
        <v>768</v>
      </c>
      <c r="F333" s="37" t="s">
        <v>769</v>
      </c>
      <c r="G333" s="38" t="s">
        <v>70</v>
      </c>
      <c r="H333" s="37"/>
      <c r="I333" s="37"/>
      <c r="J333" s="37" t="s">
        <v>784</v>
      </c>
      <c r="K333" s="40"/>
      <c r="L333" s="38"/>
      <c r="M333" s="38"/>
      <c r="N333" s="37"/>
      <c r="O333" s="37"/>
      <c r="P333" s="37"/>
      <c r="Q333" s="37"/>
      <c r="R333" s="39"/>
      <c r="S333" s="37"/>
      <c r="T333" s="38" t="s">
        <v>293</v>
      </c>
    </row>
    <row r="334" ht="34.5">
      <c r="A334" s="38" t="s">
        <v>285</v>
      </c>
      <c r="B334" s="38" t="s">
        <v>286</v>
      </c>
      <c r="C334" s="38" t="s">
        <v>783</v>
      </c>
      <c r="D334" s="38" t="s">
        <v>288</v>
      </c>
      <c r="E334" s="38" t="s">
        <v>768</v>
      </c>
      <c r="F334" s="37" t="s">
        <v>769</v>
      </c>
      <c r="G334" s="38" t="s">
        <v>70</v>
      </c>
      <c r="H334" s="37"/>
      <c r="I334" s="37"/>
      <c r="J334" s="37" t="s">
        <v>785</v>
      </c>
      <c r="K334" s="40"/>
      <c r="L334" s="38"/>
      <c r="M334" s="38"/>
      <c r="N334" s="37"/>
      <c r="O334" s="37"/>
      <c r="P334" s="37"/>
      <c r="Q334" s="37"/>
      <c r="R334" s="39"/>
      <c r="S334" s="37"/>
      <c r="T334" s="38" t="s">
        <v>293</v>
      </c>
    </row>
    <row r="335" ht="34.5">
      <c r="A335" s="38" t="s">
        <v>285</v>
      </c>
      <c r="B335" s="38" t="s">
        <v>286</v>
      </c>
      <c r="C335" s="38" t="s">
        <v>783</v>
      </c>
      <c r="D335" s="38" t="s">
        <v>288</v>
      </c>
      <c r="E335" s="38" t="s">
        <v>768</v>
      </c>
      <c r="F335" s="37" t="s">
        <v>769</v>
      </c>
      <c r="G335" s="38" t="s">
        <v>70</v>
      </c>
      <c r="H335" s="37"/>
      <c r="I335" s="37"/>
      <c r="J335" s="37" t="s">
        <v>786</v>
      </c>
      <c r="K335" s="40"/>
      <c r="L335" s="38"/>
      <c r="M335" s="38"/>
      <c r="N335" s="37"/>
      <c r="O335" s="37"/>
      <c r="P335" s="37"/>
      <c r="Q335" s="37"/>
      <c r="R335" s="39"/>
      <c r="S335" s="37"/>
      <c r="T335" s="38" t="s">
        <v>293</v>
      </c>
    </row>
    <row r="336" ht="34.5">
      <c r="A336" s="38" t="s">
        <v>285</v>
      </c>
      <c r="B336" s="38" t="s">
        <v>286</v>
      </c>
      <c r="C336" s="38" t="s">
        <v>783</v>
      </c>
      <c r="D336" s="38" t="s">
        <v>288</v>
      </c>
      <c r="E336" s="38" t="s">
        <v>768</v>
      </c>
      <c r="F336" s="37" t="s">
        <v>769</v>
      </c>
      <c r="G336" s="38" t="s">
        <v>70</v>
      </c>
      <c r="H336" s="37"/>
      <c r="I336" s="37"/>
      <c r="J336" s="37" t="s">
        <v>787</v>
      </c>
      <c r="K336" s="40"/>
      <c r="L336" s="38"/>
      <c r="M336" s="38"/>
      <c r="N336" s="37"/>
      <c r="O336" s="37"/>
      <c r="P336" s="37"/>
      <c r="Q336" s="37"/>
      <c r="R336" s="39"/>
      <c r="S336" s="37"/>
      <c r="T336" s="38" t="s">
        <v>293</v>
      </c>
    </row>
    <row r="337" ht="34.5">
      <c r="A337" s="38" t="s">
        <v>285</v>
      </c>
      <c r="B337" s="38" t="s">
        <v>286</v>
      </c>
      <c r="C337" s="38" t="s">
        <v>783</v>
      </c>
      <c r="D337" s="38" t="s">
        <v>288</v>
      </c>
      <c r="E337" s="38" t="s">
        <v>768</v>
      </c>
      <c r="F337" s="37" t="s">
        <v>769</v>
      </c>
      <c r="G337" s="38" t="s">
        <v>70</v>
      </c>
      <c r="H337" s="37"/>
      <c r="I337" s="37"/>
      <c r="J337" s="37" t="s">
        <v>788</v>
      </c>
      <c r="K337" s="40"/>
      <c r="L337" s="38"/>
      <c r="M337" s="38"/>
      <c r="N337" s="37"/>
      <c r="O337" s="37"/>
      <c r="P337" s="37"/>
      <c r="Q337" s="37"/>
      <c r="R337" s="39"/>
      <c r="S337" s="37"/>
      <c r="T337" s="38" t="s">
        <v>293</v>
      </c>
    </row>
    <row r="338" ht="34.5">
      <c r="A338" s="38" t="s">
        <v>285</v>
      </c>
      <c r="B338" s="38" t="s">
        <v>286</v>
      </c>
      <c r="C338" s="38" t="s">
        <v>783</v>
      </c>
      <c r="D338" s="38" t="s">
        <v>288</v>
      </c>
      <c r="E338" s="38" t="s">
        <v>768</v>
      </c>
      <c r="F338" s="37" t="s">
        <v>769</v>
      </c>
      <c r="G338" s="38" t="s">
        <v>70</v>
      </c>
      <c r="H338" s="37"/>
      <c r="I338" s="37"/>
      <c r="J338" s="37" t="s">
        <v>789</v>
      </c>
      <c r="K338" s="40"/>
      <c r="L338" s="38"/>
      <c r="M338" s="38"/>
      <c r="N338" s="37"/>
      <c r="O338" s="37"/>
      <c r="P338" s="37"/>
      <c r="Q338" s="37"/>
      <c r="R338" s="39"/>
      <c r="S338" s="37"/>
      <c r="T338" s="38" t="s">
        <v>293</v>
      </c>
    </row>
    <row r="339" ht="34.5">
      <c r="A339" s="38" t="s">
        <v>285</v>
      </c>
      <c r="B339" s="38" t="s">
        <v>286</v>
      </c>
      <c r="C339" s="38" t="s">
        <v>783</v>
      </c>
      <c r="D339" s="38" t="s">
        <v>288</v>
      </c>
      <c r="E339" s="38" t="s">
        <v>768</v>
      </c>
      <c r="F339" s="37" t="s">
        <v>769</v>
      </c>
      <c r="G339" s="38" t="s">
        <v>70</v>
      </c>
      <c r="H339" s="37"/>
      <c r="I339" s="37"/>
      <c r="J339" s="37" t="s">
        <v>790</v>
      </c>
      <c r="K339" s="40"/>
      <c r="L339" s="38"/>
      <c r="M339" s="38"/>
      <c r="N339" s="37"/>
      <c r="O339" s="37"/>
      <c r="P339" s="37"/>
      <c r="Q339" s="37"/>
      <c r="R339" s="39"/>
      <c r="S339" s="37"/>
      <c r="T339" s="38" t="s">
        <v>293</v>
      </c>
    </row>
    <row r="340" ht="34.5">
      <c r="A340" s="38" t="s">
        <v>285</v>
      </c>
      <c r="B340" s="38" t="s">
        <v>286</v>
      </c>
      <c r="C340" s="38" t="s">
        <v>783</v>
      </c>
      <c r="D340" s="38" t="s">
        <v>288</v>
      </c>
      <c r="E340" s="38" t="s">
        <v>768</v>
      </c>
      <c r="F340" s="37" t="s">
        <v>769</v>
      </c>
      <c r="G340" s="38" t="s">
        <v>70</v>
      </c>
      <c r="H340" s="37"/>
      <c r="I340" s="37"/>
      <c r="J340" s="37" t="s">
        <v>791</v>
      </c>
      <c r="K340" s="40"/>
      <c r="L340" s="38"/>
      <c r="M340" s="38"/>
      <c r="N340" s="37"/>
      <c r="O340" s="37"/>
      <c r="P340" s="37"/>
      <c r="Q340" s="37"/>
      <c r="R340" s="39"/>
      <c r="S340" s="37"/>
      <c r="T340" s="38" t="s">
        <v>293</v>
      </c>
    </row>
    <row r="341" ht="34.5">
      <c r="A341" s="38" t="s">
        <v>285</v>
      </c>
      <c r="B341" s="38" t="s">
        <v>286</v>
      </c>
      <c r="C341" s="38" t="s">
        <v>783</v>
      </c>
      <c r="D341" s="38" t="s">
        <v>288</v>
      </c>
      <c r="E341" s="38" t="s">
        <v>768</v>
      </c>
      <c r="F341" s="37" t="s">
        <v>769</v>
      </c>
      <c r="G341" s="38" t="s">
        <v>70</v>
      </c>
      <c r="H341" s="37"/>
      <c r="I341" s="37"/>
      <c r="J341" s="37" t="s">
        <v>792</v>
      </c>
      <c r="K341" s="40"/>
      <c r="L341" s="38"/>
      <c r="M341" s="38"/>
      <c r="N341" s="37"/>
      <c r="O341" s="37"/>
      <c r="P341" s="37"/>
      <c r="Q341" s="37"/>
      <c r="R341" s="39"/>
      <c r="S341" s="37"/>
      <c r="T341" s="38" t="s">
        <v>293</v>
      </c>
    </row>
    <row r="342" ht="34.5">
      <c r="A342" s="38" t="s">
        <v>285</v>
      </c>
      <c r="B342" s="38" t="s">
        <v>286</v>
      </c>
      <c r="C342" s="38" t="s">
        <v>793</v>
      </c>
      <c r="D342" s="38" t="s">
        <v>288</v>
      </c>
      <c r="E342" s="38" t="s">
        <v>768</v>
      </c>
      <c r="F342" s="37" t="s">
        <v>769</v>
      </c>
      <c r="G342" s="38" t="s">
        <v>70</v>
      </c>
      <c r="H342" s="37"/>
      <c r="I342" s="37"/>
      <c r="J342" s="37" t="s">
        <v>794</v>
      </c>
      <c r="K342" s="40"/>
      <c r="L342" s="38"/>
      <c r="M342" s="38"/>
      <c r="N342" s="37"/>
      <c r="O342" s="37"/>
      <c r="P342" s="37"/>
      <c r="Q342" s="37"/>
      <c r="R342" s="39"/>
      <c r="S342" s="37"/>
      <c r="T342" s="38" t="s">
        <v>293</v>
      </c>
    </row>
    <row r="343" ht="34.5">
      <c r="A343" s="38" t="s">
        <v>285</v>
      </c>
      <c r="B343" s="38" t="s">
        <v>286</v>
      </c>
      <c r="C343" s="38" t="s">
        <v>793</v>
      </c>
      <c r="D343" s="38" t="s">
        <v>288</v>
      </c>
      <c r="E343" s="38" t="s">
        <v>768</v>
      </c>
      <c r="F343" s="37" t="s">
        <v>769</v>
      </c>
      <c r="G343" s="38" t="s">
        <v>70</v>
      </c>
      <c r="H343" s="37"/>
      <c r="I343" s="37"/>
      <c r="J343" s="37" t="s">
        <v>795</v>
      </c>
      <c r="K343" s="40"/>
      <c r="L343" s="38"/>
      <c r="M343" s="38"/>
      <c r="N343" s="37"/>
      <c r="O343" s="37"/>
      <c r="P343" s="37"/>
      <c r="Q343" s="37"/>
      <c r="R343" s="39"/>
      <c r="S343" s="37"/>
      <c r="T343" s="38" t="s">
        <v>293</v>
      </c>
    </row>
    <row r="344" ht="34.5">
      <c r="A344" s="38" t="s">
        <v>285</v>
      </c>
      <c r="B344" s="38" t="s">
        <v>286</v>
      </c>
      <c r="C344" s="38" t="s">
        <v>793</v>
      </c>
      <c r="D344" s="38" t="s">
        <v>288</v>
      </c>
      <c r="E344" s="38" t="s">
        <v>768</v>
      </c>
      <c r="F344" s="37" t="s">
        <v>769</v>
      </c>
      <c r="G344" s="38" t="s">
        <v>70</v>
      </c>
      <c r="H344" s="37"/>
      <c r="I344" s="37"/>
      <c r="J344" s="37" t="s">
        <v>796</v>
      </c>
      <c r="K344" s="40"/>
      <c r="L344" s="38"/>
      <c r="M344" s="38"/>
      <c r="N344" s="37"/>
      <c r="O344" s="37"/>
      <c r="P344" s="37"/>
      <c r="Q344" s="37"/>
      <c r="R344" s="39"/>
      <c r="S344" s="37"/>
      <c r="T344" s="38" t="s">
        <v>293</v>
      </c>
    </row>
    <row r="345" ht="34.5">
      <c r="A345" s="38" t="s">
        <v>285</v>
      </c>
      <c r="B345" s="38" t="s">
        <v>286</v>
      </c>
      <c r="C345" s="38" t="s">
        <v>793</v>
      </c>
      <c r="D345" s="38" t="s">
        <v>288</v>
      </c>
      <c r="E345" s="38" t="s">
        <v>768</v>
      </c>
      <c r="F345" s="37" t="s">
        <v>769</v>
      </c>
      <c r="G345" s="38" t="s">
        <v>70</v>
      </c>
      <c r="H345" s="37"/>
      <c r="I345" s="37"/>
      <c r="J345" s="37" t="s">
        <v>797</v>
      </c>
      <c r="K345" s="40"/>
      <c r="L345" s="38"/>
      <c r="M345" s="38"/>
      <c r="N345" s="37"/>
      <c r="O345" s="37"/>
      <c r="P345" s="37"/>
      <c r="Q345" s="37"/>
      <c r="R345" s="39"/>
      <c r="S345" s="37"/>
      <c r="T345" s="38" t="s">
        <v>293</v>
      </c>
    </row>
    <row r="346" ht="34.5">
      <c r="A346" s="38" t="s">
        <v>285</v>
      </c>
      <c r="B346" s="38" t="s">
        <v>286</v>
      </c>
      <c r="C346" s="38" t="s">
        <v>793</v>
      </c>
      <c r="D346" s="38" t="s">
        <v>288</v>
      </c>
      <c r="E346" s="38" t="s">
        <v>768</v>
      </c>
      <c r="F346" s="37" t="s">
        <v>769</v>
      </c>
      <c r="G346" s="38" t="s">
        <v>70</v>
      </c>
      <c r="H346" s="37"/>
      <c r="I346" s="37"/>
      <c r="J346" s="37" t="s">
        <v>798</v>
      </c>
      <c r="K346" s="40"/>
      <c r="L346" s="38"/>
      <c r="M346" s="38"/>
      <c r="N346" s="37"/>
      <c r="O346" s="37"/>
      <c r="P346" s="37"/>
      <c r="Q346" s="37"/>
      <c r="R346" s="39"/>
      <c r="S346" s="37"/>
      <c r="T346" s="38" t="s">
        <v>293</v>
      </c>
    </row>
    <row r="347" ht="34.5">
      <c r="A347" s="38" t="s">
        <v>285</v>
      </c>
      <c r="B347" s="38" t="s">
        <v>286</v>
      </c>
      <c r="C347" s="38" t="s">
        <v>793</v>
      </c>
      <c r="D347" s="38" t="s">
        <v>288</v>
      </c>
      <c r="E347" s="38" t="s">
        <v>768</v>
      </c>
      <c r="F347" s="37" t="s">
        <v>769</v>
      </c>
      <c r="G347" s="38" t="s">
        <v>70</v>
      </c>
      <c r="H347" s="37"/>
      <c r="I347" s="37"/>
      <c r="J347" s="37" t="s">
        <v>799</v>
      </c>
      <c r="K347" s="40"/>
      <c r="L347" s="38"/>
      <c r="M347" s="38"/>
      <c r="N347" s="37"/>
      <c r="O347" s="37"/>
      <c r="P347" s="37"/>
      <c r="Q347" s="37"/>
      <c r="R347" s="39"/>
      <c r="S347" s="37"/>
      <c r="T347" s="38" t="s">
        <v>293</v>
      </c>
    </row>
    <row r="348" ht="34.5">
      <c r="A348" s="38" t="s">
        <v>285</v>
      </c>
      <c r="B348" s="38" t="s">
        <v>286</v>
      </c>
      <c r="C348" s="38" t="s">
        <v>793</v>
      </c>
      <c r="D348" s="38" t="s">
        <v>288</v>
      </c>
      <c r="E348" s="38" t="s">
        <v>768</v>
      </c>
      <c r="F348" s="37" t="s">
        <v>769</v>
      </c>
      <c r="G348" s="38" t="s">
        <v>70</v>
      </c>
      <c r="H348" s="37"/>
      <c r="I348" s="37"/>
      <c r="J348" s="37" t="s">
        <v>800</v>
      </c>
      <c r="K348" s="40"/>
      <c r="L348" s="38"/>
      <c r="M348" s="38"/>
      <c r="N348" s="37"/>
      <c r="O348" s="37"/>
      <c r="P348" s="37"/>
      <c r="Q348" s="37"/>
      <c r="R348" s="39"/>
      <c r="S348" s="37"/>
      <c r="T348" s="38" t="s">
        <v>293</v>
      </c>
    </row>
    <row r="349" ht="34.5">
      <c r="A349" s="38" t="s">
        <v>285</v>
      </c>
      <c r="B349" s="38" t="s">
        <v>286</v>
      </c>
      <c r="C349" s="38" t="s">
        <v>793</v>
      </c>
      <c r="D349" s="38" t="s">
        <v>288</v>
      </c>
      <c r="E349" s="38" t="s">
        <v>768</v>
      </c>
      <c r="F349" s="37" t="s">
        <v>769</v>
      </c>
      <c r="G349" s="38" t="s">
        <v>70</v>
      </c>
      <c r="H349" s="37"/>
      <c r="I349" s="37"/>
      <c r="J349" s="37" t="s">
        <v>801</v>
      </c>
      <c r="K349" s="40"/>
      <c r="L349" s="38"/>
      <c r="M349" s="38"/>
      <c r="N349" s="37"/>
      <c r="O349" s="37"/>
      <c r="P349" s="37"/>
      <c r="Q349" s="37"/>
      <c r="R349" s="39"/>
      <c r="S349" s="37"/>
      <c r="T349" s="38" t="s">
        <v>293</v>
      </c>
    </row>
    <row r="350" ht="34.5">
      <c r="A350" s="38" t="s">
        <v>285</v>
      </c>
      <c r="B350" s="38" t="s">
        <v>286</v>
      </c>
      <c r="C350" s="38" t="s">
        <v>793</v>
      </c>
      <c r="D350" s="38" t="s">
        <v>288</v>
      </c>
      <c r="E350" s="38" t="s">
        <v>768</v>
      </c>
      <c r="F350" s="37" t="s">
        <v>769</v>
      </c>
      <c r="G350" s="38" t="s">
        <v>70</v>
      </c>
      <c r="H350" s="37"/>
      <c r="I350" s="37"/>
      <c r="J350" s="37" t="s">
        <v>802</v>
      </c>
      <c r="K350" s="40"/>
      <c r="L350" s="38"/>
      <c r="M350" s="38"/>
      <c r="N350" s="37"/>
      <c r="O350" s="37"/>
      <c r="P350" s="37"/>
      <c r="Q350" s="37"/>
      <c r="R350" s="39"/>
      <c r="S350" s="37"/>
      <c r="T350" s="38" t="s">
        <v>293</v>
      </c>
    </row>
    <row r="351" ht="34.5">
      <c r="A351" s="38" t="s">
        <v>285</v>
      </c>
      <c r="B351" s="38" t="s">
        <v>286</v>
      </c>
      <c r="C351" s="38" t="s">
        <v>803</v>
      </c>
      <c r="D351" s="38" t="s">
        <v>288</v>
      </c>
      <c r="E351" s="38" t="s">
        <v>768</v>
      </c>
      <c r="F351" s="37" t="s">
        <v>769</v>
      </c>
      <c r="G351" s="38" t="s">
        <v>70</v>
      </c>
      <c r="H351" s="37"/>
      <c r="I351" s="37"/>
      <c r="J351" s="37" t="s">
        <v>804</v>
      </c>
      <c r="K351" s="40"/>
      <c r="L351" s="38"/>
      <c r="M351" s="38"/>
      <c r="N351" s="37"/>
      <c r="O351" s="37"/>
      <c r="P351" s="37"/>
      <c r="Q351" s="37"/>
      <c r="R351" s="39"/>
      <c r="S351" s="37"/>
      <c r="T351" s="38" t="s">
        <v>293</v>
      </c>
    </row>
    <row r="352" ht="34.5">
      <c r="A352" s="38" t="s">
        <v>285</v>
      </c>
      <c r="B352" s="38" t="s">
        <v>286</v>
      </c>
      <c r="C352" s="38" t="s">
        <v>803</v>
      </c>
      <c r="D352" s="38" t="s">
        <v>288</v>
      </c>
      <c r="E352" s="38" t="s">
        <v>768</v>
      </c>
      <c r="F352" s="37" t="s">
        <v>769</v>
      </c>
      <c r="G352" s="38" t="s">
        <v>70</v>
      </c>
      <c r="H352" s="37"/>
      <c r="I352" s="37"/>
      <c r="J352" s="37" t="s">
        <v>805</v>
      </c>
      <c r="K352" s="40"/>
      <c r="L352" s="38"/>
      <c r="M352" s="38"/>
      <c r="N352" s="37"/>
      <c r="O352" s="37"/>
      <c r="P352" s="37"/>
      <c r="Q352" s="37"/>
      <c r="R352" s="39"/>
      <c r="S352" s="37"/>
      <c r="T352" s="38" t="s">
        <v>293</v>
      </c>
    </row>
    <row r="353" ht="34.5">
      <c r="A353" s="38" t="s">
        <v>285</v>
      </c>
      <c r="B353" s="38" t="s">
        <v>286</v>
      </c>
      <c r="C353" s="38" t="s">
        <v>803</v>
      </c>
      <c r="D353" s="38" t="s">
        <v>288</v>
      </c>
      <c r="E353" s="38" t="s">
        <v>768</v>
      </c>
      <c r="F353" s="37" t="s">
        <v>769</v>
      </c>
      <c r="G353" s="38" t="s">
        <v>70</v>
      </c>
      <c r="H353" s="37"/>
      <c r="I353" s="37"/>
      <c r="J353" s="37" t="s">
        <v>806</v>
      </c>
      <c r="K353" s="40"/>
      <c r="L353" s="38"/>
      <c r="M353" s="38"/>
      <c r="N353" s="37"/>
      <c r="O353" s="37"/>
      <c r="P353" s="37"/>
      <c r="Q353" s="37"/>
      <c r="R353" s="39"/>
      <c r="S353" s="37"/>
      <c r="T353" s="38" t="s">
        <v>293</v>
      </c>
    </row>
    <row r="354" ht="34.5">
      <c r="A354" s="38" t="s">
        <v>285</v>
      </c>
      <c r="B354" s="38" t="s">
        <v>286</v>
      </c>
      <c r="C354" s="38" t="s">
        <v>803</v>
      </c>
      <c r="D354" s="38" t="s">
        <v>288</v>
      </c>
      <c r="E354" s="38" t="s">
        <v>768</v>
      </c>
      <c r="F354" s="37" t="s">
        <v>769</v>
      </c>
      <c r="G354" s="38" t="s">
        <v>70</v>
      </c>
      <c r="H354" s="37"/>
      <c r="I354" s="37"/>
      <c r="J354" s="37" t="s">
        <v>807</v>
      </c>
      <c r="K354" s="40"/>
      <c r="L354" s="38"/>
      <c r="M354" s="38"/>
      <c r="N354" s="37"/>
      <c r="O354" s="37"/>
      <c r="P354" s="37"/>
      <c r="Q354" s="37"/>
      <c r="R354" s="39"/>
      <c r="S354" s="37"/>
      <c r="T354" s="38" t="s">
        <v>293</v>
      </c>
    </row>
    <row r="355" ht="34.5">
      <c r="A355" s="38" t="s">
        <v>285</v>
      </c>
      <c r="B355" s="38" t="s">
        <v>286</v>
      </c>
      <c r="C355" s="38" t="s">
        <v>803</v>
      </c>
      <c r="D355" s="38" t="s">
        <v>288</v>
      </c>
      <c r="E355" s="38" t="s">
        <v>768</v>
      </c>
      <c r="F355" s="37" t="s">
        <v>769</v>
      </c>
      <c r="G355" s="38" t="s">
        <v>70</v>
      </c>
      <c r="H355" s="37"/>
      <c r="I355" s="37"/>
      <c r="J355" s="37" t="s">
        <v>808</v>
      </c>
      <c r="K355" s="40">
        <v>-571429</v>
      </c>
      <c r="L355" s="38" t="s">
        <v>297</v>
      </c>
      <c r="M355" s="38"/>
      <c r="N355" s="37"/>
      <c r="O355" s="37"/>
      <c r="P355" s="37"/>
      <c r="Q355" s="37"/>
      <c r="R355" s="39"/>
      <c r="S355" s="37"/>
      <c r="T355" s="38" t="s">
        <v>293</v>
      </c>
    </row>
    <row r="356" ht="34.5">
      <c r="A356" s="38" t="s">
        <v>285</v>
      </c>
      <c r="B356" s="38" t="s">
        <v>286</v>
      </c>
      <c r="C356" s="38" t="s">
        <v>803</v>
      </c>
      <c r="D356" s="38" t="s">
        <v>288</v>
      </c>
      <c r="E356" s="38" t="s">
        <v>768</v>
      </c>
      <c r="F356" s="37" t="s">
        <v>769</v>
      </c>
      <c r="G356" s="38" t="s">
        <v>70</v>
      </c>
      <c r="H356" s="37"/>
      <c r="I356" s="37"/>
      <c r="J356" s="37" t="s">
        <v>809</v>
      </c>
      <c r="K356" s="40"/>
      <c r="L356" s="38"/>
      <c r="M356" s="38"/>
      <c r="N356" s="37"/>
      <c r="O356" s="37"/>
      <c r="P356" s="37"/>
      <c r="Q356" s="37"/>
      <c r="R356" s="39"/>
      <c r="S356" s="37"/>
      <c r="T356" s="38" t="s">
        <v>293</v>
      </c>
    </row>
    <row r="357" ht="34.5">
      <c r="A357" s="38" t="s">
        <v>285</v>
      </c>
      <c r="B357" s="38" t="s">
        <v>286</v>
      </c>
      <c r="C357" s="38" t="s">
        <v>803</v>
      </c>
      <c r="D357" s="38" t="s">
        <v>288</v>
      </c>
      <c r="E357" s="38" t="s">
        <v>768</v>
      </c>
      <c r="F357" s="37" t="s">
        <v>769</v>
      </c>
      <c r="G357" s="38" t="s">
        <v>70</v>
      </c>
      <c r="H357" s="37"/>
      <c r="I357" s="37"/>
      <c r="J357" s="37" t="s">
        <v>810</v>
      </c>
      <c r="K357" s="40"/>
      <c r="L357" s="38"/>
      <c r="M357" s="38"/>
      <c r="N357" s="37"/>
      <c r="O357" s="37"/>
      <c r="P357" s="37"/>
      <c r="Q357" s="37"/>
      <c r="R357" s="39"/>
      <c r="S357" s="37"/>
      <c r="T357" s="38" t="s">
        <v>293</v>
      </c>
    </row>
    <row r="358" ht="34.5">
      <c r="A358" s="38" t="s">
        <v>285</v>
      </c>
      <c r="B358" s="38" t="s">
        <v>286</v>
      </c>
      <c r="C358" s="38" t="s">
        <v>803</v>
      </c>
      <c r="D358" s="38" t="s">
        <v>288</v>
      </c>
      <c r="E358" s="38" t="s">
        <v>768</v>
      </c>
      <c r="F358" s="37" t="s">
        <v>769</v>
      </c>
      <c r="G358" s="38" t="s">
        <v>70</v>
      </c>
      <c r="H358" s="37"/>
      <c r="I358" s="37"/>
      <c r="J358" s="37" t="s">
        <v>811</v>
      </c>
      <c r="K358" s="40"/>
      <c r="L358" s="38"/>
      <c r="M358" s="38"/>
      <c r="N358" s="37"/>
      <c r="O358" s="37"/>
      <c r="P358" s="37"/>
      <c r="Q358" s="37"/>
      <c r="R358" s="39"/>
      <c r="S358" s="37"/>
      <c r="T358" s="38" t="s">
        <v>293</v>
      </c>
    </row>
    <row r="359" ht="34.5">
      <c r="A359" s="38" t="s">
        <v>285</v>
      </c>
      <c r="B359" s="38" t="s">
        <v>286</v>
      </c>
      <c r="C359" s="38" t="s">
        <v>803</v>
      </c>
      <c r="D359" s="38" t="s">
        <v>288</v>
      </c>
      <c r="E359" s="38" t="s">
        <v>768</v>
      </c>
      <c r="F359" s="37" t="s">
        <v>769</v>
      </c>
      <c r="G359" s="38" t="s">
        <v>70</v>
      </c>
      <c r="H359" s="37"/>
      <c r="I359" s="37"/>
      <c r="J359" s="37" t="s">
        <v>812</v>
      </c>
      <c r="K359" s="40"/>
      <c r="L359" s="38"/>
      <c r="M359" s="38"/>
      <c r="N359" s="37"/>
      <c r="O359" s="37"/>
      <c r="P359" s="37"/>
      <c r="Q359" s="37"/>
      <c r="R359" s="39"/>
      <c r="S359" s="37"/>
      <c r="T359" s="38" t="s">
        <v>293</v>
      </c>
    </row>
    <row r="360" ht="34.5">
      <c r="A360" s="38" t="s">
        <v>285</v>
      </c>
      <c r="B360" s="38" t="s">
        <v>286</v>
      </c>
      <c r="C360" s="38" t="s">
        <v>803</v>
      </c>
      <c r="D360" s="38" t="s">
        <v>288</v>
      </c>
      <c r="E360" s="38" t="s">
        <v>768</v>
      </c>
      <c r="F360" s="37" t="s">
        <v>769</v>
      </c>
      <c r="G360" s="38" t="s">
        <v>70</v>
      </c>
      <c r="H360" s="37"/>
      <c r="I360" s="37"/>
      <c r="J360" s="37" t="s">
        <v>813</v>
      </c>
      <c r="K360" s="40"/>
      <c r="L360" s="38"/>
      <c r="M360" s="38"/>
      <c r="N360" s="37"/>
      <c r="O360" s="37"/>
      <c r="P360" s="37"/>
      <c r="Q360" s="37"/>
      <c r="R360" s="39"/>
      <c r="S360" s="37"/>
      <c r="T360" s="38" t="s">
        <v>293</v>
      </c>
    </row>
    <row r="361" ht="34.5">
      <c r="A361" s="38" t="s">
        <v>285</v>
      </c>
      <c r="B361" s="38" t="s">
        <v>286</v>
      </c>
      <c r="C361" s="38" t="s">
        <v>803</v>
      </c>
      <c r="D361" s="38" t="s">
        <v>288</v>
      </c>
      <c r="E361" s="38" t="s">
        <v>768</v>
      </c>
      <c r="F361" s="37" t="s">
        <v>769</v>
      </c>
      <c r="G361" s="38" t="s">
        <v>70</v>
      </c>
      <c r="H361" s="37"/>
      <c r="I361" s="37"/>
      <c r="J361" s="37" t="s">
        <v>814</v>
      </c>
      <c r="K361" s="40"/>
      <c r="L361" s="38"/>
      <c r="M361" s="38"/>
      <c r="N361" s="37"/>
      <c r="O361" s="37"/>
      <c r="P361" s="37"/>
      <c r="Q361" s="37"/>
      <c r="R361" s="39"/>
      <c r="S361" s="37"/>
      <c r="T361" s="38" t="s">
        <v>293</v>
      </c>
    </row>
    <row r="362" ht="34.5">
      <c r="A362" s="38" t="s">
        <v>285</v>
      </c>
      <c r="B362" s="38" t="s">
        <v>286</v>
      </c>
      <c r="C362" s="38" t="s">
        <v>815</v>
      </c>
      <c r="D362" s="38" t="s">
        <v>288</v>
      </c>
      <c r="E362" s="38" t="s">
        <v>768</v>
      </c>
      <c r="F362" s="37" t="s">
        <v>769</v>
      </c>
      <c r="G362" s="38" t="s">
        <v>70</v>
      </c>
      <c r="H362" s="37"/>
      <c r="I362" s="37"/>
      <c r="J362" s="37" t="s">
        <v>816</v>
      </c>
      <c r="K362" s="40"/>
      <c r="L362" s="38"/>
      <c r="M362" s="38"/>
      <c r="N362" s="37"/>
      <c r="O362" s="37"/>
      <c r="P362" s="37"/>
      <c r="Q362" s="37"/>
      <c r="R362" s="39"/>
      <c r="S362" s="37"/>
      <c r="T362" s="38" t="s">
        <v>293</v>
      </c>
    </row>
    <row r="363" ht="34.5">
      <c r="A363" s="38" t="s">
        <v>285</v>
      </c>
      <c r="B363" s="38" t="s">
        <v>286</v>
      </c>
      <c r="C363" s="38" t="s">
        <v>815</v>
      </c>
      <c r="D363" s="38" t="s">
        <v>288</v>
      </c>
      <c r="E363" s="38" t="s">
        <v>768</v>
      </c>
      <c r="F363" s="37" t="s">
        <v>769</v>
      </c>
      <c r="G363" s="38" t="s">
        <v>70</v>
      </c>
      <c r="H363" s="37"/>
      <c r="I363" s="37"/>
      <c r="J363" s="37" t="s">
        <v>817</v>
      </c>
      <c r="K363" s="40"/>
      <c r="L363" s="38"/>
      <c r="M363" s="38"/>
      <c r="N363" s="37"/>
      <c r="O363" s="37"/>
      <c r="P363" s="37"/>
      <c r="Q363" s="37"/>
      <c r="R363" s="39"/>
      <c r="S363" s="37"/>
      <c r="T363" s="38" t="s">
        <v>293</v>
      </c>
    </row>
    <row r="364" ht="34.5">
      <c r="A364" s="38" t="s">
        <v>285</v>
      </c>
      <c r="B364" s="38" t="s">
        <v>286</v>
      </c>
      <c r="C364" s="38" t="s">
        <v>815</v>
      </c>
      <c r="D364" s="38" t="s">
        <v>288</v>
      </c>
      <c r="E364" s="38" t="s">
        <v>768</v>
      </c>
      <c r="F364" s="37" t="s">
        <v>769</v>
      </c>
      <c r="G364" s="38" t="s">
        <v>70</v>
      </c>
      <c r="H364" s="37"/>
      <c r="I364" s="37"/>
      <c r="J364" s="37" t="s">
        <v>818</v>
      </c>
      <c r="K364" s="40"/>
      <c r="L364" s="38"/>
      <c r="M364" s="38"/>
      <c r="N364" s="37"/>
      <c r="O364" s="37"/>
      <c r="P364" s="37"/>
      <c r="Q364" s="37"/>
      <c r="R364" s="39"/>
      <c r="S364" s="37"/>
      <c r="T364" s="38" t="s">
        <v>293</v>
      </c>
    </row>
    <row r="365" ht="34.5">
      <c r="A365" s="38" t="s">
        <v>285</v>
      </c>
      <c r="B365" s="38" t="s">
        <v>286</v>
      </c>
      <c r="C365" s="38" t="s">
        <v>815</v>
      </c>
      <c r="D365" s="38" t="s">
        <v>288</v>
      </c>
      <c r="E365" s="38" t="s">
        <v>768</v>
      </c>
      <c r="F365" s="37" t="s">
        <v>769</v>
      </c>
      <c r="G365" s="38" t="s">
        <v>70</v>
      </c>
      <c r="H365" s="37"/>
      <c r="I365" s="37"/>
      <c r="J365" s="37" t="s">
        <v>819</v>
      </c>
      <c r="K365" s="40"/>
      <c r="L365" s="38"/>
      <c r="M365" s="38"/>
      <c r="N365" s="37"/>
      <c r="O365" s="37"/>
      <c r="P365" s="37"/>
      <c r="Q365" s="37"/>
      <c r="R365" s="39"/>
      <c r="S365" s="37"/>
      <c r="T365" s="38" t="s">
        <v>293</v>
      </c>
    </row>
    <row r="366" ht="34.5">
      <c r="A366" s="38" t="s">
        <v>285</v>
      </c>
      <c r="B366" s="38" t="s">
        <v>286</v>
      </c>
      <c r="C366" s="38" t="s">
        <v>815</v>
      </c>
      <c r="D366" s="38" t="s">
        <v>288</v>
      </c>
      <c r="E366" s="38" t="s">
        <v>768</v>
      </c>
      <c r="F366" s="37" t="s">
        <v>769</v>
      </c>
      <c r="G366" s="38" t="s">
        <v>70</v>
      </c>
      <c r="H366" s="37"/>
      <c r="I366" s="37"/>
      <c r="J366" s="37" t="s">
        <v>820</v>
      </c>
      <c r="K366" s="40"/>
      <c r="L366" s="38"/>
      <c r="M366" s="38"/>
      <c r="N366" s="37"/>
      <c r="O366" s="37"/>
      <c r="P366" s="37"/>
      <c r="Q366" s="37"/>
      <c r="R366" s="39"/>
      <c r="S366" s="37"/>
      <c r="T366" s="38" t="s">
        <v>293</v>
      </c>
    </row>
    <row r="367" ht="34.5">
      <c r="A367" s="38" t="s">
        <v>285</v>
      </c>
      <c r="B367" s="38" t="s">
        <v>286</v>
      </c>
      <c r="C367" s="38" t="s">
        <v>815</v>
      </c>
      <c r="D367" s="38" t="s">
        <v>288</v>
      </c>
      <c r="E367" s="38" t="s">
        <v>768</v>
      </c>
      <c r="F367" s="37" t="s">
        <v>769</v>
      </c>
      <c r="G367" s="38" t="s">
        <v>70</v>
      </c>
      <c r="H367" s="37"/>
      <c r="I367" s="37"/>
      <c r="J367" s="37" t="s">
        <v>821</v>
      </c>
      <c r="K367" s="40"/>
      <c r="L367" s="38"/>
      <c r="M367" s="38"/>
      <c r="N367" s="37"/>
      <c r="O367" s="37"/>
      <c r="P367" s="37"/>
      <c r="Q367" s="37"/>
      <c r="R367" s="39"/>
      <c r="S367" s="37"/>
      <c r="T367" s="38" t="s">
        <v>293</v>
      </c>
    </row>
    <row r="368" ht="34.5">
      <c r="A368" s="38" t="s">
        <v>285</v>
      </c>
      <c r="B368" s="38" t="s">
        <v>286</v>
      </c>
      <c r="C368" s="38" t="s">
        <v>815</v>
      </c>
      <c r="D368" s="38" t="s">
        <v>288</v>
      </c>
      <c r="E368" s="38" t="s">
        <v>768</v>
      </c>
      <c r="F368" s="37" t="s">
        <v>769</v>
      </c>
      <c r="G368" s="38" t="s">
        <v>70</v>
      </c>
      <c r="H368" s="37"/>
      <c r="I368" s="37"/>
      <c r="J368" s="37" t="s">
        <v>822</v>
      </c>
      <c r="K368" s="40"/>
      <c r="L368" s="38"/>
      <c r="M368" s="38"/>
      <c r="N368" s="37"/>
      <c r="O368" s="37"/>
      <c r="P368" s="37"/>
      <c r="Q368" s="37"/>
      <c r="R368" s="39"/>
      <c r="S368" s="37"/>
      <c r="T368" s="38" t="s">
        <v>293</v>
      </c>
    </row>
    <row r="369" ht="34.5">
      <c r="A369" s="38" t="s">
        <v>285</v>
      </c>
      <c r="B369" s="38" t="s">
        <v>286</v>
      </c>
      <c r="C369" s="38" t="s">
        <v>815</v>
      </c>
      <c r="D369" s="38" t="s">
        <v>288</v>
      </c>
      <c r="E369" s="38" t="s">
        <v>768</v>
      </c>
      <c r="F369" s="37" t="s">
        <v>769</v>
      </c>
      <c r="G369" s="38" t="s">
        <v>70</v>
      </c>
      <c r="H369" s="37"/>
      <c r="I369" s="37"/>
      <c r="J369" s="37" t="s">
        <v>823</v>
      </c>
      <c r="K369" s="40"/>
      <c r="L369" s="38"/>
      <c r="M369" s="38"/>
      <c r="N369" s="37"/>
      <c r="O369" s="37"/>
      <c r="P369" s="37"/>
      <c r="Q369" s="37"/>
      <c r="R369" s="39"/>
      <c r="S369" s="37"/>
      <c r="T369" s="38" t="s">
        <v>293</v>
      </c>
    </row>
    <row r="370" ht="34.5">
      <c r="A370" s="38" t="s">
        <v>285</v>
      </c>
      <c r="B370" s="38" t="s">
        <v>286</v>
      </c>
      <c r="C370" s="38" t="s">
        <v>815</v>
      </c>
      <c r="D370" s="38" t="s">
        <v>288</v>
      </c>
      <c r="E370" s="38" t="s">
        <v>768</v>
      </c>
      <c r="F370" s="37" t="s">
        <v>769</v>
      </c>
      <c r="G370" s="38" t="s">
        <v>70</v>
      </c>
      <c r="H370" s="37"/>
      <c r="I370" s="37"/>
      <c r="J370" s="37" t="s">
        <v>824</v>
      </c>
      <c r="K370" s="40"/>
      <c r="L370" s="38"/>
      <c r="M370" s="38"/>
      <c r="N370" s="37"/>
      <c r="O370" s="37"/>
      <c r="P370" s="37"/>
      <c r="Q370" s="37"/>
      <c r="R370" s="39"/>
      <c r="S370" s="37"/>
      <c r="T370" s="38" t="s">
        <v>293</v>
      </c>
    </row>
    <row r="371" ht="34.5">
      <c r="A371" s="38" t="s">
        <v>285</v>
      </c>
      <c r="B371" s="38" t="s">
        <v>286</v>
      </c>
      <c r="C371" s="38" t="s">
        <v>815</v>
      </c>
      <c r="D371" s="38" t="s">
        <v>288</v>
      </c>
      <c r="E371" s="38" t="s">
        <v>768</v>
      </c>
      <c r="F371" s="37" t="s">
        <v>769</v>
      </c>
      <c r="G371" s="38" t="s">
        <v>70</v>
      </c>
      <c r="H371" s="37"/>
      <c r="I371" s="37"/>
      <c r="J371" s="37" t="s">
        <v>825</v>
      </c>
      <c r="K371" s="40"/>
      <c r="L371" s="38"/>
      <c r="M371" s="38"/>
      <c r="N371" s="37"/>
      <c r="O371" s="37"/>
      <c r="P371" s="37"/>
      <c r="Q371" s="37"/>
      <c r="R371" s="39"/>
      <c r="S371" s="37"/>
      <c r="T371" s="38" t="s">
        <v>293</v>
      </c>
    </row>
    <row r="372" ht="34.5">
      <c r="A372" s="38" t="s">
        <v>285</v>
      </c>
      <c r="B372" s="38" t="s">
        <v>286</v>
      </c>
      <c r="C372" s="38" t="s">
        <v>815</v>
      </c>
      <c r="D372" s="38" t="s">
        <v>288</v>
      </c>
      <c r="E372" s="38" t="s">
        <v>768</v>
      </c>
      <c r="F372" s="37" t="s">
        <v>769</v>
      </c>
      <c r="G372" s="38" t="s">
        <v>70</v>
      </c>
      <c r="H372" s="37"/>
      <c r="I372" s="37"/>
      <c r="J372" s="37" t="s">
        <v>826</v>
      </c>
      <c r="K372" s="40"/>
      <c r="L372" s="38"/>
      <c r="M372" s="38"/>
      <c r="N372" s="37"/>
      <c r="O372" s="37"/>
      <c r="P372" s="37"/>
      <c r="Q372" s="37"/>
      <c r="R372" s="39"/>
      <c r="S372" s="37"/>
      <c r="T372" s="38" t="s">
        <v>293</v>
      </c>
    </row>
    <row r="373" ht="34.5">
      <c r="A373" s="38" t="s">
        <v>285</v>
      </c>
      <c r="B373" s="38" t="s">
        <v>286</v>
      </c>
      <c r="C373" s="38" t="s">
        <v>815</v>
      </c>
      <c r="D373" s="38" t="s">
        <v>288</v>
      </c>
      <c r="E373" s="38" t="s">
        <v>768</v>
      </c>
      <c r="F373" s="37" t="s">
        <v>769</v>
      </c>
      <c r="G373" s="38" t="s">
        <v>70</v>
      </c>
      <c r="H373" s="37"/>
      <c r="I373" s="37"/>
      <c r="J373" s="37" t="s">
        <v>827</v>
      </c>
      <c r="K373" s="40"/>
      <c r="L373" s="38"/>
      <c r="M373" s="38"/>
      <c r="N373" s="37"/>
      <c r="O373" s="37"/>
      <c r="P373" s="37"/>
      <c r="Q373" s="37"/>
      <c r="R373" s="39"/>
      <c r="S373" s="37"/>
      <c r="T373" s="38" t="s">
        <v>293</v>
      </c>
    </row>
    <row r="374" ht="34.5">
      <c r="A374" s="38" t="s">
        <v>285</v>
      </c>
      <c r="B374" s="38" t="s">
        <v>286</v>
      </c>
      <c r="C374" s="38" t="s">
        <v>828</v>
      </c>
      <c r="D374" s="38" t="s">
        <v>288</v>
      </c>
      <c r="E374" s="38" t="s">
        <v>768</v>
      </c>
      <c r="F374" s="37" t="s">
        <v>769</v>
      </c>
      <c r="G374" s="38" t="s">
        <v>70</v>
      </c>
      <c r="H374" s="37"/>
      <c r="I374" s="37"/>
      <c r="J374" s="37" t="s">
        <v>829</v>
      </c>
      <c r="K374" s="40"/>
      <c r="L374" s="38"/>
      <c r="M374" s="38"/>
      <c r="N374" s="37"/>
      <c r="O374" s="37"/>
      <c r="P374" s="37"/>
      <c r="Q374" s="37"/>
      <c r="R374" s="39"/>
      <c r="S374" s="37"/>
      <c r="T374" s="38" t="s">
        <v>293</v>
      </c>
    </row>
    <row r="375" ht="34.5">
      <c r="A375" s="38" t="s">
        <v>285</v>
      </c>
      <c r="B375" s="38" t="s">
        <v>286</v>
      </c>
      <c r="C375" s="38" t="s">
        <v>828</v>
      </c>
      <c r="D375" s="38" t="s">
        <v>288</v>
      </c>
      <c r="E375" s="38" t="s">
        <v>768</v>
      </c>
      <c r="F375" s="37" t="s">
        <v>769</v>
      </c>
      <c r="G375" s="38" t="s">
        <v>70</v>
      </c>
      <c r="H375" s="37"/>
      <c r="I375" s="37"/>
      <c r="J375" s="37" t="s">
        <v>830</v>
      </c>
      <c r="K375" s="40"/>
      <c r="L375" s="38"/>
      <c r="M375" s="38"/>
      <c r="N375" s="37"/>
      <c r="O375" s="37"/>
      <c r="P375" s="37"/>
      <c r="Q375" s="37"/>
      <c r="R375" s="39"/>
      <c r="S375" s="37"/>
      <c r="T375" s="38" t="s">
        <v>293</v>
      </c>
    </row>
    <row r="376" ht="34.5">
      <c r="A376" s="38" t="s">
        <v>285</v>
      </c>
      <c r="B376" s="38" t="s">
        <v>286</v>
      </c>
      <c r="C376" s="38" t="s">
        <v>828</v>
      </c>
      <c r="D376" s="38" t="s">
        <v>288</v>
      </c>
      <c r="E376" s="38" t="s">
        <v>768</v>
      </c>
      <c r="F376" s="37" t="s">
        <v>769</v>
      </c>
      <c r="G376" s="38" t="s">
        <v>70</v>
      </c>
      <c r="H376" s="37"/>
      <c r="I376" s="37"/>
      <c r="J376" s="37" t="s">
        <v>831</v>
      </c>
      <c r="K376" s="40"/>
      <c r="L376" s="38"/>
      <c r="M376" s="38"/>
      <c r="N376" s="37"/>
      <c r="O376" s="37"/>
      <c r="P376" s="37"/>
      <c r="Q376" s="37"/>
      <c r="R376" s="39"/>
      <c r="S376" s="37"/>
      <c r="T376" s="38" t="s">
        <v>293</v>
      </c>
    </row>
    <row r="377" ht="34.5">
      <c r="A377" s="38" t="s">
        <v>285</v>
      </c>
      <c r="B377" s="38" t="s">
        <v>286</v>
      </c>
      <c r="C377" s="38" t="s">
        <v>832</v>
      </c>
      <c r="D377" s="38" t="s">
        <v>288</v>
      </c>
      <c r="E377" s="38" t="s">
        <v>768</v>
      </c>
      <c r="F377" s="37" t="s">
        <v>769</v>
      </c>
      <c r="G377" s="38" t="s">
        <v>70</v>
      </c>
      <c r="H377" s="37"/>
      <c r="I377" s="37"/>
      <c r="J377" s="37" t="s">
        <v>833</v>
      </c>
      <c r="K377" s="40"/>
      <c r="L377" s="38"/>
      <c r="M377" s="38"/>
      <c r="N377" s="37"/>
      <c r="O377" s="37"/>
      <c r="P377" s="37"/>
      <c r="Q377" s="37"/>
      <c r="R377" s="39"/>
      <c r="S377" s="37"/>
      <c r="T377" s="38" t="s">
        <v>293</v>
      </c>
    </row>
    <row r="378" ht="34.5">
      <c r="A378" s="38" t="s">
        <v>285</v>
      </c>
      <c r="B378" s="38" t="s">
        <v>286</v>
      </c>
      <c r="C378" s="38" t="s">
        <v>832</v>
      </c>
      <c r="D378" s="38" t="s">
        <v>288</v>
      </c>
      <c r="E378" s="38" t="s">
        <v>768</v>
      </c>
      <c r="F378" s="37" t="s">
        <v>769</v>
      </c>
      <c r="G378" s="38" t="s">
        <v>70</v>
      </c>
      <c r="H378" s="37"/>
      <c r="I378" s="37"/>
      <c r="J378" s="37" t="s">
        <v>834</v>
      </c>
      <c r="K378" s="40"/>
      <c r="L378" s="38"/>
      <c r="M378" s="38"/>
      <c r="N378" s="37"/>
      <c r="O378" s="37"/>
      <c r="P378" s="37"/>
      <c r="Q378" s="37"/>
      <c r="R378" s="39"/>
      <c r="S378" s="37"/>
      <c r="T378" s="38" t="s">
        <v>293</v>
      </c>
    </row>
    <row r="379" ht="34.5">
      <c r="A379" s="38" t="s">
        <v>285</v>
      </c>
      <c r="B379" s="38" t="s">
        <v>286</v>
      </c>
      <c r="C379" s="38" t="s">
        <v>832</v>
      </c>
      <c r="D379" s="38" t="s">
        <v>288</v>
      </c>
      <c r="E379" s="38" t="s">
        <v>768</v>
      </c>
      <c r="F379" s="37" t="s">
        <v>769</v>
      </c>
      <c r="G379" s="38" t="s">
        <v>70</v>
      </c>
      <c r="H379" s="37"/>
      <c r="I379" s="37"/>
      <c r="J379" s="37" t="s">
        <v>835</v>
      </c>
      <c r="K379" s="40"/>
      <c r="L379" s="38"/>
      <c r="M379" s="38"/>
      <c r="N379" s="37"/>
      <c r="O379" s="37"/>
      <c r="P379" s="37"/>
      <c r="Q379" s="37"/>
      <c r="R379" s="39"/>
      <c r="S379" s="37"/>
      <c r="T379" s="38" t="s">
        <v>293</v>
      </c>
    </row>
    <row r="380" ht="34.5">
      <c r="A380" s="38" t="s">
        <v>285</v>
      </c>
      <c r="B380" s="38" t="s">
        <v>286</v>
      </c>
      <c r="C380" s="38" t="s">
        <v>832</v>
      </c>
      <c r="D380" s="38" t="s">
        <v>288</v>
      </c>
      <c r="E380" s="38" t="s">
        <v>768</v>
      </c>
      <c r="F380" s="37" t="s">
        <v>769</v>
      </c>
      <c r="G380" s="38" t="s">
        <v>70</v>
      </c>
      <c r="H380" s="37"/>
      <c r="I380" s="37"/>
      <c r="J380" s="37" t="s">
        <v>836</v>
      </c>
      <c r="K380" s="40"/>
      <c r="L380" s="38"/>
      <c r="M380" s="38"/>
      <c r="N380" s="37"/>
      <c r="O380" s="37"/>
      <c r="P380" s="37"/>
      <c r="Q380" s="37"/>
      <c r="R380" s="39"/>
      <c r="S380" s="37"/>
      <c r="T380" s="38" t="s">
        <v>293</v>
      </c>
    </row>
    <row r="381" ht="34.5">
      <c r="A381" s="38" t="s">
        <v>285</v>
      </c>
      <c r="B381" s="38" t="s">
        <v>286</v>
      </c>
      <c r="C381" s="38" t="s">
        <v>832</v>
      </c>
      <c r="D381" s="38" t="s">
        <v>288</v>
      </c>
      <c r="E381" s="38" t="s">
        <v>768</v>
      </c>
      <c r="F381" s="37" t="s">
        <v>769</v>
      </c>
      <c r="G381" s="38" t="s">
        <v>70</v>
      </c>
      <c r="H381" s="37"/>
      <c r="I381" s="37"/>
      <c r="J381" s="37" t="s">
        <v>837</v>
      </c>
      <c r="K381" s="40"/>
      <c r="L381" s="38"/>
      <c r="M381" s="38"/>
      <c r="N381" s="37"/>
      <c r="O381" s="37"/>
      <c r="P381" s="37"/>
      <c r="Q381" s="37"/>
      <c r="R381" s="39"/>
      <c r="S381" s="37"/>
      <c r="T381" s="38" t="s">
        <v>293</v>
      </c>
    </row>
    <row r="382" ht="34.5">
      <c r="A382" s="38" t="s">
        <v>285</v>
      </c>
      <c r="B382" s="38" t="s">
        <v>286</v>
      </c>
      <c r="C382" s="38" t="s">
        <v>832</v>
      </c>
      <c r="D382" s="38" t="s">
        <v>288</v>
      </c>
      <c r="E382" s="38" t="s">
        <v>768</v>
      </c>
      <c r="F382" s="37" t="s">
        <v>769</v>
      </c>
      <c r="G382" s="38" t="s">
        <v>70</v>
      </c>
      <c r="H382" s="37"/>
      <c r="I382" s="37"/>
      <c r="J382" s="37" t="s">
        <v>838</v>
      </c>
      <c r="K382" s="40"/>
      <c r="L382" s="38"/>
      <c r="M382" s="38"/>
      <c r="N382" s="37"/>
      <c r="O382" s="37"/>
      <c r="P382" s="37"/>
      <c r="Q382" s="37"/>
      <c r="R382" s="39"/>
      <c r="S382" s="37"/>
      <c r="T382" s="38" t="s">
        <v>293</v>
      </c>
    </row>
    <row r="383" ht="34.5">
      <c r="A383" s="38" t="s">
        <v>285</v>
      </c>
      <c r="B383" s="38" t="s">
        <v>286</v>
      </c>
      <c r="C383" s="38" t="s">
        <v>832</v>
      </c>
      <c r="D383" s="38" t="s">
        <v>288</v>
      </c>
      <c r="E383" s="38" t="s">
        <v>768</v>
      </c>
      <c r="F383" s="37" t="s">
        <v>769</v>
      </c>
      <c r="G383" s="38" t="s">
        <v>70</v>
      </c>
      <c r="H383" s="37"/>
      <c r="I383" s="37"/>
      <c r="J383" s="37" t="s">
        <v>839</v>
      </c>
      <c r="K383" s="40"/>
      <c r="L383" s="38"/>
      <c r="M383" s="38"/>
      <c r="N383" s="37"/>
      <c r="O383" s="37"/>
      <c r="P383" s="37"/>
      <c r="Q383" s="37"/>
      <c r="R383" s="39"/>
      <c r="S383" s="37"/>
      <c r="T383" s="38" t="s">
        <v>293</v>
      </c>
    </row>
    <row r="384" ht="34.5">
      <c r="A384" s="38" t="s">
        <v>285</v>
      </c>
      <c r="B384" s="38" t="s">
        <v>286</v>
      </c>
      <c r="C384" s="38" t="s">
        <v>832</v>
      </c>
      <c r="D384" s="38" t="s">
        <v>288</v>
      </c>
      <c r="E384" s="38" t="s">
        <v>768</v>
      </c>
      <c r="F384" s="37" t="s">
        <v>769</v>
      </c>
      <c r="G384" s="38" t="s">
        <v>70</v>
      </c>
      <c r="H384" s="37"/>
      <c r="I384" s="37"/>
      <c r="J384" s="37" t="s">
        <v>840</v>
      </c>
      <c r="K384" s="40"/>
      <c r="L384" s="38"/>
      <c r="M384" s="38"/>
      <c r="N384" s="37"/>
      <c r="O384" s="37"/>
      <c r="P384" s="37"/>
      <c r="Q384" s="37"/>
      <c r="R384" s="39"/>
      <c r="S384" s="37"/>
      <c r="T384" s="38" t="s">
        <v>293</v>
      </c>
    </row>
    <row r="385" ht="34.5">
      <c r="A385" s="38" t="s">
        <v>285</v>
      </c>
      <c r="B385" s="38" t="s">
        <v>286</v>
      </c>
      <c r="C385" s="38" t="s">
        <v>832</v>
      </c>
      <c r="D385" s="38" t="s">
        <v>288</v>
      </c>
      <c r="E385" s="38" t="s">
        <v>768</v>
      </c>
      <c r="F385" s="37" t="s">
        <v>769</v>
      </c>
      <c r="G385" s="38" t="s">
        <v>70</v>
      </c>
      <c r="H385" s="37"/>
      <c r="I385" s="37"/>
      <c r="J385" s="37" t="s">
        <v>841</v>
      </c>
      <c r="K385" s="40"/>
      <c r="L385" s="38"/>
      <c r="M385" s="38"/>
      <c r="N385" s="37"/>
      <c r="O385" s="37"/>
      <c r="P385" s="37"/>
      <c r="Q385" s="37"/>
      <c r="R385" s="39"/>
      <c r="S385" s="37"/>
      <c r="T385" s="38" t="s">
        <v>293</v>
      </c>
    </row>
    <row r="386" ht="34.5">
      <c r="A386" s="38" t="s">
        <v>285</v>
      </c>
      <c r="B386" s="38" t="s">
        <v>286</v>
      </c>
      <c r="C386" s="38" t="s">
        <v>832</v>
      </c>
      <c r="D386" s="38" t="s">
        <v>288</v>
      </c>
      <c r="E386" s="38" t="s">
        <v>768</v>
      </c>
      <c r="F386" s="37" t="s">
        <v>769</v>
      </c>
      <c r="G386" s="38" t="s">
        <v>70</v>
      </c>
      <c r="H386" s="37"/>
      <c r="I386" s="37"/>
      <c r="J386" s="37" t="s">
        <v>842</v>
      </c>
      <c r="K386" s="40"/>
      <c r="L386" s="38"/>
      <c r="M386" s="38"/>
      <c r="N386" s="37"/>
      <c r="O386" s="37"/>
      <c r="P386" s="37"/>
      <c r="Q386" s="37"/>
      <c r="R386" s="39"/>
      <c r="S386" s="37"/>
      <c r="T386" s="38" t="s">
        <v>293</v>
      </c>
    </row>
    <row r="387" ht="34.5">
      <c r="A387" s="38" t="s">
        <v>285</v>
      </c>
      <c r="B387" s="38" t="s">
        <v>286</v>
      </c>
      <c r="C387" s="38" t="s">
        <v>832</v>
      </c>
      <c r="D387" s="38" t="s">
        <v>288</v>
      </c>
      <c r="E387" s="38" t="s">
        <v>768</v>
      </c>
      <c r="F387" s="37" t="s">
        <v>769</v>
      </c>
      <c r="G387" s="38" t="s">
        <v>70</v>
      </c>
      <c r="H387" s="37"/>
      <c r="I387" s="37"/>
      <c r="J387" s="37" t="s">
        <v>843</v>
      </c>
      <c r="K387" s="40"/>
      <c r="L387" s="38"/>
      <c r="M387" s="38"/>
      <c r="N387" s="37"/>
      <c r="O387" s="37"/>
      <c r="P387" s="37"/>
      <c r="Q387" s="37"/>
      <c r="R387" s="39"/>
      <c r="S387" s="37"/>
      <c r="T387" s="38" t="s">
        <v>293</v>
      </c>
    </row>
    <row r="388" ht="34.5">
      <c r="A388" s="38" t="s">
        <v>285</v>
      </c>
      <c r="B388" s="38" t="s">
        <v>286</v>
      </c>
      <c r="C388" s="38" t="s">
        <v>844</v>
      </c>
      <c r="D388" s="38" t="s">
        <v>288</v>
      </c>
      <c r="E388" s="38" t="s">
        <v>845</v>
      </c>
      <c r="F388" s="37" t="s">
        <v>846</v>
      </c>
      <c r="G388" s="38" t="s">
        <v>847</v>
      </c>
      <c r="H388" s="37"/>
      <c r="I388" s="37"/>
      <c r="J388" s="37" t="s">
        <v>848</v>
      </c>
      <c r="K388" s="40">
        <v>0.7</v>
      </c>
      <c r="L388" s="38" t="s">
        <v>297</v>
      </c>
      <c r="M388" s="38"/>
      <c r="N388" s="37"/>
      <c r="O388" s="37"/>
      <c r="P388" s="37"/>
      <c r="Q388" s="37"/>
      <c r="R388" s="39"/>
      <c r="S388" s="37"/>
      <c r="T388" s="38" t="s">
        <v>293</v>
      </c>
    </row>
    <row r="389" ht="34.5">
      <c r="A389" s="38" t="s">
        <v>285</v>
      </c>
      <c r="B389" s="38" t="s">
        <v>286</v>
      </c>
      <c r="C389" s="38" t="s">
        <v>844</v>
      </c>
      <c r="D389" s="38" t="s">
        <v>288</v>
      </c>
      <c r="E389" s="38" t="s">
        <v>845</v>
      </c>
      <c r="F389" s="37" t="s">
        <v>846</v>
      </c>
      <c r="G389" s="38" t="s">
        <v>847</v>
      </c>
      <c r="H389" s="37"/>
      <c r="I389" s="37"/>
      <c r="J389" s="37" t="s">
        <v>849</v>
      </c>
      <c r="K389" s="40"/>
      <c r="L389" s="38"/>
      <c r="M389" s="38"/>
      <c r="N389" s="37"/>
      <c r="O389" s="37"/>
      <c r="P389" s="37"/>
      <c r="Q389" s="37"/>
      <c r="R389" s="39"/>
      <c r="S389" s="37"/>
      <c r="T389" s="38" t="s">
        <v>293</v>
      </c>
    </row>
    <row r="390" ht="34.5">
      <c r="A390" s="38" t="s">
        <v>285</v>
      </c>
      <c r="B390" s="38" t="s">
        <v>286</v>
      </c>
      <c r="C390" s="38" t="s">
        <v>844</v>
      </c>
      <c r="D390" s="38" t="s">
        <v>288</v>
      </c>
      <c r="E390" s="38" t="s">
        <v>845</v>
      </c>
      <c r="F390" s="37" t="s">
        <v>846</v>
      </c>
      <c r="G390" s="38" t="s">
        <v>847</v>
      </c>
      <c r="H390" s="37"/>
      <c r="I390" s="37"/>
      <c r="J390" s="37" t="s">
        <v>850</v>
      </c>
      <c r="K390" s="40"/>
      <c r="L390" s="38"/>
      <c r="M390" s="38"/>
      <c r="N390" s="37"/>
      <c r="O390" s="37"/>
      <c r="P390" s="37"/>
      <c r="Q390" s="37"/>
      <c r="R390" s="39"/>
      <c r="S390" s="37"/>
      <c r="T390" s="38" t="s">
        <v>293</v>
      </c>
    </row>
    <row r="391" ht="34.5">
      <c r="A391" s="38" t="s">
        <v>285</v>
      </c>
      <c r="B391" s="38" t="s">
        <v>286</v>
      </c>
      <c r="C391" s="38" t="s">
        <v>844</v>
      </c>
      <c r="D391" s="38" t="s">
        <v>288</v>
      </c>
      <c r="E391" s="38" t="s">
        <v>845</v>
      </c>
      <c r="F391" s="37" t="s">
        <v>846</v>
      </c>
      <c r="G391" s="38" t="s">
        <v>847</v>
      </c>
      <c r="H391" s="37"/>
      <c r="I391" s="37"/>
      <c r="J391" s="37" t="s">
        <v>851</v>
      </c>
      <c r="K391" s="40"/>
      <c r="L391" s="38"/>
      <c r="M391" s="38"/>
      <c r="N391" s="37"/>
      <c r="O391" s="37"/>
      <c r="P391" s="37"/>
      <c r="Q391" s="37"/>
      <c r="R391" s="39"/>
      <c r="S391" s="37"/>
      <c r="T391" s="38" t="s">
        <v>293</v>
      </c>
    </row>
    <row r="392" ht="34.5">
      <c r="A392" s="38" t="s">
        <v>285</v>
      </c>
      <c r="B392" s="38" t="s">
        <v>286</v>
      </c>
      <c r="C392" s="38" t="s">
        <v>844</v>
      </c>
      <c r="D392" s="38" t="s">
        <v>288</v>
      </c>
      <c r="E392" s="38" t="s">
        <v>852</v>
      </c>
      <c r="F392" s="37" t="s">
        <v>853</v>
      </c>
      <c r="G392" s="38" t="s">
        <v>70</v>
      </c>
      <c r="H392" s="37"/>
      <c r="I392" s="37"/>
      <c r="J392" s="37" t="s">
        <v>854</v>
      </c>
      <c r="K392" s="40"/>
      <c r="L392" s="38"/>
      <c r="M392" s="38"/>
      <c r="N392" s="37"/>
      <c r="O392" s="37"/>
      <c r="P392" s="37"/>
      <c r="Q392" s="37"/>
      <c r="R392" s="39"/>
      <c r="S392" s="37"/>
      <c r="T392" s="38" t="s">
        <v>293</v>
      </c>
    </row>
    <row r="393" ht="34.5">
      <c r="A393" s="38" t="s">
        <v>285</v>
      </c>
      <c r="B393" s="38" t="s">
        <v>286</v>
      </c>
      <c r="C393" s="38" t="s">
        <v>844</v>
      </c>
      <c r="D393" s="38" t="s">
        <v>288</v>
      </c>
      <c r="E393" s="38" t="s">
        <v>852</v>
      </c>
      <c r="F393" s="37" t="s">
        <v>853</v>
      </c>
      <c r="G393" s="38" t="s">
        <v>70</v>
      </c>
      <c r="H393" s="37"/>
      <c r="I393" s="37"/>
      <c r="J393" s="37" t="s">
        <v>855</v>
      </c>
      <c r="K393" s="40"/>
      <c r="L393" s="38"/>
      <c r="M393" s="38"/>
      <c r="N393" s="37"/>
      <c r="O393" s="37"/>
      <c r="P393" s="37"/>
      <c r="Q393" s="37"/>
      <c r="R393" s="39"/>
      <c r="S393" s="37"/>
      <c r="T393" s="38" t="s">
        <v>293</v>
      </c>
    </row>
    <row r="394" ht="34.5">
      <c r="A394" s="38" t="s">
        <v>285</v>
      </c>
      <c r="B394" s="38" t="s">
        <v>286</v>
      </c>
      <c r="C394" s="38" t="s">
        <v>844</v>
      </c>
      <c r="D394" s="38" t="s">
        <v>288</v>
      </c>
      <c r="E394" s="38" t="s">
        <v>852</v>
      </c>
      <c r="F394" s="37" t="s">
        <v>853</v>
      </c>
      <c r="G394" s="38" t="s">
        <v>70</v>
      </c>
      <c r="H394" s="37"/>
      <c r="I394" s="37"/>
      <c r="J394" s="37" t="s">
        <v>856</v>
      </c>
      <c r="K394" s="40"/>
      <c r="L394" s="38"/>
      <c r="M394" s="38"/>
      <c r="N394" s="37"/>
      <c r="O394" s="37"/>
      <c r="P394" s="37"/>
      <c r="Q394" s="37"/>
      <c r="R394" s="39"/>
      <c r="S394" s="37"/>
      <c r="T394" s="38" t="s">
        <v>293</v>
      </c>
    </row>
    <row r="395" ht="34.5">
      <c r="A395" s="38" t="s">
        <v>285</v>
      </c>
      <c r="B395" s="38" t="s">
        <v>286</v>
      </c>
      <c r="C395" s="38" t="s">
        <v>844</v>
      </c>
      <c r="D395" s="38" t="s">
        <v>288</v>
      </c>
      <c r="E395" s="38" t="s">
        <v>852</v>
      </c>
      <c r="F395" s="37" t="s">
        <v>853</v>
      </c>
      <c r="G395" s="38" t="s">
        <v>70</v>
      </c>
      <c r="H395" s="37"/>
      <c r="I395" s="37"/>
      <c r="J395" s="37" t="s">
        <v>857</v>
      </c>
      <c r="K395" s="40"/>
      <c r="L395" s="38"/>
      <c r="M395" s="38"/>
      <c r="N395" s="37"/>
      <c r="O395" s="37"/>
      <c r="P395" s="37"/>
      <c r="Q395" s="37"/>
      <c r="R395" s="39"/>
      <c r="S395" s="37"/>
      <c r="T395" s="38" t="s">
        <v>293</v>
      </c>
    </row>
    <row r="396" ht="34.5">
      <c r="A396" s="38" t="s">
        <v>285</v>
      </c>
      <c r="B396" s="38" t="s">
        <v>286</v>
      </c>
      <c r="C396" s="38" t="s">
        <v>858</v>
      </c>
      <c r="D396" s="38" t="s">
        <v>288</v>
      </c>
      <c r="E396" s="38" t="s">
        <v>852</v>
      </c>
      <c r="F396" s="37" t="s">
        <v>853</v>
      </c>
      <c r="G396" s="38" t="s">
        <v>70</v>
      </c>
      <c r="H396" s="37"/>
      <c r="I396" s="37"/>
      <c r="J396" s="37" t="s">
        <v>859</v>
      </c>
      <c r="K396" s="40"/>
      <c r="L396" s="38"/>
      <c r="M396" s="38"/>
      <c r="N396" s="37"/>
      <c r="O396" s="37"/>
      <c r="P396" s="37"/>
      <c r="Q396" s="37"/>
      <c r="R396" s="39"/>
      <c r="S396" s="37"/>
      <c r="T396" s="38" t="s">
        <v>293</v>
      </c>
    </row>
    <row r="397" ht="34.5">
      <c r="A397" s="38" t="s">
        <v>285</v>
      </c>
      <c r="B397" s="38" t="s">
        <v>286</v>
      </c>
      <c r="C397" s="38" t="s">
        <v>858</v>
      </c>
      <c r="D397" s="38" t="s">
        <v>288</v>
      </c>
      <c r="E397" s="38" t="s">
        <v>852</v>
      </c>
      <c r="F397" s="37" t="s">
        <v>853</v>
      </c>
      <c r="G397" s="38" t="s">
        <v>70</v>
      </c>
      <c r="H397" s="37"/>
      <c r="I397" s="37"/>
      <c r="J397" s="37" t="s">
        <v>860</v>
      </c>
      <c r="K397" s="40"/>
      <c r="L397" s="38"/>
      <c r="M397" s="38"/>
      <c r="N397" s="37"/>
      <c r="O397" s="37"/>
      <c r="P397" s="37"/>
      <c r="Q397" s="37"/>
      <c r="R397" s="39"/>
      <c r="S397" s="37"/>
      <c r="T397" s="38" t="s">
        <v>293</v>
      </c>
    </row>
    <row r="398" ht="34.5">
      <c r="A398" s="38" t="s">
        <v>285</v>
      </c>
      <c r="B398" s="38" t="s">
        <v>286</v>
      </c>
      <c r="C398" s="38" t="s">
        <v>858</v>
      </c>
      <c r="D398" s="38" t="s">
        <v>288</v>
      </c>
      <c r="E398" s="38" t="s">
        <v>852</v>
      </c>
      <c r="F398" s="37" t="s">
        <v>853</v>
      </c>
      <c r="G398" s="38" t="s">
        <v>70</v>
      </c>
      <c r="H398" s="37"/>
      <c r="I398" s="37"/>
      <c r="J398" s="37" t="s">
        <v>861</v>
      </c>
      <c r="K398" s="40"/>
      <c r="L398" s="38"/>
      <c r="M398" s="38"/>
      <c r="N398" s="37"/>
      <c r="O398" s="37"/>
      <c r="P398" s="37"/>
      <c r="Q398" s="37"/>
      <c r="R398" s="39"/>
      <c r="S398" s="37"/>
      <c r="T398" s="38" t="s">
        <v>293</v>
      </c>
    </row>
    <row r="399" ht="34.5">
      <c r="A399" s="38" t="s">
        <v>285</v>
      </c>
      <c r="B399" s="38" t="s">
        <v>286</v>
      </c>
      <c r="C399" s="38" t="s">
        <v>858</v>
      </c>
      <c r="D399" s="38" t="s">
        <v>288</v>
      </c>
      <c r="E399" s="38" t="s">
        <v>852</v>
      </c>
      <c r="F399" s="37" t="s">
        <v>853</v>
      </c>
      <c r="G399" s="38" t="s">
        <v>70</v>
      </c>
      <c r="H399" s="37"/>
      <c r="I399" s="37"/>
      <c r="J399" s="37" t="s">
        <v>862</v>
      </c>
      <c r="K399" s="40"/>
      <c r="L399" s="38"/>
      <c r="M399" s="38"/>
      <c r="N399" s="37"/>
      <c r="O399" s="37"/>
      <c r="P399" s="37"/>
      <c r="Q399" s="37"/>
      <c r="R399" s="39"/>
      <c r="S399" s="37"/>
      <c r="T399" s="38" t="s">
        <v>293</v>
      </c>
    </row>
    <row r="400" ht="34.5">
      <c r="A400" s="38" t="s">
        <v>285</v>
      </c>
      <c r="B400" s="38" t="s">
        <v>286</v>
      </c>
      <c r="C400" s="38" t="s">
        <v>858</v>
      </c>
      <c r="D400" s="38" t="s">
        <v>288</v>
      </c>
      <c r="E400" s="38" t="s">
        <v>852</v>
      </c>
      <c r="F400" s="37" t="s">
        <v>853</v>
      </c>
      <c r="G400" s="38" t="s">
        <v>70</v>
      </c>
      <c r="H400" s="37"/>
      <c r="I400" s="37"/>
      <c r="J400" s="37" t="s">
        <v>863</v>
      </c>
      <c r="K400" s="40"/>
      <c r="L400" s="38"/>
      <c r="M400" s="38"/>
      <c r="N400" s="37"/>
      <c r="O400" s="37"/>
      <c r="P400" s="37"/>
      <c r="Q400" s="37"/>
      <c r="R400" s="39"/>
      <c r="S400" s="37"/>
      <c r="T400" s="38" t="s">
        <v>293</v>
      </c>
    </row>
    <row r="401" ht="34.5">
      <c r="A401" s="38" t="s">
        <v>285</v>
      </c>
      <c r="B401" s="38" t="s">
        <v>286</v>
      </c>
      <c r="C401" s="38" t="s">
        <v>858</v>
      </c>
      <c r="D401" s="38" t="s">
        <v>288</v>
      </c>
      <c r="E401" s="38" t="s">
        <v>852</v>
      </c>
      <c r="F401" s="37" t="s">
        <v>853</v>
      </c>
      <c r="G401" s="38" t="s">
        <v>70</v>
      </c>
      <c r="H401" s="37"/>
      <c r="I401" s="37"/>
      <c r="J401" s="37" t="s">
        <v>864</v>
      </c>
      <c r="K401" s="40"/>
      <c r="L401" s="38"/>
      <c r="M401" s="38"/>
      <c r="N401" s="37"/>
      <c r="O401" s="37"/>
      <c r="P401" s="37"/>
      <c r="Q401" s="37"/>
      <c r="R401" s="39"/>
      <c r="S401" s="37"/>
      <c r="T401" s="38" t="s">
        <v>293</v>
      </c>
    </row>
    <row r="402" ht="34.5">
      <c r="A402" s="38" t="s">
        <v>285</v>
      </c>
      <c r="B402" s="38" t="s">
        <v>286</v>
      </c>
      <c r="C402" s="38" t="s">
        <v>865</v>
      </c>
      <c r="D402" s="38" t="s">
        <v>288</v>
      </c>
      <c r="E402" s="38" t="s">
        <v>866</v>
      </c>
      <c r="F402" s="37" t="s">
        <v>867</v>
      </c>
      <c r="G402" s="38" t="s">
        <v>70</v>
      </c>
      <c r="H402" s="37"/>
      <c r="I402" s="37"/>
      <c r="J402" s="37" t="s">
        <v>868</v>
      </c>
      <c r="K402" s="40"/>
      <c r="L402" s="38"/>
      <c r="M402" s="38"/>
      <c r="N402" s="37"/>
      <c r="O402" s="37"/>
      <c r="P402" s="37"/>
      <c r="Q402" s="37"/>
      <c r="R402" s="39"/>
      <c r="S402" s="37"/>
      <c r="T402" s="38" t="s">
        <v>293</v>
      </c>
    </row>
    <row r="403" ht="34.5">
      <c r="A403" s="38" t="s">
        <v>285</v>
      </c>
      <c r="B403" s="38" t="s">
        <v>286</v>
      </c>
      <c r="C403" s="38" t="s">
        <v>865</v>
      </c>
      <c r="D403" s="38" t="s">
        <v>869</v>
      </c>
      <c r="E403" s="38" t="s">
        <v>866</v>
      </c>
      <c r="F403" s="37" t="s">
        <v>867</v>
      </c>
      <c r="G403" s="38" t="s">
        <v>70</v>
      </c>
      <c r="H403" s="37"/>
      <c r="I403" s="37"/>
      <c r="J403" s="37" t="s">
        <v>870</v>
      </c>
      <c r="K403" s="40"/>
      <c r="L403" s="38"/>
      <c r="M403" s="38"/>
      <c r="N403" s="37"/>
      <c r="O403" s="37"/>
      <c r="P403" s="37"/>
      <c r="Q403" s="37"/>
      <c r="R403" s="39"/>
      <c r="S403" s="37"/>
      <c r="T403" s="38" t="s">
        <v>293</v>
      </c>
    </row>
    <row r="404" ht="34.5">
      <c r="A404" s="38" t="s">
        <v>285</v>
      </c>
      <c r="B404" s="38" t="s">
        <v>286</v>
      </c>
      <c r="C404" s="38" t="s">
        <v>871</v>
      </c>
      <c r="D404" s="38" t="s">
        <v>288</v>
      </c>
      <c r="E404" s="38" t="s">
        <v>872</v>
      </c>
      <c r="F404" s="37" t="s">
        <v>873</v>
      </c>
      <c r="G404" s="38" t="s">
        <v>70</v>
      </c>
      <c r="H404" s="37"/>
      <c r="I404" s="37"/>
      <c r="J404" s="37" t="s">
        <v>874</v>
      </c>
      <c r="K404" s="40"/>
      <c r="L404" s="38"/>
      <c r="M404" s="38"/>
      <c r="N404" s="37"/>
      <c r="O404" s="37"/>
      <c r="P404" s="37"/>
      <c r="Q404" s="37"/>
      <c r="R404" s="39"/>
      <c r="S404" s="37"/>
      <c r="T404" s="38" t="s">
        <v>293</v>
      </c>
    </row>
    <row r="405" ht="34.5">
      <c r="A405" s="38" t="s">
        <v>285</v>
      </c>
      <c r="B405" s="38" t="s">
        <v>286</v>
      </c>
      <c r="C405" s="38" t="s">
        <v>871</v>
      </c>
      <c r="D405" s="38" t="s">
        <v>875</v>
      </c>
      <c r="E405" s="38" t="s">
        <v>872</v>
      </c>
      <c r="F405" s="37" t="s">
        <v>873</v>
      </c>
      <c r="G405" s="38" t="s">
        <v>70</v>
      </c>
      <c r="H405" s="37"/>
      <c r="I405" s="37"/>
      <c r="J405" s="37" t="s">
        <v>876</v>
      </c>
      <c r="K405" s="40"/>
      <c r="L405" s="38"/>
      <c r="M405" s="38"/>
      <c r="N405" s="37"/>
      <c r="O405" s="37"/>
      <c r="P405" s="37"/>
      <c r="Q405" s="37"/>
      <c r="R405" s="39"/>
      <c r="S405" s="37"/>
      <c r="T405" s="38" t="s">
        <v>293</v>
      </c>
    </row>
    <row r="406" ht="34.5">
      <c r="A406" s="38" t="s">
        <v>285</v>
      </c>
      <c r="B406" s="38" t="s">
        <v>286</v>
      </c>
      <c r="C406" s="38" t="s">
        <v>877</v>
      </c>
      <c r="D406" s="38" t="s">
        <v>288</v>
      </c>
      <c r="E406" s="38" t="s">
        <v>872</v>
      </c>
      <c r="F406" s="37" t="s">
        <v>873</v>
      </c>
      <c r="G406" s="38" t="s">
        <v>70</v>
      </c>
      <c r="H406" s="37"/>
      <c r="I406" s="37"/>
      <c r="J406" s="37" t="s">
        <v>878</v>
      </c>
      <c r="K406" s="40"/>
      <c r="L406" s="38"/>
      <c r="M406" s="38"/>
      <c r="N406" s="37"/>
      <c r="O406" s="37"/>
      <c r="P406" s="37"/>
      <c r="Q406" s="37"/>
      <c r="R406" s="39"/>
      <c r="S406" s="37"/>
      <c r="T406" s="38" t="s">
        <v>293</v>
      </c>
    </row>
    <row r="407" ht="34.5">
      <c r="A407" s="38" t="s">
        <v>285</v>
      </c>
      <c r="B407" s="38" t="s">
        <v>286</v>
      </c>
      <c r="C407" s="38" t="s">
        <v>877</v>
      </c>
      <c r="D407" s="38" t="s">
        <v>288</v>
      </c>
      <c r="E407" s="38" t="s">
        <v>872</v>
      </c>
      <c r="F407" s="37" t="s">
        <v>873</v>
      </c>
      <c r="G407" s="38" t="s">
        <v>70</v>
      </c>
      <c r="H407" s="37"/>
      <c r="I407" s="37"/>
      <c r="J407" s="37" t="s">
        <v>879</v>
      </c>
      <c r="K407" s="40"/>
      <c r="L407" s="38"/>
      <c r="M407" s="38"/>
      <c r="N407" s="37"/>
      <c r="O407" s="37"/>
      <c r="P407" s="37"/>
      <c r="Q407" s="37"/>
      <c r="R407" s="39"/>
      <c r="S407" s="37"/>
      <c r="T407" s="38" t="s">
        <v>293</v>
      </c>
    </row>
    <row r="408" ht="34.5">
      <c r="A408" s="38" t="s">
        <v>285</v>
      </c>
      <c r="B408" s="38" t="s">
        <v>286</v>
      </c>
      <c r="C408" s="38" t="s">
        <v>877</v>
      </c>
      <c r="D408" s="38" t="s">
        <v>288</v>
      </c>
      <c r="E408" s="38" t="s">
        <v>872</v>
      </c>
      <c r="F408" s="37" t="s">
        <v>873</v>
      </c>
      <c r="G408" s="38" t="s">
        <v>70</v>
      </c>
      <c r="H408" s="37"/>
      <c r="I408" s="37"/>
      <c r="J408" s="37" t="s">
        <v>880</v>
      </c>
      <c r="K408" s="40"/>
      <c r="L408" s="38"/>
      <c r="M408" s="38"/>
      <c r="N408" s="37"/>
      <c r="O408" s="37"/>
      <c r="P408" s="37"/>
      <c r="Q408" s="37"/>
      <c r="R408" s="39"/>
      <c r="S408" s="37"/>
      <c r="T408" s="38" t="s">
        <v>293</v>
      </c>
    </row>
    <row r="409" ht="34.5">
      <c r="A409" s="38" t="s">
        <v>285</v>
      </c>
      <c r="B409" s="38" t="s">
        <v>286</v>
      </c>
      <c r="C409" s="38" t="s">
        <v>877</v>
      </c>
      <c r="D409" s="38" t="s">
        <v>881</v>
      </c>
      <c r="E409" s="38" t="s">
        <v>872</v>
      </c>
      <c r="F409" s="37" t="s">
        <v>873</v>
      </c>
      <c r="G409" s="38" t="s">
        <v>70</v>
      </c>
      <c r="H409" s="37"/>
      <c r="I409" s="37"/>
      <c r="J409" s="37" t="s">
        <v>882</v>
      </c>
      <c r="K409" s="40"/>
      <c r="L409" s="38"/>
      <c r="M409" s="38"/>
      <c r="N409" s="37"/>
      <c r="O409" s="37"/>
      <c r="P409" s="37"/>
      <c r="Q409" s="37"/>
      <c r="R409" s="39"/>
      <c r="S409" s="37"/>
      <c r="T409" s="38" t="s">
        <v>293</v>
      </c>
    </row>
    <row r="410" ht="34.5">
      <c r="A410" s="38" t="s">
        <v>285</v>
      </c>
      <c r="B410" s="38" t="s">
        <v>286</v>
      </c>
      <c r="C410" s="38" t="s">
        <v>877</v>
      </c>
      <c r="D410" s="38" t="s">
        <v>288</v>
      </c>
      <c r="E410" s="38" t="s">
        <v>872</v>
      </c>
      <c r="F410" s="37" t="s">
        <v>873</v>
      </c>
      <c r="G410" s="38" t="s">
        <v>70</v>
      </c>
      <c r="H410" s="37"/>
      <c r="I410" s="37"/>
      <c r="J410" s="37" t="s">
        <v>883</v>
      </c>
      <c r="K410" s="40"/>
      <c r="L410" s="38"/>
      <c r="M410" s="38"/>
      <c r="N410" s="37"/>
      <c r="O410" s="37"/>
      <c r="P410" s="37"/>
      <c r="Q410" s="37"/>
      <c r="R410" s="39"/>
      <c r="S410" s="37"/>
      <c r="T410" s="38" t="s">
        <v>293</v>
      </c>
    </row>
    <row r="411" ht="34.5">
      <c r="A411" s="38" t="s">
        <v>884</v>
      </c>
      <c r="B411" s="38" t="s">
        <v>885</v>
      </c>
      <c r="C411" s="38" t="s">
        <v>886</v>
      </c>
      <c r="D411" s="38" t="s">
        <v>288</v>
      </c>
      <c r="E411" s="38" t="s">
        <v>887</v>
      </c>
      <c r="F411" s="37" t="s">
        <v>888</v>
      </c>
      <c r="G411" s="38" t="s">
        <v>889</v>
      </c>
      <c r="H411" s="37"/>
      <c r="I411" s="37"/>
      <c r="J411" s="37" t="s">
        <v>890</v>
      </c>
      <c r="K411" s="40"/>
      <c r="L411" s="38"/>
      <c r="M411" s="38"/>
      <c r="N411" s="37"/>
      <c r="O411" s="37"/>
      <c r="P411" s="37"/>
      <c r="Q411" s="37"/>
      <c r="R411" s="39"/>
      <c r="S411" s="37"/>
      <c r="T411" s="38" t="s">
        <v>293</v>
      </c>
    </row>
    <row r="412" ht="34.5">
      <c r="A412" s="38" t="s">
        <v>884</v>
      </c>
      <c r="B412" s="38" t="s">
        <v>885</v>
      </c>
      <c r="C412" s="38" t="s">
        <v>886</v>
      </c>
      <c r="D412" s="38" t="s">
        <v>288</v>
      </c>
      <c r="E412" s="38" t="s">
        <v>887</v>
      </c>
      <c r="F412" s="37" t="s">
        <v>888</v>
      </c>
      <c r="G412" s="38" t="s">
        <v>889</v>
      </c>
      <c r="H412" s="37"/>
      <c r="I412" s="37"/>
      <c r="J412" s="37" t="s">
        <v>891</v>
      </c>
      <c r="K412" s="40"/>
      <c r="L412" s="38"/>
      <c r="M412" s="38"/>
      <c r="N412" s="37"/>
      <c r="O412" s="37"/>
      <c r="P412" s="37"/>
      <c r="Q412" s="37"/>
      <c r="R412" s="39"/>
      <c r="S412" s="37"/>
      <c r="T412" s="38" t="s">
        <v>293</v>
      </c>
    </row>
    <row r="413" ht="34.5">
      <c r="A413" s="38" t="s">
        <v>884</v>
      </c>
      <c r="B413" s="38" t="s">
        <v>885</v>
      </c>
      <c r="C413" s="38" t="s">
        <v>886</v>
      </c>
      <c r="D413" s="38" t="s">
        <v>892</v>
      </c>
      <c r="E413" s="38" t="s">
        <v>887</v>
      </c>
      <c r="F413" s="37" t="s">
        <v>888</v>
      </c>
      <c r="G413" s="38" t="s">
        <v>889</v>
      </c>
      <c r="H413" s="37"/>
      <c r="I413" s="37"/>
      <c r="J413" s="37" t="s">
        <v>893</v>
      </c>
      <c r="K413" s="40"/>
      <c r="L413" s="38"/>
      <c r="M413" s="38"/>
      <c r="N413" s="37"/>
      <c r="O413" s="37"/>
      <c r="P413" s="37"/>
      <c r="Q413" s="37"/>
      <c r="R413" s="39"/>
      <c r="S413" s="37"/>
      <c r="T413" s="38" t="s">
        <v>293</v>
      </c>
    </row>
    <row r="414" ht="34.5">
      <c r="A414" s="38" t="s">
        <v>884</v>
      </c>
      <c r="B414" s="38" t="s">
        <v>885</v>
      </c>
      <c r="C414" s="38" t="s">
        <v>886</v>
      </c>
      <c r="D414" s="38" t="s">
        <v>288</v>
      </c>
      <c r="E414" s="38" t="s">
        <v>887</v>
      </c>
      <c r="F414" s="37" t="s">
        <v>888</v>
      </c>
      <c r="G414" s="38" t="s">
        <v>889</v>
      </c>
      <c r="H414" s="37"/>
      <c r="I414" s="37"/>
      <c r="J414" s="37" t="s">
        <v>894</v>
      </c>
      <c r="K414" s="40"/>
      <c r="L414" s="38"/>
      <c r="M414" s="38"/>
      <c r="N414" s="37"/>
      <c r="O414" s="37"/>
      <c r="P414" s="37"/>
      <c r="Q414" s="37"/>
      <c r="R414" s="39"/>
      <c r="S414" s="37"/>
      <c r="T414" s="38" t="s">
        <v>293</v>
      </c>
    </row>
    <row r="415" ht="34.5">
      <c r="A415" s="38" t="s">
        <v>884</v>
      </c>
      <c r="B415" s="38" t="s">
        <v>885</v>
      </c>
      <c r="C415" s="38" t="s">
        <v>886</v>
      </c>
      <c r="D415" s="38" t="s">
        <v>288</v>
      </c>
      <c r="E415" s="38" t="s">
        <v>887</v>
      </c>
      <c r="F415" s="37" t="s">
        <v>888</v>
      </c>
      <c r="G415" s="38" t="s">
        <v>889</v>
      </c>
      <c r="H415" s="37"/>
      <c r="I415" s="37"/>
      <c r="J415" s="37" t="s">
        <v>895</v>
      </c>
      <c r="K415" s="40"/>
      <c r="L415" s="38"/>
      <c r="M415" s="38"/>
      <c r="N415" s="37"/>
      <c r="O415" s="37"/>
      <c r="P415" s="37"/>
      <c r="Q415" s="37"/>
      <c r="R415" s="39"/>
      <c r="S415" s="37"/>
      <c r="T415" s="38" t="s">
        <v>293</v>
      </c>
    </row>
    <row r="416" ht="34.5">
      <c r="A416" s="38" t="s">
        <v>884</v>
      </c>
      <c r="B416" s="38" t="s">
        <v>885</v>
      </c>
      <c r="C416" s="38" t="s">
        <v>886</v>
      </c>
      <c r="D416" s="38" t="s">
        <v>288</v>
      </c>
      <c r="E416" s="38" t="s">
        <v>887</v>
      </c>
      <c r="F416" s="37" t="s">
        <v>888</v>
      </c>
      <c r="G416" s="38" t="s">
        <v>889</v>
      </c>
      <c r="H416" s="37"/>
      <c r="I416" s="37"/>
      <c r="J416" s="37" t="s">
        <v>896</v>
      </c>
      <c r="K416" s="40"/>
      <c r="L416" s="38"/>
      <c r="M416" s="38"/>
      <c r="N416" s="37"/>
      <c r="O416" s="37"/>
      <c r="P416" s="37"/>
      <c r="Q416" s="37"/>
      <c r="R416" s="39"/>
      <c r="S416" s="37"/>
      <c r="T416" s="38" t="s">
        <v>293</v>
      </c>
    </row>
    <row r="417" ht="34.5">
      <c r="A417" s="38" t="s">
        <v>884</v>
      </c>
      <c r="B417" s="38" t="s">
        <v>885</v>
      </c>
      <c r="C417" s="38" t="s">
        <v>897</v>
      </c>
      <c r="D417" s="38" t="s">
        <v>288</v>
      </c>
      <c r="E417" s="38" t="s">
        <v>887</v>
      </c>
      <c r="F417" s="37" t="s">
        <v>888</v>
      </c>
      <c r="G417" s="38" t="s">
        <v>889</v>
      </c>
      <c r="H417" s="37"/>
      <c r="I417" s="37"/>
      <c r="J417" s="37" t="s">
        <v>898</v>
      </c>
      <c r="K417" s="40"/>
      <c r="L417" s="38"/>
      <c r="M417" s="38"/>
      <c r="N417" s="37"/>
      <c r="O417" s="37"/>
      <c r="P417" s="37"/>
      <c r="Q417" s="37"/>
      <c r="R417" s="39"/>
      <c r="S417" s="37"/>
      <c r="T417" s="38" t="s">
        <v>293</v>
      </c>
    </row>
    <row r="418" ht="34.5">
      <c r="A418" s="38" t="s">
        <v>884</v>
      </c>
      <c r="B418" s="38" t="s">
        <v>885</v>
      </c>
      <c r="C418" s="38" t="s">
        <v>897</v>
      </c>
      <c r="D418" s="38" t="s">
        <v>899</v>
      </c>
      <c r="E418" s="38" t="s">
        <v>887</v>
      </c>
      <c r="F418" s="37" t="s">
        <v>888</v>
      </c>
      <c r="G418" s="38" t="s">
        <v>889</v>
      </c>
      <c r="H418" s="37"/>
      <c r="I418" s="37"/>
      <c r="J418" s="37" t="s">
        <v>900</v>
      </c>
      <c r="K418" s="40"/>
      <c r="L418" s="38"/>
      <c r="M418" s="38"/>
      <c r="N418" s="37"/>
      <c r="O418" s="37"/>
      <c r="P418" s="37"/>
      <c r="Q418" s="37"/>
      <c r="R418" s="39"/>
      <c r="S418" s="37"/>
      <c r="T418" s="38" t="s">
        <v>293</v>
      </c>
    </row>
    <row r="419" ht="34.5">
      <c r="A419" s="38" t="s">
        <v>884</v>
      </c>
      <c r="B419" s="38" t="s">
        <v>885</v>
      </c>
      <c r="C419" s="38" t="s">
        <v>901</v>
      </c>
      <c r="D419" s="38" t="s">
        <v>288</v>
      </c>
      <c r="E419" s="38" t="s">
        <v>887</v>
      </c>
      <c r="F419" s="37" t="s">
        <v>888</v>
      </c>
      <c r="G419" s="38" t="s">
        <v>889</v>
      </c>
      <c r="H419" s="37"/>
      <c r="I419" s="37"/>
      <c r="J419" s="37" t="s">
        <v>902</v>
      </c>
      <c r="K419" s="40"/>
      <c r="L419" s="38"/>
      <c r="M419" s="38"/>
      <c r="N419" s="37"/>
      <c r="O419" s="37"/>
      <c r="P419" s="37"/>
      <c r="Q419" s="37"/>
      <c r="R419" s="39"/>
      <c r="S419" s="37"/>
      <c r="T419" s="38" t="s">
        <v>293</v>
      </c>
    </row>
    <row r="420" ht="34.5">
      <c r="A420" s="38" t="s">
        <v>884</v>
      </c>
      <c r="B420" s="38" t="s">
        <v>885</v>
      </c>
      <c r="C420" s="38" t="s">
        <v>901</v>
      </c>
      <c r="D420" s="38" t="s">
        <v>288</v>
      </c>
      <c r="E420" s="38" t="s">
        <v>887</v>
      </c>
      <c r="F420" s="37" t="s">
        <v>888</v>
      </c>
      <c r="G420" s="38" t="s">
        <v>889</v>
      </c>
      <c r="H420" s="37"/>
      <c r="I420" s="37"/>
      <c r="J420" s="37" t="s">
        <v>903</v>
      </c>
      <c r="K420" s="40"/>
      <c r="L420" s="38"/>
      <c r="M420" s="38"/>
      <c r="N420" s="37"/>
      <c r="O420" s="37"/>
      <c r="P420" s="37"/>
      <c r="Q420" s="37"/>
      <c r="R420" s="39"/>
      <c r="S420" s="37"/>
      <c r="T420" s="38" t="s">
        <v>293</v>
      </c>
    </row>
    <row r="421" ht="34.5">
      <c r="A421" s="38" t="s">
        <v>884</v>
      </c>
      <c r="B421" s="38" t="s">
        <v>885</v>
      </c>
      <c r="C421" s="38" t="s">
        <v>901</v>
      </c>
      <c r="D421" s="38" t="s">
        <v>288</v>
      </c>
      <c r="E421" s="38" t="s">
        <v>887</v>
      </c>
      <c r="F421" s="37" t="s">
        <v>888</v>
      </c>
      <c r="G421" s="38" t="s">
        <v>889</v>
      </c>
      <c r="H421" s="37"/>
      <c r="I421" s="37"/>
      <c r="J421" s="37" t="s">
        <v>904</v>
      </c>
      <c r="K421" s="40"/>
      <c r="L421" s="38"/>
      <c r="M421" s="38"/>
      <c r="N421" s="37"/>
      <c r="O421" s="37"/>
      <c r="P421" s="37"/>
      <c r="Q421" s="37"/>
      <c r="R421" s="39"/>
      <c r="S421" s="37"/>
      <c r="T421" s="38" t="s">
        <v>293</v>
      </c>
    </row>
    <row r="422" ht="34.5">
      <c r="A422" s="38" t="s">
        <v>884</v>
      </c>
      <c r="B422" s="38" t="s">
        <v>885</v>
      </c>
      <c r="C422" s="38" t="s">
        <v>901</v>
      </c>
      <c r="D422" s="38" t="s">
        <v>905</v>
      </c>
      <c r="E422" s="38" t="s">
        <v>887</v>
      </c>
      <c r="F422" s="37" t="s">
        <v>888</v>
      </c>
      <c r="G422" s="38" t="s">
        <v>889</v>
      </c>
      <c r="H422" s="37"/>
      <c r="I422" s="37"/>
      <c r="J422" s="37" t="s">
        <v>906</v>
      </c>
      <c r="K422" s="40"/>
      <c r="L422" s="38"/>
      <c r="M422" s="38"/>
      <c r="N422" s="37"/>
      <c r="O422" s="37"/>
      <c r="P422" s="37"/>
      <c r="Q422" s="37"/>
      <c r="R422" s="39"/>
      <c r="S422" s="37"/>
      <c r="T422" s="38" t="s">
        <v>293</v>
      </c>
    </row>
    <row r="423" ht="34.5">
      <c r="A423" s="38" t="s">
        <v>884</v>
      </c>
      <c r="B423" s="38" t="s">
        <v>885</v>
      </c>
      <c r="C423" s="38" t="s">
        <v>907</v>
      </c>
      <c r="D423" s="38" t="s">
        <v>288</v>
      </c>
      <c r="E423" s="38" t="s">
        <v>887</v>
      </c>
      <c r="F423" s="37" t="s">
        <v>888</v>
      </c>
      <c r="G423" s="38" t="s">
        <v>889</v>
      </c>
      <c r="H423" s="37"/>
      <c r="I423" s="37"/>
      <c r="J423" s="37" t="s">
        <v>908</v>
      </c>
      <c r="K423" s="40"/>
      <c r="L423" s="38"/>
      <c r="M423" s="38"/>
      <c r="N423" s="37"/>
      <c r="O423" s="37"/>
      <c r="P423" s="37"/>
      <c r="Q423" s="37"/>
      <c r="R423" s="39"/>
      <c r="S423" s="37"/>
      <c r="T423" s="38" t="s">
        <v>293</v>
      </c>
    </row>
    <row r="424" ht="34.5">
      <c r="A424" s="38" t="s">
        <v>884</v>
      </c>
      <c r="B424" s="38" t="s">
        <v>885</v>
      </c>
      <c r="C424" s="38" t="s">
        <v>907</v>
      </c>
      <c r="D424" s="38" t="s">
        <v>288</v>
      </c>
      <c r="E424" s="38" t="s">
        <v>887</v>
      </c>
      <c r="F424" s="37" t="s">
        <v>888</v>
      </c>
      <c r="G424" s="38" t="s">
        <v>889</v>
      </c>
      <c r="H424" s="37"/>
      <c r="I424" s="37"/>
      <c r="J424" s="37" t="s">
        <v>909</v>
      </c>
      <c r="K424" s="40"/>
      <c r="L424" s="38"/>
      <c r="M424" s="38"/>
      <c r="N424" s="37"/>
      <c r="O424" s="37"/>
      <c r="P424" s="37"/>
      <c r="Q424" s="37"/>
      <c r="R424" s="39"/>
      <c r="S424" s="37"/>
      <c r="T424" s="38" t="s">
        <v>293</v>
      </c>
    </row>
    <row r="425" ht="34.5">
      <c r="A425" s="38" t="s">
        <v>884</v>
      </c>
      <c r="B425" s="38" t="s">
        <v>885</v>
      </c>
      <c r="C425" s="38" t="s">
        <v>907</v>
      </c>
      <c r="D425" s="38" t="s">
        <v>310</v>
      </c>
      <c r="E425" s="38" t="s">
        <v>887</v>
      </c>
      <c r="F425" s="37" t="s">
        <v>888</v>
      </c>
      <c r="G425" s="38" t="s">
        <v>889</v>
      </c>
      <c r="H425" s="37"/>
      <c r="I425" s="37"/>
      <c r="J425" s="37" t="s">
        <v>311</v>
      </c>
      <c r="K425" s="40"/>
      <c r="L425" s="38"/>
      <c r="M425" s="38"/>
      <c r="N425" s="37"/>
      <c r="O425" s="37"/>
      <c r="P425" s="37"/>
      <c r="Q425" s="37"/>
      <c r="R425" s="39"/>
      <c r="S425" s="37"/>
      <c r="T425" s="38" t="s">
        <v>293</v>
      </c>
    </row>
    <row r="426" ht="34.5">
      <c r="A426" s="38" t="s">
        <v>884</v>
      </c>
      <c r="B426" s="38" t="s">
        <v>885</v>
      </c>
      <c r="C426" s="38" t="s">
        <v>907</v>
      </c>
      <c r="D426" s="38" t="s">
        <v>288</v>
      </c>
      <c r="E426" s="38" t="s">
        <v>887</v>
      </c>
      <c r="F426" s="37" t="s">
        <v>888</v>
      </c>
      <c r="G426" s="38" t="s">
        <v>889</v>
      </c>
      <c r="H426" s="37"/>
      <c r="I426" s="37"/>
      <c r="J426" s="37" t="s">
        <v>910</v>
      </c>
      <c r="K426" s="40"/>
      <c r="L426" s="38"/>
      <c r="M426" s="38"/>
      <c r="N426" s="37"/>
      <c r="O426" s="37"/>
      <c r="P426" s="37"/>
      <c r="Q426" s="37"/>
      <c r="R426" s="39"/>
      <c r="S426" s="37"/>
      <c r="T426" s="38" t="s">
        <v>293</v>
      </c>
    </row>
    <row r="427" ht="34.5">
      <c r="A427" s="38" t="s">
        <v>884</v>
      </c>
      <c r="B427" s="38" t="s">
        <v>885</v>
      </c>
      <c r="C427" s="38" t="s">
        <v>907</v>
      </c>
      <c r="D427" s="38" t="s">
        <v>288</v>
      </c>
      <c r="E427" s="38" t="s">
        <v>887</v>
      </c>
      <c r="F427" s="37" t="s">
        <v>888</v>
      </c>
      <c r="G427" s="38" t="s">
        <v>889</v>
      </c>
      <c r="H427" s="37"/>
      <c r="I427" s="37"/>
      <c r="J427" s="37" t="s">
        <v>911</v>
      </c>
      <c r="K427" s="40"/>
      <c r="L427" s="38"/>
      <c r="M427" s="38"/>
      <c r="N427" s="37"/>
      <c r="O427" s="37"/>
      <c r="P427" s="37"/>
      <c r="Q427" s="37"/>
      <c r="R427" s="39"/>
      <c r="S427" s="37"/>
      <c r="T427" s="38" t="s">
        <v>293</v>
      </c>
    </row>
    <row r="428" ht="34.5">
      <c r="A428" s="38" t="s">
        <v>884</v>
      </c>
      <c r="B428" s="38" t="s">
        <v>885</v>
      </c>
      <c r="C428" s="38" t="s">
        <v>907</v>
      </c>
      <c r="D428" s="38" t="s">
        <v>288</v>
      </c>
      <c r="E428" s="38" t="s">
        <v>887</v>
      </c>
      <c r="F428" s="37" t="s">
        <v>888</v>
      </c>
      <c r="G428" s="38" t="s">
        <v>889</v>
      </c>
      <c r="H428" s="37"/>
      <c r="I428" s="37"/>
      <c r="J428" s="37" t="s">
        <v>312</v>
      </c>
      <c r="K428" s="40"/>
      <c r="L428" s="38"/>
      <c r="M428" s="38"/>
      <c r="N428" s="37"/>
      <c r="O428" s="37"/>
      <c r="P428" s="37"/>
      <c r="Q428" s="37"/>
      <c r="R428" s="39"/>
      <c r="S428" s="37"/>
      <c r="T428" s="38" t="s">
        <v>293</v>
      </c>
    </row>
    <row r="429" ht="34.5">
      <c r="A429" s="38" t="s">
        <v>884</v>
      </c>
      <c r="B429" s="38" t="s">
        <v>885</v>
      </c>
      <c r="C429" s="38" t="s">
        <v>287</v>
      </c>
      <c r="D429" s="38" t="s">
        <v>288</v>
      </c>
      <c r="E429" s="38" t="s">
        <v>887</v>
      </c>
      <c r="F429" s="37" t="s">
        <v>888</v>
      </c>
      <c r="G429" s="38" t="s">
        <v>889</v>
      </c>
      <c r="H429" s="37"/>
      <c r="I429" s="37"/>
      <c r="J429" s="37" t="s">
        <v>313</v>
      </c>
      <c r="K429" s="40"/>
      <c r="L429" s="38"/>
      <c r="M429" s="38"/>
      <c r="N429" s="37"/>
      <c r="O429" s="37"/>
      <c r="P429" s="37"/>
      <c r="Q429" s="37"/>
      <c r="R429" s="39"/>
      <c r="S429" s="37"/>
      <c r="T429" s="38" t="s">
        <v>293</v>
      </c>
    </row>
    <row r="430" ht="34.5">
      <c r="A430" s="38" t="s">
        <v>884</v>
      </c>
      <c r="B430" s="38" t="s">
        <v>885</v>
      </c>
      <c r="C430" s="38" t="s">
        <v>287</v>
      </c>
      <c r="D430" s="38" t="s">
        <v>288</v>
      </c>
      <c r="E430" s="38" t="s">
        <v>315</v>
      </c>
      <c r="F430" s="37" t="s">
        <v>912</v>
      </c>
      <c r="G430" s="38" t="s">
        <v>317</v>
      </c>
      <c r="H430" s="37"/>
      <c r="I430" s="37"/>
      <c r="J430" s="37" t="s">
        <v>318</v>
      </c>
      <c r="K430" s="40"/>
      <c r="L430" s="38"/>
      <c r="M430" s="38"/>
      <c r="N430" s="37"/>
      <c r="O430" s="37"/>
      <c r="P430" s="37"/>
      <c r="Q430" s="37"/>
      <c r="R430" s="39"/>
      <c r="S430" s="37"/>
      <c r="T430" s="38" t="s">
        <v>293</v>
      </c>
    </row>
    <row r="431" ht="34.5">
      <c r="A431" s="38" t="s">
        <v>884</v>
      </c>
      <c r="B431" s="38" t="s">
        <v>885</v>
      </c>
      <c r="C431" s="38" t="s">
        <v>287</v>
      </c>
      <c r="D431" s="38" t="s">
        <v>319</v>
      </c>
      <c r="E431" s="38" t="s">
        <v>315</v>
      </c>
      <c r="F431" s="37" t="s">
        <v>912</v>
      </c>
      <c r="G431" s="38" t="s">
        <v>317</v>
      </c>
      <c r="H431" s="37"/>
      <c r="I431" s="37"/>
      <c r="J431" s="37" t="s">
        <v>320</v>
      </c>
      <c r="K431" s="40"/>
      <c r="L431" s="38"/>
      <c r="M431" s="38"/>
      <c r="N431" s="37"/>
      <c r="O431" s="37"/>
      <c r="P431" s="37"/>
      <c r="Q431" s="37"/>
      <c r="R431" s="39"/>
      <c r="S431" s="37"/>
      <c r="T431" s="38" t="s">
        <v>293</v>
      </c>
    </row>
    <row r="432" ht="34.5">
      <c r="A432" s="38" t="s">
        <v>884</v>
      </c>
      <c r="B432" s="38" t="s">
        <v>885</v>
      </c>
      <c r="C432" s="38" t="s">
        <v>287</v>
      </c>
      <c r="D432" s="38" t="s">
        <v>288</v>
      </c>
      <c r="E432" s="38" t="s">
        <v>315</v>
      </c>
      <c r="F432" s="37" t="s">
        <v>912</v>
      </c>
      <c r="G432" s="38" t="s">
        <v>317</v>
      </c>
      <c r="H432" s="37"/>
      <c r="I432" s="37"/>
      <c r="J432" s="37" t="s">
        <v>321</v>
      </c>
      <c r="K432" s="40"/>
      <c r="L432" s="38"/>
      <c r="M432" s="38"/>
      <c r="N432" s="37"/>
      <c r="O432" s="37"/>
      <c r="P432" s="37"/>
      <c r="Q432" s="37"/>
      <c r="R432" s="39"/>
      <c r="S432" s="37"/>
      <c r="T432" s="38" t="s">
        <v>293</v>
      </c>
    </row>
    <row r="433" ht="34.5">
      <c r="A433" s="38" t="s">
        <v>884</v>
      </c>
      <c r="B433" s="38" t="s">
        <v>885</v>
      </c>
      <c r="C433" s="38" t="s">
        <v>287</v>
      </c>
      <c r="D433" s="38" t="s">
        <v>288</v>
      </c>
      <c r="E433" s="38" t="s">
        <v>315</v>
      </c>
      <c r="F433" s="37" t="s">
        <v>912</v>
      </c>
      <c r="G433" s="38" t="s">
        <v>317</v>
      </c>
      <c r="H433" s="37"/>
      <c r="I433" s="37"/>
      <c r="J433" s="37" t="s">
        <v>913</v>
      </c>
      <c r="K433" s="40">
        <v>52506484</v>
      </c>
      <c r="L433" s="38" t="s">
        <v>297</v>
      </c>
      <c r="M433" s="38"/>
      <c r="N433" s="37"/>
      <c r="O433" s="37"/>
      <c r="P433" s="37"/>
      <c r="Q433" s="37"/>
      <c r="R433" s="39"/>
      <c r="S433" s="37"/>
      <c r="T433" s="38" t="s">
        <v>293</v>
      </c>
    </row>
    <row r="434" ht="34.5">
      <c r="A434" s="38" t="s">
        <v>884</v>
      </c>
      <c r="B434" s="38" t="s">
        <v>885</v>
      </c>
      <c r="C434" s="38" t="s">
        <v>287</v>
      </c>
      <c r="D434" s="38" t="s">
        <v>288</v>
      </c>
      <c r="E434" s="38" t="s">
        <v>323</v>
      </c>
      <c r="F434" s="37" t="s">
        <v>324</v>
      </c>
      <c r="G434" s="38" t="s">
        <v>188</v>
      </c>
      <c r="H434" s="37"/>
      <c r="I434" s="37"/>
      <c r="J434" s="37" t="s">
        <v>325</v>
      </c>
      <c r="K434" s="40"/>
      <c r="L434" s="38"/>
      <c r="M434" s="38"/>
      <c r="N434" s="37"/>
      <c r="O434" s="37"/>
      <c r="P434" s="37"/>
      <c r="Q434" s="37"/>
      <c r="R434" s="39"/>
      <c r="S434" s="37"/>
      <c r="T434" s="38" t="s">
        <v>293</v>
      </c>
    </row>
    <row r="435" ht="34.5">
      <c r="A435" s="38" t="s">
        <v>884</v>
      </c>
      <c r="B435" s="38" t="s">
        <v>885</v>
      </c>
      <c r="C435" s="38" t="s">
        <v>287</v>
      </c>
      <c r="D435" s="38" t="s">
        <v>326</v>
      </c>
      <c r="E435" s="38" t="s">
        <v>323</v>
      </c>
      <c r="F435" s="37" t="s">
        <v>324</v>
      </c>
      <c r="G435" s="38" t="s">
        <v>188</v>
      </c>
      <c r="H435" s="37"/>
      <c r="I435" s="37"/>
      <c r="J435" s="37" t="s">
        <v>327</v>
      </c>
      <c r="K435" s="40"/>
      <c r="L435" s="38"/>
      <c r="M435" s="38"/>
      <c r="N435" s="37"/>
      <c r="O435" s="37"/>
      <c r="P435" s="37"/>
      <c r="Q435" s="37"/>
      <c r="R435" s="39"/>
      <c r="S435" s="37"/>
      <c r="T435" s="38" t="s">
        <v>293</v>
      </c>
    </row>
    <row r="436" ht="34.5">
      <c r="A436" s="38" t="s">
        <v>884</v>
      </c>
      <c r="B436" s="38" t="s">
        <v>885</v>
      </c>
      <c r="C436" s="38" t="s">
        <v>301</v>
      </c>
      <c r="D436" s="38" t="s">
        <v>288</v>
      </c>
      <c r="E436" s="38" t="s">
        <v>323</v>
      </c>
      <c r="F436" s="37" t="s">
        <v>324</v>
      </c>
      <c r="G436" s="38" t="s">
        <v>188</v>
      </c>
      <c r="H436" s="37"/>
      <c r="I436" s="37"/>
      <c r="J436" s="37" t="s">
        <v>328</v>
      </c>
      <c r="K436" s="40"/>
      <c r="L436" s="38"/>
      <c r="M436" s="38"/>
      <c r="N436" s="37"/>
      <c r="O436" s="37"/>
      <c r="P436" s="37"/>
      <c r="Q436" s="37"/>
      <c r="R436" s="39"/>
      <c r="S436" s="37"/>
      <c r="T436" s="38" t="s">
        <v>293</v>
      </c>
    </row>
    <row r="437" ht="34.5">
      <c r="A437" s="38" t="s">
        <v>884</v>
      </c>
      <c r="B437" s="38" t="s">
        <v>885</v>
      </c>
      <c r="C437" s="38" t="s">
        <v>301</v>
      </c>
      <c r="D437" s="38" t="s">
        <v>288</v>
      </c>
      <c r="E437" s="38" t="s">
        <v>323</v>
      </c>
      <c r="F437" s="37" t="s">
        <v>324</v>
      </c>
      <c r="G437" s="38" t="s">
        <v>188</v>
      </c>
      <c r="H437" s="37"/>
      <c r="I437" s="37"/>
      <c r="J437" s="37" t="s">
        <v>330</v>
      </c>
      <c r="K437" s="40"/>
      <c r="L437" s="38"/>
      <c r="M437" s="38"/>
      <c r="N437" s="37"/>
      <c r="O437" s="37"/>
      <c r="P437" s="37"/>
      <c r="Q437" s="37"/>
      <c r="R437" s="39"/>
      <c r="S437" s="37"/>
      <c r="T437" s="38" t="s">
        <v>293</v>
      </c>
    </row>
    <row r="438" ht="34.5">
      <c r="A438" s="38" t="s">
        <v>884</v>
      </c>
      <c r="B438" s="38" t="s">
        <v>885</v>
      </c>
      <c r="C438" s="38" t="s">
        <v>301</v>
      </c>
      <c r="D438" s="38" t="s">
        <v>331</v>
      </c>
      <c r="E438" s="38" t="s">
        <v>323</v>
      </c>
      <c r="F438" s="37" t="s">
        <v>324</v>
      </c>
      <c r="G438" s="38" t="s">
        <v>188</v>
      </c>
      <c r="H438" s="37"/>
      <c r="I438" s="37"/>
      <c r="J438" s="37" t="s">
        <v>914</v>
      </c>
      <c r="K438" s="40"/>
      <c r="L438" s="38"/>
      <c r="M438" s="38"/>
      <c r="N438" s="37"/>
      <c r="O438" s="37"/>
      <c r="P438" s="37"/>
      <c r="Q438" s="37"/>
      <c r="R438" s="39"/>
      <c r="S438" s="37"/>
      <c r="T438" s="38" t="s">
        <v>293</v>
      </c>
    </row>
    <row r="439" ht="34.5">
      <c r="A439" s="38" t="s">
        <v>884</v>
      </c>
      <c r="B439" s="38" t="s">
        <v>885</v>
      </c>
      <c r="C439" s="38" t="s">
        <v>308</v>
      </c>
      <c r="D439" s="38" t="s">
        <v>288</v>
      </c>
      <c r="E439" s="38" t="s">
        <v>915</v>
      </c>
      <c r="F439" s="37" t="s">
        <v>916</v>
      </c>
      <c r="G439" s="38" t="s">
        <v>451</v>
      </c>
      <c r="H439" s="37"/>
      <c r="I439" s="37"/>
      <c r="J439" s="37" t="s">
        <v>334</v>
      </c>
      <c r="K439" s="40"/>
      <c r="L439" s="38"/>
      <c r="M439" s="38"/>
      <c r="N439" s="37"/>
      <c r="O439" s="37"/>
      <c r="P439" s="37"/>
      <c r="Q439" s="37"/>
      <c r="R439" s="39"/>
      <c r="S439" s="37"/>
      <c r="T439" s="38" t="s">
        <v>293</v>
      </c>
    </row>
    <row r="440" ht="34.5">
      <c r="A440" s="38" t="s">
        <v>884</v>
      </c>
      <c r="B440" s="38" t="s">
        <v>885</v>
      </c>
      <c r="C440" s="38" t="s">
        <v>308</v>
      </c>
      <c r="D440" s="38" t="s">
        <v>342</v>
      </c>
      <c r="E440" s="38" t="s">
        <v>915</v>
      </c>
      <c r="F440" s="37" t="s">
        <v>916</v>
      </c>
      <c r="G440" s="38" t="s">
        <v>451</v>
      </c>
      <c r="H440" s="37"/>
      <c r="I440" s="37"/>
      <c r="J440" s="37" t="s">
        <v>343</v>
      </c>
      <c r="K440" s="40"/>
      <c r="L440" s="38"/>
      <c r="M440" s="38"/>
      <c r="N440" s="37"/>
      <c r="O440" s="37"/>
      <c r="P440" s="37"/>
      <c r="Q440" s="37"/>
      <c r="R440" s="39"/>
      <c r="S440" s="37"/>
      <c r="T440" s="38" t="s">
        <v>293</v>
      </c>
    </row>
    <row r="441" ht="34.5">
      <c r="A441" s="38" t="s">
        <v>884</v>
      </c>
      <c r="B441" s="38" t="s">
        <v>885</v>
      </c>
      <c r="C441" s="38" t="s">
        <v>308</v>
      </c>
      <c r="D441" s="38" t="s">
        <v>288</v>
      </c>
      <c r="E441" s="38" t="s">
        <v>915</v>
      </c>
      <c r="F441" s="37" t="s">
        <v>916</v>
      </c>
      <c r="G441" s="38" t="s">
        <v>451</v>
      </c>
      <c r="H441" s="37"/>
      <c r="I441" s="37"/>
      <c r="J441" s="37" t="s">
        <v>917</v>
      </c>
      <c r="K441" s="40"/>
      <c r="L441" s="38"/>
      <c r="M441" s="38"/>
      <c r="N441" s="37"/>
      <c r="O441" s="37"/>
      <c r="P441" s="37"/>
      <c r="Q441" s="37"/>
      <c r="R441" s="39"/>
      <c r="S441" s="37"/>
      <c r="T441" s="38" t="s">
        <v>293</v>
      </c>
    </row>
    <row r="442" ht="34.5">
      <c r="A442" s="38" t="s">
        <v>884</v>
      </c>
      <c r="B442" s="38" t="s">
        <v>885</v>
      </c>
      <c r="C442" s="38" t="s">
        <v>308</v>
      </c>
      <c r="D442" s="38" t="s">
        <v>288</v>
      </c>
      <c r="E442" s="38" t="s">
        <v>915</v>
      </c>
      <c r="F442" s="37" t="s">
        <v>916</v>
      </c>
      <c r="G442" s="38" t="s">
        <v>451</v>
      </c>
      <c r="H442" s="37"/>
      <c r="I442" s="37"/>
      <c r="J442" s="37" t="s">
        <v>918</v>
      </c>
      <c r="K442" s="40">
        <v>234642125</v>
      </c>
      <c r="L442" s="38" t="s">
        <v>297</v>
      </c>
      <c r="M442" s="38"/>
      <c r="N442" s="37"/>
      <c r="O442" s="37"/>
      <c r="P442" s="37"/>
      <c r="Q442" s="37"/>
      <c r="R442" s="39"/>
      <c r="S442" s="37"/>
      <c r="T442" s="38" t="s">
        <v>293</v>
      </c>
    </row>
    <row r="443" ht="34.5">
      <c r="A443" s="38" t="s">
        <v>884</v>
      </c>
      <c r="B443" s="38" t="s">
        <v>885</v>
      </c>
      <c r="C443" s="38" t="s">
        <v>308</v>
      </c>
      <c r="D443" s="38" t="s">
        <v>288</v>
      </c>
      <c r="E443" s="38" t="s">
        <v>915</v>
      </c>
      <c r="F443" s="37" t="s">
        <v>916</v>
      </c>
      <c r="G443" s="38" t="s">
        <v>451</v>
      </c>
      <c r="H443" s="37"/>
      <c r="I443" s="37"/>
      <c r="J443" s="37" t="s">
        <v>919</v>
      </c>
      <c r="K443" s="40">
        <v>46971482</v>
      </c>
      <c r="L443" s="38" t="s">
        <v>297</v>
      </c>
      <c r="M443" s="38"/>
      <c r="N443" s="37"/>
      <c r="O443" s="37"/>
      <c r="P443" s="37"/>
      <c r="Q443" s="37"/>
      <c r="R443" s="39"/>
      <c r="S443" s="37"/>
      <c r="T443" s="38" t="s">
        <v>293</v>
      </c>
    </row>
    <row r="444" ht="34.5">
      <c r="A444" s="38" t="s">
        <v>884</v>
      </c>
      <c r="B444" s="38" t="s">
        <v>885</v>
      </c>
      <c r="C444" s="38" t="s">
        <v>314</v>
      </c>
      <c r="D444" s="38" t="s">
        <v>288</v>
      </c>
      <c r="E444" s="38" t="s">
        <v>915</v>
      </c>
      <c r="F444" s="37" t="s">
        <v>916</v>
      </c>
      <c r="G444" s="38" t="s">
        <v>451</v>
      </c>
      <c r="H444" s="37"/>
      <c r="I444" s="37"/>
      <c r="J444" s="37" t="s">
        <v>341</v>
      </c>
      <c r="K444" s="40"/>
      <c r="L444" s="38"/>
      <c r="M444" s="38"/>
      <c r="N444" s="37"/>
      <c r="O444" s="37"/>
      <c r="P444" s="37"/>
      <c r="Q444" s="37"/>
      <c r="R444" s="39"/>
      <c r="S444" s="37"/>
      <c r="T444" s="38" t="s">
        <v>293</v>
      </c>
    </row>
    <row r="445" ht="34.5">
      <c r="A445" s="38" t="s">
        <v>884</v>
      </c>
      <c r="B445" s="38" t="s">
        <v>885</v>
      </c>
      <c r="C445" s="38" t="s">
        <v>314</v>
      </c>
      <c r="D445" s="38" t="s">
        <v>348</v>
      </c>
      <c r="E445" s="38" t="s">
        <v>915</v>
      </c>
      <c r="F445" s="37" t="s">
        <v>916</v>
      </c>
      <c r="G445" s="38" t="s">
        <v>451</v>
      </c>
      <c r="H445" s="37"/>
      <c r="I445" s="37"/>
      <c r="J445" s="37" t="s">
        <v>349</v>
      </c>
      <c r="K445" s="40"/>
      <c r="L445" s="38"/>
      <c r="M445" s="38"/>
      <c r="N445" s="37"/>
      <c r="O445" s="37"/>
      <c r="P445" s="37"/>
      <c r="Q445" s="37"/>
      <c r="R445" s="39"/>
      <c r="S445" s="37"/>
      <c r="T445" s="38" t="s">
        <v>293</v>
      </c>
    </row>
    <row r="446" ht="34.5">
      <c r="A446" s="38" t="s">
        <v>884</v>
      </c>
      <c r="B446" s="38" t="s">
        <v>885</v>
      </c>
      <c r="C446" s="38" t="s">
        <v>329</v>
      </c>
      <c r="D446" s="38" t="s">
        <v>352</v>
      </c>
      <c r="E446" s="38" t="s">
        <v>915</v>
      </c>
      <c r="F446" s="37" t="s">
        <v>916</v>
      </c>
      <c r="G446" s="38" t="s">
        <v>451</v>
      </c>
      <c r="H446" s="37"/>
      <c r="I446" s="37"/>
      <c r="J446" s="37" t="s">
        <v>353</v>
      </c>
      <c r="K446" s="40"/>
      <c r="L446" s="38"/>
      <c r="M446" s="38"/>
      <c r="N446" s="37"/>
      <c r="O446" s="37"/>
      <c r="P446" s="37"/>
      <c r="Q446" s="37"/>
      <c r="R446" s="39"/>
      <c r="S446" s="37"/>
      <c r="T446" s="38" t="s">
        <v>293</v>
      </c>
    </row>
    <row r="447" ht="34.5">
      <c r="A447" s="38" t="s">
        <v>884</v>
      </c>
      <c r="B447" s="38" t="s">
        <v>885</v>
      </c>
      <c r="C447" s="38" t="s">
        <v>329</v>
      </c>
      <c r="D447" s="38" t="s">
        <v>288</v>
      </c>
      <c r="E447" s="38" t="s">
        <v>915</v>
      </c>
      <c r="F447" s="37" t="s">
        <v>916</v>
      </c>
      <c r="G447" s="38" t="s">
        <v>451</v>
      </c>
      <c r="H447" s="37"/>
      <c r="I447" s="37"/>
      <c r="J447" s="37" t="s">
        <v>344</v>
      </c>
      <c r="K447" s="40"/>
      <c r="L447" s="38"/>
      <c r="M447" s="38"/>
      <c r="N447" s="37"/>
      <c r="O447" s="37"/>
      <c r="P447" s="37"/>
      <c r="Q447" s="37"/>
      <c r="R447" s="39"/>
      <c r="S447" s="37"/>
      <c r="T447" s="38" t="s">
        <v>293</v>
      </c>
    </row>
    <row r="448" ht="34.5">
      <c r="A448" s="38" t="s">
        <v>884</v>
      </c>
      <c r="B448" s="38" t="s">
        <v>885</v>
      </c>
      <c r="C448" s="38" t="s">
        <v>329</v>
      </c>
      <c r="D448" s="38" t="s">
        <v>288</v>
      </c>
      <c r="E448" s="38" t="s">
        <v>915</v>
      </c>
      <c r="F448" s="37" t="s">
        <v>916</v>
      </c>
      <c r="G448" s="38" t="s">
        <v>451</v>
      </c>
      <c r="H448" s="37"/>
      <c r="I448" s="37"/>
      <c r="J448" s="37" t="s">
        <v>920</v>
      </c>
      <c r="K448" s="40">
        <v>17551709</v>
      </c>
      <c r="L448" s="38" t="s">
        <v>297</v>
      </c>
      <c r="M448" s="38"/>
      <c r="N448" s="37"/>
      <c r="O448" s="37"/>
      <c r="P448" s="37"/>
      <c r="Q448" s="37"/>
      <c r="R448" s="39"/>
      <c r="S448" s="37"/>
      <c r="T448" s="38" t="s">
        <v>293</v>
      </c>
    </row>
    <row r="449" ht="34.5">
      <c r="A449" s="38" t="s">
        <v>884</v>
      </c>
      <c r="B449" s="38" t="s">
        <v>885</v>
      </c>
      <c r="C449" s="38" t="s">
        <v>339</v>
      </c>
      <c r="D449" s="38" t="s">
        <v>288</v>
      </c>
      <c r="E449" s="38" t="s">
        <v>921</v>
      </c>
      <c r="F449" s="37" t="s">
        <v>922</v>
      </c>
      <c r="G449" s="38" t="s">
        <v>70</v>
      </c>
      <c r="H449" s="37"/>
      <c r="I449" s="37"/>
      <c r="J449" s="37" t="s">
        <v>347</v>
      </c>
      <c r="K449" s="40"/>
      <c r="L449" s="38"/>
      <c r="M449" s="38"/>
      <c r="N449" s="37"/>
      <c r="O449" s="37"/>
      <c r="P449" s="37"/>
      <c r="Q449" s="37"/>
      <c r="R449" s="39"/>
      <c r="S449" s="37"/>
      <c r="T449" s="38" t="s">
        <v>293</v>
      </c>
    </row>
    <row r="450" ht="34.5">
      <c r="A450" s="38" t="s">
        <v>884</v>
      </c>
      <c r="B450" s="38" t="s">
        <v>885</v>
      </c>
      <c r="C450" s="38" t="s">
        <v>339</v>
      </c>
      <c r="D450" s="38" t="s">
        <v>362</v>
      </c>
      <c r="E450" s="38" t="s">
        <v>921</v>
      </c>
      <c r="F450" s="37" t="s">
        <v>922</v>
      </c>
      <c r="G450" s="38" t="s">
        <v>70</v>
      </c>
      <c r="H450" s="37"/>
      <c r="I450" s="37"/>
      <c r="J450" s="37" t="s">
        <v>363</v>
      </c>
      <c r="K450" s="40"/>
      <c r="L450" s="38"/>
      <c r="M450" s="38"/>
      <c r="N450" s="37"/>
      <c r="O450" s="37"/>
      <c r="P450" s="37"/>
      <c r="Q450" s="37"/>
      <c r="R450" s="39"/>
      <c r="S450" s="37"/>
      <c r="T450" s="38" t="s">
        <v>293</v>
      </c>
    </row>
    <row r="451" ht="34.5">
      <c r="A451" s="38" t="s">
        <v>884</v>
      </c>
      <c r="B451" s="38" t="s">
        <v>885</v>
      </c>
      <c r="C451" s="38" t="s">
        <v>339</v>
      </c>
      <c r="D451" s="38" t="s">
        <v>288</v>
      </c>
      <c r="E451" s="38" t="s">
        <v>921</v>
      </c>
      <c r="F451" s="37" t="s">
        <v>922</v>
      </c>
      <c r="G451" s="38" t="s">
        <v>70</v>
      </c>
      <c r="H451" s="37"/>
      <c r="I451" s="37"/>
      <c r="J451" s="37" t="s">
        <v>351</v>
      </c>
      <c r="K451" s="40"/>
      <c r="L451" s="38"/>
      <c r="M451" s="38"/>
      <c r="N451" s="37"/>
      <c r="O451" s="37"/>
      <c r="P451" s="37"/>
      <c r="Q451" s="37"/>
      <c r="R451" s="39"/>
      <c r="S451" s="37"/>
      <c r="T451" s="38" t="s">
        <v>293</v>
      </c>
    </row>
    <row r="452" ht="34.5">
      <c r="A452" s="38" t="s">
        <v>884</v>
      </c>
      <c r="B452" s="38" t="s">
        <v>885</v>
      </c>
      <c r="C452" s="38" t="s">
        <v>339</v>
      </c>
      <c r="D452" s="38" t="s">
        <v>369</v>
      </c>
      <c r="E452" s="38" t="s">
        <v>921</v>
      </c>
      <c r="F452" s="37" t="s">
        <v>922</v>
      </c>
      <c r="G452" s="38" t="s">
        <v>70</v>
      </c>
      <c r="H452" s="37"/>
      <c r="I452" s="37"/>
      <c r="J452" s="37" t="s">
        <v>923</v>
      </c>
      <c r="K452" s="40"/>
      <c r="L452" s="38"/>
      <c r="M452" s="38"/>
      <c r="N452" s="37"/>
      <c r="O452" s="37"/>
      <c r="P452" s="37"/>
      <c r="Q452" s="37"/>
      <c r="R452" s="39"/>
      <c r="S452" s="37"/>
      <c r="T452" s="38" t="s">
        <v>293</v>
      </c>
    </row>
    <row r="453" ht="34.5">
      <c r="A453" s="38" t="s">
        <v>884</v>
      </c>
      <c r="B453" s="38" t="s">
        <v>885</v>
      </c>
      <c r="C453" s="38" t="s">
        <v>350</v>
      </c>
      <c r="D453" s="38" t="s">
        <v>288</v>
      </c>
      <c r="E453" s="38" t="s">
        <v>921</v>
      </c>
      <c r="F453" s="37" t="s">
        <v>922</v>
      </c>
      <c r="G453" s="38" t="s">
        <v>70</v>
      </c>
      <c r="H453" s="37"/>
      <c r="I453" s="37"/>
      <c r="J453" s="37" t="s">
        <v>354</v>
      </c>
      <c r="K453" s="40"/>
      <c r="L453" s="38"/>
      <c r="M453" s="38"/>
      <c r="N453" s="37"/>
      <c r="O453" s="37"/>
      <c r="P453" s="37"/>
      <c r="Q453" s="37"/>
      <c r="R453" s="39"/>
      <c r="S453" s="37"/>
      <c r="T453" s="38" t="s">
        <v>293</v>
      </c>
    </row>
    <row r="454" ht="34.5">
      <c r="A454" s="38" t="s">
        <v>884</v>
      </c>
      <c r="B454" s="38" t="s">
        <v>885</v>
      </c>
      <c r="C454" s="38" t="s">
        <v>350</v>
      </c>
      <c r="D454" s="38" t="s">
        <v>288</v>
      </c>
      <c r="E454" s="38" t="s">
        <v>921</v>
      </c>
      <c r="F454" s="37" t="s">
        <v>922</v>
      </c>
      <c r="G454" s="38" t="s">
        <v>70</v>
      </c>
      <c r="H454" s="37"/>
      <c r="I454" s="37"/>
      <c r="J454" s="37" t="s">
        <v>924</v>
      </c>
      <c r="K454" s="40">
        <v>28881824</v>
      </c>
      <c r="L454" s="38" t="s">
        <v>297</v>
      </c>
      <c r="M454" s="38"/>
      <c r="N454" s="37"/>
      <c r="O454" s="37"/>
      <c r="P454" s="37"/>
      <c r="Q454" s="37"/>
      <c r="R454" s="39"/>
      <c r="S454" s="37"/>
      <c r="T454" s="38" t="s">
        <v>293</v>
      </c>
    </row>
    <row r="455" ht="34.5">
      <c r="A455" s="38" t="s">
        <v>884</v>
      </c>
      <c r="B455" s="38" t="s">
        <v>885</v>
      </c>
      <c r="C455" s="38" t="s">
        <v>350</v>
      </c>
      <c r="D455" s="38" t="s">
        <v>288</v>
      </c>
      <c r="E455" s="38" t="s">
        <v>921</v>
      </c>
      <c r="F455" s="37" t="s">
        <v>922</v>
      </c>
      <c r="G455" s="38" t="s">
        <v>70</v>
      </c>
      <c r="H455" s="37"/>
      <c r="I455" s="37"/>
      <c r="J455" s="37" t="s">
        <v>356</v>
      </c>
      <c r="K455" s="40"/>
      <c r="L455" s="38"/>
      <c r="M455" s="38"/>
      <c r="N455" s="37"/>
      <c r="O455" s="37"/>
      <c r="P455" s="37"/>
      <c r="Q455" s="37"/>
      <c r="R455" s="39"/>
      <c r="S455" s="37"/>
      <c r="T455" s="38" t="s">
        <v>293</v>
      </c>
    </row>
    <row r="456" ht="34.5">
      <c r="A456" s="38" t="s">
        <v>884</v>
      </c>
      <c r="B456" s="38" t="s">
        <v>885</v>
      </c>
      <c r="C456" s="38" t="s">
        <v>350</v>
      </c>
      <c r="D456" s="38" t="s">
        <v>288</v>
      </c>
      <c r="E456" s="38" t="s">
        <v>921</v>
      </c>
      <c r="F456" s="37" t="s">
        <v>922</v>
      </c>
      <c r="G456" s="38" t="s">
        <v>70</v>
      </c>
      <c r="H456" s="37"/>
      <c r="I456" s="37"/>
      <c r="J456" s="37" t="s">
        <v>925</v>
      </c>
      <c r="K456" s="40">
        <v>30555278</v>
      </c>
      <c r="L456" s="38" t="s">
        <v>297</v>
      </c>
      <c r="M456" s="38"/>
      <c r="N456" s="37"/>
      <c r="O456" s="37"/>
      <c r="P456" s="37"/>
      <c r="Q456" s="37"/>
      <c r="R456" s="39"/>
      <c r="S456" s="37"/>
      <c r="T456" s="38" t="s">
        <v>293</v>
      </c>
    </row>
    <row r="457" ht="34.5">
      <c r="A457" s="38" t="s">
        <v>884</v>
      </c>
      <c r="B457" s="38" t="s">
        <v>885</v>
      </c>
      <c r="C457" s="38" t="s">
        <v>350</v>
      </c>
      <c r="D457" s="38" t="s">
        <v>288</v>
      </c>
      <c r="E457" s="38" t="s">
        <v>921</v>
      </c>
      <c r="F457" s="37" t="s">
        <v>922</v>
      </c>
      <c r="G457" s="38" t="s">
        <v>70</v>
      </c>
      <c r="H457" s="37"/>
      <c r="I457" s="37"/>
      <c r="J457" s="37" t="s">
        <v>358</v>
      </c>
      <c r="K457" s="40"/>
      <c r="L457" s="38"/>
      <c r="M457" s="38"/>
      <c r="N457" s="37"/>
      <c r="O457" s="37"/>
      <c r="P457" s="37"/>
      <c r="Q457" s="37"/>
      <c r="R457" s="39"/>
      <c r="S457" s="37"/>
      <c r="T457" s="38" t="s">
        <v>293</v>
      </c>
    </row>
    <row r="458" ht="34.5">
      <c r="A458" s="38" t="s">
        <v>884</v>
      </c>
      <c r="B458" s="38" t="s">
        <v>885</v>
      </c>
      <c r="C458" s="38" t="s">
        <v>350</v>
      </c>
      <c r="D458" s="38" t="s">
        <v>288</v>
      </c>
      <c r="E458" s="38" t="s">
        <v>921</v>
      </c>
      <c r="F458" s="37" t="s">
        <v>922</v>
      </c>
      <c r="G458" s="38" t="s">
        <v>70</v>
      </c>
      <c r="H458" s="37"/>
      <c r="I458" s="37"/>
      <c r="J458" s="37" t="s">
        <v>926</v>
      </c>
      <c r="K458" s="40">
        <v>163119</v>
      </c>
      <c r="L458" s="38" t="s">
        <v>297</v>
      </c>
      <c r="M458" s="38"/>
      <c r="N458" s="37"/>
      <c r="O458" s="37"/>
      <c r="P458" s="37"/>
      <c r="Q458" s="37"/>
      <c r="R458" s="39"/>
      <c r="S458" s="37"/>
      <c r="T458" s="38" t="s">
        <v>293</v>
      </c>
    </row>
    <row r="459" ht="34.5">
      <c r="A459" s="38" t="s">
        <v>884</v>
      </c>
      <c r="B459" s="38" t="s">
        <v>885</v>
      </c>
      <c r="C459" s="38" t="s">
        <v>350</v>
      </c>
      <c r="D459" s="38" t="s">
        <v>288</v>
      </c>
      <c r="E459" s="38" t="s">
        <v>921</v>
      </c>
      <c r="F459" s="37" t="s">
        <v>922</v>
      </c>
      <c r="G459" s="38" t="s">
        <v>70</v>
      </c>
      <c r="H459" s="37"/>
      <c r="I459" s="37"/>
      <c r="J459" s="37" t="s">
        <v>927</v>
      </c>
      <c r="K459" s="40"/>
      <c r="L459" s="38"/>
      <c r="M459" s="38"/>
      <c r="N459" s="37"/>
      <c r="O459" s="37"/>
      <c r="P459" s="37"/>
      <c r="Q459" s="37"/>
      <c r="R459" s="39"/>
      <c r="S459" s="37"/>
      <c r="T459" s="38" t="s">
        <v>293</v>
      </c>
    </row>
    <row r="460" ht="34.5">
      <c r="A460" s="38" t="s">
        <v>884</v>
      </c>
      <c r="B460" s="38" t="s">
        <v>885</v>
      </c>
      <c r="C460" s="38" t="s">
        <v>350</v>
      </c>
      <c r="D460" s="38" t="s">
        <v>928</v>
      </c>
      <c r="E460" s="38" t="s">
        <v>921</v>
      </c>
      <c r="F460" s="37" t="s">
        <v>922</v>
      </c>
      <c r="G460" s="38" t="s">
        <v>70</v>
      </c>
      <c r="H460" s="37"/>
      <c r="I460" s="37"/>
      <c r="J460" s="37" t="s">
        <v>929</v>
      </c>
      <c r="K460" s="40"/>
      <c r="L460" s="38"/>
      <c r="M460" s="38"/>
      <c r="N460" s="37"/>
      <c r="O460" s="37"/>
      <c r="P460" s="37"/>
      <c r="Q460" s="37"/>
      <c r="R460" s="39"/>
      <c r="S460" s="37"/>
      <c r="T460" s="38" t="s">
        <v>293</v>
      </c>
    </row>
    <row r="461" ht="34.5">
      <c r="A461" s="38" t="s">
        <v>884</v>
      </c>
      <c r="B461" s="38" t="s">
        <v>885</v>
      </c>
      <c r="C461" s="38" t="s">
        <v>360</v>
      </c>
      <c r="D461" s="38" t="s">
        <v>288</v>
      </c>
      <c r="E461" s="38" t="s">
        <v>921</v>
      </c>
      <c r="F461" s="37" t="s">
        <v>922</v>
      </c>
      <c r="G461" s="38" t="s">
        <v>70</v>
      </c>
      <c r="H461" s="37"/>
      <c r="I461" s="37"/>
      <c r="J461" s="37" t="s">
        <v>930</v>
      </c>
      <c r="K461" s="40"/>
      <c r="L461" s="38"/>
      <c r="M461" s="38"/>
      <c r="N461" s="37"/>
      <c r="O461" s="37"/>
      <c r="P461" s="37"/>
      <c r="Q461" s="37"/>
      <c r="R461" s="39"/>
      <c r="S461" s="37"/>
      <c r="T461" s="38" t="s">
        <v>293</v>
      </c>
    </row>
    <row r="462" ht="34.5">
      <c r="A462" s="38" t="s">
        <v>884</v>
      </c>
      <c r="B462" s="38" t="s">
        <v>885</v>
      </c>
      <c r="C462" s="38" t="s">
        <v>360</v>
      </c>
      <c r="D462" s="38" t="s">
        <v>376</v>
      </c>
      <c r="E462" s="38" t="s">
        <v>921</v>
      </c>
      <c r="F462" s="37" t="s">
        <v>922</v>
      </c>
      <c r="G462" s="38" t="s">
        <v>70</v>
      </c>
      <c r="H462" s="37"/>
      <c r="I462" s="37"/>
      <c r="J462" s="37" t="s">
        <v>377</v>
      </c>
      <c r="K462" s="40"/>
      <c r="L462" s="38"/>
      <c r="M462" s="38"/>
      <c r="N462" s="37"/>
      <c r="O462" s="37"/>
      <c r="P462" s="37"/>
      <c r="Q462" s="37"/>
      <c r="R462" s="39"/>
      <c r="S462" s="37"/>
      <c r="T462" s="38" t="s">
        <v>293</v>
      </c>
    </row>
    <row r="463" ht="34.5">
      <c r="A463" s="38" t="s">
        <v>884</v>
      </c>
      <c r="B463" s="38" t="s">
        <v>885</v>
      </c>
      <c r="C463" s="38" t="s">
        <v>360</v>
      </c>
      <c r="D463" s="38" t="s">
        <v>288</v>
      </c>
      <c r="E463" s="38" t="s">
        <v>921</v>
      </c>
      <c r="F463" s="37" t="s">
        <v>922</v>
      </c>
      <c r="G463" s="38" t="s">
        <v>70</v>
      </c>
      <c r="H463" s="37"/>
      <c r="I463" s="37"/>
      <c r="J463" s="37" t="s">
        <v>931</v>
      </c>
      <c r="K463" s="40"/>
      <c r="L463" s="38"/>
      <c r="M463" s="38"/>
      <c r="N463" s="37"/>
      <c r="O463" s="37"/>
      <c r="P463" s="37"/>
      <c r="Q463" s="37"/>
      <c r="R463" s="39"/>
      <c r="S463" s="37"/>
      <c r="T463" s="38" t="s">
        <v>293</v>
      </c>
    </row>
    <row r="464" ht="34.5">
      <c r="A464" s="38" t="s">
        <v>884</v>
      </c>
      <c r="B464" s="38" t="s">
        <v>885</v>
      </c>
      <c r="C464" s="38" t="s">
        <v>360</v>
      </c>
      <c r="D464" s="38" t="s">
        <v>288</v>
      </c>
      <c r="E464" s="38" t="s">
        <v>921</v>
      </c>
      <c r="F464" s="37" t="s">
        <v>922</v>
      </c>
      <c r="G464" s="38" t="s">
        <v>70</v>
      </c>
      <c r="H464" s="37"/>
      <c r="I464" s="37"/>
      <c r="J464" s="37" t="s">
        <v>368</v>
      </c>
      <c r="K464" s="40"/>
      <c r="L464" s="38"/>
      <c r="M464" s="38"/>
      <c r="N464" s="37"/>
      <c r="O464" s="37"/>
      <c r="P464" s="37"/>
      <c r="Q464" s="37"/>
      <c r="R464" s="39"/>
      <c r="S464" s="37"/>
      <c r="T464" s="38" t="s">
        <v>293</v>
      </c>
    </row>
    <row r="465" ht="34.5">
      <c r="A465" s="38" t="s">
        <v>884</v>
      </c>
      <c r="B465" s="38" t="s">
        <v>885</v>
      </c>
      <c r="C465" s="38" t="s">
        <v>360</v>
      </c>
      <c r="D465" s="38" t="s">
        <v>382</v>
      </c>
      <c r="E465" s="38" t="s">
        <v>921</v>
      </c>
      <c r="F465" s="37" t="s">
        <v>922</v>
      </c>
      <c r="G465" s="38" t="s">
        <v>70</v>
      </c>
      <c r="H465" s="37"/>
      <c r="I465" s="37"/>
      <c r="J465" s="37" t="s">
        <v>383</v>
      </c>
      <c r="K465" s="40"/>
      <c r="L465" s="38"/>
      <c r="M465" s="38"/>
      <c r="N465" s="37"/>
      <c r="O465" s="37"/>
      <c r="P465" s="37"/>
      <c r="Q465" s="37"/>
      <c r="R465" s="39"/>
      <c r="S465" s="37"/>
      <c r="T465" s="38" t="s">
        <v>293</v>
      </c>
    </row>
    <row r="466" ht="34.5">
      <c r="A466" s="38" t="s">
        <v>884</v>
      </c>
      <c r="B466" s="38" t="s">
        <v>885</v>
      </c>
      <c r="C466" s="38" t="s">
        <v>364</v>
      </c>
      <c r="D466" s="38" t="s">
        <v>385</v>
      </c>
      <c r="E466" s="38" t="s">
        <v>921</v>
      </c>
      <c r="F466" s="37" t="s">
        <v>922</v>
      </c>
      <c r="G466" s="38" t="s">
        <v>70</v>
      </c>
      <c r="H466" s="37"/>
      <c r="I466" s="37"/>
      <c r="J466" s="37" t="s">
        <v>386</v>
      </c>
      <c r="K466" s="40"/>
      <c r="L466" s="38"/>
      <c r="M466" s="38"/>
      <c r="N466" s="37"/>
      <c r="O466" s="37"/>
      <c r="P466" s="37"/>
      <c r="Q466" s="37"/>
      <c r="R466" s="39"/>
      <c r="S466" s="37"/>
      <c r="T466" s="38" t="s">
        <v>293</v>
      </c>
    </row>
    <row r="467" ht="34.5">
      <c r="A467" s="38" t="s">
        <v>884</v>
      </c>
      <c r="B467" s="38" t="s">
        <v>885</v>
      </c>
      <c r="C467" s="38" t="s">
        <v>364</v>
      </c>
      <c r="D467" s="38" t="s">
        <v>288</v>
      </c>
      <c r="E467" s="38" t="s">
        <v>921</v>
      </c>
      <c r="F467" s="37" t="s">
        <v>922</v>
      </c>
      <c r="G467" s="38" t="s">
        <v>70</v>
      </c>
      <c r="H467" s="37"/>
      <c r="I467" s="37"/>
      <c r="J467" s="37" t="s">
        <v>932</v>
      </c>
      <c r="K467" s="40">
        <v>13842347</v>
      </c>
      <c r="L467" s="38" t="s">
        <v>297</v>
      </c>
      <c r="M467" s="38"/>
      <c r="N467" s="37"/>
      <c r="O467" s="37"/>
      <c r="P467" s="37"/>
      <c r="Q467" s="37"/>
      <c r="R467" s="39"/>
      <c r="S467" s="37"/>
      <c r="T467" s="38" t="s">
        <v>293</v>
      </c>
    </row>
    <row r="468" ht="34.5">
      <c r="A468" s="38" t="s">
        <v>884</v>
      </c>
      <c r="B468" s="38" t="s">
        <v>885</v>
      </c>
      <c r="C468" s="38" t="s">
        <v>364</v>
      </c>
      <c r="D468" s="38" t="s">
        <v>288</v>
      </c>
      <c r="E468" s="38" t="s">
        <v>373</v>
      </c>
      <c r="F468" s="37" t="s">
        <v>374</v>
      </c>
      <c r="G468" s="38" t="s">
        <v>70</v>
      </c>
      <c r="H468" s="37"/>
      <c r="I468" s="37"/>
      <c r="J468" s="37" t="s">
        <v>375</v>
      </c>
      <c r="K468" s="40"/>
      <c r="L468" s="38"/>
      <c r="M468" s="38"/>
      <c r="N468" s="37"/>
      <c r="O468" s="37"/>
      <c r="P468" s="37"/>
      <c r="Q468" s="37"/>
      <c r="R468" s="39"/>
      <c r="S468" s="37"/>
      <c r="T468" s="38" t="s">
        <v>293</v>
      </c>
    </row>
    <row r="469" ht="34.5">
      <c r="A469" s="38" t="s">
        <v>884</v>
      </c>
      <c r="B469" s="38" t="s">
        <v>885</v>
      </c>
      <c r="C469" s="38" t="s">
        <v>364</v>
      </c>
      <c r="D469" s="38" t="s">
        <v>388</v>
      </c>
      <c r="E469" s="38" t="s">
        <v>373</v>
      </c>
      <c r="F469" s="37" t="s">
        <v>374</v>
      </c>
      <c r="G469" s="38" t="s">
        <v>70</v>
      </c>
      <c r="H469" s="37"/>
      <c r="I469" s="37"/>
      <c r="J469" s="37" t="s">
        <v>389</v>
      </c>
      <c r="K469" s="40"/>
      <c r="L469" s="38"/>
      <c r="M469" s="38"/>
      <c r="N469" s="37"/>
      <c r="O469" s="37"/>
      <c r="P469" s="37"/>
      <c r="Q469" s="37"/>
      <c r="R469" s="39"/>
      <c r="S469" s="37"/>
      <c r="T469" s="38" t="s">
        <v>293</v>
      </c>
    </row>
    <row r="470" ht="34.5">
      <c r="A470" s="38" t="s">
        <v>884</v>
      </c>
      <c r="B470" s="38" t="s">
        <v>885</v>
      </c>
      <c r="C470" s="38" t="s">
        <v>372</v>
      </c>
      <c r="D470" s="38" t="s">
        <v>288</v>
      </c>
      <c r="E470" s="38" t="s">
        <v>373</v>
      </c>
      <c r="F470" s="37" t="s">
        <v>374</v>
      </c>
      <c r="G470" s="38" t="s">
        <v>70</v>
      </c>
      <c r="H470" s="37"/>
      <c r="I470" s="37"/>
      <c r="J470" s="37" t="s">
        <v>933</v>
      </c>
      <c r="K470" s="40"/>
      <c r="L470" s="38"/>
      <c r="M470" s="38"/>
      <c r="N470" s="37"/>
      <c r="O470" s="37"/>
      <c r="P470" s="37"/>
      <c r="Q470" s="37"/>
      <c r="R470" s="39"/>
      <c r="S470" s="37"/>
      <c r="T470" s="38" t="s">
        <v>293</v>
      </c>
    </row>
    <row r="471" ht="34.5">
      <c r="A471" s="38" t="s">
        <v>884</v>
      </c>
      <c r="B471" s="38" t="s">
        <v>885</v>
      </c>
      <c r="C471" s="38" t="s">
        <v>372</v>
      </c>
      <c r="D471" s="38" t="s">
        <v>392</v>
      </c>
      <c r="E471" s="38" t="s">
        <v>373</v>
      </c>
      <c r="F471" s="37" t="s">
        <v>374</v>
      </c>
      <c r="G471" s="38" t="s">
        <v>70</v>
      </c>
      <c r="H471" s="37"/>
      <c r="I471" s="37"/>
      <c r="J471" s="37" t="s">
        <v>393</v>
      </c>
      <c r="K471" s="40"/>
      <c r="L471" s="38"/>
      <c r="M471" s="38"/>
      <c r="N471" s="37"/>
      <c r="O471" s="37"/>
      <c r="P471" s="37"/>
      <c r="Q471" s="37"/>
      <c r="R471" s="39"/>
      <c r="S471" s="37"/>
      <c r="T471" s="38" t="s">
        <v>293</v>
      </c>
    </row>
    <row r="472" ht="34.5">
      <c r="A472" s="38" t="s">
        <v>884</v>
      </c>
      <c r="B472" s="38" t="s">
        <v>885</v>
      </c>
      <c r="C472" s="38" t="s">
        <v>384</v>
      </c>
      <c r="D472" s="38" t="s">
        <v>288</v>
      </c>
      <c r="E472" s="38" t="s">
        <v>373</v>
      </c>
      <c r="F472" s="37" t="s">
        <v>374</v>
      </c>
      <c r="G472" s="38" t="s">
        <v>70</v>
      </c>
      <c r="H472" s="37"/>
      <c r="I472" s="37"/>
      <c r="J472" s="37" t="s">
        <v>387</v>
      </c>
      <c r="K472" s="40"/>
      <c r="L472" s="38"/>
      <c r="M472" s="38"/>
      <c r="N472" s="37"/>
      <c r="O472" s="37"/>
      <c r="P472" s="37"/>
      <c r="Q472" s="37"/>
      <c r="R472" s="39"/>
      <c r="S472" s="37"/>
      <c r="T472" s="38" t="s">
        <v>293</v>
      </c>
    </row>
    <row r="473" ht="34.5">
      <c r="A473" s="38" t="s">
        <v>884</v>
      </c>
      <c r="B473" s="38" t="s">
        <v>885</v>
      </c>
      <c r="C473" s="38" t="s">
        <v>384</v>
      </c>
      <c r="D473" s="38" t="s">
        <v>402</v>
      </c>
      <c r="E473" s="38" t="s">
        <v>373</v>
      </c>
      <c r="F473" s="37" t="s">
        <v>374</v>
      </c>
      <c r="G473" s="38" t="s">
        <v>70</v>
      </c>
      <c r="H473" s="37"/>
      <c r="I473" s="37"/>
      <c r="J473" s="37" t="s">
        <v>403</v>
      </c>
      <c r="K473" s="40"/>
      <c r="L473" s="38"/>
      <c r="M473" s="38"/>
      <c r="N473" s="37"/>
      <c r="O473" s="37"/>
      <c r="P473" s="37"/>
      <c r="Q473" s="37"/>
      <c r="R473" s="39"/>
      <c r="S473" s="37"/>
      <c r="T473" s="38" t="s">
        <v>293</v>
      </c>
    </row>
    <row r="474" ht="34.5">
      <c r="A474" s="38" t="s">
        <v>884</v>
      </c>
      <c r="B474" s="38" t="s">
        <v>885</v>
      </c>
      <c r="C474" s="38" t="s">
        <v>384</v>
      </c>
      <c r="D474" s="38" t="s">
        <v>288</v>
      </c>
      <c r="E474" s="38" t="s">
        <v>373</v>
      </c>
      <c r="F474" s="37" t="s">
        <v>374</v>
      </c>
      <c r="G474" s="38" t="s">
        <v>70</v>
      </c>
      <c r="H474" s="37"/>
      <c r="I474" s="37"/>
      <c r="J474" s="37" t="s">
        <v>934</v>
      </c>
      <c r="K474" s="40"/>
      <c r="L474" s="38"/>
      <c r="M474" s="38"/>
      <c r="N474" s="37"/>
      <c r="O474" s="37"/>
      <c r="P474" s="37"/>
      <c r="Q474" s="37"/>
      <c r="R474" s="39"/>
      <c r="S474" s="37"/>
      <c r="T474" s="38" t="s">
        <v>293</v>
      </c>
    </row>
    <row r="475" ht="34.5">
      <c r="A475" s="38" t="s">
        <v>884</v>
      </c>
      <c r="B475" s="38" t="s">
        <v>885</v>
      </c>
      <c r="C475" s="38" t="s">
        <v>384</v>
      </c>
      <c r="D475" s="38" t="s">
        <v>288</v>
      </c>
      <c r="E475" s="38" t="s">
        <v>373</v>
      </c>
      <c r="F475" s="37" t="s">
        <v>374</v>
      </c>
      <c r="G475" s="38" t="s">
        <v>70</v>
      </c>
      <c r="H475" s="37"/>
      <c r="I475" s="37"/>
      <c r="J475" s="37" t="s">
        <v>935</v>
      </c>
      <c r="K475" s="40"/>
      <c r="L475" s="38"/>
      <c r="M475" s="38"/>
      <c r="N475" s="37"/>
      <c r="O475" s="37"/>
      <c r="P475" s="37"/>
      <c r="Q475" s="37"/>
      <c r="R475" s="39"/>
      <c r="S475" s="37"/>
      <c r="T475" s="38" t="s">
        <v>293</v>
      </c>
    </row>
    <row r="476" ht="34.5">
      <c r="A476" s="38" t="s">
        <v>884</v>
      </c>
      <c r="B476" s="38" t="s">
        <v>885</v>
      </c>
      <c r="C476" s="38" t="s">
        <v>384</v>
      </c>
      <c r="D476" s="38" t="s">
        <v>288</v>
      </c>
      <c r="E476" s="38" t="s">
        <v>373</v>
      </c>
      <c r="F476" s="37" t="s">
        <v>374</v>
      </c>
      <c r="G476" s="38" t="s">
        <v>70</v>
      </c>
      <c r="H476" s="37"/>
      <c r="I476" s="37"/>
      <c r="J476" s="37" t="s">
        <v>391</v>
      </c>
      <c r="K476" s="40"/>
      <c r="L476" s="38"/>
      <c r="M476" s="38"/>
      <c r="N476" s="37"/>
      <c r="O476" s="37"/>
      <c r="P476" s="37"/>
      <c r="Q476" s="37"/>
      <c r="R476" s="39"/>
      <c r="S476" s="37"/>
      <c r="T476" s="38" t="s">
        <v>293</v>
      </c>
    </row>
    <row r="477" ht="34.5">
      <c r="A477" s="38" t="s">
        <v>884</v>
      </c>
      <c r="B477" s="38" t="s">
        <v>885</v>
      </c>
      <c r="C477" s="38" t="s">
        <v>384</v>
      </c>
      <c r="D477" s="38" t="s">
        <v>405</v>
      </c>
      <c r="E477" s="38" t="s">
        <v>373</v>
      </c>
      <c r="F477" s="37" t="s">
        <v>374</v>
      </c>
      <c r="G477" s="38" t="s">
        <v>70</v>
      </c>
      <c r="H477" s="37"/>
      <c r="I477" s="37"/>
      <c r="J477" s="37" t="s">
        <v>406</v>
      </c>
      <c r="K477" s="40"/>
      <c r="L477" s="38"/>
      <c r="M477" s="38"/>
      <c r="N477" s="37"/>
      <c r="O477" s="37"/>
      <c r="P477" s="37"/>
      <c r="Q477" s="37"/>
      <c r="R477" s="39"/>
      <c r="S477" s="37"/>
      <c r="T477" s="38" t="s">
        <v>293</v>
      </c>
    </row>
    <row r="478" ht="34.5">
      <c r="A478" s="38" t="s">
        <v>884</v>
      </c>
      <c r="B478" s="38" t="s">
        <v>885</v>
      </c>
      <c r="C478" s="38" t="s">
        <v>384</v>
      </c>
      <c r="D478" s="38" t="s">
        <v>288</v>
      </c>
      <c r="E478" s="38" t="s">
        <v>373</v>
      </c>
      <c r="F478" s="37" t="s">
        <v>374</v>
      </c>
      <c r="G478" s="38" t="s">
        <v>70</v>
      </c>
      <c r="H478" s="37"/>
      <c r="I478" s="37"/>
      <c r="J478" s="37" t="s">
        <v>395</v>
      </c>
      <c r="K478" s="40"/>
      <c r="L478" s="38"/>
      <c r="M478" s="38"/>
      <c r="N478" s="37"/>
      <c r="O478" s="37"/>
      <c r="P478" s="37"/>
      <c r="Q478" s="37"/>
      <c r="R478" s="39"/>
      <c r="S478" s="37"/>
      <c r="T478" s="38" t="s">
        <v>293</v>
      </c>
    </row>
    <row r="479" ht="34.5">
      <c r="A479" s="38" t="s">
        <v>884</v>
      </c>
      <c r="B479" s="38" t="s">
        <v>885</v>
      </c>
      <c r="C479" s="38" t="s">
        <v>384</v>
      </c>
      <c r="D479" s="38" t="s">
        <v>288</v>
      </c>
      <c r="E479" s="38" t="s">
        <v>373</v>
      </c>
      <c r="F479" s="37" t="s">
        <v>374</v>
      </c>
      <c r="G479" s="38" t="s">
        <v>70</v>
      </c>
      <c r="H479" s="37"/>
      <c r="I479" s="37"/>
      <c r="J479" s="37" t="s">
        <v>396</v>
      </c>
      <c r="K479" s="40"/>
      <c r="L479" s="38"/>
      <c r="M479" s="38"/>
      <c r="N479" s="37"/>
      <c r="O479" s="37"/>
      <c r="P479" s="37"/>
      <c r="Q479" s="37"/>
      <c r="R479" s="39"/>
      <c r="S479" s="37"/>
      <c r="T479" s="38" t="s">
        <v>293</v>
      </c>
    </row>
    <row r="480" ht="34.5">
      <c r="A480" s="38" t="s">
        <v>884</v>
      </c>
      <c r="B480" s="38" t="s">
        <v>885</v>
      </c>
      <c r="C480" s="38" t="s">
        <v>384</v>
      </c>
      <c r="D480" s="38" t="s">
        <v>288</v>
      </c>
      <c r="E480" s="38" t="s">
        <v>373</v>
      </c>
      <c r="F480" s="37" t="s">
        <v>374</v>
      </c>
      <c r="G480" s="38" t="s">
        <v>70</v>
      </c>
      <c r="H480" s="37"/>
      <c r="I480" s="37"/>
      <c r="J480" s="37" t="s">
        <v>936</v>
      </c>
      <c r="K480" s="40"/>
      <c r="L480" s="38"/>
      <c r="M480" s="38"/>
      <c r="N480" s="37"/>
      <c r="O480" s="37"/>
      <c r="P480" s="37"/>
      <c r="Q480" s="37"/>
      <c r="R480" s="39"/>
      <c r="S480" s="37"/>
      <c r="T480" s="38" t="s">
        <v>293</v>
      </c>
    </row>
    <row r="481" ht="34.5">
      <c r="A481" s="38" t="s">
        <v>884</v>
      </c>
      <c r="B481" s="38" t="s">
        <v>885</v>
      </c>
      <c r="C481" s="38" t="s">
        <v>384</v>
      </c>
      <c r="D481" s="38" t="s">
        <v>288</v>
      </c>
      <c r="E481" s="38" t="s">
        <v>373</v>
      </c>
      <c r="F481" s="37" t="s">
        <v>374</v>
      </c>
      <c r="G481" s="38" t="s">
        <v>70</v>
      </c>
      <c r="H481" s="37"/>
      <c r="I481" s="37"/>
      <c r="J481" s="37" t="s">
        <v>937</v>
      </c>
      <c r="K481" s="40"/>
      <c r="L481" s="38"/>
      <c r="M481" s="38"/>
      <c r="N481" s="37"/>
      <c r="O481" s="37"/>
      <c r="P481" s="37"/>
      <c r="Q481" s="37"/>
      <c r="R481" s="39"/>
      <c r="S481" s="37"/>
      <c r="T481" s="38" t="s">
        <v>293</v>
      </c>
    </row>
    <row r="482" ht="34.5">
      <c r="A482" s="38" t="s">
        <v>884</v>
      </c>
      <c r="B482" s="38" t="s">
        <v>885</v>
      </c>
      <c r="C482" s="38" t="s">
        <v>384</v>
      </c>
      <c r="D482" s="38" t="s">
        <v>288</v>
      </c>
      <c r="E482" s="38" t="s">
        <v>373</v>
      </c>
      <c r="F482" s="37" t="s">
        <v>374</v>
      </c>
      <c r="G482" s="38" t="s">
        <v>70</v>
      </c>
      <c r="H482" s="37"/>
      <c r="I482" s="37"/>
      <c r="J482" s="37" t="s">
        <v>938</v>
      </c>
      <c r="K482" s="40"/>
      <c r="L482" s="38"/>
      <c r="M482" s="38"/>
      <c r="N482" s="37"/>
      <c r="O482" s="37"/>
      <c r="P482" s="37"/>
      <c r="Q482" s="37"/>
      <c r="R482" s="39"/>
      <c r="S482" s="37"/>
      <c r="T482" s="38" t="s">
        <v>293</v>
      </c>
    </row>
    <row r="483" ht="34.5">
      <c r="A483" s="38" t="s">
        <v>884</v>
      </c>
      <c r="B483" s="38" t="s">
        <v>885</v>
      </c>
      <c r="C483" s="38" t="s">
        <v>384</v>
      </c>
      <c r="D483" s="38" t="s">
        <v>288</v>
      </c>
      <c r="E483" s="38" t="s">
        <v>373</v>
      </c>
      <c r="F483" s="37" t="s">
        <v>374</v>
      </c>
      <c r="G483" s="38" t="s">
        <v>70</v>
      </c>
      <c r="H483" s="37"/>
      <c r="I483" s="37"/>
      <c r="J483" s="37" t="s">
        <v>939</v>
      </c>
      <c r="K483" s="40">
        <v>4903870</v>
      </c>
      <c r="L483" s="38" t="s">
        <v>297</v>
      </c>
      <c r="M483" s="38"/>
      <c r="N483" s="37"/>
      <c r="O483" s="37"/>
      <c r="P483" s="37"/>
      <c r="Q483" s="37"/>
      <c r="R483" s="39"/>
      <c r="S483" s="37"/>
      <c r="T483" s="38" t="s">
        <v>293</v>
      </c>
    </row>
    <row r="484" ht="34.5">
      <c r="A484" s="38" t="s">
        <v>884</v>
      </c>
      <c r="B484" s="38" t="s">
        <v>885</v>
      </c>
      <c r="C484" s="38" t="s">
        <v>394</v>
      </c>
      <c r="D484" s="38" t="s">
        <v>288</v>
      </c>
      <c r="E484" s="38" t="s">
        <v>398</v>
      </c>
      <c r="F484" s="37" t="s">
        <v>399</v>
      </c>
      <c r="G484" s="38" t="s">
        <v>400</v>
      </c>
      <c r="H484" s="37"/>
      <c r="I484" s="37"/>
      <c r="J484" s="37" t="s">
        <v>401</v>
      </c>
      <c r="K484" s="40"/>
      <c r="L484" s="38"/>
      <c r="M484" s="38"/>
      <c r="N484" s="37"/>
      <c r="O484" s="37"/>
      <c r="P484" s="37"/>
      <c r="Q484" s="37"/>
      <c r="R484" s="39"/>
      <c r="S484" s="37"/>
      <c r="T484" s="38" t="s">
        <v>293</v>
      </c>
    </row>
    <row r="485" ht="34.5">
      <c r="A485" s="38" t="s">
        <v>884</v>
      </c>
      <c r="B485" s="38" t="s">
        <v>885</v>
      </c>
      <c r="C485" s="38" t="s">
        <v>394</v>
      </c>
      <c r="D485" s="38" t="s">
        <v>408</v>
      </c>
      <c r="E485" s="38" t="s">
        <v>398</v>
      </c>
      <c r="F485" s="37" t="s">
        <v>399</v>
      </c>
      <c r="G485" s="38" t="s">
        <v>400</v>
      </c>
      <c r="H485" s="37"/>
      <c r="I485" s="37"/>
      <c r="J485" s="37" t="s">
        <v>409</v>
      </c>
      <c r="K485" s="40"/>
      <c r="L485" s="38"/>
      <c r="M485" s="38"/>
      <c r="N485" s="37"/>
      <c r="O485" s="37"/>
      <c r="P485" s="37"/>
      <c r="Q485" s="37"/>
      <c r="R485" s="39"/>
      <c r="S485" s="37"/>
      <c r="T485" s="38" t="s">
        <v>293</v>
      </c>
    </row>
    <row r="486" ht="34.5">
      <c r="A486" s="38" t="s">
        <v>884</v>
      </c>
      <c r="B486" s="38" t="s">
        <v>885</v>
      </c>
      <c r="C486" s="38" t="s">
        <v>394</v>
      </c>
      <c r="D486" s="38" t="s">
        <v>288</v>
      </c>
      <c r="E486" s="38" t="s">
        <v>398</v>
      </c>
      <c r="F486" s="37" t="s">
        <v>399</v>
      </c>
      <c r="G486" s="38" t="s">
        <v>400</v>
      </c>
      <c r="H486" s="37"/>
      <c r="I486" s="37"/>
      <c r="J486" s="37" t="s">
        <v>404</v>
      </c>
      <c r="K486" s="40"/>
      <c r="L486" s="38"/>
      <c r="M486" s="38"/>
      <c r="N486" s="37"/>
      <c r="O486" s="37"/>
      <c r="P486" s="37"/>
      <c r="Q486" s="37"/>
      <c r="R486" s="39"/>
      <c r="S486" s="37"/>
      <c r="T486" s="38" t="s">
        <v>293</v>
      </c>
    </row>
    <row r="487" ht="34.5">
      <c r="A487" s="38" t="s">
        <v>884</v>
      </c>
      <c r="B487" s="38" t="s">
        <v>885</v>
      </c>
      <c r="C487" s="38" t="s">
        <v>394</v>
      </c>
      <c r="D487" s="38" t="s">
        <v>411</v>
      </c>
      <c r="E487" s="38" t="s">
        <v>398</v>
      </c>
      <c r="F487" s="37" t="s">
        <v>399</v>
      </c>
      <c r="G487" s="38" t="s">
        <v>400</v>
      </c>
      <c r="H487" s="37"/>
      <c r="I487" s="37"/>
      <c r="J487" s="37" t="s">
        <v>412</v>
      </c>
      <c r="K487" s="40"/>
      <c r="L487" s="38"/>
      <c r="M487" s="38"/>
      <c r="N487" s="37"/>
      <c r="O487" s="37"/>
      <c r="P487" s="37"/>
      <c r="Q487" s="37"/>
      <c r="R487" s="39"/>
      <c r="S487" s="37"/>
      <c r="T487" s="38" t="s">
        <v>293</v>
      </c>
    </row>
    <row r="488" ht="34.5">
      <c r="A488" s="38" t="s">
        <v>884</v>
      </c>
      <c r="B488" s="38" t="s">
        <v>885</v>
      </c>
      <c r="C488" s="38" t="s">
        <v>394</v>
      </c>
      <c r="D488" s="38" t="s">
        <v>421</v>
      </c>
      <c r="E488" s="38" t="s">
        <v>398</v>
      </c>
      <c r="F488" s="37" t="s">
        <v>399</v>
      </c>
      <c r="G488" s="38" t="s">
        <v>400</v>
      </c>
      <c r="H488" s="37"/>
      <c r="I488" s="37"/>
      <c r="J488" s="37" t="s">
        <v>422</v>
      </c>
      <c r="K488" s="40"/>
      <c r="L488" s="38"/>
      <c r="M488" s="38"/>
      <c r="N488" s="37"/>
      <c r="O488" s="37"/>
      <c r="P488" s="37"/>
      <c r="Q488" s="37"/>
      <c r="R488" s="39"/>
      <c r="S488" s="37"/>
      <c r="T488" s="38" t="s">
        <v>293</v>
      </c>
    </row>
    <row r="489" ht="34.5">
      <c r="A489" s="38" t="s">
        <v>884</v>
      </c>
      <c r="B489" s="38" t="s">
        <v>885</v>
      </c>
      <c r="C489" s="38" t="s">
        <v>407</v>
      </c>
      <c r="D489" s="38" t="s">
        <v>288</v>
      </c>
      <c r="E489" s="38" t="s">
        <v>398</v>
      </c>
      <c r="F489" s="37" t="s">
        <v>399</v>
      </c>
      <c r="G489" s="38" t="s">
        <v>400</v>
      </c>
      <c r="H489" s="37"/>
      <c r="I489" s="37"/>
      <c r="J489" s="37" t="s">
        <v>410</v>
      </c>
      <c r="K489" s="40"/>
      <c r="L489" s="38"/>
      <c r="M489" s="38"/>
      <c r="N489" s="37"/>
      <c r="O489" s="37"/>
      <c r="P489" s="37"/>
      <c r="Q489" s="37"/>
      <c r="R489" s="39"/>
      <c r="S489" s="37"/>
      <c r="T489" s="38" t="s">
        <v>293</v>
      </c>
    </row>
    <row r="490" ht="34.5">
      <c r="A490" s="38" t="s">
        <v>884</v>
      </c>
      <c r="B490" s="38" t="s">
        <v>885</v>
      </c>
      <c r="C490" s="38" t="s">
        <v>407</v>
      </c>
      <c r="D490" s="38" t="s">
        <v>430</v>
      </c>
      <c r="E490" s="38" t="s">
        <v>398</v>
      </c>
      <c r="F490" s="37" t="s">
        <v>399</v>
      </c>
      <c r="G490" s="38" t="s">
        <v>400</v>
      </c>
      <c r="H490" s="37"/>
      <c r="I490" s="37"/>
      <c r="J490" s="37" t="s">
        <v>431</v>
      </c>
      <c r="K490" s="40"/>
      <c r="L490" s="38"/>
      <c r="M490" s="38"/>
      <c r="N490" s="37"/>
      <c r="O490" s="37"/>
      <c r="P490" s="37"/>
      <c r="Q490" s="37"/>
      <c r="R490" s="39"/>
      <c r="S490" s="37"/>
      <c r="T490" s="38" t="s">
        <v>293</v>
      </c>
    </row>
    <row r="491" ht="34.5">
      <c r="A491" s="38" t="s">
        <v>884</v>
      </c>
      <c r="B491" s="38" t="s">
        <v>885</v>
      </c>
      <c r="C491" s="38" t="s">
        <v>407</v>
      </c>
      <c r="D491" s="38" t="s">
        <v>288</v>
      </c>
      <c r="E491" s="38" t="s">
        <v>398</v>
      </c>
      <c r="F491" s="37" t="s">
        <v>399</v>
      </c>
      <c r="G491" s="38" t="s">
        <v>400</v>
      </c>
      <c r="H491" s="37"/>
      <c r="I491" s="37"/>
      <c r="J491" s="37" t="s">
        <v>413</v>
      </c>
      <c r="K491" s="40"/>
      <c r="L491" s="38"/>
      <c r="M491" s="38"/>
      <c r="N491" s="37"/>
      <c r="O491" s="37"/>
      <c r="P491" s="37"/>
      <c r="Q491" s="37"/>
      <c r="R491" s="39"/>
      <c r="S491" s="37"/>
      <c r="T491" s="38" t="s">
        <v>293</v>
      </c>
    </row>
    <row r="492" ht="34.5">
      <c r="A492" s="38" t="s">
        <v>884</v>
      </c>
      <c r="B492" s="38" t="s">
        <v>885</v>
      </c>
      <c r="C492" s="38" t="s">
        <v>407</v>
      </c>
      <c r="D492" s="38" t="s">
        <v>288</v>
      </c>
      <c r="E492" s="38" t="s">
        <v>398</v>
      </c>
      <c r="F492" s="37" t="s">
        <v>399</v>
      </c>
      <c r="G492" s="38" t="s">
        <v>400</v>
      </c>
      <c r="H492" s="37"/>
      <c r="I492" s="37"/>
      <c r="J492" s="37" t="s">
        <v>414</v>
      </c>
      <c r="K492" s="40"/>
      <c r="L492" s="38"/>
      <c r="M492" s="38"/>
      <c r="N492" s="37"/>
      <c r="O492" s="37"/>
      <c r="P492" s="37"/>
      <c r="Q492" s="37"/>
      <c r="R492" s="39"/>
      <c r="S492" s="37"/>
      <c r="T492" s="38" t="s">
        <v>293</v>
      </c>
    </row>
    <row r="493" ht="34.5">
      <c r="A493" s="38" t="s">
        <v>884</v>
      </c>
      <c r="B493" s="38" t="s">
        <v>885</v>
      </c>
      <c r="C493" s="38" t="s">
        <v>407</v>
      </c>
      <c r="D493" s="38" t="s">
        <v>288</v>
      </c>
      <c r="E493" s="38" t="s">
        <v>398</v>
      </c>
      <c r="F493" s="37" t="s">
        <v>399</v>
      </c>
      <c r="G493" s="38" t="s">
        <v>400</v>
      </c>
      <c r="H493" s="37"/>
      <c r="I493" s="37"/>
      <c r="J493" s="37" t="s">
        <v>415</v>
      </c>
      <c r="K493" s="40"/>
      <c r="L493" s="38"/>
      <c r="M493" s="38"/>
      <c r="N493" s="37"/>
      <c r="O493" s="37"/>
      <c r="P493" s="37"/>
      <c r="Q493" s="37"/>
      <c r="R493" s="39"/>
      <c r="S493" s="37"/>
      <c r="T493" s="38" t="s">
        <v>293</v>
      </c>
    </row>
    <row r="494" ht="34.5">
      <c r="A494" s="38" t="s">
        <v>884</v>
      </c>
      <c r="B494" s="38" t="s">
        <v>885</v>
      </c>
      <c r="C494" s="38" t="s">
        <v>407</v>
      </c>
      <c r="D494" s="38" t="s">
        <v>288</v>
      </c>
      <c r="E494" s="38" t="s">
        <v>398</v>
      </c>
      <c r="F494" s="37" t="s">
        <v>399</v>
      </c>
      <c r="G494" s="38" t="s">
        <v>400</v>
      </c>
      <c r="H494" s="37"/>
      <c r="I494" s="37"/>
      <c r="J494" s="37" t="s">
        <v>416</v>
      </c>
      <c r="K494" s="40"/>
      <c r="L494" s="38"/>
      <c r="M494" s="38"/>
      <c r="N494" s="37"/>
      <c r="O494" s="37"/>
      <c r="P494" s="37"/>
      <c r="Q494" s="37"/>
      <c r="R494" s="39"/>
      <c r="S494" s="37"/>
      <c r="T494" s="38" t="s">
        <v>293</v>
      </c>
    </row>
    <row r="495" ht="34.5">
      <c r="A495" s="38" t="s">
        <v>884</v>
      </c>
      <c r="B495" s="38" t="s">
        <v>885</v>
      </c>
      <c r="C495" s="38" t="s">
        <v>407</v>
      </c>
      <c r="D495" s="38" t="s">
        <v>288</v>
      </c>
      <c r="E495" s="38" t="s">
        <v>398</v>
      </c>
      <c r="F495" s="37" t="s">
        <v>399</v>
      </c>
      <c r="G495" s="38" t="s">
        <v>400</v>
      </c>
      <c r="H495" s="37"/>
      <c r="I495" s="37"/>
      <c r="J495" s="37" t="s">
        <v>417</v>
      </c>
      <c r="K495" s="40"/>
      <c r="L495" s="38"/>
      <c r="M495" s="38"/>
      <c r="N495" s="37"/>
      <c r="O495" s="37"/>
      <c r="P495" s="37"/>
      <c r="Q495" s="37"/>
      <c r="R495" s="39"/>
      <c r="S495" s="37"/>
      <c r="T495" s="38" t="s">
        <v>293</v>
      </c>
    </row>
    <row r="496" ht="34.5">
      <c r="A496" s="38" t="s">
        <v>884</v>
      </c>
      <c r="B496" s="38" t="s">
        <v>885</v>
      </c>
      <c r="C496" s="38" t="s">
        <v>407</v>
      </c>
      <c r="D496" s="38" t="s">
        <v>288</v>
      </c>
      <c r="E496" s="38" t="s">
        <v>398</v>
      </c>
      <c r="F496" s="37" t="s">
        <v>399</v>
      </c>
      <c r="G496" s="38" t="s">
        <v>400</v>
      </c>
      <c r="H496" s="37"/>
      <c r="I496" s="37"/>
      <c r="J496" s="37" t="s">
        <v>940</v>
      </c>
      <c r="K496" s="40"/>
      <c r="L496" s="38"/>
      <c r="M496" s="38"/>
      <c r="N496" s="37"/>
      <c r="O496" s="37"/>
      <c r="P496" s="37"/>
      <c r="Q496" s="37"/>
      <c r="R496" s="39"/>
      <c r="S496" s="37"/>
      <c r="T496" s="38" t="s">
        <v>293</v>
      </c>
    </row>
    <row r="497" ht="34.5">
      <c r="A497" s="38" t="s">
        <v>884</v>
      </c>
      <c r="B497" s="38" t="s">
        <v>885</v>
      </c>
      <c r="C497" s="38" t="s">
        <v>407</v>
      </c>
      <c r="D497" s="38" t="s">
        <v>288</v>
      </c>
      <c r="E497" s="38" t="s">
        <v>398</v>
      </c>
      <c r="F497" s="37" t="s">
        <v>399</v>
      </c>
      <c r="G497" s="38" t="s">
        <v>400</v>
      </c>
      <c r="H497" s="37"/>
      <c r="I497" s="37"/>
      <c r="J497" s="37" t="s">
        <v>420</v>
      </c>
      <c r="K497" s="40"/>
      <c r="L497" s="38"/>
      <c r="M497" s="38"/>
      <c r="N497" s="37"/>
      <c r="O497" s="37"/>
      <c r="P497" s="37"/>
      <c r="Q497" s="37"/>
      <c r="R497" s="39"/>
      <c r="S497" s="37"/>
      <c r="T497" s="38" t="s">
        <v>293</v>
      </c>
    </row>
    <row r="498" ht="34.5">
      <c r="A498" s="38" t="s">
        <v>884</v>
      </c>
      <c r="B498" s="38" t="s">
        <v>885</v>
      </c>
      <c r="C498" s="38" t="s">
        <v>407</v>
      </c>
      <c r="D498" s="38" t="s">
        <v>433</v>
      </c>
      <c r="E498" s="38" t="s">
        <v>398</v>
      </c>
      <c r="F498" s="37" t="s">
        <v>399</v>
      </c>
      <c r="G498" s="38" t="s">
        <v>400</v>
      </c>
      <c r="H498" s="37"/>
      <c r="I498" s="37"/>
      <c r="J498" s="37" t="s">
        <v>434</v>
      </c>
      <c r="K498" s="40"/>
      <c r="L498" s="38"/>
      <c r="M498" s="38"/>
      <c r="N498" s="37"/>
      <c r="O498" s="37"/>
      <c r="P498" s="37"/>
      <c r="Q498" s="37"/>
      <c r="R498" s="39"/>
      <c r="S498" s="37"/>
      <c r="T498" s="38" t="s">
        <v>293</v>
      </c>
    </row>
    <row r="499" ht="34.5">
      <c r="A499" s="38" t="s">
        <v>884</v>
      </c>
      <c r="B499" s="38" t="s">
        <v>885</v>
      </c>
      <c r="C499" s="38" t="s">
        <v>418</v>
      </c>
      <c r="D499" s="38" t="s">
        <v>288</v>
      </c>
      <c r="E499" s="38" t="s">
        <v>398</v>
      </c>
      <c r="F499" s="37" t="s">
        <v>399</v>
      </c>
      <c r="G499" s="38" t="s">
        <v>400</v>
      </c>
      <c r="H499" s="37"/>
      <c r="I499" s="37"/>
      <c r="J499" s="37" t="s">
        <v>423</v>
      </c>
      <c r="K499" s="40"/>
      <c r="L499" s="38"/>
      <c r="M499" s="38"/>
      <c r="N499" s="37"/>
      <c r="O499" s="37"/>
      <c r="P499" s="37"/>
      <c r="Q499" s="37"/>
      <c r="R499" s="39"/>
      <c r="S499" s="37"/>
      <c r="T499" s="38" t="s">
        <v>293</v>
      </c>
    </row>
    <row r="500" ht="34.5">
      <c r="A500" s="38" t="s">
        <v>884</v>
      </c>
      <c r="B500" s="38" t="s">
        <v>885</v>
      </c>
      <c r="C500" s="38" t="s">
        <v>418</v>
      </c>
      <c r="D500" s="38" t="s">
        <v>288</v>
      </c>
      <c r="E500" s="38" t="s">
        <v>398</v>
      </c>
      <c r="F500" s="37" t="s">
        <v>399</v>
      </c>
      <c r="G500" s="38" t="s">
        <v>400</v>
      </c>
      <c r="H500" s="37"/>
      <c r="I500" s="37"/>
      <c r="J500" s="37" t="s">
        <v>424</v>
      </c>
      <c r="K500" s="40"/>
      <c r="L500" s="38"/>
      <c r="M500" s="38"/>
      <c r="N500" s="37"/>
      <c r="O500" s="37"/>
      <c r="P500" s="37"/>
      <c r="Q500" s="37"/>
      <c r="R500" s="39"/>
      <c r="S500" s="37"/>
      <c r="T500" s="38" t="s">
        <v>293</v>
      </c>
    </row>
    <row r="501" ht="34.5">
      <c r="A501" s="38" t="s">
        <v>884</v>
      </c>
      <c r="B501" s="38" t="s">
        <v>885</v>
      </c>
      <c r="C501" s="38" t="s">
        <v>418</v>
      </c>
      <c r="D501" s="38" t="s">
        <v>288</v>
      </c>
      <c r="E501" s="38" t="s">
        <v>398</v>
      </c>
      <c r="F501" s="37" t="s">
        <v>399</v>
      </c>
      <c r="G501" s="38" t="s">
        <v>400</v>
      </c>
      <c r="H501" s="37"/>
      <c r="I501" s="37"/>
      <c r="J501" s="37" t="s">
        <v>425</v>
      </c>
      <c r="K501" s="40"/>
      <c r="L501" s="38"/>
      <c r="M501" s="38"/>
      <c r="N501" s="37"/>
      <c r="O501" s="37"/>
      <c r="P501" s="37"/>
      <c r="Q501" s="37"/>
      <c r="R501" s="39"/>
      <c r="S501" s="37"/>
      <c r="T501" s="38" t="s">
        <v>293</v>
      </c>
    </row>
    <row r="502" ht="34.5">
      <c r="A502" s="38" t="s">
        <v>884</v>
      </c>
      <c r="B502" s="38" t="s">
        <v>885</v>
      </c>
      <c r="C502" s="38" t="s">
        <v>418</v>
      </c>
      <c r="D502" s="38" t="s">
        <v>288</v>
      </c>
      <c r="E502" s="38" t="s">
        <v>398</v>
      </c>
      <c r="F502" s="37" t="s">
        <v>399</v>
      </c>
      <c r="G502" s="38" t="s">
        <v>400</v>
      </c>
      <c r="H502" s="37"/>
      <c r="I502" s="37"/>
      <c r="J502" s="37" t="s">
        <v>426</v>
      </c>
      <c r="K502" s="40"/>
      <c r="L502" s="38"/>
      <c r="M502" s="38"/>
      <c r="N502" s="37"/>
      <c r="O502" s="37"/>
      <c r="P502" s="37"/>
      <c r="Q502" s="37"/>
      <c r="R502" s="39"/>
      <c r="S502" s="37"/>
      <c r="T502" s="38" t="s">
        <v>293</v>
      </c>
    </row>
    <row r="503" ht="34.5">
      <c r="A503" s="38" t="s">
        <v>884</v>
      </c>
      <c r="B503" s="38" t="s">
        <v>885</v>
      </c>
      <c r="C503" s="38" t="s">
        <v>418</v>
      </c>
      <c r="D503" s="38" t="s">
        <v>288</v>
      </c>
      <c r="E503" s="38" t="s">
        <v>398</v>
      </c>
      <c r="F503" s="37" t="s">
        <v>399</v>
      </c>
      <c r="G503" s="38" t="s">
        <v>400</v>
      </c>
      <c r="H503" s="37"/>
      <c r="I503" s="37"/>
      <c r="J503" s="37" t="s">
        <v>941</v>
      </c>
      <c r="K503" s="40"/>
      <c r="L503" s="38"/>
      <c r="M503" s="38"/>
      <c r="N503" s="37"/>
      <c r="O503" s="37"/>
      <c r="P503" s="37"/>
      <c r="Q503" s="37"/>
      <c r="R503" s="39"/>
      <c r="S503" s="37"/>
      <c r="T503" s="38" t="s">
        <v>293</v>
      </c>
    </row>
    <row r="504" ht="34.5">
      <c r="A504" s="38" t="s">
        <v>884</v>
      </c>
      <c r="B504" s="38" t="s">
        <v>885</v>
      </c>
      <c r="C504" s="38" t="s">
        <v>418</v>
      </c>
      <c r="D504" s="38" t="s">
        <v>288</v>
      </c>
      <c r="E504" s="38" t="s">
        <v>398</v>
      </c>
      <c r="F504" s="37" t="s">
        <v>399</v>
      </c>
      <c r="G504" s="38" t="s">
        <v>400</v>
      </c>
      <c r="H504" s="37"/>
      <c r="I504" s="37"/>
      <c r="J504" s="37" t="s">
        <v>429</v>
      </c>
      <c r="K504" s="40"/>
      <c r="L504" s="38"/>
      <c r="M504" s="38"/>
      <c r="N504" s="37"/>
      <c r="O504" s="37"/>
      <c r="P504" s="37"/>
      <c r="Q504" s="37"/>
      <c r="R504" s="39"/>
      <c r="S504" s="37"/>
      <c r="T504" s="38" t="s">
        <v>293</v>
      </c>
    </row>
    <row r="505" ht="34.5">
      <c r="A505" s="38" t="s">
        <v>884</v>
      </c>
      <c r="B505" s="38" t="s">
        <v>885</v>
      </c>
      <c r="C505" s="38" t="s">
        <v>418</v>
      </c>
      <c r="D505" s="38" t="s">
        <v>453</v>
      </c>
      <c r="E505" s="38" t="s">
        <v>398</v>
      </c>
      <c r="F505" s="37" t="s">
        <v>399</v>
      </c>
      <c r="G505" s="38" t="s">
        <v>400</v>
      </c>
      <c r="H505" s="37"/>
      <c r="I505" s="37"/>
      <c r="J505" s="37" t="s">
        <v>454</v>
      </c>
      <c r="K505" s="40"/>
      <c r="L505" s="38"/>
      <c r="M505" s="38"/>
      <c r="N505" s="37"/>
      <c r="O505" s="37"/>
      <c r="P505" s="37"/>
      <c r="Q505" s="37"/>
      <c r="R505" s="39"/>
      <c r="S505" s="37"/>
      <c r="T505" s="38" t="s">
        <v>293</v>
      </c>
    </row>
    <row r="506" ht="34.5">
      <c r="A506" s="38" t="s">
        <v>884</v>
      </c>
      <c r="B506" s="38" t="s">
        <v>885</v>
      </c>
      <c r="C506" s="38" t="s">
        <v>428</v>
      </c>
      <c r="D506" s="38" t="s">
        <v>288</v>
      </c>
      <c r="E506" s="38" t="s">
        <v>398</v>
      </c>
      <c r="F506" s="37" t="s">
        <v>399</v>
      </c>
      <c r="G506" s="38" t="s">
        <v>400</v>
      </c>
      <c r="H506" s="37"/>
      <c r="I506" s="37"/>
      <c r="J506" s="37" t="s">
        <v>432</v>
      </c>
      <c r="K506" s="40"/>
      <c r="L506" s="38"/>
      <c r="M506" s="38"/>
      <c r="N506" s="37"/>
      <c r="O506" s="37"/>
      <c r="P506" s="37"/>
      <c r="Q506" s="37"/>
      <c r="R506" s="39"/>
      <c r="S506" s="37"/>
      <c r="T506" s="38" t="s">
        <v>293</v>
      </c>
    </row>
    <row r="507" ht="34.5">
      <c r="A507" s="38" t="s">
        <v>884</v>
      </c>
      <c r="B507" s="38" t="s">
        <v>885</v>
      </c>
      <c r="C507" s="38" t="s">
        <v>428</v>
      </c>
      <c r="D507" s="38" t="s">
        <v>456</v>
      </c>
      <c r="E507" s="38" t="s">
        <v>398</v>
      </c>
      <c r="F507" s="37" t="s">
        <v>399</v>
      </c>
      <c r="G507" s="38" t="s">
        <v>400</v>
      </c>
      <c r="H507" s="37"/>
      <c r="I507" s="37"/>
      <c r="J507" s="37" t="s">
        <v>457</v>
      </c>
      <c r="K507" s="40"/>
      <c r="L507" s="38"/>
      <c r="M507" s="38"/>
      <c r="N507" s="37"/>
      <c r="O507" s="37"/>
      <c r="P507" s="37"/>
      <c r="Q507" s="37"/>
      <c r="R507" s="39"/>
      <c r="S507" s="37"/>
      <c r="T507" s="38" t="s">
        <v>293</v>
      </c>
    </row>
    <row r="508" ht="34.5">
      <c r="A508" s="38" t="s">
        <v>884</v>
      </c>
      <c r="B508" s="38" t="s">
        <v>885</v>
      </c>
      <c r="C508" s="38" t="s">
        <v>428</v>
      </c>
      <c r="D508" s="38" t="s">
        <v>288</v>
      </c>
      <c r="E508" s="38" t="s">
        <v>398</v>
      </c>
      <c r="F508" s="37" t="s">
        <v>399</v>
      </c>
      <c r="G508" s="38" t="s">
        <v>400</v>
      </c>
      <c r="H508" s="37"/>
      <c r="I508" s="37"/>
      <c r="J508" s="37" t="s">
        <v>435</v>
      </c>
      <c r="K508" s="40"/>
      <c r="L508" s="38"/>
      <c r="M508" s="38"/>
      <c r="N508" s="37"/>
      <c r="O508" s="37"/>
      <c r="P508" s="37"/>
      <c r="Q508" s="37"/>
      <c r="R508" s="39"/>
      <c r="S508" s="37"/>
      <c r="T508" s="38" t="s">
        <v>293</v>
      </c>
    </row>
    <row r="509" ht="34.5">
      <c r="A509" s="38" t="s">
        <v>884</v>
      </c>
      <c r="B509" s="38" t="s">
        <v>885</v>
      </c>
      <c r="C509" s="38" t="s">
        <v>428</v>
      </c>
      <c r="D509" s="38" t="s">
        <v>288</v>
      </c>
      <c r="E509" s="38" t="s">
        <v>398</v>
      </c>
      <c r="F509" s="37" t="s">
        <v>399</v>
      </c>
      <c r="G509" s="38" t="s">
        <v>400</v>
      </c>
      <c r="H509" s="37"/>
      <c r="I509" s="37"/>
      <c r="J509" s="37" t="s">
        <v>436</v>
      </c>
      <c r="K509" s="40"/>
      <c r="L509" s="38"/>
      <c r="M509" s="38"/>
      <c r="N509" s="37"/>
      <c r="O509" s="37"/>
      <c r="P509" s="37"/>
      <c r="Q509" s="37"/>
      <c r="R509" s="39"/>
      <c r="S509" s="37"/>
      <c r="T509" s="38" t="s">
        <v>293</v>
      </c>
    </row>
    <row r="510" ht="34.5">
      <c r="A510" s="38" t="s">
        <v>884</v>
      </c>
      <c r="B510" s="38" t="s">
        <v>885</v>
      </c>
      <c r="C510" s="38" t="s">
        <v>428</v>
      </c>
      <c r="D510" s="38" t="s">
        <v>288</v>
      </c>
      <c r="E510" s="38" t="s">
        <v>398</v>
      </c>
      <c r="F510" s="37" t="s">
        <v>399</v>
      </c>
      <c r="G510" s="38" t="s">
        <v>400</v>
      </c>
      <c r="H510" s="37"/>
      <c r="I510" s="37"/>
      <c r="J510" s="37" t="s">
        <v>437</v>
      </c>
      <c r="K510" s="40"/>
      <c r="L510" s="38"/>
      <c r="M510" s="38"/>
      <c r="N510" s="37"/>
      <c r="O510" s="37"/>
      <c r="P510" s="37"/>
      <c r="Q510" s="37"/>
      <c r="R510" s="39"/>
      <c r="S510" s="37"/>
      <c r="T510" s="38" t="s">
        <v>293</v>
      </c>
    </row>
    <row r="511" ht="34.5">
      <c r="A511" s="38" t="s">
        <v>884</v>
      </c>
      <c r="B511" s="38" t="s">
        <v>885</v>
      </c>
      <c r="C511" s="38" t="s">
        <v>428</v>
      </c>
      <c r="D511" s="38" t="s">
        <v>288</v>
      </c>
      <c r="E511" s="38" t="s">
        <v>398</v>
      </c>
      <c r="F511" s="37" t="s">
        <v>399</v>
      </c>
      <c r="G511" s="38" t="s">
        <v>400</v>
      </c>
      <c r="H511" s="37"/>
      <c r="I511" s="37"/>
      <c r="J511" s="37" t="s">
        <v>439</v>
      </c>
      <c r="K511" s="40"/>
      <c r="L511" s="38"/>
      <c r="M511" s="38"/>
      <c r="N511" s="37"/>
      <c r="O511" s="37"/>
      <c r="P511" s="37"/>
      <c r="Q511" s="37"/>
      <c r="R511" s="39"/>
      <c r="S511" s="37"/>
      <c r="T511" s="38" t="s">
        <v>293</v>
      </c>
    </row>
    <row r="512" ht="34.5">
      <c r="A512" s="38" t="s">
        <v>884</v>
      </c>
      <c r="B512" s="38" t="s">
        <v>885</v>
      </c>
      <c r="C512" s="38" t="s">
        <v>428</v>
      </c>
      <c r="D512" s="38" t="s">
        <v>288</v>
      </c>
      <c r="E512" s="38" t="s">
        <v>398</v>
      </c>
      <c r="F512" s="37" t="s">
        <v>399</v>
      </c>
      <c r="G512" s="38" t="s">
        <v>400</v>
      </c>
      <c r="H512" s="37"/>
      <c r="I512" s="37"/>
      <c r="J512" s="37" t="s">
        <v>440</v>
      </c>
      <c r="K512" s="40"/>
      <c r="L512" s="38"/>
      <c r="M512" s="38"/>
      <c r="N512" s="37"/>
      <c r="O512" s="37"/>
      <c r="P512" s="37"/>
      <c r="Q512" s="37"/>
      <c r="R512" s="39"/>
      <c r="S512" s="37"/>
      <c r="T512" s="38" t="s">
        <v>293</v>
      </c>
    </row>
    <row r="513" ht="34.5">
      <c r="A513" s="38" t="s">
        <v>884</v>
      </c>
      <c r="B513" s="38" t="s">
        <v>885</v>
      </c>
      <c r="C513" s="38" t="s">
        <v>428</v>
      </c>
      <c r="D513" s="38" t="s">
        <v>288</v>
      </c>
      <c r="E513" s="38" t="s">
        <v>398</v>
      </c>
      <c r="F513" s="37" t="s">
        <v>399</v>
      </c>
      <c r="G513" s="38" t="s">
        <v>400</v>
      </c>
      <c r="H513" s="37"/>
      <c r="I513" s="37"/>
      <c r="J513" s="37" t="s">
        <v>441</v>
      </c>
      <c r="K513" s="40"/>
      <c r="L513" s="38"/>
      <c r="M513" s="38"/>
      <c r="N513" s="37"/>
      <c r="O513" s="37"/>
      <c r="P513" s="37"/>
      <c r="Q513" s="37"/>
      <c r="R513" s="39"/>
      <c r="S513" s="37"/>
      <c r="T513" s="38" t="s">
        <v>293</v>
      </c>
    </row>
    <row r="514" ht="34.5">
      <c r="A514" s="38" t="s">
        <v>884</v>
      </c>
      <c r="B514" s="38" t="s">
        <v>885</v>
      </c>
      <c r="C514" s="38" t="s">
        <v>438</v>
      </c>
      <c r="D514" s="38" t="s">
        <v>288</v>
      </c>
      <c r="E514" s="38" t="s">
        <v>398</v>
      </c>
      <c r="F514" s="37" t="s">
        <v>399</v>
      </c>
      <c r="G514" s="38" t="s">
        <v>400</v>
      </c>
      <c r="H514" s="37"/>
      <c r="I514" s="37"/>
      <c r="J514" s="37" t="s">
        <v>443</v>
      </c>
      <c r="K514" s="40"/>
      <c r="L514" s="38"/>
      <c r="M514" s="38"/>
      <c r="N514" s="37"/>
      <c r="O514" s="37"/>
      <c r="P514" s="37"/>
      <c r="Q514" s="37"/>
      <c r="R514" s="39"/>
      <c r="S514" s="37"/>
      <c r="T514" s="38" t="s">
        <v>293</v>
      </c>
    </row>
    <row r="515" ht="34.5">
      <c r="A515" s="38" t="s">
        <v>884</v>
      </c>
      <c r="B515" s="38" t="s">
        <v>885</v>
      </c>
      <c r="C515" s="38" t="s">
        <v>438</v>
      </c>
      <c r="D515" s="38" t="s">
        <v>288</v>
      </c>
      <c r="E515" s="38" t="s">
        <v>398</v>
      </c>
      <c r="F515" s="37" t="s">
        <v>399</v>
      </c>
      <c r="G515" s="38" t="s">
        <v>400</v>
      </c>
      <c r="H515" s="37"/>
      <c r="I515" s="37"/>
      <c r="J515" s="37" t="s">
        <v>942</v>
      </c>
      <c r="K515" s="40"/>
      <c r="L515" s="38"/>
      <c r="M515" s="38"/>
      <c r="N515" s="37"/>
      <c r="O515" s="37"/>
      <c r="P515" s="37"/>
      <c r="Q515" s="37"/>
      <c r="R515" s="39"/>
      <c r="S515" s="37"/>
      <c r="T515" s="38" t="s">
        <v>293</v>
      </c>
    </row>
    <row r="516" ht="34.5">
      <c r="A516" s="38" t="s">
        <v>884</v>
      </c>
      <c r="B516" s="38" t="s">
        <v>885</v>
      </c>
      <c r="C516" s="38" t="s">
        <v>438</v>
      </c>
      <c r="D516" s="38" t="s">
        <v>288</v>
      </c>
      <c r="E516" s="38" t="s">
        <v>398</v>
      </c>
      <c r="F516" s="37" t="s">
        <v>399</v>
      </c>
      <c r="G516" s="38" t="s">
        <v>400</v>
      </c>
      <c r="H516" s="37"/>
      <c r="I516" s="37"/>
      <c r="J516" s="37" t="s">
        <v>445</v>
      </c>
      <c r="K516" s="40"/>
      <c r="L516" s="38"/>
      <c r="M516" s="38"/>
      <c r="N516" s="37"/>
      <c r="O516" s="37"/>
      <c r="P516" s="37"/>
      <c r="Q516" s="37"/>
      <c r="R516" s="39"/>
      <c r="S516" s="37"/>
      <c r="T516" s="38" t="s">
        <v>293</v>
      </c>
    </row>
    <row r="517" ht="34.5">
      <c r="A517" s="38" t="s">
        <v>884</v>
      </c>
      <c r="B517" s="38" t="s">
        <v>885</v>
      </c>
      <c r="C517" s="38" t="s">
        <v>438</v>
      </c>
      <c r="D517" s="38" t="s">
        <v>288</v>
      </c>
      <c r="E517" s="38" t="s">
        <v>398</v>
      </c>
      <c r="F517" s="37" t="s">
        <v>399</v>
      </c>
      <c r="G517" s="38" t="s">
        <v>400</v>
      </c>
      <c r="H517" s="37"/>
      <c r="I517" s="37"/>
      <c r="J517" s="37" t="s">
        <v>943</v>
      </c>
      <c r="K517" s="40"/>
      <c r="L517" s="38"/>
      <c r="M517" s="38"/>
      <c r="N517" s="37"/>
      <c r="O517" s="37"/>
      <c r="P517" s="37"/>
      <c r="Q517" s="37"/>
      <c r="R517" s="39"/>
      <c r="S517" s="37"/>
      <c r="T517" s="38" t="s">
        <v>293</v>
      </c>
    </row>
    <row r="518" ht="34.5">
      <c r="A518" s="38" t="s">
        <v>884</v>
      </c>
      <c r="B518" s="38" t="s">
        <v>885</v>
      </c>
      <c r="C518" s="38" t="s">
        <v>438</v>
      </c>
      <c r="D518" s="38" t="s">
        <v>288</v>
      </c>
      <c r="E518" s="38" t="s">
        <v>398</v>
      </c>
      <c r="F518" s="37" t="s">
        <v>399</v>
      </c>
      <c r="G518" s="38" t="s">
        <v>400</v>
      </c>
      <c r="H518" s="37"/>
      <c r="I518" s="37"/>
      <c r="J518" s="37" t="s">
        <v>447</v>
      </c>
      <c r="K518" s="40"/>
      <c r="L518" s="38"/>
      <c r="M518" s="38"/>
      <c r="N518" s="37"/>
      <c r="O518" s="37"/>
      <c r="P518" s="37"/>
      <c r="Q518" s="37"/>
      <c r="R518" s="39"/>
      <c r="S518" s="37"/>
      <c r="T518" s="38" t="s">
        <v>293</v>
      </c>
    </row>
    <row r="519" ht="34.5">
      <c r="A519" s="38" t="s">
        <v>884</v>
      </c>
      <c r="B519" s="38" t="s">
        <v>885</v>
      </c>
      <c r="C519" s="38" t="s">
        <v>448</v>
      </c>
      <c r="D519" s="38" t="s">
        <v>288</v>
      </c>
      <c r="E519" s="38" t="s">
        <v>449</v>
      </c>
      <c r="F519" s="37" t="s">
        <v>450</v>
      </c>
      <c r="G519" s="38" t="s">
        <v>451</v>
      </c>
      <c r="H519" s="37"/>
      <c r="I519" s="37"/>
      <c r="J519" s="37" t="s">
        <v>452</v>
      </c>
      <c r="K519" s="40"/>
      <c r="L519" s="38"/>
      <c r="M519" s="38"/>
      <c r="N519" s="37"/>
      <c r="O519" s="37"/>
      <c r="P519" s="37"/>
      <c r="Q519" s="37"/>
      <c r="R519" s="39"/>
      <c r="S519" s="37"/>
      <c r="T519" s="38" t="s">
        <v>293</v>
      </c>
    </row>
    <row r="520" ht="34.5">
      <c r="A520" s="38" t="s">
        <v>884</v>
      </c>
      <c r="B520" s="38" t="s">
        <v>885</v>
      </c>
      <c r="C520" s="38" t="s">
        <v>448</v>
      </c>
      <c r="D520" s="38" t="s">
        <v>459</v>
      </c>
      <c r="E520" s="38" t="s">
        <v>449</v>
      </c>
      <c r="F520" s="37" t="s">
        <v>450</v>
      </c>
      <c r="G520" s="38" t="s">
        <v>451</v>
      </c>
      <c r="H520" s="37"/>
      <c r="I520" s="37"/>
      <c r="J520" s="37" t="s">
        <v>460</v>
      </c>
      <c r="K520" s="40"/>
      <c r="L520" s="38"/>
      <c r="M520" s="38"/>
      <c r="N520" s="37"/>
      <c r="O520" s="37"/>
      <c r="P520" s="37"/>
      <c r="Q520" s="37"/>
      <c r="R520" s="39"/>
      <c r="S520" s="37"/>
      <c r="T520" s="38" t="s">
        <v>293</v>
      </c>
    </row>
    <row r="521" ht="34.5">
      <c r="A521" s="38" t="s">
        <v>884</v>
      </c>
      <c r="B521" s="38" t="s">
        <v>885</v>
      </c>
      <c r="C521" s="38" t="s">
        <v>455</v>
      </c>
      <c r="D521" s="38" t="s">
        <v>474</v>
      </c>
      <c r="E521" s="38" t="s">
        <v>449</v>
      </c>
      <c r="F521" s="37" t="s">
        <v>450</v>
      </c>
      <c r="G521" s="38" t="s">
        <v>451</v>
      </c>
      <c r="H521" s="37"/>
      <c r="I521" s="37"/>
      <c r="J521" s="37" t="s">
        <v>475</v>
      </c>
      <c r="K521" s="40"/>
      <c r="L521" s="38"/>
      <c r="M521" s="38"/>
      <c r="N521" s="37"/>
      <c r="O521" s="37"/>
      <c r="P521" s="37"/>
      <c r="Q521" s="37"/>
      <c r="R521" s="39"/>
      <c r="S521" s="37"/>
      <c r="T521" s="38" t="s">
        <v>293</v>
      </c>
    </row>
    <row r="522" ht="34.5">
      <c r="A522" s="38" t="s">
        <v>884</v>
      </c>
      <c r="B522" s="38" t="s">
        <v>885</v>
      </c>
      <c r="C522" s="38" t="s">
        <v>455</v>
      </c>
      <c r="D522" s="38" t="s">
        <v>288</v>
      </c>
      <c r="E522" s="38" t="s">
        <v>449</v>
      </c>
      <c r="F522" s="37" t="s">
        <v>450</v>
      </c>
      <c r="G522" s="38" t="s">
        <v>451</v>
      </c>
      <c r="H522" s="37"/>
      <c r="I522" s="37"/>
      <c r="J522" s="37" t="s">
        <v>458</v>
      </c>
      <c r="K522" s="40"/>
      <c r="L522" s="38"/>
      <c r="M522" s="38"/>
      <c r="N522" s="37"/>
      <c r="O522" s="37"/>
      <c r="P522" s="37"/>
      <c r="Q522" s="37"/>
      <c r="R522" s="39"/>
      <c r="S522" s="37"/>
      <c r="T522" s="38" t="s">
        <v>293</v>
      </c>
    </row>
    <row r="523" ht="34.5">
      <c r="A523" s="38" t="s">
        <v>884</v>
      </c>
      <c r="B523" s="38" t="s">
        <v>885</v>
      </c>
      <c r="C523" s="38" t="s">
        <v>455</v>
      </c>
      <c r="D523" s="38" t="s">
        <v>480</v>
      </c>
      <c r="E523" s="38" t="s">
        <v>449</v>
      </c>
      <c r="F523" s="37" t="s">
        <v>450</v>
      </c>
      <c r="G523" s="38" t="s">
        <v>451</v>
      </c>
      <c r="H523" s="37"/>
      <c r="I523" s="37"/>
      <c r="J523" s="37" t="s">
        <v>481</v>
      </c>
      <c r="K523" s="40"/>
      <c r="L523" s="38"/>
      <c r="M523" s="38"/>
      <c r="N523" s="37"/>
      <c r="O523" s="37"/>
      <c r="P523" s="37"/>
      <c r="Q523" s="37"/>
      <c r="R523" s="39"/>
      <c r="S523" s="37"/>
      <c r="T523" s="38" t="s">
        <v>293</v>
      </c>
    </row>
    <row r="524" ht="34.5">
      <c r="A524" s="38" t="s">
        <v>884</v>
      </c>
      <c r="B524" s="38" t="s">
        <v>885</v>
      </c>
      <c r="C524" s="38" t="s">
        <v>455</v>
      </c>
      <c r="D524" s="38" t="s">
        <v>288</v>
      </c>
      <c r="E524" s="38" t="s">
        <v>449</v>
      </c>
      <c r="F524" s="37" t="s">
        <v>450</v>
      </c>
      <c r="G524" s="38" t="s">
        <v>451</v>
      </c>
      <c r="H524" s="37"/>
      <c r="I524" s="37"/>
      <c r="J524" s="37" t="s">
        <v>462</v>
      </c>
      <c r="K524" s="40">
        <v>200000000</v>
      </c>
      <c r="L524" s="38" t="s">
        <v>297</v>
      </c>
      <c r="M524" s="38"/>
      <c r="N524" s="37"/>
      <c r="O524" s="37"/>
      <c r="P524" s="37"/>
      <c r="Q524" s="37"/>
      <c r="R524" s="39"/>
      <c r="S524" s="37"/>
      <c r="T524" s="38" t="s">
        <v>293</v>
      </c>
    </row>
    <row r="525" ht="34.5">
      <c r="A525" s="38" t="s">
        <v>884</v>
      </c>
      <c r="B525" s="38" t="s">
        <v>885</v>
      </c>
      <c r="C525" s="38" t="s">
        <v>455</v>
      </c>
      <c r="D525" s="38" t="s">
        <v>288</v>
      </c>
      <c r="E525" s="38" t="s">
        <v>449</v>
      </c>
      <c r="F525" s="37" t="s">
        <v>450</v>
      </c>
      <c r="G525" s="38" t="s">
        <v>451</v>
      </c>
      <c r="H525" s="37"/>
      <c r="I525" s="37"/>
      <c r="J525" s="37" t="s">
        <v>944</v>
      </c>
      <c r="K525" s="40">
        <v>10000000</v>
      </c>
      <c r="L525" s="38" t="s">
        <v>297</v>
      </c>
      <c r="M525" s="38"/>
      <c r="N525" s="37"/>
      <c r="O525" s="37"/>
      <c r="P525" s="37"/>
      <c r="Q525" s="37"/>
      <c r="R525" s="39"/>
      <c r="S525" s="37"/>
      <c r="T525" s="38" t="s">
        <v>293</v>
      </c>
    </row>
    <row r="526" ht="34.5">
      <c r="A526" s="38" t="s">
        <v>884</v>
      </c>
      <c r="B526" s="38" t="s">
        <v>885</v>
      </c>
      <c r="C526" s="38" t="s">
        <v>461</v>
      </c>
      <c r="D526" s="38" t="s">
        <v>288</v>
      </c>
      <c r="E526" s="38" t="s">
        <v>449</v>
      </c>
      <c r="F526" s="37" t="s">
        <v>450</v>
      </c>
      <c r="G526" s="38" t="s">
        <v>451</v>
      </c>
      <c r="H526" s="37"/>
      <c r="I526" s="37"/>
      <c r="J526" s="37" t="s">
        <v>945</v>
      </c>
      <c r="K526" s="40">
        <v>40000000</v>
      </c>
      <c r="L526" s="38" t="s">
        <v>297</v>
      </c>
      <c r="M526" s="38"/>
      <c r="N526" s="37"/>
      <c r="O526" s="37"/>
      <c r="P526" s="37"/>
      <c r="Q526" s="37"/>
      <c r="R526" s="39"/>
      <c r="S526" s="37"/>
      <c r="T526" s="38" t="s">
        <v>293</v>
      </c>
    </row>
    <row r="527" ht="34.5">
      <c r="A527" s="38" t="s">
        <v>884</v>
      </c>
      <c r="B527" s="38" t="s">
        <v>885</v>
      </c>
      <c r="C527" s="38" t="s">
        <v>461</v>
      </c>
      <c r="D527" s="38" t="s">
        <v>288</v>
      </c>
      <c r="E527" s="38" t="s">
        <v>449</v>
      </c>
      <c r="F527" s="37" t="s">
        <v>450</v>
      </c>
      <c r="G527" s="38" t="s">
        <v>451</v>
      </c>
      <c r="H527" s="37"/>
      <c r="I527" s="37"/>
      <c r="J527" s="37" t="s">
        <v>466</v>
      </c>
      <c r="K527" s="40">
        <v>50000000</v>
      </c>
      <c r="L527" s="38" t="s">
        <v>297</v>
      </c>
      <c r="M527" s="38"/>
      <c r="N527" s="37"/>
      <c r="O527" s="37"/>
      <c r="P527" s="37"/>
      <c r="Q527" s="37"/>
      <c r="R527" s="39"/>
      <c r="S527" s="37"/>
      <c r="T527" s="38" t="s">
        <v>293</v>
      </c>
    </row>
    <row r="528" ht="34.5">
      <c r="A528" s="38" t="s">
        <v>884</v>
      </c>
      <c r="B528" s="38" t="s">
        <v>885</v>
      </c>
      <c r="C528" s="38" t="s">
        <v>461</v>
      </c>
      <c r="D528" s="38" t="s">
        <v>288</v>
      </c>
      <c r="E528" s="38" t="s">
        <v>449</v>
      </c>
      <c r="F528" s="37" t="s">
        <v>450</v>
      </c>
      <c r="G528" s="38" t="s">
        <v>451</v>
      </c>
      <c r="H528" s="37"/>
      <c r="I528" s="37"/>
      <c r="J528" s="37" t="s">
        <v>467</v>
      </c>
      <c r="K528" s="40">
        <v>100000000</v>
      </c>
      <c r="L528" s="38" t="s">
        <v>297</v>
      </c>
      <c r="M528" s="38"/>
      <c r="N528" s="37"/>
      <c r="O528" s="37"/>
      <c r="P528" s="37"/>
      <c r="Q528" s="37"/>
      <c r="R528" s="39"/>
      <c r="S528" s="37"/>
      <c r="T528" s="38" t="s">
        <v>293</v>
      </c>
    </row>
    <row r="529" ht="34.5">
      <c r="A529" s="38" t="s">
        <v>884</v>
      </c>
      <c r="B529" s="38" t="s">
        <v>885</v>
      </c>
      <c r="C529" s="38" t="s">
        <v>461</v>
      </c>
      <c r="D529" s="38" t="s">
        <v>288</v>
      </c>
      <c r="E529" s="38" t="s">
        <v>449</v>
      </c>
      <c r="F529" s="37" t="s">
        <v>450</v>
      </c>
      <c r="G529" s="38" t="s">
        <v>451</v>
      </c>
      <c r="H529" s="37"/>
      <c r="I529" s="37"/>
      <c r="J529" s="37" t="s">
        <v>468</v>
      </c>
      <c r="K529" s="40"/>
      <c r="L529" s="38"/>
      <c r="M529" s="38"/>
      <c r="N529" s="37"/>
      <c r="O529" s="37"/>
      <c r="P529" s="37"/>
      <c r="Q529" s="37"/>
      <c r="R529" s="39"/>
      <c r="S529" s="37"/>
      <c r="T529" s="38" t="s">
        <v>293</v>
      </c>
    </row>
    <row r="530" ht="34.5">
      <c r="A530" s="38" t="s">
        <v>884</v>
      </c>
      <c r="B530" s="38" t="s">
        <v>885</v>
      </c>
      <c r="C530" s="38" t="s">
        <v>461</v>
      </c>
      <c r="D530" s="38" t="s">
        <v>288</v>
      </c>
      <c r="E530" s="38" t="s">
        <v>449</v>
      </c>
      <c r="F530" s="37" t="s">
        <v>450</v>
      </c>
      <c r="G530" s="38" t="s">
        <v>451</v>
      </c>
      <c r="H530" s="37"/>
      <c r="I530" s="37"/>
      <c r="J530" s="37" t="s">
        <v>946</v>
      </c>
      <c r="K530" s="40">
        <v>8242113</v>
      </c>
      <c r="L530" s="38" t="s">
        <v>297</v>
      </c>
      <c r="M530" s="38"/>
      <c r="N530" s="37"/>
      <c r="O530" s="37"/>
      <c r="P530" s="37"/>
      <c r="Q530" s="37"/>
      <c r="R530" s="39"/>
      <c r="S530" s="37"/>
      <c r="T530" s="38" t="s">
        <v>293</v>
      </c>
    </row>
    <row r="531" ht="34.5">
      <c r="A531" s="38" t="s">
        <v>884</v>
      </c>
      <c r="B531" s="38" t="s">
        <v>885</v>
      </c>
      <c r="C531" s="38" t="s">
        <v>461</v>
      </c>
      <c r="D531" s="38" t="s">
        <v>288</v>
      </c>
      <c r="E531" s="38" t="s">
        <v>449</v>
      </c>
      <c r="F531" s="37" t="s">
        <v>450</v>
      </c>
      <c r="G531" s="38" t="s">
        <v>451</v>
      </c>
      <c r="H531" s="37"/>
      <c r="I531" s="37"/>
      <c r="J531" s="37" t="s">
        <v>947</v>
      </c>
      <c r="K531" s="40">
        <v>200000000</v>
      </c>
      <c r="L531" s="38" t="s">
        <v>297</v>
      </c>
      <c r="M531" s="38"/>
      <c r="N531" s="37"/>
      <c r="O531" s="37"/>
      <c r="P531" s="37"/>
      <c r="Q531" s="37"/>
      <c r="R531" s="39"/>
      <c r="S531" s="37"/>
      <c r="T531" s="38" t="s">
        <v>293</v>
      </c>
    </row>
    <row r="532" ht="34.5">
      <c r="A532" s="38" t="s">
        <v>884</v>
      </c>
      <c r="B532" s="38" t="s">
        <v>885</v>
      </c>
      <c r="C532" s="38" t="s">
        <v>461</v>
      </c>
      <c r="D532" s="38" t="s">
        <v>288</v>
      </c>
      <c r="E532" s="38" t="s">
        <v>449</v>
      </c>
      <c r="F532" s="37" t="s">
        <v>450</v>
      </c>
      <c r="G532" s="38" t="s">
        <v>451</v>
      </c>
      <c r="H532" s="37"/>
      <c r="I532" s="37"/>
      <c r="J532" s="37" t="s">
        <v>948</v>
      </c>
      <c r="K532" s="40">
        <v>50000000</v>
      </c>
      <c r="L532" s="38" t="s">
        <v>297</v>
      </c>
      <c r="M532" s="38"/>
      <c r="N532" s="37"/>
      <c r="O532" s="37"/>
      <c r="P532" s="37"/>
      <c r="Q532" s="37"/>
      <c r="R532" s="39"/>
      <c r="S532" s="37"/>
      <c r="T532" s="38" t="s">
        <v>293</v>
      </c>
    </row>
    <row r="533" ht="34.5">
      <c r="A533" s="38" t="s">
        <v>884</v>
      </c>
      <c r="B533" s="38" t="s">
        <v>885</v>
      </c>
      <c r="C533" s="38" t="s">
        <v>471</v>
      </c>
      <c r="D533" s="38" t="s">
        <v>288</v>
      </c>
      <c r="E533" s="38" t="s">
        <v>449</v>
      </c>
      <c r="F533" s="37" t="s">
        <v>450</v>
      </c>
      <c r="G533" s="38" t="s">
        <v>451</v>
      </c>
      <c r="H533" s="37"/>
      <c r="I533" s="37"/>
      <c r="J533" s="37" t="s">
        <v>949</v>
      </c>
      <c r="K533" s="40"/>
      <c r="L533" s="38"/>
      <c r="M533" s="38"/>
      <c r="N533" s="37"/>
      <c r="O533" s="37"/>
      <c r="P533" s="37"/>
      <c r="Q533" s="37"/>
      <c r="R533" s="39"/>
      <c r="S533" s="37"/>
      <c r="T533" s="38" t="s">
        <v>293</v>
      </c>
    </row>
    <row r="534" ht="34.5">
      <c r="A534" s="38" t="s">
        <v>884</v>
      </c>
      <c r="B534" s="38" t="s">
        <v>885</v>
      </c>
      <c r="C534" s="38" t="s">
        <v>471</v>
      </c>
      <c r="D534" s="38" t="s">
        <v>485</v>
      </c>
      <c r="E534" s="38" t="s">
        <v>449</v>
      </c>
      <c r="F534" s="37" t="s">
        <v>450</v>
      </c>
      <c r="G534" s="38" t="s">
        <v>451</v>
      </c>
      <c r="H534" s="37"/>
      <c r="I534" s="37"/>
      <c r="J534" s="37" t="s">
        <v>486</v>
      </c>
      <c r="K534" s="40"/>
      <c r="L534" s="38"/>
      <c r="M534" s="38"/>
      <c r="N534" s="37"/>
      <c r="O534" s="37"/>
      <c r="P534" s="37"/>
      <c r="Q534" s="37"/>
      <c r="R534" s="39"/>
      <c r="S534" s="37"/>
      <c r="T534" s="38" t="s">
        <v>293</v>
      </c>
    </row>
    <row r="535" ht="34.5">
      <c r="A535" s="38" t="s">
        <v>884</v>
      </c>
      <c r="B535" s="38" t="s">
        <v>885</v>
      </c>
      <c r="C535" s="38" t="s">
        <v>471</v>
      </c>
      <c r="D535" s="38" t="s">
        <v>288</v>
      </c>
      <c r="E535" s="38" t="s">
        <v>449</v>
      </c>
      <c r="F535" s="37" t="s">
        <v>450</v>
      </c>
      <c r="G535" s="38" t="s">
        <v>451</v>
      </c>
      <c r="H535" s="37"/>
      <c r="I535" s="37"/>
      <c r="J535" s="37" t="s">
        <v>950</v>
      </c>
      <c r="K535" s="40"/>
      <c r="L535" s="38"/>
      <c r="M535" s="38"/>
      <c r="N535" s="37"/>
      <c r="O535" s="37"/>
      <c r="P535" s="37"/>
      <c r="Q535" s="37"/>
      <c r="R535" s="39"/>
      <c r="S535" s="37"/>
      <c r="T535" s="38" t="s">
        <v>293</v>
      </c>
    </row>
    <row r="536" ht="34.5">
      <c r="A536" s="38" t="s">
        <v>884</v>
      </c>
      <c r="B536" s="38" t="s">
        <v>885</v>
      </c>
      <c r="C536" s="38" t="s">
        <v>471</v>
      </c>
      <c r="D536" s="38" t="s">
        <v>288</v>
      </c>
      <c r="E536" s="38" t="s">
        <v>477</v>
      </c>
      <c r="F536" s="37" t="s">
        <v>478</v>
      </c>
      <c r="G536" s="38" t="s">
        <v>451</v>
      </c>
      <c r="H536" s="37"/>
      <c r="I536" s="37"/>
      <c r="J536" s="37" t="s">
        <v>951</v>
      </c>
      <c r="K536" s="40"/>
      <c r="L536" s="38"/>
      <c r="M536" s="38"/>
      <c r="N536" s="37"/>
      <c r="O536" s="37"/>
      <c r="P536" s="37"/>
      <c r="Q536" s="37"/>
      <c r="R536" s="39"/>
      <c r="S536" s="37"/>
      <c r="T536" s="38" t="s">
        <v>293</v>
      </c>
    </row>
    <row r="537" ht="34.5">
      <c r="A537" s="38" t="s">
        <v>884</v>
      </c>
      <c r="B537" s="38" t="s">
        <v>885</v>
      </c>
      <c r="C537" s="38" t="s">
        <v>471</v>
      </c>
      <c r="D537" s="38" t="s">
        <v>490</v>
      </c>
      <c r="E537" s="38" t="s">
        <v>477</v>
      </c>
      <c r="F537" s="37" t="s">
        <v>478</v>
      </c>
      <c r="G537" s="38" t="s">
        <v>451</v>
      </c>
      <c r="H537" s="37"/>
      <c r="I537" s="37"/>
      <c r="J537" s="37" t="s">
        <v>491</v>
      </c>
      <c r="K537" s="40"/>
      <c r="L537" s="38"/>
      <c r="M537" s="38"/>
      <c r="N537" s="37"/>
      <c r="O537" s="37"/>
      <c r="P537" s="37"/>
      <c r="Q537" s="37"/>
      <c r="R537" s="39"/>
      <c r="S537" s="37"/>
      <c r="T537" s="38" t="s">
        <v>293</v>
      </c>
    </row>
    <row r="538" ht="34.5">
      <c r="A538" s="38" t="s">
        <v>884</v>
      </c>
      <c r="B538" s="38" t="s">
        <v>885</v>
      </c>
      <c r="C538" s="38" t="s">
        <v>471</v>
      </c>
      <c r="D538" s="38" t="s">
        <v>288</v>
      </c>
      <c r="E538" s="38" t="s">
        <v>477</v>
      </c>
      <c r="F538" s="37" t="s">
        <v>478</v>
      </c>
      <c r="G538" s="38" t="s">
        <v>451</v>
      </c>
      <c r="H538" s="37"/>
      <c r="I538" s="37"/>
      <c r="J538" s="37" t="s">
        <v>482</v>
      </c>
      <c r="K538" s="40"/>
      <c r="L538" s="38"/>
      <c r="M538" s="38"/>
      <c r="N538" s="37"/>
      <c r="O538" s="37"/>
      <c r="P538" s="37"/>
      <c r="Q538" s="37"/>
      <c r="R538" s="39"/>
      <c r="S538" s="37"/>
      <c r="T538" s="38" t="s">
        <v>293</v>
      </c>
    </row>
    <row r="539" ht="34.5">
      <c r="A539" s="38" t="s">
        <v>884</v>
      </c>
      <c r="B539" s="38" t="s">
        <v>885</v>
      </c>
      <c r="C539" s="38" t="s">
        <v>483</v>
      </c>
      <c r="D539" s="38" t="s">
        <v>288</v>
      </c>
      <c r="E539" s="38" t="s">
        <v>477</v>
      </c>
      <c r="F539" s="37" t="s">
        <v>478</v>
      </c>
      <c r="G539" s="38" t="s">
        <v>451</v>
      </c>
      <c r="H539" s="37"/>
      <c r="I539" s="37"/>
      <c r="J539" s="37" t="s">
        <v>484</v>
      </c>
      <c r="K539" s="40"/>
      <c r="L539" s="38"/>
      <c r="M539" s="38"/>
      <c r="N539" s="37"/>
      <c r="O539" s="37"/>
      <c r="P539" s="37"/>
      <c r="Q539" s="37"/>
      <c r="R539" s="39"/>
      <c r="S539" s="37"/>
      <c r="T539" s="38" t="s">
        <v>293</v>
      </c>
    </row>
    <row r="540" ht="34.5">
      <c r="A540" s="38" t="s">
        <v>884</v>
      </c>
      <c r="B540" s="38" t="s">
        <v>885</v>
      </c>
      <c r="C540" s="38" t="s">
        <v>483</v>
      </c>
      <c r="D540" s="38" t="s">
        <v>495</v>
      </c>
      <c r="E540" s="38" t="s">
        <v>477</v>
      </c>
      <c r="F540" s="37" t="s">
        <v>478</v>
      </c>
      <c r="G540" s="38" t="s">
        <v>451</v>
      </c>
      <c r="H540" s="37"/>
      <c r="I540" s="37"/>
      <c r="J540" s="37" t="s">
        <v>496</v>
      </c>
      <c r="K540" s="40"/>
      <c r="L540" s="38"/>
      <c r="M540" s="38"/>
      <c r="N540" s="37"/>
      <c r="O540" s="37"/>
      <c r="P540" s="37"/>
      <c r="Q540" s="37"/>
      <c r="R540" s="39"/>
      <c r="S540" s="37"/>
      <c r="T540" s="38" t="s">
        <v>293</v>
      </c>
    </row>
    <row r="541" ht="34.5">
      <c r="A541" s="38" t="s">
        <v>884</v>
      </c>
      <c r="B541" s="38" t="s">
        <v>885</v>
      </c>
      <c r="C541" s="38" t="s">
        <v>483</v>
      </c>
      <c r="D541" s="38" t="s">
        <v>288</v>
      </c>
      <c r="E541" s="38" t="s">
        <v>477</v>
      </c>
      <c r="F541" s="37" t="s">
        <v>478</v>
      </c>
      <c r="G541" s="38" t="s">
        <v>451</v>
      </c>
      <c r="H541" s="37"/>
      <c r="I541" s="37"/>
      <c r="J541" s="37" t="s">
        <v>476</v>
      </c>
      <c r="K541" s="40"/>
      <c r="L541" s="38"/>
      <c r="M541" s="38"/>
      <c r="N541" s="37"/>
      <c r="O541" s="37"/>
      <c r="P541" s="37"/>
      <c r="Q541" s="37"/>
      <c r="R541" s="39"/>
      <c r="S541" s="37"/>
      <c r="T541" s="38" t="s">
        <v>293</v>
      </c>
    </row>
    <row r="542" ht="34.5">
      <c r="A542" s="38" t="s">
        <v>884</v>
      </c>
      <c r="B542" s="38" t="s">
        <v>885</v>
      </c>
      <c r="C542" s="38" t="s">
        <v>483</v>
      </c>
      <c r="D542" s="38" t="s">
        <v>288</v>
      </c>
      <c r="E542" s="38" t="s">
        <v>487</v>
      </c>
      <c r="F542" s="37" t="s">
        <v>488</v>
      </c>
      <c r="G542" s="38" t="s">
        <v>451</v>
      </c>
      <c r="H542" s="37"/>
      <c r="I542" s="37"/>
      <c r="J542" s="37" t="s">
        <v>489</v>
      </c>
      <c r="K542" s="40"/>
      <c r="L542" s="38"/>
      <c r="M542" s="38"/>
      <c r="N542" s="37"/>
      <c r="O542" s="37"/>
      <c r="P542" s="37"/>
      <c r="Q542" s="37"/>
      <c r="R542" s="39"/>
      <c r="S542" s="37"/>
      <c r="T542" s="38" t="s">
        <v>293</v>
      </c>
    </row>
    <row r="543" ht="34.5">
      <c r="A543" s="38" t="s">
        <v>884</v>
      </c>
      <c r="B543" s="38" t="s">
        <v>885</v>
      </c>
      <c r="C543" s="38" t="s">
        <v>483</v>
      </c>
      <c r="D543" s="38" t="s">
        <v>502</v>
      </c>
      <c r="E543" s="38" t="s">
        <v>487</v>
      </c>
      <c r="F543" s="37" t="s">
        <v>488</v>
      </c>
      <c r="G543" s="38" t="s">
        <v>451</v>
      </c>
      <c r="H543" s="37"/>
      <c r="I543" s="37"/>
      <c r="J543" s="37" t="s">
        <v>503</v>
      </c>
      <c r="K543" s="40"/>
      <c r="L543" s="38"/>
      <c r="M543" s="38"/>
      <c r="N543" s="37"/>
      <c r="O543" s="37"/>
      <c r="P543" s="37"/>
      <c r="Q543" s="37"/>
      <c r="R543" s="39"/>
      <c r="S543" s="37"/>
      <c r="T543" s="38" t="s">
        <v>293</v>
      </c>
    </row>
    <row r="544" ht="34.5">
      <c r="A544" s="38" t="s">
        <v>884</v>
      </c>
      <c r="B544" s="38" t="s">
        <v>885</v>
      </c>
      <c r="C544" s="38" t="s">
        <v>483</v>
      </c>
      <c r="D544" s="38" t="s">
        <v>288</v>
      </c>
      <c r="E544" s="38" t="s">
        <v>492</v>
      </c>
      <c r="F544" s="37" t="s">
        <v>493</v>
      </c>
      <c r="G544" s="38" t="s">
        <v>70</v>
      </c>
      <c r="H544" s="37"/>
      <c r="I544" s="37"/>
      <c r="J544" s="37" t="s">
        <v>494</v>
      </c>
      <c r="K544" s="40"/>
      <c r="L544" s="38"/>
      <c r="M544" s="38"/>
      <c r="N544" s="37"/>
      <c r="O544" s="37"/>
      <c r="P544" s="37"/>
      <c r="Q544" s="37"/>
      <c r="R544" s="39"/>
      <c r="S544" s="37"/>
      <c r="T544" s="38" t="s">
        <v>293</v>
      </c>
    </row>
    <row r="545" ht="34.5">
      <c r="A545" s="38" t="s">
        <v>884</v>
      </c>
      <c r="B545" s="38" t="s">
        <v>885</v>
      </c>
      <c r="C545" s="38" t="s">
        <v>483</v>
      </c>
      <c r="D545" s="38" t="s">
        <v>512</v>
      </c>
      <c r="E545" s="38" t="s">
        <v>492</v>
      </c>
      <c r="F545" s="37" t="s">
        <v>493</v>
      </c>
      <c r="G545" s="38" t="s">
        <v>70</v>
      </c>
      <c r="H545" s="37"/>
      <c r="I545" s="37"/>
      <c r="J545" s="37" t="s">
        <v>513</v>
      </c>
      <c r="K545" s="40"/>
      <c r="L545" s="38"/>
      <c r="M545" s="38"/>
      <c r="N545" s="37"/>
      <c r="O545" s="37"/>
      <c r="P545" s="37"/>
      <c r="Q545" s="37"/>
      <c r="R545" s="39"/>
      <c r="S545" s="37"/>
      <c r="T545" s="38" t="s">
        <v>293</v>
      </c>
    </row>
    <row r="546" ht="34.5">
      <c r="A546" s="38" t="s">
        <v>884</v>
      </c>
      <c r="B546" s="38" t="s">
        <v>885</v>
      </c>
      <c r="C546" s="38" t="s">
        <v>497</v>
      </c>
      <c r="D546" s="38" t="s">
        <v>288</v>
      </c>
      <c r="E546" s="38" t="s">
        <v>498</v>
      </c>
      <c r="F546" s="37" t="s">
        <v>499</v>
      </c>
      <c r="G546" s="38" t="s">
        <v>500</v>
      </c>
      <c r="H546" s="37"/>
      <c r="I546" s="37"/>
      <c r="J546" s="37" t="s">
        <v>952</v>
      </c>
      <c r="K546" s="40">
        <v>10321850</v>
      </c>
      <c r="L546" s="38" t="s">
        <v>297</v>
      </c>
      <c r="M546" s="38"/>
      <c r="N546" s="37"/>
      <c r="O546" s="37"/>
      <c r="P546" s="37"/>
      <c r="Q546" s="37"/>
      <c r="R546" s="39"/>
      <c r="S546" s="37"/>
      <c r="T546" s="38" t="s">
        <v>293</v>
      </c>
    </row>
    <row r="547" ht="34.5">
      <c r="A547" s="38" t="s">
        <v>884</v>
      </c>
      <c r="B547" s="38" t="s">
        <v>885</v>
      </c>
      <c r="C547" s="38" t="s">
        <v>497</v>
      </c>
      <c r="D547" s="38" t="s">
        <v>517</v>
      </c>
      <c r="E547" s="38" t="s">
        <v>498</v>
      </c>
      <c r="F547" s="37" t="s">
        <v>499</v>
      </c>
      <c r="G547" s="38" t="s">
        <v>500</v>
      </c>
      <c r="H547" s="37"/>
      <c r="I547" s="37"/>
      <c r="J547" s="37" t="s">
        <v>518</v>
      </c>
      <c r="K547" s="40"/>
      <c r="L547" s="38"/>
      <c r="M547" s="38"/>
      <c r="N547" s="37"/>
      <c r="O547" s="37"/>
      <c r="P547" s="37"/>
      <c r="Q547" s="37"/>
      <c r="R547" s="39"/>
      <c r="S547" s="37"/>
      <c r="T547" s="38" t="s">
        <v>293</v>
      </c>
    </row>
    <row r="548" ht="34.5">
      <c r="A548" s="38" t="s">
        <v>884</v>
      </c>
      <c r="B548" s="38" t="s">
        <v>885</v>
      </c>
      <c r="C548" s="38" t="s">
        <v>497</v>
      </c>
      <c r="D548" s="38" t="s">
        <v>288</v>
      </c>
      <c r="E548" s="38" t="s">
        <v>498</v>
      </c>
      <c r="F548" s="37" t="s">
        <v>499</v>
      </c>
      <c r="G548" s="38" t="s">
        <v>500</v>
      </c>
      <c r="H548" s="37"/>
      <c r="I548" s="37"/>
      <c r="J548" s="37" t="s">
        <v>504</v>
      </c>
      <c r="K548" s="40"/>
      <c r="L548" s="38"/>
      <c r="M548" s="38"/>
      <c r="N548" s="37"/>
      <c r="O548" s="37"/>
      <c r="P548" s="37"/>
      <c r="Q548" s="37"/>
      <c r="R548" s="39"/>
      <c r="S548" s="37"/>
      <c r="T548" s="38" t="s">
        <v>293</v>
      </c>
    </row>
    <row r="549" ht="34.5">
      <c r="A549" s="38" t="s">
        <v>884</v>
      </c>
      <c r="B549" s="38" t="s">
        <v>885</v>
      </c>
      <c r="C549" s="38" t="s">
        <v>497</v>
      </c>
      <c r="D549" s="38" t="s">
        <v>288</v>
      </c>
      <c r="E549" s="38" t="s">
        <v>498</v>
      </c>
      <c r="F549" s="37" t="s">
        <v>499</v>
      </c>
      <c r="G549" s="38" t="s">
        <v>500</v>
      </c>
      <c r="H549" s="37"/>
      <c r="I549" s="37"/>
      <c r="J549" s="37" t="s">
        <v>505</v>
      </c>
      <c r="K549" s="40"/>
      <c r="L549" s="38"/>
      <c r="M549" s="38"/>
      <c r="N549" s="37"/>
      <c r="O549" s="37"/>
      <c r="P549" s="37"/>
      <c r="Q549" s="37"/>
      <c r="R549" s="39"/>
      <c r="S549" s="37"/>
      <c r="T549" s="38" t="s">
        <v>293</v>
      </c>
    </row>
    <row r="550" ht="34.5">
      <c r="A550" s="38" t="s">
        <v>884</v>
      </c>
      <c r="B550" s="38" t="s">
        <v>885</v>
      </c>
      <c r="C550" s="38" t="s">
        <v>497</v>
      </c>
      <c r="D550" s="38" t="s">
        <v>288</v>
      </c>
      <c r="E550" s="38" t="s">
        <v>498</v>
      </c>
      <c r="F550" s="37" t="s">
        <v>499</v>
      </c>
      <c r="G550" s="38" t="s">
        <v>500</v>
      </c>
      <c r="H550" s="37"/>
      <c r="I550" s="37"/>
      <c r="J550" s="37" t="s">
        <v>953</v>
      </c>
      <c r="K550" s="40">
        <v>210000</v>
      </c>
      <c r="L550" s="38" t="s">
        <v>297</v>
      </c>
      <c r="M550" s="38"/>
      <c r="N550" s="37"/>
      <c r="O550" s="37"/>
      <c r="P550" s="37"/>
      <c r="Q550" s="37"/>
      <c r="R550" s="39"/>
      <c r="S550" s="37"/>
      <c r="T550" s="38" t="s">
        <v>293</v>
      </c>
    </row>
    <row r="551" ht="34.5">
      <c r="A551" s="38" t="s">
        <v>884</v>
      </c>
      <c r="B551" s="38" t="s">
        <v>885</v>
      </c>
      <c r="C551" s="38" t="s">
        <v>497</v>
      </c>
      <c r="D551" s="38" t="s">
        <v>288</v>
      </c>
      <c r="E551" s="38" t="s">
        <v>498</v>
      </c>
      <c r="F551" s="37" t="s">
        <v>499</v>
      </c>
      <c r="G551" s="38" t="s">
        <v>500</v>
      </c>
      <c r="H551" s="37"/>
      <c r="I551" s="37"/>
      <c r="J551" s="37" t="s">
        <v>954</v>
      </c>
      <c r="K551" s="40"/>
      <c r="L551" s="38"/>
      <c r="M551" s="38"/>
      <c r="N551" s="37"/>
      <c r="O551" s="37"/>
      <c r="P551" s="37"/>
      <c r="Q551" s="37"/>
      <c r="R551" s="39"/>
      <c r="S551" s="37"/>
      <c r="T551" s="38" t="s">
        <v>293</v>
      </c>
    </row>
    <row r="552" ht="34.5">
      <c r="A552" s="38" t="s">
        <v>884</v>
      </c>
      <c r="B552" s="38" t="s">
        <v>885</v>
      </c>
      <c r="C552" s="38" t="s">
        <v>508</v>
      </c>
      <c r="D552" s="38" t="s">
        <v>288</v>
      </c>
      <c r="E552" s="38" t="s">
        <v>498</v>
      </c>
      <c r="F552" s="37" t="s">
        <v>499</v>
      </c>
      <c r="G552" s="38" t="s">
        <v>500</v>
      </c>
      <c r="H552" s="37"/>
      <c r="I552" s="37"/>
      <c r="J552" s="37" t="s">
        <v>509</v>
      </c>
      <c r="K552" s="40"/>
      <c r="L552" s="38"/>
      <c r="M552" s="38"/>
      <c r="N552" s="37"/>
      <c r="O552" s="37"/>
      <c r="P552" s="37"/>
      <c r="Q552" s="37"/>
      <c r="R552" s="39"/>
      <c r="S552" s="37"/>
      <c r="T552" s="38" t="s">
        <v>293</v>
      </c>
    </row>
    <row r="553" ht="34.5">
      <c r="A553" s="38" t="s">
        <v>884</v>
      </c>
      <c r="B553" s="38" t="s">
        <v>885</v>
      </c>
      <c r="C553" s="38" t="s">
        <v>508</v>
      </c>
      <c r="D553" s="38" t="s">
        <v>288</v>
      </c>
      <c r="E553" s="38" t="s">
        <v>498</v>
      </c>
      <c r="F553" s="37" t="s">
        <v>499</v>
      </c>
      <c r="G553" s="38" t="s">
        <v>500</v>
      </c>
      <c r="H553" s="37"/>
      <c r="I553" s="37"/>
      <c r="J553" s="37" t="s">
        <v>510</v>
      </c>
      <c r="K553" s="40"/>
      <c r="L553" s="38"/>
      <c r="M553" s="38"/>
      <c r="N553" s="37"/>
      <c r="O553" s="37"/>
      <c r="P553" s="37"/>
      <c r="Q553" s="37"/>
      <c r="R553" s="39"/>
      <c r="S553" s="37"/>
      <c r="T553" s="38" t="s">
        <v>293</v>
      </c>
    </row>
    <row r="554" ht="34.5">
      <c r="A554" s="38" t="s">
        <v>884</v>
      </c>
      <c r="B554" s="38" t="s">
        <v>885</v>
      </c>
      <c r="C554" s="38" t="s">
        <v>508</v>
      </c>
      <c r="D554" s="38" t="s">
        <v>288</v>
      </c>
      <c r="E554" s="38" t="s">
        <v>498</v>
      </c>
      <c r="F554" s="37" t="s">
        <v>499</v>
      </c>
      <c r="G554" s="38" t="s">
        <v>500</v>
      </c>
      <c r="H554" s="37"/>
      <c r="I554" s="37"/>
      <c r="J554" s="37" t="s">
        <v>511</v>
      </c>
      <c r="K554" s="40"/>
      <c r="L554" s="38"/>
      <c r="M554" s="38"/>
      <c r="N554" s="37"/>
      <c r="O554" s="37"/>
      <c r="P554" s="37"/>
      <c r="Q554" s="37"/>
      <c r="R554" s="39"/>
      <c r="S554" s="37"/>
      <c r="T554" s="38" t="s">
        <v>293</v>
      </c>
    </row>
    <row r="555" ht="34.5">
      <c r="A555" s="38" t="s">
        <v>884</v>
      </c>
      <c r="B555" s="38" t="s">
        <v>885</v>
      </c>
      <c r="C555" s="38" t="s">
        <v>508</v>
      </c>
      <c r="D555" s="38" t="s">
        <v>521</v>
      </c>
      <c r="E555" s="38" t="s">
        <v>498</v>
      </c>
      <c r="F555" s="37" t="s">
        <v>499</v>
      </c>
      <c r="G555" s="38" t="s">
        <v>500</v>
      </c>
      <c r="H555" s="37"/>
      <c r="I555" s="37"/>
      <c r="J555" s="37" t="s">
        <v>522</v>
      </c>
      <c r="K555" s="40"/>
      <c r="L555" s="38"/>
      <c r="M555" s="38"/>
      <c r="N555" s="37"/>
      <c r="O555" s="37"/>
      <c r="P555" s="37"/>
      <c r="Q555" s="37"/>
      <c r="R555" s="39"/>
      <c r="S555" s="37"/>
      <c r="T555" s="38" t="s">
        <v>293</v>
      </c>
    </row>
    <row r="556" ht="34.5">
      <c r="A556" s="38" t="s">
        <v>884</v>
      </c>
      <c r="B556" s="38" t="s">
        <v>885</v>
      </c>
      <c r="C556" s="38" t="s">
        <v>508</v>
      </c>
      <c r="D556" s="38" t="s">
        <v>288</v>
      </c>
      <c r="E556" s="38" t="s">
        <v>514</v>
      </c>
      <c r="F556" s="37" t="s">
        <v>515</v>
      </c>
      <c r="G556" s="38" t="s">
        <v>70</v>
      </c>
      <c r="H556" s="37"/>
      <c r="I556" s="37"/>
      <c r="J556" s="37" t="s">
        <v>516</v>
      </c>
      <c r="K556" s="40"/>
      <c r="L556" s="38"/>
      <c r="M556" s="38"/>
      <c r="N556" s="37"/>
      <c r="O556" s="37"/>
      <c r="P556" s="37"/>
      <c r="Q556" s="37"/>
      <c r="R556" s="39"/>
      <c r="S556" s="37"/>
      <c r="T556" s="38" t="s">
        <v>293</v>
      </c>
    </row>
    <row r="557" ht="34.5">
      <c r="A557" s="38" t="s">
        <v>884</v>
      </c>
      <c r="B557" s="38" t="s">
        <v>885</v>
      </c>
      <c r="C557" s="38" t="s">
        <v>508</v>
      </c>
      <c r="D557" s="38" t="s">
        <v>526</v>
      </c>
      <c r="E557" s="38" t="s">
        <v>514</v>
      </c>
      <c r="F557" s="37" t="s">
        <v>515</v>
      </c>
      <c r="G557" s="38" t="s">
        <v>70</v>
      </c>
      <c r="H557" s="37"/>
      <c r="I557" s="37"/>
      <c r="J557" s="37" t="s">
        <v>527</v>
      </c>
      <c r="K557" s="40"/>
      <c r="L557" s="38"/>
      <c r="M557" s="38"/>
      <c r="N557" s="37"/>
      <c r="O557" s="37"/>
      <c r="P557" s="37"/>
      <c r="Q557" s="37"/>
      <c r="R557" s="39"/>
      <c r="S557" s="37"/>
      <c r="T557" s="38" t="s">
        <v>293</v>
      </c>
    </row>
    <row r="558" ht="34.5">
      <c r="A558" s="38" t="s">
        <v>884</v>
      </c>
      <c r="B558" s="38" t="s">
        <v>885</v>
      </c>
      <c r="C558" s="38" t="s">
        <v>508</v>
      </c>
      <c r="D558" s="38" t="s">
        <v>288</v>
      </c>
      <c r="E558" s="38" t="s">
        <v>514</v>
      </c>
      <c r="F558" s="37" t="s">
        <v>515</v>
      </c>
      <c r="G558" s="38" t="s">
        <v>70</v>
      </c>
      <c r="H558" s="37"/>
      <c r="I558" s="37"/>
      <c r="J558" s="37" t="s">
        <v>955</v>
      </c>
      <c r="K558" s="40">
        <v>4298212</v>
      </c>
      <c r="L558" s="38" t="s">
        <v>297</v>
      </c>
      <c r="M558" s="38"/>
      <c r="N558" s="37"/>
      <c r="O558" s="37"/>
      <c r="P558" s="37"/>
      <c r="Q558" s="37"/>
      <c r="R558" s="39"/>
      <c r="S558" s="37"/>
      <c r="T558" s="38" t="s">
        <v>293</v>
      </c>
    </row>
    <row r="559" ht="34.5">
      <c r="A559" s="38" t="s">
        <v>884</v>
      </c>
      <c r="B559" s="38" t="s">
        <v>885</v>
      </c>
      <c r="C559" s="38" t="s">
        <v>519</v>
      </c>
      <c r="D559" s="38" t="s">
        <v>288</v>
      </c>
      <c r="E559" s="38" t="s">
        <v>514</v>
      </c>
      <c r="F559" s="37" t="s">
        <v>515</v>
      </c>
      <c r="G559" s="38" t="s">
        <v>70</v>
      </c>
      <c r="H559" s="37"/>
      <c r="I559" s="37"/>
      <c r="J559" s="37" t="s">
        <v>520</v>
      </c>
      <c r="K559" s="40"/>
      <c r="L559" s="38"/>
      <c r="M559" s="38"/>
      <c r="N559" s="37"/>
      <c r="O559" s="37"/>
      <c r="P559" s="37"/>
      <c r="Q559" s="37"/>
      <c r="R559" s="39"/>
      <c r="S559" s="37"/>
      <c r="T559" s="38" t="s">
        <v>293</v>
      </c>
    </row>
    <row r="560" ht="34.5">
      <c r="A560" s="38" t="s">
        <v>884</v>
      </c>
      <c r="B560" s="38" t="s">
        <v>885</v>
      </c>
      <c r="C560" s="38" t="s">
        <v>519</v>
      </c>
      <c r="D560" s="38" t="s">
        <v>532</v>
      </c>
      <c r="E560" s="38" t="s">
        <v>514</v>
      </c>
      <c r="F560" s="37" t="s">
        <v>515</v>
      </c>
      <c r="G560" s="38" t="s">
        <v>70</v>
      </c>
      <c r="H560" s="37"/>
      <c r="I560" s="37"/>
      <c r="J560" s="37" t="s">
        <v>533</v>
      </c>
      <c r="K560" s="40"/>
      <c r="L560" s="38"/>
      <c r="M560" s="38"/>
      <c r="N560" s="37"/>
      <c r="O560" s="37"/>
      <c r="P560" s="37"/>
      <c r="Q560" s="37"/>
      <c r="R560" s="39"/>
      <c r="S560" s="37"/>
      <c r="T560" s="38" t="s">
        <v>293</v>
      </c>
    </row>
    <row r="561" ht="34.5">
      <c r="A561" s="38" t="s">
        <v>884</v>
      </c>
      <c r="B561" s="38" t="s">
        <v>885</v>
      </c>
      <c r="C561" s="38" t="s">
        <v>519</v>
      </c>
      <c r="D561" s="38" t="s">
        <v>288</v>
      </c>
      <c r="E561" s="38" t="s">
        <v>514</v>
      </c>
      <c r="F561" s="37" t="s">
        <v>515</v>
      </c>
      <c r="G561" s="38" t="s">
        <v>70</v>
      </c>
      <c r="H561" s="37"/>
      <c r="I561" s="37"/>
      <c r="J561" s="37" t="s">
        <v>956</v>
      </c>
      <c r="K561" s="40"/>
      <c r="L561" s="38"/>
      <c r="M561" s="38"/>
      <c r="N561" s="37"/>
      <c r="O561" s="37"/>
      <c r="P561" s="37"/>
      <c r="Q561" s="37"/>
      <c r="R561" s="39"/>
      <c r="S561" s="37"/>
      <c r="T561" s="38" t="s">
        <v>293</v>
      </c>
    </row>
    <row r="562" ht="34.5">
      <c r="A562" s="38" t="s">
        <v>884</v>
      </c>
      <c r="B562" s="38" t="s">
        <v>885</v>
      </c>
      <c r="C562" s="38" t="s">
        <v>519</v>
      </c>
      <c r="D562" s="38" t="s">
        <v>538</v>
      </c>
      <c r="E562" s="38" t="s">
        <v>514</v>
      </c>
      <c r="F562" s="37" t="s">
        <v>515</v>
      </c>
      <c r="G562" s="38" t="s">
        <v>70</v>
      </c>
      <c r="H562" s="37"/>
      <c r="I562" s="37"/>
      <c r="J562" s="37" t="s">
        <v>539</v>
      </c>
      <c r="K562" s="40"/>
      <c r="L562" s="38"/>
      <c r="M562" s="38"/>
      <c r="N562" s="37"/>
      <c r="O562" s="37"/>
      <c r="P562" s="37"/>
      <c r="Q562" s="37"/>
      <c r="R562" s="39"/>
      <c r="S562" s="37"/>
      <c r="T562" s="38" t="s">
        <v>293</v>
      </c>
    </row>
    <row r="563" ht="34.5">
      <c r="A563" s="38" t="s">
        <v>884</v>
      </c>
      <c r="B563" s="38" t="s">
        <v>885</v>
      </c>
      <c r="C563" s="38" t="s">
        <v>528</v>
      </c>
      <c r="D563" s="38" t="s">
        <v>288</v>
      </c>
      <c r="E563" s="38" t="s">
        <v>529</v>
      </c>
      <c r="F563" s="37" t="s">
        <v>530</v>
      </c>
      <c r="G563" s="38" t="s">
        <v>70</v>
      </c>
      <c r="H563" s="37"/>
      <c r="I563" s="37"/>
      <c r="J563" s="37" t="s">
        <v>531</v>
      </c>
      <c r="K563" s="40"/>
      <c r="L563" s="38"/>
      <c r="M563" s="38"/>
      <c r="N563" s="37"/>
      <c r="O563" s="37"/>
      <c r="P563" s="37"/>
      <c r="Q563" s="37"/>
      <c r="R563" s="39"/>
      <c r="S563" s="37"/>
      <c r="T563" s="38" t="s">
        <v>293</v>
      </c>
    </row>
    <row r="564" ht="34.5">
      <c r="A564" s="38" t="s">
        <v>884</v>
      </c>
      <c r="B564" s="38" t="s">
        <v>885</v>
      </c>
      <c r="C564" s="38" t="s">
        <v>528</v>
      </c>
      <c r="D564" s="38" t="s">
        <v>544</v>
      </c>
      <c r="E564" s="38" t="s">
        <v>529</v>
      </c>
      <c r="F564" s="37" t="s">
        <v>530</v>
      </c>
      <c r="G564" s="38" t="s">
        <v>70</v>
      </c>
      <c r="H564" s="37"/>
      <c r="I564" s="37"/>
      <c r="J564" s="37" t="s">
        <v>545</v>
      </c>
      <c r="K564" s="40"/>
      <c r="L564" s="38"/>
      <c r="M564" s="38"/>
      <c r="N564" s="37"/>
      <c r="O564" s="37"/>
      <c r="P564" s="37"/>
      <c r="Q564" s="37"/>
      <c r="R564" s="39"/>
      <c r="S564" s="37"/>
      <c r="T564" s="38" t="s">
        <v>293</v>
      </c>
    </row>
    <row r="565" ht="34.5">
      <c r="A565" s="38" t="s">
        <v>884</v>
      </c>
      <c r="B565" s="38" t="s">
        <v>885</v>
      </c>
      <c r="C565" s="38" t="s">
        <v>528</v>
      </c>
      <c r="D565" s="38" t="s">
        <v>288</v>
      </c>
      <c r="E565" s="38" t="s">
        <v>534</v>
      </c>
      <c r="F565" s="37" t="s">
        <v>535</v>
      </c>
      <c r="G565" s="38" t="s">
        <v>536</v>
      </c>
      <c r="H565" s="37"/>
      <c r="I565" s="37"/>
      <c r="J565" s="37" t="s">
        <v>537</v>
      </c>
      <c r="K565" s="40"/>
      <c r="L565" s="38"/>
      <c r="M565" s="38"/>
      <c r="N565" s="37"/>
      <c r="O565" s="37"/>
      <c r="P565" s="37"/>
      <c r="Q565" s="37"/>
      <c r="R565" s="39"/>
      <c r="S565" s="37"/>
      <c r="T565" s="38" t="s">
        <v>293</v>
      </c>
    </row>
    <row r="566" ht="34.5">
      <c r="A566" s="38" t="s">
        <v>884</v>
      </c>
      <c r="B566" s="38" t="s">
        <v>885</v>
      </c>
      <c r="C566" s="38" t="s">
        <v>528</v>
      </c>
      <c r="D566" s="38" t="s">
        <v>559</v>
      </c>
      <c r="E566" s="38" t="s">
        <v>534</v>
      </c>
      <c r="F566" s="37" t="s">
        <v>535</v>
      </c>
      <c r="G566" s="38" t="s">
        <v>536</v>
      </c>
      <c r="H566" s="37"/>
      <c r="I566" s="37"/>
      <c r="J566" s="37" t="s">
        <v>957</v>
      </c>
      <c r="K566" s="40"/>
      <c r="L566" s="38"/>
      <c r="M566" s="38"/>
      <c r="N566" s="37"/>
      <c r="O566" s="37"/>
      <c r="P566" s="37"/>
      <c r="Q566" s="37"/>
      <c r="R566" s="39"/>
      <c r="S566" s="37"/>
      <c r="T566" s="38" t="s">
        <v>293</v>
      </c>
    </row>
    <row r="567" ht="34.5">
      <c r="A567" s="38" t="s">
        <v>884</v>
      </c>
      <c r="B567" s="38" t="s">
        <v>885</v>
      </c>
      <c r="C567" s="38" t="s">
        <v>540</v>
      </c>
      <c r="D567" s="38" t="s">
        <v>288</v>
      </c>
      <c r="E567" s="38" t="s">
        <v>541</v>
      </c>
      <c r="F567" s="37" t="s">
        <v>542</v>
      </c>
      <c r="G567" s="38" t="s">
        <v>536</v>
      </c>
      <c r="H567" s="37"/>
      <c r="I567" s="37"/>
      <c r="J567" s="37" t="s">
        <v>543</v>
      </c>
      <c r="K567" s="40"/>
      <c r="L567" s="38"/>
      <c r="M567" s="38"/>
      <c r="N567" s="37"/>
      <c r="O567" s="37"/>
      <c r="P567" s="37"/>
      <c r="Q567" s="37"/>
      <c r="R567" s="39"/>
      <c r="S567" s="37"/>
      <c r="T567" s="38" t="s">
        <v>293</v>
      </c>
    </row>
    <row r="568" ht="34.5">
      <c r="A568" s="38" t="s">
        <v>884</v>
      </c>
      <c r="B568" s="38" t="s">
        <v>885</v>
      </c>
      <c r="C568" s="38" t="s">
        <v>540</v>
      </c>
      <c r="D568" s="38" t="s">
        <v>958</v>
      </c>
      <c r="E568" s="38" t="s">
        <v>541</v>
      </c>
      <c r="F568" s="37" t="s">
        <v>542</v>
      </c>
      <c r="G568" s="38" t="s">
        <v>536</v>
      </c>
      <c r="H568" s="37"/>
      <c r="I568" s="37"/>
      <c r="J568" s="37" t="s">
        <v>959</v>
      </c>
      <c r="K568" s="40"/>
      <c r="L568" s="38"/>
      <c r="M568" s="38"/>
      <c r="N568" s="37"/>
      <c r="O568" s="37"/>
      <c r="P568" s="37"/>
      <c r="Q568" s="37"/>
      <c r="R568" s="39"/>
      <c r="S568" s="37"/>
      <c r="T568" s="38" t="s">
        <v>293</v>
      </c>
    </row>
    <row r="569" ht="34.5">
      <c r="A569" s="38" t="s">
        <v>884</v>
      </c>
      <c r="B569" s="38" t="s">
        <v>885</v>
      </c>
      <c r="C569" s="38" t="s">
        <v>540</v>
      </c>
      <c r="D569" s="38" t="s">
        <v>288</v>
      </c>
      <c r="E569" s="38" t="s">
        <v>541</v>
      </c>
      <c r="F569" s="37" t="s">
        <v>542</v>
      </c>
      <c r="G569" s="38" t="s">
        <v>536</v>
      </c>
      <c r="H569" s="37"/>
      <c r="I569" s="37"/>
      <c r="J569" s="37" t="s">
        <v>960</v>
      </c>
      <c r="K569" s="40">
        <v>2224</v>
      </c>
      <c r="L569" s="38" t="s">
        <v>297</v>
      </c>
      <c r="M569" s="38"/>
      <c r="N569" s="37"/>
      <c r="O569" s="37"/>
      <c r="P569" s="37"/>
      <c r="Q569" s="37"/>
      <c r="R569" s="39"/>
      <c r="S569" s="37"/>
      <c r="T569" s="38" t="s">
        <v>293</v>
      </c>
    </row>
    <row r="570" ht="34.5">
      <c r="A570" s="38" t="s">
        <v>884</v>
      </c>
      <c r="B570" s="38" t="s">
        <v>885</v>
      </c>
      <c r="C570" s="38" t="s">
        <v>540</v>
      </c>
      <c r="D570" s="38" t="s">
        <v>288</v>
      </c>
      <c r="E570" s="38" t="s">
        <v>541</v>
      </c>
      <c r="F570" s="37" t="s">
        <v>542</v>
      </c>
      <c r="G570" s="38" t="s">
        <v>536</v>
      </c>
      <c r="H570" s="37"/>
      <c r="I570" s="37"/>
      <c r="J570" s="37" t="s">
        <v>547</v>
      </c>
      <c r="K570" s="40"/>
      <c r="L570" s="38"/>
      <c r="M570" s="38"/>
      <c r="N570" s="37"/>
      <c r="O570" s="37"/>
      <c r="P570" s="37"/>
      <c r="Q570" s="37"/>
      <c r="R570" s="39"/>
      <c r="S570" s="37"/>
      <c r="T570" s="38" t="s">
        <v>293</v>
      </c>
    </row>
    <row r="571" ht="34.5">
      <c r="A571" s="38" t="s">
        <v>884</v>
      </c>
      <c r="B571" s="38" t="s">
        <v>885</v>
      </c>
      <c r="C571" s="38" t="s">
        <v>540</v>
      </c>
      <c r="D571" s="38" t="s">
        <v>288</v>
      </c>
      <c r="E571" s="38" t="s">
        <v>541</v>
      </c>
      <c r="F571" s="37" t="s">
        <v>542</v>
      </c>
      <c r="G571" s="38" t="s">
        <v>536</v>
      </c>
      <c r="H571" s="37"/>
      <c r="I571" s="37"/>
      <c r="J571" s="37" t="s">
        <v>961</v>
      </c>
      <c r="K571" s="40">
        <v>200000</v>
      </c>
      <c r="L571" s="38" t="s">
        <v>297</v>
      </c>
      <c r="M571" s="38"/>
      <c r="N571" s="37"/>
      <c r="O571" s="37"/>
      <c r="P571" s="37"/>
      <c r="Q571" s="37"/>
      <c r="R571" s="39"/>
      <c r="S571" s="37"/>
      <c r="T571" s="38" t="s">
        <v>293</v>
      </c>
    </row>
    <row r="572" ht="34.5">
      <c r="A572" s="38" t="s">
        <v>884</v>
      </c>
      <c r="B572" s="38" t="s">
        <v>885</v>
      </c>
      <c r="C572" s="38" t="s">
        <v>540</v>
      </c>
      <c r="D572" s="38" t="s">
        <v>288</v>
      </c>
      <c r="E572" s="38" t="s">
        <v>541</v>
      </c>
      <c r="F572" s="37" t="s">
        <v>542</v>
      </c>
      <c r="G572" s="38" t="s">
        <v>536</v>
      </c>
      <c r="H572" s="37"/>
      <c r="I572" s="37"/>
      <c r="J572" s="37" t="s">
        <v>549</v>
      </c>
      <c r="K572" s="40">
        <v>150000</v>
      </c>
      <c r="L572" s="38" t="s">
        <v>297</v>
      </c>
      <c r="M572" s="38"/>
      <c r="N572" s="37"/>
      <c r="O572" s="37"/>
      <c r="P572" s="37"/>
      <c r="Q572" s="37"/>
      <c r="R572" s="39"/>
      <c r="S572" s="37"/>
      <c r="T572" s="38" t="s">
        <v>293</v>
      </c>
    </row>
    <row r="573" ht="34.5">
      <c r="A573" s="38" t="s">
        <v>884</v>
      </c>
      <c r="B573" s="38" t="s">
        <v>885</v>
      </c>
      <c r="C573" s="38" t="s">
        <v>540</v>
      </c>
      <c r="D573" s="38" t="s">
        <v>288</v>
      </c>
      <c r="E573" s="38" t="s">
        <v>541</v>
      </c>
      <c r="F573" s="37" t="s">
        <v>542</v>
      </c>
      <c r="G573" s="38" t="s">
        <v>536</v>
      </c>
      <c r="H573" s="37"/>
      <c r="I573" s="37"/>
      <c r="J573" s="37" t="s">
        <v>962</v>
      </c>
      <c r="K573" s="40">
        <v>119192</v>
      </c>
      <c r="L573" s="38" t="s">
        <v>297</v>
      </c>
      <c r="M573" s="38"/>
      <c r="N573" s="37"/>
      <c r="O573" s="37"/>
      <c r="P573" s="37"/>
      <c r="Q573" s="37"/>
      <c r="R573" s="39"/>
      <c r="S573" s="37"/>
      <c r="T573" s="38" t="s">
        <v>293</v>
      </c>
    </row>
    <row r="574" ht="34.5">
      <c r="A574" s="38" t="s">
        <v>884</v>
      </c>
      <c r="B574" s="38" t="s">
        <v>885</v>
      </c>
      <c r="C574" s="38" t="s">
        <v>551</v>
      </c>
      <c r="D574" s="38" t="s">
        <v>288</v>
      </c>
      <c r="E574" s="38" t="s">
        <v>541</v>
      </c>
      <c r="F574" s="37" t="s">
        <v>542</v>
      </c>
      <c r="G574" s="38" t="s">
        <v>536</v>
      </c>
      <c r="H574" s="37"/>
      <c r="I574" s="37"/>
      <c r="J574" s="37" t="s">
        <v>963</v>
      </c>
      <c r="K574" s="40">
        <v>32309</v>
      </c>
      <c r="L574" s="38" t="s">
        <v>297</v>
      </c>
      <c r="M574" s="38"/>
      <c r="N574" s="37"/>
      <c r="O574" s="37"/>
      <c r="P574" s="37"/>
      <c r="Q574" s="37"/>
      <c r="R574" s="39"/>
      <c r="S574" s="37"/>
      <c r="T574" s="38" t="s">
        <v>293</v>
      </c>
    </row>
    <row r="575" ht="34.5">
      <c r="A575" s="38" t="s">
        <v>884</v>
      </c>
      <c r="B575" s="38" t="s">
        <v>885</v>
      </c>
      <c r="C575" s="38" t="s">
        <v>551</v>
      </c>
      <c r="D575" s="38" t="s">
        <v>288</v>
      </c>
      <c r="E575" s="38" t="s">
        <v>541</v>
      </c>
      <c r="F575" s="37" t="s">
        <v>542</v>
      </c>
      <c r="G575" s="38" t="s">
        <v>536</v>
      </c>
      <c r="H575" s="37"/>
      <c r="I575" s="37"/>
      <c r="J575" s="37" t="s">
        <v>964</v>
      </c>
      <c r="K575" s="40">
        <v>150000</v>
      </c>
      <c r="L575" s="38" t="s">
        <v>297</v>
      </c>
      <c r="M575" s="38"/>
      <c r="N575" s="37"/>
      <c r="O575" s="37"/>
      <c r="P575" s="37"/>
      <c r="Q575" s="37"/>
      <c r="R575" s="39"/>
      <c r="S575" s="37"/>
      <c r="T575" s="38" t="s">
        <v>293</v>
      </c>
    </row>
    <row r="576" ht="34.5">
      <c r="A576" s="38" t="s">
        <v>884</v>
      </c>
      <c r="B576" s="38" t="s">
        <v>885</v>
      </c>
      <c r="C576" s="38" t="s">
        <v>551</v>
      </c>
      <c r="D576" s="38" t="s">
        <v>288</v>
      </c>
      <c r="E576" s="38" t="s">
        <v>541</v>
      </c>
      <c r="F576" s="37" t="s">
        <v>542</v>
      </c>
      <c r="G576" s="38" t="s">
        <v>536</v>
      </c>
      <c r="H576" s="37"/>
      <c r="I576" s="37"/>
      <c r="J576" s="37" t="s">
        <v>554</v>
      </c>
      <c r="K576" s="40"/>
      <c r="L576" s="38"/>
      <c r="M576" s="38"/>
      <c r="N576" s="37"/>
      <c r="O576" s="37"/>
      <c r="P576" s="37"/>
      <c r="Q576" s="37"/>
      <c r="R576" s="39"/>
      <c r="S576" s="37"/>
      <c r="T576" s="38" t="s">
        <v>293</v>
      </c>
    </row>
    <row r="577" ht="34.5">
      <c r="A577" s="38" t="s">
        <v>884</v>
      </c>
      <c r="B577" s="38" t="s">
        <v>885</v>
      </c>
      <c r="C577" s="38" t="s">
        <v>551</v>
      </c>
      <c r="D577" s="38" t="s">
        <v>288</v>
      </c>
      <c r="E577" s="38" t="s">
        <v>541</v>
      </c>
      <c r="F577" s="37" t="s">
        <v>542</v>
      </c>
      <c r="G577" s="38" t="s">
        <v>536</v>
      </c>
      <c r="H577" s="37"/>
      <c r="I577" s="37"/>
      <c r="J577" s="37" t="s">
        <v>555</v>
      </c>
      <c r="K577" s="40"/>
      <c r="L577" s="38"/>
      <c r="M577" s="38"/>
      <c r="N577" s="37"/>
      <c r="O577" s="37"/>
      <c r="P577" s="37"/>
      <c r="Q577" s="37"/>
      <c r="R577" s="39"/>
      <c r="S577" s="37"/>
      <c r="T577" s="38" t="s">
        <v>293</v>
      </c>
    </row>
    <row r="578" ht="34.5">
      <c r="A578" s="38" t="s">
        <v>884</v>
      </c>
      <c r="B578" s="38" t="s">
        <v>885</v>
      </c>
      <c r="C578" s="38" t="s">
        <v>558</v>
      </c>
      <c r="D578" s="38" t="s">
        <v>288</v>
      </c>
      <c r="E578" s="38" t="s">
        <v>541</v>
      </c>
      <c r="F578" s="37" t="s">
        <v>542</v>
      </c>
      <c r="G578" s="38" t="s">
        <v>536</v>
      </c>
      <c r="H578" s="37"/>
      <c r="I578" s="37"/>
      <c r="J578" s="37" t="s">
        <v>556</v>
      </c>
      <c r="K578" s="40"/>
      <c r="L578" s="38"/>
      <c r="M578" s="38"/>
      <c r="N578" s="37"/>
      <c r="O578" s="37"/>
      <c r="P578" s="37"/>
      <c r="Q578" s="37"/>
      <c r="R578" s="39"/>
      <c r="S578" s="37"/>
      <c r="T578" s="38" t="s">
        <v>293</v>
      </c>
    </row>
    <row r="579" ht="34.5">
      <c r="A579" s="38" t="s">
        <v>884</v>
      </c>
      <c r="B579" s="38" t="s">
        <v>885</v>
      </c>
      <c r="C579" s="38" t="s">
        <v>558</v>
      </c>
      <c r="D579" s="38" t="s">
        <v>288</v>
      </c>
      <c r="E579" s="38" t="s">
        <v>541</v>
      </c>
      <c r="F579" s="37" t="s">
        <v>542</v>
      </c>
      <c r="G579" s="38" t="s">
        <v>536</v>
      </c>
      <c r="H579" s="37"/>
      <c r="I579" s="37"/>
      <c r="J579" s="37" t="s">
        <v>965</v>
      </c>
      <c r="K579" s="40">
        <v>830631</v>
      </c>
      <c r="L579" s="38" t="s">
        <v>297</v>
      </c>
      <c r="M579" s="38"/>
      <c r="N579" s="37"/>
      <c r="O579" s="37"/>
      <c r="P579" s="37"/>
      <c r="Q579" s="37"/>
      <c r="R579" s="39"/>
      <c r="S579" s="37"/>
      <c r="T579" s="38" t="s">
        <v>293</v>
      </c>
    </row>
    <row r="580" ht="34.5">
      <c r="A580" s="38" t="s">
        <v>884</v>
      </c>
      <c r="B580" s="38" t="s">
        <v>885</v>
      </c>
      <c r="C580" s="38" t="s">
        <v>558</v>
      </c>
      <c r="D580" s="38" t="s">
        <v>966</v>
      </c>
      <c r="E580" s="38" t="s">
        <v>541</v>
      </c>
      <c r="F580" s="37" t="s">
        <v>542</v>
      </c>
      <c r="G580" s="38" t="s">
        <v>536</v>
      </c>
      <c r="H580" s="37"/>
      <c r="I580" s="37"/>
      <c r="J580" s="37" t="s">
        <v>967</v>
      </c>
      <c r="K580" s="40"/>
      <c r="L580" s="38"/>
      <c r="M580" s="38"/>
      <c r="N580" s="37"/>
      <c r="O580" s="37"/>
      <c r="P580" s="37"/>
      <c r="Q580" s="37"/>
      <c r="R580" s="39"/>
      <c r="S580" s="37"/>
      <c r="T580" s="38" t="s">
        <v>293</v>
      </c>
    </row>
    <row r="581" ht="34.5">
      <c r="A581" s="38" t="s">
        <v>884</v>
      </c>
      <c r="B581" s="38" t="s">
        <v>885</v>
      </c>
      <c r="C581" s="38" t="s">
        <v>561</v>
      </c>
      <c r="D581" s="38" t="s">
        <v>288</v>
      </c>
      <c r="E581" s="38" t="s">
        <v>541</v>
      </c>
      <c r="F581" s="37" t="s">
        <v>542</v>
      </c>
      <c r="G581" s="38" t="s">
        <v>536</v>
      </c>
      <c r="H581" s="37"/>
      <c r="I581" s="37"/>
      <c r="J581" s="37" t="s">
        <v>968</v>
      </c>
      <c r="K581" s="40"/>
      <c r="L581" s="38"/>
      <c r="M581" s="38"/>
      <c r="N581" s="37"/>
      <c r="O581" s="37"/>
      <c r="P581" s="37"/>
      <c r="Q581" s="37"/>
      <c r="R581" s="39"/>
      <c r="S581" s="37"/>
      <c r="T581" s="38" t="s">
        <v>293</v>
      </c>
    </row>
    <row r="582" ht="34.5">
      <c r="A582" s="38" t="s">
        <v>884</v>
      </c>
      <c r="B582" s="38" t="s">
        <v>885</v>
      </c>
      <c r="C582" s="38" t="s">
        <v>561</v>
      </c>
      <c r="D582" s="38" t="s">
        <v>577</v>
      </c>
      <c r="E582" s="38" t="s">
        <v>541</v>
      </c>
      <c r="F582" s="37" t="s">
        <v>542</v>
      </c>
      <c r="G582" s="38" t="s">
        <v>536</v>
      </c>
      <c r="H582" s="37"/>
      <c r="I582" s="37"/>
      <c r="J582" s="37" t="s">
        <v>578</v>
      </c>
      <c r="K582" s="40"/>
      <c r="L582" s="38"/>
      <c r="M582" s="38"/>
      <c r="N582" s="37"/>
      <c r="O582" s="37"/>
      <c r="P582" s="37"/>
      <c r="Q582" s="37"/>
      <c r="R582" s="39"/>
      <c r="S582" s="37"/>
      <c r="T582" s="38" t="s">
        <v>293</v>
      </c>
    </row>
    <row r="583" ht="34.5">
      <c r="A583" s="38" t="s">
        <v>884</v>
      </c>
      <c r="B583" s="38" t="s">
        <v>885</v>
      </c>
      <c r="C583" s="38" t="s">
        <v>561</v>
      </c>
      <c r="D583" s="38" t="s">
        <v>288</v>
      </c>
      <c r="E583" s="38" t="s">
        <v>562</v>
      </c>
      <c r="F583" s="37" t="s">
        <v>563</v>
      </c>
      <c r="G583" s="38" t="s">
        <v>536</v>
      </c>
      <c r="H583" s="37"/>
      <c r="I583" s="37"/>
      <c r="J583" s="37" t="s">
        <v>564</v>
      </c>
      <c r="K583" s="40"/>
      <c r="L583" s="38"/>
      <c r="M583" s="38"/>
      <c r="N583" s="37"/>
      <c r="O583" s="37"/>
      <c r="P583" s="37"/>
      <c r="Q583" s="37"/>
      <c r="R583" s="39"/>
      <c r="S583" s="37"/>
      <c r="T583" s="38" t="s">
        <v>293</v>
      </c>
    </row>
    <row r="584" ht="34.5">
      <c r="A584" s="38" t="s">
        <v>884</v>
      </c>
      <c r="B584" s="38" t="s">
        <v>885</v>
      </c>
      <c r="C584" s="38" t="s">
        <v>561</v>
      </c>
      <c r="D584" s="38" t="s">
        <v>580</v>
      </c>
      <c r="E584" s="38" t="s">
        <v>562</v>
      </c>
      <c r="F584" s="37" t="s">
        <v>563</v>
      </c>
      <c r="G584" s="38" t="s">
        <v>536</v>
      </c>
      <c r="H584" s="37"/>
      <c r="I584" s="37"/>
      <c r="J584" s="37" t="s">
        <v>581</v>
      </c>
      <c r="K584" s="40"/>
      <c r="L584" s="38"/>
      <c r="M584" s="38"/>
      <c r="N584" s="37"/>
      <c r="O584" s="37"/>
      <c r="P584" s="37"/>
      <c r="Q584" s="37"/>
      <c r="R584" s="39"/>
      <c r="S584" s="37"/>
      <c r="T584" s="38" t="s">
        <v>293</v>
      </c>
    </row>
    <row r="585" ht="34.5">
      <c r="A585" s="38" t="s">
        <v>884</v>
      </c>
      <c r="B585" s="38" t="s">
        <v>885</v>
      </c>
      <c r="C585" s="38" t="s">
        <v>561</v>
      </c>
      <c r="D585" s="38" t="s">
        <v>288</v>
      </c>
      <c r="E585" s="38" t="s">
        <v>567</v>
      </c>
      <c r="F585" s="37" t="s">
        <v>568</v>
      </c>
      <c r="G585" s="38" t="s">
        <v>569</v>
      </c>
      <c r="H585" s="37"/>
      <c r="I585" s="37"/>
      <c r="J585" s="37" t="s">
        <v>969</v>
      </c>
      <c r="K585" s="40"/>
      <c r="L585" s="38"/>
      <c r="M585" s="38"/>
      <c r="N585" s="37"/>
      <c r="O585" s="37"/>
      <c r="P585" s="37"/>
      <c r="Q585" s="37"/>
      <c r="R585" s="39"/>
      <c r="S585" s="37"/>
      <c r="T585" s="38" t="s">
        <v>293</v>
      </c>
    </row>
    <row r="586" ht="34.5">
      <c r="A586" s="38" t="s">
        <v>884</v>
      </c>
      <c r="B586" s="38" t="s">
        <v>885</v>
      </c>
      <c r="C586" s="38" t="s">
        <v>561</v>
      </c>
      <c r="D586" s="38" t="s">
        <v>288</v>
      </c>
      <c r="E586" s="38" t="s">
        <v>567</v>
      </c>
      <c r="F586" s="37" t="s">
        <v>568</v>
      </c>
      <c r="G586" s="38" t="s">
        <v>569</v>
      </c>
      <c r="H586" s="37"/>
      <c r="I586" s="37"/>
      <c r="J586" s="37" t="s">
        <v>571</v>
      </c>
      <c r="K586" s="40"/>
      <c r="L586" s="38"/>
      <c r="M586" s="38"/>
      <c r="N586" s="37"/>
      <c r="O586" s="37"/>
      <c r="P586" s="37"/>
      <c r="Q586" s="37"/>
      <c r="R586" s="39"/>
      <c r="S586" s="37"/>
      <c r="T586" s="38" t="s">
        <v>293</v>
      </c>
    </row>
    <row r="587" ht="34.5">
      <c r="A587" s="38" t="s">
        <v>884</v>
      </c>
      <c r="B587" s="38" t="s">
        <v>885</v>
      </c>
      <c r="C587" s="38" t="s">
        <v>575</v>
      </c>
      <c r="D587" s="38" t="s">
        <v>288</v>
      </c>
      <c r="E587" s="38" t="s">
        <v>567</v>
      </c>
      <c r="F587" s="37" t="s">
        <v>568</v>
      </c>
      <c r="G587" s="38" t="s">
        <v>569</v>
      </c>
      <c r="H587" s="37"/>
      <c r="I587" s="37"/>
      <c r="J587" s="37" t="s">
        <v>970</v>
      </c>
      <c r="K587" s="40"/>
      <c r="L587" s="38"/>
      <c r="M587" s="38"/>
      <c r="N587" s="37"/>
      <c r="O587" s="37"/>
      <c r="P587" s="37"/>
      <c r="Q587" s="37"/>
      <c r="R587" s="39"/>
      <c r="S587" s="37"/>
      <c r="T587" s="38" t="s">
        <v>293</v>
      </c>
    </row>
    <row r="588" ht="34.5">
      <c r="A588" s="38" t="s">
        <v>884</v>
      </c>
      <c r="B588" s="38" t="s">
        <v>885</v>
      </c>
      <c r="C588" s="38" t="s">
        <v>575</v>
      </c>
      <c r="D588" s="38" t="s">
        <v>584</v>
      </c>
      <c r="E588" s="38" t="s">
        <v>567</v>
      </c>
      <c r="F588" s="37" t="s">
        <v>568</v>
      </c>
      <c r="G588" s="38" t="s">
        <v>569</v>
      </c>
      <c r="H588" s="37"/>
      <c r="I588" s="37"/>
      <c r="J588" s="37" t="s">
        <v>585</v>
      </c>
      <c r="K588" s="40"/>
      <c r="L588" s="38"/>
      <c r="M588" s="38"/>
      <c r="N588" s="37"/>
      <c r="O588" s="37"/>
      <c r="P588" s="37"/>
      <c r="Q588" s="37"/>
      <c r="R588" s="39"/>
      <c r="S588" s="37"/>
      <c r="T588" s="38" t="s">
        <v>293</v>
      </c>
    </row>
    <row r="589" ht="34.5">
      <c r="A589" s="38" t="s">
        <v>884</v>
      </c>
      <c r="B589" s="38" t="s">
        <v>885</v>
      </c>
      <c r="C589" s="38" t="s">
        <v>575</v>
      </c>
      <c r="D589" s="38" t="s">
        <v>288</v>
      </c>
      <c r="E589" s="38" t="s">
        <v>567</v>
      </c>
      <c r="F589" s="37" t="s">
        <v>568</v>
      </c>
      <c r="G589" s="38" t="s">
        <v>569</v>
      </c>
      <c r="H589" s="37"/>
      <c r="I589" s="37"/>
      <c r="J589" s="37" t="s">
        <v>576</v>
      </c>
      <c r="K589" s="40"/>
      <c r="L589" s="38"/>
      <c r="M589" s="38"/>
      <c r="N589" s="37"/>
      <c r="O589" s="37"/>
      <c r="P589" s="37"/>
      <c r="Q589" s="37"/>
      <c r="R589" s="39"/>
      <c r="S589" s="37"/>
      <c r="T589" s="38" t="s">
        <v>293</v>
      </c>
    </row>
    <row r="590" ht="34.5">
      <c r="A590" s="38" t="s">
        <v>884</v>
      </c>
      <c r="B590" s="38" t="s">
        <v>885</v>
      </c>
      <c r="C590" s="38" t="s">
        <v>575</v>
      </c>
      <c r="D590" s="38" t="s">
        <v>595</v>
      </c>
      <c r="E590" s="38" t="s">
        <v>567</v>
      </c>
      <c r="F590" s="37" t="s">
        <v>568</v>
      </c>
      <c r="G590" s="38" t="s">
        <v>569</v>
      </c>
      <c r="H590" s="37"/>
      <c r="I590" s="37"/>
      <c r="J590" s="37" t="s">
        <v>596</v>
      </c>
      <c r="K590" s="40"/>
      <c r="L590" s="38"/>
      <c r="M590" s="38"/>
      <c r="N590" s="37"/>
      <c r="O590" s="37"/>
      <c r="P590" s="37"/>
      <c r="Q590" s="37"/>
      <c r="R590" s="39"/>
      <c r="S590" s="37"/>
      <c r="T590" s="38" t="s">
        <v>293</v>
      </c>
    </row>
    <row r="591" ht="34.5">
      <c r="A591" s="38" t="s">
        <v>884</v>
      </c>
      <c r="B591" s="38" t="s">
        <v>885</v>
      </c>
      <c r="C591" s="38" t="s">
        <v>575</v>
      </c>
      <c r="D591" s="38" t="s">
        <v>288</v>
      </c>
      <c r="E591" s="38" t="s">
        <v>567</v>
      </c>
      <c r="F591" s="37" t="s">
        <v>568</v>
      </c>
      <c r="G591" s="38" t="s">
        <v>569</v>
      </c>
      <c r="H591" s="37"/>
      <c r="I591" s="37"/>
      <c r="J591" s="37" t="s">
        <v>579</v>
      </c>
      <c r="K591" s="40"/>
      <c r="L591" s="38"/>
      <c r="M591" s="38"/>
      <c r="N591" s="37"/>
      <c r="O591" s="37"/>
      <c r="P591" s="37"/>
      <c r="Q591" s="37"/>
      <c r="R591" s="39"/>
      <c r="S591" s="37"/>
      <c r="T591" s="38" t="s">
        <v>293</v>
      </c>
    </row>
    <row r="592" ht="34.5">
      <c r="A592" s="38" t="s">
        <v>884</v>
      </c>
      <c r="B592" s="38" t="s">
        <v>885</v>
      </c>
      <c r="C592" s="38" t="s">
        <v>575</v>
      </c>
      <c r="D592" s="38" t="s">
        <v>599</v>
      </c>
      <c r="E592" s="38" t="s">
        <v>567</v>
      </c>
      <c r="F592" s="37" t="s">
        <v>568</v>
      </c>
      <c r="G592" s="38" t="s">
        <v>569</v>
      </c>
      <c r="H592" s="37"/>
      <c r="I592" s="37"/>
      <c r="J592" s="37" t="s">
        <v>600</v>
      </c>
      <c r="K592" s="40"/>
      <c r="L592" s="38"/>
      <c r="M592" s="38"/>
      <c r="N592" s="37"/>
      <c r="O592" s="37"/>
      <c r="P592" s="37"/>
      <c r="Q592" s="37"/>
      <c r="R592" s="39"/>
      <c r="S592" s="37"/>
      <c r="T592" s="38" t="s">
        <v>293</v>
      </c>
    </row>
    <row r="593" ht="34.5">
      <c r="A593" s="38" t="s">
        <v>884</v>
      </c>
      <c r="B593" s="38" t="s">
        <v>885</v>
      </c>
      <c r="C593" s="38" t="s">
        <v>582</v>
      </c>
      <c r="D593" s="38" t="s">
        <v>603</v>
      </c>
      <c r="E593" s="38" t="s">
        <v>567</v>
      </c>
      <c r="F593" s="37" t="s">
        <v>568</v>
      </c>
      <c r="G593" s="38" t="s">
        <v>569</v>
      </c>
      <c r="H593" s="37"/>
      <c r="I593" s="37"/>
      <c r="J593" s="37" t="s">
        <v>604</v>
      </c>
      <c r="K593" s="40"/>
      <c r="L593" s="38"/>
      <c r="M593" s="38"/>
      <c r="N593" s="37"/>
      <c r="O593" s="37"/>
      <c r="P593" s="37"/>
      <c r="Q593" s="37"/>
      <c r="R593" s="39"/>
      <c r="S593" s="37"/>
      <c r="T593" s="38" t="s">
        <v>293</v>
      </c>
    </row>
    <row r="594" ht="34.5">
      <c r="A594" s="38" t="s">
        <v>884</v>
      </c>
      <c r="B594" s="38" t="s">
        <v>885</v>
      </c>
      <c r="C594" s="38" t="s">
        <v>582</v>
      </c>
      <c r="D594" s="38" t="s">
        <v>288</v>
      </c>
      <c r="E594" s="38" t="s">
        <v>567</v>
      </c>
      <c r="F594" s="37" t="s">
        <v>568</v>
      </c>
      <c r="G594" s="38" t="s">
        <v>569</v>
      </c>
      <c r="H594" s="37"/>
      <c r="I594" s="37"/>
      <c r="J594" s="37" t="s">
        <v>583</v>
      </c>
      <c r="K594" s="40"/>
      <c r="L594" s="38"/>
      <c r="M594" s="38"/>
      <c r="N594" s="37"/>
      <c r="O594" s="37"/>
      <c r="P594" s="37"/>
      <c r="Q594" s="37"/>
      <c r="R594" s="39"/>
      <c r="S594" s="37"/>
      <c r="T594" s="38" t="s">
        <v>293</v>
      </c>
    </row>
    <row r="595" ht="34.5">
      <c r="A595" s="38" t="s">
        <v>884</v>
      </c>
      <c r="B595" s="38" t="s">
        <v>885</v>
      </c>
      <c r="C595" s="38" t="s">
        <v>582</v>
      </c>
      <c r="D595" s="38" t="s">
        <v>619</v>
      </c>
      <c r="E595" s="38" t="s">
        <v>567</v>
      </c>
      <c r="F595" s="37" t="s">
        <v>568</v>
      </c>
      <c r="G595" s="38" t="s">
        <v>569</v>
      </c>
      <c r="H595" s="37"/>
      <c r="I595" s="37"/>
      <c r="J595" s="37" t="s">
        <v>620</v>
      </c>
      <c r="K595" s="40"/>
      <c r="L595" s="38"/>
      <c r="M595" s="38"/>
      <c r="N595" s="37"/>
      <c r="O595" s="37"/>
      <c r="P595" s="37"/>
      <c r="Q595" s="37"/>
      <c r="R595" s="39"/>
      <c r="S595" s="37"/>
      <c r="T595" s="38" t="s">
        <v>293</v>
      </c>
    </row>
    <row r="596" ht="34.5">
      <c r="A596" s="38" t="s">
        <v>884</v>
      </c>
      <c r="B596" s="38" t="s">
        <v>885</v>
      </c>
      <c r="C596" s="38" t="s">
        <v>582</v>
      </c>
      <c r="D596" s="38" t="s">
        <v>288</v>
      </c>
      <c r="E596" s="38" t="s">
        <v>567</v>
      </c>
      <c r="F596" s="37" t="s">
        <v>568</v>
      </c>
      <c r="G596" s="38" t="s">
        <v>569</v>
      </c>
      <c r="H596" s="37"/>
      <c r="I596" s="37"/>
      <c r="J596" s="37" t="s">
        <v>586</v>
      </c>
      <c r="K596" s="40"/>
      <c r="L596" s="38"/>
      <c r="M596" s="38"/>
      <c r="N596" s="37"/>
      <c r="O596" s="37"/>
      <c r="P596" s="37"/>
      <c r="Q596" s="37"/>
      <c r="R596" s="39"/>
      <c r="S596" s="37"/>
      <c r="T596" s="38" t="s">
        <v>293</v>
      </c>
    </row>
    <row r="597" ht="34.5">
      <c r="A597" s="38" t="s">
        <v>884</v>
      </c>
      <c r="B597" s="38" t="s">
        <v>885</v>
      </c>
      <c r="C597" s="38" t="s">
        <v>582</v>
      </c>
      <c r="D597" s="38" t="s">
        <v>288</v>
      </c>
      <c r="E597" s="38" t="s">
        <v>587</v>
      </c>
      <c r="F597" s="37" t="s">
        <v>588</v>
      </c>
      <c r="G597" s="38" t="s">
        <v>70</v>
      </c>
      <c r="H597" s="37"/>
      <c r="I597" s="37"/>
      <c r="J597" s="37" t="s">
        <v>589</v>
      </c>
      <c r="K597" s="40"/>
      <c r="L597" s="38"/>
      <c r="M597" s="38"/>
      <c r="N597" s="37"/>
      <c r="O597" s="37"/>
      <c r="P597" s="37"/>
      <c r="Q597" s="37"/>
      <c r="R597" s="39"/>
      <c r="S597" s="37"/>
      <c r="T597" s="38" t="s">
        <v>293</v>
      </c>
    </row>
    <row r="598" ht="34.5">
      <c r="A598" s="38" t="s">
        <v>884</v>
      </c>
      <c r="B598" s="38" t="s">
        <v>885</v>
      </c>
      <c r="C598" s="38" t="s">
        <v>582</v>
      </c>
      <c r="D598" s="38" t="s">
        <v>288</v>
      </c>
      <c r="E598" s="38" t="s">
        <v>587</v>
      </c>
      <c r="F598" s="37" t="s">
        <v>588</v>
      </c>
      <c r="G598" s="38" t="s">
        <v>70</v>
      </c>
      <c r="H598" s="37"/>
      <c r="I598" s="37"/>
      <c r="J598" s="37" t="s">
        <v>971</v>
      </c>
      <c r="K598" s="40">
        <v>292686120</v>
      </c>
      <c r="L598" s="38" t="s">
        <v>297</v>
      </c>
      <c r="M598" s="38"/>
      <c r="N598" s="37"/>
      <c r="O598" s="37"/>
      <c r="P598" s="37"/>
      <c r="Q598" s="37"/>
      <c r="R598" s="39"/>
      <c r="S598" s="37"/>
      <c r="T598" s="38" t="s">
        <v>293</v>
      </c>
    </row>
    <row r="599" ht="34.5">
      <c r="A599" s="38" t="s">
        <v>884</v>
      </c>
      <c r="B599" s="38" t="s">
        <v>885</v>
      </c>
      <c r="C599" s="38" t="s">
        <v>597</v>
      </c>
      <c r="D599" s="38" t="s">
        <v>288</v>
      </c>
      <c r="E599" s="38" t="s">
        <v>591</v>
      </c>
      <c r="F599" s="37" t="s">
        <v>592</v>
      </c>
      <c r="G599" s="38" t="s">
        <v>500</v>
      </c>
      <c r="H599" s="37"/>
      <c r="I599" s="37"/>
      <c r="J599" s="37" t="s">
        <v>593</v>
      </c>
      <c r="K599" s="40"/>
      <c r="L599" s="38"/>
      <c r="M599" s="38"/>
      <c r="N599" s="37"/>
      <c r="O599" s="37"/>
      <c r="P599" s="37"/>
      <c r="Q599" s="37"/>
      <c r="R599" s="39"/>
      <c r="S599" s="37"/>
      <c r="T599" s="38" t="s">
        <v>293</v>
      </c>
    </row>
    <row r="600" ht="34.5">
      <c r="A600" s="38" t="s">
        <v>884</v>
      </c>
      <c r="B600" s="38" t="s">
        <v>885</v>
      </c>
      <c r="C600" s="38" t="s">
        <v>597</v>
      </c>
      <c r="D600" s="38" t="s">
        <v>288</v>
      </c>
      <c r="E600" s="38" t="s">
        <v>591</v>
      </c>
      <c r="F600" s="37" t="s">
        <v>592</v>
      </c>
      <c r="G600" s="38" t="s">
        <v>500</v>
      </c>
      <c r="H600" s="37"/>
      <c r="I600" s="37"/>
      <c r="J600" s="37" t="s">
        <v>972</v>
      </c>
      <c r="K600" s="40">
        <v>58300199</v>
      </c>
      <c r="L600" s="38" t="s">
        <v>297</v>
      </c>
      <c r="M600" s="38"/>
      <c r="N600" s="37"/>
      <c r="O600" s="37"/>
      <c r="P600" s="37"/>
      <c r="Q600" s="37"/>
      <c r="R600" s="39"/>
      <c r="S600" s="37"/>
      <c r="T600" s="38" t="s">
        <v>293</v>
      </c>
    </row>
    <row r="601" ht="34.5">
      <c r="A601" s="38" t="s">
        <v>884</v>
      </c>
      <c r="B601" s="38" t="s">
        <v>885</v>
      </c>
      <c r="C601" s="38" t="s">
        <v>597</v>
      </c>
      <c r="D601" s="38" t="s">
        <v>622</v>
      </c>
      <c r="E601" s="38" t="s">
        <v>591</v>
      </c>
      <c r="F601" s="37" t="s">
        <v>592</v>
      </c>
      <c r="G601" s="38" t="s">
        <v>500</v>
      </c>
      <c r="H601" s="37"/>
      <c r="I601" s="37"/>
      <c r="J601" s="37" t="s">
        <v>623</v>
      </c>
      <c r="K601" s="40"/>
      <c r="L601" s="38"/>
      <c r="M601" s="38"/>
      <c r="N601" s="37"/>
      <c r="O601" s="37"/>
      <c r="P601" s="37"/>
      <c r="Q601" s="37"/>
      <c r="R601" s="39"/>
      <c r="S601" s="37"/>
      <c r="T601" s="38" t="s">
        <v>293</v>
      </c>
    </row>
    <row r="602" ht="34.5">
      <c r="A602" s="38" t="s">
        <v>884</v>
      </c>
      <c r="B602" s="38" t="s">
        <v>885</v>
      </c>
      <c r="C602" s="38" t="s">
        <v>597</v>
      </c>
      <c r="D602" s="38" t="s">
        <v>288</v>
      </c>
      <c r="E602" s="38" t="s">
        <v>591</v>
      </c>
      <c r="F602" s="37" t="s">
        <v>592</v>
      </c>
      <c r="G602" s="38" t="s">
        <v>500</v>
      </c>
      <c r="H602" s="37"/>
      <c r="I602" s="37"/>
      <c r="J602" s="37" t="s">
        <v>598</v>
      </c>
      <c r="K602" s="40"/>
      <c r="L602" s="38"/>
      <c r="M602" s="38"/>
      <c r="N602" s="37"/>
      <c r="O602" s="37"/>
      <c r="P602" s="37"/>
      <c r="Q602" s="37"/>
      <c r="R602" s="39"/>
      <c r="S602" s="37"/>
      <c r="T602" s="38" t="s">
        <v>293</v>
      </c>
    </row>
    <row r="603" ht="34.5">
      <c r="A603" s="38" t="s">
        <v>884</v>
      </c>
      <c r="B603" s="38" t="s">
        <v>885</v>
      </c>
      <c r="C603" s="38" t="s">
        <v>597</v>
      </c>
      <c r="D603" s="38" t="s">
        <v>639</v>
      </c>
      <c r="E603" s="38" t="s">
        <v>591</v>
      </c>
      <c r="F603" s="37" t="s">
        <v>592</v>
      </c>
      <c r="G603" s="38" t="s">
        <v>500</v>
      </c>
      <c r="H603" s="37"/>
      <c r="I603" s="37"/>
      <c r="J603" s="37" t="s">
        <v>640</v>
      </c>
      <c r="K603" s="40"/>
      <c r="L603" s="38"/>
      <c r="M603" s="38"/>
      <c r="N603" s="37"/>
      <c r="O603" s="37"/>
      <c r="P603" s="37"/>
      <c r="Q603" s="37"/>
      <c r="R603" s="39"/>
      <c r="S603" s="37"/>
      <c r="T603" s="38" t="s">
        <v>293</v>
      </c>
    </row>
    <row r="604" ht="34.5">
      <c r="A604" s="38" t="s">
        <v>884</v>
      </c>
      <c r="B604" s="38" t="s">
        <v>885</v>
      </c>
      <c r="C604" s="38" t="s">
        <v>597</v>
      </c>
      <c r="D604" s="38" t="s">
        <v>288</v>
      </c>
      <c r="E604" s="38" t="s">
        <v>973</v>
      </c>
      <c r="F604" s="37" t="s">
        <v>974</v>
      </c>
      <c r="G604" s="38" t="s">
        <v>975</v>
      </c>
      <c r="H604" s="37"/>
      <c r="I604" s="37"/>
      <c r="J604" s="37" t="s">
        <v>602</v>
      </c>
      <c r="K604" s="40"/>
      <c r="L604" s="38"/>
      <c r="M604" s="38"/>
      <c r="N604" s="37"/>
      <c r="O604" s="37"/>
      <c r="P604" s="37"/>
      <c r="Q604" s="37"/>
      <c r="R604" s="39"/>
      <c r="S604" s="37"/>
      <c r="T604" s="38" t="s">
        <v>293</v>
      </c>
    </row>
    <row r="605" ht="34.5">
      <c r="A605" s="38" t="s">
        <v>884</v>
      </c>
      <c r="B605" s="38" t="s">
        <v>885</v>
      </c>
      <c r="C605" s="38" t="s">
        <v>597</v>
      </c>
      <c r="D605" s="38" t="s">
        <v>644</v>
      </c>
      <c r="E605" s="38" t="s">
        <v>973</v>
      </c>
      <c r="F605" s="37" t="s">
        <v>974</v>
      </c>
      <c r="G605" s="38" t="s">
        <v>975</v>
      </c>
      <c r="H605" s="37"/>
      <c r="I605" s="37"/>
      <c r="J605" s="37" t="s">
        <v>645</v>
      </c>
      <c r="K605" s="40"/>
      <c r="L605" s="38"/>
      <c r="M605" s="38"/>
      <c r="N605" s="37"/>
      <c r="O605" s="37"/>
      <c r="P605" s="37"/>
      <c r="Q605" s="37"/>
      <c r="R605" s="39"/>
      <c r="S605" s="37"/>
      <c r="T605" s="38" t="s">
        <v>293</v>
      </c>
    </row>
    <row r="606" ht="34.5">
      <c r="A606" s="38" t="s">
        <v>884</v>
      </c>
      <c r="B606" s="38" t="s">
        <v>885</v>
      </c>
      <c r="C606" s="38" t="s">
        <v>608</v>
      </c>
      <c r="D606" s="38" t="s">
        <v>288</v>
      </c>
      <c r="E606" s="38" t="s">
        <v>973</v>
      </c>
      <c r="F606" s="37" t="s">
        <v>974</v>
      </c>
      <c r="G606" s="38" t="s">
        <v>975</v>
      </c>
      <c r="H606" s="37"/>
      <c r="I606" s="37"/>
      <c r="J606" s="37" t="s">
        <v>976</v>
      </c>
      <c r="K606" s="40"/>
      <c r="L606" s="38"/>
      <c r="M606" s="38"/>
      <c r="N606" s="37"/>
      <c r="O606" s="37"/>
      <c r="P606" s="37"/>
      <c r="Q606" s="37"/>
      <c r="R606" s="39"/>
      <c r="S606" s="37"/>
      <c r="T606" s="38" t="s">
        <v>293</v>
      </c>
    </row>
    <row r="607" ht="34.5">
      <c r="A607" s="38" t="s">
        <v>884</v>
      </c>
      <c r="B607" s="38" t="s">
        <v>885</v>
      </c>
      <c r="C607" s="38" t="s">
        <v>608</v>
      </c>
      <c r="D607" s="38" t="s">
        <v>288</v>
      </c>
      <c r="E607" s="38" t="s">
        <v>973</v>
      </c>
      <c r="F607" s="37" t="s">
        <v>974</v>
      </c>
      <c r="G607" s="38" t="s">
        <v>975</v>
      </c>
      <c r="H607" s="37"/>
      <c r="I607" s="37"/>
      <c r="J607" s="37" t="s">
        <v>977</v>
      </c>
      <c r="K607" s="40">
        <v>17820249</v>
      </c>
      <c r="L607" s="38" t="s">
        <v>297</v>
      </c>
      <c r="M607" s="38"/>
      <c r="N607" s="37"/>
      <c r="O607" s="37"/>
      <c r="P607" s="37"/>
      <c r="Q607" s="37"/>
      <c r="R607" s="39"/>
      <c r="S607" s="37"/>
      <c r="T607" s="38" t="s">
        <v>293</v>
      </c>
    </row>
    <row r="608" ht="34.5">
      <c r="A608" s="38" t="s">
        <v>884</v>
      </c>
      <c r="B608" s="38" t="s">
        <v>885</v>
      </c>
      <c r="C608" s="38" t="s">
        <v>608</v>
      </c>
      <c r="D608" s="38" t="s">
        <v>288</v>
      </c>
      <c r="E608" s="38" t="s">
        <v>973</v>
      </c>
      <c r="F608" s="37" t="s">
        <v>974</v>
      </c>
      <c r="G608" s="38" t="s">
        <v>975</v>
      </c>
      <c r="H608" s="37"/>
      <c r="I608" s="37"/>
      <c r="J608" s="37" t="s">
        <v>607</v>
      </c>
      <c r="K608" s="40"/>
      <c r="L608" s="38"/>
      <c r="M608" s="38"/>
      <c r="N608" s="37"/>
      <c r="O608" s="37"/>
      <c r="P608" s="37"/>
      <c r="Q608" s="37"/>
      <c r="R608" s="39"/>
      <c r="S608" s="37"/>
      <c r="T608" s="38" t="s">
        <v>293</v>
      </c>
    </row>
    <row r="609" ht="34.5">
      <c r="A609" s="38" t="s">
        <v>884</v>
      </c>
      <c r="B609" s="38" t="s">
        <v>885</v>
      </c>
      <c r="C609" s="38" t="s">
        <v>614</v>
      </c>
      <c r="D609" s="38" t="s">
        <v>288</v>
      </c>
      <c r="E609" s="38" t="s">
        <v>615</v>
      </c>
      <c r="F609" s="37" t="s">
        <v>616</v>
      </c>
      <c r="G609" s="38" t="s">
        <v>70</v>
      </c>
      <c r="H609" s="37"/>
      <c r="I609" s="37"/>
      <c r="J609" s="37" t="s">
        <v>617</v>
      </c>
      <c r="K609" s="40"/>
      <c r="L609" s="38"/>
      <c r="M609" s="38"/>
      <c r="N609" s="37"/>
      <c r="O609" s="37"/>
      <c r="P609" s="37"/>
      <c r="Q609" s="37"/>
      <c r="R609" s="39"/>
      <c r="S609" s="37"/>
      <c r="T609" s="38" t="s">
        <v>293</v>
      </c>
    </row>
    <row r="610" ht="34.5">
      <c r="A610" s="38" t="s">
        <v>884</v>
      </c>
      <c r="B610" s="38" t="s">
        <v>885</v>
      </c>
      <c r="C610" s="38" t="s">
        <v>614</v>
      </c>
      <c r="D610" s="38" t="s">
        <v>288</v>
      </c>
      <c r="E610" s="38" t="s">
        <v>615</v>
      </c>
      <c r="F610" s="37" t="s">
        <v>616</v>
      </c>
      <c r="G610" s="38" t="s">
        <v>70</v>
      </c>
      <c r="H610" s="37"/>
      <c r="I610" s="37"/>
      <c r="J610" s="37" t="s">
        <v>618</v>
      </c>
      <c r="K610" s="40"/>
      <c r="L610" s="38"/>
      <c r="M610" s="38"/>
      <c r="N610" s="37"/>
      <c r="O610" s="37"/>
      <c r="P610" s="37"/>
      <c r="Q610" s="37"/>
      <c r="R610" s="39"/>
      <c r="S610" s="37"/>
      <c r="T610" s="38" t="s">
        <v>293</v>
      </c>
    </row>
    <row r="611" ht="34.5">
      <c r="A611" s="38" t="s">
        <v>884</v>
      </c>
      <c r="B611" s="38" t="s">
        <v>885</v>
      </c>
      <c r="C611" s="38" t="s">
        <v>614</v>
      </c>
      <c r="D611" s="38" t="s">
        <v>655</v>
      </c>
      <c r="E611" s="38" t="s">
        <v>615</v>
      </c>
      <c r="F611" s="37" t="s">
        <v>616</v>
      </c>
      <c r="G611" s="38" t="s">
        <v>70</v>
      </c>
      <c r="H611" s="37"/>
      <c r="I611" s="37"/>
      <c r="J611" s="37" t="s">
        <v>656</v>
      </c>
      <c r="K611" s="40"/>
      <c r="L611" s="38"/>
      <c r="M611" s="38"/>
      <c r="N611" s="37"/>
      <c r="O611" s="37"/>
      <c r="P611" s="37"/>
      <c r="Q611" s="37"/>
      <c r="R611" s="39"/>
      <c r="S611" s="37"/>
      <c r="T611" s="38" t="s">
        <v>293</v>
      </c>
    </row>
    <row r="612" ht="34.5">
      <c r="A612" s="38" t="s">
        <v>884</v>
      </c>
      <c r="B612" s="38" t="s">
        <v>885</v>
      </c>
      <c r="C612" s="38" t="s">
        <v>621</v>
      </c>
      <c r="D612" s="38" t="s">
        <v>667</v>
      </c>
      <c r="E612" s="38" t="s">
        <v>615</v>
      </c>
      <c r="F612" s="37" t="s">
        <v>616</v>
      </c>
      <c r="G612" s="38" t="s">
        <v>70</v>
      </c>
      <c r="H612" s="37"/>
      <c r="I612" s="37"/>
      <c r="J612" s="37" t="s">
        <v>668</v>
      </c>
      <c r="K612" s="40"/>
      <c r="L612" s="38"/>
      <c r="M612" s="38"/>
      <c r="N612" s="37"/>
      <c r="O612" s="37"/>
      <c r="P612" s="37"/>
      <c r="Q612" s="37"/>
      <c r="R612" s="39"/>
      <c r="S612" s="37"/>
      <c r="T612" s="38" t="s">
        <v>293</v>
      </c>
    </row>
    <row r="613" ht="34.5">
      <c r="A613" s="38" t="s">
        <v>884</v>
      </c>
      <c r="B613" s="38" t="s">
        <v>885</v>
      </c>
      <c r="C613" s="38" t="s">
        <v>624</v>
      </c>
      <c r="D613" s="38" t="s">
        <v>288</v>
      </c>
      <c r="E613" s="38" t="s">
        <v>615</v>
      </c>
      <c r="F613" s="37" t="s">
        <v>616</v>
      </c>
      <c r="G613" s="38" t="s">
        <v>70</v>
      </c>
      <c r="H613" s="37"/>
      <c r="I613" s="37"/>
      <c r="J613" s="37" t="s">
        <v>625</v>
      </c>
      <c r="K613" s="40"/>
      <c r="L613" s="38"/>
      <c r="M613" s="38"/>
      <c r="N613" s="37"/>
      <c r="O613" s="37"/>
      <c r="P613" s="37"/>
      <c r="Q613" s="37"/>
      <c r="R613" s="39"/>
      <c r="S613" s="37"/>
      <c r="T613" s="38" t="s">
        <v>293</v>
      </c>
    </row>
    <row r="614" ht="34.5">
      <c r="A614" s="38" t="s">
        <v>884</v>
      </c>
      <c r="B614" s="38" t="s">
        <v>885</v>
      </c>
      <c r="C614" s="38" t="s">
        <v>624</v>
      </c>
      <c r="D614" s="38" t="s">
        <v>288</v>
      </c>
      <c r="E614" s="38" t="s">
        <v>615</v>
      </c>
      <c r="F614" s="37" t="s">
        <v>616</v>
      </c>
      <c r="G614" s="38" t="s">
        <v>70</v>
      </c>
      <c r="H614" s="37"/>
      <c r="I614" s="37"/>
      <c r="J614" s="37" t="s">
        <v>626</v>
      </c>
      <c r="K614" s="40"/>
      <c r="L614" s="38"/>
      <c r="M614" s="38"/>
      <c r="N614" s="37"/>
      <c r="O614" s="37"/>
      <c r="P614" s="37"/>
      <c r="Q614" s="37"/>
      <c r="R614" s="39"/>
      <c r="S614" s="37"/>
      <c r="T614" s="38" t="s">
        <v>293</v>
      </c>
    </row>
    <row r="615" ht="34.5">
      <c r="A615" s="38" t="s">
        <v>884</v>
      </c>
      <c r="B615" s="38" t="s">
        <v>885</v>
      </c>
      <c r="C615" s="38" t="s">
        <v>624</v>
      </c>
      <c r="D615" s="38" t="s">
        <v>288</v>
      </c>
      <c r="E615" s="38" t="s">
        <v>615</v>
      </c>
      <c r="F615" s="37" t="s">
        <v>616</v>
      </c>
      <c r="G615" s="38" t="s">
        <v>70</v>
      </c>
      <c r="H615" s="37"/>
      <c r="I615" s="37"/>
      <c r="J615" s="37" t="s">
        <v>627</v>
      </c>
      <c r="K615" s="40"/>
      <c r="L615" s="38"/>
      <c r="M615" s="38"/>
      <c r="N615" s="37"/>
      <c r="O615" s="37"/>
      <c r="P615" s="37"/>
      <c r="Q615" s="37"/>
      <c r="R615" s="39"/>
      <c r="S615" s="37"/>
      <c r="T615" s="38" t="s">
        <v>293</v>
      </c>
    </row>
    <row r="616" ht="34.5">
      <c r="A616" s="38" t="s">
        <v>884</v>
      </c>
      <c r="B616" s="38" t="s">
        <v>885</v>
      </c>
      <c r="C616" s="38" t="s">
        <v>624</v>
      </c>
      <c r="D616" s="38" t="s">
        <v>288</v>
      </c>
      <c r="E616" s="38" t="s">
        <v>615</v>
      </c>
      <c r="F616" s="37" t="s">
        <v>616</v>
      </c>
      <c r="G616" s="38" t="s">
        <v>70</v>
      </c>
      <c r="H616" s="37"/>
      <c r="I616" s="37"/>
      <c r="J616" s="37" t="s">
        <v>628</v>
      </c>
      <c r="K616" s="40"/>
      <c r="L616" s="38"/>
      <c r="M616" s="38"/>
      <c r="N616" s="37"/>
      <c r="O616" s="37"/>
      <c r="P616" s="37"/>
      <c r="Q616" s="37"/>
      <c r="R616" s="39"/>
      <c r="S616" s="37"/>
      <c r="T616" s="38" t="s">
        <v>293</v>
      </c>
    </row>
    <row r="617" ht="34.5">
      <c r="A617" s="38" t="s">
        <v>884</v>
      </c>
      <c r="B617" s="38" t="s">
        <v>885</v>
      </c>
      <c r="C617" s="38" t="s">
        <v>624</v>
      </c>
      <c r="D617" s="38" t="s">
        <v>288</v>
      </c>
      <c r="E617" s="38" t="s">
        <v>615</v>
      </c>
      <c r="F617" s="37" t="s">
        <v>616</v>
      </c>
      <c r="G617" s="38" t="s">
        <v>70</v>
      </c>
      <c r="H617" s="37"/>
      <c r="I617" s="37"/>
      <c r="J617" s="37" t="s">
        <v>629</v>
      </c>
      <c r="K617" s="40"/>
      <c r="L617" s="38"/>
      <c r="M617" s="38"/>
      <c r="N617" s="37"/>
      <c r="O617" s="37"/>
      <c r="P617" s="37"/>
      <c r="Q617" s="37"/>
      <c r="R617" s="39"/>
      <c r="S617" s="37"/>
      <c r="T617" s="38" t="s">
        <v>293</v>
      </c>
    </row>
    <row r="618" ht="34.5">
      <c r="A618" s="38" t="s">
        <v>884</v>
      </c>
      <c r="B618" s="38" t="s">
        <v>885</v>
      </c>
      <c r="C618" s="38" t="s">
        <v>624</v>
      </c>
      <c r="D618" s="38" t="s">
        <v>288</v>
      </c>
      <c r="E618" s="38" t="s">
        <v>615</v>
      </c>
      <c r="F618" s="37" t="s">
        <v>616</v>
      </c>
      <c r="G618" s="38" t="s">
        <v>70</v>
      </c>
      <c r="H618" s="37"/>
      <c r="I618" s="37"/>
      <c r="J618" s="37" t="s">
        <v>630</v>
      </c>
      <c r="K618" s="40"/>
      <c r="L618" s="38"/>
      <c r="M618" s="38"/>
      <c r="N618" s="37"/>
      <c r="O618" s="37"/>
      <c r="P618" s="37"/>
      <c r="Q618" s="37"/>
      <c r="R618" s="39"/>
      <c r="S618" s="37"/>
      <c r="T618" s="38" t="s">
        <v>293</v>
      </c>
    </row>
    <row r="619" ht="34.5">
      <c r="A619" s="38" t="s">
        <v>884</v>
      </c>
      <c r="B619" s="38" t="s">
        <v>885</v>
      </c>
      <c r="C619" s="38" t="s">
        <v>624</v>
      </c>
      <c r="D619" s="38" t="s">
        <v>288</v>
      </c>
      <c r="E619" s="38" t="s">
        <v>615</v>
      </c>
      <c r="F619" s="37" t="s">
        <v>616</v>
      </c>
      <c r="G619" s="38" t="s">
        <v>70</v>
      </c>
      <c r="H619" s="37"/>
      <c r="I619" s="37"/>
      <c r="J619" s="37" t="s">
        <v>631</v>
      </c>
      <c r="K619" s="40"/>
      <c r="L619" s="38"/>
      <c r="M619" s="38"/>
      <c r="N619" s="37"/>
      <c r="O619" s="37"/>
      <c r="P619" s="37"/>
      <c r="Q619" s="37"/>
      <c r="R619" s="39"/>
      <c r="S619" s="37"/>
      <c r="T619" s="38" t="s">
        <v>293</v>
      </c>
    </row>
    <row r="620" ht="34.5">
      <c r="A620" s="38" t="s">
        <v>884</v>
      </c>
      <c r="B620" s="38" t="s">
        <v>885</v>
      </c>
      <c r="C620" s="38" t="s">
        <v>624</v>
      </c>
      <c r="D620" s="38" t="s">
        <v>288</v>
      </c>
      <c r="E620" s="38" t="s">
        <v>615</v>
      </c>
      <c r="F620" s="37" t="s">
        <v>616</v>
      </c>
      <c r="G620" s="38" t="s">
        <v>70</v>
      </c>
      <c r="H620" s="37"/>
      <c r="I620" s="37"/>
      <c r="J620" s="37" t="s">
        <v>632</v>
      </c>
      <c r="K620" s="40"/>
      <c r="L620" s="38"/>
      <c r="M620" s="38"/>
      <c r="N620" s="37"/>
      <c r="O620" s="37"/>
      <c r="P620" s="37"/>
      <c r="Q620" s="37"/>
      <c r="R620" s="39"/>
      <c r="S620" s="37"/>
      <c r="T620" s="38" t="s">
        <v>293</v>
      </c>
    </row>
    <row r="621" ht="34.5">
      <c r="A621" s="38" t="s">
        <v>884</v>
      </c>
      <c r="B621" s="38" t="s">
        <v>885</v>
      </c>
      <c r="C621" s="38" t="s">
        <v>624</v>
      </c>
      <c r="D621" s="38" t="s">
        <v>288</v>
      </c>
      <c r="E621" s="38" t="s">
        <v>615</v>
      </c>
      <c r="F621" s="37" t="s">
        <v>616</v>
      </c>
      <c r="G621" s="38" t="s">
        <v>70</v>
      </c>
      <c r="H621" s="37"/>
      <c r="I621" s="37"/>
      <c r="J621" s="37" t="s">
        <v>633</v>
      </c>
      <c r="K621" s="40"/>
      <c r="L621" s="38"/>
      <c r="M621" s="38"/>
      <c r="N621" s="37"/>
      <c r="O621" s="37"/>
      <c r="P621" s="37"/>
      <c r="Q621" s="37"/>
      <c r="R621" s="39"/>
      <c r="S621" s="37"/>
      <c r="T621" s="38" t="s">
        <v>293</v>
      </c>
    </row>
    <row r="622" ht="34.5">
      <c r="A622" s="38" t="s">
        <v>884</v>
      </c>
      <c r="B622" s="38" t="s">
        <v>885</v>
      </c>
      <c r="C622" s="38" t="s">
        <v>624</v>
      </c>
      <c r="D622" s="38" t="s">
        <v>288</v>
      </c>
      <c r="E622" s="38" t="s">
        <v>615</v>
      </c>
      <c r="F622" s="37" t="s">
        <v>616</v>
      </c>
      <c r="G622" s="38" t="s">
        <v>70</v>
      </c>
      <c r="H622" s="37"/>
      <c r="I622" s="37"/>
      <c r="J622" s="37" t="s">
        <v>634</v>
      </c>
      <c r="K622" s="40"/>
      <c r="L622" s="38"/>
      <c r="M622" s="38"/>
      <c r="N622" s="37"/>
      <c r="O622" s="37"/>
      <c r="P622" s="37"/>
      <c r="Q622" s="37"/>
      <c r="R622" s="39"/>
      <c r="S622" s="37"/>
      <c r="T622" s="38" t="s">
        <v>293</v>
      </c>
    </row>
    <row r="623" ht="34.5">
      <c r="A623" s="38" t="s">
        <v>884</v>
      </c>
      <c r="B623" s="38" t="s">
        <v>885</v>
      </c>
      <c r="C623" s="38" t="s">
        <v>624</v>
      </c>
      <c r="D623" s="38" t="s">
        <v>288</v>
      </c>
      <c r="E623" s="38" t="s">
        <v>615</v>
      </c>
      <c r="F623" s="37" t="s">
        <v>616</v>
      </c>
      <c r="G623" s="38" t="s">
        <v>70</v>
      </c>
      <c r="H623" s="37"/>
      <c r="I623" s="37"/>
      <c r="J623" s="37" t="s">
        <v>635</v>
      </c>
      <c r="K623" s="40"/>
      <c r="L623" s="38"/>
      <c r="M623" s="38"/>
      <c r="N623" s="37"/>
      <c r="O623" s="37"/>
      <c r="P623" s="37"/>
      <c r="Q623" s="37"/>
      <c r="R623" s="39"/>
      <c r="S623" s="37"/>
      <c r="T623" s="38" t="s">
        <v>293</v>
      </c>
    </row>
    <row r="624" ht="34.5">
      <c r="A624" s="38" t="s">
        <v>884</v>
      </c>
      <c r="B624" s="38" t="s">
        <v>885</v>
      </c>
      <c r="C624" s="38" t="s">
        <v>624</v>
      </c>
      <c r="D624" s="38" t="s">
        <v>288</v>
      </c>
      <c r="E624" s="38" t="s">
        <v>615</v>
      </c>
      <c r="F624" s="37" t="s">
        <v>616</v>
      </c>
      <c r="G624" s="38" t="s">
        <v>70</v>
      </c>
      <c r="H624" s="37"/>
      <c r="I624" s="37"/>
      <c r="J624" s="37" t="s">
        <v>636</v>
      </c>
      <c r="K624" s="40"/>
      <c r="L624" s="38"/>
      <c r="M624" s="38"/>
      <c r="N624" s="37"/>
      <c r="O624" s="37"/>
      <c r="P624" s="37"/>
      <c r="Q624" s="37"/>
      <c r="R624" s="39"/>
      <c r="S624" s="37"/>
      <c r="T624" s="38" t="s">
        <v>293</v>
      </c>
    </row>
    <row r="625" ht="34.5">
      <c r="A625" s="38" t="s">
        <v>884</v>
      </c>
      <c r="B625" s="38" t="s">
        <v>885</v>
      </c>
      <c r="C625" s="38" t="s">
        <v>637</v>
      </c>
      <c r="D625" s="38" t="s">
        <v>288</v>
      </c>
      <c r="E625" s="38" t="s">
        <v>615</v>
      </c>
      <c r="F625" s="37" t="s">
        <v>616</v>
      </c>
      <c r="G625" s="38" t="s">
        <v>70</v>
      </c>
      <c r="H625" s="37"/>
      <c r="I625" s="37"/>
      <c r="J625" s="37" t="s">
        <v>978</v>
      </c>
      <c r="K625" s="40"/>
      <c r="L625" s="38"/>
      <c r="M625" s="38"/>
      <c r="N625" s="37"/>
      <c r="O625" s="37"/>
      <c r="P625" s="37"/>
      <c r="Q625" s="37"/>
      <c r="R625" s="39"/>
      <c r="S625" s="37"/>
      <c r="T625" s="38" t="s">
        <v>293</v>
      </c>
    </row>
    <row r="626" ht="34.5">
      <c r="A626" s="38" t="s">
        <v>884</v>
      </c>
      <c r="B626" s="38" t="s">
        <v>885</v>
      </c>
      <c r="C626" s="38" t="s">
        <v>637</v>
      </c>
      <c r="D626" s="38" t="s">
        <v>288</v>
      </c>
      <c r="E626" s="38" t="s">
        <v>615</v>
      </c>
      <c r="F626" s="37" t="s">
        <v>616</v>
      </c>
      <c r="G626" s="38" t="s">
        <v>70</v>
      </c>
      <c r="H626" s="37"/>
      <c r="I626" s="37"/>
      <c r="J626" s="37" t="s">
        <v>979</v>
      </c>
      <c r="K626" s="40"/>
      <c r="L626" s="38"/>
      <c r="M626" s="38"/>
      <c r="N626" s="37"/>
      <c r="O626" s="37"/>
      <c r="P626" s="37"/>
      <c r="Q626" s="37"/>
      <c r="R626" s="39"/>
      <c r="S626" s="37"/>
      <c r="T626" s="38" t="s">
        <v>293</v>
      </c>
    </row>
    <row r="627" ht="34.5">
      <c r="A627" s="38" t="s">
        <v>884</v>
      </c>
      <c r="B627" s="38" t="s">
        <v>885</v>
      </c>
      <c r="C627" s="38" t="s">
        <v>637</v>
      </c>
      <c r="D627" s="38" t="s">
        <v>288</v>
      </c>
      <c r="E627" s="38" t="s">
        <v>615</v>
      </c>
      <c r="F627" s="37" t="s">
        <v>616</v>
      </c>
      <c r="G627" s="38" t="s">
        <v>70</v>
      </c>
      <c r="H627" s="37"/>
      <c r="I627" s="37"/>
      <c r="J627" s="37" t="s">
        <v>980</v>
      </c>
      <c r="K627" s="40"/>
      <c r="L627" s="38"/>
      <c r="M627" s="38"/>
      <c r="N627" s="37"/>
      <c r="O627" s="37"/>
      <c r="P627" s="37"/>
      <c r="Q627" s="37"/>
      <c r="R627" s="39"/>
      <c r="S627" s="37"/>
      <c r="T627" s="38" t="s">
        <v>293</v>
      </c>
    </row>
    <row r="628" ht="34.5">
      <c r="A628" s="38" t="s">
        <v>884</v>
      </c>
      <c r="B628" s="38" t="s">
        <v>885</v>
      </c>
      <c r="C628" s="38" t="s">
        <v>637</v>
      </c>
      <c r="D628" s="38" t="s">
        <v>678</v>
      </c>
      <c r="E628" s="38" t="s">
        <v>615</v>
      </c>
      <c r="F628" s="37" t="s">
        <v>616</v>
      </c>
      <c r="G628" s="38" t="s">
        <v>70</v>
      </c>
      <c r="H628" s="37"/>
      <c r="I628" s="37"/>
      <c r="J628" s="37" t="s">
        <v>679</v>
      </c>
      <c r="K628" s="40"/>
      <c r="L628" s="38"/>
      <c r="M628" s="38"/>
      <c r="N628" s="37"/>
      <c r="O628" s="37"/>
      <c r="P628" s="37"/>
      <c r="Q628" s="37"/>
      <c r="R628" s="39"/>
      <c r="S628" s="37"/>
      <c r="T628" s="38" t="s">
        <v>293</v>
      </c>
    </row>
    <row r="629" ht="34.5">
      <c r="A629" s="38" t="s">
        <v>884</v>
      </c>
      <c r="B629" s="38" t="s">
        <v>885</v>
      </c>
      <c r="C629" s="38" t="s">
        <v>637</v>
      </c>
      <c r="D629" s="38" t="s">
        <v>288</v>
      </c>
      <c r="E629" s="38" t="s">
        <v>615</v>
      </c>
      <c r="F629" s="37" t="s">
        <v>616</v>
      </c>
      <c r="G629" s="38" t="s">
        <v>70</v>
      </c>
      <c r="H629" s="37"/>
      <c r="I629" s="37"/>
      <c r="J629" s="37" t="s">
        <v>981</v>
      </c>
      <c r="K629" s="40"/>
      <c r="L629" s="38"/>
      <c r="M629" s="38"/>
      <c r="N629" s="37"/>
      <c r="O629" s="37"/>
      <c r="P629" s="37"/>
      <c r="Q629" s="37"/>
      <c r="R629" s="39"/>
      <c r="S629" s="37"/>
      <c r="T629" s="38" t="s">
        <v>293</v>
      </c>
    </row>
    <row r="630" ht="34.5">
      <c r="A630" s="38" t="s">
        <v>884</v>
      </c>
      <c r="B630" s="38" t="s">
        <v>885</v>
      </c>
      <c r="C630" s="38" t="s">
        <v>641</v>
      </c>
      <c r="D630" s="38" t="s">
        <v>288</v>
      </c>
      <c r="E630" s="38" t="s">
        <v>615</v>
      </c>
      <c r="F630" s="37" t="s">
        <v>616</v>
      </c>
      <c r="G630" s="38" t="s">
        <v>70</v>
      </c>
      <c r="H630" s="37"/>
      <c r="I630" s="37"/>
      <c r="J630" s="37" t="s">
        <v>638</v>
      </c>
      <c r="K630" s="40"/>
      <c r="L630" s="38"/>
      <c r="M630" s="38"/>
      <c r="N630" s="37"/>
      <c r="O630" s="37"/>
      <c r="P630" s="37"/>
      <c r="Q630" s="37"/>
      <c r="R630" s="39"/>
      <c r="S630" s="37"/>
      <c r="T630" s="38" t="s">
        <v>293</v>
      </c>
    </row>
    <row r="631" ht="34.5">
      <c r="A631" s="38" t="s">
        <v>884</v>
      </c>
      <c r="B631" s="38" t="s">
        <v>885</v>
      </c>
      <c r="C631" s="38" t="s">
        <v>641</v>
      </c>
      <c r="D631" s="38" t="s">
        <v>692</v>
      </c>
      <c r="E631" s="38" t="s">
        <v>615</v>
      </c>
      <c r="F631" s="37" t="s">
        <v>616</v>
      </c>
      <c r="G631" s="38" t="s">
        <v>70</v>
      </c>
      <c r="H631" s="37"/>
      <c r="I631" s="37"/>
      <c r="J631" s="37" t="s">
        <v>693</v>
      </c>
      <c r="K631" s="40"/>
      <c r="L631" s="38"/>
      <c r="M631" s="38"/>
      <c r="N631" s="37"/>
      <c r="O631" s="37"/>
      <c r="P631" s="37"/>
      <c r="Q631" s="37"/>
      <c r="R631" s="39"/>
      <c r="S631" s="37"/>
      <c r="T631" s="38" t="s">
        <v>293</v>
      </c>
    </row>
    <row r="632" ht="34.5">
      <c r="A632" s="38" t="s">
        <v>884</v>
      </c>
      <c r="B632" s="38" t="s">
        <v>885</v>
      </c>
      <c r="C632" s="38" t="s">
        <v>651</v>
      </c>
      <c r="D632" s="38" t="s">
        <v>288</v>
      </c>
      <c r="E632" s="38" t="s">
        <v>615</v>
      </c>
      <c r="F632" s="37" t="s">
        <v>616</v>
      </c>
      <c r="G632" s="38" t="s">
        <v>70</v>
      </c>
      <c r="H632" s="37"/>
      <c r="I632" s="37"/>
      <c r="J632" s="37" t="s">
        <v>642</v>
      </c>
      <c r="K632" s="40"/>
      <c r="L632" s="38"/>
      <c r="M632" s="38"/>
      <c r="N632" s="37"/>
      <c r="O632" s="37"/>
      <c r="P632" s="37"/>
      <c r="Q632" s="37"/>
      <c r="R632" s="39"/>
      <c r="S632" s="37"/>
      <c r="T632" s="38" t="s">
        <v>293</v>
      </c>
    </row>
    <row r="633" ht="34.5">
      <c r="A633" s="38" t="s">
        <v>884</v>
      </c>
      <c r="B633" s="38" t="s">
        <v>885</v>
      </c>
      <c r="C633" s="38" t="s">
        <v>651</v>
      </c>
      <c r="D633" s="38" t="s">
        <v>288</v>
      </c>
      <c r="E633" s="38" t="s">
        <v>615</v>
      </c>
      <c r="F633" s="37" t="s">
        <v>616</v>
      </c>
      <c r="G633" s="38" t="s">
        <v>70</v>
      </c>
      <c r="H633" s="37"/>
      <c r="I633" s="37"/>
      <c r="J633" s="37" t="s">
        <v>643</v>
      </c>
      <c r="K633" s="40"/>
      <c r="L633" s="38"/>
      <c r="M633" s="38"/>
      <c r="N633" s="37"/>
      <c r="O633" s="37"/>
      <c r="P633" s="37"/>
      <c r="Q633" s="37"/>
      <c r="R633" s="39"/>
      <c r="S633" s="37"/>
      <c r="T633" s="38" t="s">
        <v>293</v>
      </c>
    </row>
    <row r="634" ht="34.5">
      <c r="A634" s="38" t="s">
        <v>884</v>
      </c>
      <c r="B634" s="38" t="s">
        <v>885</v>
      </c>
      <c r="C634" s="38" t="s">
        <v>651</v>
      </c>
      <c r="D634" s="38" t="s">
        <v>699</v>
      </c>
      <c r="E634" s="38" t="s">
        <v>615</v>
      </c>
      <c r="F634" s="37" t="s">
        <v>616</v>
      </c>
      <c r="G634" s="38" t="s">
        <v>70</v>
      </c>
      <c r="H634" s="37"/>
      <c r="I634" s="37"/>
      <c r="J634" s="37" t="s">
        <v>700</v>
      </c>
      <c r="K634" s="40"/>
      <c r="L634" s="38"/>
      <c r="M634" s="38"/>
      <c r="N634" s="37"/>
      <c r="O634" s="37"/>
      <c r="P634" s="37"/>
      <c r="Q634" s="37"/>
      <c r="R634" s="39"/>
      <c r="S634" s="37"/>
      <c r="T634" s="38" t="s">
        <v>293</v>
      </c>
    </row>
    <row r="635" ht="34.5">
      <c r="A635" s="38" t="s">
        <v>884</v>
      </c>
      <c r="B635" s="38" t="s">
        <v>885</v>
      </c>
      <c r="C635" s="38" t="s">
        <v>651</v>
      </c>
      <c r="D635" s="38" t="s">
        <v>288</v>
      </c>
      <c r="E635" s="38" t="s">
        <v>615</v>
      </c>
      <c r="F635" s="37" t="s">
        <v>616</v>
      </c>
      <c r="G635" s="38" t="s">
        <v>70</v>
      </c>
      <c r="H635" s="37"/>
      <c r="I635" s="37"/>
      <c r="J635" s="37" t="s">
        <v>646</v>
      </c>
      <c r="K635" s="40"/>
      <c r="L635" s="38"/>
      <c r="M635" s="38"/>
      <c r="N635" s="37"/>
      <c r="O635" s="37"/>
      <c r="P635" s="37"/>
      <c r="Q635" s="37"/>
      <c r="R635" s="39"/>
      <c r="S635" s="37"/>
      <c r="T635" s="38" t="s">
        <v>293</v>
      </c>
    </row>
    <row r="636" ht="34.5">
      <c r="A636" s="38" t="s">
        <v>884</v>
      </c>
      <c r="B636" s="38" t="s">
        <v>885</v>
      </c>
      <c r="C636" s="38" t="s">
        <v>651</v>
      </c>
      <c r="D636" s="38" t="s">
        <v>288</v>
      </c>
      <c r="E636" s="38" t="s">
        <v>615</v>
      </c>
      <c r="F636" s="37" t="s">
        <v>616</v>
      </c>
      <c r="G636" s="38" t="s">
        <v>70</v>
      </c>
      <c r="H636" s="37"/>
      <c r="I636" s="37"/>
      <c r="J636" s="37" t="s">
        <v>647</v>
      </c>
      <c r="K636" s="40"/>
      <c r="L636" s="38"/>
      <c r="M636" s="38"/>
      <c r="N636" s="37"/>
      <c r="O636" s="37"/>
      <c r="P636" s="37"/>
      <c r="Q636" s="37"/>
      <c r="R636" s="39"/>
      <c r="S636" s="37"/>
      <c r="T636" s="38" t="s">
        <v>293</v>
      </c>
    </row>
    <row r="637" ht="34.5">
      <c r="A637" s="38" t="s">
        <v>884</v>
      </c>
      <c r="B637" s="38" t="s">
        <v>885</v>
      </c>
      <c r="C637" s="38" t="s">
        <v>651</v>
      </c>
      <c r="D637" s="38" t="s">
        <v>288</v>
      </c>
      <c r="E637" s="38" t="s">
        <v>615</v>
      </c>
      <c r="F637" s="37" t="s">
        <v>616</v>
      </c>
      <c r="G637" s="38" t="s">
        <v>70</v>
      </c>
      <c r="H637" s="37"/>
      <c r="I637" s="37"/>
      <c r="J637" s="37" t="s">
        <v>648</v>
      </c>
      <c r="K637" s="40"/>
      <c r="L637" s="38"/>
      <c r="M637" s="38"/>
      <c r="N637" s="37"/>
      <c r="O637" s="37"/>
      <c r="P637" s="37"/>
      <c r="Q637" s="37"/>
      <c r="R637" s="39"/>
      <c r="S637" s="37"/>
      <c r="T637" s="38" t="s">
        <v>293</v>
      </c>
    </row>
    <row r="638" ht="34.5">
      <c r="A638" s="38" t="s">
        <v>884</v>
      </c>
      <c r="B638" s="38" t="s">
        <v>885</v>
      </c>
      <c r="C638" s="38" t="s">
        <v>651</v>
      </c>
      <c r="D638" s="38" t="s">
        <v>288</v>
      </c>
      <c r="E638" s="38" t="s">
        <v>615</v>
      </c>
      <c r="F638" s="37" t="s">
        <v>616</v>
      </c>
      <c r="G638" s="38" t="s">
        <v>70</v>
      </c>
      <c r="H638" s="37"/>
      <c r="I638" s="37"/>
      <c r="J638" s="37" t="s">
        <v>982</v>
      </c>
      <c r="K638" s="40"/>
      <c r="L638" s="38"/>
      <c r="M638" s="38"/>
      <c r="N638" s="37"/>
      <c r="O638" s="37"/>
      <c r="P638" s="37"/>
      <c r="Q638" s="37"/>
      <c r="R638" s="39"/>
      <c r="S638" s="37"/>
      <c r="T638" s="38" t="s">
        <v>293</v>
      </c>
    </row>
    <row r="639" ht="34.5">
      <c r="A639" s="38" t="s">
        <v>884</v>
      </c>
      <c r="B639" s="38" t="s">
        <v>885</v>
      </c>
      <c r="C639" s="38" t="s">
        <v>651</v>
      </c>
      <c r="D639" s="38" t="s">
        <v>288</v>
      </c>
      <c r="E639" s="38" t="s">
        <v>615</v>
      </c>
      <c r="F639" s="37" t="s">
        <v>616</v>
      </c>
      <c r="G639" s="38" t="s">
        <v>70</v>
      </c>
      <c r="H639" s="37"/>
      <c r="I639" s="37"/>
      <c r="J639" s="37" t="s">
        <v>650</v>
      </c>
      <c r="K639" s="40"/>
      <c r="L639" s="38"/>
      <c r="M639" s="38"/>
      <c r="N639" s="37"/>
      <c r="O639" s="37"/>
      <c r="P639" s="37"/>
      <c r="Q639" s="37"/>
      <c r="R639" s="39"/>
      <c r="S639" s="37"/>
      <c r="T639" s="38" t="s">
        <v>293</v>
      </c>
    </row>
    <row r="640" ht="34.5">
      <c r="A640" s="38" t="s">
        <v>884</v>
      </c>
      <c r="B640" s="38" t="s">
        <v>885</v>
      </c>
      <c r="C640" s="38" t="s">
        <v>657</v>
      </c>
      <c r="D640" s="38" t="s">
        <v>288</v>
      </c>
      <c r="E640" s="38" t="s">
        <v>615</v>
      </c>
      <c r="F640" s="37" t="s">
        <v>616</v>
      </c>
      <c r="G640" s="38" t="s">
        <v>70</v>
      </c>
      <c r="H640" s="37"/>
      <c r="I640" s="37"/>
      <c r="J640" s="37" t="s">
        <v>652</v>
      </c>
      <c r="K640" s="40"/>
      <c r="L640" s="38"/>
      <c r="M640" s="38"/>
      <c r="N640" s="37"/>
      <c r="O640" s="37"/>
      <c r="P640" s="37"/>
      <c r="Q640" s="37"/>
      <c r="R640" s="39"/>
      <c r="S640" s="37"/>
      <c r="T640" s="38" t="s">
        <v>293</v>
      </c>
    </row>
    <row r="641" ht="34.5">
      <c r="A641" s="38" t="s">
        <v>884</v>
      </c>
      <c r="B641" s="38" t="s">
        <v>885</v>
      </c>
      <c r="C641" s="38" t="s">
        <v>657</v>
      </c>
      <c r="D641" s="38" t="s">
        <v>288</v>
      </c>
      <c r="E641" s="38" t="s">
        <v>615</v>
      </c>
      <c r="F641" s="37" t="s">
        <v>616</v>
      </c>
      <c r="G641" s="38" t="s">
        <v>70</v>
      </c>
      <c r="H641" s="37"/>
      <c r="I641" s="37"/>
      <c r="J641" s="37" t="s">
        <v>653</v>
      </c>
      <c r="K641" s="40"/>
      <c r="L641" s="38"/>
      <c r="M641" s="38"/>
      <c r="N641" s="37"/>
      <c r="O641" s="37"/>
      <c r="P641" s="37"/>
      <c r="Q641" s="37"/>
      <c r="R641" s="39"/>
      <c r="S641" s="37"/>
      <c r="T641" s="38" t="s">
        <v>293</v>
      </c>
    </row>
    <row r="642" ht="34.5">
      <c r="A642" s="38" t="s">
        <v>884</v>
      </c>
      <c r="B642" s="38" t="s">
        <v>885</v>
      </c>
      <c r="C642" s="38" t="s">
        <v>657</v>
      </c>
      <c r="D642" s="38" t="s">
        <v>288</v>
      </c>
      <c r="E642" s="38" t="s">
        <v>615</v>
      </c>
      <c r="F642" s="37" t="s">
        <v>616</v>
      </c>
      <c r="G642" s="38" t="s">
        <v>70</v>
      </c>
      <c r="H642" s="37"/>
      <c r="I642" s="37"/>
      <c r="J642" s="37" t="s">
        <v>654</v>
      </c>
      <c r="K642" s="40"/>
      <c r="L642" s="38"/>
      <c r="M642" s="38"/>
      <c r="N642" s="37"/>
      <c r="O642" s="37"/>
      <c r="P642" s="37"/>
      <c r="Q642" s="37"/>
      <c r="R642" s="39"/>
      <c r="S642" s="37"/>
      <c r="T642" s="38" t="s">
        <v>293</v>
      </c>
    </row>
    <row r="643" ht="34.5">
      <c r="A643" s="38" t="s">
        <v>884</v>
      </c>
      <c r="B643" s="38" t="s">
        <v>885</v>
      </c>
      <c r="C643" s="38" t="s">
        <v>657</v>
      </c>
      <c r="D643" s="38" t="s">
        <v>765</v>
      </c>
      <c r="E643" s="38" t="s">
        <v>615</v>
      </c>
      <c r="F643" s="37" t="s">
        <v>616</v>
      </c>
      <c r="G643" s="38" t="s">
        <v>70</v>
      </c>
      <c r="H643" s="37"/>
      <c r="I643" s="37"/>
      <c r="J643" s="37" t="s">
        <v>766</v>
      </c>
      <c r="K643" s="40"/>
      <c r="L643" s="38"/>
      <c r="M643" s="38"/>
      <c r="N643" s="37"/>
      <c r="O643" s="37"/>
      <c r="P643" s="37"/>
      <c r="Q643" s="37"/>
      <c r="R643" s="39"/>
      <c r="S643" s="37"/>
      <c r="T643" s="38" t="s">
        <v>293</v>
      </c>
    </row>
    <row r="644" ht="34.5">
      <c r="A644" s="38" t="s">
        <v>884</v>
      </c>
      <c r="B644" s="38" t="s">
        <v>885</v>
      </c>
      <c r="C644" s="38" t="s">
        <v>657</v>
      </c>
      <c r="D644" s="38" t="s">
        <v>288</v>
      </c>
      <c r="E644" s="38" t="s">
        <v>615</v>
      </c>
      <c r="F644" s="37" t="s">
        <v>616</v>
      </c>
      <c r="G644" s="38" t="s">
        <v>70</v>
      </c>
      <c r="H644" s="37"/>
      <c r="I644" s="37"/>
      <c r="J644" s="37" t="s">
        <v>983</v>
      </c>
      <c r="K644" s="40"/>
      <c r="L644" s="38"/>
      <c r="M644" s="38"/>
      <c r="N644" s="37"/>
      <c r="O644" s="37"/>
      <c r="P644" s="37"/>
      <c r="Q644" s="37"/>
      <c r="R644" s="39"/>
      <c r="S644" s="37"/>
      <c r="T644" s="38" t="s">
        <v>293</v>
      </c>
    </row>
    <row r="645" ht="34.5">
      <c r="A645" s="38" t="s">
        <v>884</v>
      </c>
      <c r="B645" s="38" t="s">
        <v>885</v>
      </c>
      <c r="C645" s="38" t="s">
        <v>657</v>
      </c>
      <c r="D645" s="38" t="s">
        <v>869</v>
      </c>
      <c r="E645" s="38" t="s">
        <v>615</v>
      </c>
      <c r="F645" s="37" t="s">
        <v>616</v>
      </c>
      <c r="G645" s="38" t="s">
        <v>70</v>
      </c>
      <c r="H645" s="37"/>
      <c r="I645" s="37"/>
      <c r="J645" s="37" t="s">
        <v>984</v>
      </c>
      <c r="K645" s="40"/>
      <c r="L645" s="38"/>
      <c r="M645" s="38"/>
      <c r="N645" s="37"/>
      <c r="O645" s="37"/>
      <c r="P645" s="37"/>
      <c r="Q645" s="37"/>
      <c r="R645" s="39"/>
      <c r="S645" s="37"/>
      <c r="T645" s="38" t="s">
        <v>293</v>
      </c>
    </row>
    <row r="646" ht="34.5">
      <c r="A646" s="38" t="s">
        <v>884</v>
      </c>
      <c r="B646" s="38" t="s">
        <v>885</v>
      </c>
      <c r="C646" s="38" t="s">
        <v>665</v>
      </c>
      <c r="D646" s="38" t="s">
        <v>288</v>
      </c>
      <c r="E646" s="38" t="s">
        <v>615</v>
      </c>
      <c r="F646" s="37" t="s">
        <v>616</v>
      </c>
      <c r="G646" s="38" t="s">
        <v>70</v>
      </c>
      <c r="H646" s="37"/>
      <c r="I646" s="37"/>
      <c r="J646" s="37" t="s">
        <v>658</v>
      </c>
      <c r="K646" s="40"/>
      <c r="L646" s="38"/>
      <c r="M646" s="38"/>
      <c r="N646" s="37"/>
      <c r="O646" s="37"/>
      <c r="P646" s="37"/>
      <c r="Q646" s="37"/>
      <c r="R646" s="39"/>
      <c r="S646" s="37"/>
      <c r="T646" s="38" t="s">
        <v>293</v>
      </c>
    </row>
    <row r="647" ht="34.5">
      <c r="A647" s="38" t="s">
        <v>884</v>
      </c>
      <c r="B647" s="38" t="s">
        <v>885</v>
      </c>
      <c r="C647" s="38" t="s">
        <v>665</v>
      </c>
      <c r="D647" s="38" t="s">
        <v>288</v>
      </c>
      <c r="E647" s="38" t="s">
        <v>615</v>
      </c>
      <c r="F647" s="37" t="s">
        <v>616</v>
      </c>
      <c r="G647" s="38" t="s">
        <v>70</v>
      </c>
      <c r="H647" s="37"/>
      <c r="I647" s="37"/>
      <c r="J647" s="37" t="s">
        <v>659</v>
      </c>
      <c r="K647" s="40"/>
      <c r="L647" s="38"/>
      <c r="M647" s="38"/>
      <c r="N647" s="37"/>
      <c r="O647" s="37"/>
      <c r="P647" s="37"/>
      <c r="Q647" s="37"/>
      <c r="R647" s="39"/>
      <c r="S647" s="37"/>
      <c r="T647" s="38" t="s">
        <v>293</v>
      </c>
    </row>
    <row r="648" ht="34.5">
      <c r="A648" s="38" t="s">
        <v>884</v>
      </c>
      <c r="B648" s="38" t="s">
        <v>885</v>
      </c>
      <c r="C648" s="38" t="s">
        <v>665</v>
      </c>
      <c r="D648" s="38" t="s">
        <v>288</v>
      </c>
      <c r="E648" s="38" t="s">
        <v>615</v>
      </c>
      <c r="F648" s="37" t="s">
        <v>616</v>
      </c>
      <c r="G648" s="38" t="s">
        <v>70</v>
      </c>
      <c r="H648" s="37"/>
      <c r="I648" s="37"/>
      <c r="J648" s="37" t="s">
        <v>660</v>
      </c>
      <c r="K648" s="40"/>
      <c r="L648" s="38"/>
      <c r="M648" s="38"/>
      <c r="N648" s="37"/>
      <c r="O648" s="37"/>
      <c r="P648" s="37"/>
      <c r="Q648" s="37"/>
      <c r="R648" s="39"/>
      <c r="S648" s="37"/>
      <c r="T648" s="38" t="s">
        <v>293</v>
      </c>
    </row>
    <row r="649" ht="34.5">
      <c r="A649" s="38" t="s">
        <v>884</v>
      </c>
      <c r="B649" s="38" t="s">
        <v>885</v>
      </c>
      <c r="C649" s="38" t="s">
        <v>665</v>
      </c>
      <c r="D649" s="38" t="s">
        <v>288</v>
      </c>
      <c r="E649" s="38" t="s">
        <v>615</v>
      </c>
      <c r="F649" s="37" t="s">
        <v>616</v>
      </c>
      <c r="G649" s="38" t="s">
        <v>70</v>
      </c>
      <c r="H649" s="37"/>
      <c r="I649" s="37"/>
      <c r="J649" s="37" t="s">
        <v>661</v>
      </c>
      <c r="K649" s="40"/>
      <c r="L649" s="38"/>
      <c r="M649" s="38"/>
      <c r="N649" s="37"/>
      <c r="O649" s="37"/>
      <c r="P649" s="37"/>
      <c r="Q649" s="37"/>
      <c r="R649" s="39"/>
      <c r="S649" s="37"/>
      <c r="T649" s="38" t="s">
        <v>293</v>
      </c>
    </row>
    <row r="650" ht="34.5">
      <c r="A650" s="38" t="s">
        <v>884</v>
      </c>
      <c r="B650" s="38" t="s">
        <v>885</v>
      </c>
      <c r="C650" s="38" t="s">
        <v>665</v>
      </c>
      <c r="D650" s="38" t="s">
        <v>288</v>
      </c>
      <c r="E650" s="38" t="s">
        <v>615</v>
      </c>
      <c r="F650" s="37" t="s">
        <v>616</v>
      </c>
      <c r="G650" s="38" t="s">
        <v>70</v>
      </c>
      <c r="H650" s="37"/>
      <c r="I650" s="37"/>
      <c r="J650" s="37" t="s">
        <v>662</v>
      </c>
      <c r="K650" s="40"/>
      <c r="L650" s="38"/>
      <c r="M650" s="38"/>
      <c r="N650" s="37"/>
      <c r="O650" s="37"/>
      <c r="P650" s="37"/>
      <c r="Q650" s="37"/>
      <c r="R650" s="39"/>
      <c r="S650" s="37"/>
      <c r="T650" s="38" t="s">
        <v>293</v>
      </c>
    </row>
    <row r="651" ht="34.5">
      <c r="A651" s="38" t="s">
        <v>884</v>
      </c>
      <c r="B651" s="38" t="s">
        <v>885</v>
      </c>
      <c r="C651" s="38" t="s">
        <v>665</v>
      </c>
      <c r="D651" s="38" t="s">
        <v>288</v>
      </c>
      <c r="E651" s="38" t="s">
        <v>615</v>
      </c>
      <c r="F651" s="37" t="s">
        <v>616</v>
      </c>
      <c r="G651" s="38" t="s">
        <v>70</v>
      </c>
      <c r="H651" s="37"/>
      <c r="I651" s="37"/>
      <c r="J651" s="37" t="s">
        <v>663</v>
      </c>
      <c r="K651" s="40"/>
      <c r="L651" s="38"/>
      <c r="M651" s="38"/>
      <c r="N651" s="37"/>
      <c r="O651" s="37"/>
      <c r="P651" s="37"/>
      <c r="Q651" s="37"/>
      <c r="R651" s="39"/>
      <c r="S651" s="37"/>
      <c r="T651" s="38" t="s">
        <v>293</v>
      </c>
    </row>
    <row r="652" ht="34.5">
      <c r="A652" s="38" t="s">
        <v>884</v>
      </c>
      <c r="B652" s="38" t="s">
        <v>885</v>
      </c>
      <c r="C652" s="38" t="s">
        <v>665</v>
      </c>
      <c r="D652" s="38" t="s">
        <v>288</v>
      </c>
      <c r="E652" s="38" t="s">
        <v>615</v>
      </c>
      <c r="F652" s="37" t="s">
        <v>616</v>
      </c>
      <c r="G652" s="38" t="s">
        <v>70</v>
      </c>
      <c r="H652" s="37"/>
      <c r="I652" s="37"/>
      <c r="J652" s="37" t="s">
        <v>664</v>
      </c>
      <c r="K652" s="40"/>
      <c r="L652" s="38"/>
      <c r="M652" s="38"/>
      <c r="N652" s="37"/>
      <c r="O652" s="37"/>
      <c r="P652" s="37"/>
      <c r="Q652" s="37"/>
      <c r="R652" s="39"/>
      <c r="S652" s="37"/>
      <c r="T652" s="38" t="s">
        <v>293</v>
      </c>
    </row>
    <row r="653" ht="34.5">
      <c r="A653" s="38" t="s">
        <v>884</v>
      </c>
      <c r="B653" s="38" t="s">
        <v>885</v>
      </c>
      <c r="C653" s="38" t="s">
        <v>676</v>
      </c>
      <c r="D653" s="38" t="s">
        <v>288</v>
      </c>
      <c r="E653" s="38" t="s">
        <v>615</v>
      </c>
      <c r="F653" s="37" t="s">
        <v>616</v>
      </c>
      <c r="G653" s="38" t="s">
        <v>70</v>
      </c>
      <c r="H653" s="37"/>
      <c r="I653" s="37"/>
      <c r="J653" s="37" t="s">
        <v>666</v>
      </c>
      <c r="K653" s="40"/>
      <c r="L653" s="38"/>
      <c r="M653" s="38"/>
      <c r="N653" s="37"/>
      <c r="O653" s="37"/>
      <c r="P653" s="37"/>
      <c r="Q653" s="37"/>
      <c r="R653" s="39"/>
      <c r="S653" s="37"/>
      <c r="T653" s="38" t="s">
        <v>293</v>
      </c>
    </row>
    <row r="654" ht="34.5">
      <c r="A654" s="38" t="s">
        <v>884</v>
      </c>
      <c r="B654" s="38" t="s">
        <v>885</v>
      </c>
      <c r="C654" s="38" t="s">
        <v>676</v>
      </c>
      <c r="D654" s="38" t="s">
        <v>881</v>
      </c>
      <c r="E654" s="38" t="s">
        <v>615</v>
      </c>
      <c r="F654" s="37" t="s">
        <v>616</v>
      </c>
      <c r="G654" s="38" t="s">
        <v>70</v>
      </c>
      <c r="H654" s="37"/>
      <c r="I654" s="37"/>
      <c r="J654" s="37" t="s">
        <v>882</v>
      </c>
      <c r="K654" s="40"/>
      <c r="L654" s="38"/>
      <c r="M654" s="38"/>
      <c r="N654" s="37"/>
      <c r="O654" s="37"/>
      <c r="P654" s="37"/>
      <c r="Q654" s="37"/>
      <c r="R654" s="39"/>
      <c r="S654" s="37"/>
      <c r="T654" s="38" t="s">
        <v>293</v>
      </c>
    </row>
    <row r="655" ht="34.5">
      <c r="A655" s="38" t="s">
        <v>884</v>
      </c>
      <c r="B655" s="38" t="s">
        <v>885</v>
      </c>
      <c r="C655" s="38" t="s">
        <v>676</v>
      </c>
      <c r="D655" s="38" t="s">
        <v>288</v>
      </c>
      <c r="E655" s="38" t="s">
        <v>615</v>
      </c>
      <c r="F655" s="37" t="s">
        <v>616</v>
      </c>
      <c r="G655" s="38" t="s">
        <v>70</v>
      </c>
      <c r="H655" s="37"/>
      <c r="I655" s="37"/>
      <c r="J655" s="37" t="s">
        <v>669</v>
      </c>
      <c r="K655" s="40"/>
      <c r="L655" s="38"/>
      <c r="M655" s="38"/>
      <c r="N655" s="37"/>
      <c r="O655" s="37"/>
      <c r="P655" s="37"/>
      <c r="Q655" s="37"/>
      <c r="R655" s="39"/>
      <c r="S655" s="37"/>
      <c r="T655" s="38" t="s">
        <v>293</v>
      </c>
    </row>
    <row r="656" ht="34.5">
      <c r="A656" s="38" t="s">
        <v>884</v>
      </c>
      <c r="B656" s="38" t="s">
        <v>885</v>
      </c>
      <c r="C656" s="38" t="s">
        <v>676</v>
      </c>
      <c r="D656" s="38" t="s">
        <v>288</v>
      </c>
      <c r="E656" s="38" t="s">
        <v>615</v>
      </c>
      <c r="F656" s="37" t="s">
        <v>616</v>
      </c>
      <c r="G656" s="38" t="s">
        <v>70</v>
      </c>
      <c r="H656" s="37"/>
      <c r="I656" s="37"/>
      <c r="J656" s="37" t="s">
        <v>985</v>
      </c>
      <c r="K656" s="40"/>
      <c r="L656" s="38"/>
      <c r="M656" s="38"/>
      <c r="N656" s="37"/>
      <c r="O656" s="37"/>
      <c r="P656" s="37"/>
      <c r="Q656" s="37"/>
      <c r="R656" s="39"/>
      <c r="S656" s="37"/>
      <c r="T656" s="38" t="s">
        <v>293</v>
      </c>
    </row>
    <row r="657" ht="34.5">
      <c r="A657" s="38" t="s">
        <v>884</v>
      </c>
      <c r="B657" s="38" t="s">
        <v>885</v>
      </c>
      <c r="C657" s="38" t="s">
        <v>676</v>
      </c>
      <c r="D657" s="38" t="s">
        <v>288</v>
      </c>
      <c r="E657" s="38" t="s">
        <v>615</v>
      </c>
      <c r="F657" s="37" t="s">
        <v>616</v>
      </c>
      <c r="G657" s="38" t="s">
        <v>70</v>
      </c>
      <c r="H657" s="37"/>
      <c r="I657" s="37"/>
      <c r="J657" s="37" t="s">
        <v>986</v>
      </c>
      <c r="K657" s="40"/>
      <c r="L657" s="38"/>
      <c r="M657" s="38"/>
      <c r="N657" s="37"/>
      <c r="O657" s="37"/>
      <c r="P657" s="37"/>
      <c r="Q657" s="37"/>
      <c r="R657" s="39"/>
      <c r="S657" s="37"/>
      <c r="T657" s="38" t="s">
        <v>293</v>
      </c>
    </row>
    <row r="658" ht="34.5">
      <c r="A658" s="38" t="s">
        <v>884</v>
      </c>
      <c r="B658" s="38" t="s">
        <v>885</v>
      </c>
      <c r="C658" s="38" t="s">
        <v>676</v>
      </c>
      <c r="D658" s="38" t="s">
        <v>288</v>
      </c>
      <c r="E658" s="38" t="s">
        <v>615</v>
      </c>
      <c r="F658" s="37" t="s">
        <v>616</v>
      </c>
      <c r="G658" s="38" t="s">
        <v>70</v>
      </c>
      <c r="H658" s="37"/>
      <c r="I658" s="37"/>
      <c r="J658" s="37" t="s">
        <v>987</v>
      </c>
      <c r="K658" s="40"/>
      <c r="L658" s="38"/>
      <c r="M658" s="38"/>
      <c r="N658" s="37"/>
      <c r="O658" s="37"/>
      <c r="P658" s="37"/>
      <c r="Q658" s="37"/>
      <c r="R658" s="39"/>
      <c r="S658" s="37"/>
      <c r="T658" s="38" t="s">
        <v>293</v>
      </c>
    </row>
    <row r="659" ht="34.5">
      <c r="A659" s="38" t="s">
        <v>884</v>
      </c>
      <c r="B659" s="38" t="s">
        <v>885</v>
      </c>
      <c r="C659" s="38" t="s">
        <v>676</v>
      </c>
      <c r="D659" s="38" t="s">
        <v>288</v>
      </c>
      <c r="E659" s="38" t="s">
        <v>615</v>
      </c>
      <c r="F659" s="37" t="s">
        <v>616</v>
      </c>
      <c r="G659" s="38" t="s">
        <v>70</v>
      </c>
      <c r="H659" s="37"/>
      <c r="I659" s="37"/>
      <c r="J659" s="37" t="s">
        <v>988</v>
      </c>
      <c r="K659" s="40"/>
      <c r="L659" s="38"/>
      <c r="M659" s="38"/>
      <c r="N659" s="37"/>
      <c r="O659" s="37"/>
      <c r="P659" s="37"/>
      <c r="Q659" s="37"/>
      <c r="R659" s="39"/>
      <c r="S659" s="37"/>
      <c r="T659" s="38" t="s">
        <v>293</v>
      </c>
    </row>
    <row r="660" ht="34.5">
      <c r="A660" s="38" t="s">
        <v>884</v>
      </c>
      <c r="B660" s="38" t="s">
        <v>885</v>
      </c>
      <c r="C660" s="38" t="s">
        <v>681</v>
      </c>
      <c r="D660" s="38" t="s">
        <v>288</v>
      </c>
      <c r="E660" s="38" t="s">
        <v>615</v>
      </c>
      <c r="F660" s="37" t="s">
        <v>616</v>
      </c>
      <c r="G660" s="38" t="s">
        <v>70</v>
      </c>
      <c r="H660" s="37"/>
      <c r="I660" s="37"/>
      <c r="J660" s="37" t="s">
        <v>989</v>
      </c>
      <c r="K660" s="40"/>
      <c r="L660" s="38"/>
      <c r="M660" s="38"/>
      <c r="N660" s="37"/>
      <c r="O660" s="37"/>
      <c r="P660" s="37"/>
      <c r="Q660" s="37"/>
      <c r="R660" s="39"/>
      <c r="S660" s="37"/>
      <c r="T660" s="38" t="s">
        <v>293</v>
      </c>
    </row>
    <row r="661" ht="34.5">
      <c r="A661" s="38" t="s">
        <v>884</v>
      </c>
      <c r="B661" s="38" t="s">
        <v>885</v>
      </c>
      <c r="C661" s="38" t="s">
        <v>681</v>
      </c>
      <c r="D661" s="38" t="s">
        <v>288</v>
      </c>
      <c r="E661" s="38" t="s">
        <v>615</v>
      </c>
      <c r="F661" s="37" t="s">
        <v>616</v>
      </c>
      <c r="G661" s="38" t="s">
        <v>70</v>
      </c>
      <c r="H661" s="37"/>
      <c r="I661" s="37"/>
      <c r="J661" s="37" t="s">
        <v>990</v>
      </c>
      <c r="K661" s="40"/>
      <c r="L661" s="38"/>
      <c r="M661" s="38"/>
      <c r="N661" s="37"/>
      <c r="O661" s="37"/>
      <c r="P661" s="37"/>
      <c r="Q661" s="37"/>
      <c r="R661" s="39"/>
      <c r="S661" s="37"/>
      <c r="T661" s="38" t="s">
        <v>293</v>
      </c>
    </row>
    <row r="662" ht="34.5">
      <c r="A662" s="38" t="s">
        <v>884</v>
      </c>
      <c r="B662" s="38" t="s">
        <v>885</v>
      </c>
      <c r="C662" s="38" t="s">
        <v>681</v>
      </c>
      <c r="D662" s="38" t="s">
        <v>991</v>
      </c>
      <c r="E662" s="38" t="s">
        <v>615</v>
      </c>
      <c r="F662" s="37" t="s">
        <v>616</v>
      </c>
      <c r="G662" s="38" t="s">
        <v>70</v>
      </c>
      <c r="H662" s="37"/>
      <c r="I662" s="37"/>
      <c r="J662" s="37" t="s">
        <v>992</v>
      </c>
      <c r="K662" s="40"/>
      <c r="L662" s="38"/>
      <c r="M662" s="38"/>
      <c r="N662" s="37"/>
      <c r="O662" s="37"/>
      <c r="P662" s="37"/>
      <c r="Q662" s="37"/>
      <c r="R662" s="39"/>
      <c r="S662" s="37"/>
      <c r="T662" s="38" t="s">
        <v>293</v>
      </c>
    </row>
    <row r="663" ht="34.5">
      <c r="A663" s="38" t="s">
        <v>884</v>
      </c>
      <c r="B663" s="38" t="s">
        <v>885</v>
      </c>
      <c r="C663" s="38" t="s">
        <v>690</v>
      </c>
      <c r="D663" s="38" t="s">
        <v>288</v>
      </c>
      <c r="E663" s="38" t="s">
        <v>615</v>
      </c>
      <c r="F663" s="37" t="s">
        <v>616</v>
      </c>
      <c r="G663" s="38" t="s">
        <v>70</v>
      </c>
      <c r="H663" s="37"/>
      <c r="I663" s="37"/>
      <c r="J663" s="37" t="s">
        <v>993</v>
      </c>
      <c r="K663" s="40"/>
      <c r="L663" s="38"/>
      <c r="M663" s="38"/>
      <c r="N663" s="37"/>
      <c r="O663" s="37"/>
      <c r="P663" s="37"/>
      <c r="Q663" s="37"/>
      <c r="R663" s="39"/>
      <c r="S663" s="37"/>
      <c r="T663" s="38" t="s">
        <v>293</v>
      </c>
    </row>
    <row r="664" ht="34.5">
      <c r="A664" s="38" t="s">
        <v>884</v>
      </c>
      <c r="B664" s="38" t="s">
        <v>885</v>
      </c>
      <c r="C664" s="38" t="s">
        <v>690</v>
      </c>
      <c r="D664" s="38" t="s">
        <v>288</v>
      </c>
      <c r="E664" s="38" t="s">
        <v>615</v>
      </c>
      <c r="F664" s="37" t="s">
        <v>616</v>
      </c>
      <c r="G664" s="38" t="s">
        <v>70</v>
      </c>
      <c r="H664" s="37"/>
      <c r="I664" s="37"/>
      <c r="J664" s="37" t="s">
        <v>994</v>
      </c>
      <c r="K664" s="40"/>
      <c r="L664" s="38"/>
      <c r="M664" s="38"/>
      <c r="N664" s="37"/>
      <c r="O664" s="37"/>
      <c r="P664" s="37"/>
      <c r="Q664" s="37"/>
      <c r="R664" s="39"/>
      <c r="S664" s="37"/>
      <c r="T664" s="38" t="s">
        <v>293</v>
      </c>
    </row>
    <row r="665" ht="34.5">
      <c r="A665" s="38" t="s">
        <v>884</v>
      </c>
      <c r="B665" s="38" t="s">
        <v>885</v>
      </c>
      <c r="C665" s="38" t="s">
        <v>690</v>
      </c>
      <c r="D665" s="38" t="s">
        <v>995</v>
      </c>
      <c r="E665" s="38" t="s">
        <v>615</v>
      </c>
      <c r="F665" s="37" t="s">
        <v>616</v>
      </c>
      <c r="G665" s="38" t="s">
        <v>70</v>
      </c>
      <c r="H665" s="37"/>
      <c r="I665" s="37"/>
      <c r="J665" s="37" t="s">
        <v>996</v>
      </c>
      <c r="K665" s="40"/>
      <c r="L665" s="38"/>
      <c r="M665" s="38"/>
      <c r="N665" s="37"/>
      <c r="O665" s="37"/>
      <c r="P665" s="37"/>
      <c r="Q665" s="37"/>
      <c r="R665" s="39"/>
      <c r="S665" s="37"/>
      <c r="T665" s="38" t="s">
        <v>293</v>
      </c>
    </row>
    <row r="666" ht="34.5">
      <c r="A666" s="38" t="s">
        <v>884</v>
      </c>
      <c r="B666" s="38" t="s">
        <v>885</v>
      </c>
      <c r="C666" s="38" t="s">
        <v>690</v>
      </c>
      <c r="D666" s="38" t="s">
        <v>288</v>
      </c>
      <c r="E666" s="38" t="s">
        <v>615</v>
      </c>
      <c r="F666" s="37" t="s">
        <v>616</v>
      </c>
      <c r="G666" s="38" t="s">
        <v>70</v>
      </c>
      <c r="H666" s="37"/>
      <c r="I666" s="37"/>
      <c r="J666" s="37" t="s">
        <v>997</v>
      </c>
      <c r="K666" s="40"/>
      <c r="L666" s="38"/>
      <c r="M666" s="38"/>
      <c r="N666" s="37"/>
      <c r="O666" s="37"/>
      <c r="P666" s="37"/>
      <c r="Q666" s="37"/>
      <c r="R666" s="39"/>
      <c r="S666" s="37"/>
      <c r="T666" s="38" t="s">
        <v>293</v>
      </c>
    </row>
    <row r="667" ht="34.5">
      <c r="A667" s="38" t="s">
        <v>884</v>
      </c>
      <c r="B667" s="38" t="s">
        <v>885</v>
      </c>
      <c r="C667" s="38" t="s">
        <v>690</v>
      </c>
      <c r="D667" s="38" t="s">
        <v>288</v>
      </c>
      <c r="E667" s="38" t="s">
        <v>615</v>
      </c>
      <c r="F667" s="37" t="s">
        <v>616</v>
      </c>
      <c r="G667" s="38" t="s">
        <v>70</v>
      </c>
      <c r="H667" s="37"/>
      <c r="I667" s="37"/>
      <c r="J667" s="37" t="s">
        <v>671</v>
      </c>
      <c r="K667" s="40"/>
      <c r="L667" s="38"/>
      <c r="M667" s="38"/>
      <c r="N667" s="37"/>
      <c r="O667" s="37"/>
      <c r="P667" s="37"/>
      <c r="Q667" s="37"/>
      <c r="R667" s="39"/>
      <c r="S667" s="37"/>
      <c r="T667" s="38" t="s">
        <v>293</v>
      </c>
    </row>
    <row r="668" ht="34.5">
      <c r="A668" s="38" t="s">
        <v>884</v>
      </c>
      <c r="B668" s="38" t="s">
        <v>885</v>
      </c>
      <c r="C668" s="38" t="s">
        <v>690</v>
      </c>
      <c r="D668" s="38" t="s">
        <v>288</v>
      </c>
      <c r="E668" s="38" t="s">
        <v>615</v>
      </c>
      <c r="F668" s="37" t="s">
        <v>616</v>
      </c>
      <c r="G668" s="38" t="s">
        <v>70</v>
      </c>
      <c r="H668" s="37"/>
      <c r="I668" s="37"/>
      <c r="J668" s="37" t="s">
        <v>998</v>
      </c>
      <c r="K668" s="40"/>
      <c r="L668" s="38"/>
      <c r="M668" s="38"/>
      <c r="N668" s="37"/>
      <c r="O668" s="37"/>
      <c r="P668" s="37"/>
      <c r="Q668" s="37"/>
      <c r="R668" s="39"/>
      <c r="S668" s="37"/>
      <c r="T668" s="38" t="s">
        <v>293</v>
      </c>
    </row>
    <row r="669" ht="34.5">
      <c r="A669" s="38" t="s">
        <v>884</v>
      </c>
      <c r="B669" s="38" t="s">
        <v>885</v>
      </c>
      <c r="C669" s="38" t="s">
        <v>690</v>
      </c>
      <c r="D669" s="38" t="s">
        <v>288</v>
      </c>
      <c r="E669" s="38" t="s">
        <v>615</v>
      </c>
      <c r="F669" s="37" t="s">
        <v>616</v>
      </c>
      <c r="G669" s="38" t="s">
        <v>70</v>
      </c>
      <c r="H669" s="37"/>
      <c r="I669" s="37"/>
      <c r="J669" s="37" t="s">
        <v>673</v>
      </c>
      <c r="K669" s="40"/>
      <c r="L669" s="38"/>
      <c r="M669" s="38"/>
      <c r="N669" s="37"/>
      <c r="O669" s="37"/>
      <c r="P669" s="37"/>
      <c r="Q669" s="37"/>
      <c r="R669" s="39"/>
      <c r="S669" s="37"/>
      <c r="T669" s="38" t="s">
        <v>293</v>
      </c>
    </row>
    <row r="670" ht="34.5">
      <c r="A670" s="38" t="s">
        <v>884</v>
      </c>
      <c r="B670" s="38" t="s">
        <v>885</v>
      </c>
      <c r="C670" s="38" t="s">
        <v>690</v>
      </c>
      <c r="D670" s="38" t="s">
        <v>288</v>
      </c>
      <c r="E670" s="38" t="s">
        <v>615</v>
      </c>
      <c r="F670" s="37" t="s">
        <v>616</v>
      </c>
      <c r="G670" s="38" t="s">
        <v>70</v>
      </c>
      <c r="H670" s="37"/>
      <c r="I670" s="37"/>
      <c r="J670" s="37" t="s">
        <v>674</v>
      </c>
      <c r="K670" s="40"/>
      <c r="L670" s="38"/>
      <c r="M670" s="38"/>
      <c r="N670" s="37"/>
      <c r="O670" s="37"/>
      <c r="P670" s="37"/>
      <c r="Q670" s="37"/>
      <c r="R670" s="39"/>
      <c r="S670" s="37"/>
      <c r="T670" s="38" t="s">
        <v>293</v>
      </c>
    </row>
    <row r="671" ht="34.5">
      <c r="A671" s="38" t="s">
        <v>884</v>
      </c>
      <c r="B671" s="38" t="s">
        <v>885</v>
      </c>
      <c r="C671" s="38" t="s">
        <v>690</v>
      </c>
      <c r="D671" s="38" t="s">
        <v>288</v>
      </c>
      <c r="E671" s="38" t="s">
        <v>615</v>
      </c>
      <c r="F671" s="37" t="s">
        <v>616</v>
      </c>
      <c r="G671" s="38" t="s">
        <v>70</v>
      </c>
      <c r="H671" s="37"/>
      <c r="I671" s="37"/>
      <c r="J671" s="37" t="s">
        <v>675</v>
      </c>
      <c r="K671" s="40"/>
      <c r="L671" s="38"/>
      <c r="M671" s="38"/>
      <c r="N671" s="37"/>
      <c r="O671" s="37"/>
      <c r="P671" s="37"/>
      <c r="Q671" s="37"/>
      <c r="R671" s="39"/>
      <c r="S671" s="37"/>
      <c r="T671" s="38" t="s">
        <v>293</v>
      </c>
    </row>
    <row r="672" ht="34.5">
      <c r="A672" s="38" t="s">
        <v>884</v>
      </c>
      <c r="B672" s="38" t="s">
        <v>885</v>
      </c>
      <c r="C672" s="38" t="s">
        <v>696</v>
      </c>
      <c r="D672" s="38" t="s">
        <v>288</v>
      </c>
      <c r="E672" s="38" t="s">
        <v>615</v>
      </c>
      <c r="F672" s="37" t="s">
        <v>616</v>
      </c>
      <c r="G672" s="38" t="s">
        <v>70</v>
      </c>
      <c r="H672" s="37"/>
      <c r="I672" s="37"/>
      <c r="J672" s="37" t="s">
        <v>999</v>
      </c>
      <c r="K672" s="40"/>
      <c r="L672" s="38"/>
      <c r="M672" s="38"/>
      <c r="N672" s="37"/>
      <c r="O672" s="37"/>
      <c r="P672" s="37"/>
      <c r="Q672" s="37"/>
      <c r="R672" s="39"/>
      <c r="S672" s="37"/>
      <c r="T672" s="38" t="s">
        <v>293</v>
      </c>
    </row>
    <row r="673" ht="34.5">
      <c r="A673" s="38" t="s">
        <v>884</v>
      </c>
      <c r="B673" s="38" t="s">
        <v>885</v>
      </c>
      <c r="C673" s="38" t="s">
        <v>696</v>
      </c>
      <c r="D673" s="38" t="s">
        <v>1000</v>
      </c>
      <c r="E673" s="38" t="s">
        <v>615</v>
      </c>
      <c r="F673" s="37" t="s">
        <v>616</v>
      </c>
      <c r="G673" s="38" t="s">
        <v>70</v>
      </c>
      <c r="H673" s="37"/>
      <c r="I673" s="37"/>
      <c r="J673" s="37" t="s">
        <v>1001</v>
      </c>
      <c r="K673" s="40"/>
      <c r="L673" s="38"/>
      <c r="M673" s="38"/>
      <c r="N673" s="37"/>
      <c r="O673" s="37"/>
      <c r="P673" s="37"/>
      <c r="Q673" s="37"/>
      <c r="R673" s="39"/>
      <c r="S673" s="37"/>
      <c r="T673" s="38" t="s">
        <v>293</v>
      </c>
    </row>
    <row r="674" ht="34.5">
      <c r="A674" s="38" t="s">
        <v>884</v>
      </c>
      <c r="B674" s="38" t="s">
        <v>885</v>
      </c>
      <c r="C674" s="38" t="s">
        <v>704</v>
      </c>
      <c r="D674" s="38" t="s">
        <v>288</v>
      </c>
      <c r="E674" s="38" t="s">
        <v>615</v>
      </c>
      <c r="F674" s="37" t="s">
        <v>616</v>
      </c>
      <c r="G674" s="38" t="s">
        <v>70</v>
      </c>
      <c r="H674" s="37"/>
      <c r="I674" s="37"/>
      <c r="J674" s="37" t="s">
        <v>680</v>
      </c>
      <c r="K674" s="40"/>
      <c r="L674" s="38"/>
      <c r="M674" s="38"/>
      <c r="N674" s="37"/>
      <c r="O674" s="37"/>
      <c r="P674" s="37"/>
      <c r="Q674" s="37"/>
      <c r="R674" s="39"/>
      <c r="S674" s="37"/>
      <c r="T674" s="38" t="s">
        <v>293</v>
      </c>
    </row>
    <row r="675" ht="34.5">
      <c r="A675" s="38" t="s">
        <v>884</v>
      </c>
      <c r="B675" s="38" t="s">
        <v>885</v>
      </c>
      <c r="C675" s="38" t="s">
        <v>704</v>
      </c>
      <c r="D675" s="38" t="s">
        <v>288</v>
      </c>
      <c r="E675" s="38" t="s">
        <v>615</v>
      </c>
      <c r="F675" s="37" t="s">
        <v>616</v>
      </c>
      <c r="G675" s="38" t="s">
        <v>70</v>
      </c>
      <c r="H675" s="37"/>
      <c r="I675" s="37"/>
      <c r="J675" s="37" t="s">
        <v>682</v>
      </c>
      <c r="K675" s="40"/>
      <c r="L675" s="38"/>
      <c r="M675" s="38"/>
      <c r="N675" s="37"/>
      <c r="O675" s="37"/>
      <c r="P675" s="37"/>
      <c r="Q675" s="37"/>
      <c r="R675" s="39"/>
      <c r="S675" s="37"/>
      <c r="T675" s="38" t="s">
        <v>293</v>
      </c>
    </row>
    <row r="676" ht="34.5">
      <c r="A676" s="38" t="s">
        <v>884</v>
      </c>
      <c r="B676" s="38" t="s">
        <v>885</v>
      </c>
      <c r="C676" s="38" t="s">
        <v>704</v>
      </c>
      <c r="D676" s="38" t="s">
        <v>288</v>
      </c>
      <c r="E676" s="38" t="s">
        <v>615</v>
      </c>
      <c r="F676" s="37" t="s">
        <v>616</v>
      </c>
      <c r="G676" s="38" t="s">
        <v>70</v>
      </c>
      <c r="H676" s="37"/>
      <c r="I676" s="37"/>
      <c r="J676" s="37" t="s">
        <v>683</v>
      </c>
      <c r="K676" s="40"/>
      <c r="L676" s="38"/>
      <c r="M676" s="38"/>
      <c r="N676" s="37"/>
      <c r="O676" s="37"/>
      <c r="P676" s="37"/>
      <c r="Q676" s="37"/>
      <c r="R676" s="39"/>
      <c r="S676" s="37"/>
      <c r="T676" s="38" t="s">
        <v>293</v>
      </c>
    </row>
    <row r="677" ht="34.5">
      <c r="A677" s="38" t="s">
        <v>884</v>
      </c>
      <c r="B677" s="38" t="s">
        <v>885</v>
      </c>
      <c r="C677" s="38" t="s">
        <v>704</v>
      </c>
      <c r="D677" s="38" t="s">
        <v>288</v>
      </c>
      <c r="E677" s="38" t="s">
        <v>615</v>
      </c>
      <c r="F677" s="37" t="s">
        <v>616</v>
      </c>
      <c r="G677" s="38" t="s">
        <v>70</v>
      </c>
      <c r="H677" s="37"/>
      <c r="I677" s="37"/>
      <c r="J677" s="37" t="s">
        <v>1002</v>
      </c>
      <c r="K677" s="40"/>
      <c r="L677" s="38"/>
      <c r="M677" s="38"/>
      <c r="N677" s="37"/>
      <c r="O677" s="37"/>
      <c r="P677" s="37"/>
      <c r="Q677" s="37"/>
      <c r="R677" s="39"/>
      <c r="S677" s="37"/>
      <c r="T677" s="38" t="s">
        <v>293</v>
      </c>
    </row>
    <row r="678" ht="34.5">
      <c r="A678" s="38" t="s">
        <v>884</v>
      </c>
      <c r="B678" s="38" t="s">
        <v>885</v>
      </c>
      <c r="C678" s="38" t="s">
        <v>704</v>
      </c>
      <c r="D678" s="38" t="s">
        <v>288</v>
      </c>
      <c r="E678" s="38" t="s">
        <v>615</v>
      </c>
      <c r="F678" s="37" t="s">
        <v>616</v>
      </c>
      <c r="G678" s="38" t="s">
        <v>70</v>
      </c>
      <c r="H678" s="37"/>
      <c r="I678" s="37"/>
      <c r="J678" s="37" t="s">
        <v>685</v>
      </c>
      <c r="K678" s="40">
        <v>3000000</v>
      </c>
      <c r="L678" s="38" t="s">
        <v>297</v>
      </c>
      <c r="M678" s="38"/>
      <c r="N678" s="37"/>
      <c r="O678" s="37"/>
      <c r="P678" s="37"/>
      <c r="Q678" s="37"/>
      <c r="R678" s="39"/>
      <c r="S678" s="37"/>
      <c r="T678" s="38" t="s">
        <v>293</v>
      </c>
    </row>
    <row r="679" ht="34.5">
      <c r="A679" s="38" t="s">
        <v>884</v>
      </c>
      <c r="B679" s="38" t="s">
        <v>885</v>
      </c>
      <c r="C679" s="38" t="s">
        <v>704</v>
      </c>
      <c r="D679" s="38" t="s">
        <v>288</v>
      </c>
      <c r="E679" s="38" t="s">
        <v>615</v>
      </c>
      <c r="F679" s="37" t="s">
        <v>616</v>
      </c>
      <c r="G679" s="38" t="s">
        <v>70</v>
      </c>
      <c r="H679" s="37"/>
      <c r="I679" s="37"/>
      <c r="J679" s="37" t="s">
        <v>686</v>
      </c>
      <c r="K679" s="40"/>
      <c r="L679" s="38"/>
      <c r="M679" s="38"/>
      <c r="N679" s="37"/>
      <c r="O679" s="37"/>
      <c r="P679" s="37"/>
      <c r="Q679" s="37"/>
      <c r="R679" s="39"/>
      <c r="S679" s="37"/>
      <c r="T679" s="38" t="s">
        <v>293</v>
      </c>
    </row>
    <row r="680" ht="34.5">
      <c r="A680" s="38" t="s">
        <v>884</v>
      </c>
      <c r="B680" s="38" t="s">
        <v>885</v>
      </c>
      <c r="C680" s="38" t="s">
        <v>704</v>
      </c>
      <c r="D680" s="38" t="s">
        <v>288</v>
      </c>
      <c r="E680" s="38" t="s">
        <v>615</v>
      </c>
      <c r="F680" s="37" t="s">
        <v>616</v>
      </c>
      <c r="G680" s="38" t="s">
        <v>70</v>
      </c>
      <c r="H680" s="37"/>
      <c r="I680" s="37"/>
      <c r="J680" s="37" t="s">
        <v>687</v>
      </c>
      <c r="K680" s="40"/>
      <c r="L680" s="38"/>
      <c r="M680" s="38"/>
      <c r="N680" s="37"/>
      <c r="O680" s="37"/>
      <c r="P680" s="37"/>
      <c r="Q680" s="37"/>
      <c r="R680" s="39"/>
      <c r="S680" s="37"/>
      <c r="T680" s="38" t="s">
        <v>293</v>
      </c>
    </row>
    <row r="681" ht="34.5">
      <c r="A681" s="38" t="s">
        <v>884</v>
      </c>
      <c r="B681" s="38" t="s">
        <v>885</v>
      </c>
      <c r="C681" s="38" t="s">
        <v>704</v>
      </c>
      <c r="D681" s="38" t="s">
        <v>288</v>
      </c>
      <c r="E681" s="38" t="s">
        <v>615</v>
      </c>
      <c r="F681" s="37" t="s">
        <v>616</v>
      </c>
      <c r="G681" s="38" t="s">
        <v>70</v>
      </c>
      <c r="H681" s="37"/>
      <c r="I681" s="37"/>
      <c r="J681" s="37" t="s">
        <v>688</v>
      </c>
      <c r="K681" s="40"/>
      <c r="L681" s="38"/>
      <c r="M681" s="38"/>
      <c r="N681" s="37"/>
      <c r="O681" s="37"/>
      <c r="P681" s="37"/>
      <c r="Q681" s="37"/>
      <c r="R681" s="39"/>
      <c r="S681" s="37"/>
      <c r="T681" s="38" t="s">
        <v>293</v>
      </c>
    </row>
    <row r="682" ht="34.5">
      <c r="A682" s="38" t="s">
        <v>884</v>
      </c>
      <c r="B682" s="38" t="s">
        <v>885</v>
      </c>
      <c r="C682" s="38" t="s">
        <v>717</v>
      </c>
      <c r="D682" s="38" t="s">
        <v>288</v>
      </c>
      <c r="E682" s="38" t="s">
        <v>615</v>
      </c>
      <c r="F682" s="37" t="s">
        <v>616</v>
      </c>
      <c r="G682" s="38" t="s">
        <v>70</v>
      </c>
      <c r="H682" s="37"/>
      <c r="I682" s="37"/>
      <c r="J682" s="37" t="s">
        <v>689</v>
      </c>
      <c r="K682" s="40"/>
      <c r="L682" s="38"/>
      <c r="M682" s="38"/>
      <c r="N682" s="37"/>
      <c r="O682" s="37"/>
      <c r="P682" s="37"/>
      <c r="Q682" s="37"/>
      <c r="R682" s="39"/>
      <c r="S682" s="37"/>
      <c r="T682" s="38" t="s">
        <v>293</v>
      </c>
    </row>
    <row r="683" ht="34.5">
      <c r="A683" s="38" t="s">
        <v>884</v>
      </c>
      <c r="B683" s="38" t="s">
        <v>885</v>
      </c>
      <c r="C683" s="38" t="s">
        <v>717</v>
      </c>
      <c r="D683" s="38" t="s">
        <v>288</v>
      </c>
      <c r="E683" s="38" t="s">
        <v>615</v>
      </c>
      <c r="F683" s="37" t="s">
        <v>616</v>
      </c>
      <c r="G683" s="38" t="s">
        <v>70</v>
      </c>
      <c r="H683" s="37"/>
      <c r="I683" s="37"/>
      <c r="J683" s="37" t="s">
        <v>1003</v>
      </c>
      <c r="K683" s="40"/>
      <c r="L683" s="38"/>
      <c r="M683" s="38"/>
      <c r="N683" s="37"/>
      <c r="O683" s="37"/>
      <c r="P683" s="37"/>
      <c r="Q683" s="37"/>
      <c r="R683" s="39"/>
      <c r="S683" s="37"/>
      <c r="T683" s="38" t="s">
        <v>293</v>
      </c>
    </row>
    <row r="684" ht="34.5">
      <c r="A684" s="38" t="s">
        <v>884</v>
      </c>
      <c r="B684" s="38" t="s">
        <v>885</v>
      </c>
      <c r="C684" s="38" t="s">
        <v>717</v>
      </c>
      <c r="D684" s="38" t="s">
        <v>1004</v>
      </c>
      <c r="E684" s="38" t="s">
        <v>615</v>
      </c>
      <c r="F684" s="37" t="s">
        <v>616</v>
      </c>
      <c r="G684" s="38" t="s">
        <v>70</v>
      </c>
      <c r="H684" s="37"/>
      <c r="I684" s="37"/>
      <c r="J684" s="37" t="s">
        <v>1005</v>
      </c>
      <c r="K684" s="40"/>
      <c r="L684" s="38"/>
      <c r="M684" s="38"/>
      <c r="N684" s="37"/>
      <c r="O684" s="37"/>
      <c r="P684" s="37"/>
      <c r="Q684" s="37"/>
      <c r="R684" s="39"/>
      <c r="S684" s="37"/>
      <c r="T684" s="38" t="s">
        <v>293</v>
      </c>
    </row>
    <row r="685" ht="34.5">
      <c r="A685" s="38" t="s">
        <v>884</v>
      </c>
      <c r="B685" s="38" t="s">
        <v>885</v>
      </c>
      <c r="C685" s="38" t="s">
        <v>731</v>
      </c>
      <c r="D685" s="38" t="s">
        <v>288</v>
      </c>
      <c r="E685" s="38" t="s">
        <v>615</v>
      </c>
      <c r="F685" s="37" t="s">
        <v>616</v>
      </c>
      <c r="G685" s="38" t="s">
        <v>70</v>
      </c>
      <c r="H685" s="37"/>
      <c r="I685" s="37"/>
      <c r="J685" s="37" t="s">
        <v>1006</v>
      </c>
      <c r="K685" s="40"/>
      <c r="L685" s="38"/>
      <c r="M685" s="38"/>
      <c r="N685" s="37"/>
      <c r="O685" s="37"/>
      <c r="P685" s="37"/>
      <c r="Q685" s="37"/>
      <c r="R685" s="39"/>
      <c r="S685" s="37"/>
      <c r="T685" s="38" t="s">
        <v>293</v>
      </c>
    </row>
    <row r="686" ht="34.5">
      <c r="A686" s="38" t="s">
        <v>884</v>
      </c>
      <c r="B686" s="38" t="s">
        <v>885</v>
      </c>
      <c r="C686" s="38" t="s">
        <v>731</v>
      </c>
      <c r="D686" s="38" t="s">
        <v>288</v>
      </c>
      <c r="E686" s="38" t="s">
        <v>615</v>
      </c>
      <c r="F686" s="37" t="s">
        <v>616</v>
      </c>
      <c r="G686" s="38" t="s">
        <v>70</v>
      </c>
      <c r="H686" s="37"/>
      <c r="I686" s="37"/>
      <c r="J686" s="37" t="s">
        <v>1007</v>
      </c>
      <c r="K686" s="40"/>
      <c r="L686" s="38"/>
      <c r="M686" s="38"/>
      <c r="N686" s="37"/>
      <c r="O686" s="37"/>
      <c r="P686" s="37"/>
      <c r="Q686" s="37"/>
      <c r="R686" s="39"/>
      <c r="S686" s="37"/>
      <c r="T686" s="38" t="s">
        <v>293</v>
      </c>
    </row>
    <row r="687" ht="34.5">
      <c r="A687" s="38" t="s">
        <v>884</v>
      </c>
      <c r="B687" s="38" t="s">
        <v>885</v>
      </c>
      <c r="C687" s="38" t="s">
        <v>731</v>
      </c>
      <c r="D687" s="38" t="s">
        <v>1008</v>
      </c>
      <c r="E687" s="38" t="s">
        <v>615</v>
      </c>
      <c r="F687" s="37" t="s">
        <v>616</v>
      </c>
      <c r="G687" s="38" t="s">
        <v>70</v>
      </c>
      <c r="H687" s="37"/>
      <c r="I687" s="37"/>
      <c r="J687" s="37" t="s">
        <v>1009</v>
      </c>
      <c r="K687" s="40"/>
      <c r="L687" s="38"/>
      <c r="M687" s="38"/>
      <c r="N687" s="37"/>
      <c r="O687" s="37"/>
      <c r="P687" s="37"/>
      <c r="Q687" s="37"/>
      <c r="R687" s="39"/>
      <c r="S687" s="37"/>
      <c r="T687" s="38" t="s">
        <v>293</v>
      </c>
    </row>
    <row r="688" ht="34.5">
      <c r="A688" s="38" t="s">
        <v>884</v>
      </c>
      <c r="B688" s="38" t="s">
        <v>885</v>
      </c>
      <c r="C688" s="38" t="s">
        <v>744</v>
      </c>
      <c r="D688" s="38" t="s">
        <v>288</v>
      </c>
      <c r="E688" s="38" t="s">
        <v>615</v>
      </c>
      <c r="F688" s="37" t="s">
        <v>616</v>
      </c>
      <c r="G688" s="38" t="s">
        <v>70</v>
      </c>
      <c r="H688" s="37"/>
      <c r="I688" s="37"/>
      <c r="J688" s="37" t="s">
        <v>1010</v>
      </c>
      <c r="K688" s="40"/>
      <c r="L688" s="38"/>
      <c r="M688" s="38"/>
      <c r="N688" s="37"/>
      <c r="O688" s="37"/>
      <c r="P688" s="37"/>
      <c r="Q688" s="37"/>
      <c r="R688" s="39"/>
      <c r="S688" s="37"/>
      <c r="T688" s="38" t="s">
        <v>293</v>
      </c>
    </row>
    <row r="689" ht="34.5">
      <c r="A689" s="38" t="s">
        <v>884</v>
      </c>
      <c r="B689" s="38" t="s">
        <v>885</v>
      </c>
      <c r="C689" s="38" t="s">
        <v>744</v>
      </c>
      <c r="D689" s="38" t="s">
        <v>288</v>
      </c>
      <c r="E689" s="38" t="s">
        <v>615</v>
      </c>
      <c r="F689" s="37" t="s">
        <v>616</v>
      </c>
      <c r="G689" s="38" t="s">
        <v>70</v>
      </c>
      <c r="H689" s="37"/>
      <c r="I689" s="37"/>
      <c r="J689" s="37" t="s">
        <v>1011</v>
      </c>
      <c r="K689" s="40"/>
      <c r="L689" s="38"/>
      <c r="M689" s="38"/>
      <c r="N689" s="37"/>
      <c r="O689" s="37"/>
      <c r="P689" s="37"/>
      <c r="Q689" s="37"/>
      <c r="R689" s="39"/>
      <c r="S689" s="37"/>
      <c r="T689" s="38" t="s">
        <v>293</v>
      </c>
    </row>
    <row r="690" ht="34.5">
      <c r="A690" s="38" t="s">
        <v>884</v>
      </c>
      <c r="B690" s="38" t="s">
        <v>885</v>
      </c>
      <c r="C690" s="38" t="s">
        <v>744</v>
      </c>
      <c r="D690" s="38" t="s">
        <v>1012</v>
      </c>
      <c r="E690" s="38" t="s">
        <v>615</v>
      </c>
      <c r="F690" s="37" t="s">
        <v>616</v>
      </c>
      <c r="G690" s="38" t="s">
        <v>70</v>
      </c>
      <c r="H690" s="37"/>
      <c r="I690" s="37"/>
      <c r="J690" s="37" t="s">
        <v>1013</v>
      </c>
      <c r="K690" s="40"/>
      <c r="L690" s="38"/>
      <c r="M690" s="38"/>
      <c r="N690" s="37"/>
      <c r="O690" s="37"/>
      <c r="P690" s="37"/>
      <c r="Q690" s="37"/>
      <c r="R690" s="39"/>
      <c r="S690" s="37"/>
      <c r="T690" s="38" t="s">
        <v>293</v>
      </c>
    </row>
    <row r="691" ht="34.5">
      <c r="A691" s="38" t="s">
        <v>884</v>
      </c>
      <c r="B691" s="38" t="s">
        <v>885</v>
      </c>
      <c r="C691" s="38" t="s">
        <v>754</v>
      </c>
      <c r="D691" s="38" t="s">
        <v>288</v>
      </c>
      <c r="E691" s="38" t="s">
        <v>615</v>
      </c>
      <c r="F691" s="37" t="s">
        <v>616</v>
      </c>
      <c r="G691" s="38" t="s">
        <v>70</v>
      </c>
      <c r="H691" s="37"/>
      <c r="I691" s="37"/>
      <c r="J691" s="37" t="s">
        <v>694</v>
      </c>
      <c r="K691" s="40"/>
      <c r="L691" s="38"/>
      <c r="M691" s="38"/>
      <c r="N691" s="37"/>
      <c r="O691" s="37"/>
      <c r="P691" s="37"/>
      <c r="Q691" s="37"/>
      <c r="R691" s="39"/>
      <c r="S691" s="37"/>
      <c r="T691" s="38" t="s">
        <v>293</v>
      </c>
    </row>
    <row r="692" ht="34.5">
      <c r="A692" s="38" t="s">
        <v>884</v>
      </c>
      <c r="B692" s="38" t="s">
        <v>885</v>
      </c>
      <c r="C692" s="38" t="s">
        <v>754</v>
      </c>
      <c r="D692" s="38" t="s">
        <v>288</v>
      </c>
      <c r="E692" s="38" t="s">
        <v>615</v>
      </c>
      <c r="F692" s="37" t="s">
        <v>616</v>
      </c>
      <c r="G692" s="38" t="s">
        <v>70</v>
      </c>
      <c r="H692" s="37"/>
      <c r="I692" s="37"/>
      <c r="J692" s="37" t="s">
        <v>695</v>
      </c>
      <c r="K692" s="40"/>
      <c r="L692" s="38"/>
      <c r="M692" s="38"/>
      <c r="N692" s="37"/>
      <c r="O692" s="37"/>
      <c r="P692" s="37"/>
      <c r="Q692" s="37"/>
      <c r="R692" s="39"/>
      <c r="S692" s="37"/>
      <c r="T692" s="38" t="s">
        <v>293</v>
      </c>
    </row>
    <row r="693" ht="34.5">
      <c r="A693" s="38" t="s">
        <v>884</v>
      </c>
      <c r="B693" s="38" t="s">
        <v>885</v>
      </c>
      <c r="C693" s="38" t="s">
        <v>754</v>
      </c>
      <c r="D693" s="38" t="s">
        <v>288</v>
      </c>
      <c r="E693" s="38" t="s">
        <v>615</v>
      </c>
      <c r="F693" s="37" t="s">
        <v>616</v>
      </c>
      <c r="G693" s="38" t="s">
        <v>70</v>
      </c>
      <c r="H693" s="37"/>
      <c r="I693" s="37"/>
      <c r="J693" s="37" t="s">
        <v>697</v>
      </c>
      <c r="K693" s="40"/>
      <c r="L693" s="38"/>
      <c r="M693" s="38"/>
      <c r="N693" s="37"/>
      <c r="O693" s="37"/>
      <c r="P693" s="37"/>
      <c r="Q693" s="37"/>
      <c r="R693" s="39"/>
      <c r="S693" s="37"/>
      <c r="T693" s="38" t="s">
        <v>293</v>
      </c>
    </row>
    <row r="694" ht="34.5">
      <c r="A694" s="38" t="s">
        <v>884</v>
      </c>
      <c r="B694" s="38" t="s">
        <v>885</v>
      </c>
      <c r="C694" s="38" t="s">
        <v>754</v>
      </c>
      <c r="D694" s="38" t="s">
        <v>288</v>
      </c>
      <c r="E694" s="38" t="s">
        <v>615</v>
      </c>
      <c r="F694" s="37" t="s">
        <v>616</v>
      </c>
      <c r="G694" s="38" t="s">
        <v>70</v>
      </c>
      <c r="H694" s="37"/>
      <c r="I694" s="37"/>
      <c r="J694" s="37" t="s">
        <v>1014</v>
      </c>
      <c r="K694" s="40"/>
      <c r="L694" s="38"/>
      <c r="M694" s="38"/>
      <c r="N694" s="37"/>
      <c r="O694" s="37"/>
      <c r="P694" s="37"/>
      <c r="Q694" s="37"/>
      <c r="R694" s="39"/>
      <c r="S694" s="37"/>
      <c r="T694" s="38" t="s">
        <v>293</v>
      </c>
    </row>
    <row r="695" ht="34.5">
      <c r="A695" s="38" t="s">
        <v>884</v>
      </c>
      <c r="B695" s="38" t="s">
        <v>885</v>
      </c>
      <c r="C695" s="38" t="s">
        <v>754</v>
      </c>
      <c r="D695" s="38" t="s">
        <v>1015</v>
      </c>
      <c r="E695" s="38" t="s">
        <v>615</v>
      </c>
      <c r="F695" s="37" t="s">
        <v>616</v>
      </c>
      <c r="G695" s="38" t="s">
        <v>70</v>
      </c>
      <c r="H695" s="37"/>
      <c r="I695" s="37"/>
      <c r="J695" s="37" t="s">
        <v>1016</v>
      </c>
      <c r="K695" s="40"/>
      <c r="L695" s="38"/>
      <c r="M695" s="38"/>
      <c r="N695" s="37"/>
      <c r="O695" s="37"/>
      <c r="P695" s="37"/>
      <c r="Q695" s="37"/>
      <c r="R695" s="39"/>
      <c r="S695" s="37"/>
      <c r="T695" s="38" t="s">
        <v>293</v>
      </c>
    </row>
    <row r="696" ht="34.5">
      <c r="A696" s="38" t="s">
        <v>884</v>
      </c>
      <c r="B696" s="38" t="s">
        <v>885</v>
      </c>
      <c r="C696" s="38" t="s">
        <v>763</v>
      </c>
      <c r="D696" s="38" t="s">
        <v>288</v>
      </c>
      <c r="E696" s="38" t="s">
        <v>615</v>
      </c>
      <c r="F696" s="37" t="s">
        <v>616</v>
      </c>
      <c r="G696" s="38" t="s">
        <v>70</v>
      </c>
      <c r="H696" s="37"/>
      <c r="I696" s="37"/>
      <c r="J696" s="37" t="s">
        <v>701</v>
      </c>
      <c r="K696" s="40"/>
      <c r="L696" s="38"/>
      <c r="M696" s="38"/>
      <c r="N696" s="37"/>
      <c r="O696" s="37"/>
      <c r="P696" s="37"/>
      <c r="Q696" s="37"/>
      <c r="R696" s="39"/>
      <c r="S696" s="37"/>
      <c r="T696" s="38" t="s">
        <v>293</v>
      </c>
    </row>
    <row r="697" ht="34.5">
      <c r="A697" s="38" t="s">
        <v>884</v>
      </c>
      <c r="B697" s="38" t="s">
        <v>885</v>
      </c>
      <c r="C697" s="38" t="s">
        <v>763</v>
      </c>
      <c r="D697" s="38" t="s">
        <v>288</v>
      </c>
      <c r="E697" s="38" t="s">
        <v>615</v>
      </c>
      <c r="F697" s="37" t="s">
        <v>616</v>
      </c>
      <c r="G697" s="38" t="s">
        <v>70</v>
      </c>
      <c r="H697" s="37"/>
      <c r="I697" s="37"/>
      <c r="J697" s="37" t="s">
        <v>702</v>
      </c>
      <c r="K697" s="40"/>
      <c r="L697" s="38"/>
      <c r="M697" s="38"/>
      <c r="N697" s="37"/>
      <c r="O697" s="37"/>
      <c r="P697" s="37"/>
      <c r="Q697" s="37"/>
      <c r="R697" s="39"/>
      <c r="S697" s="37"/>
      <c r="T697" s="38" t="s">
        <v>293</v>
      </c>
    </row>
    <row r="698" ht="34.5">
      <c r="A698" s="38" t="s">
        <v>884</v>
      </c>
      <c r="B698" s="38" t="s">
        <v>885</v>
      </c>
      <c r="C698" s="38" t="s">
        <v>763</v>
      </c>
      <c r="D698" s="38" t="s">
        <v>288</v>
      </c>
      <c r="E698" s="38" t="s">
        <v>615</v>
      </c>
      <c r="F698" s="37" t="s">
        <v>616</v>
      </c>
      <c r="G698" s="38" t="s">
        <v>70</v>
      </c>
      <c r="H698" s="37"/>
      <c r="I698" s="37"/>
      <c r="J698" s="37" t="s">
        <v>1017</v>
      </c>
      <c r="K698" s="40">
        <v>64317683</v>
      </c>
      <c r="L698" s="38" t="s">
        <v>297</v>
      </c>
      <c r="M698" s="38"/>
      <c r="N698" s="37"/>
      <c r="O698" s="37"/>
      <c r="P698" s="37"/>
      <c r="Q698" s="37"/>
      <c r="R698" s="39"/>
      <c r="S698" s="37"/>
      <c r="T698" s="38" t="s">
        <v>293</v>
      </c>
    </row>
    <row r="699" ht="34.5">
      <c r="A699" s="38" t="s">
        <v>884</v>
      </c>
      <c r="B699" s="38" t="s">
        <v>885</v>
      </c>
      <c r="C699" s="38" t="s">
        <v>763</v>
      </c>
      <c r="D699" s="38" t="s">
        <v>288</v>
      </c>
      <c r="E699" s="38" t="s">
        <v>615</v>
      </c>
      <c r="F699" s="37" t="s">
        <v>616</v>
      </c>
      <c r="G699" s="38" t="s">
        <v>70</v>
      </c>
      <c r="H699" s="37"/>
      <c r="I699" s="37"/>
      <c r="J699" s="37" t="s">
        <v>705</v>
      </c>
      <c r="K699" s="40"/>
      <c r="L699" s="38"/>
      <c r="M699" s="38"/>
      <c r="N699" s="37"/>
      <c r="O699" s="37"/>
      <c r="P699" s="37"/>
      <c r="Q699" s="37"/>
      <c r="R699" s="39"/>
      <c r="S699" s="37"/>
      <c r="T699" s="38" t="s">
        <v>293</v>
      </c>
    </row>
    <row r="700" ht="34.5">
      <c r="A700" s="38" t="s">
        <v>884</v>
      </c>
      <c r="B700" s="38" t="s">
        <v>885</v>
      </c>
      <c r="C700" s="38" t="s">
        <v>763</v>
      </c>
      <c r="D700" s="38" t="s">
        <v>288</v>
      </c>
      <c r="E700" s="38" t="s">
        <v>615</v>
      </c>
      <c r="F700" s="37" t="s">
        <v>616</v>
      </c>
      <c r="G700" s="38" t="s">
        <v>70</v>
      </c>
      <c r="H700" s="37"/>
      <c r="I700" s="37"/>
      <c r="J700" s="37" t="s">
        <v>1018</v>
      </c>
      <c r="K700" s="40"/>
      <c r="L700" s="38"/>
      <c r="M700" s="38"/>
      <c r="N700" s="37"/>
      <c r="O700" s="37"/>
      <c r="P700" s="37"/>
      <c r="Q700" s="37"/>
      <c r="R700" s="39"/>
      <c r="S700" s="37"/>
      <c r="T700" s="38" t="s">
        <v>293</v>
      </c>
    </row>
    <row r="701" ht="34.5">
      <c r="A701" s="38" t="s">
        <v>884</v>
      </c>
      <c r="B701" s="38" t="s">
        <v>885</v>
      </c>
      <c r="C701" s="38" t="s">
        <v>763</v>
      </c>
      <c r="D701" s="38" t="s">
        <v>288</v>
      </c>
      <c r="E701" s="38" t="s">
        <v>615</v>
      </c>
      <c r="F701" s="37" t="s">
        <v>616</v>
      </c>
      <c r="G701" s="38" t="s">
        <v>70</v>
      </c>
      <c r="H701" s="37"/>
      <c r="I701" s="37"/>
      <c r="J701" s="37" t="s">
        <v>709</v>
      </c>
      <c r="K701" s="40"/>
      <c r="L701" s="38"/>
      <c r="M701" s="38"/>
      <c r="N701" s="37"/>
      <c r="O701" s="37"/>
      <c r="P701" s="37"/>
      <c r="Q701" s="37"/>
      <c r="R701" s="39"/>
      <c r="S701" s="37"/>
      <c r="T701" s="38" t="s">
        <v>293</v>
      </c>
    </row>
    <row r="702" ht="34.5">
      <c r="A702" s="38" t="s">
        <v>884</v>
      </c>
      <c r="B702" s="38" t="s">
        <v>885</v>
      </c>
      <c r="C702" s="38" t="s">
        <v>763</v>
      </c>
      <c r="D702" s="38" t="s">
        <v>288</v>
      </c>
      <c r="E702" s="38" t="s">
        <v>615</v>
      </c>
      <c r="F702" s="37" t="s">
        <v>616</v>
      </c>
      <c r="G702" s="38" t="s">
        <v>70</v>
      </c>
      <c r="H702" s="37"/>
      <c r="I702" s="37"/>
      <c r="J702" s="37" t="s">
        <v>1019</v>
      </c>
      <c r="K702" s="40"/>
      <c r="L702" s="38"/>
      <c r="M702" s="38"/>
      <c r="N702" s="37"/>
      <c r="O702" s="37"/>
      <c r="P702" s="37"/>
      <c r="Q702" s="37"/>
      <c r="R702" s="39"/>
      <c r="S702" s="37"/>
      <c r="T702" s="38" t="s">
        <v>293</v>
      </c>
    </row>
    <row r="703" ht="34.5">
      <c r="A703" s="38" t="s">
        <v>884</v>
      </c>
      <c r="B703" s="38" t="s">
        <v>885</v>
      </c>
      <c r="C703" s="38" t="s">
        <v>763</v>
      </c>
      <c r="D703" s="38" t="s">
        <v>288</v>
      </c>
      <c r="E703" s="38" t="s">
        <v>615</v>
      </c>
      <c r="F703" s="37" t="s">
        <v>616</v>
      </c>
      <c r="G703" s="38" t="s">
        <v>70</v>
      </c>
      <c r="H703" s="37"/>
      <c r="I703" s="37"/>
      <c r="J703" s="37" t="s">
        <v>711</v>
      </c>
      <c r="K703" s="40"/>
      <c r="L703" s="38"/>
      <c r="M703" s="38"/>
      <c r="N703" s="37"/>
      <c r="O703" s="37"/>
      <c r="P703" s="37"/>
      <c r="Q703" s="37"/>
      <c r="R703" s="39"/>
      <c r="S703" s="37"/>
      <c r="T703" s="38" t="s">
        <v>293</v>
      </c>
    </row>
    <row r="704" ht="34.5">
      <c r="A704" s="38" t="s">
        <v>884</v>
      </c>
      <c r="B704" s="38" t="s">
        <v>885</v>
      </c>
      <c r="C704" s="38" t="s">
        <v>763</v>
      </c>
      <c r="D704" s="38" t="s">
        <v>288</v>
      </c>
      <c r="E704" s="38" t="s">
        <v>615</v>
      </c>
      <c r="F704" s="37" t="s">
        <v>616</v>
      </c>
      <c r="G704" s="38" t="s">
        <v>70</v>
      </c>
      <c r="H704" s="37"/>
      <c r="I704" s="37"/>
      <c r="J704" s="37" t="s">
        <v>1020</v>
      </c>
      <c r="K704" s="40"/>
      <c r="L704" s="38"/>
      <c r="M704" s="38"/>
      <c r="N704" s="37"/>
      <c r="O704" s="37"/>
      <c r="P704" s="37"/>
      <c r="Q704" s="37"/>
      <c r="R704" s="39"/>
      <c r="S704" s="37"/>
      <c r="T704" s="38" t="s">
        <v>293</v>
      </c>
    </row>
    <row r="705" ht="34.5">
      <c r="A705" s="38" t="s">
        <v>884</v>
      </c>
      <c r="B705" s="38" t="s">
        <v>885</v>
      </c>
      <c r="C705" s="38" t="s">
        <v>763</v>
      </c>
      <c r="D705" s="38" t="s">
        <v>288</v>
      </c>
      <c r="E705" s="38" t="s">
        <v>615</v>
      </c>
      <c r="F705" s="37" t="s">
        <v>616</v>
      </c>
      <c r="G705" s="38" t="s">
        <v>70</v>
      </c>
      <c r="H705" s="37"/>
      <c r="I705" s="37"/>
      <c r="J705" s="37" t="s">
        <v>713</v>
      </c>
      <c r="K705" s="40"/>
      <c r="L705" s="38"/>
      <c r="M705" s="38"/>
      <c r="N705" s="37"/>
      <c r="O705" s="37"/>
      <c r="P705" s="37"/>
      <c r="Q705" s="37"/>
      <c r="R705" s="39"/>
      <c r="S705" s="37"/>
      <c r="T705" s="38" t="s">
        <v>293</v>
      </c>
    </row>
    <row r="706" ht="34.5">
      <c r="A706" s="38" t="s">
        <v>884</v>
      </c>
      <c r="B706" s="38" t="s">
        <v>885</v>
      </c>
      <c r="C706" s="38" t="s">
        <v>763</v>
      </c>
      <c r="D706" s="38" t="s">
        <v>288</v>
      </c>
      <c r="E706" s="38" t="s">
        <v>615</v>
      </c>
      <c r="F706" s="37" t="s">
        <v>616</v>
      </c>
      <c r="G706" s="38" t="s">
        <v>70</v>
      </c>
      <c r="H706" s="37"/>
      <c r="I706" s="37"/>
      <c r="J706" s="37" t="s">
        <v>714</v>
      </c>
      <c r="K706" s="40"/>
      <c r="L706" s="38"/>
      <c r="M706" s="38"/>
      <c r="N706" s="37"/>
      <c r="O706" s="37"/>
      <c r="P706" s="37"/>
      <c r="Q706" s="37"/>
      <c r="R706" s="39"/>
      <c r="S706" s="37"/>
      <c r="T706" s="38" t="s">
        <v>293</v>
      </c>
    </row>
    <row r="707" ht="34.5">
      <c r="A707" s="38" t="s">
        <v>884</v>
      </c>
      <c r="B707" s="38" t="s">
        <v>885</v>
      </c>
      <c r="C707" s="38" t="s">
        <v>773</v>
      </c>
      <c r="D707" s="38" t="s">
        <v>288</v>
      </c>
      <c r="E707" s="38" t="s">
        <v>615</v>
      </c>
      <c r="F707" s="37" t="s">
        <v>616</v>
      </c>
      <c r="G707" s="38" t="s">
        <v>70</v>
      </c>
      <c r="H707" s="37"/>
      <c r="I707" s="37"/>
      <c r="J707" s="37" t="s">
        <v>1021</v>
      </c>
      <c r="K707" s="40"/>
      <c r="L707" s="38"/>
      <c r="M707" s="38"/>
      <c r="N707" s="37"/>
      <c r="O707" s="37"/>
      <c r="P707" s="37"/>
      <c r="Q707" s="37"/>
      <c r="R707" s="39"/>
      <c r="S707" s="37"/>
      <c r="T707" s="38" t="s">
        <v>293</v>
      </c>
    </row>
    <row r="708" ht="34.5">
      <c r="A708" s="38" t="s">
        <v>884</v>
      </c>
      <c r="B708" s="38" t="s">
        <v>885</v>
      </c>
      <c r="C708" s="38" t="s">
        <v>773</v>
      </c>
      <c r="D708" s="38" t="s">
        <v>288</v>
      </c>
      <c r="E708" s="38" t="s">
        <v>615</v>
      </c>
      <c r="F708" s="37" t="s">
        <v>616</v>
      </c>
      <c r="G708" s="38" t="s">
        <v>70</v>
      </c>
      <c r="H708" s="37"/>
      <c r="I708" s="37"/>
      <c r="J708" s="37" t="s">
        <v>716</v>
      </c>
      <c r="K708" s="40"/>
      <c r="L708" s="38"/>
      <c r="M708" s="38"/>
      <c r="N708" s="37"/>
      <c r="O708" s="37"/>
      <c r="P708" s="37"/>
      <c r="Q708" s="37"/>
      <c r="R708" s="39"/>
      <c r="S708" s="37"/>
      <c r="T708" s="38" t="s">
        <v>293</v>
      </c>
    </row>
    <row r="709" ht="34.5">
      <c r="A709" s="38" t="s">
        <v>884</v>
      </c>
      <c r="B709" s="38" t="s">
        <v>885</v>
      </c>
      <c r="C709" s="38" t="s">
        <v>773</v>
      </c>
      <c r="D709" s="38" t="s">
        <v>288</v>
      </c>
      <c r="E709" s="38" t="s">
        <v>615</v>
      </c>
      <c r="F709" s="37" t="s">
        <v>616</v>
      </c>
      <c r="G709" s="38" t="s">
        <v>70</v>
      </c>
      <c r="H709" s="37"/>
      <c r="I709" s="37"/>
      <c r="J709" s="37" t="s">
        <v>718</v>
      </c>
      <c r="K709" s="40"/>
      <c r="L709" s="38"/>
      <c r="M709" s="38"/>
      <c r="N709" s="37"/>
      <c r="O709" s="37"/>
      <c r="P709" s="37"/>
      <c r="Q709" s="37"/>
      <c r="R709" s="39"/>
      <c r="S709" s="37"/>
      <c r="T709" s="38" t="s">
        <v>293</v>
      </c>
    </row>
    <row r="710" ht="34.5">
      <c r="A710" s="38" t="s">
        <v>884</v>
      </c>
      <c r="B710" s="38" t="s">
        <v>885</v>
      </c>
      <c r="C710" s="38" t="s">
        <v>773</v>
      </c>
      <c r="D710" s="38" t="s">
        <v>288</v>
      </c>
      <c r="E710" s="38" t="s">
        <v>615</v>
      </c>
      <c r="F710" s="37" t="s">
        <v>616</v>
      </c>
      <c r="G710" s="38" t="s">
        <v>70</v>
      </c>
      <c r="H710" s="37"/>
      <c r="I710" s="37"/>
      <c r="J710" s="37" t="s">
        <v>719</v>
      </c>
      <c r="K710" s="40"/>
      <c r="L710" s="38"/>
      <c r="M710" s="38"/>
      <c r="N710" s="37"/>
      <c r="O710" s="37"/>
      <c r="P710" s="37"/>
      <c r="Q710" s="37"/>
      <c r="R710" s="39"/>
      <c r="S710" s="37"/>
      <c r="T710" s="38" t="s">
        <v>293</v>
      </c>
    </row>
    <row r="711" ht="34.5">
      <c r="A711" s="38" t="s">
        <v>884</v>
      </c>
      <c r="B711" s="38" t="s">
        <v>885</v>
      </c>
      <c r="C711" s="38" t="s">
        <v>773</v>
      </c>
      <c r="D711" s="38" t="s">
        <v>288</v>
      </c>
      <c r="E711" s="38" t="s">
        <v>615</v>
      </c>
      <c r="F711" s="37" t="s">
        <v>616</v>
      </c>
      <c r="G711" s="38" t="s">
        <v>70</v>
      </c>
      <c r="H711" s="37"/>
      <c r="I711" s="37"/>
      <c r="J711" s="37" t="s">
        <v>720</v>
      </c>
      <c r="K711" s="40"/>
      <c r="L711" s="38"/>
      <c r="M711" s="38"/>
      <c r="N711" s="37"/>
      <c r="O711" s="37"/>
      <c r="P711" s="37"/>
      <c r="Q711" s="37"/>
      <c r="R711" s="39"/>
      <c r="S711" s="37"/>
      <c r="T711" s="38" t="s">
        <v>293</v>
      </c>
    </row>
    <row r="712" ht="34.5">
      <c r="A712" s="38" t="s">
        <v>884</v>
      </c>
      <c r="B712" s="38" t="s">
        <v>885</v>
      </c>
      <c r="C712" s="38" t="s">
        <v>773</v>
      </c>
      <c r="D712" s="38" t="s">
        <v>288</v>
      </c>
      <c r="E712" s="38" t="s">
        <v>615</v>
      </c>
      <c r="F712" s="37" t="s">
        <v>616</v>
      </c>
      <c r="G712" s="38" t="s">
        <v>70</v>
      </c>
      <c r="H712" s="37"/>
      <c r="I712" s="37"/>
      <c r="J712" s="37" t="s">
        <v>721</v>
      </c>
      <c r="K712" s="40"/>
      <c r="L712" s="38"/>
      <c r="M712" s="38"/>
      <c r="N712" s="37"/>
      <c r="O712" s="37"/>
      <c r="P712" s="37"/>
      <c r="Q712" s="37"/>
      <c r="R712" s="39"/>
      <c r="S712" s="37"/>
      <c r="T712" s="38" t="s">
        <v>293</v>
      </c>
    </row>
    <row r="713" ht="34.5">
      <c r="A713" s="38" t="s">
        <v>884</v>
      </c>
      <c r="B713" s="38" t="s">
        <v>885</v>
      </c>
      <c r="C713" s="38" t="s">
        <v>773</v>
      </c>
      <c r="D713" s="38" t="s">
        <v>288</v>
      </c>
      <c r="E713" s="38" t="s">
        <v>615</v>
      </c>
      <c r="F713" s="37" t="s">
        <v>616</v>
      </c>
      <c r="G713" s="38" t="s">
        <v>70</v>
      </c>
      <c r="H713" s="37"/>
      <c r="I713" s="37"/>
      <c r="J713" s="37" t="s">
        <v>722</v>
      </c>
      <c r="K713" s="40"/>
      <c r="L713" s="38"/>
      <c r="M713" s="38"/>
      <c r="N713" s="37"/>
      <c r="O713" s="37"/>
      <c r="P713" s="37"/>
      <c r="Q713" s="37"/>
      <c r="R713" s="39"/>
      <c r="S713" s="37"/>
      <c r="T713" s="38" t="s">
        <v>293</v>
      </c>
    </row>
    <row r="714" ht="34.5">
      <c r="A714" s="38" t="s">
        <v>884</v>
      </c>
      <c r="B714" s="38" t="s">
        <v>885</v>
      </c>
      <c r="C714" s="38" t="s">
        <v>773</v>
      </c>
      <c r="D714" s="38" t="s">
        <v>288</v>
      </c>
      <c r="E714" s="38" t="s">
        <v>615</v>
      </c>
      <c r="F714" s="37" t="s">
        <v>616</v>
      </c>
      <c r="G714" s="38" t="s">
        <v>70</v>
      </c>
      <c r="H714" s="37"/>
      <c r="I714" s="37"/>
      <c r="J714" s="37" t="s">
        <v>723</v>
      </c>
      <c r="K714" s="40"/>
      <c r="L714" s="38"/>
      <c r="M714" s="38"/>
      <c r="N714" s="37"/>
      <c r="O714" s="37"/>
      <c r="P714" s="37"/>
      <c r="Q714" s="37"/>
      <c r="R714" s="39"/>
      <c r="S714" s="37"/>
      <c r="T714" s="38" t="s">
        <v>293</v>
      </c>
    </row>
    <row r="715" ht="34.5">
      <c r="A715" s="38" t="s">
        <v>884</v>
      </c>
      <c r="B715" s="38" t="s">
        <v>885</v>
      </c>
      <c r="C715" s="38" t="s">
        <v>773</v>
      </c>
      <c r="D715" s="38" t="s">
        <v>288</v>
      </c>
      <c r="E715" s="38" t="s">
        <v>615</v>
      </c>
      <c r="F715" s="37" t="s">
        <v>616</v>
      </c>
      <c r="G715" s="38" t="s">
        <v>70</v>
      </c>
      <c r="H715" s="37"/>
      <c r="I715" s="37"/>
      <c r="J715" s="37" t="s">
        <v>724</v>
      </c>
      <c r="K715" s="40"/>
      <c r="L715" s="38"/>
      <c r="M715" s="38"/>
      <c r="N715" s="37"/>
      <c r="O715" s="37"/>
      <c r="P715" s="37"/>
      <c r="Q715" s="37"/>
      <c r="R715" s="39"/>
      <c r="S715" s="37"/>
      <c r="T715" s="38" t="s">
        <v>293</v>
      </c>
    </row>
    <row r="716" ht="34.5">
      <c r="A716" s="38" t="s">
        <v>884</v>
      </c>
      <c r="B716" s="38" t="s">
        <v>885</v>
      </c>
      <c r="C716" s="38" t="s">
        <v>773</v>
      </c>
      <c r="D716" s="38" t="s">
        <v>288</v>
      </c>
      <c r="E716" s="38" t="s">
        <v>615</v>
      </c>
      <c r="F716" s="37" t="s">
        <v>616</v>
      </c>
      <c r="G716" s="38" t="s">
        <v>70</v>
      </c>
      <c r="H716" s="37"/>
      <c r="I716" s="37"/>
      <c r="J716" s="37" t="s">
        <v>725</v>
      </c>
      <c r="K716" s="40"/>
      <c r="L716" s="38"/>
      <c r="M716" s="38"/>
      <c r="N716" s="37"/>
      <c r="O716" s="37"/>
      <c r="P716" s="37"/>
      <c r="Q716" s="37"/>
      <c r="R716" s="39"/>
      <c r="S716" s="37"/>
      <c r="T716" s="38" t="s">
        <v>293</v>
      </c>
    </row>
    <row r="717" ht="34.5">
      <c r="A717" s="38" t="s">
        <v>884</v>
      </c>
      <c r="B717" s="38" t="s">
        <v>885</v>
      </c>
      <c r="C717" s="38" t="s">
        <v>773</v>
      </c>
      <c r="D717" s="38" t="s">
        <v>288</v>
      </c>
      <c r="E717" s="38" t="s">
        <v>615</v>
      </c>
      <c r="F717" s="37" t="s">
        <v>616</v>
      </c>
      <c r="G717" s="38" t="s">
        <v>70</v>
      </c>
      <c r="H717" s="37"/>
      <c r="I717" s="37"/>
      <c r="J717" s="37" t="s">
        <v>726</v>
      </c>
      <c r="K717" s="40"/>
      <c r="L717" s="38"/>
      <c r="M717" s="38"/>
      <c r="N717" s="37"/>
      <c r="O717" s="37"/>
      <c r="P717" s="37"/>
      <c r="Q717" s="37"/>
      <c r="R717" s="39"/>
      <c r="S717" s="37"/>
      <c r="T717" s="38" t="s">
        <v>293</v>
      </c>
    </row>
    <row r="718" ht="34.5">
      <c r="A718" s="38" t="s">
        <v>884</v>
      </c>
      <c r="B718" s="38" t="s">
        <v>885</v>
      </c>
      <c r="C718" s="38" t="s">
        <v>773</v>
      </c>
      <c r="D718" s="38" t="s">
        <v>288</v>
      </c>
      <c r="E718" s="38" t="s">
        <v>615</v>
      </c>
      <c r="F718" s="37" t="s">
        <v>616</v>
      </c>
      <c r="G718" s="38" t="s">
        <v>70</v>
      </c>
      <c r="H718" s="37"/>
      <c r="I718" s="37"/>
      <c r="J718" s="37" t="s">
        <v>727</v>
      </c>
      <c r="K718" s="40"/>
      <c r="L718" s="38"/>
      <c r="M718" s="38"/>
      <c r="N718" s="37"/>
      <c r="O718" s="37"/>
      <c r="P718" s="37"/>
      <c r="Q718" s="37"/>
      <c r="R718" s="39"/>
      <c r="S718" s="37"/>
      <c r="T718" s="38" t="s">
        <v>293</v>
      </c>
    </row>
    <row r="719" ht="34.5">
      <c r="A719" s="38" t="s">
        <v>884</v>
      </c>
      <c r="B719" s="38" t="s">
        <v>885</v>
      </c>
      <c r="C719" s="38" t="s">
        <v>773</v>
      </c>
      <c r="D719" s="38" t="s">
        <v>288</v>
      </c>
      <c r="E719" s="38" t="s">
        <v>615</v>
      </c>
      <c r="F719" s="37" t="s">
        <v>616</v>
      </c>
      <c r="G719" s="38" t="s">
        <v>70</v>
      </c>
      <c r="H719" s="37"/>
      <c r="I719" s="37"/>
      <c r="J719" s="37" t="s">
        <v>728</v>
      </c>
      <c r="K719" s="40"/>
      <c r="L719" s="38"/>
      <c r="M719" s="38"/>
      <c r="N719" s="37"/>
      <c r="O719" s="37"/>
      <c r="P719" s="37"/>
      <c r="Q719" s="37"/>
      <c r="R719" s="39"/>
      <c r="S719" s="37"/>
      <c r="T719" s="38" t="s">
        <v>293</v>
      </c>
    </row>
    <row r="720" ht="34.5">
      <c r="A720" s="38" t="s">
        <v>884</v>
      </c>
      <c r="B720" s="38" t="s">
        <v>885</v>
      </c>
      <c r="C720" s="38" t="s">
        <v>783</v>
      </c>
      <c r="D720" s="38" t="s">
        <v>288</v>
      </c>
      <c r="E720" s="38" t="s">
        <v>615</v>
      </c>
      <c r="F720" s="37" t="s">
        <v>616</v>
      </c>
      <c r="G720" s="38" t="s">
        <v>70</v>
      </c>
      <c r="H720" s="37"/>
      <c r="I720" s="37"/>
      <c r="J720" s="37" t="s">
        <v>729</v>
      </c>
      <c r="K720" s="40"/>
      <c r="L720" s="38"/>
      <c r="M720" s="38"/>
      <c r="N720" s="37"/>
      <c r="O720" s="37"/>
      <c r="P720" s="37"/>
      <c r="Q720" s="37"/>
      <c r="R720" s="39"/>
      <c r="S720" s="37"/>
      <c r="T720" s="38" t="s">
        <v>293</v>
      </c>
    </row>
    <row r="721" ht="34.5">
      <c r="A721" s="38" t="s">
        <v>884</v>
      </c>
      <c r="B721" s="38" t="s">
        <v>885</v>
      </c>
      <c r="C721" s="38" t="s">
        <v>783</v>
      </c>
      <c r="D721" s="38" t="s">
        <v>288</v>
      </c>
      <c r="E721" s="38" t="s">
        <v>615</v>
      </c>
      <c r="F721" s="37" t="s">
        <v>616</v>
      </c>
      <c r="G721" s="38" t="s">
        <v>70</v>
      </c>
      <c r="H721" s="37"/>
      <c r="I721" s="37"/>
      <c r="J721" s="37" t="s">
        <v>730</v>
      </c>
      <c r="K721" s="40"/>
      <c r="L721" s="38"/>
      <c r="M721" s="38"/>
      <c r="N721" s="37"/>
      <c r="O721" s="37"/>
      <c r="P721" s="37"/>
      <c r="Q721" s="37"/>
      <c r="R721" s="39"/>
      <c r="S721" s="37"/>
      <c r="T721" s="38" t="s">
        <v>293</v>
      </c>
    </row>
    <row r="722" ht="34.5">
      <c r="A722" s="38" t="s">
        <v>884</v>
      </c>
      <c r="B722" s="38" t="s">
        <v>885</v>
      </c>
      <c r="C722" s="38" t="s">
        <v>783</v>
      </c>
      <c r="D722" s="38" t="s">
        <v>288</v>
      </c>
      <c r="E722" s="38" t="s">
        <v>615</v>
      </c>
      <c r="F722" s="37" t="s">
        <v>616</v>
      </c>
      <c r="G722" s="38" t="s">
        <v>70</v>
      </c>
      <c r="H722" s="37"/>
      <c r="I722" s="37"/>
      <c r="J722" s="37" t="s">
        <v>732</v>
      </c>
      <c r="K722" s="40"/>
      <c r="L722" s="38"/>
      <c r="M722" s="38"/>
      <c r="N722" s="37"/>
      <c r="O722" s="37"/>
      <c r="P722" s="37"/>
      <c r="Q722" s="37"/>
      <c r="R722" s="39"/>
      <c r="S722" s="37"/>
      <c r="T722" s="38" t="s">
        <v>293</v>
      </c>
    </row>
    <row r="723" ht="34.5">
      <c r="A723" s="38" t="s">
        <v>884</v>
      </c>
      <c r="B723" s="38" t="s">
        <v>885</v>
      </c>
      <c r="C723" s="38" t="s">
        <v>783</v>
      </c>
      <c r="D723" s="38" t="s">
        <v>288</v>
      </c>
      <c r="E723" s="38" t="s">
        <v>615</v>
      </c>
      <c r="F723" s="37" t="s">
        <v>616</v>
      </c>
      <c r="G723" s="38" t="s">
        <v>70</v>
      </c>
      <c r="H723" s="37"/>
      <c r="I723" s="37"/>
      <c r="J723" s="37" t="s">
        <v>733</v>
      </c>
      <c r="K723" s="40"/>
      <c r="L723" s="38"/>
      <c r="M723" s="38"/>
      <c r="N723" s="37"/>
      <c r="O723" s="37"/>
      <c r="P723" s="37"/>
      <c r="Q723" s="37"/>
      <c r="R723" s="39"/>
      <c r="S723" s="37"/>
      <c r="T723" s="38" t="s">
        <v>293</v>
      </c>
    </row>
    <row r="724" ht="34.5">
      <c r="A724" s="38" t="s">
        <v>884</v>
      </c>
      <c r="B724" s="38" t="s">
        <v>885</v>
      </c>
      <c r="C724" s="38" t="s">
        <v>783</v>
      </c>
      <c r="D724" s="38" t="s">
        <v>288</v>
      </c>
      <c r="E724" s="38" t="s">
        <v>615</v>
      </c>
      <c r="F724" s="37" t="s">
        <v>616</v>
      </c>
      <c r="G724" s="38" t="s">
        <v>70</v>
      </c>
      <c r="H724" s="37"/>
      <c r="I724" s="37"/>
      <c r="J724" s="37" t="s">
        <v>734</v>
      </c>
      <c r="K724" s="40"/>
      <c r="L724" s="38"/>
      <c r="M724" s="38"/>
      <c r="N724" s="37"/>
      <c r="O724" s="37"/>
      <c r="P724" s="37"/>
      <c r="Q724" s="37"/>
      <c r="R724" s="39"/>
      <c r="S724" s="37"/>
      <c r="T724" s="38" t="s">
        <v>293</v>
      </c>
    </row>
    <row r="725" ht="34.5">
      <c r="A725" s="38" t="s">
        <v>884</v>
      </c>
      <c r="B725" s="38" t="s">
        <v>885</v>
      </c>
      <c r="C725" s="38" t="s">
        <v>783</v>
      </c>
      <c r="D725" s="38" t="s">
        <v>288</v>
      </c>
      <c r="E725" s="38" t="s">
        <v>615</v>
      </c>
      <c r="F725" s="37" t="s">
        <v>616</v>
      </c>
      <c r="G725" s="38" t="s">
        <v>70</v>
      </c>
      <c r="H725" s="37"/>
      <c r="I725" s="37"/>
      <c r="J725" s="37" t="s">
        <v>735</v>
      </c>
      <c r="K725" s="40"/>
      <c r="L725" s="38"/>
      <c r="M725" s="38"/>
      <c r="N725" s="37"/>
      <c r="O725" s="37"/>
      <c r="P725" s="37"/>
      <c r="Q725" s="37"/>
      <c r="R725" s="39"/>
      <c r="S725" s="37"/>
      <c r="T725" s="38" t="s">
        <v>293</v>
      </c>
    </row>
    <row r="726" ht="34.5">
      <c r="A726" s="38" t="s">
        <v>884</v>
      </c>
      <c r="B726" s="38" t="s">
        <v>885</v>
      </c>
      <c r="C726" s="38" t="s">
        <v>783</v>
      </c>
      <c r="D726" s="38" t="s">
        <v>288</v>
      </c>
      <c r="E726" s="38" t="s">
        <v>615</v>
      </c>
      <c r="F726" s="37" t="s">
        <v>616</v>
      </c>
      <c r="G726" s="38" t="s">
        <v>70</v>
      </c>
      <c r="H726" s="37"/>
      <c r="I726" s="37"/>
      <c r="J726" s="37" t="s">
        <v>736</v>
      </c>
      <c r="K726" s="40"/>
      <c r="L726" s="38"/>
      <c r="M726" s="38"/>
      <c r="N726" s="37"/>
      <c r="O726" s="37"/>
      <c r="P726" s="37"/>
      <c r="Q726" s="37"/>
      <c r="R726" s="39"/>
      <c r="S726" s="37"/>
      <c r="T726" s="38" t="s">
        <v>293</v>
      </c>
    </row>
    <row r="727" ht="34.5">
      <c r="A727" s="38" t="s">
        <v>884</v>
      </c>
      <c r="B727" s="38" t="s">
        <v>885</v>
      </c>
      <c r="C727" s="38" t="s">
        <v>783</v>
      </c>
      <c r="D727" s="38" t="s">
        <v>288</v>
      </c>
      <c r="E727" s="38" t="s">
        <v>615</v>
      </c>
      <c r="F727" s="37" t="s">
        <v>616</v>
      </c>
      <c r="G727" s="38" t="s">
        <v>70</v>
      </c>
      <c r="H727" s="37"/>
      <c r="I727" s="37"/>
      <c r="J727" s="37" t="s">
        <v>737</v>
      </c>
      <c r="K727" s="40"/>
      <c r="L727" s="38"/>
      <c r="M727" s="38"/>
      <c r="N727" s="37"/>
      <c r="O727" s="37"/>
      <c r="P727" s="37"/>
      <c r="Q727" s="37"/>
      <c r="R727" s="39"/>
      <c r="S727" s="37"/>
      <c r="T727" s="38" t="s">
        <v>293</v>
      </c>
    </row>
    <row r="728" ht="34.5">
      <c r="A728" s="38" t="s">
        <v>884</v>
      </c>
      <c r="B728" s="38" t="s">
        <v>885</v>
      </c>
      <c r="C728" s="38" t="s">
        <v>783</v>
      </c>
      <c r="D728" s="38" t="s">
        <v>288</v>
      </c>
      <c r="E728" s="38" t="s">
        <v>615</v>
      </c>
      <c r="F728" s="37" t="s">
        <v>616</v>
      </c>
      <c r="G728" s="38" t="s">
        <v>70</v>
      </c>
      <c r="H728" s="37"/>
      <c r="I728" s="37"/>
      <c r="J728" s="37" t="s">
        <v>1022</v>
      </c>
      <c r="K728" s="40"/>
      <c r="L728" s="38"/>
      <c r="M728" s="38"/>
      <c r="N728" s="37"/>
      <c r="O728" s="37"/>
      <c r="P728" s="37"/>
      <c r="Q728" s="37"/>
      <c r="R728" s="39"/>
      <c r="S728" s="37"/>
      <c r="T728" s="38" t="s">
        <v>293</v>
      </c>
    </row>
    <row r="729" ht="34.5">
      <c r="A729" s="38" t="s">
        <v>884</v>
      </c>
      <c r="B729" s="38" t="s">
        <v>885</v>
      </c>
      <c r="C729" s="38" t="s">
        <v>783</v>
      </c>
      <c r="D729" s="38" t="s">
        <v>288</v>
      </c>
      <c r="E729" s="38" t="s">
        <v>615</v>
      </c>
      <c r="F729" s="37" t="s">
        <v>616</v>
      </c>
      <c r="G729" s="38" t="s">
        <v>70</v>
      </c>
      <c r="H729" s="37"/>
      <c r="I729" s="37"/>
      <c r="J729" s="37" t="s">
        <v>739</v>
      </c>
      <c r="K729" s="40"/>
      <c r="L729" s="38"/>
      <c r="M729" s="38"/>
      <c r="N729" s="37"/>
      <c r="O729" s="37"/>
      <c r="P729" s="37"/>
      <c r="Q729" s="37"/>
      <c r="R729" s="39"/>
      <c r="S729" s="37"/>
      <c r="T729" s="38" t="s">
        <v>293</v>
      </c>
    </row>
    <row r="730" ht="34.5">
      <c r="A730" s="38" t="s">
        <v>884</v>
      </c>
      <c r="B730" s="38" t="s">
        <v>885</v>
      </c>
      <c r="C730" s="38" t="s">
        <v>783</v>
      </c>
      <c r="D730" s="38" t="s">
        <v>288</v>
      </c>
      <c r="E730" s="38" t="s">
        <v>615</v>
      </c>
      <c r="F730" s="37" t="s">
        <v>616</v>
      </c>
      <c r="G730" s="38" t="s">
        <v>70</v>
      </c>
      <c r="H730" s="37"/>
      <c r="I730" s="37"/>
      <c r="J730" s="37" t="s">
        <v>740</v>
      </c>
      <c r="K730" s="40"/>
      <c r="L730" s="38"/>
      <c r="M730" s="38"/>
      <c r="N730" s="37"/>
      <c r="O730" s="37"/>
      <c r="P730" s="37"/>
      <c r="Q730" s="37"/>
      <c r="R730" s="39"/>
      <c r="S730" s="37"/>
      <c r="T730" s="38" t="s">
        <v>293</v>
      </c>
    </row>
    <row r="731" ht="34.5">
      <c r="A731" s="38" t="s">
        <v>884</v>
      </c>
      <c r="B731" s="38" t="s">
        <v>885</v>
      </c>
      <c r="C731" s="38" t="s">
        <v>793</v>
      </c>
      <c r="D731" s="38" t="s">
        <v>288</v>
      </c>
      <c r="E731" s="38" t="s">
        <v>615</v>
      </c>
      <c r="F731" s="37" t="s">
        <v>616</v>
      </c>
      <c r="G731" s="38" t="s">
        <v>70</v>
      </c>
      <c r="H731" s="37"/>
      <c r="I731" s="37"/>
      <c r="J731" s="37" t="s">
        <v>741</v>
      </c>
      <c r="K731" s="40"/>
      <c r="L731" s="38"/>
      <c r="M731" s="38"/>
      <c r="N731" s="37"/>
      <c r="O731" s="37"/>
      <c r="P731" s="37"/>
      <c r="Q731" s="37"/>
      <c r="R731" s="39"/>
      <c r="S731" s="37"/>
      <c r="T731" s="38" t="s">
        <v>293</v>
      </c>
    </row>
    <row r="732" ht="34.5">
      <c r="A732" s="38" t="s">
        <v>884</v>
      </c>
      <c r="B732" s="38" t="s">
        <v>885</v>
      </c>
      <c r="C732" s="38" t="s">
        <v>793</v>
      </c>
      <c r="D732" s="38" t="s">
        <v>288</v>
      </c>
      <c r="E732" s="38" t="s">
        <v>615</v>
      </c>
      <c r="F732" s="37" t="s">
        <v>616</v>
      </c>
      <c r="G732" s="38" t="s">
        <v>70</v>
      </c>
      <c r="H732" s="37"/>
      <c r="I732" s="37"/>
      <c r="J732" s="37" t="s">
        <v>1023</v>
      </c>
      <c r="K732" s="40"/>
      <c r="L732" s="38"/>
      <c r="M732" s="38"/>
      <c r="N732" s="37"/>
      <c r="O732" s="37"/>
      <c r="P732" s="37"/>
      <c r="Q732" s="37"/>
      <c r="R732" s="39"/>
      <c r="S732" s="37"/>
      <c r="T732" s="38" t="s">
        <v>293</v>
      </c>
    </row>
    <row r="733" ht="34.5">
      <c r="A733" s="38" t="s">
        <v>884</v>
      </c>
      <c r="B733" s="38" t="s">
        <v>885</v>
      </c>
      <c r="C733" s="38" t="s">
        <v>793</v>
      </c>
      <c r="D733" s="38" t="s">
        <v>288</v>
      </c>
      <c r="E733" s="38" t="s">
        <v>615</v>
      </c>
      <c r="F733" s="37" t="s">
        <v>616</v>
      </c>
      <c r="G733" s="38" t="s">
        <v>70</v>
      </c>
      <c r="H733" s="37"/>
      <c r="I733" s="37"/>
      <c r="J733" s="37" t="s">
        <v>743</v>
      </c>
      <c r="K733" s="40"/>
      <c r="L733" s="38"/>
      <c r="M733" s="38"/>
      <c r="N733" s="37"/>
      <c r="O733" s="37"/>
      <c r="P733" s="37"/>
      <c r="Q733" s="37"/>
      <c r="R733" s="39"/>
      <c r="S733" s="37"/>
      <c r="T733" s="38" t="s">
        <v>293</v>
      </c>
    </row>
    <row r="734" ht="34.5">
      <c r="A734" s="38" t="s">
        <v>884</v>
      </c>
      <c r="B734" s="38" t="s">
        <v>885</v>
      </c>
      <c r="C734" s="38" t="s">
        <v>793</v>
      </c>
      <c r="D734" s="38" t="s">
        <v>288</v>
      </c>
      <c r="E734" s="38" t="s">
        <v>615</v>
      </c>
      <c r="F734" s="37" t="s">
        <v>616</v>
      </c>
      <c r="G734" s="38" t="s">
        <v>70</v>
      </c>
      <c r="H734" s="37"/>
      <c r="I734" s="37"/>
      <c r="J734" s="37" t="s">
        <v>745</v>
      </c>
      <c r="K734" s="40"/>
      <c r="L734" s="38"/>
      <c r="M734" s="38"/>
      <c r="N734" s="37"/>
      <c r="O734" s="37"/>
      <c r="P734" s="37"/>
      <c r="Q734" s="37"/>
      <c r="R734" s="39"/>
      <c r="S734" s="37"/>
      <c r="T734" s="38" t="s">
        <v>293</v>
      </c>
    </row>
    <row r="735" ht="34.5">
      <c r="A735" s="38" t="s">
        <v>884</v>
      </c>
      <c r="B735" s="38" t="s">
        <v>885</v>
      </c>
      <c r="C735" s="38" t="s">
        <v>793</v>
      </c>
      <c r="D735" s="38" t="s">
        <v>288</v>
      </c>
      <c r="E735" s="38" t="s">
        <v>615</v>
      </c>
      <c r="F735" s="37" t="s">
        <v>616</v>
      </c>
      <c r="G735" s="38" t="s">
        <v>70</v>
      </c>
      <c r="H735" s="37"/>
      <c r="I735" s="37"/>
      <c r="J735" s="37" t="s">
        <v>746</v>
      </c>
      <c r="K735" s="40"/>
      <c r="L735" s="38"/>
      <c r="M735" s="38"/>
      <c r="N735" s="37"/>
      <c r="O735" s="37"/>
      <c r="P735" s="37"/>
      <c r="Q735" s="37"/>
      <c r="R735" s="39"/>
      <c r="S735" s="37"/>
      <c r="T735" s="38" t="s">
        <v>293</v>
      </c>
    </row>
    <row r="736" ht="34.5">
      <c r="A736" s="38" t="s">
        <v>884</v>
      </c>
      <c r="B736" s="38" t="s">
        <v>885</v>
      </c>
      <c r="C736" s="38" t="s">
        <v>793</v>
      </c>
      <c r="D736" s="38" t="s">
        <v>288</v>
      </c>
      <c r="E736" s="38" t="s">
        <v>615</v>
      </c>
      <c r="F736" s="37" t="s">
        <v>616</v>
      </c>
      <c r="G736" s="38" t="s">
        <v>70</v>
      </c>
      <c r="H736" s="37"/>
      <c r="I736" s="37"/>
      <c r="J736" s="37" t="s">
        <v>747</v>
      </c>
      <c r="K736" s="40"/>
      <c r="L736" s="38"/>
      <c r="M736" s="38"/>
      <c r="N736" s="37"/>
      <c r="O736" s="37"/>
      <c r="P736" s="37"/>
      <c r="Q736" s="37"/>
      <c r="R736" s="39"/>
      <c r="S736" s="37"/>
      <c r="T736" s="38" t="s">
        <v>293</v>
      </c>
    </row>
    <row r="737" ht="34.5">
      <c r="A737" s="38" t="s">
        <v>884</v>
      </c>
      <c r="B737" s="38" t="s">
        <v>885</v>
      </c>
      <c r="C737" s="38" t="s">
        <v>793</v>
      </c>
      <c r="D737" s="38" t="s">
        <v>288</v>
      </c>
      <c r="E737" s="38" t="s">
        <v>615</v>
      </c>
      <c r="F737" s="37" t="s">
        <v>616</v>
      </c>
      <c r="G737" s="38" t="s">
        <v>70</v>
      </c>
      <c r="H737" s="37"/>
      <c r="I737" s="37"/>
      <c r="J737" s="37" t="s">
        <v>748</v>
      </c>
      <c r="K737" s="40"/>
      <c r="L737" s="38"/>
      <c r="M737" s="38"/>
      <c r="N737" s="37"/>
      <c r="O737" s="37"/>
      <c r="P737" s="37"/>
      <c r="Q737" s="37"/>
      <c r="R737" s="39"/>
      <c r="S737" s="37"/>
      <c r="T737" s="38" t="s">
        <v>293</v>
      </c>
    </row>
    <row r="738" ht="34.5">
      <c r="A738" s="38" t="s">
        <v>884</v>
      </c>
      <c r="B738" s="38" t="s">
        <v>885</v>
      </c>
      <c r="C738" s="38" t="s">
        <v>793</v>
      </c>
      <c r="D738" s="38" t="s">
        <v>288</v>
      </c>
      <c r="E738" s="38" t="s">
        <v>615</v>
      </c>
      <c r="F738" s="37" t="s">
        <v>616</v>
      </c>
      <c r="G738" s="38" t="s">
        <v>70</v>
      </c>
      <c r="H738" s="37"/>
      <c r="I738" s="37"/>
      <c r="J738" s="37" t="s">
        <v>749</v>
      </c>
      <c r="K738" s="40"/>
      <c r="L738" s="38"/>
      <c r="M738" s="38"/>
      <c r="N738" s="37"/>
      <c r="O738" s="37"/>
      <c r="P738" s="37"/>
      <c r="Q738" s="37"/>
      <c r="R738" s="39"/>
      <c r="S738" s="37"/>
      <c r="T738" s="38" t="s">
        <v>293</v>
      </c>
    </row>
    <row r="739" ht="34.5">
      <c r="A739" s="38" t="s">
        <v>884</v>
      </c>
      <c r="B739" s="38" t="s">
        <v>885</v>
      </c>
      <c r="C739" s="38" t="s">
        <v>793</v>
      </c>
      <c r="D739" s="38" t="s">
        <v>288</v>
      </c>
      <c r="E739" s="38" t="s">
        <v>615</v>
      </c>
      <c r="F739" s="37" t="s">
        <v>616</v>
      </c>
      <c r="G739" s="38" t="s">
        <v>70</v>
      </c>
      <c r="H739" s="37"/>
      <c r="I739" s="37"/>
      <c r="J739" s="37" t="s">
        <v>750</v>
      </c>
      <c r="K739" s="40"/>
      <c r="L739" s="38"/>
      <c r="M739" s="38"/>
      <c r="N739" s="37"/>
      <c r="O739" s="37"/>
      <c r="P739" s="37"/>
      <c r="Q739" s="37"/>
      <c r="R739" s="39"/>
      <c r="S739" s="37"/>
      <c r="T739" s="38" t="s">
        <v>293</v>
      </c>
    </row>
    <row r="740" ht="34.5">
      <c r="A740" s="38" t="s">
        <v>884</v>
      </c>
      <c r="B740" s="38" t="s">
        <v>885</v>
      </c>
      <c r="C740" s="38" t="s">
        <v>793</v>
      </c>
      <c r="D740" s="38" t="s">
        <v>288</v>
      </c>
      <c r="E740" s="38" t="s">
        <v>615</v>
      </c>
      <c r="F740" s="37" t="s">
        <v>616</v>
      </c>
      <c r="G740" s="38" t="s">
        <v>70</v>
      </c>
      <c r="H740" s="37"/>
      <c r="I740" s="37"/>
      <c r="J740" s="37" t="s">
        <v>751</v>
      </c>
      <c r="K740" s="40"/>
      <c r="L740" s="38"/>
      <c r="M740" s="38"/>
      <c r="N740" s="37"/>
      <c r="O740" s="37"/>
      <c r="P740" s="37"/>
      <c r="Q740" s="37"/>
      <c r="R740" s="39"/>
      <c r="S740" s="37"/>
      <c r="T740" s="38" t="s">
        <v>293</v>
      </c>
    </row>
    <row r="741" ht="34.5">
      <c r="A741" s="38" t="s">
        <v>884</v>
      </c>
      <c r="B741" s="38" t="s">
        <v>885</v>
      </c>
      <c r="C741" s="38" t="s">
        <v>803</v>
      </c>
      <c r="D741" s="38" t="s">
        <v>288</v>
      </c>
      <c r="E741" s="38" t="s">
        <v>615</v>
      </c>
      <c r="F741" s="37" t="s">
        <v>616</v>
      </c>
      <c r="G741" s="38" t="s">
        <v>70</v>
      </c>
      <c r="H741" s="37"/>
      <c r="I741" s="37"/>
      <c r="J741" s="37" t="s">
        <v>752</v>
      </c>
      <c r="K741" s="40"/>
      <c r="L741" s="38"/>
      <c r="M741" s="38"/>
      <c r="N741" s="37"/>
      <c r="O741" s="37"/>
      <c r="P741" s="37"/>
      <c r="Q741" s="37"/>
      <c r="R741" s="39"/>
      <c r="S741" s="37"/>
      <c r="T741" s="38" t="s">
        <v>293</v>
      </c>
    </row>
    <row r="742" ht="34.5">
      <c r="A742" s="38" t="s">
        <v>884</v>
      </c>
      <c r="B742" s="38" t="s">
        <v>885</v>
      </c>
      <c r="C742" s="38" t="s">
        <v>803</v>
      </c>
      <c r="D742" s="38" t="s">
        <v>288</v>
      </c>
      <c r="E742" s="38" t="s">
        <v>615</v>
      </c>
      <c r="F742" s="37" t="s">
        <v>616</v>
      </c>
      <c r="G742" s="38" t="s">
        <v>70</v>
      </c>
      <c r="H742" s="37"/>
      <c r="I742" s="37"/>
      <c r="J742" s="37" t="s">
        <v>753</v>
      </c>
      <c r="K742" s="40"/>
      <c r="L742" s="38"/>
      <c r="M742" s="38"/>
      <c r="N742" s="37"/>
      <c r="O742" s="37"/>
      <c r="P742" s="37"/>
      <c r="Q742" s="37"/>
      <c r="R742" s="39"/>
      <c r="S742" s="37"/>
      <c r="T742" s="38" t="s">
        <v>293</v>
      </c>
    </row>
    <row r="743" ht="34.5">
      <c r="A743" s="38" t="s">
        <v>884</v>
      </c>
      <c r="B743" s="38" t="s">
        <v>885</v>
      </c>
      <c r="C743" s="38" t="s">
        <v>803</v>
      </c>
      <c r="D743" s="38" t="s">
        <v>288</v>
      </c>
      <c r="E743" s="38" t="s">
        <v>615</v>
      </c>
      <c r="F743" s="37" t="s">
        <v>616</v>
      </c>
      <c r="G743" s="38" t="s">
        <v>70</v>
      </c>
      <c r="H743" s="37"/>
      <c r="I743" s="37"/>
      <c r="J743" s="37" t="s">
        <v>755</v>
      </c>
      <c r="K743" s="40"/>
      <c r="L743" s="38"/>
      <c r="M743" s="38"/>
      <c r="N743" s="37"/>
      <c r="O743" s="37"/>
      <c r="P743" s="37"/>
      <c r="Q743" s="37"/>
      <c r="R743" s="39"/>
      <c r="S743" s="37"/>
      <c r="T743" s="38" t="s">
        <v>293</v>
      </c>
    </row>
    <row r="744" ht="34.5">
      <c r="A744" s="38" t="s">
        <v>884</v>
      </c>
      <c r="B744" s="38" t="s">
        <v>885</v>
      </c>
      <c r="C744" s="38" t="s">
        <v>803</v>
      </c>
      <c r="D744" s="38" t="s">
        <v>288</v>
      </c>
      <c r="E744" s="38" t="s">
        <v>615</v>
      </c>
      <c r="F744" s="37" t="s">
        <v>616</v>
      </c>
      <c r="G744" s="38" t="s">
        <v>70</v>
      </c>
      <c r="H744" s="37"/>
      <c r="I744" s="37"/>
      <c r="J744" s="37" t="s">
        <v>756</v>
      </c>
      <c r="K744" s="40"/>
      <c r="L744" s="38"/>
      <c r="M744" s="38"/>
      <c r="N744" s="37"/>
      <c r="O744" s="37"/>
      <c r="P744" s="37"/>
      <c r="Q744" s="37"/>
      <c r="R744" s="39"/>
      <c r="S744" s="37"/>
      <c r="T744" s="38" t="s">
        <v>293</v>
      </c>
    </row>
    <row r="745" ht="34.5">
      <c r="A745" s="38" t="s">
        <v>884</v>
      </c>
      <c r="B745" s="38" t="s">
        <v>885</v>
      </c>
      <c r="C745" s="38" t="s">
        <v>803</v>
      </c>
      <c r="D745" s="38" t="s">
        <v>288</v>
      </c>
      <c r="E745" s="38" t="s">
        <v>615</v>
      </c>
      <c r="F745" s="37" t="s">
        <v>616</v>
      </c>
      <c r="G745" s="38" t="s">
        <v>70</v>
      </c>
      <c r="H745" s="37"/>
      <c r="I745" s="37"/>
      <c r="J745" s="37" t="s">
        <v>757</v>
      </c>
      <c r="K745" s="40"/>
      <c r="L745" s="38"/>
      <c r="M745" s="38"/>
      <c r="N745" s="37"/>
      <c r="O745" s="37"/>
      <c r="P745" s="37"/>
      <c r="Q745" s="37"/>
      <c r="R745" s="39"/>
      <c r="S745" s="37"/>
      <c r="T745" s="38" t="s">
        <v>293</v>
      </c>
    </row>
    <row r="746" ht="34.5">
      <c r="A746" s="38" t="s">
        <v>884</v>
      </c>
      <c r="B746" s="38" t="s">
        <v>885</v>
      </c>
      <c r="C746" s="38" t="s">
        <v>803</v>
      </c>
      <c r="D746" s="38" t="s">
        <v>288</v>
      </c>
      <c r="E746" s="38" t="s">
        <v>615</v>
      </c>
      <c r="F746" s="37" t="s">
        <v>616</v>
      </c>
      <c r="G746" s="38" t="s">
        <v>70</v>
      </c>
      <c r="H746" s="37"/>
      <c r="I746" s="37"/>
      <c r="J746" s="37" t="s">
        <v>758</v>
      </c>
      <c r="K746" s="40"/>
      <c r="L746" s="38"/>
      <c r="M746" s="38"/>
      <c r="N746" s="37"/>
      <c r="O746" s="37"/>
      <c r="P746" s="37"/>
      <c r="Q746" s="37"/>
      <c r="R746" s="39"/>
      <c r="S746" s="37"/>
      <c r="T746" s="38" t="s">
        <v>293</v>
      </c>
    </row>
    <row r="747" ht="34.5">
      <c r="A747" s="38" t="s">
        <v>884</v>
      </c>
      <c r="B747" s="38" t="s">
        <v>885</v>
      </c>
      <c r="C747" s="38" t="s">
        <v>803</v>
      </c>
      <c r="D747" s="38" t="s">
        <v>288</v>
      </c>
      <c r="E747" s="38" t="s">
        <v>615</v>
      </c>
      <c r="F747" s="37" t="s">
        <v>616</v>
      </c>
      <c r="G747" s="38" t="s">
        <v>70</v>
      </c>
      <c r="H747" s="37"/>
      <c r="I747" s="37"/>
      <c r="J747" s="37" t="s">
        <v>759</v>
      </c>
      <c r="K747" s="40"/>
      <c r="L747" s="38"/>
      <c r="M747" s="38"/>
      <c r="N747" s="37"/>
      <c r="O747" s="37"/>
      <c r="P747" s="37"/>
      <c r="Q747" s="37"/>
      <c r="R747" s="39"/>
      <c r="S747" s="37"/>
      <c r="T747" s="38" t="s">
        <v>293</v>
      </c>
    </row>
    <row r="748" ht="34.5">
      <c r="A748" s="38" t="s">
        <v>884</v>
      </c>
      <c r="B748" s="38" t="s">
        <v>885</v>
      </c>
      <c r="C748" s="38" t="s">
        <v>803</v>
      </c>
      <c r="D748" s="38" t="s">
        <v>288</v>
      </c>
      <c r="E748" s="38" t="s">
        <v>615</v>
      </c>
      <c r="F748" s="37" t="s">
        <v>616</v>
      </c>
      <c r="G748" s="38" t="s">
        <v>70</v>
      </c>
      <c r="H748" s="37"/>
      <c r="I748" s="37"/>
      <c r="J748" s="37" t="s">
        <v>760</v>
      </c>
      <c r="K748" s="40"/>
      <c r="L748" s="38"/>
      <c r="M748" s="38"/>
      <c r="N748" s="37"/>
      <c r="O748" s="37"/>
      <c r="P748" s="37"/>
      <c r="Q748" s="37"/>
      <c r="R748" s="39"/>
      <c r="S748" s="37"/>
      <c r="T748" s="38" t="s">
        <v>293</v>
      </c>
    </row>
    <row r="749" ht="34.5">
      <c r="A749" s="38" t="s">
        <v>884</v>
      </c>
      <c r="B749" s="38" t="s">
        <v>885</v>
      </c>
      <c r="C749" s="38" t="s">
        <v>815</v>
      </c>
      <c r="D749" s="38" t="s">
        <v>288</v>
      </c>
      <c r="E749" s="38" t="s">
        <v>615</v>
      </c>
      <c r="F749" s="37" t="s">
        <v>616</v>
      </c>
      <c r="G749" s="38" t="s">
        <v>70</v>
      </c>
      <c r="H749" s="37"/>
      <c r="I749" s="37"/>
      <c r="J749" s="37" t="s">
        <v>761</v>
      </c>
      <c r="K749" s="40"/>
      <c r="L749" s="38"/>
      <c r="M749" s="38"/>
      <c r="N749" s="37"/>
      <c r="O749" s="37"/>
      <c r="P749" s="37"/>
      <c r="Q749" s="37"/>
      <c r="R749" s="39"/>
      <c r="S749" s="37"/>
      <c r="T749" s="38" t="s">
        <v>293</v>
      </c>
    </row>
    <row r="750" ht="34.5">
      <c r="A750" s="38" t="s">
        <v>884</v>
      </c>
      <c r="B750" s="38" t="s">
        <v>885</v>
      </c>
      <c r="C750" s="38" t="s">
        <v>815</v>
      </c>
      <c r="D750" s="38" t="s">
        <v>288</v>
      </c>
      <c r="E750" s="38" t="s">
        <v>615</v>
      </c>
      <c r="F750" s="37" t="s">
        <v>616</v>
      </c>
      <c r="G750" s="38" t="s">
        <v>70</v>
      </c>
      <c r="H750" s="37"/>
      <c r="I750" s="37"/>
      <c r="J750" s="37" t="s">
        <v>762</v>
      </c>
      <c r="K750" s="40"/>
      <c r="L750" s="38"/>
      <c r="M750" s="38"/>
      <c r="N750" s="37"/>
      <c r="O750" s="37"/>
      <c r="P750" s="37"/>
      <c r="Q750" s="37"/>
      <c r="R750" s="39"/>
      <c r="S750" s="37"/>
      <c r="T750" s="38" t="s">
        <v>293</v>
      </c>
    </row>
    <row r="751" ht="34.5">
      <c r="A751" s="38" t="s">
        <v>884</v>
      </c>
      <c r="B751" s="38" t="s">
        <v>885</v>
      </c>
      <c r="C751" s="38" t="s">
        <v>815</v>
      </c>
      <c r="D751" s="38" t="s">
        <v>288</v>
      </c>
      <c r="E751" s="38" t="s">
        <v>615</v>
      </c>
      <c r="F751" s="37" t="s">
        <v>616</v>
      </c>
      <c r="G751" s="38" t="s">
        <v>70</v>
      </c>
      <c r="H751" s="37"/>
      <c r="I751" s="37"/>
      <c r="J751" s="37" t="s">
        <v>764</v>
      </c>
      <c r="K751" s="40"/>
      <c r="L751" s="38"/>
      <c r="M751" s="38"/>
      <c r="N751" s="37"/>
      <c r="O751" s="37"/>
      <c r="P751" s="37"/>
      <c r="Q751" s="37"/>
      <c r="R751" s="39"/>
      <c r="S751" s="37"/>
      <c r="T751" s="38" t="s">
        <v>293</v>
      </c>
    </row>
    <row r="752" ht="34.5">
      <c r="A752" s="38" t="s">
        <v>884</v>
      </c>
      <c r="B752" s="38" t="s">
        <v>885</v>
      </c>
      <c r="C752" s="38" t="s">
        <v>815</v>
      </c>
      <c r="D752" s="38" t="s">
        <v>1024</v>
      </c>
      <c r="E752" s="38" t="s">
        <v>615</v>
      </c>
      <c r="F752" s="37" t="s">
        <v>616</v>
      </c>
      <c r="G752" s="38" t="s">
        <v>70</v>
      </c>
      <c r="H752" s="37"/>
      <c r="I752" s="37"/>
      <c r="J752" s="37" t="s">
        <v>1025</v>
      </c>
      <c r="K752" s="40"/>
      <c r="L752" s="38"/>
      <c r="M752" s="38"/>
      <c r="N752" s="37"/>
      <c r="O752" s="37"/>
      <c r="P752" s="37"/>
      <c r="Q752" s="37"/>
      <c r="R752" s="39"/>
      <c r="S752" s="37"/>
      <c r="T752" s="38" t="s">
        <v>293</v>
      </c>
    </row>
    <row r="753" ht="34.5">
      <c r="A753" s="38" t="s">
        <v>884</v>
      </c>
      <c r="B753" s="38" t="s">
        <v>885</v>
      </c>
      <c r="C753" s="38" t="s">
        <v>815</v>
      </c>
      <c r="D753" s="38" t="s">
        <v>288</v>
      </c>
      <c r="E753" s="38" t="s">
        <v>615</v>
      </c>
      <c r="F753" s="37" t="s">
        <v>616</v>
      </c>
      <c r="G753" s="38" t="s">
        <v>70</v>
      </c>
      <c r="H753" s="37"/>
      <c r="I753" s="37"/>
      <c r="J753" s="37" t="s">
        <v>1026</v>
      </c>
      <c r="K753" s="40">
        <v>70282385</v>
      </c>
      <c r="L753" s="38" t="s">
        <v>297</v>
      </c>
      <c r="M753" s="38"/>
      <c r="N753" s="37"/>
      <c r="O753" s="37"/>
      <c r="P753" s="37"/>
      <c r="Q753" s="37"/>
      <c r="R753" s="39"/>
      <c r="S753" s="37"/>
      <c r="T753" s="38" t="s">
        <v>293</v>
      </c>
    </row>
    <row r="754" ht="34.5">
      <c r="A754" s="38" t="s">
        <v>884</v>
      </c>
      <c r="B754" s="38" t="s">
        <v>885</v>
      </c>
      <c r="C754" s="38" t="s">
        <v>815</v>
      </c>
      <c r="D754" s="38" t="s">
        <v>288</v>
      </c>
      <c r="E754" s="38" t="s">
        <v>615</v>
      </c>
      <c r="F754" s="37" t="s">
        <v>616</v>
      </c>
      <c r="G754" s="38" t="s">
        <v>70</v>
      </c>
      <c r="H754" s="37"/>
      <c r="I754" s="37"/>
      <c r="J754" s="37" t="s">
        <v>1027</v>
      </c>
      <c r="K754" s="40"/>
      <c r="L754" s="38"/>
      <c r="M754" s="38"/>
      <c r="N754" s="37"/>
      <c r="O754" s="37"/>
      <c r="P754" s="37"/>
      <c r="Q754" s="37"/>
      <c r="R754" s="39"/>
      <c r="S754" s="37"/>
      <c r="T754" s="38" t="s">
        <v>293</v>
      </c>
    </row>
    <row r="755" ht="34.5">
      <c r="A755" s="38" t="s">
        <v>884</v>
      </c>
      <c r="B755" s="38" t="s">
        <v>885</v>
      </c>
      <c r="C755" s="38" t="s">
        <v>815</v>
      </c>
      <c r="D755" s="38" t="s">
        <v>288</v>
      </c>
      <c r="E755" s="38" t="s">
        <v>615</v>
      </c>
      <c r="F755" s="37" t="s">
        <v>616</v>
      </c>
      <c r="G755" s="38" t="s">
        <v>70</v>
      </c>
      <c r="H755" s="37"/>
      <c r="I755" s="37"/>
      <c r="J755" s="37" t="s">
        <v>770</v>
      </c>
      <c r="K755" s="40"/>
      <c r="L755" s="38"/>
      <c r="M755" s="38"/>
      <c r="N755" s="37"/>
      <c r="O755" s="37"/>
      <c r="P755" s="37"/>
      <c r="Q755" s="37"/>
      <c r="R755" s="39"/>
      <c r="S755" s="37"/>
      <c r="T755" s="38" t="s">
        <v>293</v>
      </c>
    </row>
    <row r="756" ht="34.5">
      <c r="A756" s="38" t="s">
        <v>884</v>
      </c>
      <c r="B756" s="38" t="s">
        <v>885</v>
      </c>
      <c r="C756" s="38" t="s">
        <v>815</v>
      </c>
      <c r="D756" s="38" t="s">
        <v>288</v>
      </c>
      <c r="E756" s="38" t="s">
        <v>615</v>
      </c>
      <c r="F756" s="37" t="s">
        <v>616</v>
      </c>
      <c r="G756" s="38" t="s">
        <v>70</v>
      </c>
      <c r="H756" s="37"/>
      <c r="I756" s="37"/>
      <c r="J756" s="37" t="s">
        <v>817</v>
      </c>
      <c r="K756" s="40"/>
      <c r="L756" s="38"/>
      <c r="M756" s="38"/>
      <c r="N756" s="37"/>
      <c r="O756" s="37"/>
      <c r="P756" s="37"/>
      <c r="Q756" s="37"/>
      <c r="R756" s="39"/>
      <c r="S756" s="37"/>
      <c r="T756" s="38" t="s">
        <v>293</v>
      </c>
    </row>
    <row r="757" ht="34.5">
      <c r="A757" s="38" t="s">
        <v>884</v>
      </c>
      <c r="B757" s="38" t="s">
        <v>885</v>
      </c>
      <c r="C757" s="38" t="s">
        <v>815</v>
      </c>
      <c r="D757" s="38" t="s">
        <v>288</v>
      </c>
      <c r="E757" s="38" t="s">
        <v>615</v>
      </c>
      <c r="F757" s="37" t="s">
        <v>616</v>
      </c>
      <c r="G757" s="38" t="s">
        <v>70</v>
      </c>
      <c r="H757" s="37"/>
      <c r="I757" s="37"/>
      <c r="J757" s="37" t="s">
        <v>772</v>
      </c>
      <c r="K757" s="40"/>
      <c r="L757" s="38"/>
      <c r="M757" s="38"/>
      <c r="N757" s="37"/>
      <c r="O757" s="37"/>
      <c r="P757" s="37"/>
      <c r="Q757" s="37"/>
      <c r="R757" s="39"/>
      <c r="S757" s="37"/>
      <c r="T757" s="38" t="s">
        <v>293</v>
      </c>
    </row>
    <row r="758" ht="34.5">
      <c r="A758" s="38" t="s">
        <v>884</v>
      </c>
      <c r="B758" s="38" t="s">
        <v>885</v>
      </c>
      <c r="C758" s="38" t="s">
        <v>828</v>
      </c>
      <c r="D758" s="38" t="s">
        <v>288</v>
      </c>
      <c r="E758" s="38" t="s">
        <v>615</v>
      </c>
      <c r="F758" s="37" t="s">
        <v>616</v>
      </c>
      <c r="G758" s="38" t="s">
        <v>70</v>
      </c>
      <c r="H758" s="37"/>
      <c r="I758" s="37"/>
      <c r="J758" s="37" t="s">
        <v>1028</v>
      </c>
      <c r="K758" s="40"/>
      <c r="L758" s="38"/>
      <c r="M758" s="38"/>
      <c r="N758" s="37"/>
      <c r="O758" s="37"/>
      <c r="P758" s="37"/>
      <c r="Q758" s="37"/>
      <c r="R758" s="39"/>
      <c r="S758" s="37"/>
      <c r="T758" s="38" t="s">
        <v>293</v>
      </c>
    </row>
    <row r="759" ht="34.5">
      <c r="A759" s="38" t="s">
        <v>884</v>
      </c>
      <c r="B759" s="38" t="s">
        <v>885</v>
      </c>
      <c r="C759" s="38" t="s">
        <v>828</v>
      </c>
      <c r="D759" s="38" t="s">
        <v>288</v>
      </c>
      <c r="E759" s="38" t="s">
        <v>615</v>
      </c>
      <c r="F759" s="37" t="s">
        <v>616</v>
      </c>
      <c r="G759" s="38" t="s">
        <v>70</v>
      </c>
      <c r="H759" s="37"/>
      <c r="I759" s="37"/>
      <c r="J759" s="37" t="s">
        <v>774</v>
      </c>
      <c r="K759" s="40"/>
      <c r="L759" s="38"/>
      <c r="M759" s="38"/>
      <c r="N759" s="37"/>
      <c r="O759" s="37"/>
      <c r="P759" s="37"/>
      <c r="Q759" s="37"/>
      <c r="R759" s="39"/>
      <c r="S759" s="37"/>
      <c r="T759" s="38" t="s">
        <v>293</v>
      </c>
    </row>
    <row r="760" ht="34.5">
      <c r="A760" s="38" t="s">
        <v>884</v>
      </c>
      <c r="B760" s="38" t="s">
        <v>885</v>
      </c>
      <c r="C760" s="38" t="s">
        <v>828</v>
      </c>
      <c r="D760" s="38" t="s">
        <v>288</v>
      </c>
      <c r="E760" s="38" t="s">
        <v>615</v>
      </c>
      <c r="F760" s="37" t="s">
        <v>616</v>
      </c>
      <c r="G760" s="38" t="s">
        <v>70</v>
      </c>
      <c r="H760" s="37"/>
      <c r="I760" s="37"/>
      <c r="J760" s="37" t="s">
        <v>775</v>
      </c>
      <c r="K760" s="40"/>
      <c r="L760" s="38"/>
      <c r="M760" s="38"/>
      <c r="N760" s="37"/>
      <c r="O760" s="37"/>
      <c r="P760" s="37"/>
      <c r="Q760" s="37"/>
      <c r="R760" s="39"/>
      <c r="S760" s="37"/>
      <c r="T760" s="38" t="s">
        <v>293</v>
      </c>
    </row>
    <row r="761" ht="34.5">
      <c r="A761" s="38" t="s">
        <v>884</v>
      </c>
      <c r="B761" s="38" t="s">
        <v>885</v>
      </c>
      <c r="C761" s="38" t="s">
        <v>828</v>
      </c>
      <c r="D761" s="38" t="s">
        <v>288</v>
      </c>
      <c r="E761" s="38" t="s">
        <v>615</v>
      </c>
      <c r="F761" s="37" t="s">
        <v>616</v>
      </c>
      <c r="G761" s="38" t="s">
        <v>70</v>
      </c>
      <c r="H761" s="37"/>
      <c r="I761" s="37"/>
      <c r="J761" s="37" t="s">
        <v>776</v>
      </c>
      <c r="K761" s="40"/>
      <c r="L761" s="38"/>
      <c r="M761" s="38"/>
      <c r="N761" s="37"/>
      <c r="O761" s="37"/>
      <c r="P761" s="37"/>
      <c r="Q761" s="37"/>
      <c r="R761" s="39"/>
      <c r="S761" s="37"/>
      <c r="T761" s="38" t="s">
        <v>293</v>
      </c>
    </row>
    <row r="762" ht="34.5">
      <c r="A762" s="38" t="s">
        <v>884</v>
      </c>
      <c r="B762" s="38" t="s">
        <v>885</v>
      </c>
      <c r="C762" s="38" t="s">
        <v>828</v>
      </c>
      <c r="D762" s="38" t="s">
        <v>288</v>
      </c>
      <c r="E762" s="38" t="s">
        <v>615</v>
      </c>
      <c r="F762" s="37" t="s">
        <v>616</v>
      </c>
      <c r="G762" s="38" t="s">
        <v>70</v>
      </c>
      <c r="H762" s="37"/>
      <c r="I762" s="37"/>
      <c r="J762" s="37" t="s">
        <v>1029</v>
      </c>
      <c r="K762" s="40">
        <v>12334732</v>
      </c>
      <c r="L762" s="38" t="s">
        <v>297</v>
      </c>
      <c r="M762" s="38"/>
      <c r="N762" s="37"/>
      <c r="O762" s="37"/>
      <c r="P762" s="37"/>
      <c r="Q762" s="37"/>
      <c r="R762" s="39"/>
      <c r="S762" s="37"/>
      <c r="T762" s="38" t="s">
        <v>293</v>
      </c>
    </row>
    <row r="763" ht="34.5">
      <c r="A763" s="38" t="s">
        <v>884</v>
      </c>
      <c r="B763" s="38" t="s">
        <v>885</v>
      </c>
      <c r="C763" s="38" t="s">
        <v>828</v>
      </c>
      <c r="D763" s="38" t="s">
        <v>288</v>
      </c>
      <c r="E763" s="38" t="s">
        <v>615</v>
      </c>
      <c r="F763" s="37" t="s">
        <v>616</v>
      </c>
      <c r="G763" s="38" t="s">
        <v>70</v>
      </c>
      <c r="H763" s="37"/>
      <c r="I763" s="37"/>
      <c r="J763" s="37" t="s">
        <v>1030</v>
      </c>
      <c r="K763" s="40">
        <v>30035523</v>
      </c>
      <c r="L763" s="38" t="s">
        <v>297</v>
      </c>
      <c r="M763" s="38"/>
      <c r="N763" s="37"/>
      <c r="O763" s="37"/>
      <c r="P763" s="37"/>
      <c r="Q763" s="37"/>
      <c r="R763" s="39"/>
      <c r="S763" s="37"/>
      <c r="T763" s="38" t="s">
        <v>293</v>
      </c>
    </row>
    <row r="764" ht="34.5">
      <c r="A764" s="38" t="s">
        <v>884</v>
      </c>
      <c r="B764" s="38" t="s">
        <v>885</v>
      </c>
      <c r="C764" s="38" t="s">
        <v>828</v>
      </c>
      <c r="D764" s="38" t="s">
        <v>288</v>
      </c>
      <c r="E764" s="38" t="s">
        <v>615</v>
      </c>
      <c r="F764" s="37" t="s">
        <v>616</v>
      </c>
      <c r="G764" s="38" t="s">
        <v>70</v>
      </c>
      <c r="H764" s="37"/>
      <c r="I764" s="37"/>
      <c r="J764" s="37" t="s">
        <v>1031</v>
      </c>
      <c r="K764" s="40">
        <v>6501720</v>
      </c>
      <c r="L764" s="38" t="s">
        <v>297</v>
      </c>
      <c r="M764" s="38"/>
      <c r="N764" s="37"/>
      <c r="O764" s="37"/>
      <c r="P764" s="37"/>
      <c r="Q764" s="37"/>
      <c r="R764" s="39"/>
      <c r="S764" s="37"/>
      <c r="T764" s="38" t="s">
        <v>293</v>
      </c>
    </row>
    <row r="765" ht="34.5">
      <c r="A765" s="38" t="s">
        <v>884</v>
      </c>
      <c r="B765" s="38" t="s">
        <v>885</v>
      </c>
      <c r="C765" s="38" t="s">
        <v>828</v>
      </c>
      <c r="D765" s="38" t="s">
        <v>288</v>
      </c>
      <c r="E765" s="38" t="s">
        <v>615</v>
      </c>
      <c r="F765" s="37" t="s">
        <v>616</v>
      </c>
      <c r="G765" s="38" t="s">
        <v>70</v>
      </c>
      <c r="H765" s="37"/>
      <c r="I765" s="37"/>
      <c r="J765" s="37" t="s">
        <v>780</v>
      </c>
      <c r="K765" s="40"/>
      <c r="L765" s="38"/>
      <c r="M765" s="38"/>
      <c r="N765" s="37"/>
      <c r="O765" s="37"/>
      <c r="P765" s="37"/>
      <c r="Q765" s="37"/>
      <c r="R765" s="39"/>
      <c r="S765" s="37"/>
      <c r="T765" s="38" t="s">
        <v>293</v>
      </c>
    </row>
    <row r="766" ht="34.5">
      <c r="A766" s="38" t="s">
        <v>884</v>
      </c>
      <c r="B766" s="38" t="s">
        <v>885</v>
      </c>
      <c r="C766" s="38" t="s">
        <v>828</v>
      </c>
      <c r="D766" s="38" t="s">
        <v>288</v>
      </c>
      <c r="E766" s="38" t="s">
        <v>615</v>
      </c>
      <c r="F766" s="37" t="s">
        <v>616</v>
      </c>
      <c r="G766" s="38" t="s">
        <v>70</v>
      </c>
      <c r="H766" s="37"/>
      <c r="I766" s="37"/>
      <c r="J766" s="37" t="s">
        <v>781</v>
      </c>
      <c r="K766" s="40"/>
      <c r="L766" s="38"/>
      <c r="M766" s="38"/>
      <c r="N766" s="37"/>
      <c r="O766" s="37"/>
      <c r="P766" s="37"/>
      <c r="Q766" s="37"/>
      <c r="R766" s="39"/>
      <c r="S766" s="37"/>
      <c r="T766" s="38" t="s">
        <v>293</v>
      </c>
    </row>
    <row r="767" ht="34.5">
      <c r="A767" s="38" t="s">
        <v>884</v>
      </c>
      <c r="B767" s="38" t="s">
        <v>885</v>
      </c>
      <c r="C767" s="38" t="s">
        <v>832</v>
      </c>
      <c r="D767" s="38" t="s">
        <v>288</v>
      </c>
      <c r="E767" s="38" t="s">
        <v>615</v>
      </c>
      <c r="F767" s="37" t="s">
        <v>616</v>
      </c>
      <c r="G767" s="38" t="s">
        <v>70</v>
      </c>
      <c r="H767" s="37"/>
      <c r="I767" s="37"/>
      <c r="J767" s="37" t="s">
        <v>782</v>
      </c>
      <c r="K767" s="40"/>
      <c r="L767" s="38"/>
      <c r="M767" s="38"/>
      <c r="N767" s="37"/>
      <c r="O767" s="37"/>
      <c r="P767" s="37"/>
      <c r="Q767" s="37"/>
      <c r="R767" s="39"/>
      <c r="S767" s="37"/>
      <c r="T767" s="38" t="s">
        <v>293</v>
      </c>
    </row>
    <row r="768" ht="34.5">
      <c r="A768" s="38" t="s">
        <v>884</v>
      </c>
      <c r="B768" s="38" t="s">
        <v>885</v>
      </c>
      <c r="C768" s="38" t="s">
        <v>832</v>
      </c>
      <c r="D768" s="38" t="s">
        <v>288</v>
      </c>
      <c r="E768" s="38" t="s">
        <v>615</v>
      </c>
      <c r="F768" s="37" t="s">
        <v>616</v>
      </c>
      <c r="G768" s="38" t="s">
        <v>70</v>
      </c>
      <c r="H768" s="37"/>
      <c r="I768" s="37"/>
      <c r="J768" s="37" t="s">
        <v>784</v>
      </c>
      <c r="K768" s="40"/>
      <c r="L768" s="38"/>
      <c r="M768" s="38"/>
      <c r="N768" s="37"/>
      <c r="O768" s="37"/>
      <c r="P768" s="37"/>
      <c r="Q768" s="37"/>
      <c r="R768" s="39"/>
      <c r="S768" s="37"/>
      <c r="T768" s="38" t="s">
        <v>293</v>
      </c>
    </row>
    <row r="769" ht="34.5">
      <c r="A769" s="38" t="s">
        <v>884</v>
      </c>
      <c r="B769" s="38" t="s">
        <v>885</v>
      </c>
      <c r="C769" s="38" t="s">
        <v>832</v>
      </c>
      <c r="D769" s="38" t="s">
        <v>288</v>
      </c>
      <c r="E769" s="38" t="s">
        <v>615</v>
      </c>
      <c r="F769" s="37" t="s">
        <v>616</v>
      </c>
      <c r="G769" s="38" t="s">
        <v>70</v>
      </c>
      <c r="H769" s="37"/>
      <c r="I769" s="37"/>
      <c r="J769" s="37" t="s">
        <v>1032</v>
      </c>
      <c r="K769" s="40"/>
      <c r="L769" s="38"/>
      <c r="M769" s="38"/>
      <c r="N769" s="37"/>
      <c r="O769" s="37"/>
      <c r="P769" s="37"/>
      <c r="Q769" s="37"/>
      <c r="R769" s="39"/>
      <c r="S769" s="37"/>
      <c r="T769" s="38" t="s">
        <v>293</v>
      </c>
    </row>
    <row r="770" ht="34.5">
      <c r="A770" s="38" t="s">
        <v>884</v>
      </c>
      <c r="B770" s="38" t="s">
        <v>885</v>
      </c>
      <c r="C770" s="38" t="s">
        <v>832</v>
      </c>
      <c r="D770" s="38" t="s">
        <v>288</v>
      </c>
      <c r="E770" s="38" t="s">
        <v>615</v>
      </c>
      <c r="F770" s="37" t="s">
        <v>616</v>
      </c>
      <c r="G770" s="38" t="s">
        <v>70</v>
      </c>
      <c r="H770" s="37"/>
      <c r="I770" s="37"/>
      <c r="J770" s="37" t="s">
        <v>786</v>
      </c>
      <c r="K770" s="40"/>
      <c r="L770" s="38"/>
      <c r="M770" s="38"/>
      <c r="N770" s="37"/>
      <c r="O770" s="37"/>
      <c r="P770" s="37"/>
      <c r="Q770" s="37"/>
      <c r="R770" s="39"/>
      <c r="S770" s="37"/>
      <c r="T770" s="38" t="s">
        <v>293</v>
      </c>
    </row>
    <row r="771" ht="34.5">
      <c r="A771" s="38" t="s">
        <v>884</v>
      </c>
      <c r="B771" s="38" t="s">
        <v>885</v>
      </c>
      <c r="C771" s="38" t="s">
        <v>832</v>
      </c>
      <c r="D771" s="38" t="s">
        <v>288</v>
      </c>
      <c r="E771" s="38" t="s">
        <v>615</v>
      </c>
      <c r="F771" s="37" t="s">
        <v>616</v>
      </c>
      <c r="G771" s="38" t="s">
        <v>70</v>
      </c>
      <c r="H771" s="37"/>
      <c r="I771" s="37"/>
      <c r="J771" s="37" t="s">
        <v>787</v>
      </c>
      <c r="K771" s="40"/>
      <c r="L771" s="38"/>
      <c r="M771" s="38"/>
      <c r="N771" s="37"/>
      <c r="O771" s="37"/>
      <c r="P771" s="37"/>
      <c r="Q771" s="37"/>
      <c r="R771" s="39"/>
      <c r="S771" s="37"/>
      <c r="T771" s="38" t="s">
        <v>293</v>
      </c>
    </row>
    <row r="772" ht="34.5">
      <c r="A772" s="38" t="s">
        <v>884</v>
      </c>
      <c r="B772" s="38" t="s">
        <v>885</v>
      </c>
      <c r="C772" s="38" t="s">
        <v>832</v>
      </c>
      <c r="D772" s="38" t="s">
        <v>288</v>
      </c>
      <c r="E772" s="38" t="s">
        <v>615</v>
      </c>
      <c r="F772" s="37" t="s">
        <v>616</v>
      </c>
      <c r="G772" s="38" t="s">
        <v>70</v>
      </c>
      <c r="H772" s="37"/>
      <c r="I772" s="37"/>
      <c r="J772" s="37" t="s">
        <v>788</v>
      </c>
      <c r="K772" s="40"/>
      <c r="L772" s="38"/>
      <c r="M772" s="38"/>
      <c r="N772" s="37"/>
      <c r="O772" s="37"/>
      <c r="P772" s="37"/>
      <c r="Q772" s="37"/>
      <c r="R772" s="39"/>
      <c r="S772" s="37"/>
      <c r="T772" s="38" t="s">
        <v>293</v>
      </c>
    </row>
    <row r="773" ht="34.5">
      <c r="A773" s="38" t="s">
        <v>884</v>
      </c>
      <c r="B773" s="38" t="s">
        <v>885</v>
      </c>
      <c r="C773" s="38" t="s">
        <v>832</v>
      </c>
      <c r="D773" s="38" t="s">
        <v>288</v>
      </c>
      <c r="E773" s="38" t="s">
        <v>615</v>
      </c>
      <c r="F773" s="37" t="s">
        <v>616</v>
      </c>
      <c r="G773" s="38" t="s">
        <v>70</v>
      </c>
      <c r="H773" s="37"/>
      <c r="I773" s="37"/>
      <c r="J773" s="37" t="s">
        <v>789</v>
      </c>
      <c r="K773" s="40"/>
      <c r="L773" s="38"/>
      <c r="M773" s="38"/>
      <c r="N773" s="37"/>
      <c r="O773" s="37"/>
      <c r="P773" s="37"/>
      <c r="Q773" s="37"/>
      <c r="R773" s="39"/>
      <c r="S773" s="37"/>
      <c r="T773" s="38" t="s">
        <v>293</v>
      </c>
    </row>
    <row r="774" ht="34.5">
      <c r="A774" s="38" t="s">
        <v>884</v>
      </c>
      <c r="B774" s="38" t="s">
        <v>885</v>
      </c>
      <c r="C774" s="38" t="s">
        <v>832</v>
      </c>
      <c r="D774" s="38" t="s">
        <v>288</v>
      </c>
      <c r="E774" s="38" t="s">
        <v>615</v>
      </c>
      <c r="F774" s="37" t="s">
        <v>616</v>
      </c>
      <c r="G774" s="38" t="s">
        <v>70</v>
      </c>
      <c r="H774" s="37"/>
      <c r="I774" s="37"/>
      <c r="J774" s="37" t="s">
        <v>790</v>
      </c>
      <c r="K774" s="40"/>
      <c r="L774" s="38"/>
      <c r="M774" s="38"/>
      <c r="N774" s="37"/>
      <c r="O774" s="37"/>
      <c r="P774" s="37"/>
      <c r="Q774" s="37"/>
      <c r="R774" s="39"/>
      <c r="S774" s="37"/>
      <c r="T774" s="38" t="s">
        <v>293</v>
      </c>
    </row>
    <row r="775" ht="34.5">
      <c r="A775" s="38" t="s">
        <v>884</v>
      </c>
      <c r="B775" s="38" t="s">
        <v>885</v>
      </c>
      <c r="C775" s="38" t="s">
        <v>832</v>
      </c>
      <c r="D775" s="38" t="s">
        <v>288</v>
      </c>
      <c r="E775" s="38" t="s">
        <v>615</v>
      </c>
      <c r="F775" s="37" t="s">
        <v>616</v>
      </c>
      <c r="G775" s="38" t="s">
        <v>70</v>
      </c>
      <c r="H775" s="37"/>
      <c r="I775" s="37"/>
      <c r="J775" s="37" t="s">
        <v>791</v>
      </c>
      <c r="K775" s="40"/>
      <c r="L775" s="38"/>
      <c r="M775" s="38"/>
      <c r="N775" s="37"/>
      <c r="O775" s="37"/>
      <c r="P775" s="37"/>
      <c r="Q775" s="37"/>
      <c r="R775" s="39"/>
      <c r="S775" s="37"/>
      <c r="T775" s="38" t="s">
        <v>293</v>
      </c>
    </row>
    <row r="776" ht="34.5">
      <c r="A776" s="38" t="s">
        <v>884</v>
      </c>
      <c r="B776" s="38" t="s">
        <v>885</v>
      </c>
      <c r="C776" s="38" t="s">
        <v>844</v>
      </c>
      <c r="D776" s="38" t="s">
        <v>288</v>
      </c>
      <c r="E776" s="38" t="s">
        <v>615</v>
      </c>
      <c r="F776" s="37" t="s">
        <v>616</v>
      </c>
      <c r="G776" s="38" t="s">
        <v>70</v>
      </c>
      <c r="H776" s="37"/>
      <c r="I776" s="37"/>
      <c r="J776" s="37" t="s">
        <v>792</v>
      </c>
      <c r="K776" s="40"/>
      <c r="L776" s="38"/>
      <c r="M776" s="38"/>
      <c r="N776" s="37"/>
      <c r="O776" s="37"/>
      <c r="P776" s="37"/>
      <c r="Q776" s="37"/>
      <c r="R776" s="39"/>
      <c r="S776" s="37"/>
      <c r="T776" s="38" t="s">
        <v>293</v>
      </c>
    </row>
    <row r="777" ht="34.5">
      <c r="A777" s="38" t="s">
        <v>884</v>
      </c>
      <c r="B777" s="38" t="s">
        <v>885</v>
      </c>
      <c r="C777" s="38" t="s">
        <v>844</v>
      </c>
      <c r="D777" s="38" t="s">
        <v>288</v>
      </c>
      <c r="E777" s="38" t="s">
        <v>615</v>
      </c>
      <c r="F777" s="37" t="s">
        <v>616</v>
      </c>
      <c r="G777" s="38" t="s">
        <v>70</v>
      </c>
      <c r="H777" s="37"/>
      <c r="I777" s="37"/>
      <c r="J777" s="37" t="s">
        <v>794</v>
      </c>
      <c r="K777" s="40"/>
      <c r="L777" s="38"/>
      <c r="M777" s="38"/>
      <c r="N777" s="37"/>
      <c r="O777" s="37"/>
      <c r="P777" s="37"/>
      <c r="Q777" s="37"/>
      <c r="R777" s="39"/>
      <c r="S777" s="37"/>
      <c r="T777" s="38" t="s">
        <v>293</v>
      </c>
    </row>
    <row r="778" ht="34.5">
      <c r="A778" s="38" t="s">
        <v>884</v>
      </c>
      <c r="B778" s="38" t="s">
        <v>885</v>
      </c>
      <c r="C778" s="38" t="s">
        <v>844</v>
      </c>
      <c r="D778" s="38" t="s">
        <v>288</v>
      </c>
      <c r="E778" s="38" t="s">
        <v>615</v>
      </c>
      <c r="F778" s="37" t="s">
        <v>616</v>
      </c>
      <c r="G778" s="38" t="s">
        <v>70</v>
      </c>
      <c r="H778" s="37"/>
      <c r="I778" s="37"/>
      <c r="J778" s="37" t="s">
        <v>795</v>
      </c>
      <c r="K778" s="40"/>
      <c r="L778" s="38"/>
      <c r="M778" s="38"/>
      <c r="N778" s="37"/>
      <c r="O778" s="37"/>
      <c r="P778" s="37"/>
      <c r="Q778" s="37"/>
      <c r="R778" s="39"/>
      <c r="S778" s="37"/>
      <c r="T778" s="38" t="s">
        <v>293</v>
      </c>
    </row>
    <row r="779" ht="34.5">
      <c r="A779" s="38" t="s">
        <v>884</v>
      </c>
      <c r="B779" s="38" t="s">
        <v>885</v>
      </c>
      <c r="C779" s="38" t="s">
        <v>844</v>
      </c>
      <c r="D779" s="38" t="s">
        <v>288</v>
      </c>
      <c r="E779" s="38" t="s">
        <v>615</v>
      </c>
      <c r="F779" s="37" t="s">
        <v>616</v>
      </c>
      <c r="G779" s="38" t="s">
        <v>70</v>
      </c>
      <c r="H779" s="37"/>
      <c r="I779" s="37"/>
      <c r="J779" s="37" t="s">
        <v>796</v>
      </c>
      <c r="K779" s="40"/>
      <c r="L779" s="38"/>
      <c r="M779" s="38"/>
      <c r="N779" s="37"/>
      <c r="O779" s="37"/>
      <c r="P779" s="37"/>
      <c r="Q779" s="37"/>
      <c r="R779" s="39"/>
      <c r="S779" s="37"/>
      <c r="T779" s="38" t="s">
        <v>293</v>
      </c>
    </row>
    <row r="780" ht="34.5">
      <c r="A780" s="38" t="s">
        <v>884</v>
      </c>
      <c r="B780" s="38" t="s">
        <v>885</v>
      </c>
      <c r="C780" s="38" t="s">
        <v>844</v>
      </c>
      <c r="D780" s="38" t="s">
        <v>288</v>
      </c>
      <c r="E780" s="38" t="s">
        <v>615</v>
      </c>
      <c r="F780" s="37" t="s">
        <v>616</v>
      </c>
      <c r="G780" s="38" t="s">
        <v>70</v>
      </c>
      <c r="H780" s="37"/>
      <c r="I780" s="37"/>
      <c r="J780" s="37" t="s">
        <v>797</v>
      </c>
      <c r="K780" s="40"/>
      <c r="L780" s="38"/>
      <c r="M780" s="38"/>
      <c r="N780" s="37"/>
      <c r="O780" s="37"/>
      <c r="P780" s="37"/>
      <c r="Q780" s="37"/>
      <c r="R780" s="39"/>
      <c r="S780" s="37"/>
      <c r="T780" s="38" t="s">
        <v>293</v>
      </c>
    </row>
    <row r="781" ht="34.5">
      <c r="A781" s="38" t="s">
        <v>884</v>
      </c>
      <c r="B781" s="38" t="s">
        <v>885</v>
      </c>
      <c r="C781" s="38" t="s">
        <v>844</v>
      </c>
      <c r="D781" s="38" t="s">
        <v>288</v>
      </c>
      <c r="E781" s="38" t="s">
        <v>615</v>
      </c>
      <c r="F781" s="37" t="s">
        <v>616</v>
      </c>
      <c r="G781" s="38" t="s">
        <v>70</v>
      </c>
      <c r="H781" s="37"/>
      <c r="I781" s="37"/>
      <c r="J781" s="37" t="s">
        <v>798</v>
      </c>
      <c r="K781" s="40"/>
      <c r="L781" s="38"/>
      <c r="M781" s="38"/>
      <c r="N781" s="37"/>
      <c r="O781" s="37"/>
      <c r="P781" s="37"/>
      <c r="Q781" s="37"/>
      <c r="R781" s="39"/>
      <c r="S781" s="37"/>
      <c r="T781" s="38" t="s">
        <v>293</v>
      </c>
    </row>
    <row r="782" ht="34.5">
      <c r="A782" s="38" t="s">
        <v>884</v>
      </c>
      <c r="B782" s="38" t="s">
        <v>885</v>
      </c>
      <c r="C782" s="38" t="s">
        <v>844</v>
      </c>
      <c r="D782" s="38" t="s">
        <v>288</v>
      </c>
      <c r="E782" s="38" t="s">
        <v>615</v>
      </c>
      <c r="F782" s="37" t="s">
        <v>616</v>
      </c>
      <c r="G782" s="38" t="s">
        <v>70</v>
      </c>
      <c r="H782" s="37"/>
      <c r="I782" s="37"/>
      <c r="J782" s="37" t="s">
        <v>799</v>
      </c>
      <c r="K782" s="40"/>
      <c r="L782" s="38"/>
      <c r="M782" s="38"/>
      <c r="N782" s="37"/>
      <c r="O782" s="37"/>
      <c r="P782" s="37"/>
      <c r="Q782" s="37"/>
      <c r="R782" s="39"/>
      <c r="S782" s="37"/>
      <c r="T782" s="38" t="s">
        <v>293</v>
      </c>
    </row>
    <row r="783" ht="34.5">
      <c r="A783" s="38" t="s">
        <v>884</v>
      </c>
      <c r="B783" s="38" t="s">
        <v>885</v>
      </c>
      <c r="C783" s="38" t="s">
        <v>844</v>
      </c>
      <c r="D783" s="38" t="s">
        <v>288</v>
      </c>
      <c r="E783" s="38" t="s">
        <v>615</v>
      </c>
      <c r="F783" s="37" t="s">
        <v>616</v>
      </c>
      <c r="G783" s="38" t="s">
        <v>70</v>
      </c>
      <c r="H783" s="37"/>
      <c r="I783" s="37"/>
      <c r="J783" s="37" t="s">
        <v>800</v>
      </c>
      <c r="K783" s="40"/>
      <c r="L783" s="38"/>
      <c r="M783" s="38"/>
      <c r="N783" s="37"/>
      <c r="O783" s="37"/>
      <c r="P783" s="37"/>
      <c r="Q783" s="37"/>
      <c r="R783" s="39"/>
      <c r="S783" s="37"/>
      <c r="T783" s="38" t="s">
        <v>293</v>
      </c>
    </row>
    <row r="784" ht="34.5">
      <c r="A784" s="38" t="s">
        <v>884</v>
      </c>
      <c r="B784" s="38" t="s">
        <v>885</v>
      </c>
      <c r="C784" s="38" t="s">
        <v>844</v>
      </c>
      <c r="D784" s="38" t="s">
        <v>288</v>
      </c>
      <c r="E784" s="38" t="s">
        <v>615</v>
      </c>
      <c r="F784" s="37" t="s">
        <v>616</v>
      </c>
      <c r="G784" s="38" t="s">
        <v>70</v>
      </c>
      <c r="H784" s="37"/>
      <c r="I784" s="37"/>
      <c r="J784" s="37" t="s">
        <v>801</v>
      </c>
      <c r="K784" s="40"/>
      <c r="L784" s="38"/>
      <c r="M784" s="38"/>
      <c r="N784" s="37"/>
      <c r="O784" s="37"/>
      <c r="P784" s="37"/>
      <c r="Q784" s="37"/>
      <c r="R784" s="39"/>
      <c r="S784" s="37"/>
      <c r="T784" s="38" t="s">
        <v>293</v>
      </c>
    </row>
    <row r="785" ht="34.5">
      <c r="A785" s="38" t="s">
        <v>884</v>
      </c>
      <c r="B785" s="38" t="s">
        <v>885</v>
      </c>
      <c r="C785" s="38" t="s">
        <v>858</v>
      </c>
      <c r="D785" s="38" t="s">
        <v>288</v>
      </c>
      <c r="E785" s="38" t="s">
        <v>615</v>
      </c>
      <c r="F785" s="37" t="s">
        <v>616</v>
      </c>
      <c r="G785" s="38" t="s">
        <v>70</v>
      </c>
      <c r="H785" s="37"/>
      <c r="I785" s="37"/>
      <c r="J785" s="37" t="s">
        <v>802</v>
      </c>
      <c r="K785" s="40"/>
      <c r="L785" s="38"/>
      <c r="M785" s="38"/>
      <c r="N785" s="37"/>
      <c r="O785" s="37"/>
      <c r="P785" s="37"/>
      <c r="Q785" s="37"/>
      <c r="R785" s="39"/>
      <c r="S785" s="37"/>
      <c r="T785" s="38" t="s">
        <v>293</v>
      </c>
    </row>
    <row r="786" ht="34.5">
      <c r="A786" s="38" t="s">
        <v>884</v>
      </c>
      <c r="B786" s="38" t="s">
        <v>885</v>
      </c>
      <c r="C786" s="38" t="s">
        <v>858</v>
      </c>
      <c r="D786" s="38" t="s">
        <v>288</v>
      </c>
      <c r="E786" s="38" t="s">
        <v>615</v>
      </c>
      <c r="F786" s="37" t="s">
        <v>616</v>
      </c>
      <c r="G786" s="38" t="s">
        <v>70</v>
      </c>
      <c r="H786" s="37"/>
      <c r="I786" s="37"/>
      <c r="J786" s="37" t="s">
        <v>1033</v>
      </c>
      <c r="K786" s="40"/>
      <c r="L786" s="38"/>
      <c r="M786" s="38"/>
      <c r="N786" s="37"/>
      <c r="O786" s="37"/>
      <c r="P786" s="37"/>
      <c r="Q786" s="37"/>
      <c r="R786" s="39"/>
      <c r="S786" s="37"/>
      <c r="T786" s="38" t="s">
        <v>293</v>
      </c>
    </row>
    <row r="787" ht="34.5">
      <c r="A787" s="38" t="s">
        <v>884</v>
      </c>
      <c r="B787" s="38" t="s">
        <v>885</v>
      </c>
      <c r="C787" s="38" t="s">
        <v>858</v>
      </c>
      <c r="D787" s="38" t="s">
        <v>288</v>
      </c>
      <c r="E787" s="38" t="s">
        <v>615</v>
      </c>
      <c r="F787" s="37" t="s">
        <v>616</v>
      </c>
      <c r="G787" s="38" t="s">
        <v>70</v>
      </c>
      <c r="H787" s="37"/>
      <c r="I787" s="37"/>
      <c r="J787" s="37" t="s">
        <v>1034</v>
      </c>
      <c r="K787" s="40"/>
      <c r="L787" s="38"/>
      <c r="M787" s="38"/>
      <c r="N787" s="37"/>
      <c r="O787" s="37"/>
      <c r="P787" s="37"/>
      <c r="Q787" s="37"/>
      <c r="R787" s="39"/>
      <c r="S787" s="37"/>
      <c r="T787" s="38" t="s">
        <v>293</v>
      </c>
    </row>
    <row r="788" ht="34.5">
      <c r="A788" s="38" t="s">
        <v>884</v>
      </c>
      <c r="B788" s="38" t="s">
        <v>885</v>
      </c>
      <c r="C788" s="38" t="s">
        <v>858</v>
      </c>
      <c r="D788" s="38" t="s">
        <v>288</v>
      </c>
      <c r="E788" s="38" t="s">
        <v>615</v>
      </c>
      <c r="F788" s="37" t="s">
        <v>616</v>
      </c>
      <c r="G788" s="38" t="s">
        <v>70</v>
      </c>
      <c r="H788" s="37"/>
      <c r="I788" s="37"/>
      <c r="J788" s="37" t="s">
        <v>1035</v>
      </c>
      <c r="K788" s="40">
        <v>-571429</v>
      </c>
      <c r="L788" s="38" t="s">
        <v>297</v>
      </c>
      <c r="M788" s="38"/>
      <c r="N788" s="37"/>
      <c r="O788" s="37"/>
      <c r="P788" s="37"/>
      <c r="Q788" s="37"/>
      <c r="R788" s="39"/>
      <c r="S788" s="37"/>
      <c r="T788" s="38" t="s">
        <v>293</v>
      </c>
    </row>
    <row r="789" ht="34.5">
      <c r="A789" s="38" t="s">
        <v>884</v>
      </c>
      <c r="B789" s="38" t="s">
        <v>885</v>
      </c>
      <c r="C789" s="38" t="s">
        <v>858</v>
      </c>
      <c r="D789" s="38" t="s">
        <v>288</v>
      </c>
      <c r="E789" s="38" t="s">
        <v>615</v>
      </c>
      <c r="F789" s="37" t="s">
        <v>616</v>
      </c>
      <c r="G789" s="38" t="s">
        <v>70</v>
      </c>
      <c r="H789" s="37"/>
      <c r="I789" s="37"/>
      <c r="J789" s="37" t="s">
        <v>809</v>
      </c>
      <c r="K789" s="40"/>
      <c r="L789" s="38"/>
      <c r="M789" s="38"/>
      <c r="N789" s="37"/>
      <c r="O789" s="37"/>
      <c r="P789" s="37"/>
      <c r="Q789" s="37"/>
      <c r="R789" s="39"/>
      <c r="S789" s="37"/>
      <c r="T789" s="38" t="s">
        <v>293</v>
      </c>
    </row>
    <row r="790" ht="34.5">
      <c r="A790" s="38" t="s">
        <v>884</v>
      </c>
      <c r="B790" s="38" t="s">
        <v>885</v>
      </c>
      <c r="C790" s="38" t="s">
        <v>858</v>
      </c>
      <c r="D790" s="38" t="s">
        <v>288</v>
      </c>
      <c r="E790" s="38" t="s">
        <v>615</v>
      </c>
      <c r="F790" s="37" t="s">
        <v>616</v>
      </c>
      <c r="G790" s="38" t="s">
        <v>70</v>
      </c>
      <c r="H790" s="37"/>
      <c r="I790" s="37"/>
      <c r="J790" s="37" t="s">
        <v>1036</v>
      </c>
      <c r="K790" s="40"/>
      <c r="L790" s="38"/>
      <c r="M790" s="38"/>
      <c r="N790" s="37"/>
      <c r="O790" s="37"/>
      <c r="P790" s="37"/>
      <c r="Q790" s="37"/>
      <c r="R790" s="39"/>
      <c r="S790" s="37"/>
      <c r="T790" s="38" t="s">
        <v>293</v>
      </c>
    </row>
    <row r="791" ht="34.5">
      <c r="A791" s="38" t="s">
        <v>884</v>
      </c>
      <c r="B791" s="38" t="s">
        <v>885</v>
      </c>
      <c r="C791" s="38" t="s">
        <v>858</v>
      </c>
      <c r="D791" s="38" t="s">
        <v>288</v>
      </c>
      <c r="E791" s="38" t="s">
        <v>615</v>
      </c>
      <c r="F791" s="37" t="s">
        <v>616</v>
      </c>
      <c r="G791" s="38" t="s">
        <v>70</v>
      </c>
      <c r="H791" s="37"/>
      <c r="I791" s="37"/>
      <c r="J791" s="37" t="s">
        <v>1037</v>
      </c>
      <c r="K791" s="40"/>
      <c r="L791" s="38"/>
      <c r="M791" s="38"/>
      <c r="N791" s="37"/>
      <c r="O791" s="37"/>
      <c r="P791" s="37"/>
      <c r="Q791" s="37"/>
      <c r="R791" s="39"/>
      <c r="S791" s="37"/>
      <c r="T791" s="38" t="s">
        <v>293</v>
      </c>
    </row>
    <row r="792" ht="34.5">
      <c r="A792" s="38" t="s">
        <v>884</v>
      </c>
      <c r="B792" s="38" t="s">
        <v>885</v>
      </c>
      <c r="C792" s="38" t="s">
        <v>865</v>
      </c>
      <c r="D792" s="38" t="s">
        <v>288</v>
      </c>
      <c r="E792" s="38" t="s">
        <v>615</v>
      </c>
      <c r="F792" s="37" t="s">
        <v>616</v>
      </c>
      <c r="G792" s="38" t="s">
        <v>70</v>
      </c>
      <c r="H792" s="37"/>
      <c r="I792" s="37"/>
      <c r="J792" s="37" t="s">
        <v>813</v>
      </c>
      <c r="K792" s="40"/>
      <c r="L792" s="38"/>
      <c r="M792" s="38"/>
      <c r="N792" s="37"/>
      <c r="O792" s="37"/>
      <c r="P792" s="37"/>
      <c r="Q792" s="37"/>
      <c r="R792" s="39"/>
      <c r="S792" s="37"/>
      <c r="T792" s="38" t="s">
        <v>293</v>
      </c>
    </row>
    <row r="793" ht="34.5">
      <c r="A793" s="38" t="s">
        <v>884</v>
      </c>
      <c r="B793" s="38" t="s">
        <v>885</v>
      </c>
      <c r="C793" s="38" t="s">
        <v>865</v>
      </c>
      <c r="D793" s="38" t="s">
        <v>288</v>
      </c>
      <c r="E793" s="38" t="s">
        <v>615</v>
      </c>
      <c r="F793" s="37" t="s">
        <v>616</v>
      </c>
      <c r="G793" s="38" t="s">
        <v>70</v>
      </c>
      <c r="H793" s="37"/>
      <c r="I793" s="37"/>
      <c r="J793" s="37" t="s">
        <v>814</v>
      </c>
      <c r="K793" s="40"/>
      <c r="L793" s="38"/>
      <c r="M793" s="38"/>
      <c r="N793" s="37"/>
      <c r="O793" s="37"/>
      <c r="P793" s="37"/>
      <c r="Q793" s="37"/>
      <c r="R793" s="39"/>
      <c r="S793" s="37"/>
      <c r="T793" s="38" t="s">
        <v>293</v>
      </c>
    </row>
    <row r="794" ht="34.5">
      <c r="A794" s="38" t="s">
        <v>884</v>
      </c>
      <c r="B794" s="38" t="s">
        <v>885</v>
      </c>
      <c r="C794" s="38" t="s">
        <v>865</v>
      </c>
      <c r="D794" s="38" t="s">
        <v>288</v>
      </c>
      <c r="E794" s="38" t="s">
        <v>615</v>
      </c>
      <c r="F794" s="37" t="s">
        <v>616</v>
      </c>
      <c r="G794" s="38" t="s">
        <v>70</v>
      </c>
      <c r="H794" s="37"/>
      <c r="I794" s="37"/>
      <c r="J794" s="37" t="s">
        <v>816</v>
      </c>
      <c r="K794" s="40"/>
      <c r="L794" s="38"/>
      <c r="M794" s="38"/>
      <c r="N794" s="37"/>
      <c r="O794" s="37"/>
      <c r="P794" s="37"/>
      <c r="Q794" s="37"/>
      <c r="R794" s="39"/>
      <c r="S794" s="37"/>
      <c r="T794" s="38" t="s">
        <v>293</v>
      </c>
    </row>
    <row r="795" ht="34.5">
      <c r="A795" s="38" t="s">
        <v>884</v>
      </c>
      <c r="B795" s="38" t="s">
        <v>885</v>
      </c>
      <c r="C795" s="38" t="s">
        <v>865</v>
      </c>
      <c r="D795" s="38" t="s">
        <v>288</v>
      </c>
      <c r="E795" s="38" t="s">
        <v>615</v>
      </c>
      <c r="F795" s="37" t="s">
        <v>616</v>
      </c>
      <c r="G795" s="38" t="s">
        <v>70</v>
      </c>
      <c r="H795" s="37"/>
      <c r="I795" s="37"/>
      <c r="J795" s="37" t="s">
        <v>818</v>
      </c>
      <c r="K795" s="40"/>
      <c r="L795" s="38"/>
      <c r="M795" s="38"/>
      <c r="N795" s="37"/>
      <c r="O795" s="37"/>
      <c r="P795" s="37"/>
      <c r="Q795" s="37"/>
      <c r="R795" s="39"/>
      <c r="S795" s="37"/>
      <c r="T795" s="38" t="s">
        <v>293</v>
      </c>
    </row>
    <row r="796" ht="34.5">
      <c r="A796" s="38" t="s">
        <v>884</v>
      </c>
      <c r="B796" s="38" t="s">
        <v>885</v>
      </c>
      <c r="C796" s="38" t="s">
        <v>865</v>
      </c>
      <c r="D796" s="38" t="s">
        <v>288</v>
      </c>
      <c r="E796" s="38" t="s">
        <v>615</v>
      </c>
      <c r="F796" s="37" t="s">
        <v>616</v>
      </c>
      <c r="G796" s="38" t="s">
        <v>70</v>
      </c>
      <c r="H796" s="37"/>
      <c r="I796" s="37"/>
      <c r="J796" s="37" t="s">
        <v>1038</v>
      </c>
      <c r="K796" s="40"/>
      <c r="L796" s="38"/>
      <c r="M796" s="38"/>
      <c r="N796" s="37"/>
      <c r="O796" s="37"/>
      <c r="P796" s="37"/>
      <c r="Q796" s="37"/>
      <c r="R796" s="39"/>
      <c r="S796" s="37"/>
      <c r="T796" s="38" t="s">
        <v>293</v>
      </c>
    </row>
    <row r="797" ht="34.5">
      <c r="A797" s="38" t="s">
        <v>884</v>
      </c>
      <c r="B797" s="38" t="s">
        <v>885</v>
      </c>
      <c r="C797" s="38" t="s">
        <v>865</v>
      </c>
      <c r="D797" s="38" t="s">
        <v>288</v>
      </c>
      <c r="E797" s="38" t="s">
        <v>615</v>
      </c>
      <c r="F797" s="37" t="s">
        <v>616</v>
      </c>
      <c r="G797" s="38" t="s">
        <v>70</v>
      </c>
      <c r="H797" s="37"/>
      <c r="I797" s="37"/>
      <c r="J797" s="37" t="s">
        <v>1039</v>
      </c>
      <c r="K797" s="40"/>
      <c r="L797" s="38"/>
      <c r="M797" s="38"/>
      <c r="N797" s="37"/>
      <c r="O797" s="37"/>
      <c r="P797" s="37"/>
      <c r="Q797" s="37"/>
      <c r="R797" s="39"/>
      <c r="S797" s="37"/>
      <c r="T797" s="38" t="s">
        <v>293</v>
      </c>
    </row>
    <row r="798" ht="34.5">
      <c r="A798" s="38" t="s">
        <v>884</v>
      </c>
      <c r="B798" s="38" t="s">
        <v>885</v>
      </c>
      <c r="C798" s="38" t="s">
        <v>865</v>
      </c>
      <c r="D798" s="38" t="s">
        <v>288</v>
      </c>
      <c r="E798" s="38" t="s">
        <v>615</v>
      </c>
      <c r="F798" s="37" t="s">
        <v>616</v>
      </c>
      <c r="G798" s="38" t="s">
        <v>70</v>
      </c>
      <c r="H798" s="37"/>
      <c r="I798" s="37"/>
      <c r="J798" s="37" t="s">
        <v>819</v>
      </c>
      <c r="K798" s="40"/>
      <c r="L798" s="38"/>
      <c r="M798" s="38"/>
      <c r="N798" s="37"/>
      <c r="O798" s="37"/>
      <c r="P798" s="37"/>
      <c r="Q798" s="37"/>
      <c r="R798" s="39"/>
      <c r="S798" s="37"/>
      <c r="T798" s="38" t="s">
        <v>293</v>
      </c>
    </row>
    <row r="799" ht="34.5">
      <c r="A799" s="38" t="s">
        <v>884</v>
      </c>
      <c r="B799" s="38" t="s">
        <v>885</v>
      </c>
      <c r="C799" s="38" t="s">
        <v>865</v>
      </c>
      <c r="D799" s="38" t="s">
        <v>288</v>
      </c>
      <c r="E799" s="38" t="s">
        <v>615</v>
      </c>
      <c r="F799" s="37" t="s">
        <v>616</v>
      </c>
      <c r="G799" s="38" t="s">
        <v>70</v>
      </c>
      <c r="H799" s="37"/>
      <c r="I799" s="37"/>
      <c r="J799" s="37" t="s">
        <v>820</v>
      </c>
      <c r="K799" s="40"/>
      <c r="L799" s="38"/>
      <c r="M799" s="38"/>
      <c r="N799" s="37"/>
      <c r="O799" s="37"/>
      <c r="P799" s="37"/>
      <c r="Q799" s="37"/>
      <c r="R799" s="39"/>
      <c r="S799" s="37"/>
      <c r="T799" s="38" t="s">
        <v>293</v>
      </c>
    </row>
    <row r="800" ht="34.5">
      <c r="A800" s="38" t="s">
        <v>884</v>
      </c>
      <c r="B800" s="38" t="s">
        <v>885</v>
      </c>
      <c r="C800" s="38" t="s">
        <v>865</v>
      </c>
      <c r="D800" s="38" t="s">
        <v>288</v>
      </c>
      <c r="E800" s="38" t="s">
        <v>615</v>
      </c>
      <c r="F800" s="37" t="s">
        <v>616</v>
      </c>
      <c r="G800" s="38" t="s">
        <v>70</v>
      </c>
      <c r="H800" s="37"/>
      <c r="I800" s="37"/>
      <c r="J800" s="37" t="s">
        <v>821</v>
      </c>
      <c r="K800" s="40"/>
      <c r="L800" s="38"/>
      <c r="M800" s="38"/>
      <c r="N800" s="37"/>
      <c r="O800" s="37"/>
      <c r="P800" s="37"/>
      <c r="Q800" s="37"/>
      <c r="R800" s="39"/>
      <c r="S800" s="37"/>
      <c r="T800" s="38" t="s">
        <v>293</v>
      </c>
    </row>
    <row r="801" ht="34.5">
      <c r="A801" s="38" t="s">
        <v>884</v>
      </c>
      <c r="B801" s="38" t="s">
        <v>885</v>
      </c>
      <c r="C801" s="38" t="s">
        <v>865</v>
      </c>
      <c r="D801" s="38" t="s">
        <v>288</v>
      </c>
      <c r="E801" s="38" t="s">
        <v>615</v>
      </c>
      <c r="F801" s="37" t="s">
        <v>616</v>
      </c>
      <c r="G801" s="38" t="s">
        <v>70</v>
      </c>
      <c r="H801" s="37"/>
      <c r="I801" s="37"/>
      <c r="J801" s="37" t="s">
        <v>822</v>
      </c>
      <c r="K801" s="40"/>
      <c r="L801" s="38"/>
      <c r="M801" s="38"/>
      <c r="N801" s="37"/>
      <c r="O801" s="37"/>
      <c r="P801" s="37"/>
      <c r="Q801" s="37"/>
      <c r="R801" s="39"/>
      <c r="S801" s="37"/>
      <c r="T801" s="38" t="s">
        <v>293</v>
      </c>
    </row>
    <row r="802" ht="34.5">
      <c r="A802" s="38" t="s">
        <v>884</v>
      </c>
      <c r="B802" s="38" t="s">
        <v>885</v>
      </c>
      <c r="C802" s="38" t="s">
        <v>871</v>
      </c>
      <c r="D802" s="38" t="s">
        <v>288</v>
      </c>
      <c r="E802" s="38" t="s">
        <v>615</v>
      </c>
      <c r="F802" s="37" t="s">
        <v>616</v>
      </c>
      <c r="G802" s="38" t="s">
        <v>70</v>
      </c>
      <c r="H802" s="37"/>
      <c r="I802" s="37"/>
      <c r="J802" s="37" t="s">
        <v>823</v>
      </c>
      <c r="K802" s="40"/>
      <c r="L802" s="38"/>
      <c r="M802" s="38"/>
      <c r="N802" s="37"/>
      <c r="O802" s="37"/>
      <c r="P802" s="37"/>
      <c r="Q802" s="37"/>
      <c r="R802" s="39"/>
      <c r="S802" s="37"/>
      <c r="T802" s="38" t="s">
        <v>293</v>
      </c>
    </row>
    <row r="803" ht="34.5">
      <c r="A803" s="38" t="s">
        <v>884</v>
      </c>
      <c r="B803" s="38" t="s">
        <v>885</v>
      </c>
      <c r="C803" s="38" t="s">
        <v>871</v>
      </c>
      <c r="D803" s="38" t="s">
        <v>288</v>
      </c>
      <c r="E803" s="38" t="s">
        <v>615</v>
      </c>
      <c r="F803" s="37" t="s">
        <v>616</v>
      </c>
      <c r="G803" s="38" t="s">
        <v>70</v>
      </c>
      <c r="H803" s="37"/>
      <c r="I803" s="37"/>
      <c r="J803" s="37" t="s">
        <v>1040</v>
      </c>
      <c r="K803" s="40"/>
      <c r="L803" s="38"/>
      <c r="M803" s="38"/>
      <c r="N803" s="37"/>
      <c r="O803" s="37"/>
      <c r="P803" s="37"/>
      <c r="Q803" s="37"/>
      <c r="R803" s="39"/>
      <c r="S803" s="37"/>
      <c r="T803" s="38" t="s">
        <v>293</v>
      </c>
    </row>
    <row r="804" ht="34.5">
      <c r="A804" s="38" t="s">
        <v>884</v>
      </c>
      <c r="B804" s="38" t="s">
        <v>885</v>
      </c>
      <c r="C804" s="38" t="s">
        <v>871</v>
      </c>
      <c r="D804" s="38" t="s">
        <v>288</v>
      </c>
      <c r="E804" s="38" t="s">
        <v>615</v>
      </c>
      <c r="F804" s="37" t="s">
        <v>616</v>
      </c>
      <c r="G804" s="38" t="s">
        <v>70</v>
      </c>
      <c r="H804" s="37"/>
      <c r="I804" s="37"/>
      <c r="J804" s="37" t="s">
        <v>1041</v>
      </c>
      <c r="K804" s="40"/>
      <c r="L804" s="38"/>
      <c r="M804" s="38"/>
      <c r="N804" s="37"/>
      <c r="O804" s="37"/>
      <c r="P804" s="37"/>
      <c r="Q804" s="37"/>
      <c r="R804" s="39"/>
      <c r="S804" s="37"/>
      <c r="T804" s="38" t="s">
        <v>293</v>
      </c>
    </row>
    <row r="805" ht="34.5">
      <c r="A805" s="38" t="s">
        <v>884</v>
      </c>
      <c r="B805" s="38" t="s">
        <v>885</v>
      </c>
      <c r="C805" s="38" t="s">
        <v>871</v>
      </c>
      <c r="D805" s="38" t="s">
        <v>288</v>
      </c>
      <c r="E805" s="38" t="s">
        <v>615</v>
      </c>
      <c r="F805" s="37" t="s">
        <v>616</v>
      </c>
      <c r="G805" s="38" t="s">
        <v>70</v>
      </c>
      <c r="H805" s="37"/>
      <c r="I805" s="37"/>
      <c r="J805" s="37" t="s">
        <v>1042</v>
      </c>
      <c r="K805" s="40"/>
      <c r="L805" s="38"/>
      <c r="M805" s="38"/>
      <c r="N805" s="37"/>
      <c r="O805" s="37"/>
      <c r="P805" s="37"/>
      <c r="Q805" s="37"/>
      <c r="R805" s="39"/>
      <c r="S805" s="37"/>
      <c r="T805" s="38" t="s">
        <v>293</v>
      </c>
    </row>
    <row r="806" ht="34.5">
      <c r="A806" s="38" t="s">
        <v>884</v>
      </c>
      <c r="B806" s="38" t="s">
        <v>885</v>
      </c>
      <c r="C806" s="38" t="s">
        <v>871</v>
      </c>
      <c r="D806" s="38" t="s">
        <v>288</v>
      </c>
      <c r="E806" s="38" t="s">
        <v>615</v>
      </c>
      <c r="F806" s="37" t="s">
        <v>616</v>
      </c>
      <c r="G806" s="38" t="s">
        <v>70</v>
      </c>
      <c r="H806" s="37"/>
      <c r="I806" s="37"/>
      <c r="J806" s="37" t="s">
        <v>1043</v>
      </c>
      <c r="K806" s="40"/>
      <c r="L806" s="38"/>
      <c r="M806" s="38"/>
      <c r="N806" s="37"/>
      <c r="O806" s="37"/>
      <c r="P806" s="37"/>
      <c r="Q806" s="37"/>
      <c r="R806" s="39"/>
      <c r="S806" s="37"/>
      <c r="T806" s="38" t="s">
        <v>293</v>
      </c>
    </row>
    <row r="807" ht="34.5">
      <c r="A807" s="38" t="s">
        <v>884</v>
      </c>
      <c r="B807" s="38" t="s">
        <v>885</v>
      </c>
      <c r="C807" s="38" t="s">
        <v>877</v>
      </c>
      <c r="D807" s="38" t="s">
        <v>288</v>
      </c>
      <c r="E807" s="38" t="s">
        <v>615</v>
      </c>
      <c r="F807" s="37" t="s">
        <v>616</v>
      </c>
      <c r="G807" s="38" t="s">
        <v>70</v>
      </c>
      <c r="H807" s="37"/>
      <c r="I807" s="37"/>
      <c r="J807" s="37" t="s">
        <v>1044</v>
      </c>
      <c r="K807" s="40"/>
      <c r="L807" s="38"/>
      <c r="M807" s="38"/>
      <c r="N807" s="37"/>
      <c r="O807" s="37"/>
      <c r="P807" s="37"/>
      <c r="Q807" s="37"/>
      <c r="R807" s="39"/>
      <c r="S807" s="37"/>
      <c r="T807" s="38" t="s">
        <v>293</v>
      </c>
    </row>
    <row r="808" ht="34.5">
      <c r="A808" s="38" t="s">
        <v>884</v>
      </c>
      <c r="B808" s="38" t="s">
        <v>885</v>
      </c>
      <c r="C808" s="38" t="s">
        <v>877</v>
      </c>
      <c r="D808" s="38" t="s">
        <v>288</v>
      </c>
      <c r="E808" s="38" t="s">
        <v>615</v>
      </c>
      <c r="F808" s="37" t="s">
        <v>616</v>
      </c>
      <c r="G808" s="38" t="s">
        <v>70</v>
      </c>
      <c r="H808" s="37"/>
      <c r="I808" s="37"/>
      <c r="J808" s="37" t="s">
        <v>1045</v>
      </c>
      <c r="K808" s="40"/>
      <c r="L808" s="38"/>
      <c r="M808" s="38"/>
      <c r="N808" s="37"/>
      <c r="O808" s="37"/>
      <c r="P808" s="37"/>
      <c r="Q808" s="37"/>
      <c r="R808" s="39"/>
      <c r="S808" s="37"/>
      <c r="T808" s="38" t="s">
        <v>293</v>
      </c>
    </row>
    <row r="809" ht="34.5">
      <c r="A809" s="38" t="s">
        <v>884</v>
      </c>
      <c r="B809" s="38" t="s">
        <v>885</v>
      </c>
      <c r="C809" s="38" t="s">
        <v>877</v>
      </c>
      <c r="D809" s="38" t="s">
        <v>288</v>
      </c>
      <c r="E809" s="38" t="s">
        <v>615</v>
      </c>
      <c r="F809" s="37" t="s">
        <v>616</v>
      </c>
      <c r="G809" s="38" t="s">
        <v>70</v>
      </c>
      <c r="H809" s="37"/>
      <c r="I809" s="37"/>
      <c r="J809" s="37" t="s">
        <v>1046</v>
      </c>
      <c r="K809" s="40"/>
      <c r="L809" s="38"/>
      <c r="M809" s="38"/>
      <c r="N809" s="37"/>
      <c r="O809" s="37"/>
      <c r="P809" s="37"/>
      <c r="Q809" s="37"/>
      <c r="R809" s="39"/>
      <c r="S809" s="37"/>
      <c r="T809" s="38" t="s">
        <v>293</v>
      </c>
    </row>
    <row r="810" ht="34.5">
      <c r="A810" s="38" t="s">
        <v>884</v>
      </c>
      <c r="B810" s="38" t="s">
        <v>885</v>
      </c>
      <c r="C810" s="38" t="s">
        <v>877</v>
      </c>
      <c r="D810" s="38" t="s">
        <v>288</v>
      </c>
      <c r="E810" s="38" t="s">
        <v>615</v>
      </c>
      <c r="F810" s="37" t="s">
        <v>616</v>
      </c>
      <c r="G810" s="38" t="s">
        <v>70</v>
      </c>
      <c r="H810" s="37"/>
      <c r="I810" s="37"/>
      <c r="J810" s="37" t="s">
        <v>836</v>
      </c>
      <c r="K810" s="40"/>
      <c r="L810" s="38"/>
      <c r="M810" s="38"/>
      <c r="N810" s="37"/>
      <c r="O810" s="37"/>
      <c r="P810" s="37"/>
      <c r="Q810" s="37"/>
      <c r="R810" s="39"/>
      <c r="S810" s="37"/>
      <c r="T810" s="38" t="s">
        <v>293</v>
      </c>
    </row>
    <row r="811" ht="34.5">
      <c r="A811" s="38" t="s">
        <v>884</v>
      </c>
      <c r="B811" s="38" t="s">
        <v>885</v>
      </c>
      <c r="C811" s="38" t="s">
        <v>877</v>
      </c>
      <c r="D811" s="38" t="s">
        <v>288</v>
      </c>
      <c r="E811" s="38" t="s">
        <v>615</v>
      </c>
      <c r="F811" s="37" t="s">
        <v>616</v>
      </c>
      <c r="G811" s="38" t="s">
        <v>70</v>
      </c>
      <c r="H811" s="37"/>
      <c r="I811" s="37"/>
      <c r="J811" s="37" t="s">
        <v>1047</v>
      </c>
      <c r="K811" s="40"/>
      <c r="L811" s="38"/>
      <c r="M811" s="38"/>
      <c r="N811" s="37"/>
      <c r="O811" s="37"/>
      <c r="P811" s="37"/>
      <c r="Q811" s="37"/>
      <c r="R811" s="39"/>
      <c r="S811" s="37"/>
      <c r="T811" s="38" t="s">
        <v>293</v>
      </c>
    </row>
    <row r="812" ht="34.5">
      <c r="A812" s="38" t="s">
        <v>884</v>
      </c>
      <c r="B812" s="38" t="s">
        <v>885</v>
      </c>
      <c r="C812" s="38" t="s">
        <v>877</v>
      </c>
      <c r="D812" s="38" t="s">
        <v>288</v>
      </c>
      <c r="E812" s="38" t="s">
        <v>615</v>
      </c>
      <c r="F812" s="37" t="s">
        <v>616</v>
      </c>
      <c r="G812" s="38" t="s">
        <v>70</v>
      </c>
      <c r="H812" s="37"/>
      <c r="I812" s="37"/>
      <c r="J812" s="37" t="s">
        <v>838</v>
      </c>
      <c r="K812" s="40"/>
      <c r="L812" s="38"/>
      <c r="M812" s="38"/>
      <c r="N812" s="37"/>
      <c r="O812" s="37"/>
      <c r="P812" s="37"/>
      <c r="Q812" s="37"/>
      <c r="R812" s="39"/>
      <c r="S812" s="37"/>
      <c r="T812" s="38" t="s">
        <v>293</v>
      </c>
    </row>
    <row r="813" ht="34.5">
      <c r="A813" s="38" t="s">
        <v>884</v>
      </c>
      <c r="B813" s="38" t="s">
        <v>885</v>
      </c>
      <c r="C813" s="38" t="s">
        <v>877</v>
      </c>
      <c r="D813" s="38" t="s">
        <v>288</v>
      </c>
      <c r="E813" s="38" t="s">
        <v>615</v>
      </c>
      <c r="F813" s="37" t="s">
        <v>616</v>
      </c>
      <c r="G813" s="38" t="s">
        <v>70</v>
      </c>
      <c r="H813" s="37"/>
      <c r="I813" s="37"/>
      <c r="J813" s="37" t="s">
        <v>1048</v>
      </c>
      <c r="K813" s="40"/>
      <c r="L813" s="38"/>
      <c r="M813" s="38"/>
      <c r="N813" s="37"/>
      <c r="O813" s="37"/>
      <c r="P813" s="37"/>
      <c r="Q813" s="37"/>
      <c r="R813" s="39"/>
      <c r="S813" s="37"/>
      <c r="T813" s="38" t="s">
        <v>293</v>
      </c>
    </row>
    <row r="814" ht="34.5">
      <c r="A814" s="38" t="s">
        <v>884</v>
      </c>
      <c r="B814" s="38" t="s">
        <v>885</v>
      </c>
      <c r="C814" s="38" t="s">
        <v>1049</v>
      </c>
      <c r="D814" s="38" t="s">
        <v>288</v>
      </c>
      <c r="E814" s="38" t="s">
        <v>615</v>
      </c>
      <c r="F814" s="37" t="s">
        <v>616</v>
      </c>
      <c r="G814" s="38" t="s">
        <v>70</v>
      </c>
      <c r="H814" s="37"/>
      <c r="I814" s="37"/>
      <c r="J814" s="37" t="s">
        <v>840</v>
      </c>
      <c r="K814" s="40"/>
      <c r="L814" s="38"/>
      <c r="M814" s="38"/>
      <c r="N814" s="37"/>
      <c r="O814" s="37"/>
      <c r="P814" s="37"/>
      <c r="Q814" s="37"/>
      <c r="R814" s="39"/>
      <c r="S814" s="37"/>
      <c r="T814" s="38" t="s">
        <v>293</v>
      </c>
    </row>
    <row r="815" ht="34.5">
      <c r="A815" s="38" t="s">
        <v>884</v>
      </c>
      <c r="B815" s="38" t="s">
        <v>885</v>
      </c>
      <c r="C815" s="38" t="s">
        <v>1049</v>
      </c>
      <c r="D815" s="38" t="s">
        <v>288</v>
      </c>
      <c r="E815" s="38" t="s">
        <v>615</v>
      </c>
      <c r="F815" s="37" t="s">
        <v>616</v>
      </c>
      <c r="G815" s="38" t="s">
        <v>70</v>
      </c>
      <c r="H815" s="37"/>
      <c r="I815" s="37"/>
      <c r="J815" s="37" t="s">
        <v>841</v>
      </c>
      <c r="K815" s="40"/>
      <c r="L815" s="38"/>
      <c r="M815" s="38"/>
      <c r="N815" s="37"/>
      <c r="O815" s="37"/>
      <c r="P815" s="37"/>
      <c r="Q815" s="37"/>
      <c r="R815" s="39"/>
      <c r="S815" s="37"/>
      <c r="T815" s="38" t="s">
        <v>293</v>
      </c>
    </row>
    <row r="816" ht="34.5">
      <c r="A816" s="38" t="s">
        <v>884</v>
      </c>
      <c r="B816" s="38" t="s">
        <v>885</v>
      </c>
      <c r="C816" s="38" t="s">
        <v>1049</v>
      </c>
      <c r="D816" s="38" t="s">
        <v>288</v>
      </c>
      <c r="E816" s="38" t="s">
        <v>615</v>
      </c>
      <c r="F816" s="37" t="s">
        <v>616</v>
      </c>
      <c r="G816" s="38" t="s">
        <v>70</v>
      </c>
      <c r="H816" s="37"/>
      <c r="I816" s="37"/>
      <c r="J816" s="37" t="s">
        <v>842</v>
      </c>
      <c r="K816" s="40"/>
      <c r="L816" s="38"/>
      <c r="M816" s="38"/>
      <c r="N816" s="37"/>
      <c r="O816" s="37"/>
      <c r="P816" s="37"/>
      <c r="Q816" s="37"/>
      <c r="R816" s="39"/>
      <c r="S816" s="37"/>
      <c r="T816" s="38" t="s">
        <v>293</v>
      </c>
    </row>
    <row r="817" ht="34.5">
      <c r="A817" s="38" t="s">
        <v>884</v>
      </c>
      <c r="B817" s="38" t="s">
        <v>885</v>
      </c>
      <c r="C817" s="38" t="s">
        <v>1049</v>
      </c>
      <c r="D817" s="38" t="s">
        <v>288</v>
      </c>
      <c r="E817" s="38" t="s">
        <v>615</v>
      </c>
      <c r="F817" s="37" t="s">
        <v>616</v>
      </c>
      <c r="G817" s="38" t="s">
        <v>70</v>
      </c>
      <c r="H817" s="37"/>
      <c r="I817" s="37"/>
      <c r="J817" s="37" t="s">
        <v>843</v>
      </c>
      <c r="K817" s="40"/>
      <c r="L817" s="38"/>
      <c r="M817" s="38"/>
      <c r="N817" s="37"/>
      <c r="O817" s="37"/>
      <c r="P817" s="37"/>
      <c r="Q817" s="37"/>
      <c r="R817" s="39"/>
      <c r="S817" s="37"/>
      <c r="T817" s="38" t="s">
        <v>293</v>
      </c>
    </row>
    <row r="818" ht="34.5">
      <c r="A818" s="38" t="s">
        <v>884</v>
      </c>
      <c r="B818" s="38" t="s">
        <v>885</v>
      </c>
      <c r="C818" s="38" t="s">
        <v>1049</v>
      </c>
      <c r="D818" s="38" t="s">
        <v>288</v>
      </c>
      <c r="E818" s="38" t="s">
        <v>615</v>
      </c>
      <c r="F818" s="37" t="s">
        <v>616</v>
      </c>
      <c r="G818" s="38" t="s">
        <v>70</v>
      </c>
      <c r="H818" s="37"/>
      <c r="I818" s="37"/>
      <c r="J818" s="37" t="s">
        <v>1050</v>
      </c>
      <c r="K818" s="40"/>
      <c r="L818" s="38"/>
      <c r="M818" s="38"/>
      <c r="N818" s="37"/>
      <c r="O818" s="37"/>
      <c r="P818" s="37"/>
      <c r="Q818" s="37"/>
      <c r="R818" s="39"/>
      <c r="S818" s="37"/>
      <c r="T818" s="38" t="s">
        <v>293</v>
      </c>
    </row>
    <row r="819" ht="34.5">
      <c r="A819" s="38" t="s">
        <v>884</v>
      </c>
      <c r="B819" s="38" t="s">
        <v>885</v>
      </c>
      <c r="C819" s="38" t="s">
        <v>1049</v>
      </c>
      <c r="D819" s="38" t="s">
        <v>288</v>
      </c>
      <c r="E819" s="38" t="s">
        <v>615</v>
      </c>
      <c r="F819" s="37" t="s">
        <v>616</v>
      </c>
      <c r="G819" s="38" t="s">
        <v>70</v>
      </c>
      <c r="H819" s="37"/>
      <c r="I819" s="37"/>
      <c r="J819" s="37" t="s">
        <v>1051</v>
      </c>
      <c r="K819" s="40">
        <v>0.75</v>
      </c>
      <c r="L819" s="38" t="s">
        <v>297</v>
      </c>
      <c r="M819" s="38"/>
      <c r="N819" s="37"/>
      <c r="O819" s="37"/>
      <c r="P819" s="37"/>
      <c r="Q819" s="37"/>
      <c r="R819" s="39"/>
      <c r="S819" s="37"/>
      <c r="T819" s="38" t="s">
        <v>293</v>
      </c>
    </row>
    <row r="820" ht="34.5">
      <c r="A820" s="38" t="s">
        <v>884</v>
      </c>
      <c r="B820" s="38" t="s">
        <v>885</v>
      </c>
      <c r="C820" s="38" t="s">
        <v>1049</v>
      </c>
      <c r="D820" s="38" t="s">
        <v>288</v>
      </c>
      <c r="E820" s="38" t="s">
        <v>615</v>
      </c>
      <c r="F820" s="37" t="s">
        <v>616</v>
      </c>
      <c r="G820" s="38" t="s">
        <v>70</v>
      </c>
      <c r="H820" s="37"/>
      <c r="I820" s="37"/>
      <c r="J820" s="37" t="s">
        <v>1052</v>
      </c>
      <c r="K820" s="40"/>
      <c r="L820" s="38"/>
      <c r="M820" s="38"/>
      <c r="N820" s="37"/>
      <c r="O820" s="37"/>
      <c r="P820" s="37"/>
      <c r="Q820" s="37"/>
      <c r="R820" s="39"/>
      <c r="S820" s="37"/>
      <c r="T820" s="38" t="s">
        <v>293</v>
      </c>
    </row>
    <row r="821" ht="34.5">
      <c r="A821" s="38" t="s">
        <v>884</v>
      </c>
      <c r="B821" s="38" t="s">
        <v>885</v>
      </c>
      <c r="C821" s="38" t="s">
        <v>1049</v>
      </c>
      <c r="D821" s="38" t="s">
        <v>288</v>
      </c>
      <c r="E821" s="38" t="s">
        <v>615</v>
      </c>
      <c r="F821" s="37" t="s">
        <v>616</v>
      </c>
      <c r="G821" s="38" t="s">
        <v>70</v>
      </c>
      <c r="H821" s="37"/>
      <c r="I821" s="37"/>
      <c r="J821" s="37" t="s">
        <v>1053</v>
      </c>
      <c r="K821" s="40"/>
      <c r="L821" s="38"/>
      <c r="M821" s="38"/>
      <c r="N821" s="37"/>
      <c r="O821" s="37"/>
      <c r="P821" s="37"/>
      <c r="Q821" s="37"/>
      <c r="R821" s="39"/>
      <c r="S821" s="37"/>
      <c r="T821" s="38" t="s">
        <v>293</v>
      </c>
    </row>
    <row r="822" ht="34.5">
      <c r="A822" s="38" t="s">
        <v>884</v>
      </c>
      <c r="B822" s="38" t="s">
        <v>885</v>
      </c>
      <c r="C822" s="38" t="s">
        <v>1049</v>
      </c>
      <c r="D822" s="38" t="s">
        <v>288</v>
      </c>
      <c r="E822" s="38" t="s">
        <v>615</v>
      </c>
      <c r="F822" s="37" t="s">
        <v>616</v>
      </c>
      <c r="G822" s="38" t="s">
        <v>70</v>
      </c>
      <c r="H822" s="37"/>
      <c r="I822" s="37"/>
      <c r="J822" s="37" t="s">
        <v>1054</v>
      </c>
      <c r="K822" s="40"/>
      <c r="L822" s="38"/>
      <c r="M822" s="38"/>
      <c r="N822" s="37"/>
      <c r="O822" s="37"/>
      <c r="P822" s="37"/>
      <c r="Q822" s="37"/>
      <c r="R822" s="39"/>
      <c r="S822" s="37"/>
      <c r="T822" s="38" t="s">
        <v>293</v>
      </c>
    </row>
    <row r="823" ht="34.5">
      <c r="A823" s="38" t="s">
        <v>884</v>
      </c>
      <c r="B823" s="38" t="s">
        <v>885</v>
      </c>
      <c r="C823" s="38" t="s">
        <v>1049</v>
      </c>
      <c r="D823" s="38" t="s">
        <v>288</v>
      </c>
      <c r="E823" s="38" t="s">
        <v>615</v>
      </c>
      <c r="F823" s="37" t="s">
        <v>616</v>
      </c>
      <c r="G823" s="38" t="s">
        <v>70</v>
      </c>
      <c r="H823" s="37"/>
      <c r="I823" s="37"/>
      <c r="J823" s="37" t="s">
        <v>1055</v>
      </c>
      <c r="K823" s="40"/>
      <c r="L823" s="38"/>
      <c r="M823" s="38"/>
      <c r="N823" s="37"/>
      <c r="O823" s="37"/>
      <c r="P823" s="37"/>
      <c r="Q823" s="37"/>
      <c r="R823" s="39"/>
      <c r="S823" s="37"/>
      <c r="T823" s="38" t="s">
        <v>293</v>
      </c>
    </row>
    <row r="824" ht="34.5">
      <c r="A824" s="38" t="s">
        <v>884</v>
      </c>
      <c r="B824" s="38" t="s">
        <v>885</v>
      </c>
      <c r="C824" s="38" t="s">
        <v>1049</v>
      </c>
      <c r="D824" s="38" t="s">
        <v>288</v>
      </c>
      <c r="E824" s="38" t="s">
        <v>615</v>
      </c>
      <c r="F824" s="37" t="s">
        <v>616</v>
      </c>
      <c r="G824" s="38" t="s">
        <v>70</v>
      </c>
      <c r="H824" s="37"/>
      <c r="I824" s="37"/>
      <c r="J824" s="37" t="s">
        <v>1056</v>
      </c>
      <c r="K824" s="40"/>
      <c r="L824" s="38"/>
      <c r="M824" s="38"/>
      <c r="N824" s="37"/>
      <c r="O824" s="37"/>
      <c r="P824" s="37"/>
      <c r="Q824" s="37"/>
      <c r="R824" s="39"/>
      <c r="S824" s="37"/>
      <c r="T824" s="38" t="s">
        <v>293</v>
      </c>
    </row>
    <row r="825" ht="34.5">
      <c r="A825" s="38" t="s">
        <v>884</v>
      </c>
      <c r="B825" s="38" t="s">
        <v>885</v>
      </c>
      <c r="C825" s="38" t="s">
        <v>1057</v>
      </c>
      <c r="D825" s="38" t="s">
        <v>288</v>
      </c>
      <c r="E825" s="38" t="s">
        <v>615</v>
      </c>
      <c r="F825" s="37" t="s">
        <v>616</v>
      </c>
      <c r="G825" s="38" t="s">
        <v>70</v>
      </c>
      <c r="H825" s="37"/>
      <c r="I825" s="37"/>
      <c r="J825" s="37" t="s">
        <v>1058</v>
      </c>
      <c r="K825" s="40"/>
      <c r="L825" s="38"/>
      <c r="M825" s="38"/>
      <c r="N825" s="37"/>
      <c r="O825" s="37"/>
      <c r="P825" s="37"/>
      <c r="Q825" s="37"/>
      <c r="R825" s="39"/>
      <c r="S825" s="37"/>
      <c r="T825" s="38" t="s">
        <v>293</v>
      </c>
    </row>
    <row r="826" ht="34.5">
      <c r="A826" s="38" t="s">
        <v>884</v>
      </c>
      <c r="B826" s="38" t="s">
        <v>885</v>
      </c>
      <c r="C826" s="38" t="s">
        <v>1057</v>
      </c>
      <c r="D826" s="38" t="s">
        <v>288</v>
      </c>
      <c r="E826" s="38" t="s">
        <v>615</v>
      </c>
      <c r="F826" s="37" t="s">
        <v>616</v>
      </c>
      <c r="G826" s="38" t="s">
        <v>70</v>
      </c>
      <c r="H826" s="37"/>
      <c r="I826" s="37"/>
      <c r="J826" s="37" t="s">
        <v>1059</v>
      </c>
      <c r="K826" s="40"/>
      <c r="L826" s="38"/>
      <c r="M826" s="38"/>
      <c r="N826" s="37"/>
      <c r="O826" s="37"/>
      <c r="P826" s="37"/>
      <c r="Q826" s="37"/>
      <c r="R826" s="39"/>
      <c r="S826" s="37"/>
      <c r="T826" s="38" t="s">
        <v>293</v>
      </c>
    </row>
    <row r="827" ht="34.5">
      <c r="A827" s="38" t="s">
        <v>884</v>
      </c>
      <c r="B827" s="38" t="s">
        <v>885</v>
      </c>
      <c r="C827" s="38" t="s">
        <v>1057</v>
      </c>
      <c r="D827" s="38" t="s">
        <v>288</v>
      </c>
      <c r="E827" s="38" t="s">
        <v>615</v>
      </c>
      <c r="F827" s="37" t="s">
        <v>616</v>
      </c>
      <c r="G827" s="38" t="s">
        <v>70</v>
      </c>
      <c r="H827" s="37"/>
      <c r="I827" s="37"/>
      <c r="J827" s="37" t="s">
        <v>1060</v>
      </c>
      <c r="K827" s="40"/>
      <c r="L827" s="38"/>
      <c r="M827" s="38"/>
      <c r="N827" s="37"/>
      <c r="O827" s="37"/>
      <c r="P827" s="37"/>
      <c r="Q827" s="37"/>
      <c r="R827" s="39"/>
      <c r="S827" s="37"/>
      <c r="T827" s="38" t="s">
        <v>293</v>
      </c>
    </row>
    <row r="828" ht="34.5">
      <c r="A828" s="38" t="s">
        <v>884</v>
      </c>
      <c r="B828" s="38" t="s">
        <v>885</v>
      </c>
      <c r="C828" s="38" t="s">
        <v>1057</v>
      </c>
      <c r="D828" s="38" t="s">
        <v>288</v>
      </c>
      <c r="E828" s="38" t="s">
        <v>615</v>
      </c>
      <c r="F828" s="37" t="s">
        <v>616</v>
      </c>
      <c r="G828" s="38" t="s">
        <v>70</v>
      </c>
      <c r="H828" s="37"/>
      <c r="I828" s="37"/>
      <c r="J828" s="37" t="s">
        <v>1061</v>
      </c>
      <c r="K828" s="40"/>
      <c r="L828" s="38"/>
      <c r="M828" s="38"/>
      <c r="N828" s="37"/>
      <c r="O828" s="37"/>
      <c r="P828" s="37"/>
      <c r="Q828" s="37"/>
      <c r="R828" s="39"/>
      <c r="S828" s="37"/>
      <c r="T828" s="38" t="s">
        <v>293</v>
      </c>
    </row>
    <row r="829" ht="34.5">
      <c r="A829" s="38" t="s">
        <v>884</v>
      </c>
      <c r="B829" s="38" t="s">
        <v>885</v>
      </c>
      <c r="C829" s="38" t="s">
        <v>1057</v>
      </c>
      <c r="D829" s="38" t="s">
        <v>1062</v>
      </c>
      <c r="E829" s="38" t="s">
        <v>615</v>
      </c>
      <c r="F829" s="37" t="s">
        <v>616</v>
      </c>
      <c r="G829" s="38" t="s">
        <v>70</v>
      </c>
      <c r="H829" s="37"/>
      <c r="I829" s="37"/>
      <c r="J829" s="37" t="s">
        <v>1063</v>
      </c>
      <c r="K829" s="40"/>
      <c r="L829" s="38"/>
      <c r="M829" s="38"/>
      <c r="N829" s="37"/>
      <c r="O829" s="37"/>
      <c r="P829" s="37"/>
      <c r="Q829" s="37"/>
      <c r="R829" s="39"/>
      <c r="S829" s="37"/>
      <c r="T829" s="38" t="s">
        <v>293</v>
      </c>
    </row>
    <row r="830" ht="34.5">
      <c r="A830" s="38" t="s">
        <v>884</v>
      </c>
      <c r="B830" s="38" t="s">
        <v>885</v>
      </c>
      <c r="C830" s="38" t="s">
        <v>1064</v>
      </c>
      <c r="D830" s="38" t="s">
        <v>288</v>
      </c>
      <c r="E830" s="38" t="s">
        <v>615</v>
      </c>
      <c r="F830" s="37" t="s">
        <v>616</v>
      </c>
      <c r="G830" s="38" t="s">
        <v>70</v>
      </c>
      <c r="H830" s="37"/>
      <c r="I830" s="37"/>
      <c r="J830" s="37" t="s">
        <v>878</v>
      </c>
      <c r="K830" s="40"/>
      <c r="L830" s="38"/>
      <c r="M830" s="38"/>
      <c r="N830" s="37"/>
      <c r="O830" s="37"/>
      <c r="P830" s="37"/>
      <c r="Q830" s="37"/>
      <c r="R830" s="39"/>
      <c r="S830" s="37"/>
      <c r="T830" s="38" t="s">
        <v>293</v>
      </c>
    </row>
    <row r="831" ht="34.5">
      <c r="A831" s="38" t="s">
        <v>884</v>
      </c>
      <c r="B831" s="38" t="s">
        <v>885</v>
      </c>
      <c r="C831" s="38" t="s">
        <v>1064</v>
      </c>
      <c r="D831" s="38" t="s">
        <v>288</v>
      </c>
      <c r="E831" s="38" t="s">
        <v>615</v>
      </c>
      <c r="F831" s="37" t="s">
        <v>616</v>
      </c>
      <c r="G831" s="38" t="s">
        <v>70</v>
      </c>
      <c r="H831" s="37"/>
      <c r="I831" s="37"/>
      <c r="J831" s="37" t="s">
        <v>1065</v>
      </c>
      <c r="K831" s="40"/>
      <c r="L831" s="38"/>
      <c r="M831" s="38"/>
      <c r="N831" s="37"/>
      <c r="O831" s="37"/>
      <c r="P831" s="37"/>
      <c r="Q831" s="37"/>
      <c r="R831" s="39"/>
      <c r="S831" s="37"/>
      <c r="T831" s="38" t="s">
        <v>293</v>
      </c>
    </row>
    <row r="832" ht="34.5">
      <c r="A832" s="38" t="s">
        <v>884</v>
      </c>
      <c r="B832" s="38" t="s">
        <v>885</v>
      </c>
      <c r="C832" s="38" t="s">
        <v>1064</v>
      </c>
      <c r="D832" s="38" t="s">
        <v>288</v>
      </c>
      <c r="E832" s="38" t="s">
        <v>615</v>
      </c>
      <c r="F832" s="37" t="s">
        <v>616</v>
      </c>
      <c r="G832" s="38" t="s">
        <v>70</v>
      </c>
      <c r="H832" s="37"/>
      <c r="I832" s="37"/>
      <c r="J832" s="37" t="s">
        <v>880</v>
      </c>
      <c r="K832" s="40"/>
      <c r="L832" s="38"/>
      <c r="M832" s="38"/>
      <c r="N832" s="37"/>
      <c r="O832" s="37"/>
      <c r="P832" s="37"/>
      <c r="Q832" s="37"/>
      <c r="R832" s="39"/>
      <c r="S832" s="37"/>
      <c r="T832" s="38" t="s">
        <v>293</v>
      </c>
    </row>
    <row r="833" ht="34.5">
      <c r="A833" s="38" t="s">
        <v>884</v>
      </c>
      <c r="B833" s="38" t="s">
        <v>885</v>
      </c>
      <c r="C833" s="38" t="s">
        <v>1064</v>
      </c>
      <c r="D833" s="38" t="s">
        <v>1066</v>
      </c>
      <c r="E833" s="38" t="s">
        <v>615</v>
      </c>
      <c r="F833" s="37" t="s">
        <v>616</v>
      </c>
      <c r="G833" s="38" t="s">
        <v>70</v>
      </c>
      <c r="H833" s="37"/>
      <c r="I833" s="37"/>
      <c r="J833" s="37" t="s">
        <v>1067</v>
      </c>
      <c r="K833" s="40"/>
      <c r="L833" s="38"/>
      <c r="M833" s="38"/>
      <c r="N833" s="37"/>
      <c r="O833" s="37"/>
      <c r="P833" s="37"/>
      <c r="Q833" s="37"/>
      <c r="R833" s="39"/>
      <c r="S833" s="37"/>
      <c r="T833" s="38" t="s">
        <v>293</v>
      </c>
    </row>
    <row r="834" ht="34.5">
      <c r="A834" s="38" t="s">
        <v>884</v>
      </c>
      <c r="B834" s="38" t="s">
        <v>885</v>
      </c>
      <c r="C834" s="38" t="s">
        <v>1064</v>
      </c>
      <c r="D834" s="38" t="s">
        <v>288</v>
      </c>
      <c r="E834" s="38" t="s">
        <v>615</v>
      </c>
      <c r="F834" s="37" t="s">
        <v>616</v>
      </c>
      <c r="G834" s="38" t="s">
        <v>70</v>
      </c>
      <c r="H834" s="37"/>
      <c r="I834" s="37"/>
      <c r="J834" s="37" t="s">
        <v>883</v>
      </c>
      <c r="K834" s="40"/>
      <c r="L834" s="38"/>
      <c r="M834" s="38"/>
      <c r="N834" s="37"/>
      <c r="O834" s="37"/>
      <c r="P834" s="37"/>
      <c r="Q834" s="37"/>
      <c r="R834" s="39"/>
      <c r="S834" s="37"/>
      <c r="T834" s="38" t="s">
        <v>293</v>
      </c>
    </row>
    <row r="835" ht="34.5">
      <c r="A835" s="38" t="s">
        <v>1068</v>
      </c>
      <c r="B835" s="38" t="s">
        <v>1069</v>
      </c>
      <c r="C835" s="38" t="s">
        <v>886</v>
      </c>
      <c r="D835" s="38" t="s">
        <v>288</v>
      </c>
      <c r="E835" s="38" t="s">
        <v>887</v>
      </c>
      <c r="F835" s="37" t="s">
        <v>888</v>
      </c>
      <c r="G835" s="38" t="s">
        <v>889</v>
      </c>
      <c r="H835" s="37"/>
      <c r="I835" s="37"/>
      <c r="J835" s="37" t="s">
        <v>1070</v>
      </c>
      <c r="K835" s="40"/>
      <c r="L835" s="38"/>
      <c r="M835" s="38"/>
      <c r="N835" s="37"/>
      <c r="O835" s="37"/>
      <c r="P835" s="37"/>
      <c r="Q835" s="37"/>
      <c r="R835" s="39"/>
      <c r="S835" s="37"/>
      <c r="T835" s="38" t="s">
        <v>293</v>
      </c>
    </row>
    <row r="836" ht="34.5">
      <c r="A836" s="38" t="s">
        <v>1068</v>
      </c>
      <c r="B836" s="38" t="s">
        <v>1069</v>
      </c>
      <c r="C836" s="38" t="s">
        <v>886</v>
      </c>
      <c r="D836" s="38" t="s">
        <v>288</v>
      </c>
      <c r="E836" s="38" t="s">
        <v>887</v>
      </c>
      <c r="F836" s="37" t="s">
        <v>888</v>
      </c>
      <c r="G836" s="38" t="s">
        <v>889</v>
      </c>
      <c r="H836" s="37"/>
      <c r="I836" s="37"/>
      <c r="J836" s="37" t="s">
        <v>891</v>
      </c>
      <c r="K836" s="40"/>
      <c r="L836" s="38"/>
      <c r="M836" s="38"/>
      <c r="N836" s="37"/>
      <c r="O836" s="37"/>
      <c r="P836" s="37"/>
      <c r="Q836" s="37"/>
      <c r="R836" s="39"/>
      <c r="S836" s="37"/>
      <c r="T836" s="38" t="s">
        <v>293</v>
      </c>
    </row>
    <row r="837" ht="34.5">
      <c r="A837" s="38" t="s">
        <v>1068</v>
      </c>
      <c r="B837" s="38" t="s">
        <v>1069</v>
      </c>
      <c r="C837" s="38" t="s">
        <v>886</v>
      </c>
      <c r="D837" s="38" t="s">
        <v>899</v>
      </c>
      <c r="E837" s="38" t="s">
        <v>887</v>
      </c>
      <c r="F837" s="37" t="s">
        <v>888</v>
      </c>
      <c r="G837" s="38" t="s">
        <v>889</v>
      </c>
      <c r="H837" s="37"/>
      <c r="I837" s="37"/>
      <c r="J837" s="37" t="s">
        <v>900</v>
      </c>
      <c r="K837" s="40"/>
      <c r="L837" s="38"/>
      <c r="M837" s="38"/>
      <c r="N837" s="37"/>
      <c r="O837" s="37"/>
      <c r="P837" s="37"/>
      <c r="Q837" s="37"/>
      <c r="R837" s="39"/>
      <c r="S837" s="37"/>
      <c r="T837" s="38" t="s">
        <v>293</v>
      </c>
    </row>
    <row r="838" ht="34.5">
      <c r="A838" s="38" t="s">
        <v>1068</v>
      </c>
      <c r="B838" s="38" t="s">
        <v>1069</v>
      </c>
      <c r="C838" s="38" t="s">
        <v>886</v>
      </c>
      <c r="D838" s="38" t="s">
        <v>288</v>
      </c>
      <c r="E838" s="38" t="s">
        <v>887</v>
      </c>
      <c r="F838" s="37" t="s">
        <v>888</v>
      </c>
      <c r="G838" s="38" t="s">
        <v>889</v>
      </c>
      <c r="H838" s="37"/>
      <c r="I838" s="37"/>
      <c r="J838" s="37" t="s">
        <v>894</v>
      </c>
      <c r="K838" s="40"/>
      <c r="L838" s="38"/>
      <c r="M838" s="38"/>
      <c r="N838" s="37"/>
      <c r="O838" s="37"/>
      <c r="P838" s="37"/>
      <c r="Q838" s="37"/>
      <c r="R838" s="39"/>
      <c r="S838" s="37"/>
      <c r="T838" s="38" t="s">
        <v>293</v>
      </c>
    </row>
    <row r="839" ht="34.5">
      <c r="A839" s="38" t="s">
        <v>1068</v>
      </c>
      <c r="B839" s="38" t="s">
        <v>1069</v>
      </c>
      <c r="C839" s="38" t="s">
        <v>886</v>
      </c>
      <c r="D839" s="38" t="s">
        <v>288</v>
      </c>
      <c r="E839" s="38" t="s">
        <v>887</v>
      </c>
      <c r="F839" s="37" t="s">
        <v>888</v>
      </c>
      <c r="G839" s="38" t="s">
        <v>889</v>
      </c>
      <c r="H839" s="37"/>
      <c r="I839" s="37"/>
      <c r="J839" s="37" t="s">
        <v>895</v>
      </c>
      <c r="K839" s="40"/>
      <c r="L839" s="38"/>
      <c r="M839" s="38"/>
      <c r="N839" s="37"/>
      <c r="O839" s="37"/>
      <c r="P839" s="37"/>
      <c r="Q839" s="37"/>
      <c r="R839" s="39"/>
      <c r="S839" s="37"/>
      <c r="T839" s="38" t="s">
        <v>293</v>
      </c>
    </row>
    <row r="840" ht="34.5">
      <c r="A840" s="38" t="s">
        <v>1068</v>
      </c>
      <c r="B840" s="38" t="s">
        <v>1069</v>
      </c>
      <c r="C840" s="38" t="s">
        <v>886</v>
      </c>
      <c r="D840" s="38" t="s">
        <v>288</v>
      </c>
      <c r="E840" s="38" t="s">
        <v>887</v>
      </c>
      <c r="F840" s="37" t="s">
        <v>888</v>
      </c>
      <c r="G840" s="38" t="s">
        <v>889</v>
      </c>
      <c r="H840" s="37"/>
      <c r="I840" s="37"/>
      <c r="J840" s="37" t="s">
        <v>896</v>
      </c>
      <c r="K840" s="40"/>
      <c r="L840" s="38"/>
      <c r="M840" s="38"/>
      <c r="N840" s="37"/>
      <c r="O840" s="37"/>
      <c r="P840" s="37"/>
      <c r="Q840" s="37"/>
      <c r="R840" s="39"/>
      <c r="S840" s="37"/>
      <c r="T840" s="38" t="s">
        <v>293</v>
      </c>
    </row>
    <row r="841" ht="34.5">
      <c r="A841" s="38" t="s">
        <v>1068</v>
      </c>
      <c r="B841" s="38" t="s">
        <v>1069</v>
      </c>
      <c r="C841" s="38" t="s">
        <v>897</v>
      </c>
      <c r="D841" s="38" t="s">
        <v>288</v>
      </c>
      <c r="E841" s="38" t="s">
        <v>887</v>
      </c>
      <c r="F841" s="37" t="s">
        <v>888</v>
      </c>
      <c r="G841" s="38" t="s">
        <v>889</v>
      </c>
      <c r="H841" s="37"/>
      <c r="I841" s="37"/>
      <c r="J841" s="37" t="s">
        <v>898</v>
      </c>
      <c r="K841" s="40"/>
      <c r="L841" s="38"/>
      <c r="M841" s="38"/>
      <c r="N841" s="37"/>
      <c r="O841" s="37"/>
      <c r="P841" s="37"/>
      <c r="Q841" s="37"/>
      <c r="R841" s="39"/>
      <c r="S841" s="37"/>
      <c r="T841" s="38" t="s">
        <v>293</v>
      </c>
    </row>
    <row r="842" ht="34.5">
      <c r="A842" s="38" t="s">
        <v>1068</v>
      </c>
      <c r="B842" s="38" t="s">
        <v>1069</v>
      </c>
      <c r="C842" s="38" t="s">
        <v>897</v>
      </c>
      <c r="D842" s="38" t="s">
        <v>905</v>
      </c>
      <c r="E842" s="38" t="s">
        <v>887</v>
      </c>
      <c r="F842" s="37" t="s">
        <v>888</v>
      </c>
      <c r="G842" s="38" t="s">
        <v>889</v>
      </c>
      <c r="H842" s="37"/>
      <c r="I842" s="37"/>
      <c r="J842" s="37" t="s">
        <v>906</v>
      </c>
      <c r="K842" s="40"/>
      <c r="L842" s="38"/>
      <c r="M842" s="38"/>
      <c r="N842" s="37"/>
      <c r="O842" s="37"/>
      <c r="P842" s="37"/>
      <c r="Q842" s="37"/>
      <c r="R842" s="39"/>
      <c r="S842" s="37"/>
      <c r="T842" s="38" t="s">
        <v>293</v>
      </c>
    </row>
    <row r="843" ht="34.5">
      <c r="A843" s="38" t="s">
        <v>1068</v>
      </c>
      <c r="B843" s="38" t="s">
        <v>1069</v>
      </c>
      <c r="C843" s="38" t="s">
        <v>901</v>
      </c>
      <c r="D843" s="38" t="s">
        <v>288</v>
      </c>
      <c r="E843" s="38" t="s">
        <v>887</v>
      </c>
      <c r="F843" s="37" t="s">
        <v>888</v>
      </c>
      <c r="G843" s="38" t="s">
        <v>889</v>
      </c>
      <c r="H843" s="37"/>
      <c r="I843" s="37"/>
      <c r="J843" s="37" t="s">
        <v>902</v>
      </c>
      <c r="K843" s="40"/>
      <c r="L843" s="38"/>
      <c r="M843" s="38"/>
      <c r="N843" s="37"/>
      <c r="O843" s="37"/>
      <c r="P843" s="37"/>
      <c r="Q843" s="37"/>
      <c r="R843" s="39"/>
      <c r="S843" s="37"/>
      <c r="T843" s="38" t="s">
        <v>293</v>
      </c>
    </row>
    <row r="844" ht="34.5">
      <c r="A844" s="38" t="s">
        <v>1068</v>
      </c>
      <c r="B844" s="38" t="s">
        <v>1069</v>
      </c>
      <c r="C844" s="38" t="s">
        <v>901</v>
      </c>
      <c r="D844" s="38" t="s">
        <v>288</v>
      </c>
      <c r="E844" s="38" t="s">
        <v>887</v>
      </c>
      <c r="F844" s="37" t="s">
        <v>888</v>
      </c>
      <c r="G844" s="38" t="s">
        <v>889</v>
      </c>
      <c r="H844" s="37"/>
      <c r="I844" s="37"/>
      <c r="J844" s="37" t="s">
        <v>903</v>
      </c>
      <c r="K844" s="40"/>
      <c r="L844" s="38"/>
      <c r="M844" s="38"/>
      <c r="N844" s="37"/>
      <c r="O844" s="37"/>
      <c r="P844" s="37"/>
      <c r="Q844" s="37"/>
      <c r="R844" s="39"/>
      <c r="S844" s="37"/>
      <c r="T844" s="38" t="s">
        <v>293</v>
      </c>
    </row>
    <row r="845" ht="34.5">
      <c r="A845" s="38" t="s">
        <v>1068</v>
      </c>
      <c r="B845" s="38" t="s">
        <v>1069</v>
      </c>
      <c r="C845" s="38" t="s">
        <v>901</v>
      </c>
      <c r="D845" s="38" t="s">
        <v>288</v>
      </c>
      <c r="E845" s="38" t="s">
        <v>887</v>
      </c>
      <c r="F845" s="37" t="s">
        <v>888</v>
      </c>
      <c r="G845" s="38" t="s">
        <v>889</v>
      </c>
      <c r="H845" s="37"/>
      <c r="I845" s="37"/>
      <c r="J845" s="37" t="s">
        <v>904</v>
      </c>
      <c r="K845" s="40"/>
      <c r="L845" s="38"/>
      <c r="M845" s="38"/>
      <c r="N845" s="37"/>
      <c r="O845" s="37"/>
      <c r="P845" s="37"/>
      <c r="Q845" s="37"/>
      <c r="R845" s="39"/>
      <c r="S845" s="37"/>
      <c r="T845" s="38" t="s">
        <v>293</v>
      </c>
    </row>
    <row r="846" ht="34.5">
      <c r="A846" s="38" t="s">
        <v>1068</v>
      </c>
      <c r="B846" s="38" t="s">
        <v>1069</v>
      </c>
      <c r="C846" s="38" t="s">
        <v>901</v>
      </c>
      <c r="D846" s="38" t="s">
        <v>310</v>
      </c>
      <c r="E846" s="38" t="s">
        <v>887</v>
      </c>
      <c r="F846" s="37" t="s">
        <v>888</v>
      </c>
      <c r="G846" s="38" t="s">
        <v>889</v>
      </c>
      <c r="H846" s="37"/>
      <c r="I846" s="37"/>
      <c r="J846" s="37" t="s">
        <v>311</v>
      </c>
      <c r="K846" s="40"/>
      <c r="L846" s="38"/>
      <c r="M846" s="38"/>
      <c r="N846" s="37"/>
      <c r="O846" s="37"/>
      <c r="P846" s="37"/>
      <c r="Q846" s="37"/>
      <c r="R846" s="39"/>
      <c r="S846" s="37"/>
      <c r="T846" s="38" t="s">
        <v>293</v>
      </c>
    </row>
    <row r="847" ht="34.5">
      <c r="A847" s="38" t="s">
        <v>1068</v>
      </c>
      <c r="B847" s="38" t="s">
        <v>1069</v>
      </c>
      <c r="C847" s="38" t="s">
        <v>907</v>
      </c>
      <c r="D847" s="38" t="s">
        <v>288</v>
      </c>
      <c r="E847" s="38" t="s">
        <v>289</v>
      </c>
      <c r="F847" s="37" t="s">
        <v>290</v>
      </c>
      <c r="G847" s="38" t="s">
        <v>291</v>
      </c>
      <c r="H847" s="37"/>
      <c r="I847" s="37"/>
      <c r="J847" s="37" t="s">
        <v>909</v>
      </c>
      <c r="K847" s="40"/>
      <c r="L847" s="38"/>
      <c r="M847" s="38"/>
      <c r="N847" s="37"/>
      <c r="O847" s="37"/>
      <c r="P847" s="37"/>
      <c r="Q847" s="37"/>
      <c r="R847" s="39"/>
      <c r="S847" s="37"/>
      <c r="T847" s="38" t="s">
        <v>293</v>
      </c>
    </row>
    <row r="848" ht="34.5">
      <c r="A848" s="38" t="s">
        <v>1068</v>
      </c>
      <c r="B848" s="38" t="s">
        <v>1069</v>
      </c>
      <c r="C848" s="38" t="s">
        <v>907</v>
      </c>
      <c r="D848" s="38" t="s">
        <v>319</v>
      </c>
      <c r="E848" s="38" t="s">
        <v>289</v>
      </c>
      <c r="F848" s="37" t="s">
        <v>290</v>
      </c>
      <c r="G848" s="38" t="s">
        <v>291</v>
      </c>
      <c r="H848" s="37"/>
      <c r="I848" s="37"/>
      <c r="J848" s="37" t="s">
        <v>320</v>
      </c>
      <c r="K848" s="40"/>
      <c r="L848" s="38"/>
      <c r="M848" s="38"/>
      <c r="N848" s="37"/>
      <c r="O848" s="37"/>
      <c r="P848" s="37"/>
      <c r="Q848" s="37"/>
      <c r="R848" s="39"/>
      <c r="S848" s="37"/>
      <c r="T848" s="38" t="s">
        <v>293</v>
      </c>
    </row>
    <row r="849" ht="34.5">
      <c r="A849" s="38" t="s">
        <v>1068</v>
      </c>
      <c r="B849" s="38" t="s">
        <v>1069</v>
      </c>
      <c r="C849" s="38" t="s">
        <v>907</v>
      </c>
      <c r="D849" s="38" t="s">
        <v>288</v>
      </c>
      <c r="E849" s="38" t="s">
        <v>289</v>
      </c>
      <c r="F849" s="37" t="s">
        <v>290</v>
      </c>
      <c r="G849" s="38" t="s">
        <v>291</v>
      </c>
      <c r="H849" s="37"/>
      <c r="I849" s="37"/>
      <c r="J849" s="37" t="s">
        <v>910</v>
      </c>
      <c r="K849" s="40"/>
      <c r="L849" s="38"/>
      <c r="M849" s="38"/>
      <c r="N849" s="37"/>
      <c r="O849" s="37"/>
      <c r="P849" s="37"/>
      <c r="Q849" s="37"/>
      <c r="R849" s="39"/>
      <c r="S849" s="37"/>
      <c r="T849" s="38" t="s">
        <v>293</v>
      </c>
    </row>
    <row r="850" ht="34.5">
      <c r="A850" s="38" t="s">
        <v>1068</v>
      </c>
      <c r="B850" s="38" t="s">
        <v>1069</v>
      </c>
      <c r="C850" s="38" t="s">
        <v>907</v>
      </c>
      <c r="D850" s="38" t="s">
        <v>288</v>
      </c>
      <c r="E850" s="38" t="s">
        <v>289</v>
      </c>
      <c r="F850" s="37" t="s">
        <v>290</v>
      </c>
      <c r="G850" s="38" t="s">
        <v>291</v>
      </c>
      <c r="H850" s="37"/>
      <c r="I850" s="37"/>
      <c r="J850" s="37" t="s">
        <v>911</v>
      </c>
      <c r="K850" s="40"/>
      <c r="L850" s="38"/>
      <c r="M850" s="38"/>
      <c r="N850" s="37"/>
      <c r="O850" s="37"/>
      <c r="P850" s="37"/>
      <c r="Q850" s="37"/>
      <c r="R850" s="39"/>
      <c r="S850" s="37"/>
      <c r="T850" s="38" t="s">
        <v>293</v>
      </c>
    </row>
    <row r="851" ht="34.5">
      <c r="A851" s="38" t="s">
        <v>1068</v>
      </c>
      <c r="B851" s="38" t="s">
        <v>1069</v>
      </c>
      <c r="C851" s="38" t="s">
        <v>907</v>
      </c>
      <c r="D851" s="38" t="s">
        <v>288</v>
      </c>
      <c r="E851" s="38" t="s">
        <v>289</v>
      </c>
      <c r="F851" s="37" t="s">
        <v>290</v>
      </c>
      <c r="G851" s="38" t="s">
        <v>291</v>
      </c>
      <c r="H851" s="37"/>
      <c r="I851" s="37"/>
      <c r="J851" s="37" t="s">
        <v>312</v>
      </c>
      <c r="K851" s="40"/>
      <c r="L851" s="38"/>
      <c r="M851" s="38"/>
      <c r="N851" s="37"/>
      <c r="O851" s="37"/>
      <c r="P851" s="37"/>
      <c r="Q851" s="37"/>
      <c r="R851" s="39"/>
      <c r="S851" s="37"/>
      <c r="T851" s="38" t="s">
        <v>293</v>
      </c>
    </row>
    <row r="852" ht="34.5">
      <c r="A852" s="38" t="s">
        <v>1068</v>
      </c>
      <c r="B852" s="38" t="s">
        <v>1069</v>
      </c>
      <c r="C852" s="38" t="s">
        <v>287</v>
      </c>
      <c r="D852" s="38" t="s">
        <v>288</v>
      </c>
      <c r="E852" s="38" t="s">
        <v>289</v>
      </c>
      <c r="F852" s="37" t="s">
        <v>290</v>
      </c>
      <c r="G852" s="38" t="s">
        <v>291</v>
      </c>
      <c r="H852" s="37"/>
      <c r="I852" s="37"/>
      <c r="J852" s="37" t="s">
        <v>313</v>
      </c>
      <c r="K852" s="40"/>
      <c r="L852" s="38"/>
      <c r="M852" s="38"/>
      <c r="N852" s="37"/>
      <c r="O852" s="37"/>
      <c r="P852" s="37"/>
      <c r="Q852" s="37"/>
      <c r="R852" s="39"/>
      <c r="S852" s="37"/>
      <c r="T852" s="38" t="s">
        <v>293</v>
      </c>
    </row>
    <row r="853" ht="34.5">
      <c r="A853" s="38" t="s">
        <v>1068</v>
      </c>
      <c r="B853" s="38" t="s">
        <v>1069</v>
      </c>
      <c r="C853" s="38" t="s">
        <v>287</v>
      </c>
      <c r="D853" s="38" t="s">
        <v>288</v>
      </c>
      <c r="E853" s="38" t="s">
        <v>315</v>
      </c>
      <c r="F853" s="37" t="s">
        <v>912</v>
      </c>
      <c r="G853" s="38" t="s">
        <v>317</v>
      </c>
      <c r="H853" s="37"/>
      <c r="I853" s="37"/>
      <c r="J853" s="37" t="s">
        <v>318</v>
      </c>
      <c r="K853" s="40"/>
      <c r="L853" s="38"/>
      <c r="M853" s="38"/>
      <c r="N853" s="37"/>
      <c r="O853" s="37"/>
      <c r="P853" s="37"/>
      <c r="Q853" s="37"/>
      <c r="R853" s="39"/>
      <c r="S853" s="37"/>
      <c r="T853" s="38" t="s">
        <v>293</v>
      </c>
    </row>
    <row r="854" ht="34.5">
      <c r="A854" s="38" t="s">
        <v>1068</v>
      </c>
      <c r="B854" s="38" t="s">
        <v>1069</v>
      </c>
      <c r="C854" s="38" t="s">
        <v>287</v>
      </c>
      <c r="D854" s="38" t="s">
        <v>326</v>
      </c>
      <c r="E854" s="38" t="s">
        <v>315</v>
      </c>
      <c r="F854" s="37" t="s">
        <v>912</v>
      </c>
      <c r="G854" s="38" t="s">
        <v>317</v>
      </c>
      <c r="H854" s="37"/>
      <c r="I854" s="37"/>
      <c r="J854" s="37" t="s">
        <v>327</v>
      </c>
      <c r="K854" s="40"/>
      <c r="L854" s="38"/>
      <c r="M854" s="38"/>
      <c r="N854" s="37"/>
      <c r="O854" s="37"/>
      <c r="P854" s="37"/>
      <c r="Q854" s="37"/>
      <c r="R854" s="39"/>
      <c r="S854" s="37"/>
      <c r="T854" s="38" t="s">
        <v>293</v>
      </c>
    </row>
    <row r="855" ht="34.5">
      <c r="A855" s="38" t="s">
        <v>1068</v>
      </c>
      <c r="B855" s="38" t="s">
        <v>1069</v>
      </c>
      <c r="C855" s="38" t="s">
        <v>287</v>
      </c>
      <c r="D855" s="38" t="s">
        <v>288</v>
      </c>
      <c r="E855" s="38" t="s">
        <v>315</v>
      </c>
      <c r="F855" s="37" t="s">
        <v>912</v>
      </c>
      <c r="G855" s="38" t="s">
        <v>317</v>
      </c>
      <c r="H855" s="37"/>
      <c r="I855" s="37"/>
      <c r="J855" s="37" t="s">
        <v>321</v>
      </c>
      <c r="K855" s="40"/>
      <c r="L855" s="38"/>
      <c r="M855" s="38"/>
      <c r="N855" s="37"/>
      <c r="O855" s="37"/>
      <c r="P855" s="37"/>
      <c r="Q855" s="37"/>
      <c r="R855" s="39"/>
      <c r="S855" s="37"/>
      <c r="T855" s="38" t="s">
        <v>293</v>
      </c>
    </row>
    <row r="856" ht="34.5">
      <c r="A856" s="38" t="s">
        <v>1068</v>
      </c>
      <c r="B856" s="38" t="s">
        <v>1069</v>
      </c>
      <c r="C856" s="38" t="s">
        <v>287</v>
      </c>
      <c r="D856" s="38" t="s">
        <v>288</v>
      </c>
      <c r="E856" s="38" t="s">
        <v>315</v>
      </c>
      <c r="F856" s="37" t="s">
        <v>912</v>
      </c>
      <c r="G856" s="38" t="s">
        <v>317</v>
      </c>
      <c r="H856" s="37"/>
      <c r="I856" s="37"/>
      <c r="J856" s="37" t="s">
        <v>1071</v>
      </c>
      <c r="K856" s="40">
        <v>55577352</v>
      </c>
      <c r="L856" s="38" t="s">
        <v>297</v>
      </c>
      <c r="M856" s="38"/>
      <c r="N856" s="37"/>
      <c r="O856" s="37"/>
      <c r="P856" s="37"/>
      <c r="Q856" s="37"/>
      <c r="R856" s="39"/>
      <c r="S856" s="37"/>
      <c r="T856" s="38" t="s">
        <v>293</v>
      </c>
    </row>
    <row r="857" ht="34.5">
      <c r="A857" s="38" t="s">
        <v>1068</v>
      </c>
      <c r="B857" s="38" t="s">
        <v>1069</v>
      </c>
      <c r="C857" s="38" t="s">
        <v>287</v>
      </c>
      <c r="D857" s="38" t="s">
        <v>288</v>
      </c>
      <c r="E857" s="38" t="s">
        <v>323</v>
      </c>
      <c r="F857" s="37" t="s">
        <v>324</v>
      </c>
      <c r="G857" s="38" t="s">
        <v>188</v>
      </c>
      <c r="H857" s="37"/>
      <c r="I857" s="37"/>
      <c r="J857" s="37" t="s">
        <v>325</v>
      </c>
      <c r="K857" s="40"/>
      <c r="L857" s="38"/>
      <c r="M857" s="38"/>
      <c r="N857" s="37"/>
      <c r="O857" s="37"/>
      <c r="P857" s="37"/>
      <c r="Q857" s="37"/>
      <c r="R857" s="39"/>
      <c r="S857" s="37"/>
      <c r="T857" s="38" t="s">
        <v>293</v>
      </c>
    </row>
    <row r="858" ht="34.5">
      <c r="A858" s="38" t="s">
        <v>1068</v>
      </c>
      <c r="B858" s="38" t="s">
        <v>1069</v>
      </c>
      <c r="C858" s="38" t="s">
        <v>287</v>
      </c>
      <c r="D858" s="38" t="s">
        <v>331</v>
      </c>
      <c r="E858" s="38" t="s">
        <v>323</v>
      </c>
      <c r="F858" s="37" t="s">
        <v>324</v>
      </c>
      <c r="G858" s="38" t="s">
        <v>188</v>
      </c>
      <c r="H858" s="37"/>
      <c r="I858" s="37"/>
      <c r="J858" s="37" t="s">
        <v>332</v>
      </c>
      <c r="K858" s="40"/>
      <c r="L858" s="38"/>
      <c r="M858" s="38"/>
      <c r="N858" s="37"/>
      <c r="O858" s="37"/>
      <c r="P858" s="37"/>
      <c r="Q858" s="37"/>
      <c r="R858" s="39"/>
      <c r="S858" s="37"/>
      <c r="T858" s="38" t="s">
        <v>293</v>
      </c>
    </row>
    <row r="859" ht="34.5">
      <c r="A859" s="38" t="s">
        <v>1068</v>
      </c>
      <c r="B859" s="38" t="s">
        <v>1069</v>
      </c>
      <c r="C859" s="38" t="s">
        <v>301</v>
      </c>
      <c r="D859" s="38" t="s">
        <v>288</v>
      </c>
      <c r="E859" s="38" t="s">
        <v>323</v>
      </c>
      <c r="F859" s="37" t="s">
        <v>324</v>
      </c>
      <c r="G859" s="38" t="s">
        <v>188</v>
      </c>
      <c r="H859" s="37"/>
      <c r="I859" s="37"/>
      <c r="J859" s="37" t="s">
        <v>328</v>
      </c>
      <c r="K859" s="40"/>
      <c r="L859" s="38"/>
      <c r="M859" s="38"/>
      <c r="N859" s="37"/>
      <c r="O859" s="37"/>
      <c r="P859" s="37"/>
      <c r="Q859" s="37"/>
      <c r="R859" s="39"/>
      <c r="S859" s="37"/>
      <c r="T859" s="38" t="s">
        <v>293</v>
      </c>
    </row>
    <row r="860" ht="34.5">
      <c r="A860" s="38" t="s">
        <v>1068</v>
      </c>
      <c r="B860" s="38" t="s">
        <v>1069</v>
      </c>
      <c r="C860" s="38" t="s">
        <v>301</v>
      </c>
      <c r="D860" s="38" t="s">
        <v>288</v>
      </c>
      <c r="E860" s="38" t="s">
        <v>323</v>
      </c>
      <c r="F860" s="37" t="s">
        <v>324</v>
      </c>
      <c r="G860" s="38" t="s">
        <v>188</v>
      </c>
      <c r="H860" s="37"/>
      <c r="I860" s="37"/>
      <c r="J860" s="37" t="s">
        <v>330</v>
      </c>
      <c r="K860" s="40"/>
      <c r="L860" s="38"/>
      <c r="M860" s="38"/>
      <c r="N860" s="37"/>
      <c r="O860" s="37"/>
      <c r="P860" s="37"/>
      <c r="Q860" s="37"/>
      <c r="R860" s="39"/>
      <c r="S860" s="37"/>
      <c r="T860" s="38" t="s">
        <v>293</v>
      </c>
    </row>
    <row r="861" ht="34.5">
      <c r="A861" s="38" t="s">
        <v>1068</v>
      </c>
      <c r="B861" s="38" t="s">
        <v>1069</v>
      </c>
      <c r="C861" s="38" t="s">
        <v>301</v>
      </c>
      <c r="D861" s="38" t="s">
        <v>335</v>
      </c>
      <c r="E861" s="38" t="s">
        <v>323</v>
      </c>
      <c r="F861" s="37" t="s">
        <v>324</v>
      </c>
      <c r="G861" s="38" t="s">
        <v>188</v>
      </c>
      <c r="H861" s="37"/>
      <c r="I861" s="37"/>
      <c r="J861" s="37" t="s">
        <v>1072</v>
      </c>
      <c r="K861" s="40"/>
      <c r="L861" s="38"/>
      <c r="M861" s="38"/>
      <c r="N861" s="37"/>
      <c r="O861" s="37"/>
      <c r="P861" s="37"/>
      <c r="Q861" s="37"/>
      <c r="R861" s="39"/>
      <c r="S861" s="37"/>
      <c r="T861" s="38" t="s">
        <v>293</v>
      </c>
    </row>
    <row r="862" ht="34.5">
      <c r="A862" s="38" t="s">
        <v>1068</v>
      </c>
      <c r="B862" s="38" t="s">
        <v>1069</v>
      </c>
      <c r="C862" s="38" t="s">
        <v>308</v>
      </c>
      <c r="D862" s="38" t="s">
        <v>288</v>
      </c>
      <c r="E862" s="38" t="s">
        <v>915</v>
      </c>
      <c r="F862" s="37" t="s">
        <v>916</v>
      </c>
      <c r="G862" s="38" t="s">
        <v>451</v>
      </c>
      <c r="H862" s="37"/>
      <c r="I862" s="37"/>
      <c r="J862" s="37" t="s">
        <v>334</v>
      </c>
      <c r="K862" s="40"/>
      <c r="L862" s="38"/>
      <c r="M862" s="38"/>
      <c r="N862" s="37"/>
      <c r="O862" s="37"/>
      <c r="P862" s="37"/>
      <c r="Q862" s="37"/>
      <c r="R862" s="39"/>
      <c r="S862" s="37"/>
      <c r="T862" s="38" t="s">
        <v>293</v>
      </c>
    </row>
    <row r="863" ht="34.5">
      <c r="A863" s="38" t="s">
        <v>1068</v>
      </c>
      <c r="B863" s="38" t="s">
        <v>1069</v>
      </c>
      <c r="C863" s="38" t="s">
        <v>308</v>
      </c>
      <c r="D863" s="38" t="s">
        <v>348</v>
      </c>
      <c r="E863" s="38" t="s">
        <v>915</v>
      </c>
      <c r="F863" s="37" t="s">
        <v>916</v>
      </c>
      <c r="G863" s="38" t="s">
        <v>451</v>
      </c>
      <c r="H863" s="37"/>
      <c r="I863" s="37"/>
      <c r="J863" s="37" t="s">
        <v>349</v>
      </c>
      <c r="K863" s="40"/>
      <c r="L863" s="38"/>
      <c r="M863" s="38"/>
      <c r="N863" s="37"/>
      <c r="O863" s="37"/>
      <c r="P863" s="37"/>
      <c r="Q863" s="37"/>
      <c r="R863" s="39"/>
      <c r="S863" s="37"/>
      <c r="T863" s="38" t="s">
        <v>293</v>
      </c>
    </row>
    <row r="864" ht="34.5">
      <c r="A864" s="38" t="s">
        <v>1068</v>
      </c>
      <c r="B864" s="38" t="s">
        <v>1069</v>
      </c>
      <c r="C864" s="38" t="s">
        <v>308</v>
      </c>
      <c r="D864" s="38" t="s">
        <v>288</v>
      </c>
      <c r="E864" s="38" t="s">
        <v>915</v>
      </c>
      <c r="F864" s="37" t="s">
        <v>916</v>
      </c>
      <c r="G864" s="38" t="s">
        <v>451</v>
      </c>
      <c r="H864" s="37"/>
      <c r="I864" s="37"/>
      <c r="J864" s="37" t="s">
        <v>1073</v>
      </c>
      <c r="K864" s="40"/>
      <c r="L864" s="38"/>
      <c r="M864" s="38"/>
      <c r="N864" s="37"/>
      <c r="O864" s="37"/>
      <c r="P864" s="37"/>
      <c r="Q864" s="37"/>
      <c r="R864" s="39"/>
      <c r="S864" s="37"/>
      <c r="T864" s="38" t="s">
        <v>293</v>
      </c>
    </row>
    <row r="865" ht="34.5">
      <c r="A865" s="38" t="s">
        <v>1068</v>
      </c>
      <c r="B865" s="38" t="s">
        <v>1069</v>
      </c>
      <c r="C865" s="38" t="s">
        <v>308</v>
      </c>
      <c r="D865" s="38" t="s">
        <v>288</v>
      </c>
      <c r="E865" s="38" t="s">
        <v>915</v>
      </c>
      <c r="F865" s="37" t="s">
        <v>916</v>
      </c>
      <c r="G865" s="38" t="s">
        <v>451</v>
      </c>
      <c r="H865" s="37"/>
      <c r="I865" s="37"/>
      <c r="J865" s="37" t="s">
        <v>1074</v>
      </c>
      <c r="K865" s="40">
        <v>228926872</v>
      </c>
      <c r="L865" s="38" t="s">
        <v>297</v>
      </c>
      <c r="M865" s="38"/>
      <c r="N865" s="37"/>
      <c r="O865" s="37"/>
      <c r="P865" s="37"/>
      <c r="Q865" s="37"/>
      <c r="R865" s="39"/>
      <c r="S865" s="37"/>
      <c r="T865" s="38" t="s">
        <v>293</v>
      </c>
    </row>
    <row r="866" ht="34.5">
      <c r="A866" s="38" t="s">
        <v>1068</v>
      </c>
      <c r="B866" s="38" t="s">
        <v>1069</v>
      </c>
      <c r="C866" s="38" t="s">
        <v>308</v>
      </c>
      <c r="D866" s="38" t="s">
        <v>288</v>
      </c>
      <c r="E866" s="38" t="s">
        <v>915</v>
      </c>
      <c r="F866" s="37" t="s">
        <v>916</v>
      </c>
      <c r="G866" s="38" t="s">
        <v>451</v>
      </c>
      <c r="H866" s="37"/>
      <c r="I866" s="37"/>
      <c r="J866" s="37" t="s">
        <v>1075</v>
      </c>
      <c r="K866" s="40">
        <v>38487363</v>
      </c>
      <c r="L866" s="38" t="s">
        <v>297</v>
      </c>
      <c r="M866" s="38"/>
      <c r="N866" s="37"/>
      <c r="O866" s="37"/>
      <c r="P866" s="37"/>
      <c r="Q866" s="37"/>
      <c r="R866" s="39"/>
      <c r="S866" s="37"/>
      <c r="T866" s="38" t="s">
        <v>293</v>
      </c>
    </row>
    <row r="867" ht="34.5">
      <c r="A867" s="38" t="s">
        <v>1068</v>
      </c>
      <c r="B867" s="38" t="s">
        <v>1069</v>
      </c>
      <c r="C867" s="38" t="s">
        <v>314</v>
      </c>
      <c r="D867" s="38" t="s">
        <v>288</v>
      </c>
      <c r="E867" s="38" t="s">
        <v>915</v>
      </c>
      <c r="F867" s="37" t="s">
        <v>916</v>
      </c>
      <c r="G867" s="38" t="s">
        <v>451</v>
      </c>
      <c r="H867" s="37"/>
      <c r="I867" s="37"/>
      <c r="J867" s="37" t="s">
        <v>341</v>
      </c>
      <c r="K867" s="40"/>
      <c r="L867" s="38"/>
      <c r="M867" s="38"/>
      <c r="N867" s="37"/>
      <c r="O867" s="37"/>
      <c r="P867" s="37"/>
      <c r="Q867" s="37"/>
      <c r="R867" s="39"/>
      <c r="S867" s="37"/>
      <c r="T867" s="38" t="s">
        <v>293</v>
      </c>
    </row>
    <row r="868" ht="34.5">
      <c r="A868" s="38" t="s">
        <v>1068</v>
      </c>
      <c r="B868" s="38" t="s">
        <v>1069</v>
      </c>
      <c r="C868" s="38" t="s">
        <v>314</v>
      </c>
      <c r="D868" s="38" t="s">
        <v>352</v>
      </c>
      <c r="E868" s="38" t="s">
        <v>915</v>
      </c>
      <c r="F868" s="37" t="s">
        <v>916</v>
      </c>
      <c r="G868" s="38" t="s">
        <v>451</v>
      </c>
      <c r="H868" s="37"/>
      <c r="I868" s="37"/>
      <c r="J868" s="37" t="s">
        <v>353</v>
      </c>
      <c r="K868" s="40"/>
      <c r="L868" s="38"/>
      <c r="M868" s="38"/>
      <c r="N868" s="37"/>
      <c r="O868" s="37"/>
      <c r="P868" s="37"/>
      <c r="Q868" s="37"/>
      <c r="R868" s="39"/>
      <c r="S868" s="37"/>
      <c r="T868" s="38" t="s">
        <v>293</v>
      </c>
    </row>
    <row r="869" ht="34.5">
      <c r="A869" s="38" t="s">
        <v>1068</v>
      </c>
      <c r="B869" s="38" t="s">
        <v>1069</v>
      </c>
      <c r="C869" s="38" t="s">
        <v>329</v>
      </c>
      <c r="D869" s="38" t="s">
        <v>362</v>
      </c>
      <c r="E869" s="38" t="s">
        <v>915</v>
      </c>
      <c r="F869" s="37" t="s">
        <v>916</v>
      </c>
      <c r="G869" s="38" t="s">
        <v>451</v>
      </c>
      <c r="H869" s="37"/>
      <c r="I869" s="37"/>
      <c r="J869" s="37" t="s">
        <v>363</v>
      </c>
      <c r="K869" s="40"/>
      <c r="L869" s="38"/>
      <c r="M869" s="38"/>
      <c r="N869" s="37"/>
      <c r="O869" s="37"/>
      <c r="P869" s="37"/>
      <c r="Q869" s="37"/>
      <c r="R869" s="39"/>
      <c r="S869" s="37"/>
      <c r="T869" s="38" t="s">
        <v>293</v>
      </c>
    </row>
    <row r="870" ht="34.5">
      <c r="A870" s="38" t="s">
        <v>1068</v>
      </c>
      <c r="B870" s="38" t="s">
        <v>1069</v>
      </c>
      <c r="C870" s="38" t="s">
        <v>329</v>
      </c>
      <c r="D870" s="38" t="s">
        <v>288</v>
      </c>
      <c r="E870" s="38" t="s">
        <v>915</v>
      </c>
      <c r="F870" s="37" t="s">
        <v>916</v>
      </c>
      <c r="G870" s="38" t="s">
        <v>451</v>
      </c>
      <c r="H870" s="37"/>
      <c r="I870" s="37"/>
      <c r="J870" s="37" t="s">
        <v>1076</v>
      </c>
      <c r="K870" s="40"/>
      <c r="L870" s="38"/>
      <c r="M870" s="38"/>
      <c r="N870" s="37"/>
      <c r="O870" s="37"/>
      <c r="P870" s="37"/>
      <c r="Q870" s="37"/>
      <c r="R870" s="39"/>
      <c r="S870" s="37"/>
      <c r="T870" s="38" t="s">
        <v>293</v>
      </c>
    </row>
    <row r="871" ht="34.5">
      <c r="A871" s="38" t="s">
        <v>1068</v>
      </c>
      <c r="B871" s="38" t="s">
        <v>1069</v>
      </c>
      <c r="C871" s="38" t="s">
        <v>329</v>
      </c>
      <c r="D871" s="38" t="s">
        <v>288</v>
      </c>
      <c r="E871" s="38" t="s">
        <v>915</v>
      </c>
      <c r="F871" s="37" t="s">
        <v>916</v>
      </c>
      <c r="G871" s="38" t="s">
        <v>451</v>
      </c>
      <c r="H871" s="37"/>
      <c r="I871" s="37"/>
      <c r="J871" s="37" t="s">
        <v>1077</v>
      </c>
      <c r="K871" s="40">
        <v>15420826</v>
      </c>
      <c r="L871" s="38" t="s">
        <v>297</v>
      </c>
      <c r="M871" s="38"/>
      <c r="N871" s="37"/>
      <c r="O871" s="37"/>
      <c r="P871" s="37"/>
      <c r="Q871" s="37"/>
      <c r="R871" s="39"/>
      <c r="S871" s="37"/>
      <c r="T871" s="38" t="s">
        <v>293</v>
      </c>
    </row>
    <row r="872" ht="34.5">
      <c r="A872" s="38" t="s">
        <v>1068</v>
      </c>
      <c r="B872" s="38" t="s">
        <v>1069</v>
      </c>
      <c r="C872" s="38" t="s">
        <v>339</v>
      </c>
      <c r="D872" s="38" t="s">
        <v>288</v>
      </c>
      <c r="E872" s="38" t="s">
        <v>921</v>
      </c>
      <c r="F872" s="37" t="s">
        <v>922</v>
      </c>
      <c r="G872" s="38" t="s">
        <v>70</v>
      </c>
      <c r="H872" s="37"/>
      <c r="I872" s="37"/>
      <c r="J872" s="37" t="s">
        <v>347</v>
      </c>
      <c r="K872" s="40"/>
      <c r="L872" s="38"/>
      <c r="M872" s="38"/>
      <c r="N872" s="37"/>
      <c r="O872" s="37"/>
      <c r="P872" s="37"/>
      <c r="Q872" s="37"/>
      <c r="R872" s="39"/>
      <c r="S872" s="37"/>
      <c r="T872" s="38" t="s">
        <v>293</v>
      </c>
    </row>
    <row r="873" ht="34.5">
      <c r="A873" s="38" t="s">
        <v>1068</v>
      </c>
      <c r="B873" s="38" t="s">
        <v>1069</v>
      </c>
      <c r="C873" s="38" t="s">
        <v>339</v>
      </c>
      <c r="D873" s="38" t="s">
        <v>369</v>
      </c>
      <c r="E873" s="38" t="s">
        <v>921</v>
      </c>
      <c r="F873" s="37" t="s">
        <v>922</v>
      </c>
      <c r="G873" s="38" t="s">
        <v>70</v>
      </c>
      <c r="H873" s="37"/>
      <c r="I873" s="37"/>
      <c r="J873" s="37" t="s">
        <v>923</v>
      </c>
      <c r="K873" s="40"/>
      <c r="L873" s="38"/>
      <c r="M873" s="38"/>
      <c r="N873" s="37"/>
      <c r="O873" s="37"/>
      <c r="P873" s="37"/>
      <c r="Q873" s="37"/>
      <c r="R873" s="39"/>
      <c r="S873" s="37"/>
      <c r="T873" s="38" t="s">
        <v>293</v>
      </c>
    </row>
    <row r="874" ht="34.5">
      <c r="A874" s="38" t="s">
        <v>1068</v>
      </c>
      <c r="B874" s="38" t="s">
        <v>1069</v>
      </c>
      <c r="C874" s="38" t="s">
        <v>339</v>
      </c>
      <c r="D874" s="38" t="s">
        <v>288</v>
      </c>
      <c r="E874" s="38" t="s">
        <v>921</v>
      </c>
      <c r="F874" s="37" t="s">
        <v>922</v>
      </c>
      <c r="G874" s="38" t="s">
        <v>70</v>
      </c>
      <c r="H874" s="37"/>
      <c r="I874" s="37"/>
      <c r="J874" s="37" t="s">
        <v>351</v>
      </c>
      <c r="K874" s="40"/>
      <c r="L874" s="38"/>
      <c r="M874" s="38"/>
      <c r="N874" s="37"/>
      <c r="O874" s="37"/>
      <c r="P874" s="37"/>
      <c r="Q874" s="37"/>
      <c r="R874" s="39"/>
      <c r="S874" s="37"/>
      <c r="T874" s="38" t="s">
        <v>293</v>
      </c>
    </row>
    <row r="875" ht="34.5">
      <c r="A875" s="38" t="s">
        <v>1068</v>
      </c>
      <c r="B875" s="38" t="s">
        <v>1069</v>
      </c>
      <c r="C875" s="38" t="s">
        <v>339</v>
      </c>
      <c r="D875" s="38" t="s">
        <v>928</v>
      </c>
      <c r="E875" s="38" t="s">
        <v>921</v>
      </c>
      <c r="F875" s="37" t="s">
        <v>922</v>
      </c>
      <c r="G875" s="38" t="s">
        <v>70</v>
      </c>
      <c r="H875" s="37"/>
      <c r="I875" s="37"/>
      <c r="J875" s="37" t="s">
        <v>929</v>
      </c>
      <c r="K875" s="40"/>
      <c r="L875" s="38"/>
      <c r="M875" s="38"/>
      <c r="N875" s="37"/>
      <c r="O875" s="37"/>
      <c r="P875" s="37"/>
      <c r="Q875" s="37"/>
      <c r="R875" s="39"/>
      <c r="S875" s="37"/>
      <c r="T875" s="38" t="s">
        <v>293</v>
      </c>
    </row>
    <row r="876" ht="34.5">
      <c r="A876" s="38" t="s">
        <v>1068</v>
      </c>
      <c r="B876" s="38" t="s">
        <v>1069</v>
      </c>
      <c r="C876" s="38" t="s">
        <v>350</v>
      </c>
      <c r="D876" s="38" t="s">
        <v>288</v>
      </c>
      <c r="E876" s="38" t="s">
        <v>921</v>
      </c>
      <c r="F876" s="37" t="s">
        <v>922</v>
      </c>
      <c r="G876" s="38" t="s">
        <v>70</v>
      </c>
      <c r="H876" s="37"/>
      <c r="I876" s="37"/>
      <c r="J876" s="37" t="s">
        <v>354</v>
      </c>
      <c r="K876" s="40"/>
      <c r="L876" s="38"/>
      <c r="M876" s="38"/>
      <c r="N876" s="37"/>
      <c r="O876" s="37"/>
      <c r="P876" s="37"/>
      <c r="Q876" s="37"/>
      <c r="R876" s="39"/>
      <c r="S876" s="37"/>
      <c r="T876" s="38" t="s">
        <v>293</v>
      </c>
    </row>
    <row r="877" ht="34.5">
      <c r="A877" s="38" t="s">
        <v>1068</v>
      </c>
      <c r="B877" s="38" t="s">
        <v>1069</v>
      </c>
      <c r="C877" s="38" t="s">
        <v>350</v>
      </c>
      <c r="D877" s="38" t="s">
        <v>288</v>
      </c>
      <c r="E877" s="38" t="s">
        <v>921</v>
      </c>
      <c r="F877" s="37" t="s">
        <v>922</v>
      </c>
      <c r="G877" s="38" t="s">
        <v>70</v>
      </c>
      <c r="H877" s="37"/>
      <c r="I877" s="37"/>
      <c r="J877" s="37" t="s">
        <v>1078</v>
      </c>
      <c r="K877" s="40">
        <v>5888697</v>
      </c>
      <c r="L877" s="38" t="s">
        <v>297</v>
      </c>
      <c r="M877" s="38"/>
      <c r="N877" s="37"/>
      <c r="O877" s="37"/>
      <c r="P877" s="37"/>
      <c r="Q877" s="37"/>
      <c r="R877" s="39"/>
      <c r="S877" s="37"/>
      <c r="T877" s="38" t="s">
        <v>293</v>
      </c>
    </row>
    <row r="878" ht="34.5">
      <c r="A878" s="38" t="s">
        <v>1068</v>
      </c>
      <c r="B878" s="38" t="s">
        <v>1069</v>
      </c>
      <c r="C878" s="38" t="s">
        <v>350</v>
      </c>
      <c r="D878" s="38" t="s">
        <v>288</v>
      </c>
      <c r="E878" s="38" t="s">
        <v>921</v>
      </c>
      <c r="F878" s="37" t="s">
        <v>922</v>
      </c>
      <c r="G878" s="38" t="s">
        <v>70</v>
      </c>
      <c r="H878" s="37"/>
      <c r="I878" s="37"/>
      <c r="J878" s="37" t="s">
        <v>356</v>
      </c>
      <c r="K878" s="40"/>
      <c r="L878" s="38"/>
      <c r="M878" s="38"/>
      <c r="N878" s="37"/>
      <c r="O878" s="37"/>
      <c r="P878" s="37"/>
      <c r="Q878" s="37"/>
      <c r="R878" s="39"/>
      <c r="S878" s="37"/>
      <c r="T878" s="38" t="s">
        <v>293</v>
      </c>
    </row>
    <row r="879" ht="34.5">
      <c r="A879" s="38" t="s">
        <v>1068</v>
      </c>
      <c r="B879" s="38" t="s">
        <v>1069</v>
      </c>
      <c r="C879" s="38" t="s">
        <v>350</v>
      </c>
      <c r="D879" s="38" t="s">
        <v>288</v>
      </c>
      <c r="E879" s="38" t="s">
        <v>921</v>
      </c>
      <c r="F879" s="37" t="s">
        <v>922</v>
      </c>
      <c r="G879" s="38" t="s">
        <v>70</v>
      </c>
      <c r="H879" s="37"/>
      <c r="I879" s="37"/>
      <c r="J879" s="37" t="s">
        <v>1079</v>
      </c>
      <c r="K879" s="40">
        <v>7967095</v>
      </c>
      <c r="L879" s="38" t="s">
        <v>297</v>
      </c>
      <c r="M879" s="38"/>
      <c r="N879" s="37"/>
      <c r="O879" s="37"/>
      <c r="P879" s="37"/>
      <c r="Q879" s="37"/>
      <c r="R879" s="39"/>
      <c r="S879" s="37"/>
      <c r="T879" s="38" t="s">
        <v>293</v>
      </c>
    </row>
    <row r="880" ht="34.5">
      <c r="A880" s="38" t="s">
        <v>1068</v>
      </c>
      <c r="B880" s="38" t="s">
        <v>1069</v>
      </c>
      <c r="C880" s="38" t="s">
        <v>350</v>
      </c>
      <c r="D880" s="38" t="s">
        <v>288</v>
      </c>
      <c r="E880" s="38" t="s">
        <v>921</v>
      </c>
      <c r="F880" s="37" t="s">
        <v>922</v>
      </c>
      <c r="G880" s="38" t="s">
        <v>70</v>
      </c>
      <c r="H880" s="37"/>
      <c r="I880" s="37"/>
      <c r="J880" s="37" t="s">
        <v>358</v>
      </c>
      <c r="K880" s="40"/>
      <c r="L880" s="38"/>
      <c r="M880" s="38"/>
      <c r="N880" s="37"/>
      <c r="O880" s="37"/>
      <c r="P880" s="37"/>
      <c r="Q880" s="37"/>
      <c r="R880" s="39"/>
      <c r="S880" s="37"/>
      <c r="T880" s="38" t="s">
        <v>293</v>
      </c>
    </row>
    <row r="881" ht="34.5">
      <c r="A881" s="38" t="s">
        <v>1068</v>
      </c>
      <c r="B881" s="38" t="s">
        <v>1069</v>
      </c>
      <c r="C881" s="38" t="s">
        <v>350</v>
      </c>
      <c r="D881" s="38" t="s">
        <v>288</v>
      </c>
      <c r="E881" s="38" t="s">
        <v>921</v>
      </c>
      <c r="F881" s="37" t="s">
        <v>922</v>
      </c>
      <c r="G881" s="38" t="s">
        <v>70</v>
      </c>
      <c r="H881" s="37"/>
      <c r="I881" s="37"/>
      <c r="J881" s="37" t="s">
        <v>1080</v>
      </c>
      <c r="K881" s="40">
        <v>1670814</v>
      </c>
      <c r="L881" s="38" t="s">
        <v>297</v>
      </c>
      <c r="M881" s="38"/>
      <c r="N881" s="37"/>
      <c r="O881" s="37"/>
      <c r="P881" s="37"/>
      <c r="Q881" s="37"/>
      <c r="R881" s="39"/>
      <c r="S881" s="37"/>
      <c r="T881" s="38" t="s">
        <v>293</v>
      </c>
    </row>
    <row r="882" ht="34.5">
      <c r="A882" s="38" t="s">
        <v>1068</v>
      </c>
      <c r="B882" s="38" t="s">
        <v>1069</v>
      </c>
      <c r="C882" s="38" t="s">
        <v>350</v>
      </c>
      <c r="D882" s="38" t="s">
        <v>288</v>
      </c>
      <c r="E882" s="38" t="s">
        <v>921</v>
      </c>
      <c r="F882" s="37" t="s">
        <v>922</v>
      </c>
      <c r="G882" s="38" t="s">
        <v>70</v>
      </c>
      <c r="H882" s="37"/>
      <c r="I882" s="37"/>
      <c r="J882" s="37" t="s">
        <v>927</v>
      </c>
      <c r="K882" s="40"/>
      <c r="L882" s="38"/>
      <c r="M882" s="38"/>
      <c r="N882" s="37"/>
      <c r="O882" s="37"/>
      <c r="P882" s="37"/>
      <c r="Q882" s="37"/>
      <c r="R882" s="39"/>
      <c r="S882" s="37"/>
      <c r="T882" s="38" t="s">
        <v>293</v>
      </c>
    </row>
    <row r="883" ht="34.5">
      <c r="A883" s="38" t="s">
        <v>1068</v>
      </c>
      <c r="B883" s="38" t="s">
        <v>1069</v>
      </c>
      <c r="C883" s="38" t="s">
        <v>350</v>
      </c>
      <c r="D883" s="38" t="s">
        <v>376</v>
      </c>
      <c r="E883" s="38" t="s">
        <v>921</v>
      </c>
      <c r="F883" s="37" t="s">
        <v>922</v>
      </c>
      <c r="G883" s="38" t="s">
        <v>70</v>
      </c>
      <c r="H883" s="37"/>
      <c r="I883" s="37"/>
      <c r="J883" s="37" t="s">
        <v>377</v>
      </c>
      <c r="K883" s="40"/>
      <c r="L883" s="38"/>
      <c r="M883" s="38"/>
      <c r="N883" s="37"/>
      <c r="O883" s="37"/>
      <c r="P883" s="37"/>
      <c r="Q883" s="37"/>
      <c r="R883" s="39"/>
      <c r="S883" s="37"/>
      <c r="T883" s="38" t="s">
        <v>293</v>
      </c>
    </row>
    <row r="884" ht="34.5">
      <c r="A884" s="38" t="s">
        <v>1068</v>
      </c>
      <c r="B884" s="38" t="s">
        <v>1069</v>
      </c>
      <c r="C884" s="38" t="s">
        <v>360</v>
      </c>
      <c r="D884" s="38" t="s">
        <v>288</v>
      </c>
      <c r="E884" s="38" t="s">
        <v>921</v>
      </c>
      <c r="F884" s="37" t="s">
        <v>922</v>
      </c>
      <c r="G884" s="38" t="s">
        <v>70</v>
      </c>
      <c r="H884" s="37"/>
      <c r="I884" s="37"/>
      <c r="J884" s="37" t="s">
        <v>1081</v>
      </c>
      <c r="K884" s="40"/>
      <c r="L884" s="38"/>
      <c r="M884" s="38"/>
      <c r="N884" s="37"/>
      <c r="O884" s="37"/>
      <c r="P884" s="37"/>
      <c r="Q884" s="37"/>
      <c r="R884" s="39"/>
      <c r="S884" s="37"/>
      <c r="T884" s="38" t="s">
        <v>293</v>
      </c>
    </row>
    <row r="885" ht="34.5">
      <c r="A885" s="38" t="s">
        <v>1068</v>
      </c>
      <c r="B885" s="38" t="s">
        <v>1069</v>
      </c>
      <c r="C885" s="38" t="s">
        <v>360</v>
      </c>
      <c r="D885" s="38" t="s">
        <v>382</v>
      </c>
      <c r="E885" s="38" t="s">
        <v>921</v>
      </c>
      <c r="F885" s="37" t="s">
        <v>922</v>
      </c>
      <c r="G885" s="38" t="s">
        <v>70</v>
      </c>
      <c r="H885" s="37"/>
      <c r="I885" s="37"/>
      <c r="J885" s="37" t="s">
        <v>383</v>
      </c>
      <c r="K885" s="40"/>
      <c r="L885" s="38"/>
      <c r="M885" s="38"/>
      <c r="N885" s="37"/>
      <c r="O885" s="37"/>
      <c r="P885" s="37"/>
      <c r="Q885" s="37"/>
      <c r="R885" s="39"/>
      <c r="S885" s="37"/>
      <c r="T885" s="38" t="s">
        <v>293</v>
      </c>
    </row>
    <row r="886" ht="34.5">
      <c r="A886" s="38" t="s">
        <v>1068</v>
      </c>
      <c r="B886" s="38" t="s">
        <v>1069</v>
      </c>
      <c r="C886" s="38" t="s">
        <v>360</v>
      </c>
      <c r="D886" s="38" t="s">
        <v>288</v>
      </c>
      <c r="E886" s="38" t="s">
        <v>921</v>
      </c>
      <c r="F886" s="37" t="s">
        <v>922</v>
      </c>
      <c r="G886" s="38" t="s">
        <v>70</v>
      </c>
      <c r="H886" s="37"/>
      <c r="I886" s="37"/>
      <c r="J886" s="37" t="s">
        <v>931</v>
      </c>
      <c r="K886" s="40"/>
      <c r="L886" s="38"/>
      <c r="M886" s="38"/>
      <c r="N886" s="37"/>
      <c r="O886" s="37"/>
      <c r="P886" s="37"/>
      <c r="Q886" s="37"/>
      <c r="R886" s="39"/>
      <c r="S886" s="37"/>
      <c r="T886" s="38" t="s">
        <v>293</v>
      </c>
    </row>
    <row r="887" ht="34.5">
      <c r="A887" s="38" t="s">
        <v>1068</v>
      </c>
      <c r="B887" s="38" t="s">
        <v>1069</v>
      </c>
      <c r="C887" s="38" t="s">
        <v>360</v>
      </c>
      <c r="D887" s="38" t="s">
        <v>288</v>
      </c>
      <c r="E887" s="38" t="s">
        <v>921</v>
      </c>
      <c r="F887" s="37" t="s">
        <v>922</v>
      </c>
      <c r="G887" s="38" t="s">
        <v>70</v>
      </c>
      <c r="H887" s="37"/>
      <c r="I887" s="37"/>
      <c r="J887" s="37" t="s">
        <v>368</v>
      </c>
      <c r="K887" s="40"/>
      <c r="L887" s="38"/>
      <c r="M887" s="38"/>
      <c r="N887" s="37"/>
      <c r="O887" s="37"/>
      <c r="P887" s="37"/>
      <c r="Q887" s="37"/>
      <c r="R887" s="39"/>
      <c r="S887" s="37"/>
      <c r="T887" s="38" t="s">
        <v>293</v>
      </c>
    </row>
    <row r="888" ht="34.5">
      <c r="A888" s="38" t="s">
        <v>1068</v>
      </c>
      <c r="B888" s="38" t="s">
        <v>1069</v>
      </c>
      <c r="C888" s="38" t="s">
        <v>360</v>
      </c>
      <c r="D888" s="38" t="s">
        <v>385</v>
      </c>
      <c r="E888" s="38" t="s">
        <v>921</v>
      </c>
      <c r="F888" s="37" t="s">
        <v>922</v>
      </c>
      <c r="G888" s="38" t="s">
        <v>70</v>
      </c>
      <c r="H888" s="37"/>
      <c r="I888" s="37"/>
      <c r="J888" s="37" t="s">
        <v>386</v>
      </c>
      <c r="K888" s="40"/>
      <c r="L888" s="38"/>
      <c r="M888" s="38"/>
      <c r="N888" s="37"/>
      <c r="O888" s="37"/>
      <c r="P888" s="37"/>
      <c r="Q888" s="37"/>
      <c r="R888" s="39"/>
      <c r="S888" s="37"/>
      <c r="T888" s="38" t="s">
        <v>293</v>
      </c>
    </row>
    <row r="889" ht="34.5">
      <c r="A889" s="38" t="s">
        <v>1068</v>
      </c>
      <c r="B889" s="38" t="s">
        <v>1069</v>
      </c>
      <c r="C889" s="38" t="s">
        <v>364</v>
      </c>
      <c r="D889" s="38" t="s">
        <v>388</v>
      </c>
      <c r="E889" s="38" t="s">
        <v>921</v>
      </c>
      <c r="F889" s="37" t="s">
        <v>922</v>
      </c>
      <c r="G889" s="38" t="s">
        <v>70</v>
      </c>
      <c r="H889" s="37"/>
      <c r="I889" s="37"/>
      <c r="J889" s="37" t="s">
        <v>389</v>
      </c>
      <c r="K889" s="40"/>
      <c r="L889" s="38"/>
      <c r="M889" s="38"/>
      <c r="N889" s="37"/>
      <c r="O889" s="37"/>
      <c r="P889" s="37"/>
      <c r="Q889" s="37"/>
      <c r="R889" s="39"/>
      <c r="S889" s="37"/>
      <c r="T889" s="38" t="s">
        <v>293</v>
      </c>
    </row>
    <row r="890" ht="34.5">
      <c r="A890" s="38" t="s">
        <v>1068</v>
      </c>
      <c r="B890" s="38" t="s">
        <v>1069</v>
      </c>
      <c r="C890" s="38" t="s">
        <v>364</v>
      </c>
      <c r="D890" s="38" t="s">
        <v>288</v>
      </c>
      <c r="E890" s="38" t="s">
        <v>921</v>
      </c>
      <c r="F890" s="37" t="s">
        <v>922</v>
      </c>
      <c r="G890" s="38" t="s">
        <v>70</v>
      </c>
      <c r="H890" s="37"/>
      <c r="I890" s="37"/>
      <c r="J890" s="37" t="s">
        <v>1082</v>
      </c>
      <c r="K890" s="40">
        <v>13418835</v>
      </c>
      <c r="L890" s="38" t="s">
        <v>297</v>
      </c>
      <c r="M890" s="38"/>
      <c r="N890" s="37"/>
      <c r="O890" s="37"/>
      <c r="P890" s="37"/>
      <c r="Q890" s="37"/>
      <c r="R890" s="39"/>
      <c r="S890" s="37"/>
      <c r="T890" s="38" t="s">
        <v>293</v>
      </c>
    </row>
    <row r="891" ht="34.5">
      <c r="A891" s="38" t="s">
        <v>1068</v>
      </c>
      <c r="B891" s="38" t="s">
        <v>1069</v>
      </c>
      <c r="C891" s="38" t="s">
        <v>364</v>
      </c>
      <c r="D891" s="38" t="s">
        <v>288</v>
      </c>
      <c r="E891" s="38" t="s">
        <v>373</v>
      </c>
      <c r="F891" s="37" t="s">
        <v>374</v>
      </c>
      <c r="G891" s="38" t="s">
        <v>70</v>
      </c>
      <c r="H891" s="37"/>
      <c r="I891" s="37"/>
      <c r="J891" s="37" t="s">
        <v>1083</v>
      </c>
      <c r="K891" s="40"/>
      <c r="L891" s="38"/>
      <c r="M891" s="38"/>
      <c r="N891" s="37"/>
      <c r="O891" s="37"/>
      <c r="P891" s="37"/>
      <c r="Q891" s="37"/>
      <c r="R891" s="39"/>
      <c r="S891" s="37"/>
      <c r="T891" s="38" t="s">
        <v>293</v>
      </c>
    </row>
    <row r="892" ht="34.5">
      <c r="A892" s="38" t="s">
        <v>1068</v>
      </c>
      <c r="B892" s="38" t="s">
        <v>1069</v>
      </c>
      <c r="C892" s="38" t="s">
        <v>364</v>
      </c>
      <c r="D892" s="38" t="s">
        <v>392</v>
      </c>
      <c r="E892" s="38" t="s">
        <v>373</v>
      </c>
      <c r="F892" s="37" t="s">
        <v>374</v>
      </c>
      <c r="G892" s="38" t="s">
        <v>70</v>
      </c>
      <c r="H892" s="37"/>
      <c r="I892" s="37"/>
      <c r="J892" s="37" t="s">
        <v>393</v>
      </c>
      <c r="K892" s="40"/>
      <c r="L892" s="38"/>
      <c r="M892" s="38"/>
      <c r="N892" s="37"/>
      <c r="O892" s="37"/>
      <c r="P892" s="37"/>
      <c r="Q892" s="37"/>
      <c r="R892" s="39"/>
      <c r="S892" s="37"/>
      <c r="T892" s="38" t="s">
        <v>293</v>
      </c>
    </row>
    <row r="893" ht="34.5">
      <c r="A893" s="38" t="s">
        <v>1068</v>
      </c>
      <c r="B893" s="38" t="s">
        <v>1069</v>
      </c>
      <c r="C893" s="38" t="s">
        <v>372</v>
      </c>
      <c r="D893" s="38" t="s">
        <v>288</v>
      </c>
      <c r="E893" s="38" t="s">
        <v>373</v>
      </c>
      <c r="F893" s="37" t="s">
        <v>374</v>
      </c>
      <c r="G893" s="38" t="s">
        <v>70</v>
      </c>
      <c r="H893" s="37"/>
      <c r="I893" s="37"/>
      <c r="J893" s="37" t="s">
        <v>1084</v>
      </c>
      <c r="K893" s="40"/>
      <c r="L893" s="38"/>
      <c r="M893" s="38"/>
      <c r="N893" s="37"/>
      <c r="O893" s="37"/>
      <c r="P893" s="37"/>
      <c r="Q893" s="37"/>
      <c r="R893" s="39"/>
      <c r="S893" s="37"/>
      <c r="T893" s="38" t="s">
        <v>293</v>
      </c>
    </row>
    <row r="894" ht="34.5">
      <c r="A894" s="38" t="s">
        <v>1068</v>
      </c>
      <c r="B894" s="38" t="s">
        <v>1069</v>
      </c>
      <c r="C894" s="38" t="s">
        <v>372</v>
      </c>
      <c r="D894" s="38" t="s">
        <v>288</v>
      </c>
      <c r="E894" s="38" t="s">
        <v>373</v>
      </c>
      <c r="F894" s="37" t="s">
        <v>374</v>
      </c>
      <c r="G894" s="38" t="s">
        <v>70</v>
      </c>
      <c r="H894" s="37"/>
      <c r="I894" s="37"/>
      <c r="J894" s="37" t="s">
        <v>381</v>
      </c>
      <c r="K894" s="40"/>
      <c r="L894" s="38"/>
      <c r="M894" s="38"/>
      <c r="N894" s="37"/>
      <c r="O894" s="37"/>
      <c r="P894" s="37"/>
      <c r="Q894" s="37"/>
      <c r="R894" s="39"/>
      <c r="S894" s="37"/>
      <c r="T894" s="38" t="s">
        <v>293</v>
      </c>
    </row>
    <row r="895" ht="34.5">
      <c r="A895" s="38" t="s">
        <v>1068</v>
      </c>
      <c r="B895" s="38" t="s">
        <v>1069</v>
      </c>
      <c r="C895" s="38" t="s">
        <v>372</v>
      </c>
      <c r="D895" s="38" t="s">
        <v>402</v>
      </c>
      <c r="E895" s="38" t="s">
        <v>373</v>
      </c>
      <c r="F895" s="37" t="s">
        <v>374</v>
      </c>
      <c r="G895" s="38" t="s">
        <v>70</v>
      </c>
      <c r="H895" s="37"/>
      <c r="I895" s="37"/>
      <c r="J895" s="37" t="s">
        <v>403</v>
      </c>
      <c r="K895" s="40"/>
      <c r="L895" s="38"/>
      <c r="M895" s="38"/>
      <c r="N895" s="37"/>
      <c r="O895" s="37"/>
      <c r="P895" s="37"/>
      <c r="Q895" s="37"/>
      <c r="R895" s="39"/>
      <c r="S895" s="37"/>
      <c r="T895" s="38" t="s">
        <v>293</v>
      </c>
    </row>
    <row r="896" ht="34.5">
      <c r="A896" s="38" t="s">
        <v>1068</v>
      </c>
      <c r="B896" s="38" t="s">
        <v>1069</v>
      </c>
      <c r="C896" s="38" t="s">
        <v>384</v>
      </c>
      <c r="D896" s="38" t="s">
        <v>288</v>
      </c>
      <c r="E896" s="38" t="s">
        <v>373</v>
      </c>
      <c r="F896" s="37" t="s">
        <v>374</v>
      </c>
      <c r="G896" s="38" t="s">
        <v>70</v>
      </c>
      <c r="H896" s="37"/>
      <c r="I896" s="37"/>
      <c r="J896" s="37" t="s">
        <v>387</v>
      </c>
      <c r="K896" s="40"/>
      <c r="L896" s="38"/>
      <c r="M896" s="38"/>
      <c r="N896" s="37"/>
      <c r="O896" s="37"/>
      <c r="P896" s="37"/>
      <c r="Q896" s="37"/>
      <c r="R896" s="39"/>
      <c r="S896" s="37"/>
      <c r="T896" s="38" t="s">
        <v>293</v>
      </c>
    </row>
    <row r="897" ht="34.5">
      <c r="A897" s="38" t="s">
        <v>1068</v>
      </c>
      <c r="B897" s="38" t="s">
        <v>1069</v>
      </c>
      <c r="C897" s="38" t="s">
        <v>384</v>
      </c>
      <c r="D897" s="38" t="s">
        <v>405</v>
      </c>
      <c r="E897" s="38" t="s">
        <v>373</v>
      </c>
      <c r="F897" s="37" t="s">
        <v>374</v>
      </c>
      <c r="G897" s="38" t="s">
        <v>70</v>
      </c>
      <c r="H897" s="37"/>
      <c r="I897" s="37"/>
      <c r="J897" s="37" t="s">
        <v>406</v>
      </c>
      <c r="K897" s="40"/>
      <c r="L897" s="38"/>
      <c r="M897" s="38"/>
      <c r="N897" s="37"/>
      <c r="O897" s="37"/>
      <c r="P897" s="37"/>
      <c r="Q897" s="37"/>
      <c r="R897" s="39"/>
      <c r="S897" s="37"/>
      <c r="T897" s="38" t="s">
        <v>293</v>
      </c>
    </row>
    <row r="898" ht="34.5">
      <c r="A898" s="38" t="s">
        <v>1068</v>
      </c>
      <c r="B898" s="38" t="s">
        <v>1069</v>
      </c>
      <c r="C898" s="38" t="s">
        <v>384</v>
      </c>
      <c r="D898" s="38" t="s">
        <v>288</v>
      </c>
      <c r="E898" s="38" t="s">
        <v>373</v>
      </c>
      <c r="F898" s="37" t="s">
        <v>374</v>
      </c>
      <c r="G898" s="38" t="s">
        <v>70</v>
      </c>
      <c r="H898" s="37"/>
      <c r="I898" s="37"/>
      <c r="J898" s="37" t="s">
        <v>934</v>
      </c>
      <c r="K898" s="40"/>
      <c r="L898" s="38"/>
      <c r="M898" s="38"/>
      <c r="N898" s="37"/>
      <c r="O898" s="37"/>
      <c r="P898" s="37"/>
      <c r="Q898" s="37"/>
      <c r="R898" s="39"/>
      <c r="S898" s="37"/>
      <c r="T898" s="38" t="s">
        <v>293</v>
      </c>
    </row>
    <row r="899" ht="34.5">
      <c r="A899" s="38" t="s">
        <v>1068</v>
      </c>
      <c r="B899" s="38" t="s">
        <v>1069</v>
      </c>
      <c r="C899" s="38" t="s">
        <v>384</v>
      </c>
      <c r="D899" s="38" t="s">
        <v>288</v>
      </c>
      <c r="E899" s="38" t="s">
        <v>373</v>
      </c>
      <c r="F899" s="37" t="s">
        <v>374</v>
      </c>
      <c r="G899" s="38" t="s">
        <v>70</v>
      </c>
      <c r="H899" s="37"/>
      <c r="I899" s="37"/>
      <c r="J899" s="37" t="s">
        <v>935</v>
      </c>
      <c r="K899" s="40"/>
      <c r="L899" s="38"/>
      <c r="M899" s="38"/>
      <c r="N899" s="37"/>
      <c r="O899" s="37"/>
      <c r="P899" s="37"/>
      <c r="Q899" s="37"/>
      <c r="R899" s="39"/>
      <c r="S899" s="37"/>
      <c r="T899" s="38" t="s">
        <v>293</v>
      </c>
    </row>
    <row r="900" ht="34.5">
      <c r="A900" s="38" t="s">
        <v>1068</v>
      </c>
      <c r="B900" s="38" t="s">
        <v>1069</v>
      </c>
      <c r="C900" s="38" t="s">
        <v>384</v>
      </c>
      <c r="D900" s="38" t="s">
        <v>288</v>
      </c>
      <c r="E900" s="38" t="s">
        <v>373</v>
      </c>
      <c r="F900" s="37" t="s">
        <v>374</v>
      </c>
      <c r="G900" s="38" t="s">
        <v>70</v>
      </c>
      <c r="H900" s="37"/>
      <c r="I900" s="37"/>
      <c r="J900" s="37" t="s">
        <v>391</v>
      </c>
      <c r="K900" s="40"/>
      <c r="L900" s="38"/>
      <c r="M900" s="38"/>
      <c r="N900" s="37"/>
      <c r="O900" s="37"/>
      <c r="P900" s="37"/>
      <c r="Q900" s="37"/>
      <c r="R900" s="39"/>
      <c r="S900" s="37"/>
      <c r="T900" s="38" t="s">
        <v>293</v>
      </c>
    </row>
    <row r="901" ht="34.5">
      <c r="A901" s="38" t="s">
        <v>1068</v>
      </c>
      <c r="B901" s="38" t="s">
        <v>1069</v>
      </c>
      <c r="C901" s="38" t="s">
        <v>384</v>
      </c>
      <c r="D901" s="38" t="s">
        <v>408</v>
      </c>
      <c r="E901" s="38" t="s">
        <v>373</v>
      </c>
      <c r="F901" s="37" t="s">
        <v>374</v>
      </c>
      <c r="G901" s="38" t="s">
        <v>70</v>
      </c>
      <c r="H901" s="37"/>
      <c r="I901" s="37"/>
      <c r="J901" s="37" t="s">
        <v>409</v>
      </c>
      <c r="K901" s="40"/>
      <c r="L901" s="38"/>
      <c r="M901" s="38"/>
      <c r="N901" s="37"/>
      <c r="O901" s="37"/>
      <c r="P901" s="37"/>
      <c r="Q901" s="37"/>
      <c r="R901" s="39"/>
      <c r="S901" s="37"/>
      <c r="T901" s="38" t="s">
        <v>293</v>
      </c>
    </row>
    <row r="902" ht="34.5">
      <c r="A902" s="38" t="s">
        <v>1068</v>
      </c>
      <c r="B902" s="38" t="s">
        <v>1069</v>
      </c>
      <c r="C902" s="38" t="s">
        <v>384</v>
      </c>
      <c r="D902" s="38" t="s">
        <v>288</v>
      </c>
      <c r="E902" s="38" t="s">
        <v>373</v>
      </c>
      <c r="F902" s="37" t="s">
        <v>374</v>
      </c>
      <c r="G902" s="38" t="s">
        <v>70</v>
      </c>
      <c r="H902" s="37"/>
      <c r="I902" s="37"/>
      <c r="J902" s="37" t="s">
        <v>395</v>
      </c>
      <c r="K902" s="40"/>
      <c r="L902" s="38"/>
      <c r="M902" s="38"/>
      <c r="N902" s="37"/>
      <c r="O902" s="37"/>
      <c r="P902" s="37"/>
      <c r="Q902" s="37"/>
      <c r="R902" s="39"/>
      <c r="S902" s="37"/>
      <c r="T902" s="38" t="s">
        <v>293</v>
      </c>
    </row>
    <row r="903" ht="34.5">
      <c r="A903" s="38" t="s">
        <v>1068</v>
      </c>
      <c r="B903" s="38" t="s">
        <v>1069</v>
      </c>
      <c r="C903" s="38" t="s">
        <v>384</v>
      </c>
      <c r="D903" s="38" t="s">
        <v>288</v>
      </c>
      <c r="E903" s="38" t="s">
        <v>373</v>
      </c>
      <c r="F903" s="37" t="s">
        <v>374</v>
      </c>
      <c r="G903" s="38" t="s">
        <v>70</v>
      </c>
      <c r="H903" s="37"/>
      <c r="I903" s="37"/>
      <c r="J903" s="37" t="s">
        <v>1085</v>
      </c>
      <c r="K903" s="40"/>
      <c r="L903" s="38"/>
      <c r="M903" s="38"/>
      <c r="N903" s="37"/>
      <c r="O903" s="37"/>
      <c r="P903" s="37"/>
      <c r="Q903" s="37"/>
      <c r="R903" s="39"/>
      <c r="S903" s="37"/>
      <c r="T903" s="38" t="s">
        <v>293</v>
      </c>
    </row>
    <row r="904" ht="34.5">
      <c r="A904" s="38" t="s">
        <v>1068</v>
      </c>
      <c r="B904" s="38" t="s">
        <v>1069</v>
      </c>
      <c r="C904" s="38" t="s">
        <v>384</v>
      </c>
      <c r="D904" s="38" t="s">
        <v>288</v>
      </c>
      <c r="E904" s="38" t="s">
        <v>373</v>
      </c>
      <c r="F904" s="37" t="s">
        <v>374</v>
      </c>
      <c r="G904" s="38" t="s">
        <v>70</v>
      </c>
      <c r="H904" s="37"/>
      <c r="I904" s="37"/>
      <c r="J904" s="37" t="s">
        <v>1086</v>
      </c>
      <c r="K904" s="40"/>
      <c r="L904" s="38"/>
      <c r="M904" s="38"/>
      <c r="N904" s="37"/>
      <c r="O904" s="37"/>
      <c r="P904" s="37"/>
      <c r="Q904" s="37"/>
      <c r="R904" s="39"/>
      <c r="S904" s="37"/>
      <c r="T904" s="38" t="s">
        <v>293</v>
      </c>
    </row>
    <row r="905" ht="34.5">
      <c r="A905" s="38" t="s">
        <v>1068</v>
      </c>
      <c r="B905" s="38" t="s">
        <v>1069</v>
      </c>
      <c r="C905" s="38" t="s">
        <v>394</v>
      </c>
      <c r="D905" s="38" t="s">
        <v>288</v>
      </c>
      <c r="E905" s="38" t="s">
        <v>398</v>
      </c>
      <c r="F905" s="37" t="s">
        <v>399</v>
      </c>
      <c r="G905" s="38" t="s">
        <v>400</v>
      </c>
      <c r="H905" s="37"/>
      <c r="I905" s="37"/>
      <c r="J905" s="37" t="s">
        <v>401</v>
      </c>
      <c r="K905" s="40"/>
      <c r="L905" s="38"/>
      <c r="M905" s="38"/>
      <c r="N905" s="37"/>
      <c r="O905" s="37"/>
      <c r="P905" s="37"/>
      <c r="Q905" s="37"/>
      <c r="R905" s="39"/>
      <c r="S905" s="37"/>
      <c r="T905" s="38" t="s">
        <v>293</v>
      </c>
    </row>
    <row r="906" ht="34.5">
      <c r="A906" s="38" t="s">
        <v>1068</v>
      </c>
      <c r="B906" s="38" t="s">
        <v>1069</v>
      </c>
      <c r="C906" s="38" t="s">
        <v>394</v>
      </c>
      <c r="D906" s="38" t="s">
        <v>411</v>
      </c>
      <c r="E906" s="38" t="s">
        <v>398</v>
      </c>
      <c r="F906" s="37" t="s">
        <v>399</v>
      </c>
      <c r="G906" s="38" t="s">
        <v>400</v>
      </c>
      <c r="H906" s="37"/>
      <c r="I906" s="37"/>
      <c r="J906" s="37" t="s">
        <v>412</v>
      </c>
      <c r="K906" s="40"/>
      <c r="L906" s="38"/>
      <c r="M906" s="38"/>
      <c r="N906" s="37"/>
      <c r="O906" s="37"/>
      <c r="P906" s="37"/>
      <c r="Q906" s="37"/>
      <c r="R906" s="39"/>
      <c r="S906" s="37"/>
      <c r="T906" s="38" t="s">
        <v>293</v>
      </c>
    </row>
    <row r="907" ht="34.5">
      <c r="A907" s="38" t="s">
        <v>1068</v>
      </c>
      <c r="B907" s="38" t="s">
        <v>1069</v>
      </c>
      <c r="C907" s="38" t="s">
        <v>394</v>
      </c>
      <c r="D907" s="38" t="s">
        <v>288</v>
      </c>
      <c r="E907" s="38" t="s">
        <v>398</v>
      </c>
      <c r="F907" s="37" t="s">
        <v>399</v>
      </c>
      <c r="G907" s="38" t="s">
        <v>400</v>
      </c>
      <c r="H907" s="37"/>
      <c r="I907" s="37"/>
      <c r="J907" s="37" t="s">
        <v>404</v>
      </c>
      <c r="K907" s="40"/>
      <c r="L907" s="38"/>
      <c r="M907" s="38"/>
      <c r="N907" s="37"/>
      <c r="O907" s="37"/>
      <c r="P907" s="37"/>
      <c r="Q907" s="37"/>
      <c r="R907" s="39"/>
      <c r="S907" s="37"/>
      <c r="T907" s="38" t="s">
        <v>293</v>
      </c>
    </row>
    <row r="908" ht="34.5">
      <c r="A908" s="38" t="s">
        <v>1068</v>
      </c>
      <c r="B908" s="38" t="s">
        <v>1069</v>
      </c>
      <c r="C908" s="38" t="s">
        <v>394</v>
      </c>
      <c r="D908" s="38" t="s">
        <v>421</v>
      </c>
      <c r="E908" s="38" t="s">
        <v>398</v>
      </c>
      <c r="F908" s="37" t="s">
        <v>399</v>
      </c>
      <c r="G908" s="38" t="s">
        <v>400</v>
      </c>
      <c r="H908" s="37"/>
      <c r="I908" s="37"/>
      <c r="J908" s="37" t="s">
        <v>422</v>
      </c>
      <c r="K908" s="40"/>
      <c r="L908" s="38"/>
      <c r="M908" s="38"/>
      <c r="N908" s="37"/>
      <c r="O908" s="37"/>
      <c r="P908" s="37"/>
      <c r="Q908" s="37"/>
      <c r="R908" s="39"/>
      <c r="S908" s="37"/>
      <c r="T908" s="38" t="s">
        <v>293</v>
      </c>
    </row>
    <row r="909" ht="34.5">
      <c r="A909" s="38" t="s">
        <v>1068</v>
      </c>
      <c r="B909" s="38" t="s">
        <v>1069</v>
      </c>
      <c r="C909" s="38" t="s">
        <v>394</v>
      </c>
      <c r="D909" s="38" t="s">
        <v>430</v>
      </c>
      <c r="E909" s="38" t="s">
        <v>398</v>
      </c>
      <c r="F909" s="37" t="s">
        <v>399</v>
      </c>
      <c r="G909" s="38" t="s">
        <v>400</v>
      </c>
      <c r="H909" s="37"/>
      <c r="I909" s="37"/>
      <c r="J909" s="37" t="s">
        <v>431</v>
      </c>
      <c r="K909" s="40"/>
      <c r="L909" s="38"/>
      <c r="M909" s="38"/>
      <c r="N909" s="37"/>
      <c r="O909" s="37"/>
      <c r="P909" s="37"/>
      <c r="Q909" s="37"/>
      <c r="R909" s="39"/>
      <c r="S909" s="37"/>
      <c r="T909" s="38" t="s">
        <v>293</v>
      </c>
    </row>
    <row r="910" ht="34.5">
      <c r="A910" s="38" t="s">
        <v>1068</v>
      </c>
      <c r="B910" s="38" t="s">
        <v>1069</v>
      </c>
      <c r="C910" s="38" t="s">
        <v>407</v>
      </c>
      <c r="D910" s="38" t="s">
        <v>288</v>
      </c>
      <c r="E910" s="38" t="s">
        <v>398</v>
      </c>
      <c r="F910" s="37" t="s">
        <v>399</v>
      </c>
      <c r="G910" s="38" t="s">
        <v>400</v>
      </c>
      <c r="H910" s="37"/>
      <c r="I910" s="37"/>
      <c r="J910" s="37" t="s">
        <v>1087</v>
      </c>
      <c r="K910" s="40"/>
      <c r="L910" s="38"/>
      <c r="M910" s="38"/>
      <c r="N910" s="37"/>
      <c r="O910" s="37"/>
      <c r="P910" s="37"/>
      <c r="Q910" s="37"/>
      <c r="R910" s="39"/>
      <c r="S910" s="37"/>
      <c r="T910" s="38" t="s">
        <v>293</v>
      </c>
    </row>
    <row r="911" ht="34.5">
      <c r="A911" s="38" t="s">
        <v>1068</v>
      </c>
      <c r="B911" s="38" t="s">
        <v>1069</v>
      </c>
      <c r="C911" s="38" t="s">
        <v>407</v>
      </c>
      <c r="D911" s="38" t="s">
        <v>433</v>
      </c>
      <c r="E911" s="38" t="s">
        <v>398</v>
      </c>
      <c r="F911" s="37" t="s">
        <v>399</v>
      </c>
      <c r="G911" s="38" t="s">
        <v>400</v>
      </c>
      <c r="H911" s="37"/>
      <c r="I911" s="37"/>
      <c r="J911" s="37" t="s">
        <v>434</v>
      </c>
      <c r="K911" s="40"/>
      <c r="L911" s="38"/>
      <c r="M911" s="38"/>
      <c r="N911" s="37"/>
      <c r="O911" s="37"/>
      <c r="P911" s="37"/>
      <c r="Q911" s="37"/>
      <c r="R911" s="39"/>
      <c r="S911" s="37"/>
      <c r="T911" s="38" t="s">
        <v>293</v>
      </c>
    </row>
    <row r="912" ht="34.5">
      <c r="A912" s="38" t="s">
        <v>1068</v>
      </c>
      <c r="B912" s="38" t="s">
        <v>1069</v>
      </c>
      <c r="C912" s="38" t="s">
        <v>407</v>
      </c>
      <c r="D912" s="38" t="s">
        <v>288</v>
      </c>
      <c r="E912" s="38" t="s">
        <v>398</v>
      </c>
      <c r="F912" s="37" t="s">
        <v>399</v>
      </c>
      <c r="G912" s="38" t="s">
        <v>400</v>
      </c>
      <c r="H912" s="37"/>
      <c r="I912" s="37"/>
      <c r="J912" s="37" t="s">
        <v>413</v>
      </c>
      <c r="K912" s="40"/>
      <c r="L912" s="38"/>
      <c r="M912" s="38"/>
      <c r="N912" s="37"/>
      <c r="O912" s="37"/>
      <c r="P912" s="37"/>
      <c r="Q912" s="37"/>
      <c r="R912" s="39"/>
      <c r="S912" s="37"/>
      <c r="T912" s="38" t="s">
        <v>293</v>
      </c>
    </row>
    <row r="913" ht="34.5">
      <c r="A913" s="38" t="s">
        <v>1068</v>
      </c>
      <c r="B913" s="38" t="s">
        <v>1069</v>
      </c>
      <c r="C913" s="38" t="s">
        <v>407</v>
      </c>
      <c r="D913" s="38" t="s">
        <v>288</v>
      </c>
      <c r="E913" s="38" t="s">
        <v>398</v>
      </c>
      <c r="F913" s="37" t="s">
        <v>399</v>
      </c>
      <c r="G913" s="38" t="s">
        <v>400</v>
      </c>
      <c r="H913" s="37"/>
      <c r="I913" s="37"/>
      <c r="J913" s="37" t="s">
        <v>414</v>
      </c>
      <c r="K913" s="40"/>
      <c r="L913" s="38"/>
      <c r="M913" s="38"/>
      <c r="N913" s="37"/>
      <c r="O913" s="37"/>
      <c r="P913" s="37"/>
      <c r="Q913" s="37"/>
      <c r="R913" s="39"/>
      <c r="S913" s="37"/>
      <c r="T913" s="38" t="s">
        <v>293</v>
      </c>
    </row>
    <row r="914" ht="34.5">
      <c r="A914" s="38" t="s">
        <v>1068</v>
      </c>
      <c r="B914" s="38" t="s">
        <v>1069</v>
      </c>
      <c r="C914" s="38" t="s">
        <v>407</v>
      </c>
      <c r="D914" s="38" t="s">
        <v>288</v>
      </c>
      <c r="E914" s="38" t="s">
        <v>398</v>
      </c>
      <c r="F914" s="37" t="s">
        <v>399</v>
      </c>
      <c r="G914" s="38" t="s">
        <v>400</v>
      </c>
      <c r="H914" s="37"/>
      <c r="I914" s="37"/>
      <c r="J914" s="37" t="s">
        <v>415</v>
      </c>
      <c r="K914" s="40"/>
      <c r="L914" s="38"/>
      <c r="M914" s="38"/>
      <c r="N914" s="37"/>
      <c r="O914" s="37"/>
      <c r="P914" s="37"/>
      <c r="Q914" s="37"/>
      <c r="R914" s="39"/>
      <c r="S914" s="37"/>
      <c r="T914" s="38" t="s">
        <v>293</v>
      </c>
    </row>
    <row r="915" ht="34.5">
      <c r="A915" s="38" t="s">
        <v>1068</v>
      </c>
      <c r="B915" s="38" t="s">
        <v>1069</v>
      </c>
      <c r="C915" s="38" t="s">
        <v>407</v>
      </c>
      <c r="D915" s="38" t="s">
        <v>288</v>
      </c>
      <c r="E915" s="38" t="s">
        <v>398</v>
      </c>
      <c r="F915" s="37" t="s">
        <v>399</v>
      </c>
      <c r="G915" s="38" t="s">
        <v>400</v>
      </c>
      <c r="H915" s="37"/>
      <c r="I915" s="37"/>
      <c r="J915" s="37" t="s">
        <v>416</v>
      </c>
      <c r="K915" s="40"/>
      <c r="L915" s="38"/>
      <c r="M915" s="38"/>
      <c r="N915" s="37"/>
      <c r="O915" s="37"/>
      <c r="P915" s="37"/>
      <c r="Q915" s="37"/>
      <c r="R915" s="39"/>
      <c r="S915" s="37"/>
      <c r="T915" s="38" t="s">
        <v>293</v>
      </c>
    </row>
    <row r="916" ht="34.5">
      <c r="A916" s="38" t="s">
        <v>1068</v>
      </c>
      <c r="B916" s="38" t="s">
        <v>1069</v>
      </c>
      <c r="C916" s="38" t="s">
        <v>407</v>
      </c>
      <c r="D916" s="38" t="s">
        <v>288</v>
      </c>
      <c r="E916" s="38" t="s">
        <v>398</v>
      </c>
      <c r="F916" s="37" t="s">
        <v>399</v>
      </c>
      <c r="G916" s="38" t="s">
        <v>400</v>
      </c>
      <c r="H916" s="37"/>
      <c r="I916" s="37"/>
      <c r="J916" s="37" t="s">
        <v>417</v>
      </c>
      <c r="K916" s="40"/>
      <c r="L916" s="38"/>
      <c r="M916" s="38"/>
      <c r="N916" s="37"/>
      <c r="O916" s="37"/>
      <c r="P916" s="37"/>
      <c r="Q916" s="37"/>
      <c r="R916" s="39"/>
      <c r="S916" s="37"/>
      <c r="T916" s="38" t="s">
        <v>293</v>
      </c>
    </row>
    <row r="917" ht="34.5">
      <c r="A917" s="38" t="s">
        <v>1068</v>
      </c>
      <c r="B917" s="38" t="s">
        <v>1069</v>
      </c>
      <c r="C917" s="38" t="s">
        <v>407</v>
      </c>
      <c r="D917" s="38" t="s">
        <v>288</v>
      </c>
      <c r="E917" s="38" t="s">
        <v>398</v>
      </c>
      <c r="F917" s="37" t="s">
        <v>399</v>
      </c>
      <c r="G917" s="38" t="s">
        <v>400</v>
      </c>
      <c r="H917" s="37"/>
      <c r="I917" s="37"/>
      <c r="J917" s="37" t="s">
        <v>940</v>
      </c>
      <c r="K917" s="40"/>
      <c r="L917" s="38"/>
      <c r="M917" s="38"/>
      <c r="N917" s="37"/>
      <c r="O917" s="37"/>
      <c r="P917" s="37"/>
      <c r="Q917" s="37"/>
      <c r="R917" s="39"/>
      <c r="S917" s="37"/>
      <c r="T917" s="38" t="s">
        <v>293</v>
      </c>
    </row>
    <row r="918" ht="34.5">
      <c r="A918" s="38" t="s">
        <v>1068</v>
      </c>
      <c r="B918" s="38" t="s">
        <v>1069</v>
      </c>
      <c r="C918" s="38" t="s">
        <v>407</v>
      </c>
      <c r="D918" s="38" t="s">
        <v>288</v>
      </c>
      <c r="E918" s="38" t="s">
        <v>398</v>
      </c>
      <c r="F918" s="37" t="s">
        <v>399</v>
      </c>
      <c r="G918" s="38" t="s">
        <v>400</v>
      </c>
      <c r="H918" s="37"/>
      <c r="I918" s="37"/>
      <c r="J918" s="37" t="s">
        <v>420</v>
      </c>
      <c r="K918" s="40"/>
      <c r="L918" s="38"/>
      <c r="M918" s="38"/>
      <c r="N918" s="37"/>
      <c r="O918" s="37"/>
      <c r="P918" s="37"/>
      <c r="Q918" s="37"/>
      <c r="R918" s="39"/>
      <c r="S918" s="37"/>
      <c r="T918" s="38" t="s">
        <v>293</v>
      </c>
    </row>
    <row r="919" ht="34.5">
      <c r="A919" s="38" t="s">
        <v>1068</v>
      </c>
      <c r="B919" s="38" t="s">
        <v>1069</v>
      </c>
      <c r="C919" s="38" t="s">
        <v>407</v>
      </c>
      <c r="D919" s="38" t="s">
        <v>453</v>
      </c>
      <c r="E919" s="38" t="s">
        <v>398</v>
      </c>
      <c r="F919" s="37" t="s">
        <v>399</v>
      </c>
      <c r="G919" s="38" t="s">
        <v>400</v>
      </c>
      <c r="H919" s="37"/>
      <c r="I919" s="37"/>
      <c r="J919" s="37" t="s">
        <v>454</v>
      </c>
      <c r="K919" s="40"/>
      <c r="L919" s="38"/>
      <c r="M919" s="38"/>
      <c r="N919" s="37"/>
      <c r="O919" s="37"/>
      <c r="P919" s="37"/>
      <c r="Q919" s="37"/>
      <c r="R919" s="39"/>
      <c r="S919" s="37"/>
      <c r="T919" s="38" t="s">
        <v>293</v>
      </c>
    </row>
    <row r="920" ht="34.5">
      <c r="A920" s="38" t="s">
        <v>1068</v>
      </c>
      <c r="B920" s="38" t="s">
        <v>1069</v>
      </c>
      <c r="C920" s="38" t="s">
        <v>418</v>
      </c>
      <c r="D920" s="38" t="s">
        <v>288</v>
      </c>
      <c r="E920" s="38" t="s">
        <v>398</v>
      </c>
      <c r="F920" s="37" t="s">
        <v>399</v>
      </c>
      <c r="G920" s="38" t="s">
        <v>400</v>
      </c>
      <c r="H920" s="37"/>
      <c r="I920" s="37"/>
      <c r="J920" s="37" t="s">
        <v>423</v>
      </c>
      <c r="K920" s="40"/>
      <c r="L920" s="38"/>
      <c r="M920" s="38"/>
      <c r="N920" s="37"/>
      <c r="O920" s="37"/>
      <c r="P920" s="37"/>
      <c r="Q920" s="37"/>
      <c r="R920" s="39"/>
      <c r="S920" s="37"/>
      <c r="T920" s="38" t="s">
        <v>293</v>
      </c>
    </row>
    <row r="921" ht="34.5">
      <c r="A921" s="38" t="s">
        <v>1068</v>
      </c>
      <c r="B921" s="38" t="s">
        <v>1069</v>
      </c>
      <c r="C921" s="38" t="s">
        <v>418</v>
      </c>
      <c r="D921" s="38" t="s">
        <v>288</v>
      </c>
      <c r="E921" s="38" t="s">
        <v>398</v>
      </c>
      <c r="F921" s="37" t="s">
        <v>399</v>
      </c>
      <c r="G921" s="38" t="s">
        <v>400</v>
      </c>
      <c r="H921" s="37"/>
      <c r="I921" s="37"/>
      <c r="J921" s="37" t="s">
        <v>424</v>
      </c>
      <c r="K921" s="40"/>
      <c r="L921" s="38"/>
      <c r="M921" s="38"/>
      <c r="N921" s="37"/>
      <c r="O921" s="37"/>
      <c r="P921" s="37"/>
      <c r="Q921" s="37"/>
      <c r="R921" s="39"/>
      <c r="S921" s="37"/>
      <c r="T921" s="38" t="s">
        <v>293</v>
      </c>
    </row>
    <row r="922" ht="34.5">
      <c r="A922" s="38" t="s">
        <v>1068</v>
      </c>
      <c r="B922" s="38" t="s">
        <v>1069</v>
      </c>
      <c r="C922" s="38" t="s">
        <v>418</v>
      </c>
      <c r="D922" s="38" t="s">
        <v>288</v>
      </c>
      <c r="E922" s="38" t="s">
        <v>398</v>
      </c>
      <c r="F922" s="37" t="s">
        <v>399</v>
      </c>
      <c r="G922" s="38" t="s">
        <v>400</v>
      </c>
      <c r="H922" s="37"/>
      <c r="I922" s="37"/>
      <c r="J922" s="37" t="s">
        <v>425</v>
      </c>
      <c r="K922" s="40"/>
      <c r="L922" s="38"/>
      <c r="M922" s="38"/>
      <c r="N922" s="37"/>
      <c r="O922" s="37"/>
      <c r="P922" s="37"/>
      <c r="Q922" s="37"/>
      <c r="R922" s="39"/>
      <c r="S922" s="37"/>
      <c r="T922" s="38" t="s">
        <v>293</v>
      </c>
    </row>
    <row r="923" ht="34.5">
      <c r="A923" s="38" t="s">
        <v>1068</v>
      </c>
      <c r="B923" s="38" t="s">
        <v>1069</v>
      </c>
      <c r="C923" s="38" t="s">
        <v>418</v>
      </c>
      <c r="D923" s="38" t="s">
        <v>288</v>
      </c>
      <c r="E923" s="38" t="s">
        <v>398</v>
      </c>
      <c r="F923" s="37" t="s">
        <v>399</v>
      </c>
      <c r="G923" s="38" t="s">
        <v>400</v>
      </c>
      <c r="H923" s="37"/>
      <c r="I923" s="37"/>
      <c r="J923" s="37" t="s">
        <v>426</v>
      </c>
      <c r="K923" s="40"/>
      <c r="L923" s="38"/>
      <c r="M923" s="38"/>
      <c r="N923" s="37"/>
      <c r="O923" s="37"/>
      <c r="P923" s="37"/>
      <c r="Q923" s="37"/>
      <c r="R923" s="39"/>
      <c r="S923" s="37"/>
      <c r="T923" s="38" t="s">
        <v>293</v>
      </c>
    </row>
    <row r="924" ht="34.5">
      <c r="A924" s="38" t="s">
        <v>1068</v>
      </c>
      <c r="B924" s="38" t="s">
        <v>1069</v>
      </c>
      <c r="C924" s="38" t="s">
        <v>418</v>
      </c>
      <c r="D924" s="38" t="s">
        <v>288</v>
      </c>
      <c r="E924" s="38" t="s">
        <v>398</v>
      </c>
      <c r="F924" s="37" t="s">
        <v>399</v>
      </c>
      <c r="G924" s="38" t="s">
        <v>400</v>
      </c>
      <c r="H924" s="37"/>
      <c r="I924" s="37"/>
      <c r="J924" s="37" t="s">
        <v>941</v>
      </c>
      <c r="K924" s="40"/>
      <c r="L924" s="38"/>
      <c r="M924" s="38"/>
      <c r="N924" s="37"/>
      <c r="O924" s="37"/>
      <c r="P924" s="37"/>
      <c r="Q924" s="37"/>
      <c r="R924" s="39"/>
      <c r="S924" s="37"/>
      <c r="T924" s="38" t="s">
        <v>293</v>
      </c>
    </row>
    <row r="925" ht="34.5">
      <c r="A925" s="38" t="s">
        <v>1068</v>
      </c>
      <c r="B925" s="38" t="s">
        <v>1069</v>
      </c>
      <c r="C925" s="38" t="s">
        <v>418</v>
      </c>
      <c r="D925" s="38" t="s">
        <v>288</v>
      </c>
      <c r="E925" s="38" t="s">
        <v>398</v>
      </c>
      <c r="F925" s="37" t="s">
        <v>399</v>
      </c>
      <c r="G925" s="38" t="s">
        <v>400</v>
      </c>
      <c r="H925" s="37"/>
      <c r="I925" s="37"/>
      <c r="J925" s="37" t="s">
        <v>429</v>
      </c>
      <c r="K925" s="40"/>
      <c r="L925" s="38"/>
      <c r="M925" s="38"/>
      <c r="N925" s="37"/>
      <c r="O925" s="37"/>
      <c r="P925" s="37"/>
      <c r="Q925" s="37"/>
      <c r="R925" s="39"/>
      <c r="S925" s="37"/>
      <c r="T925" s="38" t="s">
        <v>293</v>
      </c>
    </row>
    <row r="926" ht="34.5">
      <c r="A926" s="38" t="s">
        <v>1068</v>
      </c>
      <c r="B926" s="38" t="s">
        <v>1069</v>
      </c>
      <c r="C926" s="38" t="s">
        <v>418</v>
      </c>
      <c r="D926" s="38" t="s">
        <v>456</v>
      </c>
      <c r="E926" s="38" t="s">
        <v>398</v>
      </c>
      <c r="F926" s="37" t="s">
        <v>399</v>
      </c>
      <c r="G926" s="38" t="s">
        <v>400</v>
      </c>
      <c r="H926" s="37"/>
      <c r="I926" s="37"/>
      <c r="J926" s="37" t="s">
        <v>457</v>
      </c>
      <c r="K926" s="40"/>
      <c r="L926" s="38"/>
      <c r="M926" s="38"/>
      <c r="N926" s="37"/>
      <c r="O926" s="37"/>
      <c r="P926" s="37"/>
      <c r="Q926" s="37"/>
      <c r="R926" s="39"/>
      <c r="S926" s="37"/>
      <c r="T926" s="38" t="s">
        <v>293</v>
      </c>
    </row>
    <row r="927" ht="34.5">
      <c r="A927" s="38" t="s">
        <v>1068</v>
      </c>
      <c r="B927" s="38" t="s">
        <v>1069</v>
      </c>
      <c r="C927" s="38" t="s">
        <v>428</v>
      </c>
      <c r="D927" s="38" t="s">
        <v>288</v>
      </c>
      <c r="E927" s="38" t="s">
        <v>398</v>
      </c>
      <c r="F927" s="37" t="s">
        <v>399</v>
      </c>
      <c r="G927" s="38" t="s">
        <v>400</v>
      </c>
      <c r="H927" s="37"/>
      <c r="I927" s="37"/>
      <c r="J927" s="37" t="s">
        <v>432</v>
      </c>
      <c r="K927" s="40"/>
      <c r="L927" s="38"/>
      <c r="M927" s="38"/>
      <c r="N927" s="37"/>
      <c r="O927" s="37"/>
      <c r="P927" s="37"/>
      <c r="Q927" s="37"/>
      <c r="R927" s="39"/>
      <c r="S927" s="37"/>
      <c r="T927" s="38" t="s">
        <v>293</v>
      </c>
    </row>
    <row r="928" ht="34.5">
      <c r="A928" s="38" t="s">
        <v>1068</v>
      </c>
      <c r="B928" s="38" t="s">
        <v>1069</v>
      </c>
      <c r="C928" s="38" t="s">
        <v>428</v>
      </c>
      <c r="D928" s="38" t="s">
        <v>459</v>
      </c>
      <c r="E928" s="38" t="s">
        <v>398</v>
      </c>
      <c r="F928" s="37" t="s">
        <v>399</v>
      </c>
      <c r="G928" s="38" t="s">
        <v>400</v>
      </c>
      <c r="H928" s="37"/>
      <c r="I928" s="37"/>
      <c r="J928" s="37" t="s">
        <v>460</v>
      </c>
      <c r="K928" s="40"/>
      <c r="L928" s="38"/>
      <c r="M928" s="38"/>
      <c r="N928" s="37"/>
      <c r="O928" s="37"/>
      <c r="P928" s="37"/>
      <c r="Q928" s="37"/>
      <c r="R928" s="39"/>
      <c r="S928" s="37"/>
      <c r="T928" s="38" t="s">
        <v>293</v>
      </c>
    </row>
    <row r="929" ht="34.5">
      <c r="A929" s="38" t="s">
        <v>1068</v>
      </c>
      <c r="B929" s="38" t="s">
        <v>1069</v>
      </c>
      <c r="C929" s="38" t="s">
        <v>428</v>
      </c>
      <c r="D929" s="38" t="s">
        <v>288</v>
      </c>
      <c r="E929" s="38" t="s">
        <v>398</v>
      </c>
      <c r="F929" s="37" t="s">
        <v>399</v>
      </c>
      <c r="G929" s="38" t="s">
        <v>400</v>
      </c>
      <c r="H929" s="37"/>
      <c r="I929" s="37"/>
      <c r="J929" s="37" t="s">
        <v>435</v>
      </c>
      <c r="K929" s="40"/>
      <c r="L929" s="38"/>
      <c r="M929" s="38"/>
      <c r="N929" s="37"/>
      <c r="O929" s="37"/>
      <c r="P929" s="37"/>
      <c r="Q929" s="37"/>
      <c r="R929" s="39"/>
      <c r="S929" s="37"/>
      <c r="T929" s="38" t="s">
        <v>293</v>
      </c>
    </row>
    <row r="930" ht="34.5">
      <c r="A930" s="38" t="s">
        <v>1068</v>
      </c>
      <c r="B930" s="38" t="s">
        <v>1069</v>
      </c>
      <c r="C930" s="38" t="s">
        <v>428</v>
      </c>
      <c r="D930" s="38" t="s">
        <v>288</v>
      </c>
      <c r="E930" s="38" t="s">
        <v>398</v>
      </c>
      <c r="F930" s="37" t="s">
        <v>399</v>
      </c>
      <c r="G930" s="38" t="s">
        <v>400</v>
      </c>
      <c r="H930" s="37"/>
      <c r="I930" s="37"/>
      <c r="J930" s="37" t="s">
        <v>436</v>
      </c>
      <c r="K930" s="40"/>
      <c r="L930" s="38"/>
      <c r="M930" s="38"/>
      <c r="N930" s="37"/>
      <c r="O930" s="37"/>
      <c r="P930" s="37"/>
      <c r="Q930" s="37"/>
      <c r="R930" s="39"/>
      <c r="S930" s="37"/>
      <c r="T930" s="38" t="s">
        <v>293</v>
      </c>
    </row>
    <row r="931" ht="34.5">
      <c r="A931" s="38" t="s">
        <v>1068</v>
      </c>
      <c r="B931" s="38" t="s">
        <v>1069</v>
      </c>
      <c r="C931" s="38" t="s">
        <v>428</v>
      </c>
      <c r="D931" s="38" t="s">
        <v>288</v>
      </c>
      <c r="E931" s="38" t="s">
        <v>398</v>
      </c>
      <c r="F931" s="37" t="s">
        <v>399</v>
      </c>
      <c r="G931" s="38" t="s">
        <v>400</v>
      </c>
      <c r="H931" s="37"/>
      <c r="I931" s="37"/>
      <c r="J931" s="37" t="s">
        <v>437</v>
      </c>
      <c r="K931" s="40"/>
      <c r="L931" s="38"/>
      <c r="M931" s="38"/>
      <c r="N931" s="37"/>
      <c r="O931" s="37"/>
      <c r="P931" s="37"/>
      <c r="Q931" s="37"/>
      <c r="R931" s="39"/>
      <c r="S931" s="37"/>
      <c r="T931" s="38" t="s">
        <v>293</v>
      </c>
    </row>
    <row r="932" ht="34.5">
      <c r="A932" s="38" t="s">
        <v>1068</v>
      </c>
      <c r="B932" s="38" t="s">
        <v>1069</v>
      </c>
      <c r="C932" s="38" t="s">
        <v>428</v>
      </c>
      <c r="D932" s="38" t="s">
        <v>288</v>
      </c>
      <c r="E932" s="38" t="s">
        <v>398</v>
      </c>
      <c r="F932" s="37" t="s">
        <v>399</v>
      </c>
      <c r="G932" s="38" t="s">
        <v>400</v>
      </c>
      <c r="H932" s="37"/>
      <c r="I932" s="37"/>
      <c r="J932" s="37" t="s">
        <v>439</v>
      </c>
      <c r="K932" s="40"/>
      <c r="L932" s="38"/>
      <c r="M932" s="38"/>
      <c r="N932" s="37"/>
      <c r="O932" s="37"/>
      <c r="P932" s="37"/>
      <c r="Q932" s="37"/>
      <c r="R932" s="39"/>
      <c r="S932" s="37"/>
      <c r="T932" s="38" t="s">
        <v>293</v>
      </c>
    </row>
    <row r="933" ht="34.5">
      <c r="A933" s="38" t="s">
        <v>1068</v>
      </c>
      <c r="B933" s="38" t="s">
        <v>1069</v>
      </c>
      <c r="C933" s="38" t="s">
        <v>428</v>
      </c>
      <c r="D933" s="38" t="s">
        <v>288</v>
      </c>
      <c r="E933" s="38" t="s">
        <v>398</v>
      </c>
      <c r="F933" s="37" t="s">
        <v>399</v>
      </c>
      <c r="G933" s="38" t="s">
        <v>400</v>
      </c>
      <c r="H933" s="37"/>
      <c r="I933" s="37"/>
      <c r="J933" s="37" t="s">
        <v>440</v>
      </c>
      <c r="K933" s="40"/>
      <c r="L933" s="38"/>
      <c r="M933" s="38"/>
      <c r="N933" s="37"/>
      <c r="O933" s="37"/>
      <c r="P933" s="37"/>
      <c r="Q933" s="37"/>
      <c r="R933" s="39"/>
      <c r="S933" s="37"/>
      <c r="T933" s="38" t="s">
        <v>293</v>
      </c>
    </row>
    <row r="934" ht="34.5">
      <c r="A934" s="38" t="s">
        <v>1068</v>
      </c>
      <c r="B934" s="38" t="s">
        <v>1069</v>
      </c>
      <c r="C934" s="38" t="s">
        <v>428</v>
      </c>
      <c r="D934" s="38" t="s">
        <v>288</v>
      </c>
      <c r="E934" s="38" t="s">
        <v>398</v>
      </c>
      <c r="F934" s="37" t="s">
        <v>399</v>
      </c>
      <c r="G934" s="38" t="s">
        <v>400</v>
      </c>
      <c r="H934" s="37"/>
      <c r="I934" s="37"/>
      <c r="J934" s="37" t="s">
        <v>441</v>
      </c>
      <c r="K934" s="40"/>
      <c r="L934" s="38"/>
      <c r="M934" s="38"/>
      <c r="N934" s="37"/>
      <c r="O934" s="37"/>
      <c r="P934" s="37"/>
      <c r="Q934" s="37"/>
      <c r="R934" s="39"/>
      <c r="S934" s="37"/>
      <c r="T934" s="38" t="s">
        <v>293</v>
      </c>
    </row>
    <row r="935" ht="34.5">
      <c r="A935" s="38" t="s">
        <v>1068</v>
      </c>
      <c r="B935" s="38" t="s">
        <v>1069</v>
      </c>
      <c r="C935" s="38" t="s">
        <v>438</v>
      </c>
      <c r="D935" s="38" t="s">
        <v>288</v>
      </c>
      <c r="E935" s="38" t="s">
        <v>398</v>
      </c>
      <c r="F935" s="37" t="s">
        <v>399</v>
      </c>
      <c r="G935" s="38" t="s">
        <v>400</v>
      </c>
      <c r="H935" s="37"/>
      <c r="I935" s="37"/>
      <c r="J935" s="37" t="s">
        <v>443</v>
      </c>
      <c r="K935" s="40"/>
      <c r="L935" s="38"/>
      <c r="M935" s="38"/>
      <c r="N935" s="37"/>
      <c r="O935" s="37"/>
      <c r="P935" s="37"/>
      <c r="Q935" s="37"/>
      <c r="R935" s="39"/>
      <c r="S935" s="37"/>
      <c r="T935" s="38" t="s">
        <v>293</v>
      </c>
    </row>
    <row r="936" ht="34.5">
      <c r="A936" s="38" t="s">
        <v>1068</v>
      </c>
      <c r="B936" s="38" t="s">
        <v>1069</v>
      </c>
      <c r="C936" s="38" t="s">
        <v>438</v>
      </c>
      <c r="D936" s="38" t="s">
        <v>288</v>
      </c>
      <c r="E936" s="38" t="s">
        <v>398</v>
      </c>
      <c r="F936" s="37" t="s">
        <v>399</v>
      </c>
      <c r="G936" s="38" t="s">
        <v>400</v>
      </c>
      <c r="H936" s="37"/>
      <c r="I936" s="37"/>
      <c r="J936" s="37" t="s">
        <v>942</v>
      </c>
      <c r="K936" s="40"/>
      <c r="L936" s="38"/>
      <c r="M936" s="38"/>
      <c r="N936" s="37"/>
      <c r="O936" s="37"/>
      <c r="P936" s="37"/>
      <c r="Q936" s="37"/>
      <c r="R936" s="39"/>
      <c r="S936" s="37"/>
      <c r="T936" s="38" t="s">
        <v>293</v>
      </c>
    </row>
    <row r="937" ht="34.5">
      <c r="A937" s="38" t="s">
        <v>1068</v>
      </c>
      <c r="B937" s="38" t="s">
        <v>1069</v>
      </c>
      <c r="C937" s="38" t="s">
        <v>438</v>
      </c>
      <c r="D937" s="38" t="s">
        <v>288</v>
      </c>
      <c r="E937" s="38" t="s">
        <v>398</v>
      </c>
      <c r="F937" s="37" t="s">
        <v>399</v>
      </c>
      <c r="G937" s="38" t="s">
        <v>400</v>
      </c>
      <c r="H937" s="37"/>
      <c r="I937" s="37"/>
      <c r="J937" s="37" t="s">
        <v>445</v>
      </c>
      <c r="K937" s="40"/>
      <c r="L937" s="38"/>
      <c r="M937" s="38"/>
      <c r="N937" s="37"/>
      <c r="O937" s="37"/>
      <c r="P937" s="37"/>
      <c r="Q937" s="37"/>
      <c r="R937" s="39"/>
      <c r="S937" s="37"/>
      <c r="T937" s="38" t="s">
        <v>293</v>
      </c>
    </row>
    <row r="938" ht="34.5">
      <c r="A938" s="38" t="s">
        <v>1068</v>
      </c>
      <c r="B938" s="38" t="s">
        <v>1069</v>
      </c>
      <c r="C938" s="38" t="s">
        <v>438</v>
      </c>
      <c r="D938" s="38" t="s">
        <v>288</v>
      </c>
      <c r="E938" s="38" t="s">
        <v>398</v>
      </c>
      <c r="F938" s="37" t="s">
        <v>399</v>
      </c>
      <c r="G938" s="38" t="s">
        <v>400</v>
      </c>
      <c r="H938" s="37"/>
      <c r="I938" s="37"/>
      <c r="J938" s="37" t="s">
        <v>943</v>
      </c>
      <c r="K938" s="40"/>
      <c r="L938" s="38"/>
      <c r="M938" s="38"/>
      <c r="N938" s="37"/>
      <c r="O938" s="37"/>
      <c r="P938" s="37"/>
      <c r="Q938" s="37"/>
      <c r="R938" s="39"/>
      <c r="S938" s="37"/>
      <c r="T938" s="38" t="s">
        <v>293</v>
      </c>
    </row>
    <row r="939" ht="34.5">
      <c r="A939" s="38" t="s">
        <v>1068</v>
      </c>
      <c r="B939" s="38" t="s">
        <v>1069</v>
      </c>
      <c r="C939" s="38" t="s">
        <v>438</v>
      </c>
      <c r="D939" s="38" t="s">
        <v>288</v>
      </c>
      <c r="E939" s="38" t="s">
        <v>398</v>
      </c>
      <c r="F939" s="37" t="s">
        <v>399</v>
      </c>
      <c r="G939" s="38" t="s">
        <v>400</v>
      </c>
      <c r="H939" s="37"/>
      <c r="I939" s="37"/>
      <c r="J939" s="37" t="s">
        <v>447</v>
      </c>
      <c r="K939" s="40"/>
      <c r="L939" s="38"/>
      <c r="M939" s="38"/>
      <c r="N939" s="37"/>
      <c r="O939" s="37"/>
      <c r="P939" s="37"/>
      <c r="Q939" s="37"/>
      <c r="R939" s="39"/>
      <c r="S939" s="37"/>
      <c r="T939" s="38" t="s">
        <v>293</v>
      </c>
    </row>
    <row r="940" ht="34.5">
      <c r="A940" s="38" t="s">
        <v>1068</v>
      </c>
      <c r="B940" s="38" t="s">
        <v>1069</v>
      </c>
      <c r="C940" s="38" t="s">
        <v>448</v>
      </c>
      <c r="D940" s="38" t="s">
        <v>288</v>
      </c>
      <c r="E940" s="38" t="s">
        <v>449</v>
      </c>
      <c r="F940" s="37" t="s">
        <v>450</v>
      </c>
      <c r="G940" s="38" t="s">
        <v>451</v>
      </c>
      <c r="H940" s="37"/>
      <c r="I940" s="37"/>
      <c r="J940" s="37" t="s">
        <v>452</v>
      </c>
      <c r="K940" s="40"/>
      <c r="L940" s="38"/>
      <c r="M940" s="38"/>
      <c r="N940" s="37"/>
      <c r="O940" s="37"/>
      <c r="P940" s="37"/>
      <c r="Q940" s="37"/>
      <c r="R940" s="39"/>
      <c r="S940" s="37"/>
      <c r="T940" s="38" t="s">
        <v>293</v>
      </c>
    </row>
    <row r="941" ht="34.5">
      <c r="A941" s="38" t="s">
        <v>1068</v>
      </c>
      <c r="B941" s="38" t="s">
        <v>1069</v>
      </c>
      <c r="C941" s="38" t="s">
        <v>448</v>
      </c>
      <c r="D941" s="38" t="s">
        <v>474</v>
      </c>
      <c r="E941" s="38" t="s">
        <v>449</v>
      </c>
      <c r="F941" s="37" t="s">
        <v>450</v>
      </c>
      <c r="G941" s="38" t="s">
        <v>451</v>
      </c>
      <c r="H941" s="37"/>
      <c r="I941" s="37"/>
      <c r="J941" s="37" t="s">
        <v>475</v>
      </c>
      <c r="K941" s="40"/>
      <c r="L941" s="38"/>
      <c r="M941" s="38"/>
      <c r="N941" s="37"/>
      <c r="O941" s="37"/>
      <c r="P941" s="37"/>
      <c r="Q941" s="37"/>
      <c r="R941" s="39"/>
      <c r="S941" s="37"/>
      <c r="T941" s="38" t="s">
        <v>293</v>
      </c>
    </row>
    <row r="942" ht="34.5">
      <c r="A942" s="38" t="s">
        <v>1068</v>
      </c>
      <c r="B942" s="38" t="s">
        <v>1069</v>
      </c>
      <c r="C942" s="38" t="s">
        <v>455</v>
      </c>
      <c r="D942" s="38" t="s">
        <v>480</v>
      </c>
      <c r="E942" s="38" t="s">
        <v>449</v>
      </c>
      <c r="F942" s="37" t="s">
        <v>450</v>
      </c>
      <c r="G942" s="38" t="s">
        <v>451</v>
      </c>
      <c r="H942" s="37"/>
      <c r="I942" s="37"/>
      <c r="J942" s="37" t="s">
        <v>481</v>
      </c>
      <c r="K942" s="40"/>
      <c r="L942" s="38"/>
      <c r="M942" s="38"/>
      <c r="N942" s="37"/>
      <c r="O942" s="37"/>
      <c r="P942" s="37"/>
      <c r="Q942" s="37"/>
      <c r="R942" s="39"/>
      <c r="S942" s="37"/>
      <c r="T942" s="38" t="s">
        <v>293</v>
      </c>
    </row>
    <row r="943" ht="34.5">
      <c r="A943" s="38" t="s">
        <v>1068</v>
      </c>
      <c r="B943" s="38" t="s">
        <v>1069</v>
      </c>
      <c r="C943" s="38" t="s">
        <v>455</v>
      </c>
      <c r="D943" s="38" t="s">
        <v>288</v>
      </c>
      <c r="E943" s="38" t="s">
        <v>449</v>
      </c>
      <c r="F943" s="37" t="s">
        <v>450</v>
      </c>
      <c r="G943" s="38" t="s">
        <v>451</v>
      </c>
      <c r="H943" s="37"/>
      <c r="I943" s="37"/>
      <c r="J943" s="37" t="s">
        <v>458</v>
      </c>
      <c r="K943" s="40"/>
      <c r="L943" s="38"/>
      <c r="M943" s="38"/>
      <c r="N943" s="37"/>
      <c r="O943" s="37"/>
      <c r="P943" s="37"/>
      <c r="Q943" s="37"/>
      <c r="R943" s="39"/>
      <c r="S943" s="37"/>
      <c r="T943" s="38" t="s">
        <v>293</v>
      </c>
    </row>
    <row r="944" ht="34.5">
      <c r="A944" s="38" t="s">
        <v>1068</v>
      </c>
      <c r="B944" s="38" t="s">
        <v>1069</v>
      </c>
      <c r="C944" s="38" t="s">
        <v>455</v>
      </c>
      <c r="D944" s="38" t="s">
        <v>485</v>
      </c>
      <c r="E944" s="38" t="s">
        <v>449</v>
      </c>
      <c r="F944" s="37" t="s">
        <v>450</v>
      </c>
      <c r="G944" s="38" t="s">
        <v>451</v>
      </c>
      <c r="H944" s="37"/>
      <c r="I944" s="37"/>
      <c r="J944" s="37" t="s">
        <v>486</v>
      </c>
      <c r="K944" s="40"/>
      <c r="L944" s="38"/>
      <c r="M944" s="38"/>
      <c r="N944" s="37"/>
      <c r="O944" s="37"/>
      <c r="P944" s="37"/>
      <c r="Q944" s="37"/>
      <c r="R944" s="39"/>
      <c r="S944" s="37"/>
      <c r="T944" s="38" t="s">
        <v>293</v>
      </c>
    </row>
    <row r="945" ht="34.5">
      <c r="A945" s="38" t="s">
        <v>1068</v>
      </c>
      <c r="B945" s="38" t="s">
        <v>1069</v>
      </c>
      <c r="C945" s="38" t="s">
        <v>455</v>
      </c>
      <c r="D945" s="38" t="s">
        <v>288</v>
      </c>
      <c r="E945" s="38" t="s">
        <v>449</v>
      </c>
      <c r="F945" s="37" t="s">
        <v>450</v>
      </c>
      <c r="G945" s="38" t="s">
        <v>451</v>
      </c>
      <c r="H945" s="37"/>
      <c r="I945" s="37"/>
      <c r="J945" s="37" t="s">
        <v>462</v>
      </c>
      <c r="K945" s="40">
        <v>200000000</v>
      </c>
      <c r="L945" s="38" t="s">
        <v>297</v>
      </c>
      <c r="M945" s="38"/>
      <c r="N945" s="37"/>
      <c r="O945" s="37"/>
      <c r="P945" s="37"/>
      <c r="Q945" s="37"/>
      <c r="R945" s="39"/>
      <c r="S945" s="37"/>
      <c r="T945" s="38" t="s">
        <v>293</v>
      </c>
    </row>
    <row r="946" ht="34.5">
      <c r="A946" s="38" t="s">
        <v>1068</v>
      </c>
      <c r="B946" s="38" t="s">
        <v>1069</v>
      </c>
      <c r="C946" s="38" t="s">
        <v>455</v>
      </c>
      <c r="D946" s="38" t="s">
        <v>288</v>
      </c>
      <c r="E946" s="38" t="s">
        <v>449</v>
      </c>
      <c r="F946" s="37" t="s">
        <v>450</v>
      </c>
      <c r="G946" s="38" t="s">
        <v>451</v>
      </c>
      <c r="H946" s="37"/>
      <c r="I946" s="37"/>
      <c r="J946" s="37" t="s">
        <v>1088</v>
      </c>
      <c r="K946" s="40">
        <v>10000000</v>
      </c>
      <c r="L946" s="38" t="s">
        <v>297</v>
      </c>
      <c r="M946" s="38"/>
      <c r="N946" s="37"/>
      <c r="O946" s="37"/>
      <c r="P946" s="37"/>
      <c r="Q946" s="37"/>
      <c r="R946" s="39"/>
      <c r="S946" s="37"/>
      <c r="T946" s="38" t="s">
        <v>293</v>
      </c>
    </row>
    <row r="947" ht="34.5">
      <c r="A947" s="38" t="s">
        <v>1068</v>
      </c>
      <c r="B947" s="38" t="s">
        <v>1069</v>
      </c>
      <c r="C947" s="38" t="s">
        <v>461</v>
      </c>
      <c r="D947" s="38" t="s">
        <v>288</v>
      </c>
      <c r="E947" s="38" t="s">
        <v>449</v>
      </c>
      <c r="F947" s="37" t="s">
        <v>450</v>
      </c>
      <c r="G947" s="38" t="s">
        <v>451</v>
      </c>
      <c r="H947" s="37"/>
      <c r="I947" s="37"/>
      <c r="J947" s="37" t="s">
        <v>1089</v>
      </c>
      <c r="K947" s="40">
        <v>50000000</v>
      </c>
      <c r="L947" s="38" t="s">
        <v>297</v>
      </c>
      <c r="M947" s="38"/>
      <c r="N947" s="37"/>
      <c r="O947" s="37"/>
      <c r="P947" s="37"/>
      <c r="Q947" s="37"/>
      <c r="R947" s="39"/>
      <c r="S947" s="37"/>
      <c r="T947" s="38" t="s">
        <v>293</v>
      </c>
    </row>
    <row r="948" ht="34.5">
      <c r="A948" s="38" t="s">
        <v>1068</v>
      </c>
      <c r="B948" s="38" t="s">
        <v>1069</v>
      </c>
      <c r="C948" s="38" t="s">
        <v>461</v>
      </c>
      <c r="D948" s="38" t="s">
        <v>288</v>
      </c>
      <c r="E948" s="38" t="s">
        <v>449</v>
      </c>
      <c r="F948" s="37" t="s">
        <v>450</v>
      </c>
      <c r="G948" s="38" t="s">
        <v>451</v>
      </c>
      <c r="H948" s="37"/>
      <c r="I948" s="37"/>
      <c r="J948" s="37" t="s">
        <v>1090</v>
      </c>
      <c r="K948" s="40">
        <v>100000000</v>
      </c>
      <c r="L948" s="38" t="s">
        <v>297</v>
      </c>
      <c r="M948" s="38"/>
      <c r="N948" s="37"/>
      <c r="O948" s="37"/>
      <c r="P948" s="37"/>
      <c r="Q948" s="37"/>
      <c r="R948" s="39"/>
      <c r="S948" s="37"/>
      <c r="T948" s="38" t="s">
        <v>293</v>
      </c>
    </row>
    <row r="949" ht="34.5">
      <c r="A949" s="38" t="s">
        <v>1068</v>
      </c>
      <c r="B949" s="38" t="s">
        <v>1069</v>
      </c>
      <c r="C949" s="38" t="s">
        <v>461</v>
      </c>
      <c r="D949" s="38" t="s">
        <v>288</v>
      </c>
      <c r="E949" s="38" t="s">
        <v>449</v>
      </c>
      <c r="F949" s="37" t="s">
        <v>450</v>
      </c>
      <c r="G949" s="38" t="s">
        <v>451</v>
      </c>
      <c r="H949" s="37"/>
      <c r="I949" s="37"/>
      <c r="J949" s="37" t="s">
        <v>468</v>
      </c>
      <c r="K949" s="40"/>
      <c r="L949" s="38"/>
      <c r="M949" s="38"/>
      <c r="N949" s="37"/>
      <c r="O949" s="37"/>
      <c r="P949" s="37"/>
      <c r="Q949" s="37"/>
      <c r="R949" s="39"/>
      <c r="S949" s="37"/>
      <c r="T949" s="38" t="s">
        <v>293</v>
      </c>
    </row>
    <row r="950" ht="34.5">
      <c r="A950" s="38" t="s">
        <v>1068</v>
      </c>
      <c r="B950" s="38" t="s">
        <v>1069</v>
      </c>
      <c r="C950" s="38" t="s">
        <v>461</v>
      </c>
      <c r="D950" s="38" t="s">
        <v>288</v>
      </c>
      <c r="E950" s="38" t="s">
        <v>449</v>
      </c>
      <c r="F950" s="37" t="s">
        <v>450</v>
      </c>
      <c r="G950" s="38" t="s">
        <v>451</v>
      </c>
      <c r="H950" s="37"/>
      <c r="I950" s="37"/>
      <c r="J950" s="37" t="s">
        <v>1091</v>
      </c>
      <c r="K950" s="40">
        <v>6197498</v>
      </c>
      <c r="L950" s="38" t="s">
        <v>297</v>
      </c>
      <c r="M950" s="38"/>
      <c r="N950" s="37"/>
      <c r="O950" s="37"/>
      <c r="P950" s="37"/>
      <c r="Q950" s="37"/>
      <c r="R950" s="39"/>
      <c r="S950" s="37"/>
      <c r="T950" s="38" t="s">
        <v>293</v>
      </c>
    </row>
    <row r="951" ht="34.5">
      <c r="A951" s="38" t="s">
        <v>1068</v>
      </c>
      <c r="B951" s="38" t="s">
        <v>1069</v>
      </c>
      <c r="C951" s="38" t="s">
        <v>461</v>
      </c>
      <c r="D951" s="38" t="s">
        <v>288</v>
      </c>
      <c r="E951" s="38" t="s">
        <v>449</v>
      </c>
      <c r="F951" s="37" t="s">
        <v>450</v>
      </c>
      <c r="G951" s="38" t="s">
        <v>451</v>
      </c>
      <c r="H951" s="37"/>
      <c r="I951" s="37"/>
      <c r="J951" s="37" t="s">
        <v>1092</v>
      </c>
      <c r="K951" s="40">
        <v>200000000</v>
      </c>
      <c r="L951" s="38" t="s">
        <v>297</v>
      </c>
      <c r="M951" s="38"/>
      <c r="N951" s="37"/>
      <c r="O951" s="37"/>
      <c r="P951" s="37"/>
      <c r="Q951" s="37"/>
      <c r="R951" s="39"/>
      <c r="S951" s="37"/>
      <c r="T951" s="38" t="s">
        <v>293</v>
      </c>
    </row>
    <row r="952" ht="34.5">
      <c r="A952" s="38" t="s">
        <v>1068</v>
      </c>
      <c r="B952" s="38" t="s">
        <v>1069</v>
      </c>
      <c r="C952" s="38" t="s">
        <v>461</v>
      </c>
      <c r="D952" s="38" t="s">
        <v>288</v>
      </c>
      <c r="E952" s="38" t="s">
        <v>449</v>
      </c>
      <c r="F952" s="37" t="s">
        <v>450</v>
      </c>
      <c r="G952" s="38" t="s">
        <v>451</v>
      </c>
      <c r="H952" s="37"/>
      <c r="I952" s="37"/>
      <c r="J952" s="37" t="s">
        <v>1093</v>
      </c>
      <c r="K952" s="40">
        <v>50000000</v>
      </c>
      <c r="L952" s="38" t="s">
        <v>297</v>
      </c>
      <c r="M952" s="38"/>
      <c r="N952" s="37"/>
      <c r="O952" s="37"/>
      <c r="P952" s="37"/>
      <c r="Q952" s="37"/>
      <c r="R952" s="39"/>
      <c r="S952" s="37"/>
      <c r="T952" s="38" t="s">
        <v>293</v>
      </c>
    </row>
    <row r="953" ht="34.5">
      <c r="A953" s="38" t="s">
        <v>1068</v>
      </c>
      <c r="B953" s="38" t="s">
        <v>1069</v>
      </c>
      <c r="C953" s="38" t="s">
        <v>461</v>
      </c>
      <c r="D953" s="38" t="s">
        <v>288</v>
      </c>
      <c r="E953" s="38" t="s">
        <v>449</v>
      </c>
      <c r="F953" s="37" t="s">
        <v>450</v>
      </c>
      <c r="G953" s="38" t="s">
        <v>451</v>
      </c>
      <c r="H953" s="37"/>
      <c r="I953" s="37"/>
      <c r="J953" s="37" t="s">
        <v>1094</v>
      </c>
      <c r="K953" s="40"/>
      <c r="L953" s="38"/>
      <c r="M953" s="38"/>
      <c r="N953" s="37"/>
      <c r="O953" s="37"/>
      <c r="P953" s="37"/>
      <c r="Q953" s="37"/>
      <c r="R953" s="39"/>
      <c r="S953" s="37"/>
      <c r="T953" s="38" t="s">
        <v>293</v>
      </c>
    </row>
    <row r="954" ht="34.5">
      <c r="A954" s="38" t="s">
        <v>1068</v>
      </c>
      <c r="B954" s="38" t="s">
        <v>1069</v>
      </c>
      <c r="C954" s="38" t="s">
        <v>461</v>
      </c>
      <c r="D954" s="38" t="s">
        <v>490</v>
      </c>
      <c r="E954" s="38" t="s">
        <v>449</v>
      </c>
      <c r="F954" s="37" t="s">
        <v>450</v>
      </c>
      <c r="G954" s="38" t="s">
        <v>451</v>
      </c>
      <c r="H954" s="37"/>
      <c r="I954" s="37"/>
      <c r="J954" s="37" t="s">
        <v>491</v>
      </c>
      <c r="K954" s="40"/>
      <c r="L954" s="38"/>
      <c r="M954" s="38"/>
      <c r="N954" s="37"/>
      <c r="O954" s="37"/>
      <c r="P954" s="37"/>
      <c r="Q954" s="37"/>
      <c r="R954" s="39"/>
      <c r="S954" s="37"/>
      <c r="T954" s="38" t="s">
        <v>293</v>
      </c>
    </row>
    <row r="955" ht="34.5">
      <c r="A955" s="38" t="s">
        <v>1068</v>
      </c>
      <c r="B955" s="38" t="s">
        <v>1069</v>
      </c>
      <c r="C955" s="38" t="s">
        <v>461</v>
      </c>
      <c r="D955" s="38" t="s">
        <v>288</v>
      </c>
      <c r="E955" s="38" t="s">
        <v>449</v>
      </c>
      <c r="F955" s="37" t="s">
        <v>450</v>
      </c>
      <c r="G955" s="38" t="s">
        <v>451</v>
      </c>
      <c r="H955" s="37"/>
      <c r="I955" s="37"/>
      <c r="J955" s="37" t="s">
        <v>950</v>
      </c>
      <c r="K955" s="40"/>
      <c r="L955" s="38"/>
      <c r="M955" s="38"/>
      <c r="N955" s="37"/>
      <c r="O955" s="37"/>
      <c r="P955" s="37"/>
      <c r="Q955" s="37"/>
      <c r="R955" s="39"/>
      <c r="S955" s="37"/>
      <c r="T955" s="38" t="s">
        <v>293</v>
      </c>
    </row>
    <row r="956" ht="34.5">
      <c r="A956" s="38" t="s">
        <v>1068</v>
      </c>
      <c r="B956" s="38" t="s">
        <v>1069</v>
      </c>
      <c r="C956" s="38" t="s">
        <v>471</v>
      </c>
      <c r="D956" s="38" t="s">
        <v>288</v>
      </c>
      <c r="E956" s="38" t="s">
        <v>477</v>
      </c>
      <c r="F956" s="37" t="s">
        <v>478</v>
      </c>
      <c r="G956" s="38" t="s">
        <v>451</v>
      </c>
      <c r="H956" s="37"/>
      <c r="I956" s="37"/>
      <c r="J956" s="37" t="s">
        <v>1095</v>
      </c>
      <c r="K956" s="40"/>
      <c r="L956" s="38"/>
      <c r="M956" s="38"/>
      <c r="N956" s="37"/>
      <c r="O956" s="37"/>
      <c r="P956" s="37"/>
      <c r="Q956" s="37"/>
      <c r="R956" s="39"/>
      <c r="S956" s="37"/>
      <c r="T956" s="38" t="s">
        <v>293</v>
      </c>
    </row>
    <row r="957" ht="34.5">
      <c r="A957" s="38" t="s">
        <v>1068</v>
      </c>
      <c r="B957" s="38" t="s">
        <v>1069</v>
      </c>
      <c r="C957" s="38" t="s">
        <v>471</v>
      </c>
      <c r="D957" s="38" t="s">
        <v>495</v>
      </c>
      <c r="E957" s="38" t="s">
        <v>477</v>
      </c>
      <c r="F957" s="37" t="s">
        <v>478</v>
      </c>
      <c r="G957" s="38" t="s">
        <v>451</v>
      </c>
      <c r="H957" s="37"/>
      <c r="I957" s="37"/>
      <c r="J957" s="37" t="s">
        <v>496</v>
      </c>
      <c r="K957" s="40"/>
      <c r="L957" s="38"/>
      <c r="M957" s="38"/>
      <c r="N957" s="37"/>
      <c r="O957" s="37"/>
      <c r="P957" s="37"/>
      <c r="Q957" s="37"/>
      <c r="R957" s="39"/>
      <c r="S957" s="37"/>
      <c r="T957" s="38" t="s">
        <v>293</v>
      </c>
    </row>
    <row r="958" ht="34.5">
      <c r="A958" s="38" t="s">
        <v>1068</v>
      </c>
      <c r="B958" s="38" t="s">
        <v>1069</v>
      </c>
      <c r="C958" s="38" t="s">
        <v>471</v>
      </c>
      <c r="D958" s="38" t="s">
        <v>288</v>
      </c>
      <c r="E958" s="38" t="s">
        <v>477</v>
      </c>
      <c r="F958" s="37" t="s">
        <v>478</v>
      </c>
      <c r="G958" s="38" t="s">
        <v>451</v>
      </c>
      <c r="H958" s="37"/>
      <c r="I958" s="37"/>
      <c r="J958" s="37" t="s">
        <v>482</v>
      </c>
      <c r="K958" s="40"/>
      <c r="L958" s="38"/>
      <c r="M958" s="38"/>
      <c r="N958" s="37"/>
      <c r="O958" s="37"/>
      <c r="P958" s="37"/>
      <c r="Q958" s="37"/>
      <c r="R958" s="39"/>
      <c r="S958" s="37"/>
      <c r="T958" s="38" t="s">
        <v>293</v>
      </c>
    </row>
    <row r="959" ht="34.5">
      <c r="A959" s="38" t="s">
        <v>1068</v>
      </c>
      <c r="B959" s="38" t="s">
        <v>1069</v>
      </c>
      <c r="C959" s="38" t="s">
        <v>471</v>
      </c>
      <c r="D959" s="38" t="s">
        <v>288</v>
      </c>
      <c r="E959" s="38" t="s">
        <v>477</v>
      </c>
      <c r="F959" s="37" t="s">
        <v>478</v>
      </c>
      <c r="G959" s="38" t="s">
        <v>451</v>
      </c>
      <c r="H959" s="37"/>
      <c r="I959" s="37"/>
      <c r="J959" s="37" t="s">
        <v>484</v>
      </c>
      <c r="K959" s="40"/>
      <c r="L959" s="38"/>
      <c r="M959" s="38"/>
      <c r="N959" s="37"/>
      <c r="O959" s="37"/>
      <c r="P959" s="37"/>
      <c r="Q959" s="37"/>
      <c r="R959" s="39"/>
      <c r="S959" s="37"/>
      <c r="T959" s="38" t="s">
        <v>293</v>
      </c>
    </row>
    <row r="960" ht="34.5">
      <c r="A960" s="38" t="s">
        <v>1068</v>
      </c>
      <c r="B960" s="38" t="s">
        <v>1069</v>
      </c>
      <c r="C960" s="38" t="s">
        <v>471</v>
      </c>
      <c r="D960" s="38" t="s">
        <v>502</v>
      </c>
      <c r="E960" s="38" t="s">
        <v>477</v>
      </c>
      <c r="F960" s="37" t="s">
        <v>478</v>
      </c>
      <c r="G960" s="38" t="s">
        <v>451</v>
      </c>
      <c r="H960" s="37"/>
      <c r="I960" s="37"/>
      <c r="J960" s="37" t="s">
        <v>503</v>
      </c>
      <c r="K960" s="40"/>
      <c r="L960" s="38"/>
      <c r="M960" s="38"/>
      <c r="N960" s="37"/>
      <c r="O960" s="37"/>
      <c r="P960" s="37"/>
      <c r="Q960" s="37"/>
      <c r="R960" s="39"/>
      <c r="S960" s="37"/>
      <c r="T960" s="38" t="s">
        <v>293</v>
      </c>
    </row>
    <row r="961" ht="34.5">
      <c r="A961" s="38" t="s">
        <v>1068</v>
      </c>
      <c r="B961" s="38" t="s">
        <v>1069</v>
      </c>
      <c r="C961" s="38" t="s">
        <v>471</v>
      </c>
      <c r="D961" s="38" t="s">
        <v>288</v>
      </c>
      <c r="E961" s="38" t="s">
        <v>477</v>
      </c>
      <c r="F961" s="37" t="s">
        <v>478</v>
      </c>
      <c r="G961" s="38" t="s">
        <v>451</v>
      </c>
      <c r="H961" s="37"/>
      <c r="I961" s="37"/>
      <c r="J961" s="37" t="s">
        <v>950</v>
      </c>
      <c r="K961" s="40"/>
      <c r="L961" s="38"/>
      <c r="M961" s="38"/>
      <c r="N961" s="37"/>
      <c r="O961" s="37"/>
      <c r="P961" s="37"/>
      <c r="Q961" s="37"/>
      <c r="R961" s="39"/>
      <c r="S961" s="37"/>
      <c r="T961" s="38" t="s">
        <v>293</v>
      </c>
    </row>
    <row r="962" ht="34.5">
      <c r="A962" s="38" t="s">
        <v>1068</v>
      </c>
      <c r="B962" s="38" t="s">
        <v>1069</v>
      </c>
      <c r="C962" s="38" t="s">
        <v>471</v>
      </c>
      <c r="D962" s="38" t="s">
        <v>288</v>
      </c>
      <c r="E962" s="38" t="s">
        <v>487</v>
      </c>
      <c r="F962" s="37" t="s">
        <v>488</v>
      </c>
      <c r="G962" s="38" t="s">
        <v>451</v>
      </c>
      <c r="H962" s="37"/>
      <c r="I962" s="37"/>
      <c r="J962" s="37" t="s">
        <v>1096</v>
      </c>
      <c r="K962" s="40"/>
      <c r="L962" s="38"/>
      <c r="M962" s="38"/>
      <c r="N962" s="37"/>
      <c r="O962" s="37"/>
      <c r="P962" s="37"/>
      <c r="Q962" s="37"/>
      <c r="R962" s="39"/>
      <c r="S962" s="37"/>
      <c r="T962" s="38" t="s">
        <v>293</v>
      </c>
    </row>
    <row r="963" ht="34.5">
      <c r="A963" s="38" t="s">
        <v>1068</v>
      </c>
      <c r="B963" s="38" t="s">
        <v>1069</v>
      </c>
      <c r="C963" s="38" t="s">
        <v>471</v>
      </c>
      <c r="D963" s="38" t="s">
        <v>512</v>
      </c>
      <c r="E963" s="38" t="s">
        <v>487</v>
      </c>
      <c r="F963" s="37" t="s">
        <v>488</v>
      </c>
      <c r="G963" s="38" t="s">
        <v>451</v>
      </c>
      <c r="H963" s="37"/>
      <c r="I963" s="37"/>
      <c r="J963" s="37" t="s">
        <v>513</v>
      </c>
      <c r="K963" s="40"/>
      <c r="L963" s="38"/>
      <c r="M963" s="38"/>
      <c r="N963" s="37"/>
      <c r="O963" s="37"/>
      <c r="P963" s="37"/>
      <c r="Q963" s="37"/>
      <c r="R963" s="39"/>
      <c r="S963" s="37"/>
      <c r="T963" s="38" t="s">
        <v>293</v>
      </c>
    </row>
    <row r="964" ht="34.5">
      <c r="A964" s="38" t="s">
        <v>1068</v>
      </c>
      <c r="B964" s="38" t="s">
        <v>1069</v>
      </c>
      <c r="C964" s="38" t="s">
        <v>483</v>
      </c>
      <c r="D964" s="38" t="s">
        <v>288</v>
      </c>
      <c r="E964" s="38" t="s">
        <v>492</v>
      </c>
      <c r="F964" s="37" t="s">
        <v>493</v>
      </c>
      <c r="G964" s="38" t="s">
        <v>70</v>
      </c>
      <c r="H964" s="37"/>
      <c r="I964" s="37"/>
      <c r="J964" s="37" t="s">
        <v>494</v>
      </c>
      <c r="K964" s="40"/>
      <c r="L964" s="38"/>
      <c r="M964" s="38"/>
      <c r="N964" s="37"/>
      <c r="O964" s="37"/>
      <c r="P964" s="37"/>
      <c r="Q964" s="37"/>
      <c r="R964" s="39"/>
      <c r="S964" s="37"/>
      <c r="T964" s="38" t="s">
        <v>293</v>
      </c>
    </row>
    <row r="965" ht="34.5">
      <c r="A965" s="38" t="s">
        <v>1068</v>
      </c>
      <c r="B965" s="38" t="s">
        <v>1069</v>
      </c>
      <c r="C965" s="38" t="s">
        <v>483</v>
      </c>
      <c r="D965" s="38" t="s">
        <v>517</v>
      </c>
      <c r="E965" s="38" t="s">
        <v>492</v>
      </c>
      <c r="F965" s="37" t="s">
        <v>493</v>
      </c>
      <c r="G965" s="38" t="s">
        <v>70</v>
      </c>
      <c r="H965" s="37"/>
      <c r="I965" s="37"/>
      <c r="J965" s="37" t="s">
        <v>518</v>
      </c>
      <c r="K965" s="40"/>
      <c r="L965" s="38"/>
      <c r="M965" s="38"/>
      <c r="N965" s="37"/>
      <c r="O965" s="37"/>
      <c r="P965" s="37"/>
      <c r="Q965" s="37"/>
      <c r="R965" s="39"/>
      <c r="S965" s="37"/>
      <c r="T965" s="38" t="s">
        <v>293</v>
      </c>
    </row>
    <row r="966" ht="34.5">
      <c r="A966" s="38" t="s">
        <v>1068</v>
      </c>
      <c r="B966" s="38" t="s">
        <v>1069</v>
      </c>
      <c r="C966" s="38" t="s">
        <v>483</v>
      </c>
      <c r="D966" s="38" t="s">
        <v>288</v>
      </c>
      <c r="E966" s="38" t="s">
        <v>498</v>
      </c>
      <c r="F966" s="37" t="s">
        <v>499</v>
      </c>
      <c r="G966" s="38" t="s">
        <v>500</v>
      </c>
      <c r="H966" s="37"/>
      <c r="I966" s="37"/>
      <c r="J966" s="37" t="s">
        <v>1097</v>
      </c>
      <c r="K966" s="40">
        <v>10334046</v>
      </c>
      <c r="L966" s="38" t="s">
        <v>297</v>
      </c>
      <c r="M966" s="38"/>
      <c r="N966" s="37"/>
      <c r="O966" s="37"/>
      <c r="P966" s="37"/>
      <c r="Q966" s="37"/>
      <c r="R966" s="39"/>
      <c r="S966" s="37"/>
      <c r="T966" s="38" t="s">
        <v>293</v>
      </c>
    </row>
    <row r="967" ht="34.5">
      <c r="A967" s="38" t="s">
        <v>1068</v>
      </c>
      <c r="B967" s="38" t="s">
        <v>1069</v>
      </c>
      <c r="C967" s="38" t="s">
        <v>483</v>
      </c>
      <c r="D967" s="38" t="s">
        <v>521</v>
      </c>
      <c r="E967" s="38" t="s">
        <v>498</v>
      </c>
      <c r="F967" s="37" t="s">
        <v>499</v>
      </c>
      <c r="G967" s="38" t="s">
        <v>500</v>
      </c>
      <c r="H967" s="37"/>
      <c r="I967" s="37"/>
      <c r="J967" s="37" t="s">
        <v>522</v>
      </c>
      <c r="K967" s="40"/>
      <c r="L967" s="38"/>
      <c r="M967" s="38"/>
      <c r="N967" s="37"/>
      <c r="O967" s="37"/>
      <c r="P967" s="37"/>
      <c r="Q967" s="37"/>
      <c r="R967" s="39"/>
      <c r="S967" s="37"/>
      <c r="T967" s="38" t="s">
        <v>293</v>
      </c>
    </row>
    <row r="968" ht="34.5">
      <c r="A968" s="38" t="s">
        <v>1068</v>
      </c>
      <c r="B968" s="38" t="s">
        <v>1069</v>
      </c>
      <c r="C968" s="38" t="s">
        <v>483</v>
      </c>
      <c r="D968" s="38" t="s">
        <v>288</v>
      </c>
      <c r="E968" s="38" t="s">
        <v>498</v>
      </c>
      <c r="F968" s="37" t="s">
        <v>499</v>
      </c>
      <c r="G968" s="38" t="s">
        <v>500</v>
      </c>
      <c r="H968" s="37"/>
      <c r="I968" s="37"/>
      <c r="J968" s="37" t="s">
        <v>504</v>
      </c>
      <c r="K968" s="40"/>
      <c r="L968" s="38"/>
      <c r="M968" s="38"/>
      <c r="N968" s="37"/>
      <c r="O968" s="37"/>
      <c r="P968" s="37"/>
      <c r="Q968" s="37"/>
      <c r="R968" s="39"/>
      <c r="S968" s="37"/>
      <c r="T968" s="38" t="s">
        <v>293</v>
      </c>
    </row>
    <row r="969" ht="34.5">
      <c r="A969" s="38" t="s">
        <v>1068</v>
      </c>
      <c r="B969" s="38" t="s">
        <v>1069</v>
      </c>
      <c r="C969" s="38" t="s">
        <v>497</v>
      </c>
      <c r="D969" s="38" t="s">
        <v>288</v>
      </c>
      <c r="E969" s="38" t="s">
        <v>498</v>
      </c>
      <c r="F969" s="37" t="s">
        <v>499</v>
      </c>
      <c r="G969" s="38" t="s">
        <v>500</v>
      </c>
      <c r="H969" s="37"/>
      <c r="I969" s="37"/>
      <c r="J969" s="37" t="s">
        <v>1098</v>
      </c>
      <c r="K969" s="40"/>
      <c r="L969" s="38"/>
      <c r="M969" s="38"/>
      <c r="N969" s="37"/>
      <c r="O969" s="37"/>
      <c r="P969" s="37"/>
      <c r="Q969" s="37"/>
      <c r="R969" s="39"/>
      <c r="S969" s="37"/>
      <c r="T969" s="38" t="s">
        <v>293</v>
      </c>
    </row>
    <row r="970" ht="34.5">
      <c r="A970" s="38" t="s">
        <v>1068</v>
      </c>
      <c r="B970" s="38" t="s">
        <v>1069</v>
      </c>
      <c r="C970" s="38" t="s">
        <v>497</v>
      </c>
      <c r="D970" s="38" t="s">
        <v>288</v>
      </c>
      <c r="E970" s="38" t="s">
        <v>498</v>
      </c>
      <c r="F970" s="37" t="s">
        <v>499</v>
      </c>
      <c r="G970" s="38" t="s">
        <v>500</v>
      </c>
      <c r="H970" s="37"/>
      <c r="I970" s="37"/>
      <c r="J970" s="37" t="s">
        <v>1099</v>
      </c>
      <c r="K970" s="40">
        <v>210000</v>
      </c>
      <c r="L970" s="38" t="s">
        <v>297</v>
      </c>
      <c r="M970" s="38"/>
      <c r="N970" s="37"/>
      <c r="O970" s="37"/>
      <c r="P970" s="37"/>
      <c r="Q970" s="37"/>
      <c r="R970" s="39"/>
      <c r="S970" s="37"/>
      <c r="T970" s="38" t="s">
        <v>293</v>
      </c>
    </row>
    <row r="971" ht="34.5">
      <c r="A971" s="38" t="s">
        <v>1068</v>
      </c>
      <c r="B971" s="38" t="s">
        <v>1069</v>
      </c>
      <c r="C971" s="38" t="s">
        <v>497</v>
      </c>
      <c r="D971" s="38" t="s">
        <v>288</v>
      </c>
      <c r="E971" s="38" t="s">
        <v>498</v>
      </c>
      <c r="F971" s="37" t="s">
        <v>499</v>
      </c>
      <c r="G971" s="38" t="s">
        <v>500</v>
      </c>
      <c r="H971" s="37"/>
      <c r="I971" s="37"/>
      <c r="J971" s="37" t="s">
        <v>1100</v>
      </c>
      <c r="K971" s="40"/>
      <c r="L971" s="38"/>
      <c r="M971" s="38"/>
      <c r="N971" s="37"/>
      <c r="O971" s="37"/>
      <c r="P971" s="37"/>
      <c r="Q971" s="37"/>
      <c r="R971" s="39"/>
      <c r="S971" s="37"/>
      <c r="T971" s="38" t="s">
        <v>293</v>
      </c>
    </row>
    <row r="972" ht="34.5">
      <c r="A972" s="38" t="s">
        <v>1068</v>
      </c>
      <c r="B972" s="38" t="s">
        <v>1069</v>
      </c>
      <c r="C972" s="38" t="s">
        <v>497</v>
      </c>
      <c r="D972" s="38" t="s">
        <v>288</v>
      </c>
      <c r="E972" s="38" t="s">
        <v>498</v>
      </c>
      <c r="F972" s="37" t="s">
        <v>499</v>
      </c>
      <c r="G972" s="38" t="s">
        <v>500</v>
      </c>
      <c r="H972" s="37"/>
      <c r="I972" s="37"/>
      <c r="J972" s="37" t="s">
        <v>1101</v>
      </c>
      <c r="K972" s="40"/>
      <c r="L972" s="38"/>
      <c r="M972" s="38"/>
      <c r="N972" s="37"/>
      <c r="O972" s="37"/>
      <c r="P972" s="37"/>
      <c r="Q972" s="37"/>
      <c r="R972" s="39"/>
      <c r="S972" s="37"/>
      <c r="T972" s="38" t="s">
        <v>293</v>
      </c>
    </row>
    <row r="973" ht="34.5">
      <c r="A973" s="38" t="s">
        <v>1068</v>
      </c>
      <c r="B973" s="38" t="s">
        <v>1069</v>
      </c>
      <c r="C973" s="38" t="s">
        <v>497</v>
      </c>
      <c r="D973" s="38" t="s">
        <v>288</v>
      </c>
      <c r="E973" s="38" t="s">
        <v>498</v>
      </c>
      <c r="F973" s="37" t="s">
        <v>499</v>
      </c>
      <c r="G973" s="38" t="s">
        <v>500</v>
      </c>
      <c r="H973" s="37"/>
      <c r="I973" s="37"/>
      <c r="J973" s="37" t="s">
        <v>510</v>
      </c>
      <c r="K973" s="40"/>
      <c r="L973" s="38"/>
      <c r="M973" s="38"/>
      <c r="N973" s="37"/>
      <c r="O973" s="37"/>
      <c r="P973" s="37"/>
      <c r="Q973" s="37"/>
      <c r="R973" s="39"/>
      <c r="S973" s="37"/>
      <c r="T973" s="38" t="s">
        <v>293</v>
      </c>
    </row>
    <row r="974" ht="34.5">
      <c r="A974" s="38" t="s">
        <v>1068</v>
      </c>
      <c r="B974" s="38" t="s">
        <v>1069</v>
      </c>
      <c r="C974" s="38" t="s">
        <v>497</v>
      </c>
      <c r="D974" s="38" t="s">
        <v>288</v>
      </c>
      <c r="E974" s="38" t="s">
        <v>498</v>
      </c>
      <c r="F974" s="37" t="s">
        <v>499</v>
      </c>
      <c r="G974" s="38" t="s">
        <v>500</v>
      </c>
      <c r="H974" s="37"/>
      <c r="I974" s="37"/>
      <c r="J974" s="37" t="s">
        <v>511</v>
      </c>
      <c r="K974" s="40"/>
      <c r="L974" s="38"/>
      <c r="M974" s="38"/>
      <c r="N974" s="37"/>
      <c r="O974" s="37"/>
      <c r="P974" s="37"/>
      <c r="Q974" s="37"/>
      <c r="R974" s="39"/>
      <c r="S974" s="37"/>
      <c r="T974" s="38" t="s">
        <v>293</v>
      </c>
    </row>
    <row r="975" ht="34.5">
      <c r="A975" s="38" t="s">
        <v>1068</v>
      </c>
      <c r="B975" s="38" t="s">
        <v>1069</v>
      </c>
      <c r="C975" s="38" t="s">
        <v>497</v>
      </c>
      <c r="D975" s="38" t="s">
        <v>526</v>
      </c>
      <c r="E975" s="38" t="s">
        <v>498</v>
      </c>
      <c r="F975" s="37" t="s">
        <v>499</v>
      </c>
      <c r="G975" s="38" t="s">
        <v>500</v>
      </c>
      <c r="H975" s="37"/>
      <c r="I975" s="37"/>
      <c r="J975" s="37" t="s">
        <v>527</v>
      </c>
      <c r="K975" s="40"/>
      <c r="L975" s="38"/>
      <c r="M975" s="38"/>
      <c r="N975" s="37"/>
      <c r="O975" s="37"/>
      <c r="P975" s="37"/>
      <c r="Q975" s="37"/>
      <c r="R975" s="39"/>
      <c r="S975" s="37"/>
      <c r="T975" s="38" t="s">
        <v>293</v>
      </c>
    </row>
    <row r="976" ht="34.5">
      <c r="A976" s="38" t="s">
        <v>1068</v>
      </c>
      <c r="B976" s="38" t="s">
        <v>1069</v>
      </c>
      <c r="C976" s="38" t="s">
        <v>508</v>
      </c>
      <c r="D976" s="38" t="s">
        <v>288</v>
      </c>
      <c r="E976" s="38" t="s">
        <v>514</v>
      </c>
      <c r="F976" s="37" t="s">
        <v>515</v>
      </c>
      <c r="G976" s="38" t="s">
        <v>70</v>
      </c>
      <c r="H976" s="37"/>
      <c r="I976" s="37"/>
      <c r="J976" s="37" t="s">
        <v>516</v>
      </c>
      <c r="K976" s="40"/>
      <c r="L976" s="38"/>
      <c r="M976" s="38"/>
      <c r="N976" s="37"/>
      <c r="O976" s="37"/>
      <c r="P976" s="37"/>
      <c r="Q976" s="37"/>
      <c r="R976" s="39"/>
      <c r="S976" s="37"/>
      <c r="T976" s="38" t="s">
        <v>293</v>
      </c>
    </row>
    <row r="977" ht="34.5">
      <c r="A977" s="38" t="s">
        <v>1068</v>
      </c>
      <c r="B977" s="38" t="s">
        <v>1069</v>
      </c>
      <c r="C977" s="38" t="s">
        <v>508</v>
      </c>
      <c r="D977" s="38" t="s">
        <v>532</v>
      </c>
      <c r="E977" s="38" t="s">
        <v>514</v>
      </c>
      <c r="F977" s="37" t="s">
        <v>515</v>
      </c>
      <c r="G977" s="38" t="s">
        <v>70</v>
      </c>
      <c r="H977" s="37"/>
      <c r="I977" s="37"/>
      <c r="J977" s="37" t="s">
        <v>533</v>
      </c>
      <c r="K977" s="40"/>
      <c r="L977" s="38"/>
      <c r="M977" s="38"/>
      <c r="N977" s="37"/>
      <c r="O977" s="37"/>
      <c r="P977" s="37"/>
      <c r="Q977" s="37"/>
      <c r="R977" s="39"/>
      <c r="S977" s="37"/>
      <c r="T977" s="38" t="s">
        <v>293</v>
      </c>
    </row>
    <row r="978" ht="34.5">
      <c r="A978" s="38" t="s">
        <v>1068</v>
      </c>
      <c r="B978" s="38" t="s">
        <v>1069</v>
      </c>
      <c r="C978" s="38" t="s">
        <v>508</v>
      </c>
      <c r="D978" s="38" t="s">
        <v>288</v>
      </c>
      <c r="E978" s="38" t="s">
        <v>514</v>
      </c>
      <c r="F978" s="37" t="s">
        <v>515</v>
      </c>
      <c r="G978" s="38" t="s">
        <v>70</v>
      </c>
      <c r="H978" s="37"/>
      <c r="I978" s="37"/>
      <c r="J978" s="37" t="s">
        <v>1102</v>
      </c>
      <c r="K978" s="40">
        <v>3343</v>
      </c>
      <c r="L978" s="38" t="s">
        <v>297</v>
      </c>
      <c r="M978" s="38"/>
      <c r="N978" s="37"/>
      <c r="O978" s="37"/>
      <c r="P978" s="37"/>
      <c r="Q978" s="37"/>
      <c r="R978" s="39"/>
      <c r="S978" s="37"/>
      <c r="T978" s="38" t="s">
        <v>293</v>
      </c>
    </row>
    <row r="979" ht="34.5">
      <c r="A979" s="38" t="s">
        <v>1068</v>
      </c>
      <c r="B979" s="38" t="s">
        <v>1069</v>
      </c>
      <c r="C979" s="38" t="s">
        <v>508</v>
      </c>
      <c r="D979" s="38" t="s">
        <v>288</v>
      </c>
      <c r="E979" s="38" t="s">
        <v>514</v>
      </c>
      <c r="F979" s="37" t="s">
        <v>515</v>
      </c>
      <c r="G979" s="38" t="s">
        <v>70</v>
      </c>
      <c r="H979" s="37"/>
      <c r="I979" s="37"/>
      <c r="J979" s="37" t="s">
        <v>520</v>
      </c>
      <c r="K979" s="40"/>
      <c r="L979" s="38"/>
      <c r="M979" s="38"/>
      <c r="N979" s="37"/>
      <c r="O979" s="37"/>
      <c r="P979" s="37"/>
      <c r="Q979" s="37"/>
      <c r="R979" s="39"/>
      <c r="S979" s="37"/>
      <c r="T979" s="38" t="s">
        <v>293</v>
      </c>
    </row>
    <row r="980" ht="34.5">
      <c r="A980" s="38" t="s">
        <v>1068</v>
      </c>
      <c r="B980" s="38" t="s">
        <v>1069</v>
      </c>
      <c r="C980" s="38" t="s">
        <v>508</v>
      </c>
      <c r="D980" s="38" t="s">
        <v>538</v>
      </c>
      <c r="E980" s="38" t="s">
        <v>514</v>
      </c>
      <c r="F980" s="37" t="s">
        <v>515</v>
      </c>
      <c r="G980" s="38" t="s">
        <v>70</v>
      </c>
      <c r="H980" s="37"/>
      <c r="I980" s="37"/>
      <c r="J980" s="37" t="s">
        <v>539</v>
      </c>
      <c r="K980" s="40"/>
      <c r="L980" s="38"/>
      <c r="M980" s="38"/>
      <c r="N980" s="37"/>
      <c r="O980" s="37"/>
      <c r="P980" s="37"/>
      <c r="Q980" s="37"/>
      <c r="R980" s="39"/>
      <c r="S980" s="37"/>
      <c r="T980" s="38" t="s">
        <v>293</v>
      </c>
    </row>
    <row r="981" ht="34.5">
      <c r="A981" s="38" t="s">
        <v>1068</v>
      </c>
      <c r="B981" s="38" t="s">
        <v>1069</v>
      </c>
      <c r="C981" s="38" t="s">
        <v>519</v>
      </c>
      <c r="D981" s="38" t="s">
        <v>288</v>
      </c>
      <c r="E981" s="38" t="s">
        <v>523</v>
      </c>
      <c r="F981" s="37" t="s">
        <v>524</v>
      </c>
      <c r="G981" s="38" t="s">
        <v>400</v>
      </c>
      <c r="H981" s="37"/>
      <c r="I981" s="37"/>
      <c r="J981" s="37" t="s">
        <v>525</v>
      </c>
      <c r="K981" s="40"/>
      <c r="L981" s="38"/>
      <c r="M981" s="38"/>
      <c r="N981" s="37"/>
      <c r="O981" s="37"/>
      <c r="P981" s="37"/>
      <c r="Q981" s="37"/>
      <c r="R981" s="39"/>
      <c r="S981" s="37"/>
      <c r="T981" s="38" t="s">
        <v>293</v>
      </c>
    </row>
    <row r="982" ht="34.5">
      <c r="A982" s="38" t="s">
        <v>1068</v>
      </c>
      <c r="B982" s="38" t="s">
        <v>1069</v>
      </c>
      <c r="C982" s="38" t="s">
        <v>519</v>
      </c>
      <c r="D982" s="38" t="s">
        <v>544</v>
      </c>
      <c r="E982" s="38" t="s">
        <v>523</v>
      </c>
      <c r="F982" s="37" t="s">
        <v>524</v>
      </c>
      <c r="G982" s="38" t="s">
        <v>400</v>
      </c>
      <c r="H982" s="37"/>
      <c r="I982" s="37"/>
      <c r="J982" s="37" t="s">
        <v>545</v>
      </c>
      <c r="K982" s="40"/>
      <c r="L982" s="38"/>
      <c r="M982" s="38"/>
      <c r="N982" s="37"/>
      <c r="O982" s="37"/>
      <c r="P982" s="37"/>
      <c r="Q982" s="37"/>
      <c r="R982" s="39"/>
      <c r="S982" s="37"/>
      <c r="T982" s="38" t="s">
        <v>293</v>
      </c>
    </row>
    <row r="983" ht="34.5">
      <c r="A983" s="38" t="s">
        <v>1068</v>
      </c>
      <c r="B983" s="38" t="s">
        <v>1069</v>
      </c>
      <c r="C983" s="38" t="s">
        <v>519</v>
      </c>
      <c r="D983" s="38" t="s">
        <v>288</v>
      </c>
      <c r="E983" s="38" t="s">
        <v>529</v>
      </c>
      <c r="F983" s="37" t="s">
        <v>530</v>
      </c>
      <c r="G983" s="38" t="s">
        <v>70</v>
      </c>
      <c r="H983" s="37"/>
      <c r="I983" s="37"/>
      <c r="J983" s="37" t="s">
        <v>531</v>
      </c>
      <c r="K983" s="40"/>
      <c r="L983" s="38"/>
      <c r="M983" s="38"/>
      <c r="N983" s="37"/>
      <c r="O983" s="37"/>
      <c r="P983" s="37"/>
      <c r="Q983" s="37"/>
      <c r="R983" s="39"/>
      <c r="S983" s="37"/>
      <c r="T983" s="38" t="s">
        <v>293</v>
      </c>
    </row>
    <row r="984" ht="34.5">
      <c r="A984" s="38" t="s">
        <v>1068</v>
      </c>
      <c r="B984" s="38" t="s">
        <v>1069</v>
      </c>
      <c r="C984" s="38" t="s">
        <v>519</v>
      </c>
      <c r="D984" s="38" t="s">
        <v>559</v>
      </c>
      <c r="E984" s="38" t="s">
        <v>529</v>
      </c>
      <c r="F984" s="37" t="s">
        <v>530</v>
      </c>
      <c r="G984" s="38" t="s">
        <v>70</v>
      </c>
      <c r="H984" s="37"/>
      <c r="I984" s="37"/>
      <c r="J984" s="37" t="s">
        <v>957</v>
      </c>
      <c r="K984" s="40"/>
      <c r="L984" s="38"/>
      <c r="M984" s="38"/>
      <c r="N984" s="37"/>
      <c r="O984" s="37"/>
      <c r="P984" s="37"/>
      <c r="Q984" s="37"/>
      <c r="R984" s="39"/>
      <c r="S984" s="37"/>
      <c r="T984" s="38" t="s">
        <v>293</v>
      </c>
    </row>
    <row r="985" ht="34.5">
      <c r="A985" s="38" t="s">
        <v>1068</v>
      </c>
      <c r="B985" s="38" t="s">
        <v>1069</v>
      </c>
      <c r="C985" s="38" t="s">
        <v>528</v>
      </c>
      <c r="D985" s="38" t="s">
        <v>288</v>
      </c>
      <c r="E985" s="38" t="s">
        <v>534</v>
      </c>
      <c r="F985" s="37" t="s">
        <v>535</v>
      </c>
      <c r="G985" s="38" t="s">
        <v>536</v>
      </c>
      <c r="H985" s="37"/>
      <c r="I985" s="37"/>
      <c r="J985" s="37" t="s">
        <v>537</v>
      </c>
      <c r="K985" s="40"/>
      <c r="L985" s="38"/>
      <c r="M985" s="38"/>
      <c r="N985" s="37"/>
      <c r="O985" s="37"/>
      <c r="P985" s="37"/>
      <c r="Q985" s="37"/>
      <c r="R985" s="39"/>
      <c r="S985" s="37"/>
      <c r="T985" s="38" t="s">
        <v>293</v>
      </c>
    </row>
    <row r="986" ht="34.5">
      <c r="A986" s="38" t="s">
        <v>1068</v>
      </c>
      <c r="B986" s="38" t="s">
        <v>1069</v>
      </c>
      <c r="C986" s="38" t="s">
        <v>528</v>
      </c>
      <c r="D986" s="38" t="s">
        <v>958</v>
      </c>
      <c r="E986" s="38" t="s">
        <v>534</v>
      </c>
      <c r="F986" s="37" t="s">
        <v>535</v>
      </c>
      <c r="G986" s="38" t="s">
        <v>536</v>
      </c>
      <c r="H986" s="37"/>
      <c r="I986" s="37"/>
      <c r="J986" s="37" t="s">
        <v>959</v>
      </c>
      <c r="K986" s="40"/>
      <c r="L986" s="38"/>
      <c r="M986" s="38"/>
      <c r="N986" s="37"/>
      <c r="O986" s="37"/>
      <c r="P986" s="37"/>
      <c r="Q986" s="37"/>
      <c r="R986" s="39"/>
      <c r="S986" s="37"/>
      <c r="T986" s="38" t="s">
        <v>293</v>
      </c>
    </row>
    <row r="987" ht="34.5">
      <c r="A987" s="38" t="s">
        <v>1068</v>
      </c>
      <c r="B987" s="38" t="s">
        <v>1069</v>
      </c>
      <c r="C987" s="38" t="s">
        <v>528</v>
      </c>
      <c r="D987" s="38" t="s">
        <v>288</v>
      </c>
      <c r="E987" s="38" t="s">
        <v>541</v>
      </c>
      <c r="F987" s="37" t="s">
        <v>542</v>
      </c>
      <c r="G987" s="38" t="s">
        <v>536</v>
      </c>
      <c r="H987" s="37"/>
      <c r="I987" s="37"/>
      <c r="J987" s="37" t="s">
        <v>543</v>
      </c>
      <c r="K987" s="40"/>
      <c r="L987" s="38"/>
      <c r="M987" s="38"/>
      <c r="N987" s="37"/>
      <c r="O987" s="37"/>
      <c r="P987" s="37"/>
      <c r="Q987" s="37"/>
      <c r="R987" s="39"/>
      <c r="S987" s="37"/>
      <c r="T987" s="38" t="s">
        <v>293</v>
      </c>
    </row>
    <row r="988" ht="34.5">
      <c r="A988" s="38" t="s">
        <v>1068</v>
      </c>
      <c r="B988" s="38" t="s">
        <v>1069</v>
      </c>
      <c r="C988" s="38" t="s">
        <v>528</v>
      </c>
      <c r="D988" s="38" t="s">
        <v>966</v>
      </c>
      <c r="E988" s="38" t="s">
        <v>541</v>
      </c>
      <c r="F988" s="37" t="s">
        <v>542</v>
      </c>
      <c r="G988" s="38" t="s">
        <v>536</v>
      </c>
      <c r="H988" s="37"/>
      <c r="I988" s="37"/>
      <c r="J988" s="37" t="s">
        <v>1103</v>
      </c>
      <c r="K988" s="40"/>
      <c r="L988" s="38"/>
      <c r="M988" s="38"/>
      <c r="N988" s="37"/>
      <c r="O988" s="37"/>
      <c r="P988" s="37"/>
      <c r="Q988" s="37"/>
      <c r="R988" s="39"/>
      <c r="S988" s="37"/>
      <c r="T988" s="38" t="s">
        <v>293</v>
      </c>
    </row>
    <row r="989" ht="34.5">
      <c r="A989" s="38" t="s">
        <v>1068</v>
      </c>
      <c r="B989" s="38" t="s">
        <v>1069</v>
      </c>
      <c r="C989" s="38" t="s">
        <v>528</v>
      </c>
      <c r="D989" s="38" t="s">
        <v>288</v>
      </c>
      <c r="E989" s="38" t="s">
        <v>541</v>
      </c>
      <c r="F989" s="37" t="s">
        <v>542</v>
      </c>
      <c r="G989" s="38" t="s">
        <v>536</v>
      </c>
      <c r="H989" s="37"/>
      <c r="I989" s="37"/>
      <c r="J989" s="37" t="s">
        <v>1104</v>
      </c>
      <c r="K989" s="40">
        <v>2355</v>
      </c>
      <c r="L989" s="38" t="s">
        <v>297</v>
      </c>
      <c r="M989" s="38"/>
      <c r="N989" s="37"/>
      <c r="O989" s="37"/>
      <c r="P989" s="37"/>
      <c r="Q989" s="37"/>
      <c r="R989" s="39"/>
      <c r="S989" s="37"/>
      <c r="T989" s="38" t="s">
        <v>293</v>
      </c>
    </row>
    <row r="990" ht="34.5">
      <c r="A990" s="38" t="s">
        <v>1068</v>
      </c>
      <c r="B990" s="38" t="s">
        <v>1069</v>
      </c>
      <c r="C990" s="38" t="s">
        <v>528</v>
      </c>
      <c r="D990" s="38" t="s">
        <v>288</v>
      </c>
      <c r="E990" s="38" t="s">
        <v>541</v>
      </c>
      <c r="F990" s="37" t="s">
        <v>542</v>
      </c>
      <c r="G990" s="38" t="s">
        <v>536</v>
      </c>
      <c r="H990" s="37"/>
      <c r="I990" s="37"/>
      <c r="J990" s="37" t="s">
        <v>547</v>
      </c>
      <c r="K990" s="40"/>
      <c r="L990" s="38"/>
      <c r="M990" s="38"/>
      <c r="N990" s="37"/>
      <c r="O990" s="37"/>
      <c r="P990" s="37"/>
      <c r="Q990" s="37"/>
      <c r="R990" s="39"/>
      <c r="S990" s="37"/>
      <c r="T990" s="38" t="s">
        <v>293</v>
      </c>
    </row>
    <row r="991" ht="34.5">
      <c r="A991" s="38" t="s">
        <v>1068</v>
      </c>
      <c r="B991" s="38" t="s">
        <v>1069</v>
      </c>
      <c r="C991" s="38" t="s">
        <v>528</v>
      </c>
      <c r="D991" s="38" t="s">
        <v>288</v>
      </c>
      <c r="E991" s="38" t="s">
        <v>541</v>
      </c>
      <c r="F991" s="37" t="s">
        <v>542</v>
      </c>
      <c r="G991" s="38" t="s">
        <v>536</v>
      </c>
      <c r="H991" s="37"/>
      <c r="I991" s="37"/>
      <c r="J991" s="37" t="s">
        <v>1105</v>
      </c>
      <c r="K991" s="40">
        <v>200000</v>
      </c>
      <c r="L991" s="38" t="s">
        <v>297</v>
      </c>
      <c r="M991" s="38"/>
      <c r="N991" s="37"/>
      <c r="O991" s="37"/>
      <c r="P991" s="37"/>
      <c r="Q991" s="37"/>
      <c r="R991" s="39"/>
      <c r="S991" s="37"/>
      <c r="T991" s="38" t="s">
        <v>293</v>
      </c>
    </row>
    <row r="992" ht="34.5">
      <c r="A992" s="38" t="s">
        <v>1068</v>
      </c>
      <c r="B992" s="38" t="s">
        <v>1069</v>
      </c>
      <c r="C992" s="38" t="s">
        <v>540</v>
      </c>
      <c r="D992" s="38" t="s">
        <v>288</v>
      </c>
      <c r="E992" s="38" t="s">
        <v>541</v>
      </c>
      <c r="F992" s="37" t="s">
        <v>542</v>
      </c>
      <c r="G992" s="38" t="s">
        <v>536</v>
      </c>
      <c r="H992" s="37"/>
      <c r="I992" s="37"/>
      <c r="J992" s="37" t="s">
        <v>549</v>
      </c>
      <c r="K992" s="40">
        <v>150000</v>
      </c>
      <c r="L992" s="38" t="s">
        <v>297</v>
      </c>
      <c r="M992" s="38"/>
      <c r="N992" s="37"/>
      <c r="O992" s="37"/>
      <c r="P992" s="37"/>
      <c r="Q992" s="37"/>
      <c r="R992" s="39"/>
      <c r="S992" s="37"/>
      <c r="T992" s="38" t="s">
        <v>293</v>
      </c>
    </row>
    <row r="993" ht="34.5">
      <c r="A993" s="38" t="s">
        <v>1068</v>
      </c>
      <c r="B993" s="38" t="s">
        <v>1069</v>
      </c>
      <c r="C993" s="38" t="s">
        <v>540</v>
      </c>
      <c r="D993" s="38" t="s">
        <v>288</v>
      </c>
      <c r="E993" s="38" t="s">
        <v>541</v>
      </c>
      <c r="F993" s="37" t="s">
        <v>542</v>
      </c>
      <c r="G993" s="38" t="s">
        <v>536</v>
      </c>
      <c r="H993" s="37"/>
      <c r="I993" s="37"/>
      <c r="J993" s="37" t="s">
        <v>1106</v>
      </c>
      <c r="K993" s="40">
        <v>117752</v>
      </c>
      <c r="L993" s="38" t="s">
        <v>297</v>
      </c>
      <c r="M993" s="38"/>
      <c r="N993" s="37"/>
      <c r="O993" s="37"/>
      <c r="P993" s="37"/>
      <c r="Q993" s="37"/>
      <c r="R993" s="39"/>
      <c r="S993" s="37"/>
      <c r="T993" s="38" t="s">
        <v>293</v>
      </c>
    </row>
    <row r="994" ht="34.5">
      <c r="A994" s="38" t="s">
        <v>1068</v>
      </c>
      <c r="B994" s="38" t="s">
        <v>1069</v>
      </c>
      <c r="C994" s="38" t="s">
        <v>540</v>
      </c>
      <c r="D994" s="38" t="s">
        <v>288</v>
      </c>
      <c r="E994" s="38" t="s">
        <v>541</v>
      </c>
      <c r="F994" s="37" t="s">
        <v>542</v>
      </c>
      <c r="G994" s="38" t="s">
        <v>536</v>
      </c>
      <c r="H994" s="37"/>
      <c r="I994" s="37"/>
      <c r="J994" s="37" t="s">
        <v>1107</v>
      </c>
      <c r="K994" s="40">
        <v>31904</v>
      </c>
      <c r="L994" s="38" t="s">
        <v>297</v>
      </c>
      <c r="M994" s="38"/>
      <c r="N994" s="37"/>
      <c r="O994" s="37"/>
      <c r="P994" s="37"/>
      <c r="Q994" s="37"/>
      <c r="R994" s="39"/>
      <c r="S994" s="37"/>
      <c r="T994" s="38" t="s">
        <v>293</v>
      </c>
    </row>
    <row r="995" ht="34.5">
      <c r="A995" s="38" t="s">
        <v>1068</v>
      </c>
      <c r="B995" s="38" t="s">
        <v>1069</v>
      </c>
      <c r="C995" s="38" t="s">
        <v>540</v>
      </c>
      <c r="D995" s="38" t="s">
        <v>288</v>
      </c>
      <c r="E995" s="38" t="s">
        <v>541</v>
      </c>
      <c r="F995" s="37" t="s">
        <v>542</v>
      </c>
      <c r="G995" s="38" t="s">
        <v>536</v>
      </c>
      <c r="H995" s="37"/>
      <c r="I995" s="37"/>
      <c r="J995" s="37" t="s">
        <v>964</v>
      </c>
      <c r="K995" s="40">
        <v>150000</v>
      </c>
      <c r="L995" s="38" t="s">
        <v>297</v>
      </c>
      <c r="M995" s="38"/>
      <c r="N995" s="37"/>
      <c r="O995" s="37"/>
      <c r="P995" s="37"/>
      <c r="Q995" s="37"/>
      <c r="R995" s="39"/>
      <c r="S995" s="37"/>
      <c r="T995" s="38" t="s">
        <v>293</v>
      </c>
    </row>
    <row r="996" ht="34.5">
      <c r="A996" s="38" t="s">
        <v>1068</v>
      </c>
      <c r="B996" s="38" t="s">
        <v>1069</v>
      </c>
      <c r="C996" s="38" t="s">
        <v>551</v>
      </c>
      <c r="D996" s="38" t="s">
        <v>288</v>
      </c>
      <c r="E996" s="38" t="s">
        <v>541</v>
      </c>
      <c r="F996" s="37" t="s">
        <v>542</v>
      </c>
      <c r="G996" s="38" t="s">
        <v>536</v>
      </c>
      <c r="H996" s="37"/>
      <c r="I996" s="37"/>
      <c r="J996" s="37" t="s">
        <v>554</v>
      </c>
      <c r="K996" s="40"/>
      <c r="L996" s="38"/>
      <c r="M996" s="38"/>
      <c r="N996" s="37"/>
      <c r="O996" s="37"/>
      <c r="P996" s="37"/>
      <c r="Q996" s="37"/>
      <c r="R996" s="39"/>
      <c r="S996" s="37"/>
      <c r="T996" s="38" t="s">
        <v>293</v>
      </c>
    </row>
    <row r="997" ht="34.5">
      <c r="A997" s="38" t="s">
        <v>1068</v>
      </c>
      <c r="B997" s="38" t="s">
        <v>1069</v>
      </c>
      <c r="C997" s="38" t="s">
        <v>551</v>
      </c>
      <c r="D997" s="38" t="s">
        <v>288</v>
      </c>
      <c r="E997" s="38" t="s">
        <v>541</v>
      </c>
      <c r="F997" s="37" t="s">
        <v>542</v>
      </c>
      <c r="G997" s="38" t="s">
        <v>536</v>
      </c>
      <c r="H997" s="37"/>
      <c r="I997" s="37"/>
      <c r="J997" s="37" t="s">
        <v>555</v>
      </c>
      <c r="K997" s="40"/>
      <c r="L997" s="38"/>
      <c r="M997" s="38"/>
      <c r="N997" s="37"/>
      <c r="O997" s="37"/>
      <c r="P997" s="37"/>
      <c r="Q997" s="37"/>
      <c r="R997" s="39"/>
      <c r="S997" s="37"/>
      <c r="T997" s="38" t="s">
        <v>293</v>
      </c>
    </row>
    <row r="998" ht="34.5">
      <c r="A998" s="38" t="s">
        <v>1068</v>
      </c>
      <c r="B998" s="38" t="s">
        <v>1069</v>
      </c>
      <c r="C998" s="38" t="s">
        <v>551</v>
      </c>
      <c r="D998" s="38" t="s">
        <v>288</v>
      </c>
      <c r="E998" s="38" t="s">
        <v>541</v>
      </c>
      <c r="F998" s="37" t="s">
        <v>542</v>
      </c>
      <c r="G998" s="38" t="s">
        <v>536</v>
      </c>
      <c r="H998" s="37"/>
      <c r="I998" s="37"/>
      <c r="J998" s="37" t="s">
        <v>1108</v>
      </c>
      <c r="K998" s="40"/>
      <c r="L998" s="38"/>
      <c r="M998" s="38"/>
      <c r="N998" s="37"/>
      <c r="O998" s="37"/>
      <c r="P998" s="37"/>
      <c r="Q998" s="37"/>
      <c r="R998" s="39"/>
      <c r="S998" s="37"/>
      <c r="T998" s="38" t="s">
        <v>293</v>
      </c>
    </row>
    <row r="999" ht="34.5">
      <c r="A999" s="38" t="s">
        <v>1068</v>
      </c>
      <c r="B999" s="38" t="s">
        <v>1069</v>
      </c>
      <c r="C999" s="38" t="s">
        <v>551</v>
      </c>
      <c r="D999" s="38" t="s">
        <v>288</v>
      </c>
      <c r="E999" s="38" t="s">
        <v>541</v>
      </c>
      <c r="F999" s="37" t="s">
        <v>542</v>
      </c>
      <c r="G999" s="38" t="s">
        <v>536</v>
      </c>
      <c r="H999" s="37"/>
      <c r="I999" s="37"/>
      <c r="J999" s="37" t="s">
        <v>1109</v>
      </c>
      <c r="K999" s="40"/>
      <c r="L999" s="38"/>
      <c r="M999" s="38"/>
      <c r="N999" s="37"/>
      <c r="O999" s="37"/>
      <c r="P999" s="37"/>
      <c r="Q999" s="37"/>
      <c r="R999" s="39"/>
      <c r="S999" s="37"/>
      <c r="T999" s="38" t="s">
        <v>293</v>
      </c>
    </row>
    <row r="1000" ht="34.5">
      <c r="A1000" s="38" t="s">
        <v>1068</v>
      </c>
      <c r="B1000" s="38" t="s">
        <v>1069</v>
      </c>
      <c r="C1000" s="38" t="s">
        <v>551</v>
      </c>
      <c r="D1000" s="38" t="s">
        <v>288</v>
      </c>
      <c r="E1000" s="38" t="s">
        <v>541</v>
      </c>
      <c r="F1000" s="37" t="s">
        <v>542</v>
      </c>
      <c r="G1000" s="38" t="s">
        <v>536</v>
      </c>
      <c r="H1000" s="37"/>
      <c r="I1000" s="37"/>
      <c r="J1000" s="37" t="s">
        <v>1110</v>
      </c>
      <c r="K1000" s="40">
        <v>800384</v>
      </c>
      <c r="L1000" s="38" t="s">
        <v>297</v>
      </c>
      <c r="M1000" s="38"/>
      <c r="N1000" s="37"/>
      <c r="O1000" s="37"/>
      <c r="P1000" s="37"/>
      <c r="Q1000" s="37"/>
      <c r="R1000" s="39"/>
      <c r="S1000" s="37"/>
      <c r="T1000" s="38" t="s">
        <v>293</v>
      </c>
    </row>
    <row r="1001" ht="34.5">
      <c r="A1001" s="38" t="s">
        <v>1068</v>
      </c>
      <c r="B1001" s="38" t="s">
        <v>1069</v>
      </c>
      <c r="C1001" s="38" t="s">
        <v>551</v>
      </c>
      <c r="D1001" s="38" t="s">
        <v>565</v>
      </c>
      <c r="E1001" s="38" t="s">
        <v>541</v>
      </c>
      <c r="F1001" s="37" t="s">
        <v>542</v>
      </c>
      <c r="G1001" s="38" t="s">
        <v>536</v>
      </c>
      <c r="H1001" s="37"/>
      <c r="I1001" s="37"/>
      <c r="J1001" s="37" t="s">
        <v>566</v>
      </c>
      <c r="K1001" s="40"/>
      <c r="L1001" s="38"/>
      <c r="M1001" s="38"/>
      <c r="N1001" s="37"/>
      <c r="O1001" s="37"/>
      <c r="P1001" s="37"/>
      <c r="Q1001" s="37"/>
      <c r="R1001" s="39"/>
      <c r="S1001" s="37"/>
      <c r="T1001" s="38" t="s">
        <v>293</v>
      </c>
    </row>
    <row r="1002" ht="34.5">
      <c r="A1002" s="38" t="s">
        <v>1068</v>
      </c>
      <c r="B1002" s="38" t="s">
        <v>1069</v>
      </c>
      <c r="C1002" s="38" t="s">
        <v>558</v>
      </c>
      <c r="D1002" s="38" t="s">
        <v>573</v>
      </c>
      <c r="E1002" s="38" t="s">
        <v>541</v>
      </c>
      <c r="F1002" s="37" t="s">
        <v>542</v>
      </c>
      <c r="G1002" s="38" t="s">
        <v>536</v>
      </c>
      <c r="H1002" s="37"/>
      <c r="I1002" s="37"/>
      <c r="J1002" s="37" t="s">
        <v>574</v>
      </c>
      <c r="K1002" s="40"/>
      <c r="L1002" s="38"/>
      <c r="M1002" s="38"/>
      <c r="N1002" s="37"/>
      <c r="O1002" s="37"/>
      <c r="P1002" s="37"/>
      <c r="Q1002" s="37"/>
      <c r="R1002" s="39"/>
      <c r="S1002" s="37"/>
      <c r="T1002" s="38" t="s">
        <v>293</v>
      </c>
    </row>
    <row r="1003" ht="34.5">
      <c r="A1003" s="38" t="s">
        <v>1068</v>
      </c>
      <c r="B1003" s="38" t="s">
        <v>1069</v>
      </c>
      <c r="C1003" s="38" t="s">
        <v>561</v>
      </c>
      <c r="D1003" s="38" t="s">
        <v>288</v>
      </c>
      <c r="E1003" s="38" t="s">
        <v>562</v>
      </c>
      <c r="F1003" s="37" t="s">
        <v>563</v>
      </c>
      <c r="G1003" s="38" t="s">
        <v>536</v>
      </c>
      <c r="H1003" s="37"/>
      <c r="I1003" s="37"/>
      <c r="J1003" s="37" t="s">
        <v>564</v>
      </c>
      <c r="K1003" s="40"/>
      <c r="L1003" s="38"/>
      <c r="M1003" s="38"/>
      <c r="N1003" s="37"/>
      <c r="O1003" s="37"/>
      <c r="P1003" s="37"/>
      <c r="Q1003" s="37"/>
      <c r="R1003" s="39"/>
      <c r="S1003" s="37"/>
      <c r="T1003" s="38" t="s">
        <v>293</v>
      </c>
    </row>
    <row r="1004" ht="34.5">
      <c r="A1004" s="38" t="s">
        <v>1068</v>
      </c>
      <c r="B1004" s="38" t="s">
        <v>1069</v>
      </c>
      <c r="C1004" s="38" t="s">
        <v>561</v>
      </c>
      <c r="D1004" s="38" t="s">
        <v>577</v>
      </c>
      <c r="E1004" s="38" t="s">
        <v>562</v>
      </c>
      <c r="F1004" s="37" t="s">
        <v>563</v>
      </c>
      <c r="G1004" s="38" t="s">
        <v>536</v>
      </c>
      <c r="H1004" s="37"/>
      <c r="I1004" s="37"/>
      <c r="J1004" s="37" t="s">
        <v>578</v>
      </c>
      <c r="K1004" s="40"/>
      <c r="L1004" s="38"/>
      <c r="M1004" s="38"/>
      <c r="N1004" s="37"/>
      <c r="O1004" s="37"/>
      <c r="P1004" s="37"/>
      <c r="Q1004" s="37"/>
      <c r="R1004" s="39"/>
      <c r="S1004" s="37"/>
      <c r="T1004" s="38" t="s">
        <v>293</v>
      </c>
    </row>
    <row r="1005" ht="34.5">
      <c r="A1005" s="38" t="s">
        <v>1068</v>
      </c>
      <c r="B1005" s="38" t="s">
        <v>1069</v>
      </c>
      <c r="C1005" s="38" t="s">
        <v>561</v>
      </c>
      <c r="D1005" s="38" t="s">
        <v>288</v>
      </c>
      <c r="E1005" s="38" t="s">
        <v>567</v>
      </c>
      <c r="F1005" s="37" t="s">
        <v>568</v>
      </c>
      <c r="G1005" s="38" t="s">
        <v>569</v>
      </c>
      <c r="H1005" s="37"/>
      <c r="I1005" s="37"/>
      <c r="J1005" s="37" t="s">
        <v>969</v>
      </c>
      <c r="K1005" s="40"/>
      <c r="L1005" s="38"/>
      <c r="M1005" s="38"/>
      <c r="N1005" s="37"/>
      <c r="O1005" s="37"/>
      <c r="P1005" s="37"/>
      <c r="Q1005" s="37"/>
      <c r="R1005" s="39"/>
      <c r="S1005" s="37"/>
      <c r="T1005" s="38" t="s">
        <v>293</v>
      </c>
    </row>
    <row r="1006" ht="34.5">
      <c r="A1006" s="38" t="s">
        <v>1068</v>
      </c>
      <c r="B1006" s="38" t="s">
        <v>1069</v>
      </c>
      <c r="C1006" s="38" t="s">
        <v>561</v>
      </c>
      <c r="D1006" s="38" t="s">
        <v>288</v>
      </c>
      <c r="E1006" s="38" t="s">
        <v>567</v>
      </c>
      <c r="F1006" s="37" t="s">
        <v>568</v>
      </c>
      <c r="G1006" s="38" t="s">
        <v>569</v>
      </c>
      <c r="H1006" s="37"/>
      <c r="I1006" s="37"/>
      <c r="J1006" s="37" t="s">
        <v>1111</v>
      </c>
      <c r="K1006" s="40"/>
      <c r="L1006" s="38"/>
      <c r="M1006" s="38"/>
      <c r="N1006" s="37"/>
      <c r="O1006" s="37"/>
      <c r="P1006" s="37"/>
      <c r="Q1006" s="37"/>
      <c r="R1006" s="39"/>
      <c r="S1006" s="37"/>
      <c r="T1006" s="38" t="s">
        <v>293</v>
      </c>
    </row>
    <row r="1007" ht="34.5">
      <c r="A1007" s="38" t="s">
        <v>1068</v>
      </c>
      <c r="B1007" s="38" t="s">
        <v>1069</v>
      </c>
      <c r="C1007" s="38" t="s">
        <v>561</v>
      </c>
      <c r="D1007" s="38" t="s">
        <v>288</v>
      </c>
      <c r="E1007" s="38" t="s">
        <v>567</v>
      </c>
      <c r="F1007" s="37" t="s">
        <v>568</v>
      </c>
      <c r="G1007" s="38" t="s">
        <v>569</v>
      </c>
      <c r="H1007" s="37"/>
      <c r="I1007" s="37"/>
      <c r="J1007" s="37" t="s">
        <v>1112</v>
      </c>
      <c r="K1007" s="40"/>
      <c r="L1007" s="38"/>
      <c r="M1007" s="38"/>
      <c r="N1007" s="37"/>
      <c r="O1007" s="37"/>
      <c r="P1007" s="37"/>
      <c r="Q1007" s="37"/>
      <c r="R1007" s="39"/>
      <c r="S1007" s="37"/>
      <c r="T1007" s="38" t="s">
        <v>293</v>
      </c>
    </row>
    <row r="1008" ht="34.5">
      <c r="A1008" s="38" t="s">
        <v>1068</v>
      </c>
      <c r="B1008" s="38" t="s">
        <v>1069</v>
      </c>
      <c r="C1008" s="38" t="s">
        <v>561</v>
      </c>
      <c r="D1008" s="38" t="s">
        <v>580</v>
      </c>
      <c r="E1008" s="38" t="s">
        <v>567</v>
      </c>
      <c r="F1008" s="37" t="s">
        <v>568</v>
      </c>
      <c r="G1008" s="38" t="s">
        <v>569</v>
      </c>
      <c r="H1008" s="37"/>
      <c r="I1008" s="37"/>
      <c r="J1008" s="37" t="s">
        <v>581</v>
      </c>
      <c r="K1008" s="40"/>
      <c r="L1008" s="38"/>
      <c r="M1008" s="38"/>
      <c r="N1008" s="37"/>
      <c r="O1008" s="37"/>
      <c r="P1008" s="37"/>
      <c r="Q1008" s="37"/>
      <c r="R1008" s="39"/>
      <c r="S1008" s="37"/>
      <c r="T1008" s="38" t="s">
        <v>293</v>
      </c>
    </row>
    <row r="1009" ht="34.5">
      <c r="A1009" s="38" t="s">
        <v>1068</v>
      </c>
      <c r="B1009" s="38" t="s">
        <v>1069</v>
      </c>
      <c r="C1009" s="38" t="s">
        <v>575</v>
      </c>
      <c r="D1009" s="38" t="s">
        <v>288</v>
      </c>
      <c r="E1009" s="38" t="s">
        <v>567</v>
      </c>
      <c r="F1009" s="37" t="s">
        <v>568</v>
      </c>
      <c r="G1009" s="38" t="s">
        <v>569</v>
      </c>
      <c r="H1009" s="37"/>
      <c r="I1009" s="37"/>
      <c r="J1009" s="37" t="s">
        <v>576</v>
      </c>
      <c r="K1009" s="40"/>
      <c r="L1009" s="38"/>
      <c r="M1009" s="38"/>
      <c r="N1009" s="37"/>
      <c r="O1009" s="37"/>
      <c r="P1009" s="37"/>
      <c r="Q1009" s="37"/>
      <c r="R1009" s="39"/>
      <c r="S1009" s="37"/>
      <c r="T1009" s="38" t="s">
        <v>293</v>
      </c>
    </row>
    <row r="1010" ht="34.5">
      <c r="A1010" s="38" t="s">
        <v>1068</v>
      </c>
      <c r="B1010" s="38" t="s">
        <v>1069</v>
      </c>
      <c r="C1010" s="38" t="s">
        <v>575</v>
      </c>
      <c r="D1010" s="38" t="s">
        <v>584</v>
      </c>
      <c r="E1010" s="38" t="s">
        <v>567</v>
      </c>
      <c r="F1010" s="37" t="s">
        <v>568</v>
      </c>
      <c r="G1010" s="38" t="s">
        <v>569</v>
      </c>
      <c r="H1010" s="37"/>
      <c r="I1010" s="37"/>
      <c r="J1010" s="37" t="s">
        <v>585</v>
      </c>
      <c r="K1010" s="40"/>
      <c r="L1010" s="38"/>
      <c r="M1010" s="38"/>
      <c r="N1010" s="37"/>
      <c r="O1010" s="37"/>
      <c r="P1010" s="37"/>
      <c r="Q1010" s="37"/>
      <c r="R1010" s="39"/>
      <c r="S1010" s="37"/>
      <c r="T1010" s="38" t="s">
        <v>293</v>
      </c>
    </row>
    <row r="1011" ht="34.5">
      <c r="A1011" s="38" t="s">
        <v>1068</v>
      </c>
      <c r="B1011" s="38" t="s">
        <v>1069</v>
      </c>
      <c r="C1011" s="38" t="s">
        <v>575</v>
      </c>
      <c r="D1011" s="38" t="s">
        <v>288</v>
      </c>
      <c r="E1011" s="38" t="s">
        <v>567</v>
      </c>
      <c r="F1011" s="37" t="s">
        <v>568</v>
      </c>
      <c r="G1011" s="38" t="s">
        <v>569</v>
      </c>
      <c r="H1011" s="37"/>
      <c r="I1011" s="37"/>
      <c r="J1011" s="37" t="s">
        <v>579</v>
      </c>
      <c r="K1011" s="40"/>
      <c r="L1011" s="38"/>
      <c r="M1011" s="38"/>
      <c r="N1011" s="37"/>
      <c r="O1011" s="37"/>
      <c r="P1011" s="37"/>
      <c r="Q1011" s="37"/>
      <c r="R1011" s="39"/>
      <c r="S1011" s="37"/>
      <c r="T1011" s="38" t="s">
        <v>293</v>
      </c>
    </row>
    <row r="1012" ht="34.5">
      <c r="A1012" s="38" t="s">
        <v>1068</v>
      </c>
      <c r="B1012" s="38" t="s">
        <v>1069</v>
      </c>
      <c r="C1012" s="38" t="s">
        <v>575</v>
      </c>
      <c r="D1012" s="38" t="s">
        <v>595</v>
      </c>
      <c r="E1012" s="38" t="s">
        <v>567</v>
      </c>
      <c r="F1012" s="37" t="s">
        <v>568</v>
      </c>
      <c r="G1012" s="38" t="s">
        <v>569</v>
      </c>
      <c r="H1012" s="37"/>
      <c r="I1012" s="37"/>
      <c r="J1012" s="37" t="s">
        <v>596</v>
      </c>
      <c r="K1012" s="40"/>
      <c r="L1012" s="38"/>
      <c r="M1012" s="38"/>
      <c r="N1012" s="37"/>
      <c r="O1012" s="37"/>
      <c r="P1012" s="37"/>
      <c r="Q1012" s="37"/>
      <c r="R1012" s="39"/>
      <c r="S1012" s="37"/>
      <c r="T1012" s="38" t="s">
        <v>293</v>
      </c>
    </row>
    <row r="1013" ht="34.5">
      <c r="A1013" s="38" t="s">
        <v>1068</v>
      </c>
      <c r="B1013" s="38" t="s">
        <v>1069</v>
      </c>
      <c r="C1013" s="38" t="s">
        <v>582</v>
      </c>
      <c r="D1013" s="38" t="s">
        <v>599</v>
      </c>
      <c r="E1013" s="38" t="s">
        <v>567</v>
      </c>
      <c r="F1013" s="37" t="s">
        <v>568</v>
      </c>
      <c r="G1013" s="38" t="s">
        <v>569</v>
      </c>
      <c r="H1013" s="37"/>
      <c r="I1013" s="37"/>
      <c r="J1013" s="37" t="s">
        <v>600</v>
      </c>
      <c r="K1013" s="40"/>
      <c r="L1013" s="38"/>
      <c r="M1013" s="38"/>
      <c r="N1013" s="37"/>
      <c r="O1013" s="37"/>
      <c r="P1013" s="37"/>
      <c r="Q1013" s="37"/>
      <c r="R1013" s="39"/>
      <c r="S1013" s="37"/>
      <c r="T1013" s="38" t="s">
        <v>293</v>
      </c>
    </row>
    <row r="1014" ht="34.5">
      <c r="A1014" s="38" t="s">
        <v>1068</v>
      </c>
      <c r="B1014" s="38" t="s">
        <v>1069</v>
      </c>
      <c r="C1014" s="38" t="s">
        <v>582</v>
      </c>
      <c r="D1014" s="38" t="s">
        <v>288</v>
      </c>
      <c r="E1014" s="38" t="s">
        <v>567</v>
      </c>
      <c r="F1014" s="37" t="s">
        <v>568</v>
      </c>
      <c r="G1014" s="38" t="s">
        <v>569</v>
      </c>
      <c r="H1014" s="37"/>
      <c r="I1014" s="37"/>
      <c r="J1014" s="37" t="s">
        <v>583</v>
      </c>
      <c r="K1014" s="40"/>
      <c r="L1014" s="38"/>
      <c r="M1014" s="38"/>
      <c r="N1014" s="37"/>
      <c r="O1014" s="37"/>
      <c r="P1014" s="37"/>
      <c r="Q1014" s="37"/>
      <c r="R1014" s="39"/>
      <c r="S1014" s="37"/>
      <c r="T1014" s="38" t="s">
        <v>293</v>
      </c>
    </row>
    <row r="1015" ht="34.5">
      <c r="A1015" s="38" t="s">
        <v>1068</v>
      </c>
      <c r="B1015" s="38" t="s">
        <v>1069</v>
      </c>
      <c r="C1015" s="38" t="s">
        <v>582</v>
      </c>
      <c r="D1015" s="38" t="s">
        <v>603</v>
      </c>
      <c r="E1015" s="38" t="s">
        <v>567</v>
      </c>
      <c r="F1015" s="37" t="s">
        <v>568</v>
      </c>
      <c r="G1015" s="38" t="s">
        <v>569</v>
      </c>
      <c r="H1015" s="37"/>
      <c r="I1015" s="37"/>
      <c r="J1015" s="37" t="s">
        <v>604</v>
      </c>
      <c r="K1015" s="40"/>
      <c r="L1015" s="38"/>
      <c r="M1015" s="38"/>
      <c r="N1015" s="37"/>
      <c r="O1015" s="37"/>
      <c r="P1015" s="37"/>
      <c r="Q1015" s="37"/>
      <c r="R1015" s="39"/>
      <c r="S1015" s="37"/>
      <c r="T1015" s="38" t="s">
        <v>293</v>
      </c>
    </row>
    <row r="1016" ht="34.5">
      <c r="A1016" s="38" t="s">
        <v>1068</v>
      </c>
      <c r="B1016" s="38" t="s">
        <v>1069</v>
      </c>
      <c r="C1016" s="38" t="s">
        <v>582</v>
      </c>
      <c r="D1016" s="38" t="s">
        <v>288</v>
      </c>
      <c r="E1016" s="38" t="s">
        <v>567</v>
      </c>
      <c r="F1016" s="37" t="s">
        <v>568</v>
      </c>
      <c r="G1016" s="38" t="s">
        <v>569</v>
      </c>
      <c r="H1016" s="37"/>
      <c r="I1016" s="37"/>
      <c r="J1016" s="37" t="s">
        <v>586</v>
      </c>
      <c r="K1016" s="40"/>
      <c r="L1016" s="38"/>
      <c r="M1016" s="38"/>
      <c r="N1016" s="37"/>
      <c r="O1016" s="37"/>
      <c r="P1016" s="37"/>
      <c r="Q1016" s="37"/>
      <c r="R1016" s="39"/>
      <c r="S1016" s="37"/>
      <c r="T1016" s="38" t="s">
        <v>293</v>
      </c>
    </row>
    <row r="1017" ht="34.5">
      <c r="A1017" s="38" t="s">
        <v>1068</v>
      </c>
      <c r="B1017" s="38" t="s">
        <v>1069</v>
      </c>
      <c r="C1017" s="38" t="s">
        <v>582</v>
      </c>
      <c r="D1017" s="38" t="s">
        <v>288</v>
      </c>
      <c r="E1017" s="38" t="s">
        <v>587</v>
      </c>
      <c r="F1017" s="37" t="s">
        <v>588</v>
      </c>
      <c r="G1017" s="38" t="s">
        <v>70</v>
      </c>
      <c r="H1017" s="37"/>
      <c r="I1017" s="37"/>
      <c r="J1017" s="37" t="s">
        <v>589</v>
      </c>
      <c r="K1017" s="40"/>
      <c r="L1017" s="38"/>
      <c r="M1017" s="38"/>
      <c r="N1017" s="37"/>
      <c r="O1017" s="37"/>
      <c r="P1017" s="37"/>
      <c r="Q1017" s="37"/>
      <c r="R1017" s="39"/>
      <c r="S1017" s="37"/>
      <c r="T1017" s="38" t="s">
        <v>293</v>
      </c>
    </row>
    <row r="1018" ht="34.5">
      <c r="A1018" s="38" t="s">
        <v>1068</v>
      </c>
      <c r="B1018" s="38" t="s">
        <v>1069</v>
      </c>
      <c r="C1018" s="38" t="s">
        <v>582</v>
      </c>
      <c r="D1018" s="38" t="s">
        <v>288</v>
      </c>
      <c r="E1018" s="38" t="s">
        <v>587</v>
      </c>
      <c r="F1018" s="37" t="s">
        <v>588</v>
      </c>
      <c r="G1018" s="38" t="s">
        <v>70</v>
      </c>
      <c r="H1018" s="37"/>
      <c r="I1018" s="37"/>
      <c r="J1018" s="37" t="s">
        <v>1113</v>
      </c>
      <c r="K1018" s="40">
        <v>269645369</v>
      </c>
      <c r="L1018" s="38" t="s">
        <v>297</v>
      </c>
      <c r="M1018" s="38"/>
      <c r="N1018" s="37"/>
      <c r="O1018" s="37"/>
      <c r="P1018" s="37"/>
      <c r="Q1018" s="37"/>
      <c r="R1018" s="39"/>
      <c r="S1018" s="37"/>
      <c r="T1018" s="38" t="s">
        <v>293</v>
      </c>
    </row>
    <row r="1019" ht="34.5">
      <c r="A1019" s="38" t="s">
        <v>1068</v>
      </c>
      <c r="B1019" s="38" t="s">
        <v>1069</v>
      </c>
      <c r="C1019" s="38" t="s">
        <v>597</v>
      </c>
      <c r="D1019" s="38" t="s">
        <v>288</v>
      </c>
      <c r="E1019" s="38" t="s">
        <v>591</v>
      </c>
      <c r="F1019" s="37" t="s">
        <v>592</v>
      </c>
      <c r="G1019" s="38" t="s">
        <v>500</v>
      </c>
      <c r="H1019" s="37"/>
      <c r="I1019" s="37"/>
      <c r="J1019" s="37" t="s">
        <v>593</v>
      </c>
      <c r="K1019" s="40"/>
      <c r="L1019" s="38"/>
      <c r="M1019" s="38"/>
      <c r="N1019" s="37"/>
      <c r="O1019" s="37"/>
      <c r="P1019" s="37"/>
      <c r="Q1019" s="37"/>
      <c r="R1019" s="39"/>
      <c r="S1019" s="37"/>
      <c r="T1019" s="38" t="s">
        <v>293</v>
      </c>
    </row>
    <row r="1020" ht="34.5">
      <c r="A1020" s="38" t="s">
        <v>1068</v>
      </c>
      <c r="B1020" s="38" t="s">
        <v>1069</v>
      </c>
      <c r="C1020" s="38" t="s">
        <v>597</v>
      </c>
      <c r="D1020" s="38" t="s">
        <v>288</v>
      </c>
      <c r="E1020" s="38" t="s">
        <v>591</v>
      </c>
      <c r="F1020" s="37" t="s">
        <v>592</v>
      </c>
      <c r="G1020" s="38" t="s">
        <v>500</v>
      </c>
      <c r="H1020" s="37"/>
      <c r="I1020" s="37"/>
      <c r="J1020" s="37" t="s">
        <v>1114</v>
      </c>
      <c r="K1020" s="40">
        <v>91431895</v>
      </c>
      <c r="L1020" s="38" t="s">
        <v>297</v>
      </c>
      <c r="M1020" s="38"/>
      <c r="N1020" s="37"/>
      <c r="O1020" s="37"/>
      <c r="P1020" s="37"/>
      <c r="Q1020" s="37"/>
      <c r="R1020" s="39"/>
      <c r="S1020" s="37"/>
      <c r="T1020" s="38" t="s">
        <v>293</v>
      </c>
    </row>
    <row r="1021" ht="34.5">
      <c r="A1021" s="38" t="s">
        <v>1068</v>
      </c>
      <c r="B1021" s="38" t="s">
        <v>1069</v>
      </c>
      <c r="C1021" s="38" t="s">
        <v>597</v>
      </c>
      <c r="D1021" s="38" t="s">
        <v>619</v>
      </c>
      <c r="E1021" s="38" t="s">
        <v>591</v>
      </c>
      <c r="F1021" s="37" t="s">
        <v>592</v>
      </c>
      <c r="G1021" s="38" t="s">
        <v>500</v>
      </c>
      <c r="H1021" s="37"/>
      <c r="I1021" s="37"/>
      <c r="J1021" s="37" t="s">
        <v>620</v>
      </c>
      <c r="K1021" s="40"/>
      <c r="L1021" s="38"/>
      <c r="M1021" s="38"/>
      <c r="N1021" s="37"/>
      <c r="O1021" s="37"/>
      <c r="P1021" s="37"/>
      <c r="Q1021" s="37"/>
      <c r="R1021" s="39"/>
      <c r="S1021" s="37"/>
      <c r="T1021" s="38" t="s">
        <v>293</v>
      </c>
    </row>
    <row r="1022" ht="34.5">
      <c r="A1022" s="38" t="s">
        <v>1068</v>
      </c>
      <c r="B1022" s="38" t="s">
        <v>1069</v>
      </c>
      <c r="C1022" s="38" t="s">
        <v>597</v>
      </c>
      <c r="D1022" s="38" t="s">
        <v>288</v>
      </c>
      <c r="E1022" s="38" t="s">
        <v>591</v>
      </c>
      <c r="F1022" s="37" t="s">
        <v>592</v>
      </c>
      <c r="G1022" s="38" t="s">
        <v>500</v>
      </c>
      <c r="H1022" s="37"/>
      <c r="I1022" s="37"/>
      <c r="J1022" s="37" t="s">
        <v>598</v>
      </c>
      <c r="K1022" s="40"/>
      <c r="L1022" s="38"/>
      <c r="M1022" s="38"/>
      <c r="N1022" s="37"/>
      <c r="O1022" s="37"/>
      <c r="P1022" s="37"/>
      <c r="Q1022" s="37"/>
      <c r="R1022" s="39"/>
      <c r="S1022" s="37"/>
      <c r="T1022" s="38" t="s">
        <v>293</v>
      </c>
    </row>
    <row r="1023" ht="34.5">
      <c r="A1023" s="38" t="s">
        <v>1068</v>
      </c>
      <c r="B1023" s="38" t="s">
        <v>1069</v>
      </c>
      <c r="C1023" s="38" t="s">
        <v>597</v>
      </c>
      <c r="D1023" s="38" t="s">
        <v>622</v>
      </c>
      <c r="E1023" s="38" t="s">
        <v>591</v>
      </c>
      <c r="F1023" s="37" t="s">
        <v>592</v>
      </c>
      <c r="G1023" s="38" t="s">
        <v>500</v>
      </c>
      <c r="H1023" s="37"/>
      <c r="I1023" s="37"/>
      <c r="J1023" s="37" t="s">
        <v>623</v>
      </c>
      <c r="K1023" s="40"/>
      <c r="L1023" s="38"/>
      <c r="M1023" s="38"/>
      <c r="N1023" s="37"/>
      <c r="O1023" s="37"/>
      <c r="P1023" s="37"/>
      <c r="Q1023" s="37"/>
      <c r="R1023" s="39"/>
      <c r="S1023" s="37"/>
      <c r="T1023" s="38" t="s">
        <v>293</v>
      </c>
    </row>
    <row r="1024" ht="34.5">
      <c r="A1024" s="38" t="s">
        <v>1068</v>
      </c>
      <c r="B1024" s="38" t="s">
        <v>1069</v>
      </c>
      <c r="C1024" s="38" t="s">
        <v>597</v>
      </c>
      <c r="D1024" s="38" t="s">
        <v>288</v>
      </c>
      <c r="E1024" s="38" t="s">
        <v>973</v>
      </c>
      <c r="F1024" s="37" t="s">
        <v>974</v>
      </c>
      <c r="G1024" s="38" t="s">
        <v>975</v>
      </c>
      <c r="H1024" s="37"/>
      <c r="I1024" s="37"/>
      <c r="J1024" s="37" t="s">
        <v>602</v>
      </c>
      <c r="K1024" s="40"/>
      <c r="L1024" s="38"/>
      <c r="M1024" s="38"/>
      <c r="N1024" s="37"/>
      <c r="O1024" s="37"/>
      <c r="P1024" s="37"/>
      <c r="Q1024" s="37"/>
      <c r="R1024" s="39"/>
      <c r="S1024" s="37"/>
      <c r="T1024" s="38" t="s">
        <v>293</v>
      </c>
    </row>
    <row r="1025" ht="34.5">
      <c r="A1025" s="38" t="s">
        <v>1068</v>
      </c>
      <c r="B1025" s="38" t="s">
        <v>1069</v>
      </c>
      <c r="C1025" s="38" t="s">
        <v>597</v>
      </c>
      <c r="D1025" s="38" t="s">
        <v>639</v>
      </c>
      <c r="E1025" s="38" t="s">
        <v>973</v>
      </c>
      <c r="F1025" s="37" t="s">
        <v>974</v>
      </c>
      <c r="G1025" s="38" t="s">
        <v>975</v>
      </c>
      <c r="H1025" s="37"/>
      <c r="I1025" s="37"/>
      <c r="J1025" s="37" t="s">
        <v>640</v>
      </c>
      <c r="K1025" s="40"/>
      <c r="L1025" s="38"/>
      <c r="M1025" s="38"/>
      <c r="N1025" s="37"/>
      <c r="O1025" s="37"/>
      <c r="P1025" s="37"/>
      <c r="Q1025" s="37"/>
      <c r="R1025" s="39"/>
      <c r="S1025" s="37"/>
      <c r="T1025" s="38" t="s">
        <v>293</v>
      </c>
    </row>
    <row r="1026" ht="34.5">
      <c r="A1026" s="38" t="s">
        <v>1068</v>
      </c>
      <c r="B1026" s="38" t="s">
        <v>1069</v>
      </c>
      <c r="C1026" s="38" t="s">
        <v>608</v>
      </c>
      <c r="D1026" s="38" t="s">
        <v>288</v>
      </c>
      <c r="E1026" s="38" t="s">
        <v>973</v>
      </c>
      <c r="F1026" s="37" t="s">
        <v>974</v>
      </c>
      <c r="G1026" s="38" t="s">
        <v>975</v>
      </c>
      <c r="H1026" s="37"/>
      <c r="I1026" s="37"/>
      <c r="J1026" s="37" t="s">
        <v>1115</v>
      </c>
      <c r="K1026" s="40"/>
      <c r="L1026" s="38"/>
      <c r="M1026" s="38"/>
      <c r="N1026" s="37"/>
      <c r="O1026" s="37"/>
      <c r="P1026" s="37"/>
      <c r="Q1026" s="37"/>
      <c r="R1026" s="39"/>
      <c r="S1026" s="37"/>
      <c r="T1026" s="38" t="s">
        <v>293</v>
      </c>
    </row>
    <row r="1027" ht="34.5">
      <c r="A1027" s="38" t="s">
        <v>1068</v>
      </c>
      <c r="B1027" s="38" t="s">
        <v>1069</v>
      </c>
      <c r="C1027" s="38" t="s">
        <v>608</v>
      </c>
      <c r="D1027" s="38" t="s">
        <v>288</v>
      </c>
      <c r="E1027" s="38" t="s">
        <v>973</v>
      </c>
      <c r="F1027" s="37" t="s">
        <v>974</v>
      </c>
      <c r="G1027" s="38" t="s">
        <v>975</v>
      </c>
      <c r="H1027" s="37"/>
      <c r="I1027" s="37"/>
      <c r="J1027" s="37" t="s">
        <v>1116</v>
      </c>
      <c r="K1027" s="40">
        <v>19259020</v>
      </c>
      <c r="L1027" s="38" t="s">
        <v>297</v>
      </c>
      <c r="M1027" s="38"/>
      <c r="N1027" s="37"/>
      <c r="O1027" s="37"/>
      <c r="P1027" s="37"/>
      <c r="Q1027" s="37"/>
      <c r="R1027" s="39"/>
      <c r="S1027" s="37"/>
      <c r="T1027" s="38" t="s">
        <v>293</v>
      </c>
    </row>
    <row r="1028" ht="34.5">
      <c r="A1028" s="38" t="s">
        <v>1068</v>
      </c>
      <c r="B1028" s="38" t="s">
        <v>1069</v>
      </c>
      <c r="C1028" s="38" t="s">
        <v>608</v>
      </c>
      <c r="D1028" s="38" t="s">
        <v>288</v>
      </c>
      <c r="E1028" s="38" t="s">
        <v>973</v>
      </c>
      <c r="F1028" s="37" t="s">
        <v>974</v>
      </c>
      <c r="G1028" s="38" t="s">
        <v>975</v>
      </c>
      <c r="H1028" s="37"/>
      <c r="I1028" s="37"/>
      <c r="J1028" s="37" t="s">
        <v>607</v>
      </c>
      <c r="K1028" s="40"/>
      <c r="L1028" s="38"/>
      <c r="M1028" s="38"/>
      <c r="N1028" s="37"/>
      <c r="O1028" s="37"/>
      <c r="P1028" s="37"/>
      <c r="Q1028" s="37"/>
      <c r="R1028" s="39"/>
      <c r="S1028" s="37"/>
      <c r="T1028" s="38" t="s">
        <v>293</v>
      </c>
    </row>
    <row r="1029" ht="34.5">
      <c r="A1029" s="38" t="s">
        <v>1068</v>
      </c>
      <c r="B1029" s="38" t="s">
        <v>1069</v>
      </c>
      <c r="C1029" s="38" t="s">
        <v>614</v>
      </c>
      <c r="D1029" s="38" t="s">
        <v>288</v>
      </c>
      <c r="E1029" s="38" t="s">
        <v>615</v>
      </c>
      <c r="F1029" s="37" t="s">
        <v>616</v>
      </c>
      <c r="G1029" s="38" t="s">
        <v>70</v>
      </c>
      <c r="H1029" s="37"/>
      <c r="I1029" s="37"/>
      <c r="J1029" s="37" t="s">
        <v>617</v>
      </c>
      <c r="K1029" s="40"/>
      <c r="L1029" s="38"/>
      <c r="M1029" s="38"/>
      <c r="N1029" s="37"/>
      <c r="O1029" s="37"/>
      <c r="P1029" s="37"/>
      <c r="Q1029" s="37"/>
      <c r="R1029" s="39"/>
      <c r="S1029" s="37"/>
      <c r="T1029" s="38" t="s">
        <v>293</v>
      </c>
    </row>
    <row r="1030" ht="34.5">
      <c r="A1030" s="38" t="s">
        <v>1068</v>
      </c>
      <c r="B1030" s="38" t="s">
        <v>1069</v>
      </c>
      <c r="C1030" s="38" t="s">
        <v>614</v>
      </c>
      <c r="D1030" s="38" t="s">
        <v>288</v>
      </c>
      <c r="E1030" s="38" t="s">
        <v>615</v>
      </c>
      <c r="F1030" s="37" t="s">
        <v>616</v>
      </c>
      <c r="G1030" s="38" t="s">
        <v>70</v>
      </c>
      <c r="H1030" s="37"/>
      <c r="I1030" s="37"/>
      <c r="J1030" s="37" t="s">
        <v>618</v>
      </c>
      <c r="K1030" s="40"/>
      <c r="L1030" s="38"/>
      <c r="M1030" s="38"/>
      <c r="N1030" s="37"/>
      <c r="O1030" s="37"/>
      <c r="P1030" s="37"/>
      <c r="Q1030" s="37"/>
      <c r="R1030" s="39"/>
      <c r="S1030" s="37"/>
      <c r="T1030" s="38" t="s">
        <v>293</v>
      </c>
    </row>
    <row r="1031" ht="34.5">
      <c r="A1031" s="38" t="s">
        <v>1068</v>
      </c>
      <c r="B1031" s="38" t="s">
        <v>1069</v>
      </c>
      <c r="C1031" s="38" t="s">
        <v>614</v>
      </c>
      <c r="D1031" s="38" t="s">
        <v>644</v>
      </c>
      <c r="E1031" s="38" t="s">
        <v>615</v>
      </c>
      <c r="F1031" s="37" t="s">
        <v>616</v>
      </c>
      <c r="G1031" s="38" t="s">
        <v>70</v>
      </c>
      <c r="H1031" s="37"/>
      <c r="I1031" s="37"/>
      <c r="J1031" s="37" t="s">
        <v>645</v>
      </c>
      <c r="K1031" s="40"/>
      <c r="L1031" s="38"/>
      <c r="M1031" s="38"/>
      <c r="N1031" s="37"/>
      <c r="O1031" s="37"/>
      <c r="P1031" s="37"/>
      <c r="Q1031" s="37"/>
      <c r="R1031" s="39"/>
      <c r="S1031" s="37"/>
      <c r="T1031" s="38" t="s">
        <v>293</v>
      </c>
    </row>
    <row r="1032" ht="34.5">
      <c r="A1032" s="38" t="s">
        <v>1068</v>
      </c>
      <c r="B1032" s="38" t="s">
        <v>1069</v>
      </c>
      <c r="C1032" s="38" t="s">
        <v>621</v>
      </c>
      <c r="D1032" s="38" t="s">
        <v>655</v>
      </c>
      <c r="E1032" s="38" t="s">
        <v>615</v>
      </c>
      <c r="F1032" s="37" t="s">
        <v>616</v>
      </c>
      <c r="G1032" s="38" t="s">
        <v>70</v>
      </c>
      <c r="H1032" s="37"/>
      <c r="I1032" s="37"/>
      <c r="J1032" s="37" t="s">
        <v>656</v>
      </c>
      <c r="K1032" s="40"/>
      <c r="L1032" s="38"/>
      <c r="M1032" s="38"/>
      <c r="N1032" s="37"/>
      <c r="O1032" s="37"/>
      <c r="P1032" s="37"/>
      <c r="Q1032" s="37"/>
      <c r="R1032" s="39"/>
      <c r="S1032" s="37"/>
      <c r="T1032" s="38" t="s">
        <v>293</v>
      </c>
    </row>
    <row r="1033" ht="34.5">
      <c r="A1033" s="38" t="s">
        <v>1068</v>
      </c>
      <c r="B1033" s="38" t="s">
        <v>1069</v>
      </c>
      <c r="C1033" s="38" t="s">
        <v>624</v>
      </c>
      <c r="D1033" s="38" t="s">
        <v>288</v>
      </c>
      <c r="E1033" s="38" t="s">
        <v>615</v>
      </c>
      <c r="F1033" s="37" t="s">
        <v>616</v>
      </c>
      <c r="G1033" s="38" t="s">
        <v>70</v>
      </c>
      <c r="H1033" s="37"/>
      <c r="I1033" s="37"/>
      <c r="J1033" s="37" t="s">
        <v>625</v>
      </c>
      <c r="K1033" s="40"/>
      <c r="L1033" s="38"/>
      <c r="M1033" s="38"/>
      <c r="N1033" s="37"/>
      <c r="O1033" s="37"/>
      <c r="P1033" s="37"/>
      <c r="Q1033" s="37"/>
      <c r="R1033" s="39"/>
      <c r="S1033" s="37"/>
      <c r="T1033" s="38" t="s">
        <v>293</v>
      </c>
    </row>
    <row r="1034" ht="34.5">
      <c r="A1034" s="38" t="s">
        <v>1068</v>
      </c>
      <c r="B1034" s="38" t="s">
        <v>1069</v>
      </c>
      <c r="C1034" s="38" t="s">
        <v>624</v>
      </c>
      <c r="D1034" s="38" t="s">
        <v>288</v>
      </c>
      <c r="E1034" s="38" t="s">
        <v>615</v>
      </c>
      <c r="F1034" s="37" t="s">
        <v>616</v>
      </c>
      <c r="G1034" s="38" t="s">
        <v>70</v>
      </c>
      <c r="H1034" s="37"/>
      <c r="I1034" s="37"/>
      <c r="J1034" s="37" t="s">
        <v>626</v>
      </c>
      <c r="K1034" s="40"/>
      <c r="L1034" s="38"/>
      <c r="M1034" s="38"/>
      <c r="N1034" s="37"/>
      <c r="O1034" s="37"/>
      <c r="P1034" s="37"/>
      <c r="Q1034" s="37"/>
      <c r="R1034" s="39"/>
      <c r="S1034" s="37"/>
      <c r="T1034" s="38" t="s">
        <v>293</v>
      </c>
    </row>
    <row r="1035" ht="34.5">
      <c r="A1035" s="38" t="s">
        <v>1068</v>
      </c>
      <c r="B1035" s="38" t="s">
        <v>1069</v>
      </c>
      <c r="C1035" s="38" t="s">
        <v>624</v>
      </c>
      <c r="D1035" s="38" t="s">
        <v>288</v>
      </c>
      <c r="E1035" s="38" t="s">
        <v>615</v>
      </c>
      <c r="F1035" s="37" t="s">
        <v>616</v>
      </c>
      <c r="G1035" s="38" t="s">
        <v>70</v>
      </c>
      <c r="H1035" s="37"/>
      <c r="I1035" s="37"/>
      <c r="J1035" s="37" t="s">
        <v>627</v>
      </c>
      <c r="K1035" s="40"/>
      <c r="L1035" s="38"/>
      <c r="M1035" s="38"/>
      <c r="N1035" s="37"/>
      <c r="O1035" s="37"/>
      <c r="P1035" s="37"/>
      <c r="Q1035" s="37"/>
      <c r="R1035" s="39"/>
      <c r="S1035" s="37"/>
      <c r="T1035" s="38" t="s">
        <v>293</v>
      </c>
    </row>
    <row r="1036" ht="34.5">
      <c r="A1036" s="38" t="s">
        <v>1068</v>
      </c>
      <c r="B1036" s="38" t="s">
        <v>1069</v>
      </c>
      <c r="C1036" s="38" t="s">
        <v>624</v>
      </c>
      <c r="D1036" s="38" t="s">
        <v>288</v>
      </c>
      <c r="E1036" s="38" t="s">
        <v>615</v>
      </c>
      <c r="F1036" s="37" t="s">
        <v>616</v>
      </c>
      <c r="G1036" s="38" t="s">
        <v>70</v>
      </c>
      <c r="H1036" s="37"/>
      <c r="I1036" s="37"/>
      <c r="J1036" s="37" t="s">
        <v>1117</v>
      </c>
      <c r="K1036" s="40"/>
      <c r="L1036" s="38"/>
      <c r="M1036" s="38"/>
      <c r="N1036" s="37"/>
      <c r="O1036" s="37"/>
      <c r="P1036" s="37"/>
      <c r="Q1036" s="37"/>
      <c r="R1036" s="39"/>
      <c r="S1036" s="37"/>
      <c r="T1036" s="38" t="s">
        <v>293</v>
      </c>
    </row>
    <row r="1037" ht="34.5">
      <c r="A1037" s="38" t="s">
        <v>1068</v>
      </c>
      <c r="B1037" s="38" t="s">
        <v>1069</v>
      </c>
      <c r="C1037" s="38" t="s">
        <v>624</v>
      </c>
      <c r="D1037" s="38" t="s">
        <v>288</v>
      </c>
      <c r="E1037" s="38" t="s">
        <v>615</v>
      </c>
      <c r="F1037" s="37" t="s">
        <v>616</v>
      </c>
      <c r="G1037" s="38" t="s">
        <v>70</v>
      </c>
      <c r="H1037" s="37"/>
      <c r="I1037" s="37"/>
      <c r="J1037" s="37" t="s">
        <v>629</v>
      </c>
      <c r="K1037" s="40"/>
      <c r="L1037" s="38"/>
      <c r="M1037" s="38"/>
      <c r="N1037" s="37"/>
      <c r="O1037" s="37"/>
      <c r="P1037" s="37"/>
      <c r="Q1037" s="37"/>
      <c r="R1037" s="39"/>
      <c r="S1037" s="37"/>
      <c r="T1037" s="38" t="s">
        <v>293</v>
      </c>
    </row>
    <row r="1038" ht="34.5">
      <c r="A1038" s="38" t="s">
        <v>1068</v>
      </c>
      <c r="B1038" s="38" t="s">
        <v>1069</v>
      </c>
      <c r="C1038" s="38" t="s">
        <v>624</v>
      </c>
      <c r="D1038" s="38" t="s">
        <v>288</v>
      </c>
      <c r="E1038" s="38" t="s">
        <v>615</v>
      </c>
      <c r="F1038" s="37" t="s">
        <v>616</v>
      </c>
      <c r="G1038" s="38" t="s">
        <v>70</v>
      </c>
      <c r="H1038" s="37"/>
      <c r="I1038" s="37"/>
      <c r="J1038" s="37" t="s">
        <v>1118</v>
      </c>
      <c r="K1038" s="40"/>
      <c r="L1038" s="38"/>
      <c r="M1038" s="38"/>
      <c r="N1038" s="37"/>
      <c r="O1038" s="37"/>
      <c r="P1038" s="37"/>
      <c r="Q1038" s="37"/>
      <c r="R1038" s="39"/>
      <c r="S1038" s="37"/>
      <c r="T1038" s="38" t="s">
        <v>293</v>
      </c>
    </row>
    <row r="1039" ht="34.5">
      <c r="A1039" s="38" t="s">
        <v>1068</v>
      </c>
      <c r="B1039" s="38" t="s">
        <v>1069</v>
      </c>
      <c r="C1039" s="38" t="s">
        <v>624</v>
      </c>
      <c r="D1039" s="38" t="s">
        <v>288</v>
      </c>
      <c r="E1039" s="38" t="s">
        <v>615</v>
      </c>
      <c r="F1039" s="37" t="s">
        <v>616</v>
      </c>
      <c r="G1039" s="38" t="s">
        <v>70</v>
      </c>
      <c r="H1039" s="37"/>
      <c r="I1039" s="37"/>
      <c r="J1039" s="37" t="s">
        <v>631</v>
      </c>
      <c r="K1039" s="40"/>
      <c r="L1039" s="38"/>
      <c r="M1039" s="38"/>
      <c r="N1039" s="37"/>
      <c r="O1039" s="37"/>
      <c r="P1039" s="37"/>
      <c r="Q1039" s="37"/>
      <c r="R1039" s="39"/>
      <c r="S1039" s="37"/>
      <c r="T1039" s="38" t="s">
        <v>293</v>
      </c>
    </row>
    <row r="1040" ht="34.5">
      <c r="A1040" s="38" t="s">
        <v>1068</v>
      </c>
      <c r="B1040" s="38" t="s">
        <v>1069</v>
      </c>
      <c r="C1040" s="38" t="s">
        <v>624</v>
      </c>
      <c r="D1040" s="38" t="s">
        <v>288</v>
      </c>
      <c r="E1040" s="38" t="s">
        <v>615</v>
      </c>
      <c r="F1040" s="37" t="s">
        <v>616</v>
      </c>
      <c r="G1040" s="38" t="s">
        <v>70</v>
      </c>
      <c r="H1040" s="37"/>
      <c r="I1040" s="37"/>
      <c r="J1040" s="37" t="s">
        <v>632</v>
      </c>
      <c r="K1040" s="40"/>
      <c r="L1040" s="38"/>
      <c r="M1040" s="38"/>
      <c r="N1040" s="37"/>
      <c r="O1040" s="37"/>
      <c r="P1040" s="37"/>
      <c r="Q1040" s="37"/>
      <c r="R1040" s="39"/>
      <c r="S1040" s="37"/>
      <c r="T1040" s="38" t="s">
        <v>293</v>
      </c>
    </row>
    <row r="1041" ht="34.5">
      <c r="A1041" s="38" t="s">
        <v>1068</v>
      </c>
      <c r="B1041" s="38" t="s">
        <v>1069</v>
      </c>
      <c r="C1041" s="38" t="s">
        <v>624</v>
      </c>
      <c r="D1041" s="38" t="s">
        <v>288</v>
      </c>
      <c r="E1041" s="38" t="s">
        <v>615</v>
      </c>
      <c r="F1041" s="37" t="s">
        <v>616</v>
      </c>
      <c r="G1041" s="38" t="s">
        <v>70</v>
      </c>
      <c r="H1041" s="37"/>
      <c r="I1041" s="37"/>
      <c r="J1041" s="37" t="s">
        <v>633</v>
      </c>
      <c r="K1041" s="40"/>
      <c r="L1041" s="38"/>
      <c r="M1041" s="38"/>
      <c r="N1041" s="37"/>
      <c r="O1041" s="37"/>
      <c r="P1041" s="37"/>
      <c r="Q1041" s="37"/>
      <c r="R1041" s="39"/>
      <c r="S1041" s="37"/>
      <c r="T1041" s="38" t="s">
        <v>293</v>
      </c>
    </row>
    <row r="1042" ht="34.5">
      <c r="A1042" s="38" t="s">
        <v>1068</v>
      </c>
      <c r="B1042" s="38" t="s">
        <v>1069</v>
      </c>
      <c r="C1042" s="38" t="s">
        <v>624</v>
      </c>
      <c r="D1042" s="38" t="s">
        <v>288</v>
      </c>
      <c r="E1042" s="38" t="s">
        <v>615</v>
      </c>
      <c r="F1042" s="37" t="s">
        <v>616</v>
      </c>
      <c r="G1042" s="38" t="s">
        <v>70</v>
      </c>
      <c r="H1042" s="37"/>
      <c r="I1042" s="37"/>
      <c r="J1042" s="37" t="s">
        <v>634</v>
      </c>
      <c r="K1042" s="40"/>
      <c r="L1042" s="38"/>
      <c r="M1042" s="38"/>
      <c r="N1042" s="37"/>
      <c r="O1042" s="37"/>
      <c r="P1042" s="37"/>
      <c r="Q1042" s="37"/>
      <c r="R1042" s="39"/>
      <c r="S1042" s="37"/>
      <c r="T1042" s="38" t="s">
        <v>293</v>
      </c>
    </row>
    <row r="1043" ht="34.5">
      <c r="A1043" s="38" t="s">
        <v>1068</v>
      </c>
      <c r="B1043" s="38" t="s">
        <v>1069</v>
      </c>
      <c r="C1043" s="38" t="s">
        <v>624</v>
      </c>
      <c r="D1043" s="38" t="s">
        <v>288</v>
      </c>
      <c r="E1043" s="38" t="s">
        <v>615</v>
      </c>
      <c r="F1043" s="37" t="s">
        <v>616</v>
      </c>
      <c r="G1043" s="38" t="s">
        <v>70</v>
      </c>
      <c r="H1043" s="37"/>
      <c r="I1043" s="37"/>
      <c r="J1043" s="37" t="s">
        <v>635</v>
      </c>
      <c r="K1043" s="40"/>
      <c r="L1043" s="38"/>
      <c r="M1043" s="38"/>
      <c r="N1043" s="37"/>
      <c r="O1043" s="37"/>
      <c r="P1043" s="37"/>
      <c r="Q1043" s="37"/>
      <c r="R1043" s="39"/>
      <c r="S1043" s="37"/>
      <c r="T1043" s="38" t="s">
        <v>293</v>
      </c>
    </row>
    <row r="1044" ht="34.5">
      <c r="A1044" s="38" t="s">
        <v>1068</v>
      </c>
      <c r="B1044" s="38" t="s">
        <v>1069</v>
      </c>
      <c r="C1044" s="38" t="s">
        <v>624</v>
      </c>
      <c r="D1044" s="38" t="s">
        <v>288</v>
      </c>
      <c r="E1044" s="38" t="s">
        <v>615</v>
      </c>
      <c r="F1044" s="37" t="s">
        <v>616</v>
      </c>
      <c r="G1044" s="38" t="s">
        <v>70</v>
      </c>
      <c r="H1044" s="37"/>
      <c r="I1044" s="37"/>
      <c r="J1044" s="37" t="s">
        <v>636</v>
      </c>
      <c r="K1044" s="40"/>
      <c r="L1044" s="38"/>
      <c r="M1044" s="38"/>
      <c r="N1044" s="37"/>
      <c r="O1044" s="37"/>
      <c r="P1044" s="37"/>
      <c r="Q1044" s="37"/>
      <c r="R1044" s="39"/>
      <c r="S1044" s="37"/>
      <c r="T1044" s="38" t="s">
        <v>293</v>
      </c>
    </row>
    <row r="1045" ht="34.5">
      <c r="A1045" s="38" t="s">
        <v>1068</v>
      </c>
      <c r="B1045" s="38" t="s">
        <v>1069</v>
      </c>
      <c r="C1045" s="38" t="s">
        <v>637</v>
      </c>
      <c r="D1045" s="38" t="s">
        <v>288</v>
      </c>
      <c r="E1045" s="38" t="s">
        <v>615</v>
      </c>
      <c r="F1045" s="37" t="s">
        <v>616</v>
      </c>
      <c r="G1045" s="38" t="s">
        <v>70</v>
      </c>
      <c r="H1045" s="37"/>
      <c r="I1045" s="37"/>
      <c r="J1045" s="37" t="s">
        <v>978</v>
      </c>
      <c r="K1045" s="40"/>
      <c r="L1045" s="38"/>
      <c r="M1045" s="38"/>
      <c r="N1045" s="37"/>
      <c r="O1045" s="37"/>
      <c r="P1045" s="37"/>
      <c r="Q1045" s="37"/>
      <c r="R1045" s="39"/>
      <c r="S1045" s="37"/>
      <c r="T1045" s="38" t="s">
        <v>293</v>
      </c>
    </row>
    <row r="1046" ht="34.5">
      <c r="A1046" s="38" t="s">
        <v>1068</v>
      </c>
      <c r="B1046" s="38" t="s">
        <v>1069</v>
      </c>
      <c r="C1046" s="38" t="s">
        <v>637</v>
      </c>
      <c r="D1046" s="38" t="s">
        <v>288</v>
      </c>
      <c r="E1046" s="38" t="s">
        <v>615</v>
      </c>
      <c r="F1046" s="37" t="s">
        <v>616</v>
      </c>
      <c r="G1046" s="38" t="s">
        <v>70</v>
      </c>
      <c r="H1046" s="37"/>
      <c r="I1046" s="37"/>
      <c r="J1046" s="37" t="s">
        <v>979</v>
      </c>
      <c r="K1046" s="40"/>
      <c r="L1046" s="38"/>
      <c r="M1046" s="38"/>
      <c r="N1046" s="37"/>
      <c r="O1046" s="37"/>
      <c r="P1046" s="37"/>
      <c r="Q1046" s="37"/>
      <c r="R1046" s="39"/>
      <c r="S1046" s="37"/>
      <c r="T1046" s="38" t="s">
        <v>293</v>
      </c>
    </row>
    <row r="1047" ht="34.5">
      <c r="A1047" s="38" t="s">
        <v>1068</v>
      </c>
      <c r="B1047" s="38" t="s">
        <v>1069</v>
      </c>
      <c r="C1047" s="38" t="s">
        <v>637</v>
      </c>
      <c r="D1047" s="38" t="s">
        <v>288</v>
      </c>
      <c r="E1047" s="38" t="s">
        <v>615</v>
      </c>
      <c r="F1047" s="37" t="s">
        <v>616</v>
      </c>
      <c r="G1047" s="38" t="s">
        <v>70</v>
      </c>
      <c r="H1047" s="37"/>
      <c r="I1047" s="37"/>
      <c r="J1047" s="37" t="s">
        <v>980</v>
      </c>
      <c r="K1047" s="40"/>
      <c r="L1047" s="38"/>
      <c r="M1047" s="38"/>
      <c r="N1047" s="37"/>
      <c r="O1047" s="37"/>
      <c r="P1047" s="37"/>
      <c r="Q1047" s="37"/>
      <c r="R1047" s="39"/>
      <c r="S1047" s="37"/>
      <c r="T1047" s="38" t="s">
        <v>293</v>
      </c>
    </row>
    <row r="1048" ht="34.5">
      <c r="A1048" s="38" t="s">
        <v>1068</v>
      </c>
      <c r="B1048" s="38" t="s">
        <v>1069</v>
      </c>
      <c r="C1048" s="38" t="s">
        <v>637</v>
      </c>
      <c r="D1048" s="38" t="s">
        <v>667</v>
      </c>
      <c r="E1048" s="38" t="s">
        <v>615</v>
      </c>
      <c r="F1048" s="37" t="s">
        <v>616</v>
      </c>
      <c r="G1048" s="38" t="s">
        <v>70</v>
      </c>
      <c r="H1048" s="37"/>
      <c r="I1048" s="37"/>
      <c r="J1048" s="37" t="s">
        <v>668</v>
      </c>
      <c r="K1048" s="40"/>
      <c r="L1048" s="38"/>
      <c r="M1048" s="38"/>
      <c r="N1048" s="37"/>
      <c r="O1048" s="37"/>
      <c r="P1048" s="37"/>
      <c r="Q1048" s="37"/>
      <c r="R1048" s="39"/>
      <c r="S1048" s="37"/>
      <c r="T1048" s="38" t="s">
        <v>293</v>
      </c>
    </row>
    <row r="1049" ht="34.5">
      <c r="A1049" s="38" t="s">
        <v>1068</v>
      </c>
      <c r="B1049" s="38" t="s">
        <v>1069</v>
      </c>
      <c r="C1049" s="38" t="s">
        <v>637</v>
      </c>
      <c r="D1049" s="38" t="s">
        <v>288</v>
      </c>
      <c r="E1049" s="38" t="s">
        <v>615</v>
      </c>
      <c r="F1049" s="37" t="s">
        <v>616</v>
      </c>
      <c r="G1049" s="38" t="s">
        <v>70</v>
      </c>
      <c r="H1049" s="37"/>
      <c r="I1049" s="37"/>
      <c r="J1049" s="37" t="s">
        <v>1119</v>
      </c>
      <c r="K1049" s="40"/>
      <c r="L1049" s="38"/>
      <c r="M1049" s="38"/>
      <c r="N1049" s="37"/>
      <c r="O1049" s="37"/>
      <c r="P1049" s="37"/>
      <c r="Q1049" s="37"/>
      <c r="R1049" s="39"/>
      <c r="S1049" s="37"/>
      <c r="T1049" s="38" t="s">
        <v>293</v>
      </c>
    </row>
    <row r="1050" ht="34.5">
      <c r="A1050" s="38" t="s">
        <v>1068</v>
      </c>
      <c r="B1050" s="38" t="s">
        <v>1069</v>
      </c>
      <c r="C1050" s="38" t="s">
        <v>641</v>
      </c>
      <c r="D1050" s="38" t="s">
        <v>288</v>
      </c>
      <c r="E1050" s="38" t="s">
        <v>615</v>
      </c>
      <c r="F1050" s="37" t="s">
        <v>616</v>
      </c>
      <c r="G1050" s="38" t="s">
        <v>70</v>
      </c>
      <c r="H1050" s="37"/>
      <c r="I1050" s="37"/>
      <c r="J1050" s="37" t="s">
        <v>638</v>
      </c>
      <c r="K1050" s="40"/>
      <c r="L1050" s="38"/>
      <c r="M1050" s="38"/>
      <c r="N1050" s="37"/>
      <c r="O1050" s="37"/>
      <c r="P1050" s="37"/>
      <c r="Q1050" s="37"/>
      <c r="R1050" s="39"/>
      <c r="S1050" s="37"/>
      <c r="T1050" s="38" t="s">
        <v>293</v>
      </c>
    </row>
    <row r="1051" ht="34.5">
      <c r="A1051" s="38" t="s">
        <v>1068</v>
      </c>
      <c r="B1051" s="38" t="s">
        <v>1069</v>
      </c>
      <c r="C1051" s="38" t="s">
        <v>641</v>
      </c>
      <c r="D1051" s="38" t="s">
        <v>678</v>
      </c>
      <c r="E1051" s="38" t="s">
        <v>615</v>
      </c>
      <c r="F1051" s="37" t="s">
        <v>616</v>
      </c>
      <c r="G1051" s="38" t="s">
        <v>70</v>
      </c>
      <c r="H1051" s="37"/>
      <c r="I1051" s="37"/>
      <c r="J1051" s="37" t="s">
        <v>679</v>
      </c>
      <c r="K1051" s="40"/>
      <c r="L1051" s="38"/>
      <c r="M1051" s="38"/>
      <c r="N1051" s="37"/>
      <c r="O1051" s="37"/>
      <c r="P1051" s="37"/>
      <c r="Q1051" s="37"/>
      <c r="R1051" s="39"/>
      <c r="S1051" s="37"/>
      <c r="T1051" s="38" t="s">
        <v>293</v>
      </c>
    </row>
    <row r="1052" ht="34.5">
      <c r="A1052" s="38" t="s">
        <v>1068</v>
      </c>
      <c r="B1052" s="38" t="s">
        <v>1069</v>
      </c>
      <c r="C1052" s="38" t="s">
        <v>651</v>
      </c>
      <c r="D1052" s="38" t="s">
        <v>288</v>
      </c>
      <c r="E1052" s="38" t="s">
        <v>615</v>
      </c>
      <c r="F1052" s="37" t="s">
        <v>616</v>
      </c>
      <c r="G1052" s="38" t="s">
        <v>70</v>
      </c>
      <c r="H1052" s="37"/>
      <c r="I1052" s="37"/>
      <c r="J1052" s="37" t="s">
        <v>642</v>
      </c>
      <c r="K1052" s="40"/>
      <c r="L1052" s="38"/>
      <c r="M1052" s="38"/>
      <c r="N1052" s="37"/>
      <c r="O1052" s="37"/>
      <c r="P1052" s="37"/>
      <c r="Q1052" s="37"/>
      <c r="R1052" s="39"/>
      <c r="S1052" s="37"/>
      <c r="T1052" s="38" t="s">
        <v>293</v>
      </c>
    </row>
    <row r="1053" ht="34.5">
      <c r="A1053" s="38" t="s">
        <v>1068</v>
      </c>
      <c r="B1053" s="38" t="s">
        <v>1069</v>
      </c>
      <c r="C1053" s="38" t="s">
        <v>651</v>
      </c>
      <c r="D1053" s="38" t="s">
        <v>288</v>
      </c>
      <c r="E1053" s="38" t="s">
        <v>615</v>
      </c>
      <c r="F1053" s="37" t="s">
        <v>616</v>
      </c>
      <c r="G1053" s="38" t="s">
        <v>70</v>
      </c>
      <c r="H1053" s="37"/>
      <c r="I1053" s="37"/>
      <c r="J1053" s="37" t="s">
        <v>643</v>
      </c>
      <c r="K1053" s="40"/>
      <c r="L1053" s="38"/>
      <c r="M1053" s="38"/>
      <c r="N1053" s="37"/>
      <c r="O1053" s="37"/>
      <c r="P1053" s="37"/>
      <c r="Q1053" s="37"/>
      <c r="R1053" s="39"/>
      <c r="S1053" s="37"/>
      <c r="T1053" s="38" t="s">
        <v>293</v>
      </c>
    </row>
    <row r="1054" ht="34.5">
      <c r="A1054" s="38" t="s">
        <v>1068</v>
      </c>
      <c r="B1054" s="38" t="s">
        <v>1069</v>
      </c>
      <c r="C1054" s="38" t="s">
        <v>651</v>
      </c>
      <c r="D1054" s="38" t="s">
        <v>692</v>
      </c>
      <c r="E1054" s="38" t="s">
        <v>615</v>
      </c>
      <c r="F1054" s="37" t="s">
        <v>616</v>
      </c>
      <c r="G1054" s="38" t="s">
        <v>70</v>
      </c>
      <c r="H1054" s="37"/>
      <c r="I1054" s="37"/>
      <c r="J1054" s="37" t="s">
        <v>693</v>
      </c>
      <c r="K1054" s="40"/>
      <c r="L1054" s="38"/>
      <c r="M1054" s="38"/>
      <c r="N1054" s="37"/>
      <c r="O1054" s="37"/>
      <c r="P1054" s="37"/>
      <c r="Q1054" s="37"/>
      <c r="R1054" s="39"/>
      <c r="S1054" s="37"/>
      <c r="T1054" s="38" t="s">
        <v>293</v>
      </c>
    </row>
    <row r="1055" ht="34.5">
      <c r="A1055" s="38" t="s">
        <v>1068</v>
      </c>
      <c r="B1055" s="38" t="s">
        <v>1069</v>
      </c>
      <c r="C1055" s="38" t="s">
        <v>651</v>
      </c>
      <c r="D1055" s="38" t="s">
        <v>288</v>
      </c>
      <c r="E1055" s="38" t="s">
        <v>615</v>
      </c>
      <c r="F1055" s="37" t="s">
        <v>616</v>
      </c>
      <c r="G1055" s="38" t="s">
        <v>70</v>
      </c>
      <c r="H1055" s="37"/>
      <c r="I1055" s="37"/>
      <c r="J1055" s="37" t="s">
        <v>646</v>
      </c>
      <c r="K1055" s="40"/>
      <c r="L1055" s="38"/>
      <c r="M1055" s="38"/>
      <c r="N1055" s="37"/>
      <c r="O1055" s="37"/>
      <c r="P1055" s="37"/>
      <c r="Q1055" s="37"/>
      <c r="R1055" s="39"/>
      <c r="S1055" s="37"/>
      <c r="T1055" s="38" t="s">
        <v>293</v>
      </c>
    </row>
    <row r="1056" ht="34.5">
      <c r="A1056" s="38" t="s">
        <v>1068</v>
      </c>
      <c r="B1056" s="38" t="s">
        <v>1069</v>
      </c>
      <c r="C1056" s="38" t="s">
        <v>651</v>
      </c>
      <c r="D1056" s="38" t="s">
        <v>288</v>
      </c>
      <c r="E1056" s="38" t="s">
        <v>615</v>
      </c>
      <c r="F1056" s="37" t="s">
        <v>616</v>
      </c>
      <c r="G1056" s="38" t="s">
        <v>70</v>
      </c>
      <c r="H1056" s="37"/>
      <c r="I1056" s="37"/>
      <c r="J1056" s="37" t="s">
        <v>647</v>
      </c>
      <c r="K1056" s="40"/>
      <c r="L1056" s="38"/>
      <c r="M1056" s="38"/>
      <c r="N1056" s="37"/>
      <c r="O1056" s="37"/>
      <c r="P1056" s="37"/>
      <c r="Q1056" s="37"/>
      <c r="R1056" s="39"/>
      <c r="S1056" s="37"/>
      <c r="T1056" s="38" t="s">
        <v>293</v>
      </c>
    </row>
    <row r="1057" ht="34.5">
      <c r="A1057" s="38" t="s">
        <v>1068</v>
      </c>
      <c r="B1057" s="38" t="s">
        <v>1069</v>
      </c>
      <c r="C1057" s="38" t="s">
        <v>651</v>
      </c>
      <c r="D1057" s="38" t="s">
        <v>288</v>
      </c>
      <c r="E1057" s="38" t="s">
        <v>615</v>
      </c>
      <c r="F1057" s="37" t="s">
        <v>616</v>
      </c>
      <c r="G1057" s="38" t="s">
        <v>70</v>
      </c>
      <c r="H1057" s="37"/>
      <c r="I1057" s="37"/>
      <c r="J1057" s="37" t="s">
        <v>1120</v>
      </c>
      <c r="K1057" s="40"/>
      <c r="L1057" s="38"/>
      <c r="M1057" s="38"/>
      <c r="N1057" s="37"/>
      <c r="O1057" s="37"/>
      <c r="P1057" s="37"/>
      <c r="Q1057" s="37"/>
      <c r="R1057" s="39"/>
      <c r="S1057" s="37"/>
      <c r="T1057" s="38" t="s">
        <v>293</v>
      </c>
    </row>
    <row r="1058" ht="34.5">
      <c r="A1058" s="38" t="s">
        <v>1068</v>
      </c>
      <c r="B1058" s="38" t="s">
        <v>1069</v>
      </c>
      <c r="C1058" s="38" t="s">
        <v>651</v>
      </c>
      <c r="D1058" s="38" t="s">
        <v>288</v>
      </c>
      <c r="E1058" s="38" t="s">
        <v>615</v>
      </c>
      <c r="F1058" s="37" t="s">
        <v>616</v>
      </c>
      <c r="G1058" s="38" t="s">
        <v>70</v>
      </c>
      <c r="H1058" s="37"/>
      <c r="I1058" s="37"/>
      <c r="J1058" s="37" t="s">
        <v>982</v>
      </c>
      <c r="K1058" s="40"/>
      <c r="L1058" s="38"/>
      <c r="M1058" s="38"/>
      <c r="N1058" s="37"/>
      <c r="O1058" s="37"/>
      <c r="P1058" s="37"/>
      <c r="Q1058" s="37"/>
      <c r="R1058" s="39"/>
      <c r="S1058" s="37"/>
      <c r="T1058" s="38" t="s">
        <v>293</v>
      </c>
    </row>
    <row r="1059" ht="34.5">
      <c r="A1059" s="38" t="s">
        <v>1068</v>
      </c>
      <c r="B1059" s="38" t="s">
        <v>1069</v>
      </c>
      <c r="C1059" s="38" t="s">
        <v>651</v>
      </c>
      <c r="D1059" s="38" t="s">
        <v>288</v>
      </c>
      <c r="E1059" s="38" t="s">
        <v>615</v>
      </c>
      <c r="F1059" s="37" t="s">
        <v>616</v>
      </c>
      <c r="G1059" s="38" t="s">
        <v>70</v>
      </c>
      <c r="H1059" s="37"/>
      <c r="I1059" s="37"/>
      <c r="J1059" s="37" t="s">
        <v>650</v>
      </c>
      <c r="K1059" s="40"/>
      <c r="L1059" s="38"/>
      <c r="M1059" s="38"/>
      <c r="N1059" s="37"/>
      <c r="O1059" s="37"/>
      <c r="P1059" s="37"/>
      <c r="Q1059" s="37"/>
      <c r="R1059" s="39"/>
      <c r="S1059" s="37"/>
      <c r="T1059" s="38" t="s">
        <v>293</v>
      </c>
    </row>
    <row r="1060" ht="34.5">
      <c r="A1060" s="38" t="s">
        <v>1068</v>
      </c>
      <c r="B1060" s="38" t="s">
        <v>1069</v>
      </c>
      <c r="C1060" s="38" t="s">
        <v>657</v>
      </c>
      <c r="D1060" s="38" t="s">
        <v>288</v>
      </c>
      <c r="E1060" s="38" t="s">
        <v>615</v>
      </c>
      <c r="F1060" s="37" t="s">
        <v>616</v>
      </c>
      <c r="G1060" s="38" t="s">
        <v>70</v>
      </c>
      <c r="H1060" s="37"/>
      <c r="I1060" s="37"/>
      <c r="J1060" s="37" t="s">
        <v>652</v>
      </c>
      <c r="K1060" s="40"/>
      <c r="L1060" s="38"/>
      <c r="M1060" s="38"/>
      <c r="N1060" s="37"/>
      <c r="O1060" s="37"/>
      <c r="P1060" s="37"/>
      <c r="Q1060" s="37"/>
      <c r="R1060" s="39"/>
      <c r="S1060" s="37"/>
      <c r="T1060" s="38" t="s">
        <v>293</v>
      </c>
    </row>
    <row r="1061" ht="34.5">
      <c r="A1061" s="38" t="s">
        <v>1068</v>
      </c>
      <c r="B1061" s="38" t="s">
        <v>1069</v>
      </c>
      <c r="C1061" s="38" t="s">
        <v>657</v>
      </c>
      <c r="D1061" s="38" t="s">
        <v>288</v>
      </c>
      <c r="E1061" s="38" t="s">
        <v>615</v>
      </c>
      <c r="F1061" s="37" t="s">
        <v>616</v>
      </c>
      <c r="G1061" s="38" t="s">
        <v>70</v>
      </c>
      <c r="H1061" s="37"/>
      <c r="I1061" s="37"/>
      <c r="J1061" s="37" t="s">
        <v>653</v>
      </c>
      <c r="K1061" s="40"/>
      <c r="L1061" s="38"/>
      <c r="M1061" s="38"/>
      <c r="N1061" s="37"/>
      <c r="O1061" s="37"/>
      <c r="P1061" s="37"/>
      <c r="Q1061" s="37"/>
      <c r="R1061" s="39"/>
      <c r="S1061" s="37"/>
      <c r="T1061" s="38" t="s">
        <v>293</v>
      </c>
    </row>
    <row r="1062" ht="34.5">
      <c r="A1062" s="38" t="s">
        <v>1068</v>
      </c>
      <c r="B1062" s="38" t="s">
        <v>1069</v>
      </c>
      <c r="C1062" s="38" t="s">
        <v>657</v>
      </c>
      <c r="D1062" s="38" t="s">
        <v>288</v>
      </c>
      <c r="E1062" s="38" t="s">
        <v>615</v>
      </c>
      <c r="F1062" s="37" t="s">
        <v>616</v>
      </c>
      <c r="G1062" s="38" t="s">
        <v>70</v>
      </c>
      <c r="H1062" s="37"/>
      <c r="I1062" s="37"/>
      <c r="J1062" s="37" t="s">
        <v>654</v>
      </c>
      <c r="K1062" s="40"/>
      <c r="L1062" s="38"/>
      <c r="M1062" s="38"/>
      <c r="N1062" s="37"/>
      <c r="O1062" s="37"/>
      <c r="P1062" s="37"/>
      <c r="Q1062" s="37"/>
      <c r="R1062" s="39"/>
      <c r="S1062" s="37"/>
      <c r="T1062" s="38" t="s">
        <v>293</v>
      </c>
    </row>
    <row r="1063" ht="34.5">
      <c r="A1063" s="38" t="s">
        <v>1068</v>
      </c>
      <c r="B1063" s="38" t="s">
        <v>1069</v>
      </c>
      <c r="C1063" s="38" t="s">
        <v>657</v>
      </c>
      <c r="D1063" s="38" t="s">
        <v>699</v>
      </c>
      <c r="E1063" s="38" t="s">
        <v>615</v>
      </c>
      <c r="F1063" s="37" t="s">
        <v>616</v>
      </c>
      <c r="G1063" s="38" t="s">
        <v>70</v>
      </c>
      <c r="H1063" s="37"/>
      <c r="I1063" s="37"/>
      <c r="J1063" s="37" t="s">
        <v>700</v>
      </c>
      <c r="K1063" s="40"/>
      <c r="L1063" s="38"/>
      <c r="M1063" s="38"/>
      <c r="N1063" s="37"/>
      <c r="O1063" s="37"/>
      <c r="P1063" s="37"/>
      <c r="Q1063" s="37"/>
      <c r="R1063" s="39"/>
      <c r="S1063" s="37"/>
      <c r="T1063" s="38" t="s">
        <v>293</v>
      </c>
    </row>
    <row r="1064" ht="34.5">
      <c r="A1064" s="38" t="s">
        <v>1068</v>
      </c>
      <c r="B1064" s="38" t="s">
        <v>1069</v>
      </c>
      <c r="C1064" s="38" t="s">
        <v>657</v>
      </c>
      <c r="D1064" s="38" t="s">
        <v>288</v>
      </c>
      <c r="E1064" s="38" t="s">
        <v>615</v>
      </c>
      <c r="F1064" s="37" t="s">
        <v>616</v>
      </c>
      <c r="G1064" s="38" t="s">
        <v>70</v>
      </c>
      <c r="H1064" s="37"/>
      <c r="I1064" s="37"/>
      <c r="J1064" s="37" t="s">
        <v>983</v>
      </c>
      <c r="K1064" s="40"/>
      <c r="L1064" s="38"/>
      <c r="M1064" s="38"/>
      <c r="N1064" s="37"/>
      <c r="O1064" s="37"/>
      <c r="P1064" s="37"/>
      <c r="Q1064" s="37"/>
      <c r="R1064" s="39"/>
      <c r="S1064" s="37"/>
      <c r="T1064" s="38" t="s">
        <v>293</v>
      </c>
    </row>
    <row r="1065" ht="34.5">
      <c r="A1065" s="38" t="s">
        <v>1068</v>
      </c>
      <c r="B1065" s="38" t="s">
        <v>1069</v>
      </c>
      <c r="C1065" s="38" t="s">
        <v>657</v>
      </c>
      <c r="D1065" s="38" t="s">
        <v>765</v>
      </c>
      <c r="E1065" s="38" t="s">
        <v>615</v>
      </c>
      <c r="F1065" s="37" t="s">
        <v>616</v>
      </c>
      <c r="G1065" s="38" t="s">
        <v>70</v>
      </c>
      <c r="H1065" s="37"/>
      <c r="I1065" s="37"/>
      <c r="J1065" s="37" t="s">
        <v>1121</v>
      </c>
      <c r="K1065" s="40"/>
      <c r="L1065" s="38"/>
      <c r="M1065" s="38"/>
      <c r="N1065" s="37"/>
      <c r="O1065" s="37"/>
      <c r="P1065" s="37"/>
      <c r="Q1065" s="37"/>
      <c r="R1065" s="39"/>
      <c r="S1065" s="37"/>
      <c r="T1065" s="38" t="s">
        <v>293</v>
      </c>
    </row>
    <row r="1066" ht="34.5">
      <c r="A1066" s="38" t="s">
        <v>1068</v>
      </c>
      <c r="B1066" s="38" t="s">
        <v>1069</v>
      </c>
      <c r="C1066" s="38" t="s">
        <v>665</v>
      </c>
      <c r="D1066" s="38" t="s">
        <v>288</v>
      </c>
      <c r="E1066" s="38" t="s">
        <v>615</v>
      </c>
      <c r="F1066" s="37" t="s">
        <v>616</v>
      </c>
      <c r="G1066" s="38" t="s">
        <v>70</v>
      </c>
      <c r="H1066" s="37"/>
      <c r="I1066" s="37"/>
      <c r="J1066" s="37" t="s">
        <v>658</v>
      </c>
      <c r="K1066" s="40"/>
      <c r="L1066" s="38"/>
      <c r="M1066" s="38"/>
      <c r="N1066" s="37"/>
      <c r="O1066" s="37"/>
      <c r="P1066" s="37"/>
      <c r="Q1066" s="37"/>
      <c r="R1066" s="39"/>
      <c r="S1066" s="37"/>
      <c r="T1066" s="38" t="s">
        <v>293</v>
      </c>
    </row>
    <row r="1067" ht="34.5">
      <c r="A1067" s="38" t="s">
        <v>1068</v>
      </c>
      <c r="B1067" s="38" t="s">
        <v>1069</v>
      </c>
      <c r="C1067" s="38" t="s">
        <v>665</v>
      </c>
      <c r="D1067" s="38" t="s">
        <v>288</v>
      </c>
      <c r="E1067" s="38" t="s">
        <v>615</v>
      </c>
      <c r="F1067" s="37" t="s">
        <v>616</v>
      </c>
      <c r="G1067" s="38" t="s">
        <v>70</v>
      </c>
      <c r="H1067" s="37"/>
      <c r="I1067" s="37"/>
      <c r="J1067" s="37" t="s">
        <v>1122</v>
      </c>
      <c r="K1067" s="40"/>
      <c r="L1067" s="38"/>
      <c r="M1067" s="38"/>
      <c r="N1067" s="37"/>
      <c r="O1067" s="37"/>
      <c r="P1067" s="37"/>
      <c r="Q1067" s="37"/>
      <c r="R1067" s="39"/>
      <c r="S1067" s="37"/>
      <c r="T1067" s="38" t="s">
        <v>293</v>
      </c>
    </row>
    <row r="1068" ht="34.5">
      <c r="A1068" s="38" t="s">
        <v>1068</v>
      </c>
      <c r="B1068" s="38" t="s">
        <v>1069</v>
      </c>
      <c r="C1068" s="38" t="s">
        <v>665</v>
      </c>
      <c r="D1068" s="38" t="s">
        <v>288</v>
      </c>
      <c r="E1068" s="38" t="s">
        <v>615</v>
      </c>
      <c r="F1068" s="37" t="s">
        <v>616</v>
      </c>
      <c r="G1068" s="38" t="s">
        <v>70</v>
      </c>
      <c r="H1068" s="37"/>
      <c r="I1068" s="37"/>
      <c r="J1068" s="37" t="s">
        <v>660</v>
      </c>
      <c r="K1068" s="40"/>
      <c r="L1068" s="38"/>
      <c r="M1068" s="38"/>
      <c r="N1068" s="37"/>
      <c r="O1068" s="37"/>
      <c r="P1068" s="37"/>
      <c r="Q1068" s="37"/>
      <c r="R1068" s="39"/>
      <c r="S1068" s="37"/>
      <c r="T1068" s="38" t="s">
        <v>293</v>
      </c>
    </row>
    <row r="1069" ht="34.5">
      <c r="A1069" s="38" t="s">
        <v>1068</v>
      </c>
      <c r="B1069" s="38" t="s">
        <v>1069</v>
      </c>
      <c r="C1069" s="38" t="s">
        <v>665</v>
      </c>
      <c r="D1069" s="38" t="s">
        <v>288</v>
      </c>
      <c r="E1069" s="38" t="s">
        <v>615</v>
      </c>
      <c r="F1069" s="37" t="s">
        <v>616</v>
      </c>
      <c r="G1069" s="38" t="s">
        <v>70</v>
      </c>
      <c r="H1069" s="37"/>
      <c r="I1069" s="37"/>
      <c r="J1069" s="37" t="s">
        <v>1123</v>
      </c>
      <c r="K1069" s="40"/>
      <c r="L1069" s="38"/>
      <c r="M1069" s="38"/>
      <c r="N1069" s="37"/>
      <c r="O1069" s="37"/>
      <c r="P1069" s="37"/>
      <c r="Q1069" s="37"/>
      <c r="R1069" s="39"/>
      <c r="S1069" s="37"/>
      <c r="T1069" s="38" t="s">
        <v>293</v>
      </c>
    </row>
    <row r="1070" ht="34.5">
      <c r="A1070" s="38" t="s">
        <v>1068</v>
      </c>
      <c r="B1070" s="38" t="s">
        <v>1069</v>
      </c>
      <c r="C1070" s="38" t="s">
        <v>665</v>
      </c>
      <c r="D1070" s="38" t="s">
        <v>288</v>
      </c>
      <c r="E1070" s="38" t="s">
        <v>615</v>
      </c>
      <c r="F1070" s="37" t="s">
        <v>616</v>
      </c>
      <c r="G1070" s="38" t="s">
        <v>70</v>
      </c>
      <c r="H1070" s="37"/>
      <c r="I1070" s="37"/>
      <c r="J1070" s="37" t="s">
        <v>1124</v>
      </c>
      <c r="K1070" s="40"/>
      <c r="L1070" s="38"/>
      <c r="M1070" s="38"/>
      <c r="N1070" s="37"/>
      <c r="O1070" s="37"/>
      <c r="P1070" s="37"/>
      <c r="Q1070" s="37"/>
      <c r="R1070" s="39"/>
      <c r="S1070" s="37"/>
      <c r="T1070" s="38" t="s">
        <v>293</v>
      </c>
    </row>
    <row r="1071" ht="34.5">
      <c r="A1071" s="38" t="s">
        <v>1068</v>
      </c>
      <c r="B1071" s="38" t="s">
        <v>1069</v>
      </c>
      <c r="C1071" s="38" t="s">
        <v>665</v>
      </c>
      <c r="D1071" s="38" t="s">
        <v>288</v>
      </c>
      <c r="E1071" s="38" t="s">
        <v>615</v>
      </c>
      <c r="F1071" s="37" t="s">
        <v>616</v>
      </c>
      <c r="G1071" s="38" t="s">
        <v>70</v>
      </c>
      <c r="H1071" s="37"/>
      <c r="I1071" s="37"/>
      <c r="J1071" s="37" t="s">
        <v>1125</v>
      </c>
      <c r="K1071" s="40"/>
      <c r="L1071" s="38"/>
      <c r="M1071" s="38"/>
      <c r="N1071" s="37"/>
      <c r="O1071" s="37"/>
      <c r="P1071" s="37"/>
      <c r="Q1071" s="37"/>
      <c r="R1071" s="39"/>
      <c r="S1071" s="37"/>
      <c r="T1071" s="38" t="s">
        <v>293</v>
      </c>
    </row>
    <row r="1072" ht="34.5">
      <c r="A1072" s="38" t="s">
        <v>1068</v>
      </c>
      <c r="B1072" s="38" t="s">
        <v>1069</v>
      </c>
      <c r="C1072" s="38" t="s">
        <v>665</v>
      </c>
      <c r="D1072" s="38" t="s">
        <v>288</v>
      </c>
      <c r="E1072" s="38" t="s">
        <v>615</v>
      </c>
      <c r="F1072" s="37" t="s">
        <v>616</v>
      </c>
      <c r="G1072" s="38" t="s">
        <v>70</v>
      </c>
      <c r="H1072" s="37"/>
      <c r="I1072" s="37"/>
      <c r="J1072" s="37" t="s">
        <v>664</v>
      </c>
      <c r="K1072" s="40"/>
      <c r="L1072" s="38"/>
      <c r="M1072" s="38"/>
      <c r="N1072" s="37"/>
      <c r="O1072" s="37"/>
      <c r="P1072" s="37"/>
      <c r="Q1072" s="37"/>
      <c r="R1072" s="39"/>
      <c r="S1072" s="37"/>
      <c r="T1072" s="38" t="s">
        <v>293</v>
      </c>
    </row>
    <row r="1073" ht="34.5">
      <c r="A1073" s="38" t="s">
        <v>1068</v>
      </c>
      <c r="B1073" s="38" t="s">
        <v>1069</v>
      </c>
      <c r="C1073" s="38" t="s">
        <v>676</v>
      </c>
      <c r="D1073" s="38" t="s">
        <v>288</v>
      </c>
      <c r="E1073" s="38" t="s">
        <v>615</v>
      </c>
      <c r="F1073" s="37" t="s">
        <v>616</v>
      </c>
      <c r="G1073" s="38" t="s">
        <v>70</v>
      </c>
      <c r="H1073" s="37"/>
      <c r="I1073" s="37"/>
      <c r="J1073" s="37" t="s">
        <v>666</v>
      </c>
      <c r="K1073" s="40"/>
      <c r="L1073" s="38"/>
      <c r="M1073" s="38"/>
      <c r="N1073" s="37"/>
      <c r="O1073" s="37"/>
      <c r="P1073" s="37"/>
      <c r="Q1073" s="37"/>
      <c r="R1073" s="39"/>
      <c r="S1073" s="37"/>
      <c r="T1073" s="38" t="s">
        <v>293</v>
      </c>
    </row>
    <row r="1074" ht="34.5">
      <c r="A1074" s="38" t="s">
        <v>1068</v>
      </c>
      <c r="B1074" s="38" t="s">
        <v>1069</v>
      </c>
      <c r="C1074" s="38" t="s">
        <v>676</v>
      </c>
      <c r="D1074" s="38" t="s">
        <v>875</v>
      </c>
      <c r="E1074" s="38" t="s">
        <v>615</v>
      </c>
      <c r="F1074" s="37" t="s">
        <v>616</v>
      </c>
      <c r="G1074" s="38" t="s">
        <v>70</v>
      </c>
      <c r="H1074" s="37"/>
      <c r="I1074" s="37"/>
      <c r="J1074" s="37" t="s">
        <v>876</v>
      </c>
      <c r="K1074" s="40"/>
      <c r="L1074" s="38"/>
      <c r="M1074" s="38"/>
      <c r="N1074" s="37"/>
      <c r="O1074" s="37"/>
      <c r="P1074" s="37"/>
      <c r="Q1074" s="37"/>
      <c r="R1074" s="39"/>
      <c r="S1074" s="37"/>
      <c r="T1074" s="38" t="s">
        <v>293</v>
      </c>
    </row>
    <row r="1075" ht="34.5">
      <c r="A1075" s="38" t="s">
        <v>1068</v>
      </c>
      <c r="B1075" s="38" t="s">
        <v>1069</v>
      </c>
      <c r="C1075" s="38" t="s">
        <v>676</v>
      </c>
      <c r="D1075" s="38" t="s">
        <v>288</v>
      </c>
      <c r="E1075" s="38" t="s">
        <v>615</v>
      </c>
      <c r="F1075" s="37" t="s">
        <v>616</v>
      </c>
      <c r="G1075" s="38" t="s">
        <v>70</v>
      </c>
      <c r="H1075" s="37"/>
      <c r="I1075" s="37"/>
      <c r="J1075" s="37" t="s">
        <v>669</v>
      </c>
      <c r="K1075" s="40"/>
      <c r="L1075" s="38"/>
      <c r="M1075" s="38"/>
      <c r="N1075" s="37"/>
      <c r="O1075" s="37"/>
      <c r="P1075" s="37"/>
      <c r="Q1075" s="37"/>
      <c r="R1075" s="39"/>
      <c r="S1075" s="37"/>
      <c r="T1075" s="38" t="s">
        <v>293</v>
      </c>
    </row>
    <row r="1076" ht="34.5">
      <c r="A1076" s="38" t="s">
        <v>1068</v>
      </c>
      <c r="B1076" s="38" t="s">
        <v>1069</v>
      </c>
      <c r="C1076" s="38" t="s">
        <v>676</v>
      </c>
      <c r="D1076" s="38" t="s">
        <v>288</v>
      </c>
      <c r="E1076" s="38" t="s">
        <v>615</v>
      </c>
      <c r="F1076" s="37" t="s">
        <v>616</v>
      </c>
      <c r="G1076" s="38" t="s">
        <v>70</v>
      </c>
      <c r="H1076" s="37"/>
      <c r="I1076" s="37"/>
      <c r="J1076" s="37" t="s">
        <v>985</v>
      </c>
      <c r="K1076" s="40"/>
      <c r="L1076" s="38"/>
      <c r="M1076" s="38"/>
      <c r="N1076" s="37"/>
      <c r="O1076" s="37"/>
      <c r="P1076" s="37"/>
      <c r="Q1076" s="37"/>
      <c r="R1076" s="39"/>
      <c r="S1076" s="37"/>
      <c r="T1076" s="38" t="s">
        <v>293</v>
      </c>
    </row>
    <row r="1077" ht="34.5">
      <c r="A1077" s="38" t="s">
        <v>1068</v>
      </c>
      <c r="B1077" s="38" t="s">
        <v>1069</v>
      </c>
      <c r="C1077" s="38" t="s">
        <v>676</v>
      </c>
      <c r="D1077" s="38" t="s">
        <v>288</v>
      </c>
      <c r="E1077" s="38" t="s">
        <v>615</v>
      </c>
      <c r="F1077" s="37" t="s">
        <v>616</v>
      </c>
      <c r="G1077" s="38" t="s">
        <v>70</v>
      </c>
      <c r="H1077" s="37"/>
      <c r="I1077" s="37"/>
      <c r="J1077" s="37" t="s">
        <v>1126</v>
      </c>
      <c r="K1077" s="40"/>
      <c r="L1077" s="38"/>
      <c r="M1077" s="38"/>
      <c r="N1077" s="37"/>
      <c r="O1077" s="37"/>
      <c r="P1077" s="37"/>
      <c r="Q1077" s="37"/>
      <c r="R1077" s="39"/>
      <c r="S1077" s="37"/>
      <c r="T1077" s="38" t="s">
        <v>293</v>
      </c>
    </row>
    <row r="1078" ht="34.5">
      <c r="A1078" s="38" t="s">
        <v>1068</v>
      </c>
      <c r="B1078" s="38" t="s">
        <v>1069</v>
      </c>
      <c r="C1078" s="38" t="s">
        <v>676</v>
      </c>
      <c r="D1078" s="38" t="s">
        <v>288</v>
      </c>
      <c r="E1078" s="38" t="s">
        <v>615</v>
      </c>
      <c r="F1078" s="37" t="s">
        <v>616</v>
      </c>
      <c r="G1078" s="38" t="s">
        <v>70</v>
      </c>
      <c r="H1078" s="37"/>
      <c r="I1078" s="37"/>
      <c r="J1078" s="37" t="s">
        <v>1127</v>
      </c>
      <c r="K1078" s="40"/>
      <c r="L1078" s="38"/>
      <c r="M1078" s="38"/>
      <c r="N1078" s="37"/>
      <c r="O1078" s="37"/>
      <c r="P1078" s="37"/>
      <c r="Q1078" s="37"/>
      <c r="R1078" s="39"/>
      <c r="S1078" s="37"/>
      <c r="T1078" s="38" t="s">
        <v>293</v>
      </c>
    </row>
    <row r="1079" ht="34.5">
      <c r="A1079" s="38" t="s">
        <v>1068</v>
      </c>
      <c r="B1079" s="38" t="s">
        <v>1069</v>
      </c>
      <c r="C1079" s="38" t="s">
        <v>676</v>
      </c>
      <c r="D1079" s="38" t="s">
        <v>288</v>
      </c>
      <c r="E1079" s="38" t="s">
        <v>615</v>
      </c>
      <c r="F1079" s="37" t="s">
        <v>616</v>
      </c>
      <c r="G1079" s="38" t="s">
        <v>70</v>
      </c>
      <c r="H1079" s="37"/>
      <c r="I1079" s="37"/>
      <c r="J1079" s="37" t="s">
        <v>988</v>
      </c>
      <c r="K1079" s="40"/>
      <c r="L1079" s="38"/>
      <c r="M1079" s="38"/>
      <c r="N1079" s="37"/>
      <c r="O1079" s="37"/>
      <c r="P1079" s="37"/>
      <c r="Q1079" s="37"/>
      <c r="R1079" s="39"/>
      <c r="S1079" s="37"/>
      <c r="T1079" s="38" t="s">
        <v>293</v>
      </c>
    </row>
    <row r="1080" ht="34.5">
      <c r="A1080" s="38" t="s">
        <v>1068</v>
      </c>
      <c r="B1080" s="38" t="s">
        <v>1069</v>
      </c>
      <c r="C1080" s="38" t="s">
        <v>681</v>
      </c>
      <c r="D1080" s="38" t="s">
        <v>288</v>
      </c>
      <c r="E1080" s="38" t="s">
        <v>615</v>
      </c>
      <c r="F1080" s="37" t="s">
        <v>616</v>
      </c>
      <c r="G1080" s="38" t="s">
        <v>70</v>
      </c>
      <c r="H1080" s="37"/>
      <c r="I1080" s="37"/>
      <c r="J1080" s="37" t="s">
        <v>989</v>
      </c>
      <c r="K1080" s="40"/>
      <c r="L1080" s="38"/>
      <c r="M1080" s="38"/>
      <c r="N1080" s="37"/>
      <c r="O1080" s="37"/>
      <c r="P1080" s="37"/>
      <c r="Q1080" s="37"/>
      <c r="R1080" s="39"/>
      <c r="S1080" s="37"/>
      <c r="T1080" s="38" t="s">
        <v>293</v>
      </c>
    </row>
    <row r="1081" ht="34.5">
      <c r="A1081" s="38" t="s">
        <v>1068</v>
      </c>
      <c r="B1081" s="38" t="s">
        <v>1069</v>
      </c>
      <c r="C1081" s="38" t="s">
        <v>681</v>
      </c>
      <c r="D1081" s="38" t="s">
        <v>288</v>
      </c>
      <c r="E1081" s="38" t="s">
        <v>615</v>
      </c>
      <c r="F1081" s="37" t="s">
        <v>616</v>
      </c>
      <c r="G1081" s="38" t="s">
        <v>70</v>
      </c>
      <c r="H1081" s="37"/>
      <c r="I1081" s="37"/>
      <c r="J1081" s="37" t="s">
        <v>990</v>
      </c>
      <c r="K1081" s="40"/>
      <c r="L1081" s="38"/>
      <c r="M1081" s="38"/>
      <c r="N1081" s="37"/>
      <c r="O1081" s="37"/>
      <c r="P1081" s="37"/>
      <c r="Q1081" s="37"/>
      <c r="R1081" s="39"/>
      <c r="S1081" s="37"/>
      <c r="T1081" s="38" t="s">
        <v>293</v>
      </c>
    </row>
    <row r="1082" ht="34.5">
      <c r="A1082" s="38" t="s">
        <v>1068</v>
      </c>
      <c r="B1082" s="38" t="s">
        <v>1069</v>
      </c>
      <c r="C1082" s="38" t="s">
        <v>681</v>
      </c>
      <c r="D1082" s="38" t="s">
        <v>881</v>
      </c>
      <c r="E1082" s="38" t="s">
        <v>615</v>
      </c>
      <c r="F1082" s="37" t="s">
        <v>616</v>
      </c>
      <c r="G1082" s="38" t="s">
        <v>70</v>
      </c>
      <c r="H1082" s="37"/>
      <c r="I1082" s="37"/>
      <c r="J1082" s="37" t="s">
        <v>882</v>
      </c>
      <c r="K1082" s="40"/>
      <c r="L1082" s="38"/>
      <c r="M1082" s="38"/>
      <c r="N1082" s="37"/>
      <c r="O1082" s="37"/>
      <c r="P1082" s="37"/>
      <c r="Q1082" s="37"/>
      <c r="R1082" s="39"/>
      <c r="S1082" s="37"/>
      <c r="T1082" s="38" t="s">
        <v>293</v>
      </c>
    </row>
    <row r="1083" ht="34.5">
      <c r="A1083" s="38" t="s">
        <v>1068</v>
      </c>
      <c r="B1083" s="38" t="s">
        <v>1069</v>
      </c>
      <c r="C1083" s="38" t="s">
        <v>690</v>
      </c>
      <c r="D1083" s="38" t="s">
        <v>288</v>
      </c>
      <c r="E1083" s="38" t="s">
        <v>615</v>
      </c>
      <c r="F1083" s="37" t="s">
        <v>616</v>
      </c>
      <c r="G1083" s="38" t="s">
        <v>70</v>
      </c>
      <c r="H1083" s="37"/>
      <c r="I1083" s="37"/>
      <c r="J1083" s="37" t="s">
        <v>993</v>
      </c>
      <c r="K1083" s="40"/>
      <c r="L1083" s="38"/>
      <c r="M1083" s="38"/>
      <c r="N1083" s="37"/>
      <c r="O1083" s="37"/>
      <c r="P1083" s="37"/>
      <c r="Q1083" s="37"/>
      <c r="R1083" s="39"/>
      <c r="S1083" s="37"/>
      <c r="T1083" s="38" t="s">
        <v>293</v>
      </c>
    </row>
    <row r="1084" ht="34.5">
      <c r="A1084" s="38" t="s">
        <v>1068</v>
      </c>
      <c r="B1084" s="38" t="s">
        <v>1069</v>
      </c>
      <c r="C1084" s="38" t="s">
        <v>690</v>
      </c>
      <c r="D1084" s="38" t="s">
        <v>288</v>
      </c>
      <c r="E1084" s="38" t="s">
        <v>615</v>
      </c>
      <c r="F1084" s="37" t="s">
        <v>616</v>
      </c>
      <c r="G1084" s="38" t="s">
        <v>70</v>
      </c>
      <c r="H1084" s="37"/>
      <c r="I1084" s="37"/>
      <c r="J1084" s="37" t="s">
        <v>994</v>
      </c>
      <c r="K1084" s="40"/>
      <c r="L1084" s="38"/>
      <c r="M1084" s="38"/>
      <c r="N1084" s="37"/>
      <c r="O1084" s="37"/>
      <c r="P1084" s="37"/>
      <c r="Q1084" s="37"/>
      <c r="R1084" s="39"/>
      <c r="S1084" s="37"/>
      <c r="T1084" s="38" t="s">
        <v>293</v>
      </c>
    </row>
    <row r="1085" ht="34.5">
      <c r="A1085" s="38" t="s">
        <v>1068</v>
      </c>
      <c r="B1085" s="38" t="s">
        <v>1069</v>
      </c>
      <c r="C1085" s="38" t="s">
        <v>690</v>
      </c>
      <c r="D1085" s="38" t="s">
        <v>991</v>
      </c>
      <c r="E1085" s="38" t="s">
        <v>615</v>
      </c>
      <c r="F1085" s="37" t="s">
        <v>616</v>
      </c>
      <c r="G1085" s="38" t="s">
        <v>70</v>
      </c>
      <c r="H1085" s="37"/>
      <c r="I1085" s="37"/>
      <c r="J1085" s="37" t="s">
        <v>992</v>
      </c>
      <c r="K1085" s="40"/>
      <c r="L1085" s="38"/>
      <c r="M1085" s="38"/>
      <c r="N1085" s="37"/>
      <c r="O1085" s="37"/>
      <c r="P1085" s="37"/>
      <c r="Q1085" s="37"/>
      <c r="R1085" s="39"/>
      <c r="S1085" s="37"/>
      <c r="T1085" s="38" t="s">
        <v>293</v>
      </c>
    </row>
    <row r="1086" ht="34.5">
      <c r="A1086" s="38" t="s">
        <v>1068</v>
      </c>
      <c r="B1086" s="38" t="s">
        <v>1069</v>
      </c>
      <c r="C1086" s="38" t="s">
        <v>690</v>
      </c>
      <c r="D1086" s="38" t="s">
        <v>288</v>
      </c>
      <c r="E1086" s="38" t="s">
        <v>615</v>
      </c>
      <c r="F1086" s="37" t="s">
        <v>616</v>
      </c>
      <c r="G1086" s="38" t="s">
        <v>70</v>
      </c>
      <c r="H1086" s="37"/>
      <c r="I1086" s="37"/>
      <c r="J1086" s="37" t="s">
        <v>997</v>
      </c>
      <c r="K1086" s="40"/>
      <c r="L1086" s="38"/>
      <c r="M1086" s="38"/>
      <c r="N1086" s="37"/>
      <c r="O1086" s="37"/>
      <c r="P1086" s="37"/>
      <c r="Q1086" s="37"/>
      <c r="R1086" s="39"/>
      <c r="S1086" s="37"/>
      <c r="T1086" s="38" t="s">
        <v>293</v>
      </c>
    </row>
    <row r="1087" ht="34.5">
      <c r="A1087" s="38" t="s">
        <v>1068</v>
      </c>
      <c r="B1087" s="38" t="s">
        <v>1069</v>
      </c>
      <c r="C1087" s="38" t="s">
        <v>690</v>
      </c>
      <c r="D1087" s="38" t="s">
        <v>288</v>
      </c>
      <c r="E1087" s="38" t="s">
        <v>615</v>
      </c>
      <c r="F1087" s="37" t="s">
        <v>616</v>
      </c>
      <c r="G1087" s="38" t="s">
        <v>70</v>
      </c>
      <c r="H1087" s="37"/>
      <c r="I1087" s="37"/>
      <c r="J1087" s="37" t="s">
        <v>1128</v>
      </c>
      <c r="K1087" s="40"/>
      <c r="L1087" s="38"/>
      <c r="M1087" s="38"/>
      <c r="N1087" s="37"/>
      <c r="O1087" s="37"/>
      <c r="P1087" s="37"/>
      <c r="Q1087" s="37"/>
      <c r="R1087" s="39"/>
      <c r="S1087" s="37"/>
      <c r="T1087" s="38" t="s">
        <v>293</v>
      </c>
    </row>
    <row r="1088" ht="34.5">
      <c r="A1088" s="38" t="s">
        <v>1068</v>
      </c>
      <c r="B1088" s="38" t="s">
        <v>1069</v>
      </c>
      <c r="C1088" s="38" t="s">
        <v>690</v>
      </c>
      <c r="D1088" s="38" t="s">
        <v>288</v>
      </c>
      <c r="E1088" s="38" t="s">
        <v>615</v>
      </c>
      <c r="F1088" s="37" t="s">
        <v>616</v>
      </c>
      <c r="G1088" s="38" t="s">
        <v>70</v>
      </c>
      <c r="H1088" s="37"/>
      <c r="I1088" s="37"/>
      <c r="J1088" s="37" t="s">
        <v>998</v>
      </c>
      <c r="K1088" s="40"/>
      <c r="L1088" s="38"/>
      <c r="M1088" s="38"/>
      <c r="N1088" s="37"/>
      <c r="O1088" s="37"/>
      <c r="P1088" s="37"/>
      <c r="Q1088" s="37"/>
      <c r="R1088" s="39"/>
      <c r="S1088" s="37"/>
      <c r="T1088" s="38" t="s">
        <v>293</v>
      </c>
    </row>
    <row r="1089" ht="34.5">
      <c r="A1089" s="38" t="s">
        <v>1068</v>
      </c>
      <c r="B1089" s="38" t="s">
        <v>1069</v>
      </c>
      <c r="C1089" s="38" t="s">
        <v>690</v>
      </c>
      <c r="D1089" s="38" t="s">
        <v>288</v>
      </c>
      <c r="E1089" s="38" t="s">
        <v>615</v>
      </c>
      <c r="F1089" s="37" t="s">
        <v>616</v>
      </c>
      <c r="G1089" s="38" t="s">
        <v>70</v>
      </c>
      <c r="H1089" s="37"/>
      <c r="I1089" s="37"/>
      <c r="J1089" s="37" t="s">
        <v>673</v>
      </c>
      <c r="K1089" s="40"/>
      <c r="L1089" s="38"/>
      <c r="M1089" s="38"/>
      <c r="N1089" s="37"/>
      <c r="O1089" s="37"/>
      <c r="P1089" s="37"/>
      <c r="Q1089" s="37"/>
      <c r="R1089" s="39"/>
      <c r="S1089" s="37"/>
      <c r="T1089" s="38" t="s">
        <v>293</v>
      </c>
    </row>
    <row r="1090" ht="34.5">
      <c r="A1090" s="38" t="s">
        <v>1068</v>
      </c>
      <c r="B1090" s="38" t="s">
        <v>1069</v>
      </c>
      <c r="C1090" s="38" t="s">
        <v>690</v>
      </c>
      <c r="D1090" s="38" t="s">
        <v>288</v>
      </c>
      <c r="E1090" s="38" t="s">
        <v>615</v>
      </c>
      <c r="F1090" s="37" t="s">
        <v>616</v>
      </c>
      <c r="G1090" s="38" t="s">
        <v>70</v>
      </c>
      <c r="H1090" s="37"/>
      <c r="I1090" s="37"/>
      <c r="J1090" s="37" t="s">
        <v>674</v>
      </c>
      <c r="K1090" s="40"/>
      <c r="L1090" s="38"/>
      <c r="M1090" s="38"/>
      <c r="N1090" s="37"/>
      <c r="O1090" s="37"/>
      <c r="P1090" s="37"/>
      <c r="Q1090" s="37"/>
      <c r="R1090" s="39"/>
      <c r="S1090" s="37"/>
      <c r="T1090" s="38" t="s">
        <v>293</v>
      </c>
    </row>
    <row r="1091" ht="34.5">
      <c r="A1091" s="38" t="s">
        <v>1068</v>
      </c>
      <c r="B1091" s="38" t="s">
        <v>1069</v>
      </c>
      <c r="C1091" s="38" t="s">
        <v>690</v>
      </c>
      <c r="D1091" s="38" t="s">
        <v>288</v>
      </c>
      <c r="E1091" s="38" t="s">
        <v>615</v>
      </c>
      <c r="F1091" s="37" t="s">
        <v>616</v>
      </c>
      <c r="G1091" s="38" t="s">
        <v>70</v>
      </c>
      <c r="H1091" s="37"/>
      <c r="I1091" s="37"/>
      <c r="J1091" s="37" t="s">
        <v>1129</v>
      </c>
      <c r="K1091" s="40"/>
      <c r="L1091" s="38"/>
      <c r="M1091" s="38"/>
      <c r="N1091" s="37"/>
      <c r="O1091" s="37"/>
      <c r="P1091" s="37"/>
      <c r="Q1091" s="37"/>
      <c r="R1091" s="39"/>
      <c r="S1091" s="37"/>
      <c r="T1091" s="38" t="s">
        <v>293</v>
      </c>
    </row>
    <row r="1092" ht="34.5">
      <c r="A1092" s="38" t="s">
        <v>1068</v>
      </c>
      <c r="B1092" s="38" t="s">
        <v>1069</v>
      </c>
      <c r="C1092" s="38" t="s">
        <v>696</v>
      </c>
      <c r="D1092" s="38" t="s">
        <v>288</v>
      </c>
      <c r="E1092" s="38" t="s">
        <v>615</v>
      </c>
      <c r="F1092" s="37" t="s">
        <v>616</v>
      </c>
      <c r="G1092" s="38" t="s">
        <v>70</v>
      </c>
      <c r="H1092" s="37"/>
      <c r="I1092" s="37"/>
      <c r="J1092" s="37" t="s">
        <v>1130</v>
      </c>
      <c r="K1092" s="40"/>
      <c r="L1092" s="38"/>
      <c r="M1092" s="38"/>
      <c r="N1092" s="37"/>
      <c r="O1092" s="37"/>
      <c r="P1092" s="37"/>
      <c r="Q1092" s="37"/>
      <c r="R1092" s="39"/>
      <c r="S1092" s="37"/>
      <c r="T1092" s="38" t="s">
        <v>293</v>
      </c>
    </row>
    <row r="1093" ht="34.5">
      <c r="A1093" s="38" t="s">
        <v>1068</v>
      </c>
      <c r="B1093" s="38" t="s">
        <v>1069</v>
      </c>
      <c r="C1093" s="38" t="s">
        <v>696</v>
      </c>
      <c r="D1093" s="38" t="s">
        <v>995</v>
      </c>
      <c r="E1093" s="38" t="s">
        <v>615</v>
      </c>
      <c r="F1093" s="37" t="s">
        <v>616</v>
      </c>
      <c r="G1093" s="38" t="s">
        <v>70</v>
      </c>
      <c r="H1093" s="37"/>
      <c r="I1093" s="37"/>
      <c r="J1093" s="37" t="s">
        <v>996</v>
      </c>
      <c r="K1093" s="40"/>
      <c r="L1093" s="38"/>
      <c r="M1093" s="38"/>
      <c r="N1093" s="37"/>
      <c r="O1093" s="37"/>
      <c r="P1093" s="37"/>
      <c r="Q1093" s="37"/>
      <c r="R1093" s="39"/>
      <c r="S1093" s="37"/>
      <c r="T1093" s="38" t="s">
        <v>293</v>
      </c>
    </row>
    <row r="1094" ht="34.5">
      <c r="A1094" s="38" t="s">
        <v>1068</v>
      </c>
      <c r="B1094" s="38" t="s">
        <v>1069</v>
      </c>
      <c r="C1094" s="38" t="s">
        <v>696</v>
      </c>
      <c r="D1094" s="38" t="s">
        <v>288</v>
      </c>
      <c r="E1094" s="38" t="s">
        <v>615</v>
      </c>
      <c r="F1094" s="37" t="s">
        <v>616</v>
      </c>
      <c r="G1094" s="38" t="s">
        <v>70</v>
      </c>
      <c r="H1094" s="37"/>
      <c r="I1094" s="37"/>
      <c r="J1094" s="37" t="s">
        <v>1131</v>
      </c>
      <c r="K1094" s="40"/>
      <c r="L1094" s="38"/>
      <c r="M1094" s="38"/>
      <c r="N1094" s="37"/>
      <c r="O1094" s="37"/>
      <c r="P1094" s="37"/>
      <c r="Q1094" s="37"/>
      <c r="R1094" s="39"/>
      <c r="S1094" s="37"/>
      <c r="T1094" s="38" t="s">
        <v>293</v>
      </c>
    </row>
    <row r="1095" ht="34.5">
      <c r="A1095" s="38" t="s">
        <v>1068</v>
      </c>
      <c r="B1095" s="38" t="s">
        <v>1069</v>
      </c>
      <c r="C1095" s="38" t="s">
        <v>704</v>
      </c>
      <c r="D1095" s="38" t="s">
        <v>288</v>
      </c>
      <c r="E1095" s="38" t="s">
        <v>615</v>
      </c>
      <c r="F1095" s="37" t="s">
        <v>616</v>
      </c>
      <c r="G1095" s="38" t="s">
        <v>70</v>
      </c>
      <c r="H1095" s="37"/>
      <c r="I1095" s="37"/>
      <c r="J1095" s="37" t="s">
        <v>680</v>
      </c>
      <c r="K1095" s="40"/>
      <c r="L1095" s="38"/>
      <c r="M1095" s="38"/>
      <c r="N1095" s="37"/>
      <c r="O1095" s="37"/>
      <c r="P1095" s="37"/>
      <c r="Q1095" s="37"/>
      <c r="R1095" s="39"/>
      <c r="S1095" s="37"/>
      <c r="T1095" s="38" t="s">
        <v>293</v>
      </c>
    </row>
    <row r="1096" ht="34.5">
      <c r="A1096" s="38" t="s">
        <v>1068</v>
      </c>
      <c r="B1096" s="38" t="s">
        <v>1069</v>
      </c>
      <c r="C1096" s="38" t="s">
        <v>704</v>
      </c>
      <c r="D1096" s="38" t="s">
        <v>288</v>
      </c>
      <c r="E1096" s="38" t="s">
        <v>615</v>
      </c>
      <c r="F1096" s="37" t="s">
        <v>616</v>
      </c>
      <c r="G1096" s="38" t="s">
        <v>70</v>
      </c>
      <c r="H1096" s="37"/>
      <c r="I1096" s="37"/>
      <c r="J1096" s="37" t="s">
        <v>1132</v>
      </c>
      <c r="K1096" s="40"/>
      <c r="L1096" s="38"/>
      <c r="M1096" s="38"/>
      <c r="N1096" s="37"/>
      <c r="O1096" s="37"/>
      <c r="P1096" s="37"/>
      <c r="Q1096" s="37"/>
      <c r="R1096" s="39"/>
      <c r="S1096" s="37"/>
      <c r="T1096" s="38" t="s">
        <v>293</v>
      </c>
    </row>
    <row r="1097" ht="34.5">
      <c r="A1097" s="38" t="s">
        <v>1068</v>
      </c>
      <c r="B1097" s="38" t="s">
        <v>1069</v>
      </c>
      <c r="C1097" s="38" t="s">
        <v>704</v>
      </c>
      <c r="D1097" s="38" t="s">
        <v>288</v>
      </c>
      <c r="E1097" s="38" t="s">
        <v>615</v>
      </c>
      <c r="F1097" s="37" t="s">
        <v>616</v>
      </c>
      <c r="G1097" s="38" t="s">
        <v>70</v>
      </c>
      <c r="H1097" s="37"/>
      <c r="I1097" s="37"/>
      <c r="J1097" s="37" t="s">
        <v>683</v>
      </c>
      <c r="K1097" s="40"/>
      <c r="L1097" s="38"/>
      <c r="M1097" s="38"/>
      <c r="N1097" s="37"/>
      <c r="O1097" s="37"/>
      <c r="P1097" s="37"/>
      <c r="Q1097" s="37"/>
      <c r="R1097" s="39"/>
      <c r="S1097" s="37"/>
      <c r="T1097" s="38" t="s">
        <v>293</v>
      </c>
    </row>
    <row r="1098" ht="34.5">
      <c r="A1098" s="38" t="s">
        <v>1068</v>
      </c>
      <c r="B1098" s="38" t="s">
        <v>1069</v>
      </c>
      <c r="C1098" s="38" t="s">
        <v>704</v>
      </c>
      <c r="D1098" s="38" t="s">
        <v>288</v>
      </c>
      <c r="E1098" s="38" t="s">
        <v>615</v>
      </c>
      <c r="F1098" s="37" t="s">
        <v>616</v>
      </c>
      <c r="G1098" s="38" t="s">
        <v>70</v>
      </c>
      <c r="H1098" s="37"/>
      <c r="I1098" s="37"/>
      <c r="J1098" s="37" t="s">
        <v>1002</v>
      </c>
      <c r="K1098" s="40"/>
      <c r="L1098" s="38"/>
      <c r="M1098" s="38"/>
      <c r="N1098" s="37"/>
      <c r="O1098" s="37"/>
      <c r="P1098" s="37"/>
      <c r="Q1098" s="37"/>
      <c r="R1098" s="39"/>
      <c r="S1098" s="37"/>
      <c r="T1098" s="38" t="s">
        <v>293</v>
      </c>
    </row>
    <row r="1099" ht="34.5">
      <c r="A1099" s="38" t="s">
        <v>1068</v>
      </c>
      <c r="B1099" s="38" t="s">
        <v>1069</v>
      </c>
      <c r="C1099" s="38" t="s">
        <v>704</v>
      </c>
      <c r="D1099" s="38" t="s">
        <v>288</v>
      </c>
      <c r="E1099" s="38" t="s">
        <v>615</v>
      </c>
      <c r="F1099" s="37" t="s">
        <v>616</v>
      </c>
      <c r="G1099" s="38" t="s">
        <v>70</v>
      </c>
      <c r="H1099" s="37"/>
      <c r="I1099" s="37"/>
      <c r="J1099" s="37" t="s">
        <v>1133</v>
      </c>
      <c r="K1099" s="40">
        <v>3000000</v>
      </c>
      <c r="L1099" s="38" t="s">
        <v>297</v>
      </c>
      <c r="M1099" s="38"/>
      <c r="N1099" s="37"/>
      <c r="O1099" s="37"/>
      <c r="P1099" s="37"/>
      <c r="Q1099" s="37"/>
      <c r="R1099" s="39"/>
      <c r="S1099" s="37"/>
      <c r="T1099" s="38" t="s">
        <v>293</v>
      </c>
    </row>
    <row r="1100" ht="34.5">
      <c r="A1100" s="38" t="s">
        <v>1068</v>
      </c>
      <c r="B1100" s="38" t="s">
        <v>1069</v>
      </c>
      <c r="C1100" s="38" t="s">
        <v>704</v>
      </c>
      <c r="D1100" s="38" t="s">
        <v>288</v>
      </c>
      <c r="E1100" s="38" t="s">
        <v>615</v>
      </c>
      <c r="F1100" s="37" t="s">
        <v>616</v>
      </c>
      <c r="G1100" s="38" t="s">
        <v>70</v>
      </c>
      <c r="H1100" s="37"/>
      <c r="I1100" s="37"/>
      <c r="J1100" s="37" t="s">
        <v>686</v>
      </c>
      <c r="K1100" s="40"/>
      <c r="L1100" s="38"/>
      <c r="M1100" s="38"/>
      <c r="N1100" s="37"/>
      <c r="O1100" s="37"/>
      <c r="P1100" s="37"/>
      <c r="Q1100" s="37"/>
      <c r="R1100" s="39"/>
      <c r="S1100" s="37"/>
      <c r="T1100" s="38" t="s">
        <v>293</v>
      </c>
    </row>
    <row r="1101" ht="34.5">
      <c r="A1101" s="38" t="s">
        <v>1068</v>
      </c>
      <c r="B1101" s="38" t="s">
        <v>1069</v>
      </c>
      <c r="C1101" s="38" t="s">
        <v>704</v>
      </c>
      <c r="D1101" s="38" t="s">
        <v>288</v>
      </c>
      <c r="E1101" s="38" t="s">
        <v>615</v>
      </c>
      <c r="F1101" s="37" t="s">
        <v>616</v>
      </c>
      <c r="G1101" s="38" t="s">
        <v>70</v>
      </c>
      <c r="H1101" s="37"/>
      <c r="I1101" s="37"/>
      <c r="J1101" s="37" t="s">
        <v>1134</v>
      </c>
      <c r="K1101" s="40"/>
      <c r="L1101" s="38"/>
      <c r="M1101" s="38"/>
      <c r="N1101" s="37"/>
      <c r="O1101" s="37"/>
      <c r="P1101" s="37"/>
      <c r="Q1101" s="37"/>
      <c r="R1101" s="39"/>
      <c r="S1101" s="37"/>
      <c r="T1101" s="38" t="s">
        <v>293</v>
      </c>
    </row>
    <row r="1102" ht="34.5">
      <c r="A1102" s="38" t="s">
        <v>1068</v>
      </c>
      <c r="B1102" s="38" t="s">
        <v>1069</v>
      </c>
      <c r="C1102" s="38" t="s">
        <v>704</v>
      </c>
      <c r="D1102" s="38" t="s">
        <v>288</v>
      </c>
      <c r="E1102" s="38" t="s">
        <v>615</v>
      </c>
      <c r="F1102" s="37" t="s">
        <v>616</v>
      </c>
      <c r="G1102" s="38" t="s">
        <v>70</v>
      </c>
      <c r="H1102" s="37"/>
      <c r="I1102" s="37"/>
      <c r="J1102" s="37" t="s">
        <v>688</v>
      </c>
      <c r="K1102" s="40"/>
      <c r="L1102" s="38"/>
      <c r="M1102" s="38"/>
      <c r="N1102" s="37"/>
      <c r="O1102" s="37"/>
      <c r="P1102" s="37"/>
      <c r="Q1102" s="37"/>
      <c r="R1102" s="39"/>
      <c r="S1102" s="37"/>
      <c r="T1102" s="38" t="s">
        <v>293</v>
      </c>
    </row>
    <row r="1103" ht="34.5">
      <c r="A1103" s="38" t="s">
        <v>1068</v>
      </c>
      <c r="B1103" s="38" t="s">
        <v>1069</v>
      </c>
      <c r="C1103" s="38" t="s">
        <v>717</v>
      </c>
      <c r="D1103" s="38" t="s">
        <v>288</v>
      </c>
      <c r="E1103" s="38" t="s">
        <v>615</v>
      </c>
      <c r="F1103" s="37" t="s">
        <v>616</v>
      </c>
      <c r="G1103" s="38" t="s">
        <v>70</v>
      </c>
      <c r="H1103" s="37"/>
      <c r="I1103" s="37"/>
      <c r="J1103" s="37" t="s">
        <v>689</v>
      </c>
      <c r="K1103" s="40"/>
      <c r="L1103" s="38"/>
      <c r="M1103" s="38"/>
      <c r="N1103" s="37"/>
      <c r="O1103" s="37"/>
      <c r="P1103" s="37"/>
      <c r="Q1103" s="37"/>
      <c r="R1103" s="39"/>
      <c r="S1103" s="37"/>
      <c r="T1103" s="38" t="s">
        <v>293</v>
      </c>
    </row>
    <row r="1104" ht="34.5">
      <c r="A1104" s="38" t="s">
        <v>1068</v>
      </c>
      <c r="B1104" s="38" t="s">
        <v>1069</v>
      </c>
      <c r="C1104" s="38" t="s">
        <v>717</v>
      </c>
      <c r="D1104" s="38" t="s">
        <v>288</v>
      </c>
      <c r="E1104" s="38" t="s">
        <v>615</v>
      </c>
      <c r="F1104" s="37" t="s">
        <v>616</v>
      </c>
      <c r="G1104" s="38" t="s">
        <v>70</v>
      </c>
      <c r="H1104" s="37"/>
      <c r="I1104" s="37"/>
      <c r="J1104" s="37" t="s">
        <v>1003</v>
      </c>
      <c r="K1104" s="40"/>
      <c r="L1104" s="38"/>
      <c r="M1104" s="38"/>
      <c r="N1104" s="37"/>
      <c r="O1104" s="37"/>
      <c r="P1104" s="37"/>
      <c r="Q1104" s="37"/>
      <c r="R1104" s="39"/>
      <c r="S1104" s="37"/>
      <c r="T1104" s="38" t="s">
        <v>293</v>
      </c>
    </row>
    <row r="1105" ht="34.5">
      <c r="A1105" s="38" t="s">
        <v>1068</v>
      </c>
      <c r="B1105" s="38" t="s">
        <v>1069</v>
      </c>
      <c r="C1105" s="38" t="s">
        <v>717</v>
      </c>
      <c r="D1105" s="38" t="s">
        <v>1000</v>
      </c>
      <c r="E1105" s="38" t="s">
        <v>615</v>
      </c>
      <c r="F1105" s="37" t="s">
        <v>616</v>
      </c>
      <c r="G1105" s="38" t="s">
        <v>70</v>
      </c>
      <c r="H1105" s="37"/>
      <c r="I1105" s="37"/>
      <c r="J1105" s="37" t="s">
        <v>1001</v>
      </c>
      <c r="K1105" s="40"/>
      <c r="L1105" s="38"/>
      <c r="M1105" s="38"/>
      <c r="N1105" s="37"/>
      <c r="O1105" s="37"/>
      <c r="P1105" s="37"/>
      <c r="Q1105" s="37"/>
      <c r="R1105" s="39"/>
      <c r="S1105" s="37"/>
      <c r="T1105" s="38" t="s">
        <v>293</v>
      </c>
    </row>
    <row r="1106" ht="34.5">
      <c r="A1106" s="38" t="s">
        <v>1068</v>
      </c>
      <c r="B1106" s="38" t="s">
        <v>1069</v>
      </c>
      <c r="C1106" s="38" t="s">
        <v>731</v>
      </c>
      <c r="D1106" s="38" t="s">
        <v>288</v>
      </c>
      <c r="E1106" s="38" t="s">
        <v>615</v>
      </c>
      <c r="F1106" s="37" t="s">
        <v>616</v>
      </c>
      <c r="G1106" s="38" t="s">
        <v>70</v>
      </c>
      <c r="H1106" s="37"/>
      <c r="I1106" s="37"/>
      <c r="J1106" s="37" t="s">
        <v>1135</v>
      </c>
      <c r="K1106" s="40"/>
      <c r="L1106" s="38"/>
      <c r="M1106" s="38"/>
      <c r="N1106" s="37"/>
      <c r="O1106" s="37"/>
      <c r="P1106" s="37"/>
      <c r="Q1106" s="37"/>
      <c r="R1106" s="39"/>
      <c r="S1106" s="37"/>
      <c r="T1106" s="38" t="s">
        <v>293</v>
      </c>
    </row>
    <row r="1107" ht="34.5">
      <c r="A1107" s="38" t="s">
        <v>1068</v>
      </c>
      <c r="B1107" s="38" t="s">
        <v>1069</v>
      </c>
      <c r="C1107" s="38" t="s">
        <v>731</v>
      </c>
      <c r="D1107" s="38" t="s">
        <v>288</v>
      </c>
      <c r="E1107" s="38" t="s">
        <v>615</v>
      </c>
      <c r="F1107" s="37" t="s">
        <v>616</v>
      </c>
      <c r="G1107" s="38" t="s">
        <v>70</v>
      </c>
      <c r="H1107" s="37"/>
      <c r="I1107" s="37"/>
      <c r="J1107" s="37" t="s">
        <v>1007</v>
      </c>
      <c r="K1107" s="40"/>
      <c r="L1107" s="38"/>
      <c r="M1107" s="38"/>
      <c r="N1107" s="37"/>
      <c r="O1107" s="37"/>
      <c r="P1107" s="37"/>
      <c r="Q1107" s="37"/>
      <c r="R1107" s="39"/>
      <c r="S1107" s="37"/>
      <c r="T1107" s="38" t="s">
        <v>293</v>
      </c>
    </row>
    <row r="1108" ht="34.5">
      <c r="A1108" s="38" t="s">
        <v>1068</v>
      </c>
      <c r="B1108" s="38" t="s">
        <v>1069</v>
      </c>
      <c r="C1108" s="38" t="s">
        <v>731</v>
      </c>
      <c r="D1108" s="38" t="s">
        <v>1004</v>
      </c>
      <c r="E1108" s="38" t="s">
        <v>615</v>
      </c>
      <c r="F1108" s="37" t="s">
        <v>616</v>
      </c>
      <c r="G1108" s="38" t="s">
        <v>70</v>
      </c>
      <c r="H1108" s="37"/>
      <c r="I1108" s="37"/>
      <c r="J1108" s="37" t="s">
        <v>1005</v>
      </c>
      <c r="K1108" s="40"/>
      <c r="L1108" s="38"/>
      <c r="M1108" s="38"/>
      <c r="N1108" s="37"/>
      <c r="O1108" s="37"/>
      <c r="P1108" s="37"/>
      <c r="Q1108" s="37"/>
      <c r="R1108" s="39"/>
      <c r="S1108" s="37"/>
      <c r="T1108" s="38" t="s">
        <v>293</v>
      </c>
    </row>
    <row r="1109" ht="34.5">
      <c r="A1109" s="38" t="s">
        <v>1068</v>
      </c>
      <c r="B1109" s="38" t="s">
        <v>1069</v>
      </c>
      <c r="C1109" s="38" t="s">
        <v>744</v>
      </c>
      <c r="D1109" s="38" t="s">
        <v>288</v>
      </c>
      <c r="E1109" s="38" t="s">
        <v>615</v>
      </c>
      <c r="F1109" s="37" t="s">
        <v>616</v>
      </c>
      <c r="G1109" s="38" t="s">
        <v>70</v>
      </c>
      <c r="H1109" s="37"/>
      <c r="I1109" s="37"/>
      <c r="J1109" s="37" t="s">
        <v>1136</v>
      </c>
      <c r="K1109" s="40"/>
      <c r="L1109" s="38"/>
      <c r="M1109" s="38"/>
      <c r="N1109" s="37"/>
      <c r="O1109" s="37"/>
      <c r="P1109" s="37"/>
      <c r="Q1109" s="37"/>
      <c r="R1109" s="39"/>
      <c r="S1109" s="37"/>
      <c r="T1109" s="38" t="s">
        <v>293</v>
      </c>
    </row>
    <row r="1110" ht="34.5">
      <c r="A1110" s="38" t="s">
        <v>1068</v>
      </c>
      <c r="B1110" s="38" t="s">
        <v>1069</v>
      </c>
      <c r="C1110" s="38" t="s">
        <v>744</v>
      </c>
      <c r="D1110" s="38" t="s">
        <v>288</v>
      </c>
      <c r="E1110" s="38" t="s">
        <v>615</v>
      </c>
      <c r="F1110" s="37" t="s">
        <v>616</v>
      </c>
      <c r="G1110" s="38" t="s">
        <v>70</v>
      </c>
      <c r="H1110" s="37"/>
      <c r="I1110" s="37"/>
      <c r="J1110" s="37" t="s">
        <v>1011</v>
      </c>
      <c r="K1110" s="40"/>
      <c r="L1110" s="38"/>
      <c r="M1110" s="38"/>
      <c r="N1110" s="37"/>
      <c r="O1110" s="37"/>
      <c r="P1110" s="37"/>
      <c r="Q1110" s="37"/>
      <c r="R1110" s="39"/>
      <c r="S1110" s="37"/>
      <c r="T1110" s="38" t="s">
        <v>293</v>
      </c>
    </row>
    <row r="1111" ht="34.5">
      <c r="A1111" s="38" t="s">
        <v>1068</v>
      </c>
      <c r="B1111" s="38" t="s">
        <v>1069</v>
      </c>
      <c r="C1111" s="38" t="s">
        <v>744</v>
      </c>
      <c r="D1111" s="38" t="s">
        <v>1008</v>
      </c>
      <c r="E1111" s="38" t="s">
        <v>615</v>
      </c>
      <c r="F1111" s="37" t="s">
        <v>616</v>
      </c>
      <c r="G1111" s="38" t="s">
        <v>70</v>
      </c>
      <c r="H1111" s="37"/>
      <c r="I1111" s="37"/>
      <c r="J1111" s="37" t="s">
        <v>1009</v>
      </c>
      <c r="K1111" s="40"/>
      <c r="L1111" s="38"/>
      <c r="M1111" s="38"/>
      <c r="N1111" s="37"/>
      <c r="O1111" s="37"/>
      <c r="P1111" s="37"/>
      <c r="Q1111" s="37"/>
      <c r="R1111" s="39"/>
      <c r="S1111" s="37"/>
      <c r="T1111" s="38" t="s">
        <v>293</v>
      </c>
    </row>
    <row r="1112" ht="34.5">
      <c r="A1112" s="38" t="s">
        <v>1068</v>
      </c>
      <c r="B1112" s="38" t="s">
        <v>1069</v>
      </c>
      <c r="C1112" s="38" t="s">
        <v>744</v>
      </c>
      <c r="D1112" s="38" t="s">
        <v>288</v>
      </c>
      <c r="E1112" s="38" t="s">
        <v>615</v>
      </c>
      <c r="F1112" s="37" t="s">
        <v>616</v>
      </c>
      <c r="G1112" s="38" t="s">
        <v>70</v>
      </c>
      <c r="H1112" s="37"/>
      <c r="I1112" s="37"/>
      <c r="J1112" s="37" t="s">
        <v>1137</v>
      </c>
      <c r="K1112" s="40"/>
      <c r="L1112" s="38"/>
      <c r="M1112" s="38"/>
      <c r="N1112" s="37"/>
      <c r="O1112" s="37"/>
      <c r="P1112" s="37"/>
      <c r="Q1112" s="37"/>
      <c r="R1112" s="39"/>
      <c r="S1112" s="37"/>
      <c r="T1112" s="38" t="s">
        <v>293</v>
      </c>
    </row>
    <row r="1113" ht="34.5">
      <c r="A1113" s="38" t="s">
        <v>1068</v>
      </c>
      <c r="B1113" s="38" t="s">
        <v>1069</v>
      </c>
      <c r="C1113" s="38" t="s">
        <v>744</v>
      </c>
      <c r="D1113" s="38" t="s">
        <v>288</v>
      </c>
      <c r="E1113" s="38" t="s">
        <v>615</v>
      </c>
      <c r="F1113" s="37" t="s">
        <v>616</v>
      </c>
      <c r="G1113" s="38" t="s">
        <v>70</v>
      </c>
      <c r="H1113" s="37"/>
      <c r="I1113" s="37"/>
      <c r="J1113" s="37" t="s">
        <v>1138</v>
      </c>
      <c r="K1113" s="40"/>
      <c r="L1113" s="38"/>
      <c r="M1113" s="38"/>
      <c r="N1113" s="37"/>
      <c r="O1113" s="37"/>
      <c r="P1113" s="37"/>
      <c r="Q1113" s="37"/>
      <c r="R1113" s="39"/>
      <c r="S1113" s="37"/>
      <c r="T1113" s="38" t="s">
        <v>293</v>
      </c>
    </row>
    <row r="1114" ht="34.5">
      <c r="A1114" s="38" t="s">
        <v>1068</v>
      </c>
      <c r="B1114" s="38" t="s">
        <v>1069</v>
      </c>
      <c r="C1114" s="38" t="s">
        <v>744</v>
      </c>
      <c r="D1114" s="38" t="s">
        <v>288</v>
      </c>
      <c r="E1114" s="38" t="s">
        <v>615</v>
      </c>
      <c r="F1114" s="37" t="s">
        <v>616</v>
      </c>
      <c r="G1114" s="38" t="s">
        <v>70</v>
      </c>
      <c r="H1114" s="37"/>
      <c r="I1114" s="37"/>
      <c r="J1114" s="37" t="s">
        <v>705</v>
      </c>
      <c r="K1114" s="40"/>
      <c r="L1114" s="38"/>
      <c r="M1114" s="38"/>
      <c r="N1114" s="37"/>
      <c r="O1114" s="37"/>
      <c r="P1114" s="37"/>
      <c r="Q1114" s="37"/>
      <c r="R1114" s="39"/>
      <c r="S1114" s="37"/>
      <c r="T1114" s="38" t="s">
        <v>293</v>
      </c>
    </row>
    <row r="1115" ht="34.5">
      <c r="A1115" s="38" t="s">
        <v>1068</v>
      </c>
      <c r="B1115" s="38" t="s">
        <v>1069</v>
      </c>
      <c r="C1115" s="38" t="s">
        <v>754</v>
      </c>
      <c r="D1115" s="38" t="s">
        <v>288</v>
      </c>
      <c r="E1115" s="38" t="s">
        <v>706</v>
      </c>
      <c r="F1115" s="37" t="s">
        <v>707</v>
      </c>
      <c r="G1115" s="38" t="s">
        <v>708</v>
      </c>
      <c r="H1115" s="37"/>
      <c r="I1115" s="37"/>
      <c r="J1115" s="37" t="s">
        <v>709</v>
      </c>
      <c r="K1115" s="40"/>
      <c r="L1115" s="38"/>
      <c r="M1115" s="38"/>
      <c r="N1115" s="37"/>
      <c r="O1115" s="37"/>
      <c r="P1115" s="37"/>
      <c r="Q1115" s="37"/>
      <c r="R1115" s="39"/>
      <c r="S1115" s="37"/>
      <c r="T1115" s="38" t="s">
        <v>293</v>
      </c>
    </row>
    <row r="1116" ht="34.5">
      <c r="A1116" s="38" t="s">
        <v>1068</v>
      </c>
      <c r="B1116" s="38" t="s">
        <v>1069</v>
      </c>
      <c r="C1116" s="38" t="s">
        <v>754</v>
      </c>
      <c r="D1116" s="38" t="s">
        <v>288</v>
      </c>
      <c r="E1116" s="38" t="s">
        <v>706</v>
      </c>
      <c r="F1116" s="37" t="s">
        <v>707</v>
      </c>
      <c r="G1116" s="38" t="s">
        <v>708</v>
      </c>
      <c r="H1116" s="37"/>
      <c r="I1116" s="37"/>
      <c r="J1116" s="37" t="s">
        <v>710</v>
      </c>
      <c r="K1116" s="40"/>
      <c r="L1116" s="38"/>
      <c r="M1116" s="38"/>
      <c r="N1116" s="37"/>
      <c r="O1116" s="37"/>
      <c r="P1116" s="37"/>
      <c r="Q1116" s="37"/>
      <c r="R1116" s="39"/>
      <c r="S1116" s="37"/>
      <c r="T1116" s="38" t="s">
        <v>293</v>
      </c>
    </row>
    <row r="1117" ht="34.5">
      <c r="A1117" s="38" t="s">
        <v>1068</v>
      </c>
      <c r="B1117" s="38" t="s">
        <v>1069</v>
      </c>
      <c r="C1117" s="38" t="s">
        <v>754</v>
      </c>
      <c r="D1117" s="38" t="s">
        <v>288</v>
      </c>
      <c r="E1117" s="38" t="s">
        <v>706</v>
      </c>
      <c r="F1117" s="37" t="s">
        <v>707</v>
      </c>
      <c r="G1117" s="38" t="s">
        <v>708</v>
      </c>
      <c r="H1117" s="37"/>
      <c r="I1117" s="37"/>
      <c r="J1117" s="37" t="s">
        <v>711</v>
      </c>
      <c r="K1117" s="40"/>
      <c r="L1117" s="38"/>
      <c r="M1117" s="38"/>
      <c r="N1117" s="37"/>
      <c r="O1117" s="37"/>
      <c r="P1117" s="37"/>
      <c r="Q1117" s="37"/>
      <c r="R1117" s="39"/>
      <c r="S1117" s="37"/>
      <c r="T1117" s="38" t="s">
        <v>293</v>
      </c>
    </row>
    <row r="1118" ht="34.5">
      <c r="A1118" s="38" t="s">
        <v>1068</v>
      </c>
      <c r="B1118" s="38" t="s">
        <v>1069</v>
      </c>
      <c r="C1118" s="38" t="s">
        <v>754</v>
      </c>
      <c r="D1118" s="38" t="s">
        <v>288</v>
      </c>
      <c r="E1118" s="38" t="s">
        <v>706</v>
      </c>
      <c r="F1118" s="37" t="s">
        <v>707</v>
      </c>
      <c r="G1118" s="38" t="s">
        <v>708</v>
      </c>
      <c r="H1118" s="37"/>
      <c r="I1118" s="37"/>
      <c r="J1118" s="37" t="s">
        <v>712</v>
      </c>
      <c r="K1118" s="40"/>
      <c r="L1118" s="38"/>
      <c r="M1118" s="38"/>
      <c r="N1118" s="37"/>
      <c r="O1118" s="37"/>
      <c r="P1118" s="37"/>
      <c r="Q1118" s="37"/>
      <c r="R1118" s="39"/>
      <c r="S1118" s="37"/>
      <c r="T1118" s="38" t="s">
        <v>293</v>
      </c>
    </row>
    <row r="1119" ht="34.5">
      <c r="A1119" s="38" t="s">
        <v>1068</v>
      </c>
      <c r="B1119" s="38" t="s">
        <v>1069</v>
      </c>
      <c r="C1119" s="38" t="s">
        <v>754</v>
      </c>
      <c r="D1119" s="38" t="s">
        <v>288</v>
      </c>
      <c r="E1119" s="38" t="s">
        <v>706</v>
      </c>
      <c r="F1119" s="37" t="s">
        <v>707</v>
      </c>
      <c r="G1119" s="38" t="s">
        <v>708</v>
      </c>
      <c r="H1119" s="37"/>
      <c r="I1119" s="37"/>
      <c r="J1119" s="37" t="s">
        <v>713</v>
      </c>
      <c r="K1119" s="40"/>
      <c r="L1119" s="38"/>
      <c r="M1119" s="38"/>
      <c r="N1119" s="37"/>
      <c r="O1119" s="37"/>
      <c r="P1119" s="37"/>
      <c r="Q1119" s="37"/>
      <c r="R1119" s="39"/>
      <c r="S1119" s="37"/>
      <c r="T1119" s="38" t="s">
        <v>293</v>
      </c>
    </row>
    <row r="1120" ht="34.5">
      <c r="A1120" s="38" t="s">
        <v>1068</v>
      </c>
      <c r="B1120" s="38" t="s">
        <v>1069</v>
      </c>
      <c r="C1120" s="38" t="s">
        <v>754</v>
      </c>
      <c r="D1120" s="38" t="s">
        <v>288</v>
      </c>
      <c r="E1120" s="38" t="s">
        <v>706</v>
      </c>
      <c r="F1120" s="37" t="s">
        <v>707</v>
      </c>
      <c r="G1120" s="38" t="s">
        <v>708</v>
      </c>
      <c r="H1120" s="37"/>
      <c r="I1120" s="37"/>
      <c r="J1120" s="37" t="s">
        <v>714</v>
      </c>
      <c r="K1120" s="40"/>
      <c r="L1120" s="38"/>
      <c r="M1120" s="38"/>
      <c r="N1120" s="37"/>
      <c r="O1120" s="37"/>
      <c r="P1120" s="37"/>
      <c r="Q1120" s="37"/>
      <c r="R1120" s="39"/>
      <c r="S1120" s="37"/>
      <c r="T1120" s="38" t="s">
        <v>293</v>
      </c>
    </row>
    <row r="1121" ht="34.5">
      <c r="A1121" s="38" t="s">
        <v>1068</v>
      </c>
      <c r="B1121" s="38" t="s">
        <v>1069</v>
      </c>
      <c r="C1121" s="38" t="s">
        <v>754</v>
      </c>
      <c r="D1121" s="38" t="s">
        <v>288</v>
      </c>
      <c r="E1121" s="38" t="s">
        <v>706</v>
      </c>
      <c r="F1121" s="37" t="s">
        <v>707</v>
      </c>
      <c r="G1121" s="38" t="s">
        <v>708</v>
      </c>
      <c r="H1121" s="37"/>
      <c r="I1121" s="37"/>
      <c r="J1121" s="37" t="s">
        <v>715</v>
      </c>
      <c r="K1121" s="40"/>
      <c r="L1121" s="38"/>
      <c r="M1121" s="38"/>
      <c r="N1121" s="37"/>
      <c r="O1121" s="37"/>
      <c r="P1121" s="37"/>
      <c r="Q1121" s="37"/>
      <c r="R1121" s="39"/>
      <c r="S1121" s="37"/>
      <c r="T1121" s="38" t="s">
        <v>293</v>
      </c>
    </row>
    <row r="1122" ht="34.5">
      <c r="A1122" s="38" t="s">
        <v>1068</v>
      </c>
      <c r="B1122" s="38" t="s">
        <v>1069</v>
      </c>
      <c r="C1122" s="38" t="s">
        <v>754</v>
      </c>
      <c r="D1122" s="38" t="s">
        <v>288</v>
      </c>
      <c r="E1122" s="38" t="s">
        <v>706</v>
      </c>
      <c r="F1122" s="37" t="s">
        <v>707</v>
      </c>
      <c r="G1122" s="38" t="s">
        <v>708</v>
      </c>
      <c r="H1122" s="37"/>
      <c r="I1122" s="37"/>
      <c r="J1122" s="37" t="s">
        <v>1139</v>
      </c>
      <c r="K1122" s="40"/>
      <c r="L1122" s="38"/>
      <c r="M1122" s="38"/>
      <c r="N1122" s="37"/>
      <c r="O1122" s="37"/>
      <c r="P1122" s="37"/>
      <c r="Q1122" s="37"/>
      <c r="R1122" s="39"/>
      <c r="S1122" s="37"/>
      <c r="T1122" s="38" t="s">
        <v>293</v>
      </c>
    </row>
    <row r="1123" ht="34.5">
      <c r="A1123" s="38" t="s">
        <v>1068</v>
      </c>
      <c r="B1123" s="38" t="s">
        <v>1069</v>
      </c>
      <c r="C1123" s="38" t="s">
        <v>754</v>
      </c>
      <c r="D1123" s="38" t="s">
        <v>288</v>
      </c>
      <c r="E1123" s="38" t="s">
        <v>706</v>
      </c>
      <c r="F1123" s="37" t="s">
        <v>707</v>
      </c>
      <c r="G1123" s="38" t="s">
        <v>708</v>
      </c>
      <c r="H1123" s="37"/>
      <c r="I1123" s="37"/>
      <c r="J1123" s="37" t="s">
        <v>1140</v>
      </c>
      <c r="K1123" s="40"/>
      <c r="L1123" s="38"/>
      <c r="M1123" s="38"/>
      <c r="N1123" s="37"/>
      <c r="O1123" s="37"/>
      <c r="P1123" s="37"/>
      <c r="Q1123" s="37"/>
      <c r="R1123" s="39"/>
      <c r="S1123" s="37"/>
      <c r="T1123" s="38" t="s">
        <v>293</v>
      </c>
    </row>
    <row r="1124" ht="34.5">
      <c r="A1124" s="38" t="s">
        <v>1068</v>
      </c>
      <c r="B1124" s="38" t="s">
        <v>1069</v>
      </c>
      <c r="C1124" s="38" t="s">
        <v>754</v>
      </c>
      <c r="D1124" s="38" t="s">
        <v>288</v>
      </c>
      <c r="E1124" s="38" t="s">
        <v>706</v>
      </c>
      <c r="F1124" s="37" t="s">
        <v>707</v>
      </c>
      <c r="G1124" s="38" t="s">
        <v>708</v>
      </c>
      <c r="H1124" s="37"/>
      <c r="I1124" s="37"/>
      <c r="J1124" s="37" t="s">
        <v>719</v>
      </c>
      <c r="K1124" s="40"/>
      <c r="L1124" s="38"/>
      <c r="M1124" s="38"/>
      <c r="N1124" s="37"/>
      <c r="O1124" s="37"/>
      <c r="P1124" s="37"/>
      <c r="Q1124" s="37"/>
      <c r="R1124" s="39"/>
      <c r="S1124" s="37"/>
      <c r="T1124" s="38" t="s">
        <v>293</v>
      </c>
    </row>
    <row r="1125" ht="34.5">
      <c r="A1125" s="38" t="s">
        <v>1068</v>
      </c>
      <c r="B1125" s="38" t="s">
        <v>1069</v>
      </c>
      <c r="C1125" s="38" t="s">
        <v>763</v>
      </c>
      <c r="D1125" s="38" t="s">
        <v>288</v>
      </c>
      <c r="E1125" s="38" t="s">
        <v>706</v>
      </c>
      <c r="F1125" s="37" t="s">
        <v>707</v>
      </c>
      <c r="G1125" s="38" t="s">
        <v>708</v>
      </c>
      <c r="H1125" s="37"/>
      <c r="I1125" s="37"/>
      <c r="J1125" s="37" t="s">
        <v>720</v>
      </c>
      <c r="K1125" s="40"/>
      <c r="L1125" s="38"/>
      <c r="M1125" s="38"/>
      <c r="N1125" s="37"/>
      <c r="O1125" s="37"/>
      <c r="P1125" s="37"/>
      <c r="Q1125" s="37"/>
      <c r="R1125" s="39"/>
      <c r="S1125" s="37"/>
      <c r="T1125" s="38" t="s">
        <v>293</v>
      </c>
    </row>
    <row r="1126" ht="34.5">
      <c r="A1126" s="38" t="s">
        <v>1068</v>
      </c>
      <c r="B1126" s="38" t="s">
        <v>1069</v>
      </c>
      <c r="C1126" s="38" t="s">
        <v>763</v>
      </c>
      <c r="D1126" s="38" t="s">
        <v>288</v>
      </c>
      <c r="E1126" s="38" t="s">
        <v>706</v>
      </c>
      <c r="F1126" s="37" t="s">
        <v>707</v>
      </c>
      <c r="G1126" s="38" t="s">
        <v>708</v>
      </c>
      <c r="H1126" s="37"/>
      <c r="I1126" s="37"/>
      <c r="J1126" s="37" t="s">
        <v>721</v>
      </c>
      <c r="K1126" s="40"/>
      <c r="L1126" s="38"/>
      <c r="M1126" s="38"/>
      <c r="N1126" s="37"/>
      <c r="O1126" s="37"/>
      <c r="P1126" s="37"/>
      <c r="Q1126" s="37"/>
      <c r="R1126" s="39"/>
      <c r="S1126" s="37"/>
      <c r="T1126" s="38" t="s">
        <v>293</v>
      </c>
    </row>
    <row r="1127" ht="34.5">
      <c r="A1127" s="38" t="s">
        <v>1068</v>
      </c>
      <c r="B1127" s="38" t="s">
        <v>1069</v>
      </c>
      <c r="C1127" s="38" t="s">
        <v>763</v>
      </c>
      <c r="D1127" s="38" t="s">
        <v>288</v>
      </c>
      <c r="E1127" s="38" t="s">
        <v>706</v>
      </c>
      <c r="F1127" s="37" t="s">
        <v>707</v>
      </c>
      <c r="G1127" s="38" t="s">
        <v>708</v>
      </c>
      <c r="H1127" s="37"/>
      <c r="I1127" s="37"/>
      <c r="J1127" s="37" t="s">
        <v>722</v>
      </c>
      <c r="K1127" s="40"/>
      <c r="L1127" s="38"/>
      <c r="M1127" s="38"/>
      <c r="N1127" s="37"/>
      <c r="O1127" s="37"/>
      <c r="P1127" s="37"/>
      <c r="Q1127" s="37"/>
      <c r="R1127" s="39"/>
      <c r="S1127" s="37"/>
      <c r="T1127" s="38" t="s">
        <v>293</v>
      </c>
    </row>
    <row r="1128" ht="34.5">
      <c r="A1128" s="38" t="s">
        <v>1068</v>
      </c>
      <c r="B1128" s="38" t="s">
        <v>1069</v>
      </c>
      <c r="C1128" s="38" t="s">
        <v>763</v>
      </c>
      <c r="D1128" s="38" t="s">
        <v>288</v>
      </c>
      <c r="E1128" s="38" t="s">
        <v>706</v>
      </c>
      <c r="F1128" s="37" t="s">
        <v>707</v>
      </c>
      <c r="G1128" s="38" t="s">
        <v>708</v>
      </c>
      <c r="H1128" s="37"/>
      <c r="I1128" s="37"/>
      <c r="J1128" s="37" t="s">
        <v>723</v>
      </c>
      <c r="K1128" s="40"/>
      <c r="L1128" s="38"/>
      <c r="M1128" s="38"/>
      <c r="N1128" s="37"/>
      <c r="O1128" s="37"/>
      <c r="P1128" s="37"/>
      <c r="Q1128" s="37"/>
      <c r="R1128" s="39"/>
      <c r="S1128" s="37"/>
      <c r="T1128" s="38" t="s">
        <v>293</v>
      </c>
    </row>
    <row r="1129" ht="34.5">
      <c r="A1129" s="38" t="s">
        <v>1068</v>
      </c>
      <c r="B1129" s="38" t="s">
        <v>1069</v>
      </c>
      <c r="C1129" s="38" t="s">
        <v>763</v>
      </c>
      <c r="D1129" s="38" t="s">
        <v>288</v>
      </c>
      <c r="E1129" s="38" t="s">
        <v>706</v>
      </c>
      <c r="F1129" s="37" t="s">
        <v>707</v>
      </c>
      <c r="G1129" s="38" t="s">
        <v>708</v>
      </c>
      <c r="H1129" s="37"/>
      <c r="I1129" s="37"/>
      <c r="J1129" s="37" t="s">
        <v>724</v>
      </c>
      <c r="K1129" s="40"/>
      <c r="L1129" s="38"/>
      <c r="M1129" s="38"/>
      <c r="N1129" s="37"/>
      <c r="O1129" s="37"/>
      <c r="P1129" s="37"/>
      <c r="Q1129" s="37"/>
      <c r="R1129" s="39"/>
      <c r="S1129" s="37"/>
      <c r="T1129" s="38" t="s">
        <v>293</v>
      </c>
    </row>
    <row r="1130" ht="34.5">
      <c r="A1130" s="38" t="s">
        <v>1068</v>
      </c>
      <c r="B1130" s="38" t="s">
        <v>1069</v>
      </c>
      <c r="C1130" s="38" t="s">
        <v>763</v>
      </c>
      <c r="D1130" s="38" t="s">
        <v>288</v>
      </c>
      <c r="E1130" s="38" t="s">
        <v>706</v>
      </c>
      <c r="F1130" s="37" t="s">
        <v>707</v>
      </c>
      <c r="G1130" s="38" t="s">
        <v>708</v>
      </c>
      <c r="H1130" s="37"/>
      <c r="I1130" s="37"/>
      <c r="J1130" s="37" t="s">
        <v>725</v>
      </c>
      <c r="K1130" s="40"/>
      <c r="L1130" s="38"/>
      <c r="M1130" s="38"/>
      <c r="N1130" s="37"/>
      <c r="O1130" s="37"/>
      <c r="P1130" s="37"/>
      <c r="Q1130" s="37"/>
      <c r="R1130" s="39"/>
      <c r="S1130" s="37"/>
      <c r="T1130" s="38" t="s">
        <v>293</v>
      </c>
    </row>
    <row r="1131" ht="34.5">
      <c r="A1131" s="38" t="s">
        <v>1068</v>
      </c>
      <c r="B1131" s="38" t="s">
        <v>1069</v>
      </c>
      <c r="C1131" s="38" t="s">
        <v>763</v>
      </c>
      <c r="D1131" s="38" t="s">
        <v>288</v>
      </c>
      <c r="E1131" s="38" t="s">
        <v>706</v>
      </c>
      <c r="F1131" s="37" t="s">
        <v>707</v>
      </c>
      <c r="G1131" s="38" t="s">
        <v>708</v>
      </c>
      <c r="H1131" s="37"/>
      <c r="I1131" s="37"/>
      <c r="J1131" s="37" t="s">
        <v>726</v>
      </c>
      <c r="K1131" s="40"/>
      <c r="L1131" s="38"/>
      <c r="M1131" s="38"/>
      <c r="N1131" s="37"/>
      <c r="O1131" s="37"/>
      <c r="P1131" s="37"/>
      <c r="Q1131" s="37"/>
      <c r="R1131" s="39"/>
      <c r="S1131" s="37"/>
      <c r="T1131" s="38" t="s">
        <v>293</v>
      </c>
    </row>
    <row r="1132" ht="34.5">
      <c r="A1132" s="38" t="s">
        <v>1068</v>
      </c>
      <c r="B1132" s="38" t="s">
        <v>1069</v>
      </c>
      <c r="C1132" s="38" t="s">
        <v>763</v>
      </c>
      <c r="D1132" s="38" t="s">
        <v>288</v>
      </c>
      <c r="E1132" s="38" t="s">
        <v>706</v>
      </c>
      <c r="F1132" s="37" t="s">
        <v>707</v>
      </c>
      <c r="G1132" s="38" t="s">
        <v>708</v>
      </c>
      <c r="H1132" s="37"/>
      <c r="I1132" s="37"/>
      <c r="J1132" s="37" t="s">
        <v>727</v>
      </c>
      <c r="K1132" s="40"/>
      <c r="L1132" s="38"/>
      <c r="M1132" s="38"/>
      <c r="N1132" s="37"/>
      <c r="O1132" s="37"/>
      <c r="P1132" s="37"/>
      <c r="Q1132" s="37"/>
      <c r="R1132" s="39"/>
      <c r="S1132" s="37"/>
      <c r="T1132" s="38" t="s">
        <v>293</v>
      </c>
    </row>
    <row r="1133" ht="34.5">
      <c r="A1133" s="38" t="s">
        <v>1068</v>
      </c>
      <c r="B1133" s="38" t="s">
        <v>1069</v>
      </c>
      <c r="C1133" s="38" t="s">
        <v>763</v>
      </c>
      <c r="D1133" s="38" t="s">
        <v>288</v>
      </c>
      <c r="E1133" s="38" t="s">
        <v>706</v>
      </c>
      <c r="F1133" s="37" t="s">
        <v>707</v>
      </c>
      <c r="G1133" s="38" t="s">
        <v>708</v>
      </c>
      <c r="H1133" s="37"/>
      <c r="I1133" s="37"/>
      <c r="J1133" s="37" t="s">
        <v>728</v>
      </c>
      <c r="K1133" s="40"/>
      <c r="L1133" s="38"/>
      <c r="M1133" s="38"/>
      <c r="N1133" s="37"/>
      <c r="O1133" s="37"/>
      <c r="P1133" s="37"/>
      <c r="Q1133" s="37"/>
      <c r="R1133" s="39"/>
      <c r="S1133" s="37"/>
      <c r="T1133" s="38" t="s">
        <v>293</v>
      </c>
    </row>
    <row r="1134" ht="34.5">
      <c r="A1134" s="38" t="s">
        <v>1068</v>
      </c>
      <c r="B1134" s="38" t="s">
        <v>1069</v>
      </c>
      <c r="C1134" s="38" t="s">
        <v>763</v>
      </c>
      <c r="D1134" s="38" t="s">
        <v>288</v>
      </c>
      <c r="E1134" s="38" t="s">
        <v>706</v>
      </c>
      <c r="F1134" s="37" t="s">
        <v>707</v>
      </c>
      <c r="G1134" s="38" t="s">
        <v>708</v>
      </c>
      <c r="H1134" s="37"/>
      <c r="I1134" s="37"/>
      <c r="J1134" s="37" t="s">
        <v>729</v>
      </c>
      <c r="K1134" s="40"/>
      <c r="L1134" s="38"/>
      <c r="M1134" s="38"/>
      <c r="N1134" s="37"/>
      <c r="O1134" s="37"/>
      <c r="P1134" s="37"/>
      <c r="Q1134" s="37"/>
      <c r="R1134" s="39"/>
      <c r="S1134" s="37"/>
      <c r="T1134" s="38" t="s">
        <v>293</v>
      </c>
    </row>
    <row r="1135" ht="34.5">
      <c r="A1135" s="38" t="s">
        <v>1068</v>
      </c>
      <c r="B1135" s="38" t="s">
        <v>1069</v>
      </c>
      <c r="C1135" s="38" t="s">
        <v>763</v>
      </c>
      <c r="D1135" s="38" t="s">
        <v>288</v>
      </c>
      <c r="E1135" s="38" t="s">
        <v>706</v>
      </c>
      <c r="F1135" s="37" t="s">
        <v>707</v>
      </c>
      <c r="G1135" s="38" t="s">
        <v>708</v>
      </c>
      <c r="H1135" s="37"/>
      <c r="I1135" s="37"/>
      <c r="J1135" s="37" t="s">
        <v>730</v>
      </c>
      <c r="K1135" s="40"/>
      <c r="L1135" s="38"/>
      <c r="M1135" s="38"/>
      <c r="N1135" s="37"/>
      <c r="O1135" s="37"/>
      <c r="P1135" s="37"/>
      <c r="Q1135" s="37"/>
      <c r="R1135" s="39"/>
      <c r="S1135" s="37"/>
      <c r="T1135" s="38" t="s">
        <v>293</v>
      </c>
    </row>
    <row r="1136" ht="34.5">
      <c r="A1136" s="38" t="s">
        <v>1068</v>
      </c>
      <c r="B1136" s="38" t="s">
        <v>1069</v>
      </c>
      <c r="C1136" s="38" t="s">
        <v>763</v>
      </c>
      <c r="D1136" s="38" t="s">
        <v>288</v>
      </c>
      <c r="E1136" s="38" t="s">
        <v>706</v>
      </c>
      <c r="F1136" s="37" t="s">
        <v>707</v>
      </c>
      <c r="G1136" s="38" t="s">
        <v>708</v>
      </c>
      <c r="H1136" s="37"/>
      <c r="I1136" s="37"/>
      <c r="J1136" s="37" t="s">
        <v>732</v>
      </c>
      <c r="K1136" s="40"/>
      <c r="L1136" s="38"/>
      <c r="M1136" s="38"/>
      <c r="N1136" s="37"/>
      <c r="O1136" s="37"/>
      <c r="P1136" s="37"/>
      <c r="Q1136" s="37"/>
      <c r="R1136" s="39"/>
      <c r="S1136" s="37"/>
      <c r="T1136" s="38" t="s">
        <v>293</v>
      </c>
    </row>
    <row r="1137" ht="34.5">
      <c r="A1137" s="38" t="s">
        <v>1068</v>
      </c>
      <c r="B1137" s="38" t="s">
        <v>1069</v>
      </c>
      <c r="C1137" s="38" t="s">
        <v>763</v>
      </c>
      <c r="D1137" s="38" t="s">
        <v>288</v>
      </c>
      <c r="E1137" s="38" t="s">
        <v>706</v>
      </c>
      <c r="F1137" s="37" t="s">
        <v>707</v>
      </c>
      <c r="G1137" s="38" t="s">
        <v>708</v>
      </c>
      <c r="H1137" s="37"/>
      <c r="I1137" s="37"/>
      <c r="J1137" s="37" t="s">
        <v>733</v>
      </c>
      <c r="K1137" s="40"/>
      <c r="L1137" s="38"/>
      <c r="M1137" s="38"/>
      <c r="N1137" s="37"/>
      <c r="O1137" s="37"/>
      <c r="P1137" s="37"/>
      <c r="Q1137" s="37"/>
      <c r="R1137" s="39"/>
      <c r="S1137" s="37"/>
      <c r="T1137" s="38" t="s">
        <v>293</v>
      </c>
    </row>
    <row r="1138" ht="34.5">
      <c r="A1138" s="38" t="s">
        <v>1068</v>
      </c>
      <c r="B1138" s="38" t="s">
        <v>1069</v>
      </c>
      <c r="C1138" s="38" t="s">
        <v>773</v>
      </c>
      <c r="D1138" s="38" t="s">
        <v>288</v>
      </c>
      <c r="E1138" s="38" t="s">
        <v>706</v>
      </c>
      <c r="F1138" s="37" t="s">
        <v>707</v>
      </c>
      <c r="G1138" s="38" t="s">
        <v>708</v>
      </c>
      <c r="H1138" s="37"/>
      <c r="I1138" s="37"/>
      <c r="J1138" s="37" t="s">
        <v>734</v>
      </c>
      <c r="K1138" s="40"/>
      <c r="L1138" s="38"/>
      <c r="M1138" s="38"/>
      <c r="N1138" s="37"/>
      <c r="O1138" s="37"/>
      <c r="P1138" s="37"/>
      <c r="Q1138" s="37"/>
      <c r="R1138" s="39"/>
      <c r="S1138" s="37"/>
      <c r="T1138" s="38" t="s">
        <v>293</v>
      </c>
    </row>
    <row r="1139" ht="34.5">
      <c r="A1139" s="38" t="s">
        <v>1068</v>
      </c>
      <c r="B1139" s="38" t="s">
        <v>1069</v>
      </c>
      <c r="C1139" s="38" t="s">
        <v>773</v>
      </c>
      <c r="D1139" s="38" t="s">
        <v>288</v>
      </c>
      <c r="E1139" s="38" t="s">
        <v>706</v>
      </c>
      <c r="F1139" s="37" t="s">
        <v>707</v>
      </c>
      <c r="G1139" s="38" t="s">
        <v>708</v>
      </c>
      <c r="H1139" s="37"/>
      <c r="I1139" s="37"/>
      <c r="J1139" s="37" t="s">
        <v>735</v>
      </c>
      <c r="K1139" s="40"/>
      <c r="L1139" s="38"/>
      <c r="M1139" s="38"/>
      <c r="N1139" s="37"/>
      <c r="O1139" s="37"/>
      <c r="P1139" s="37"/>
      <c r="Q1139" s="37"/>
      <c r="R1139" s="39"/>
      <c r="S1139" s="37"/>
      <c r="T1139" s="38" t="s">
        <v>293</v>
      </c>
    </row>
    <row r="1140" ht="34.5">
      <c r="A1140" s="38" t="s">
        <v>1068</v>
      </c>
      <c r="B1140" s="38" t="s">
        <v>1069</v>
      </c>
      <c r="C1140" s="38" t="s">
        <v>773</v>
      </c>
      <c r="D1140" s="38" t="s">
        <v>288</v>
      </c>
      <c r="E1140" s="38" t="s">
        <v>706</v>
      </c>
      <c r="F1140" s="37" t="s">
        <v>707</v>
      </c>
      <c r="G1140" s="38" t="s">
        <v>708</v>
      </c>
      <c r="H1140" s="37"/>
      <c r="I1140" s="37"/>
      <c r="J1140" s="37" t="s">
        <v>1141</v>
      </c>
      <c r="K1140" s="40"/>
      <c r="L1140" s="38"/>
      <c r="M1140" s="38"/>
      <c r="N1140" s="37"/>
      <c r="O1140" s="37"/>
      <c r="P1140" s="37"/>
      <c r="Q1140" s="37"/>
      <c r="R1140" s="39"/>
      <c r="S1140" s="37"/>
      <c r="T1140" s="38" t="s">
        <v>293</v>
      </c>
    </row>
    <row r="1141" ht="34.5">
      <c r="A1141" s="38" t="s">
        <v>1068</v>
      </c>
      <c r="B1141" s="38" t="s">
        <v>1069</v>
      </c>
      <c r="C1141" s="38" t="s">
        <v>773</v>
      </c>
      <c r="D1141" s="38" t="s">
        <v>288</v>
      </c>
      <c r="E1141" s="38" t="s">
        <v>706</v>
      </c>
      <c r="F1141" s="37" t="s">
        <v>707</v>
      </c>
      <c r="G1141" s="38" t="s">
        <v>708</v>
      </c>
      <c r="H1141" s="37"/>
      <c r="I1141" s="37"/>
      <c r="J1141" s="37" t="s">
        <v>737</v>
      </c>
      <c r="K1141" s="40"/>
      <c r="L1141" s="38"/>
      <c r="M1141" s="38"/>
      <c r="N1141" s="37"/>
      <c r="O1141" s="37"/>
      <c r="P1141" s="37"/>
      <c r="Q1141" s="37"/>
      <c r="R1141" s="39"/>
      <c r="S1141" s="37"/>
      <c r="T1141" s="38" t="s">
        <v>293</v>
      </c>
    </row>
    <row r="1142" ht="34.5">
      <c r="A1142" s="38" t="s">
        <v>1068</v>
      </c>
      <c r="B1142" s="38" t="s">
        <v>1069</v>
      </c>
      <c r="C1142" s="38" t="s">
        <v>773</v>
      </c>
      <c r="D1142" s="38" t="s">
        <v>288</v>
      </c>
      <c r="E1142" s="38" t="s">
        <v>706</v>
      </c>
      <c r="F1142" s="37" t="s">
        <v>707</v>
      </c>
      <c r="G1142" s="38" t="s">
        <v>708</v>
      </c>
      <c r="H1142" s="37"/>
      <c r="I1142" s="37"/>
      <c r="J1142" s="37" t="s">
        <v>1022</v>
      </c>
      <c r="K1142" s="40"/>
      <c r="L1142" s="38"/>
      <c r="M1142" s="38"/>
      <c r="N1142" s="37"/>
      <c r="O1142" s="37"/>
      <c r="P1142" s="37"/>
      <c r="Q1142" s="37"/>
      <c r="R1142" s="39"/>
      <c r="S1142" s="37"/>
      <c r="T1142" s="38" t="s">
        <v>293</v>
      </c>
    </row>
    <row r="1143" ht="34.5">
      <c r="A1143" s="38" t="s">
        <v>1068</v>
      </c>
      <c r="B1143" s="38" t="s">
        <v>1069</v>
      </c>
      <c r="C1143" s="38" t="s">
        <v>773</v>
      </c>
      <c r="D1143" s="38" t="s">
        <v>288</v>
      </c>
      <c r="E1143" s="38" t="s">
        <v>706</v>
      </c>
      <c r="F1143" s="37" t="s">
        <v>707</v>
      </c>
      <c r="G1143" s="38" t="s">
        <v>708</v>
      </c>
      <c r="H1143" s="37"/>
      <c r="I1143" s="37"/>
      <c r="J1143" s="37" t="s">
        <v>739</v>
      </c>
      <c r="K1143" s="40"/>
      <c r="L1143" s="38"/>
      <c r="M1143" s="38"/>
      <c r="N1143" s="37"/>
      <c r="O1143" s="37"/>
      <c r="P1143" s="37"/>
      <c r="Q1143" s="37"/>
      <c r="R1143" s="39"/>
      <c r="S1143" s="37"/>
      <c r="T1143" s="38" t="s">
        <v>293</v>
      </c>
    </row>
    <row r="1144" ht="34.5">
      <c r="A1144" s="38" t="s">
        <v>1068</v>
      </c>
      <c r="B1144" s="38" t="s">
        <v>1069</v>
      </c>
      <c r="C1144" s="38" t="s">
        <v>773</v>
      </c>
      <c r="D1144" s="38" t="s">
        <v>288</v>
      </c>
      <c r="E1144" s="38" t="s">
        <v>706</v>
      </c>
      <c r="F1144" s="37" t="s">
        <v>707</v>
      </c>
      <c r="G1144" s="38" t="s">
        <v>708</v>
      </c>
      <c r="H1144" s="37"/>
      <c r="I1144" s="37"/>
      <c r="J1144" s="37" t="s">
        <v>1142</v>
      </c>
      <c r="K1144" s="40"/>
      <c r="L1144" s="38"/>
      <c r="M1144" s="38"/>
      <c r="N1144" s="37"/>
      <c r="O1144" s="37"/>
      <c r="P1144" s="37"/>
      <c r="Q1144" s="37"/>
      <c r="R1144" s="39"/>
      <c r="S1144" s="37"/>
      <c r="T1144" s="38" t="s">
        <v>293</v>
      </c>
    </row>
    <row r="1145" ht="34.5">
      <c r="A1145" s="38" t="s">
        <v>1068</v>
      </c>
      <c r="B1145" s="38" t="s">
        <v>1069</v>
      </c>
      <c r="C1145" s="38" t="s">
        <v>773</v>
      </c>
      <c r="D1145" s="38" t="s">
        <v>288</v>
      </c>
      <c r="E1145" s="38" t="s">
        <v>706</v>
      </c>
      <c r="F1145" s="37" t="s">
        <v>707</v>
      </c>
      <c r="G1145" s="38" t="s">
        <v>708</v>
      </c>
      <c r="H1145" s="37"/>
      <c r="I1145" s="37"/>
      <c r="J1145" s="37" t="s">
        <v>741</v>
      </c>
      <c r="K1145" s="40"/>
      <c r="L1145" s="38"/>
      <c r="M1145" s="38"/>
      <c r="N1145" s="37"/>
      <c r="O1145" s="37"/>
      <c r="P1145" s="37"/>
      <c r="Q1145" s="37"/>
      <c r="R1145" s="39"/>
      <c r="S1145" s="37"/>
      <c r="T1145" s="38" t="s">
        <v>293</v>
      </c>
    </row>
    <row r="1146" ht="34.5">
      <c r="A1146" s="38" t="s">
        <v>1068</v>
      </c>
      <c r="B1146" s="38" t="s">
        <v>1069</v>
      </c>
      <c r="C1146" s="38" t="s">
        <v>773</v>
      </c>
      <c r="D1146" s="38" t="s">
        <v>288</v>
      </c>
      <c r="E1146" s="38" t="s">
        <v>706</v>
      </c>
      <c r="F1146" s="37" t="s">
        <v>707</v>
      </c>
      <c r="G1146" s="38" t="s">
        <v>708</v>
      </c>
      <c r="H1146" s="37"/>
      <c r="I1146" s="37"/>
      <c r="J1146" s="37" t="s">
        <v>1023</v>
      </c>
      <c r="K1146" s="40"/>
      <c r="L1146" s="38"/>
      <c r="M1146" s="38"/>
      <c r="N1146" s="37"/>
      <c r="O1146" s="37"/>
      <c r="P1146" s="37"/>
      <c r="Q1146" s="37"/>
      <c r="R1146" s="39"/>
      <c r="S1146" s="37"/>
      <c r="T1146" s="38" t="s">
        <v>293</v>
      </c>
    </row>
    <row r="1147" ht="34.5">
      <c r="A1147" s="38" t="s">
        <v>1068</v>
      </c>
      <c r="B1147" s="38" t="s">
        <v>1069</v>
      </c>
      <c r="C1147" s="38" t="s">
        <v>773</v>
      </c>
      <c r="D1147" s="38" t="s">
        <v>288</v>
      </c>
      <c r="E1147" s="38" t="s">
        <v>706</v>
      </c>
      <c r="F1147" s="37" t="s">
        <v>707</v>
      </c>
      <c r="G1147" s="38" t="s">
        <v>708</v>
      </c>
      <c r="H1147" s="37"/>
      <c r="I1147" s="37"/>
      <c r="J1147" s="37" t="s">
        <v>743</v>
      </c>
      <c r="K1147" s="40"/>
      <c r="L1147" s="38"/>
      <c r="M1147" s="38"/>
      <c r="N1147" s="37"/>
      <c r="O1147" s="37"/>
      <c r="P1147" s="37"/>
      <c r="Q1147" s="37"/>
      <c r="R1147" s="39"/>
      <c r="S1147" s="37"/>
      <c r="T1147" s="38" t="s">
        <v>293</v>
      </c>
    </row>
    <row r="1148" ht="34.5">
      <c r="A1148" s="38" t="s">
        <v>1068</v>
      </c>
      <c r="B1148" s="38" t="s">
        <v>1069</v>
      </c>
      <c r="C1148" s="38" t="s">
        <v>773</v>
      </c>
      <c r="D1148" s="38" t="s">
        <v>288</v>
      </c>
      <c r="E1148" s="38" t="s">
        <v>706</v>
      </c>
      <c r="F1148" s="37" t="s">
        <v>707</v>
      </c>
      <c r="G1148" s="38" t="s">
        <v>708</v>
      </c>
      <c r="H1148" s="37"/>
      <c r="I1148" s="37"/>
      <c r="J1148" s="37" t="s">
        <v>1143</v>
      </c>
      <c r="K1148" s="40"/>
      <c r="L1148" s="38"/>
      <c r="M1148" s="38"/>
      <c r="N1148" s="37"/>
      <c r="O1148" s="37"/>
      <c r="P1148" s="37"/>
      <c r="Q1148" s="37"/>
      <c r="R1148" s="39"/>
      <c r="S1148" s="37"/>
      <c r="T1148" s="38" t="s">
        <v>293</v>
      </c>
    </row>
    <row r="1149" ht="34.5">
      <c r="A1149" s="38" t="s">
        <v>1068</v>
      </c>
      <c r="B1149" s="38" t="s">
        <v>1069</v>
      </c>
      <c r="C1149" s="38" t="s">
        <v>783</v>
      </c>
      <c r="D1149" s="38" t="s">
        <v>288</v>
      </c>
      <c r="E1149" s="38" t="s">
        <v>706</v>
      </c>
      <c r="F1149" s="37" t="s">
        <v>707</v>
      </c>
      <c r="G1149" s="38" t="s">
        <v>708</v>
      </c>
      <c r="H1149" s="37"/>
      <c r="I1149" s="37"/>
      <c r="J1149" s="37" t="s">
        <v>746</v>
      </c>
      <c r="K1149" s="40"/>
      <c r="L1149" s="38"/>
      <c r="M1149" s="38"/>
      <c r="N1149" s="37"/>
      <c r="O1149" s="37"/>
      <c r="P1149" s="37"/>
      <c r="Q1149" s="37"/>
      <c r="R1149" s="39"/>
      <c r="S1149" s="37"/>
      <c r="T1149" s="38" t="s">
        <v>293</v>
      </c>
    </row>
    <row r="1150" ht="34.5">
      <c r="A1150" s="38" t="s">
        <v>1068</v>
      </c>
      <c r="B1150" s="38" t="s">
        <v>1069</v>
      </c>
      <c r="C1150" s="38" t="s">
        <v>783</v>
      </c>
      <c r="D1150" s="38" t="s">
        <v>288</v>
      </c>
      <c r="E1150" s="38" t="s">
        <v>706</v>
      </c>
      <c r="F1150" s="37" t="s">
        <v>707</v>
      </c>
      <c r="G1150" s="38" t="s">
        <v>708</v>
      </c>
      <c r="H1150" s="37"/>
      <c r="I1150" s="37"/>
      <c r="J1150" s="37" t="s">
        <v>747</v>
      </c>
      <c r="K1150" s="40"/>
      <c r="L1150" s="38"/>
      <c r="M1150" s="38"/>
      <c r="N1150" s="37"/>
      <c r="O1150" s="37"/>
      <c r="P1150" s="37"/>
      <c r="Q1150" s="37"/>
      <c r="R1150" s="39"/>
      <c r="S1150" s="37"/>
      <c r="T1150" s="38" t="s">
        <v>293</v>
      </c>
    </row>
    <row r="1151" ht="34.5">
      <c r="A1151" s="38" t="s">
        <v>1068</v>
      </c>
      <c r="B1151" s="38" t="s">
        <v>1069</v>
      </c>
      <c r="C1151" s="38" t="s">
        <v>783</v>
      </c>
      <c r="D1151" s="38" t="s">
        <v>288</v>
      </c>
      <c r="E1151" s="38" t="s">
        <v>706</v>
      </c>
      <c r="F1151" s="37" t="s">
        <v>707</v>
      </c>
      <c r="G1151" s="38" t="s">
        <v>708</v>
      </c>
      <c r="H1151" s="37"/>
      <c r="I1151" s="37"/>
      <c r="J1151" s="37" t="s">
        <v>748</v>
      </c>
      <c r="K1151" s="40"/>
      <c r="L1151" s="38"/>
      <c r="M1151" s="38"/>
      <c r="N1151" s="37"/>
      <c r="O1151" s="37"/>
      <c r="P1151" s="37"/>
      <c r="Q1151" s="37"/>
      <c r="R1151" s="39"/>
      <c r="S1151" s="37"/>
      <c r="T1151" s="38" t="s">
        <v>293</v>
      </c>
    </row>
    <row r="1152" ht="34.5">
      <c r="A1152" s="38" t="s">
        <v>1068</v>
      </c>
      <c r="B1152" s="38" t="s">
        <v>1069</v>
      </c>
      <c r="C1152" s="38" t="s">
        <v>783</v>
      </c>
      <c r="D1152" s="38" t="s">
        <v>288</v>
      </c>
      <c r="E1152" s="38" t="s">
        <v>706</v>
      </c>
      <c r="F1152" s="37" t="s">
        <v>707</v>
      </c>
      <c r="G1152" s="38" t="s">
        <v>708</v>
      </c>
      <c r="H1152" s="37"/>
      <c r="I1152" s="37"/>
      <c r="J1152" s="37" t="s">
        <v>749</v>
      </c>
      <c r="K1152" s="40"/>
      <c r="L1152" s="38"/>
      <c r="M1152" s="38"/>
      <c r="N1152" s="37"/>
      <c r="O1152" s="37"/>
      <c r="P1152" s="37"/>
      <c r="Q1152" s="37"/>
      <c r="R1152" s="39"/>
      <c r="S1152" s="37"/>
      <c r="T1152" s="38" t="s">
        <v>293</v>
      </c>
    </row>
    <row r="1153" ht="34.5">
      <c r="A1153" s="38" t="s">
        <v>1068</v>
      </c>
      <c r="B1153" s="38" t="s">
        <v>1069</v>
      </c>
      <c r="C1153" s="38" t="s">
        <v>783</v>
      </c>
      <c r="D1153" s="38" t="s">
        <v>288</v>
      </c>
      <c r="E1153" s="38" t="s">
        <v>706</v>
      </c>
      <c r="F1153" s="37" t="s">
        <v>707</v>
      </c>
      <c r="G1153" s="38" t="s">
        <v>708</v>
      </c>
      <c r="H1153" s="37"/>
      <c r="I1153" s="37"/>
      <c r="J1153" s="37" t="s">
        <v>750</v>
      </c>
      <c r="K1153" s="40"/>
      <c r="L1153" s="38"/>
      <c r="M1153" s="38"/>
      <c r="N1153" s="37"/>
      <c r="O1153" s="37"/>
      <c r="P1153" s="37"/>
      <c r="Q1153" s="37"/>
      <c r="R1153" s="39"/>
      <c r="S1153" s="37"/>
      <c r="T1153" s="38" t="s">
        <v>293</v>
      </c>
    </row>
    <row r="1154" ht="34.5">
      <c r="A1154" s="38" t="s">
        <v>1068</v>
      </c>
      <c r="B1154" s="38" t="s">
        <v>1069</v>
      </c>
      <c r="C1154" s="38" t="s">
        <v>783</v>
      </c>
      <c r="D1154" s="38" t="s">
        <v>288</v>
      </c>
      <c r="E1154" s="38" t="s">
        <v>706</v>
      </c>
      <c r="F1154" s="37" t="s">
        <v>707</v>
      </c>
      <c r="G1154" s="38" t="s">
        <v>708</v>
      </c>
      <c r="H1154" s="37"/>
      <c r="I1154" s="37"/>
      <c r="J1154" s="37" t="s">
        <v>751</v>
      </c>
      <c r="K1154" s="40"/>
      <c r="L1154" s="38"/>
      <c r="M1154" s="38"/>
      <c r="N1154" s="37"/>
      <c r="O1154" s="37"/>
      <c r="P1154" s="37"/>
      <c r="Q1154" s="37"/>
      <c r="R1154" s="39"/>
      <c r="S1154" s="37"/>
      <c r="T1154" s="38" t="s">
        <v>293</v>
      </c>
    </row>
    <row r="1155" ht="34.5">
      <c r="A1155" s="38" t="s">
        <v>1068</v>
      </c>
      <c r="B1155" s="38" t="s">
        <v>1069</v>
      </c>
      <c r="C1155" s="38" t="s">
        <v>783</v>
      </c>
      <c r="D1155" s="38" t="s">
        <v>288</v>
      </c>
      <c r="E1155" s="38" t="s">
        <v>706</v>
      </c>
      <c r="F1155" s="37" t="s">
        <v>707</v>
      </c>
      <c r="G1155" s="38" t="s">
        <v>708</v>
      </c>
      <c r="H1155" s="37"/>
      <c r="I1155" s="37"/>
      <c r="J1155" s="37" t="s">
        <v>752</v>
      </c>
      <c r="K1155" s="40"/>
      <c r="L1155" s="38"/>
      <c r="M1155" s="38"/>
      <c r="N1155" s="37"/>
      <c r="O1155" s="37"/>
      <c r="P1155" s="37"/>
      <c r="Q1155" s="37"/>
      <c r="R1155" s="39"/>
      <c r="S1155" s="37"/>
      <c r="T1155" s="38" t="s">
        <v>293</v>
      </c>
    </row>
    <row r="1156" ht="34.5">
      <c r="A1156" s="38" t="s">
        <v>1068</v>
      </c>
      <c r="B1156" s="38" t="s">
        <v>1069</v>
      </c>
      <c r="C1156" s="38" t="s">
        <v>783</v>
      </c>
      <c r="D1156" s="38" t="s">
        <v>288</v>
      </c>
      <c r="E1156" s="38" t="s">
        <v>706</v>
      </c>
      <c r="F1156" s="37" t="s">
        <v>707</v>
      </c>
      <c r="G1156" s="38" t="s">
        <v>708</v>
      </c>
      <c r="H1156" s="37"/>
      <c r="I1156" s="37"/>
      <c r="J1156" s="37" t="s">
        <v>1144</v>
      </c>
      <c r="K1156" s="40"/>
      <c r="L1156" s="38"/>
      <c r="M1156" s="38"/>
      <c r="N1156" s="37"/>
      <c r="O1156" s="37"/>
      <c r="P1156" s="37"/>
      <c r="Q1156" s="37"/>
      <c r="R1156" s="39"/>
      <c r="S1156" s="37"/>
      <c r="T1156" s="38" t="s">
        <v>293</v>
      </c>
    </row>
    <row r="1157" ht="34.5">
      <c r="A1157" s="38" t="s">
        <v>1068</v>
      </c>
      <c r="B1157" s="38" t="s">
        <v>1069</v>
      </c>
      <c r="C1157" s="38" t="s">
        <v>783</v>
      </c>
      <c r="D1157" s="38" t="s">
        <v>288</v>
      </c>
      <c r="E1157" s="38" t="s">
        <v>706</v>
      </c>
      <c r="F1157" s="37" t="s">
        <v>707</v>
      </c>
      <c r="G1157" s="38" t="s">
        <v>708</v>
      </c>
      <c r="H1157" s="37"/>
      <c r="I1157" s="37"/>
      <c r="J1157" s="37" t="s">
        <v>755</v>
      </c>
      <c r="K1157" s="40"/>
      <c r="L1157" s="38"/>
      <c r="M1157" s="38"/>
      <c r="N1157" s="37"/>
      <c r="O1157" s="37"/>
      <c r="P1157" s="37"/>
      <c r="Q1157" s="37"/>
      <c r="R1157" s="39"/>
      <c r="S1157" s="37"/>
      <c r="T1157" s="38" t="s">
        <v>293</v>
      </c>
    </row>
    <row r="1158" ht="34.5">
      <c r="A1158" s="38" t="s">
        <v>1068</v>
      </c>
      <c r="B1158" s="38" t="s">
        <v>1069</v>
      </c>
      <c r="C1158" s="38" t="s">
        <v>793</v>
      </c>
      <c r="D1158" s="38" t="s">
        <v>288</v>
      </c>
      <c r="E1158" s="38" t="s">
        <v>706</v>
      </c>
      <c r="F1158" s="37" t="s">
        <v>707</v>
      </c>
      <c r="G1158" s="38" t="s">
        <v>708</v>
      </c>
      <c r="H1158" s="37"/>
      <c r="I1158" s="37"/>
      <c r="J1158" s="37" t="s">
        <v>756</v>
      </c>
      <c r="K1158" s="40"/>
      <c r="L1158" s="38"/>
      <c r="M1158" s="38"/>
      <c r="N1158" s="37"/>
      <c r="O1158" s="37"/>
      <c r="P1158" s="37"/>
      <c r="Q1158" s="37"/>
      <c r="R1158" s="39"/>
      <c r="S1158" s="37"/>
      <c r="T1158" s="38" t="s">
        <v>293</v>
      </c>
    </row>
    <row r="1159" ht="34.5">
      <c r="A1159" s="38" t="s">
        <v>1068</v>
      </c>
      <c r="B1159" s="38" t="s">
        <v>1069</v>
      </c>
      <c r="C1159" s="38" t="s">
        <v>793</v>
      </c>
      <c r="D1159" s="38" t="s">
        <v>288</v>
      </c>
      <c r="E1159" s="38" t="s">
        <v>706</v>
      </c>
      <c r="F1159" s="37" t="s">
        <v>707</v>
      </c>
      <c r="G1159" s="38" t="s">
        <v>708</v>
      </c>
      <c r="H1159" s="37"/>
      <c r="I1159" s="37"/>
      <c r="J1159" s="37" t="s">
        <v>1145</v>
      </c>
      <c r="K1159" s="40"/>
      <c r="L1159" s="38"/>
      <c r="M1159" s="38"/>
      <c r="N1159" s="37"/>
      <c r="O1159" s="37"/>
      <c r="P1159" s="37"/>
      <c r="Q1159" s="37"/>
      <c r="R1159" s="39"/>
      <c r="S1159" s="37"/>
      <c r="T1159" s="38" t="s">
        <v>293</v>
      </c>
    </row>
    <row r="1160" ht="34.5">
      <c r="A1160" s="38" t="s">
        <v>1068</v>
      </c>
      <c r="B1160" s="38" t="s">
        <v>1069</v>
      </c>
      <c r="C1160" s="38" t="s">
        <v>793</v>
      </c>
      <c r="D1160" s="38" t="s">
        <v>288</v>
      </c>
      <c r="E1160" s="38" t="s">
        <v>706</v>
      </c>
      <c r="F1160" s="37" t="s">
        <v>707</v>
      </c>
      <c r="G1160" s="38" t="s">
        <v>708</v>
      </c>
      <c r="H1160" s="37"/>
      <c r="I1160" s="37"/>
      <c r="J1160" s="37" t="s">
        <v>1146</v>
      </c>
      <c r="K1160" s="40"/>
      <c r="L1160" s="38"/>
      <c r="M1160" s="38"/>
      <c r="N1160" s="37"/>
      <c r="O1160" s="37"/>
      <c r="P1160" s="37"/>
      <c r="Q1160" s="37"/>
      <c r="R1160" s="39"/>
      <c r="S1160" s="37"/>
      <c r="T1160" s="38" t="s">
        <v>293</v>
      </c>
    </row>
    <row r="1161" ht="34.5">
      <c r="A1161" s="38" t="s">
        <v>1068</v>
      </c>
      <c r="B1161" s="38" t="s">
        <v>1069</v>
      </c>
      <c r="C1161" s="38" t="s">
        <v>793</v>
      </c>
      <c r="D1161" s="38" t="s">
        <v>288</v>
      </c>
      <c r="E1161" s="38" t="s">
        <v>706</v>
      </c>
      <c r="F1161" s="37" t="s">
        <v>707</v>
      </c>
      <c r="G1161" s="38" t="s">
        <v>708</v>
      </c>
      <c r="H1161" s="37"/>
      <c r="I1161" s="37"/>
      <c r="J1161" s="37" t="s">
        <v>759</v>
      </c>
      <c r="K1161" s="40"/>
      <c r="L1161" s="38"/>
      <c r="M1161" s="38"/>
      <c r="N1161" s="37"/>
      <c r="O1161" s="37"/>
      <c r="P1161" s="37"/>
      <c r="Q1161" s="37"/>
      <c r="R1161" s="39"/>
      <c r="S1161" s="37"/>
      <c r="T1161" s="38" t="s">
        <v>293</v>
      </c>
    </row>
    <row r="1162" ht="34.5">
      <c r="A1162" s="38" t="s">
        <v>1068</v>
      </c>
      <c r="B1162" s="38" t="s">
        <v>1069</v>
      </c>
      <c r="C1162" s="38" t="s">
        <v>793</v>
      </c>
      <c r="D1162" s="38" t="s">
        <v>288</v>
      </c>
      <c r="E1162" s="38" t="s">
        <v>706</v>
      </c>
      <c r="F1162" s="37" t="s">
        <v>707</v>
      </c>
      <c r="G1162" s="38" t="s">
        <v>708</v>
      </c>
      <c r="H1162" s="37"/>
      <c r="I1162" s="37"/>
      <c r="J1162" s="37" t="s">
        <v>760</v>
      </c>
      <c r="K1162" s="40"/>
      <c r="L1162" s="38"/>
      <c r="M1162" s="38"/>
      <c r="N1162" s="37"/>
      <c r="O1162" s="37"/>
      <c r="P1162" s="37"/>
      <c r="Q1162" s="37"/>
      <c r="R1162" s="39"/>
      <c r="S1162" s="37"/>
      <c r="T1162" s="38" t="s">
        <v>293</v>
      </c>
    </row>
    <row r="1163" ht="34.5">
      <c r="A1163" s="38" t="s">
        <v>1068</v>
      </c>
      <c r="B1163" s="38" t="s">
        <v>1069</v>
      </c>
      <c r="C1163" s="38" t="s">
        <v>793</v>
      </c>
      <c r="D1163" s="38" t="s">
        <v>288</v>
      </c>
      <c r="E1163" s="38" t="s">
        <v>706</v>
      </c>
      <c r="F1163" s="37" t="s">
        <v>707</v>
      </c>
      <c r="G1163" s="38" t="s">
        <v>708</v>
      </c>
      <c r="H1163" s="37"/>
      <c r="I1163" s="37"/>
      <c r="J1163" s="37" t="s">
        <v>761</v>
      </c>
      <c r="K1163" s="40"/>
      <c r="L1163" s="38"/>
      <c r="M1163" s="38"/>
      <c r="N1163" s="37"/>
      <c r="O1163" s="37"/>
      <c r="P1163" s="37"/>
      <c r="Q1163" s="37"/>
      <c r="R1163" s="39"/>
      <c r="S1163" s="37"/>
      <c r="T1163" s="38" t="s">
        <v>293</v>
      </c>
    </row>
    <row r="1164" ht="34.5">
      <c r="A1164" s="38" t="s">
        <v>1068</v>
      </c>
      <c r="B1164" s="38" t="s">
        <v>1069</v>
      </c>
      <c r="C1164" s="38" t="s">
        <v>793</v>
      </c>
      <c r="D1164" s="38" t="s">
        <v>288</v>
      </c>
      <c r="E1164" s="38" t="s">
        <v>706</v>
      </c>
      <c r="F1164" s="37" t="s">
        <v>707</v>
      </c>
      <c r="G1164" s="38" t="s">
        <v>708</v>
      </c>
      <c r="H1164" s="37"/>
      <c r="I1164" s="37"/>
      <c r="J1164" s="37" t="s">
        <v>762</v>
      </c>
      <c r="K1164" s="40"/>
      <c r="L1164" s="38"/>
      <c r="M1164" s="38"/>
      <c r="N1164" s="37"/>
      <c r="O1164" s="37"/>
      <c r="P1164" s="37"/>
      <c r="Q1164" s="37"/>
      <c r="R1164" s="39"/>
      <c r="S1164" s="37"/>
      <c r="T1164" s="38" t="s">
        <v>293</v>
      </c>
    </row>
    <row r="1165" ht="34.5">
      <c r="A1165" s="38" t="s">
        <v>1068</v>
      </c>
      <c r="B1165" s="38" t="s">
        <v>1069</v>
      </c>
      <c r="C1165" s="38" t="s">
        <v>803</v>
      </c>
      <c r="D1165" s="38" t="s">
        <v>288</v>
      </c>
      <c r="E1165" s="38" t="s">
        <v>706</v>
      </c>
      <c r="F1165" s="37" t="s">
        <v>707</v>
      </c>
      <c r="G1165" s="38" t="s">
        <v>708</v>
      </c>
      <c r="H1165" s="37"/>
      <c r="I1165" s="37"/>
      <c r="J1165" s="37" t="s">
        <v>764</v>
      </c>
      <c r="K1165" s="40"/>
      <c r="L1165" s="38"/>
      <c r="M1165" s="38"/>
      <c r="N1165" s="37"/>
      <c r="O1165" s="37"/>
      <c r="P1165" s="37"/>
      <c r="Q1165" s="37"/>
      <c r="R1165" s="39"/>
      <c r="S1165" s="37"/>
      <c r="T1165" s="38" t="s">
        <v>293</v>
      </c>
    </row>
    <row r="1166" ht="34.5">
      <c r="A1166" s="38" t="s">
        <v>1068</v>
      </c>
      <c r="B1166" s="38" t="s">
        <v>1069</v>
      </c>
      <c r="C1166" s="38" t="s">
        <v>803</v>
      </c>
      <c r="D1166" s="38" t="s">
        <v>1012</v>
      </c>
      <c r="E1166" s="38" t="s">
        <v>706</v>
      </c>
      <c r="F1166" s="37" t="s">
        <v>707</v>
      </c>
      <c r="G1166" s="38" t="s">
        <v>708</v>
      </c>
      <c r="H1166" s="37"/>
      <c r="I1166" s="37"/>
      <c r="J1166" s="37" t="s">
        <v>1013</v>
      </c>
      <c r="K1166" s="40"/>
      <c r="L1166" s="38"/>
      <c r="M1166" s="38"/>
      <c r="N1166" s="37"/>
      <c r="O1166" s="37"/>
      <c r="P1166" s="37"/>
      <c r="Q1166" s="37"/>
      <c r="R1166" s="39"/>
      <c r="S1166" s="37"/>
      <c r="T1166" s="38" t="s">
        <v>293</v>
      </c>
    </row>
    <row r="1167" ht="34.5">
      <c r="A1167" s="38" t="s">
        <v>1068</v>
      </c>
      <c r="B1167" s="38" t="s">
        <v>1069</v>
      </c>
      <c r="C1167" s="38" t="s">
        <v>803</v>
      </c>
      <c r="D1167" s="38" t="s">
        <v>288</v>
      </c>
      <c r="E1167" s="38" t="s">
        <v>706</v>
      </c>
      <c r="F1167" s="37" t="s">
        <v>707</v>
      </c>
      <c r="G1167" s="38" t="s">
        <v>708</v>
      </c>
      <c r="H1167" s="37"/>
      <c r="I1167" s="37"/>
      <c r="J1167" s="37" t="s">
        <v>1147</v>
      </c>
      <c r="K1167" s="40">
        <v>71571515</v>
      </c>
      <c r="L1167" s="38" t="s">
        <v>297</v>
      </c>
      <c r="M1167" s="38"/>
      <c r="N1167" s="37"/>
      <c r="O1167" s="37"/>
      <c r="P1167" s="37"/>
      <c r="Q1167" s="37"/>
      <c r="R1167" s="39"/>
      <c r="S1167" s="37"/>
      <c r="T1167" s="38" t="s">
        <v>293</v>
      </c>
    </row>
    <row r="1168" ht="34.5">
      <c r="A1168" s="38" t="s">
        <v>1068</v>
      </c>
      <c r="B1168" s="38" t="s">
        <v>1069</v>
      </c>
      <c r="C1168" s="38" t="s">
        <v>803</v>
      </c>
      <c r="D1168" s="38" t="s">
        <v>288</v>
      </c>
      <c r="E1168" s="38" t="s">
        <v>768</v>
      </c>
      <c r="F1168" s="37" t="s">
        <v>769</v>
      </c>
      <c r="G1168" s="38" t="s">
        <v>70</v>
      </c>
      <c r="H1168" s="37"/>
      <c r="I1168" s="37"/>
      <c r="J1168" s="37" t="s">
        <v>770</v>
      </c>
      <c r="K1168" s="40"/>
      <c r="L1168" s="38"/>
      <c r="M1168" s="38"/>
      <c r="N1168" s="37"/>
      <c r="O1168" s="37"/>
      <c r="P1168" s="37"/>
      <c r="Q1168" s="37"/>
      <c r="R1168" s="39"/>
      <c r="S1168" s="37"/>
      <c r="T1168" s="38" t="s">
        <v>293</v>
      </c>
    </row>
    <row r="1169" ht="34.5">
      <c r="A1169" s="38" t="s">
        <v>1068</v>
      </c>
      <c r="B1169" s="38" t="s">
        <v>1069</v>
      </c>
      <c r="C1169" s="38" t="s">
        <v>803</v>
      </c>
      <c r="D1169" s="38" t="s">
        <v>288</v>
      </c>
      <c r="E1169" s="38" t="s">
        <v>768</v>
      </c>
      <c r="F1169" s="37" t="s">
        <v>769</v>
      </c>
      <c r="G1169" s="38" t="s">
        <v>70</v>
      </c>
      <c r="H1169" s="37"/>
      <c r="I1169" s="37"/>
      <c r="J1169" s="37" t="s">
        <v>1148</v>
      </c>
      <c r="K1169" s="40"/>
      <c r="L1169" s="38"/>
      <c r="M1169" s="38"/>
      <c r="N1169" s="37"/>
      <c r="O1169" s="37"/>
      <c r="P1169" s="37"/>
      <c r="Q1169" s="37"/>
      <c r="R1169" s="39"/>
      <c r="S1169" s="37"/>
      <c r="T1169" s="38" t="s">
        <v>293</v>
      </c>
    </row>
    <row r="1170" ht="34.5">
      <c r="A1170" s="38" t="s">
        <v>1068</v>
      </c>
      <c r="B1170" s="38" t="s">
        <v>1069</v>
      </c>
      <c r="C1170" s="38" t="s">
        <v>803</v>
      </c>
      <c r="D1170" s="38" t="s">
        <v>288</v>
      </c>
      <c r="E1170" s="38" t="s">
        <v>768</v>
      </c>
      <c r="F1170" s="37" t="s">
        <v>769</v>
      </c>
      <c r="G1170" s="38" t="s">
        <v>70</v>
      </c>
      <c r="H1170" s="37"/>
      <c r="I1170" s="37"/>
      <c r="J1170" s="37" t="s">
        <v>1149</v>
      </c>
      <c r="K1170" s="40"/>
      <c r="L1170" s="38"/>
      <c r="M1170" s="38"/>
      <c r="N1170" s="37"/>
      <c r="O1170" s="37"/>
      <c r="P1170" s="37"/>
      <c r="Q1170" s="37"/>
      <c r="R1170" s="39"/>
      <c r="S1170" s="37"/>
      <c r="T1170" s="38" t="s">
        <v>293</v>
      </c>
    </row>
    <row r="1171" ht="34.5">
      <c r="A1171" s="38" t="s">
        <v>1068</v>
      </c>
      <c r="B1171" s="38" t="s">
        <v>1069</v>
      </c>
      <c r="C1171" s="38" t="s">
        <v>803</v>
      </c>
      <c r="D1171" s="38" t="s">
        <v>288</v>
      </c>
      <c r="E1171" s="38" t="s">
        <v>768</v>
      </c>
      <c r="F1171" s="37" t="s">
        <v>769</v>
      </c>
      <c r="G1171" s="38" t="s">
        <v>70</v>
      </c>
      <c r="H1171" s="37"/>
      <c r="I1171" s="37"/>
      <c r="J1171" s="37" t="s">
        <v>1150</v>
      </c>
      <c r="K1171" s="40"/>
      <c r="L1171" s="38"/>
      <c r="M1171" s="38"/>
      <c r="N1171" s="37"/>
      <c r="O1171" s="37"/>
      <c r="P1171" s="37"/>
      <c r="Q1171" s="37"/>
      <c r="R1171" s="39"/>
      <c r="S1171" s="37"/>
      <c r="T1171" s="38" t="s">
        <v>293</v>
      </c>
    </row>
    <row r="1172" ht="34.5">
      <c r="A1172" s="38" t="s">
        <v>1068</v>
      </c>
      <c r="B1172" s="38" t="s">
        <v>1069</v>
      </c>
      <c r="C1172" s="38" t="s">
        <v>815</v>
      </c>
      <c r="D1172" s="38" t="s">
        <v>288</v>
      </c>
      <c r="E1172" s="38" t="s">
        <v>768</v>
      </c>
      <c r="F1172" s="37" t="s">
        <v>769</v>
      </c>
      <c r="G1172" s="38" t="s">
        <v>70</v>
      </c>
      <c r="H1172" s="37"/>
      <c r="I1172" s="37"/>
      <c r="J1172" s="37" t="s">
        <v>774</v>
      </c>
      <c r="K1172" s="40"/>
      <c r="L1172" s="38"/>
      <c r="M1172" s="38"/>
      <c r="N1172" s="37"/>
      <c r="O1172" s="37"/>
      <c r="P1172" s="37"/>
      <c r="Q1172" s="37"/>
      <c r="R1172" s="39"/>
      <c r="S1172" s="37"/>
      <c r="T1172" s="38" t="s">
        <v>293</v>
      </c>
    </row>
    <row r="1173" ht="34.5">
      <c r="A1173" s="38" t="s">
        <v>1068</v>
      </c>
      <c r="B1173" s="38" t="s">
        <v>1069</v>
      </c>
      <c r="C1173" s="38" t="s">
        <v>815</v>
      </c>
      <c r="D1173" s="38" t="s">
        <v>288</v>
      </c>
      <c r="E1173" s="38" t="s">
        <v>768</v>
      </c>
      <c r="F1173" s="37" t="s">
        <v>769</v>
      </c>
      <c r="G1173" s="38" t="s">
        <v>70</v>
      </c>
      <c r="H1173" s="37"/>
      <c r="I1173" s="37"/>
      <c r="J1173" s="37" t="s">
        <v>775</v>
      </c>
      <c r="K1173" s="40"/>
      <c r="L1173" s="38"/>
      <c r="M1173" s="38"/>
      <c r="N1173" s="37"/>
      <c r="O1173" s="37"/>
      <c r="P1173" s="37"/>
      <c r="Q1173" s="37"/>
      <c r="R1173" s="39"/>
      <c r="S1173" s="37"/>
      <c r="T1173" s="38" t="s">
        <v>293</v>
      </c>
    </row>
    <row r="1174" ht="34.5">
      <c r="A1174" s="38" t="s">
        <v>1068</v>
      </c>
      <c r="B1174" s="38" t="s">
        <v>1069</v>
      </c>
      <c r="C1174" s="38" t="s">
        <v>815</v>
      </c>
      <c r="D1174" s="38" t="s">
        <v>288</v>
      </c>
      <c r="E1174" s="38" t="s">
        <v>768</v>
      </c>
      <c r="F1174" s="37" t="s">
        <v>769</v>
      </c>
      <c r="G1174" s="38" t="s">
        <v>70</v>
      </c>
      <c r="H1174" s="37"/>
      <c r="I1174" s="37"/>
      <c r="J1174" s="37" t="s">
        <v>776</v>
      </c>
      <c r="K1174" s="40"/>
      <c r="L1174" s="38"/>
      <c r="M1174" s="38"/>
      <c r="N1174" s="37"/>
      <c r="O1174" s="37"/>
      <c r="P1174" s="37"/>
      <c r="Q1174" s="37"/>
      <c r="R1174" s="39"/>
      <c r="S1174" s="37"/>
      <c r="T1174" s="38" t="s">
        <v>293</v>
      </c>
    </row>
    <row r="1175" ht="34.5">
      <c r="A1175" s="38" t="s">
        <v>1068</v>
      </c>
      <c r="B1175" s="38" t="s">
        <v>1069</v>
      </c>
      <c r="C1175" s="38" t="s">
        <v>815</v>
      </c>
      <c r="D1175" s="38" t="s">
        <v>288</v>
      </c>
      <c r="E1175" s="38" t="s">
        <v>768</v>
      </c>
      <c r="F1175" s="37" t="s">
        <v>769</v>
      </c>
      <c r="G1175" s="38" t="s">
        <v>70</v>
      </c>
      <c r="H1175" s="37"/>
      <c r="I1175" s="37"/>
      <c r="J1175" s="37" t="s">
        <v>1151</v>
      </c>
      <c r="K1175" s="40">
        <v>15324171</v>
      </c>
      <c r="L1175" s="38" t="s">
        <v>297</v>
      </c>
      <c r="M1175" s="38"/>
      <c r="N1175" s="37"/>
      <c r="O1175" s="37"/>
      <c r="P1175" s="37"/>
      <c r="Q1175" s="37"/>
      <c r="R1175" s="39"/>
      <c r="S1175" s="37"/>
      <c r="T1175" s="38" t="s">
        <v>293</v>
      </c>
    </row>
    <row r="1176" ht="34.5">
      <c r="A1176" s="38" t="s">
        <v>1068</v>
      </c>
      <c r="B1176" s="38" t="s">
        <v>1069</v>
      </c>
      <c r="C1176" s="38" t="s">
        <v>815</v>
      </c>
      <c r="D1176" s="38" t="s">
        <v>288</v>
      </c>
      <c r="E1176" s="38" t="s">
        <v>768</v>
      </c>
      <c r="F1176" s="37" t="s">
        <v>769</v>
      </c>
      <c r="G1176" s="38" t="s">
        <v>70</v>
      </c>
      <c r="H1176" s="37"/>
      <c r="I1176" s="37"/>
      <c r="J1176" s="37" t="s">
        <v>1152</v>
      </c>
      <c r="K1176" s="40">
        <v>26487291</v>
      </c>
      <c r="L1176" s="38" t="s">
        <v>297</v>
      </c>
      <c r="M1176" s="38"/>
      <c r="N1176" s="37"/>
      <c r="O1176" s="37"/>
      <c r="P1176" s="37"/>
      <c r="Q1176" s="37"/>
      <c r="R1176" s="39"/>
      <c r="S1176" s="37"/>
      <c r="T1176" s="38" t="s">
        <v>293</v>
      </c>
    </row>
    <row r="1177" ht="34.5">
      <c r="A1177" s="38" t="s">
        <v>1068</v>
      </c>
      <c r="B1177" s="38" t="s">
        <v>1069</v>
      </c>
      <c r="C1177" s="38" t="s">
        <v>815</v>
      </c>
      <c r="D1177" s="38" t="s">
        <v>288</v>
      </c>
      <c r="E1177" s="38" t="s">
        <v>768</v>
      </c>
      <c r="F1177" s="37" t="s">
        <v>769</v>
      </c>
      <c r="G1177" s="38" t="s">
        <v>70</v>
      </c>
      <c r="H1177" s="37"/>
      <c r="I1177" s="37"/>
      <c r="J1177" s="37" t="s">
        <v>1153</v>
      </c>
      <c r="K1177" s="40">
        <v>7668363</v>
      </c>
      <c r="L1177" s="38" t="s">
        <v>297</v>
      </c>
      <c r="M1177" s="38"/>
      <c r="N1177" s="37"/>
      <c r="O1177" s="37"/>
      <c r="P1177" s="37"/>
      <c r="Q1177" s="37"/>
      <c r="R1177" s="39"/>
      <c r="S1177" s="37"/>
      <c r="T1177" s="38" t="s">
        <v>293</v>
      </c>
    </row>
    <row r="1178" ht="34.5">
      <c r="A1178" s="38" t="s">
        <v>1068</v>
      </c>
      <c r="B1178" s="38" t="s">
        <v>1069</v>
      </c>
      <c r="C1178" s="38" t="s">
        <v>815</v>
      </c>
      <c r="D1178" s="38" t="s">
        <v>288</v>
      </c>
      <c r="E1178" s="38" t="s">
        <v>768</v>
      </c>
      <c r="F1178" s="37" t="s">
        <v>769</v>
      </c>
      <c r="G1178" s="38" t="s">
        <v>70</v>
      </c>
      <c r="H1178" s="37"/>
      <c r="I1178" s="37"/>
      <c r="J1178" s="37" t="s">
        <v>1154</v>
      </c>
      <c r="K1178" s="40"/>
      <c r="L1178" s="38"/>
      <c r="M1178" s="38"/>
      <c r="N1178" s="37"/>
      <c r="O1178" s="37"/>
      <c r="P1178" s="37"/>
      <c r="Q1178" s="37"/>
      <c r="R1178" s="39"/>
      <c r="S1178" s="37"/>
      <c r="T1178" s="38" t="s">
        <v>293</v>
      </c>
    </row>
    <row r="1179" ht="34.5">
      <c r="A1179" s="38" t="s">
        <v>1068</v>
      </c>
      <c r="B1179" s="38" t="s">
        <v>1069</v>
      </c>
      <c r="C1179" s="38" t="s">
        <v>815</v>
      </c>
      <c r="D1179" s="38" t="s">
        <v>288</v>
      </c>
      <c r="E1179" s="38" t="s">
        <v>768</v>
      </c>
      <c r="F1179" s="37" t="s">
        <v>769</v>
      </c>
      <c r="G1179" s="38" t="s">
        <v>70</v>
      </c>
      <c r="H1179" s="37"/>
      <c r="I1179" s="37"/>
      <c r="J1179" s="37" t="s">
        <v>1155</v>
      </c>
      <c r="K1179" s="40"/>
      <c r="L1179" s="38"/>
      <c r="M1179" s="38"/>
      <c r="N1179" s="37"/>
      <c r="O1179" s="37"/>
      <c r="P1179" s="37"/>
      <c r="Q1179" s="37"/>
      <c r="R1179" s="39"/>
      <c r="S1179" s="37"/>
      <c r="T1179" s="38" t="s">
        <v>293</v>
      </c>
    </row>
    <row r="1180" ht="34.5">
      <c r="A1180" s="38" t="s">
        <v>1068</v>
      </c>
      <c r="B1180" s="38" t="s">
        <v>1069</v>
      </c>
      <c r="C1180" s="38" t="s">
        <v>815</v>
      </c>
      <c r="D1180" s="38" t="s">
        <v>288</v>
      </c>
      <c r="E1180" s="38" t="s">
        <v>768</v>
      </c>
      <c r="F1180" s="37" t="s">
        <v>769</v>
      </c>
      <c r="G1180" s="38" t="s">
        <v>70</v>
      </c>
      <c r="H1180" s="37"/>
      <c r="I1180" s="37"/>
      <c r="J1180" s="37" t="s">
        <v>1156</v>
      </c>
      <c r="K1180" s="40"/>
      <c r="L1180" s="38"/>
      <c r="M1180" s="38"/>
      <c r="N1180" s="37"/>
      <c r="O1180" s="37"/>
      <c r="P1180" s="37"/>
      <c r="Q1180" s="37"/>
      <c r="R1180" s="39"/>
      <c r="S1180" s="37"/>
      <c r="T1180" s="38" t="s">
        <v>293</v>
      </c>
    </row>
    <row r="1181" ht="34.5">
      <c r="A1181" s="38" t="s">
        <v>1068</v>
      </c>
      <c r="B1181" s="38" t="s">
        <v>1069</v>
      </c>
      <c r="C1181" s="38" t="s">
        <v>828</v>
      </c>
      <c r="D1181" s="38" t="s">
        <v>288</v>
      </c>
      <c r="E1181" s="38" t="s">
        <v>768</v>
      </c>
      <c r="F1181" s="37" t="s">
        <v>769</v>
      </c>
      <c r="G1181" s="38" t="s">
        <v>70</v>
      </c>
      <c r="H1181" s="37"/>
      <c r="I1181" s="37"/>
      <c r="J1181" s="37" t="s">
        <v>786</v>
      </c>
      <c r="K1181" s="40"/>
      <c r="L1181" s="38"/>
      <c r="M1181" s="38"/>
      <c r="N1181" s="37"/>
      <c r="O1181" s="37"/>
      <c r="P1181" s="37"/>
      <c r="Q1181" s="37"/>
      <c r="R1181" s="39"/>
      <c r="S1181" s="37"/>
      <c r="T1181" s="38" t="s">
        <v>293</v>
      </c>
    </row>
    <row r="1182" ht="34.5">
      <c r="A1182" s="38" t="s">
        <v>1068</v>
      </c>
      <c r="B1182" s="38" t="s">
        <v>1069</v>
      </c>
      <c r="C1182" s="38" t="s">
        <v>828</v>
      </c>
      <c r="D1182" s="38" t="s">
        <v>288</v>
      </c>
      <c r="E1182" s="38" t="s">
        <v>768</v>
      </c>
      <c r="F1182" s="37" t="s">
        <v>769</v>
      </c>
      <c r="G1182" s="38" t="s">
        <v>70</v>
      </c>
      <c r="H1182" s="37"/>
      <c r="I1182" s="37"/>
      <c r="J1182" s="37" t="s">
        <v>1157</v>
      </c>
      <c r="K1182" s="40"/>
      <c r="L1182" s="38"/>
      <c r="M1182" s="38"/>
      <c r="N1182" s="37"/>
      <c r="O1182" s="37"/>
      <c r="P1182" s="37"/>
      <c r="Q1182" s="37"/>
      <c r="R1182" s="39"/>
      <c r="S1182" s="37"/>
      <c r="T1182" s="38" t="s">
        <v>293</v>
      </c>
    </row>
    <row r="1183" ht="34.5">
      <c r="A1183" s="38" t="s">
        <v>1068</v>
      </c>
      <c r="B1183" s="38" t="s">
        <v>1069</v>
      </c>
      <c r="C1183" s="38" t="s">
        <v>828</v>
      </c>
      <c r="D1183" s="38" t="s">
        <v>288</v>
      </c>
      <c r="E1183" s="38" t="s">
        <v>768</v>
      </c>
      <c r="F1183" s="37" t="s">
        <v>769</v>
      </c>
      <c r="G1183" s="38" t="s">
        <v>70</v>
      </c>
      <c r="H1183" s="37"/>
      <c r="I1183" s="37"/>
      <c r="J1183" s="37" t="s">
        <v>788</v>
      </c>
      <c r="K1183" s="40"/>
      <c r="L1183" s="38"/>
      <c r="M1183" s="38"/>
      <c r="N1183" s="37"/>
      <c r="O1183" s="37"/>
      <c r="P1183" s="37"/>
      <c r="Q1183" s="37"/>
      <c r="R1183" s="39"/>
      <c r="S1183" s="37"/>
      <c r="T1183" s="38" t="s">
        <v>293</v>
      </c>
    </row>
    <row r="1184" ht="34.5">
      <c r="A1184" s="38" t="s">
        <v>1068</v>
      </c>
      <c r="B1184" s="38" t="s">
        <v>1069</v>
      </c>
      <c r="C1184" s="38" t="s">
        <v>828</v>
      </c>
      <c r="D1184" s="38" t="s">
        <v>288</v>
      </c>
      <c r="E1184" s="38" t="s">
        <v>768</v>
      </c>
      <c r="F1184" s="37" t="s">
        <v>769</v>
      </c>
      <c r="G1184" s="38" t="s">
        <v>70</v>
      </c>
      <c r="H1184" s="37"/>
      <c r="I1184" s="37"/>
      <c r="J1184" s="37" t="s">
        <v>789</v>
      </c>
      <c r="K1184" s="40"/>
      <c r="L1184" s="38"/>
      <c r="M1184" s="38"/>
      <c r="N1184" s="37"/>
      <c r="O1184" s="37"/>
      <c r="P1184" s="37"/>
      <c r="Q1184" s="37"/>
      <c r="R1184" s="39"/>
      <c r="S1184" s="37"/>
      <c r="T1184" s="38" t="s">
        <v>293</v>
      </c>
    </row>
    <row r="1185" ht="34.5">
      <c r="A1185" s="38" t="s">
        <v>1068</v>
      </c>
      <c r="B1185" s="38" t="s">
        <v>1069</v>
      </c>
      <c r="C1185" s="38" t="s">
        <v>828</v>
      </c>
      <c r="D1185" s="38" t="s">
        <v>288</v>
      </c>
      <c r="E1185" s="38" t="s">
        <v>768</v>
      </c>
      <c r="F1185" s="37" t="s">
        <v>769</v>
      </c>
      <c r="G1185" s="38" t="s">
        <v>70</v>
      </c>
      <c r="H1185" s="37"/>
      <c r="I1185" s="37"/>
      <c r="J1185" s="37" t="s">
        <v>790</v>
      </c>
      <c r="K1185" s="40"/>
      <c r="L1185" s="38"/>
      <c r="M1185" s="38"/>
      <c r="N1185" s="37"/>
      <c r="O1185" s="37"/>
      <c r="P1185" s="37"/>
      <c r="Q1185" s="37"/>
      <c r="R1185" s="39"/>
      <c r="S1185" s="37"/>
      <c r="T1185" s="38" t="s">
        <v>293</v>
      </c>
    </row>
    <row r="1186" ht="34.5">
      <c r="A1186" s="38" t="s">
        <v>1068</v>
      </c>
      <c r="B1186" s="38" t="s">
        <v>1069</v>
      </c>
      <c r="C1186" s="38" t="s">
        <v>828</v>
      </c>
      <c r="D1186" s="38" t="s">
        <v>288</v>
      </c>
      <c r="E1186" s="38" t="s">
        <v>768</v>
      </c>
      <c r="F1186" s="37" t="s">
        <v>769</v>
      </c>
      <c r="G1186" s="38" t="s">
        <v>70</v>
      </c>
      <c r="H1186" s="37"/>
      <c r="I1186" s="37"/>
      <c r="J1186" s="37" t="s">
        <v>791</v>
      </c>
      <c r="K1186" s="40"/>
      <c r="L1186" s="38"/>
      <c r="M1186" s="38"/>
      <c r="N1186" s="37"/>
      <c r="O1186" s="37"/>
      <c r="P1186" s="37"/>
      <c r="Q1186" s="37"/>
      <c r="R1186" s="39"/>
      <c r="S1186" s="37"/>
      <c r="T1186" s="38" t="s">
        <v>293</v>
      </c>
    </row>
    <row r="1187" ht="34.5">
      <c r="A1187" s="38" t="s">
        <v>1068</v>
      </c>
      <c r="B1187" s="38" t="s">
        <v>1069</v>
      </c>
      <c r="C1187" s="38" t="s">
        <v>828</v>
      </c>
      <c r="D1187" s="38" t="s">
        <v>288</v>
      </c>
      <c r="E1187" s="38" t="s">
        <v>768</v>
      </c>
      <c r="F1187" s="37" t="s">
        <v>769</v>
      </c>
      <c r="G1187" s="38" t="s">
        <v>70</v>
      </c>
      <c r="H1187" s="37"/>
      <c r="I1187" s="37"/>
      <c r="J1187" s="37" t="s">
        <v>792</v>
      </c>
      <c r="K1187" s="40"/>
      <c r="L1187" s="38"/>
      <c r="M1187" s="38"/>
      <c r="N1187" s="37"/>
      <c r="O1187" s="37"/>
      <c r="P1187" s="37"/>
      <c r="Q1187" s="37"/>
      <c r="R1187" s="39"/>
      <c r="S1187" s="37"/>
      <c r="T1187" s="38" t="s">
        <v>293</v>
      </c>
    </row>
    <row r="1188" ht="34.5">
      <c r="A1188" s="38" t="s">
        <v>1068</v>
      </c>
      <c r="B1188" s="38" t="s">
        <v>1069</v>
      </c>
      <c r="C1188" s="38" t="s">
        <v>828</v>
      </c>
      <c r="D1188" s="38" t="s">
        <v>288</v>
      </c>
      <c r="E1188" s="38" t="s">
        <v>768</v>
      </c>
      <c r="F1188" s="37" t="s">
        <v>769</v>
      </c>
      <c r="G1188" s="38" t="s">
        <v>70</v>
      </c>
      <c r="H1188" s="37"/>
      <c r="I1188" s="37"/>
      <c r="J1188" s="37" t="s">
        <v>794</v>
      </c>
      <c r="K1188" s="40"/>
      <c r="L1188" s="38"/>
      <c r="M1188" s="38"/>
      <c r="N1188" s="37"/>
      <c r="O1188" s="37"/>
      <c r="P1188" s="37"/>
      <c r="Q1188" s="37"/>
      <c r="R1188" s="39"/>
      <c r="S1188" s="37"/>
      <c r="T1188" s="38" t="s">
        <v>293</v>
      </c>
    </row>
    <row r="1189" ht="34.5">
      <c r="A1189" s="38" t="s">
        <v>1068</v>
      </c>
      <c r="B1189" s="38" t="s">
        <v>1069</v>
      </c>
      <c r="C1189" s="38" t="s">
        <v>828</v>
      </c>
      <c r="D1189" s="38" t="s">
        <v>288</v>
      </c>
      <c r="E1189" s="38" t="s">
        <v>768</v>
      </c>
      <c r="F1189" s="37" t="s">
        <v>769</v>
      </c>
      <c r="G1189" s="38" t="s">
        <v>70</v>
      </c>
      <c r="H1189" s="37"/>
      <c r="I1189" s="37"/>
      <c r="J1189" s="37" t="s">
        <v>795</v>
      </c>
      <c r="K1189" s="40"/>
      <c r="L1189" s="38"/>
      <c r="M1189" s="38"/>
      <c r="N1189" s="37"/>
      <c r="O1189" s="37"/>
      <c r="P1189" s="37"/>
      <c r="Q1189" s="37"/>
      <c r="R1189" s="39"/>
      <c r="S1189" s="37"/>
      <c r="T1189" s="38" t="s">
        <v>293</v>
      </c>
    </row>
    <row r="1190" ht="34.5">
      <c r="A1190" s="38" t="s">
        <v>1068</v>
      </c>
      <c r="B1190" s="38" t="s">
        <v>1069</v>
      </c>
      <c r="C1190" s="38" t="s">
        <v>828</v>
      </c>
      <c r="D1190" s="38" t="s">
        <v>288</v>
      </c>
      <c r="E1190" s="38" t="s">
        <v>768</v>
      </c>
      <c r="F1190" s="37" t="s">
        <v>769</v>
      </c>
      <c r="G1190" s="38" t="s">
        <v>70</v>
      </c>
      <c r="H1190" s="37"/>
      <c r="I1190" s="37"/>
      <c r="J1190" s="37" t="s">
        <v>1158</v>
      </c>
      <c r="K1190" s="40"/>
      <c r="L1190" s="38"/>
      <c r="M1190" s="38"/>
      <c r="N1190" s="37"/>
      <c r="O1190" s="37"/>
      <c r="P1190" s="37"/>
      <c r="Q1190" s="37"/>
      <c r="R1190" s="39"/>
      <c r="S1190" s="37"/>
      <c r="T1190" s="38" t="s">
        <v>293</v>
      </c>
    </row>
    <row r="1191" ht="34.5">
      <c r="A1191" s="38" t="s">
        <v>1068</v>
      </c>
      <c r="B1191" s="38" t="s">
        <v>1069</v>
      </c>
      <c r="C1191" s="38" t="s">
        <v>828</v>
      </c>
      <c r="D1191" s="38" t="s">
        <v>288</v>
      </c>
      <c r="E1191" s="38" t="s">
        <v>768</v>
      </c>
      <c r="F1191" s="37" t="s">
        <v>769</v>
      </c>
      <c r="G1191" s="38" t="s">
        <v>70</v>
      </c>
      <c r="H1191" s="37"/>
      <c r="I1191" s="37"/>
      <c r="J1191" s="37" t="s">
        <v>1159</v>
      </c>
      <c r="K1191" s="40"/>
      <c r="L1191" s="38"/>
      <c r="M1191" s="38"/>
      <c r="N1191" s="37"/>
      <c r="O1191" s="37"/>
      <c r="P1191" s="37"/>
      <c r="Q1191" s="37"/>
      <c r="R1191" s="39"/>
      <c r="S1191" s="37"/>
      <c r="T1191" s="38" t="s">
        <v>293</v>
      </c>
    </row>
    <row r="1192" ht="34.5">
      <c r="A1192" s="38" t="s">
        <v>1068</v>
      </c>
      <c r="B1192" s="38" t="s">
        <v>1069</v>
      </c>
      <c r="C1192" s="38" t="s">
        <v>832</v>
      </c>
      <c r="D1192" s="38" t="s">
        <v>288</v>
      </c>
      <c r="E1192" s="38" t="s">
        <v>768</v>
      </c>
      <c r="F1192" s="37" t="s">
        <v>769</v>
      </c>
      <c r="G1192" s="38" t="s">
        <v>70</v>
      </c>
      <c r="H1192" s="37"/>
      <c r="I1192" s="37"/>
      <c r="J1192" s="37" t="s">
        <v>1160</v>
      </c>
      <c r="K1192" s="40"/>
      <c r="L1192" s="38"/>
      <c r="M1192" s="38"/>
      <c r="N1192" s="37"/>
      <c r="O1192" s="37"/>
      <c r="P1192" s="37"/>
      <c r="Q1192" s="37"/>
      <c r="R1192" s="39"/>
      <c r="S1192" s="37"/>
      <c r="T1192" s="38" t="s">
        <v>293</v>
      </c>
    </row>
    <row r="1193" ht="34.5">
      <c r="A1193" s="38" t="s">
        <v>1068</v>
      </c>
      <c r="B1193" s="38" t="s">
        <v>1069</v>
      </c>
      <c r="C1193" s="38" t="s">
        <v>832</v>
      </c>
      <c r="D1193" s="38" t="s">
        <v>288</v>
      </c>
      <c r="E1193" s="38" t="s">
        <v>768</v>
      </c>
      <c r="F1193" s="37" t="s">
        <v>769</v>
      </c>
      <c r="G1193" s="38" t="s">
        <v>70</v>
      </c>
      <c r="H1193" s="37"/>
      <c r="I1193" s="37"/>
      <c r="J1193" s="37" t="s">
        <v>1161</v>
      </c>
      <c r="K1193" s="40"/>
      <c r="L1193" s="38"/>
      <c r="M1193" s="38"/>
      <c r="N1193" s="37"/>
      <c r="O1193" s="37"/>
      <c r="P1193" s="37"/>
      <c r="Q1193" s="37"/>
      <c r="R1193" s="39"/>
      <c r="S1193" s="37"/>
      <c r="T1193" s="38" t="s">
        <v>293</v>
      </c>
    </row>
    <row r="1194" ht="34.5">
      <c r="A1194" s="38" t="s">
        <v>1068</v>
      </c>
      <c r="B1194" s="38" t="s">
        <v>1069</v>
      </c>
      <c r="C1194" s="38" t="s">
        <v>832</v>
      </c>
      <c r="D1194" s="38" t="s">
        <v>288</v>
      </c>
      <c r="E1194" s="38" t="s">
        <v>768</v>
      </c>
      <c r="F1194" s="37" t="s">
        <v>769</v>
      </c>
      <c r="G1194" s="38" t="s">
        <v>70</v>
      </c>
      <c r="H1194" s="37"/>
      <c r="I1194" s="37"/>
      <c r="J1194" s="37" t="s">
        <v>798</v>
      </c>
      <c r="K1194" s="40"/>
      <c r="L1194" s="38"/>
      <c r="M1194" s="38"/>
      <c r="N1194" s="37"/>
      <c r="O1194" s="37"/>
      <c r="P1194" s="37"/>
      <c r="Q1194" s="37"/>
      <c r="R1194" s="39"/>
      <c r="S1194" s="37"/>
      <c r="T1194" s="38" t="s">
        <v>293</v>
      </c>
    </row>
    <row r="1195" ht="34.5">
      <c r="A1195" s="38" t="s">
        <v>1068</v>
      </c>
      <c r="B1195" s="38" t="s">
        <v>1069</v>
      </c>
      <c r="C1195" s="38" t="s">
        <v>832</v>
      </c>
      <c r="D1195" s="38" t="s">
        <v>288</v>
      </c>
      <c r="E1195" s="38" t="s">
        <v>768</v>
      </c>
      <c r="F1195" s="37" t="s">
        <v>769</v>
      </c>
      <c r="G1195" s="38" t="s">
        <v>70</v>
      </c>
      <c r="H1195" s="37"/>
      <c r="I1195" s="37"/>
      <c r="J1195" s="37" t="s">
        <v>1162</v>
      </c>
      <c r="K1195" s="40"/>
      <c r="L1195" s="38"/>
      <c r="M1195" s="38"/>
      <c r="N1195" s="37"/>
      <c r="O1195" s="37"/>
      <c r="P1195" s="37"/>
      <c r="Q1195" s="37"/>
      <c r="R1195" s="39"/>
      <c r="S1195" s="37"/>
      <c r="T1195" s="38" t="s">
        <v>293</v>
      </c>
    </row>
    <row r="1196" ht="34.5">
      <c r="A1196" s="38" t="s">
        <v>1068</v>
      </c>
      <c r="B1196" s="38" t="s">
        <v>1069</v>
      </c>
      <c r="C1196" s="38" t="s">
        <v>832</v>
      </c>
      <c r="D1196" s="38" t="s">
        <v>288</v>
      </c>
      <c r="E1196" s="38" t="s">
        <v>768</v>
      </c>
      <c r="F1196" s="37" t="s">
        <v>769</v>
      </c>
      <c r="G1196" s="38" t="s">
        <v>70</v>
      </c>
      <c r="H1196" s="37"/>
      <c r="I1196" s="37"/>
      <c r="J1196" s="37" t="s">
        <v>1163</v>
      </c>
      <c r="K1196" s="40"/>
      <c r="L1196" s="38"/>
      <c r="M1196" s="38"/>
      <c r="N1196" s="37"/>
      <c r="O1196" s="37"/>
      <c r="P1196" s="37"/>
      <c r="Q1196" s="37"/>
      <c r="R1196" s="39"/>
      <c r="S1196" s="37"/>
      <c r="T1196" s="38" t="s">
        <v>293</v>
      </c>
    </row>
    <row r="1197" ht="34.5">
      <c r="A1197" s="38" t="s">
        <v>1068</v>
      </c>
      <c r="B1197" s="38" t="s">
        <v>1069</v>
      </c>
      <c r="C1197" s="38" t="s">
        <v>832</v>
      </c>
      <c r="D1197" s="38" t="s">
        <v>288</v>
      </c>
      <c r="E1197" s="38" t="s">
        <v>768</v>
      </c>
      <c r="F1197" s="37" t="s">
        <v>769</v>
      </c>
      <c r="G1197" s="38" t="s">
        <v>70</v>
      </c>
      <c r="H1197" s="37"/>
      <c r="I1197" s="37"/>
      <c r="J1197" s="37" t="s">
        <v>1164</v>
      </c>
      <c r="K1197" s="40"/>
      <c r="L1197" s="38"/>
      <c r="M1197" s="38"/>
      <c r="N1197" s="37"/>
      <c r="O1197" s="37"/>
      <c r="P1197" s="37"/>
      <c r="Q1197" s="37"/>
      <c r="R1197" s="39"/>
      <c r="S1197" s="37"/>
      <c r="T1197" s="38" t="s">
        <v>293</v>
      </c>
    </row>
    <row r="1198" ht="34.5">
      <c r="A1198" s="38" t="s">
        <v>1068</v>
      </c>
      <c r="B1198" s="38" t="s">
        <v>1069</v>
      </c>
      <c r="C1198" s="38" t="s">
        <v>832</v>
      </c>
      <c r="D1198" s="38" t="s">
        <v>288</v>
      </c>
      <c r="E1198" s="38" t="s">
        <v>768</v>
      </c>
      <c r="F1198" s="37" t="s">
        <v>769</v>
      </c>
      <c r="G1198" s="38" t="s">
        <v>70</v>
      </c>
      <c r="H1198" s="37"/>
      <c r="I1198" s="37"/>
      <c r="J1198" s="37" t="s">
        <v>1165</v>
      </c>
      <c r="K1198" s="40"/>
      <c r="L1198" s="38"/>
      <c r="M1198" s="38"/>
      <c r="N1198" s="37"/>
      <c r="O1198" s="37"/>
      <c r="P1198" s="37"/>
      <c r="Q1198" s="37"/>
      <c r="R1198" s="39"/>
      <c r="S1198" s="37"/>
      <c r="T1198" s="38" t="s">
        <v>293</v>
      </c>
    </row>
    <row r="1199" ht="34.5">
      <c r="A1199" s="38" t="s">
        <v>1068</v>
      </c>
      <c r="B1199" s="38" t="s">
        <v>1069</v>
      </c>
      <c r="C1199" s="38" t="s">
        <v>832</v>
      </c>
      <c r="D1199" s="38" t="s">
        <v>288</v>
      </c>
      <c r="E1199" s="38" t="s">
        <v>768</v>
      </c>
      <c r="F1199" s="37" t="s">
        <v>769</v>
      </c>
      <c r="G1199" s="38" t="s">
        <v>70</v>
      </c>
      <c r="H1199" s="37"/>
      <c r="I1199" s="37"/>
      <c r="J1199" s="37" t="s">
        <v>1166</v>
      </c>
      <c r="K1199" s="40"/>
      <c r="L1199" s="38"/>
      <c r="M1199" s="38"/>
      <c r="N1199" s="37"/>
      <c r="O1199" s="37"/>
      <c r="P1199" s="37"/>
      <c r="Q1199" s="37"/>
      <c r="R1199" s="39"/>
      <c r="S1199" s="37"/>
      <c r="T1199" s="38" t="s">
        <v>293</v>
      </c>
    </row>
    <row r="1200" ht="34.5">
      <c r="A1200" s="38" t="s">
        <v>1068</v>
      </c>
      <c r="B1200" s="38" t="s">
        <v>1069</v>
      </c>
      <c r="C1200" s="38" t="s">
        <v>832</v>
      </c>
      <c r="D1200" s="38" t="s">
        <v>288</v>
      </c>
      <c r="E1200" s="38" t="s">
        <v>768</v>
      </c>
      <c r="F1200" s="37" t="s">
        <v>769</v>
      </c>
      <c r="G1200" s="38" t="s">
        <v>70</v>
      </c>
      <c r="H1200" s="37"/>
      <c r="I1200" s="37"/>
      <c r="J1200" s="37" t="s">
        <v>1167</v>
      </c>
      <c r="K1200" s="40"/>
      <c r="L1200" s="38"/>
      <c r="M1200" s="38"/>
      <c r="N1200" s="37"/>
      <c r="O1200" s="37"/>
      <c r="P1200" s="37"/>
      <c r="Q1200" s="37"/>
      <c r="R1200" s="39"/>
      <c r="S1200" s="37"/>
      <c r="T1200" s="38" t="s">
        <v>293</v>
      </c>
    </row>
    <row r="1201" ht="34.5">
      <c r="A1201" s="38" t="s">
        <v>1068</v>
      </c>
      <c r="B1201" s="38" t="s">
        <v>1069</v>
      </c>
      <c r="C1201" s="38" t="s">
        <v>832</v>
      </c>
      <c r="D1201" s="38" t="s">
        <v>288</v>
      </c>
      <c r="E1201" s="38" t="s">
        <v>768</v>
      </c>
      <c r="F1201" s="37" t="s">
        <v>769</v>
      </c>
      <c r="G1201" s="38" t="s">
        <v>70</v>
      </c>
      <c r="H1201" s="37"/>
      <c r="I1201" s="37"/>
      <c r="J1201" s="37" t="s">
        <v>1168</v>
      </c>
      <c r="K1201" s="40"/>
      <c r="L1201" s="38"/>
      <c r="M1201" s="38"/>
      <c r="N1201" s="37"/>
      <c r="O1201" s="37"/>
      <c r="P1201" s="37"/>
      <c r="Q1201" s="37"/>
      <c r="R1201" s="39"/>
      <c r="S1201" s="37"/>
      <c r="T1201" s="38" t="s">
        <v>293</v>
      </c>
    </row>
    <row r="1202" ht="34.5">
      <c r="A1202" s="38" t="s">
        <v>1068</v>
      </c>
      <c r="B1202" s="38" t="s">
        <v>1069</v>
      </c>
      <c r="C1202" s="38" t="s">
        <v>832</v>
      </c>
      <c r="D1202" s="38" t="s">
        <v>288</v>
      </c>
      <c r="E1202" s="38" t="s">
        <v>768</v>
      </c>
      <c r="F1202" s="37" t="s">
        <v>769</v>
      </c>
      <c r="G1202" s="38" t="s">
        <v>70</v>
      </c>
      <c r="H1202" s="37"/>
      <c r="I1202" s="37"/>
      <c r="J1202" s="37" t="s">
        <v>1169</v>
      </c>
      <c r="K1202" s="40"/>
      <c r="L1202" s="38"/>
      <c r="M1202" s="38"/>
      <c r="N1202" s="37"/>
      <c r="O1202" s="37"/>
      <c r="P1202" s="37"/>
      <c r="Q1202" s="37"/>
      <c r="R1202" s="39"/>
      <c r="S1202" s="37"/>
      <c r="T1202" s="38" t="s">
        <v>293</v>
      </c>
    </row>
    <row r="1203" ht="34.5">
      <c r="A1203" s="38" t="s">
        <v>1068</v>
      </c>
      <c r="B1203" s="38" t="s">
        <v>1069</v>
      </c>
      <c r="C1203" s="38" t="s">
        <v>844</v>
      </c>
      <c r="D1203" s="38" t="s">
        <v>288</v>
      </c>
      <c r="E1203" s="38" t="s">
        <v>768</v>
      </c>
      <c r="F1203" s="37" t="s">
        <v>769</v>
      </c>
      <c r="G1203" s="38" t="s">
        <v>70</v>
      </c>
      <c r="H1203" s="37"/>
      <c r="I1203" s="37"/>
      <c r="J1203" s="37" t="s">
        <v>1170</v>
      </c>
      <c r="K1203" s="40"/>
      <c r="L1203" s="38"/>
      <c r="M1203" s="38"/>
      <c r="N1203" s="37"/>
      <c r="O1203" s="37"/>
      <c r="P1203" s="37"/>
      <c r="Q1203" s="37"/>
      <c r="R1203" s="39"/>
      <c r="S1203" s="37"/>
      <c r="T1203" s="38" t="s">
        <v>293</v>
      </c>
    </row>
    <row r="1204" ht="34.5">
      <c r="A1204" s="38" t="s">
        <v>1068</v>
      </c>
      <c r="B1204" s="38" t="s">
        <v>1069</v>
      </c>
      <c r="C1204" s="38" t="s">
        <v>844</v>
      </c>
      <c r="D1204" s="38" t="s">
        <v>288</v>
      </c>
      <c r="E1204" s="38" t="s">
        <v>768</v>
      </c>
      <c r="F1204" s="37" t="s">
        <v>769</v>
      </c>
      <c r="G1204" s="38" t="s">
        <v>70</v>
      </c>
      <c r="H1204" s="37"/>
      <c r="I1204" s="37"/>
      <c r="J1204" s="37" t="s">
        <v>1171</v>
      </c>
      <c r="K1204" s="40"/>
      <c r="L1204" s="38"/>
      <c r="M1204" s="38"/>
      <c r="N1204" s="37"/>
      <c r="O1204" s="37"/>
      <c r="P1204" s="37"/>
      <c r="Q1204" s="37"/>
      <c r="R1204" s="39"/>
      <c r="S1204" s="37"/>
      <c r="T1204" s="38" t="s">
        <v>293</v>
      </c>
    </row>
    <row r="1205" ht="34.5">
      <c r="A1205" s="38" t="s">
        <v>1068</v>
      </c>
      <c r="B1205" s="38" t="s">
        <v>1069</v>
      </c>
      <c r="C1205" s="38" t="s">
        <v>844</v>
      </c>
      <c r="D1205" s="38" t="s">
        <v>288</v>
      </c>
      <c r="E1205" s="38" t="s">
        <v>768</v>
      </c>
      <c r="F1205" s="37" t="s">
        <v>769</v>
      </c>
      <c r="G1205" s="38" t="s">
        <v>70</v>
      </c>
      <c r="H1205" s="37"/>
      <c r="I1205" s="37"/>
      <c r="J1205" s="37" t="s">
        <v>1172</v>
      </c>
      <c r="K1205" s="40"/>
      <c r="L1205" s="38"/>
      <c r="M1205" s="38"/>
      <c r="N1205" s="37"/>
      <c r="O1205" s="37"/>
      <c r="P1205" s="37"/>
      <c r="Q1205" s="37"/>
      <c r="R1205" s="39"/>
      <c r="S1205" s="37"/>
      <c r="T1205" s="38" t="s">
        <v>293</v>
      </c>
    </row>
    <row r="1206" ht="34.5">
      <c r="A1206" s="38" t="s">
        <v>1068</v>
      </c>
      <c r="B1206" s="38" t="s">
        <v>1069</v>
      </c>
      <c r="C1206" s="38" t="s">
        <v>844</v>
      </c>
      <c r="D1206" s="38" t="s">
        <v>288</v>
      </c>
      <c r="E1206" s="38" t="s">
        <v>768</v>
      </c>
      <c r="F1206" s="37" t="s">
        <v>769</v>
      </c>
      <c r="G1206" s="38" t="s">
        <v>70</v>
      </c>
      <c r="H1206" s="37"/>
      <c r="I1206" s="37"/>
      <c r="J1206" s="37" t="s">
        <v>1173</v>
      </c>
      <c r="K1206" s="40">
        <v>-571429</v>
      </c>
      <c r="L1206" s="38" t="s">
        <v>297</v>
      </c>
      <c r="M1206" s="38"/>
      <c r="N1206" s="37"/>
      <c r="O1206" s="37"/>
      <c r="P1206" s="37"/>
      <c r="Q1206" s="37"/>
      <c r="R1206" s="39"/>
      <c r="S1206" s="37"/>
      <c r="T1206" s="38" t="s">
        <v>293</v>
      </c>
    </row>
    <row r="1207" ht="34.5">
      <c r="A1207" s="38" t="s">
        <v>1068</v>
      </c>
      <c r="B1207" s="38" t="s">
        <v>1069</v>
      </c>
      <c r="C1207" s="38" t="s">
        <v>844</v>
      </c>
      <c r="D1207" s="38" t="s">
        <v>288</v>
      </c>
      <c r="E1207" s="38" t="s">
        <v>768</v>
      </c>
      <c r="F1207" s="37" t="s">
        <v>769</v>
      </c>
      <c r="G1207" s="38" t="s">
        <v>70</v>
      </c>
      <c r="H1207" s="37"/>
      <c r="I1207" s="37"/>
      <c r="J1207" s="37" t="s">
        <v>809</v>
      </c>
      <c r="K1207" s="40"/>
      <c r="L1207" s="38"/>
      <c r="M1207" s="38"/>
      <c r="N1207" s="37"/>
      <c r="O1207" s="37"/>
      <c r="P1207" s="37"/>
      <c r="Q1207" s="37"/>
      <c r="R1207" s="39"/>
      <c r="S1207" s="37"/>
      <c r="T1207" s="38" t="s">
        <v>293</v>
      </c>
    </row>
    <row r="1208" ht="34.5">
      <c r="A1208" s="38" t="s">
        <v>1068</v>
      </c>
      <c r="B1208" s="38" t="s">
        <v>1069</v>
      </c>
      <c r="C1208" s="38" t="s">
        <v>844</v>
      </c>
      <c r="D1208" s="38" t="s">
        <v>288</v>
      </c>
      <c r="E1208" s="38" t="s">
        <v>768</v>
      </c>
      <c r="F1208" s="37" t="s">
        <v>769</v>
      </c>
      <c r="G1208" s="38" t="s">
        <v>70</v>
      </c>
      <c r="H1208" s="37"/>
      <c r="I1208" s="37"/>
      <c r="J1208" s="37" t="s">
        <v>1036</v>
      </c>
      <c r="K1208" s="40"/>
      <c r="L1208" s="38"/>
      <c r="M1208" s="38"/>
      <c r="N1208" s="37"/>
      <c r="O1208" s="37"/>
      <c r="P1208" s="37"/>
      <c r="Q1208" s="37"/>
      <c r="R1208" s="39"/>
      <c r="S1208" s="37"/>
      <c r="T1208" s="38" t="s">
        <v>293</v>
      </c>
    </row>
    <row r="1209" ht="34.5">
      <c r="A1209" s="38" t="s">
        <v>1068</v>
      </c>
      <c r="B1209" s="38" t="s">
        <v>1069</v>
      </c>
      <c r="C1209" s="38" t="s">
        <v>844</v>
      </c>
      <c r="D1209" s="38" t="s">
        <v>288</v>
      </c>
      <c r="E1209" s="38" t="s">
        <v>768</v>
      </c>
      <c r="F1209" s="37" t="s">
        <v>769</v>
      </c>
      <c r="G1209" s="38" t="s">
        <v>70</v>
      </c>
      <c r="H1209" s="37"/>
      <c r="I1209" s="37"/>
      <c r="J1209" s="37" t="s">
        <v>1037</v>
      </c>
      <c r="K1209" s="40"/>
      <c r="L1209" s="38"/>
      <c r="M1209" s="38"/>
      <c r="N1209" s="37"/>
      <c r="O1209" s="37"/>
      <c r="P1209" s="37"/>
      <c r="Q1209" s="37"/>
      <c r="R1209" s="39"/>
      <c r="S1209" s="37"/>
      <c r="T1209" s="38" t="s">
        <v>293</v>
      </c>
    </row>
    <row r="1210" ht="34.5">
      <c r="A1210" s="38" t="s">
        <v>1068</v>
      </c>
      <c r="B1210" s="38" t="s">
        <v>1069</v>
      </c>
      <c r="C1210" s="38" t="s">
        <v>858</v>
      </c>
      <c r="D1210" s="38" t="s">
        <v>288</v>
      </c>
      <c r="E1210" s="38" t="s">
        <v>768</v>
      </c>
      <c r="F1210" s="37" t="s">
        <v>769</v>
      </c>
      <c r="G1210" s="38" t="s">
        <v>70</v>
      </c>
      <c r="H1210" s="37"/>
      <c r="I1210" s="37"/>
      <c r="J1210" s="37" t="s">
        <v>813</v>
      </c>
      <c r="K1210" s="40"/>
      <c r="L1210" s="38"/>
      <c r="M1210" s="38"/>
      <c r="N1210" s="37"/>
      <c r="O1210" s="37"/>
      <c r="P1210" s="37"/>
      <c r="Q1210" s="37"/>
      <c r="R1210" s="39"/>
      <c r="S1210" s="37"/>
      <c r="T1210" s="38" t="s">
        <v>293</v>
      </c>
    </row>
    <row r="1211" ht="34.5">
      <c r="A1211" s="38" t="s">
        <v>1068</v>
      </c>
      <c r="B1211" s="38" t="s">
        <v>1069</v>
      </c>
      <c r="C1211" s="38" t="s">
        <v>858</v>
      </c>
      <c r="D1211" s="38" t="s">
        <v>288</v>
      </c>
      <c r="E1211" s="38" t="s">
        <v>768</v>
      </c>
      <c r="F1211" s="37" t="s">
        <v>769</v>
      </c>
      <c r="G1211" s="38" t="s">
        <v>70</v>
      </c>
      <c r="H1211" s="37"/>
      <c r="I1211" s="37"/>
      <c r="J1211" s="37" t="s">
        <v>814</v>
      </c>
      <c r="K1211" s="40"/>
      <c r="L1211" s="38"/>
      <c r="M1211" s="38"/>
      <c r="N1211" s="37"/>
      <c r="O1211" s="37"/>
      <c r="P1211" s="37"/>
      <c r="Q1211" s="37"/>
      <c r="R1211" s="39"/>
      <c r="S1211" s="37"/>
      <c r="T1211" s="38" t="s">
        <v>293</v>
      </c>
    </row>
    <row r="1212" ht="34.5">
      <c r="A1212" s="38" t="s">
        <v>1068</v>
      </c>
      <c r="B1212" s="38" t="s">
        <v>1069</v>
      </c>
      <c r="C1212" s="38" t="s">
        <v>858</v>
      </c>
      <c r="D1212" s="38" t="s">
        <v>288</v>
      </c>
      <c r="E1212" s="38" t="s">
        <v>768</v>
      </c>
      <c r="F1212" s="37" t="s">
        <v>769</v>
      </c>
      <c r="G1212" s="38" t="s">
        <v>70</v>
      </c>
      <c r="H1212" s="37"/>
      <c r="I1212" s="37"/>
      <c r="J1212" s="37" t="s">
        <v>816</v>
      </c>
      <c r="K1212" s="40"/>
      <c r="L1212" s="38"/>
      <c r="M1212" s="38"/>
      <c r="N1212" s="37"/>
      <c r="O1212" s="37"/>
      <c r="P1212" s="37"/>
      <c r="Q1212" s="37"/>
      <c r="R1212" s="39"/>
      <c r="S1212" s="37"/>
      <c r="T1212" s="38" t="s">
        <v>293</v>
      </c>
    </row>
    <row r="1213" ht="34.5">
      <c r="A1213" s="38" t="s">
        <v>1068</v>
      </c>
      <c r="B1213" s="38" t="s">
        <v>1069</v>
      </c>
      <c r="C1213" s="38" t="s">
        <v>858</v>
      </c>
      <c r="D1213" s="38" t="s">
        <v>288</v>
      </c>
      <c r="E1213" s="38" t="s">
        <v>768</v>
      </c>
      <c r="F1213" s="37" t="s">
        <v>769</v>
      </c>
      <c r="G1213" s="38" t="s">
        <v>70</v>
      </c>
      <c r="H1213" s="37"/>
      <c r="I1213" s="37"/>
      <c r="J1213" s="37" t="s">
        <v>817</v>
      </c>
      <c r="K1213" s="40"/>
      <c r="L1213" s="38"/>
      <c r="M1213" s="38"/>
      <c r="N1213" s="37"/>
      <c r="O1213" s="37"/>
      <c r="P1213" s="37"/>
      <c r="Q1213" s="37"/>
      <c r="R1213" s="39"/>
      <c r="S1213" s="37"/>
      <c r="T1213" s="38" t="s">
        <v>293</v>
      </c>
    </row>
    <row r="1214" ht="34.5">
      <c r="A1214" s="38" t="s">
        <v>1068</v>
      </c>
      <c r="B1214" s="38" t="s">
        <v>1069</v>
      </c>
      <c r="C1214" s="38" t="s">
        <v>858</v>
      </c>
      <c r="D1214" s="38" t="s">
        <v>288</v>
      </c>
      <c r="E1214" s="38" t="s">
        <v>768</v>
      </c>
      <c r="F1214" s="37" t="s">
        <v>769</v>
      </c>
      <c r="G1214" s="38" t="s">
        <v>70</v>
      </c>
      <c r="H1214" s="37"/>
      <c r="I1214" s="37"/>
      <c r="J1214" s="37" t="s">
        <v>818</v>
      </c>
      <c r="K1214" s="40"/>
      <c r="L1214" s="38"/>
      <c r="M1214" s="38"/>
      <c r="N1214" s="37"/>
      <c r="O1214" s="37"/>
      <c r="P1214" s="37"/>
      <c r="Q1214" s="37"/>
      <c r="R1214" s="39"/>
      <c r="S1214" s="37"/>
      <c r="T1214" s="38" t="s">
        <v>293</v>
      </c>
    </row>
    <row r="1215" ht="34.5">
      <c r="A1215" s="38" t="s">
        <v>1068</v>
      </c>
      <c r="B1215" s="38" t="s">
        <v>1069</v>
      </c>
      <c r="C1215" s="38" t="s">
        <v>858</v>
      </c>
      <c r="D1215" s="38" t="s">
        <v>288</v>
      </c>
      <c r="E1215" s="38" t="s">
        <v>768</v>
      </c>
      <c r="F1215" s="37" t="s">
        <v>769</v>
      </c>
      <c r="G1215" s="38" t="s">
        <v>70</v>
      </c>
      <c r="H1215" s="37"/>
      <c r="I1215" s="37"/>
      <c r="J1215" s="37" t="s">
        <v>1038</v>
      </c>
      <c r="K1215" s="40"/>
      <c r="L1215" s="38"/>
      <c r="M1215" s="38"/>
      <c r="N1215" s="37"/>
      <c r="O1215" s="37"/>
      <c r="P1215" s="37"/>
      <c r="Q1215" s="37"/>
      <c r="R1215" s="39"/>
      <c r="S1215" s="37"/>
      <c r="T1215" s="38" t="s">
        <v>293</v>
      </c>
    </row>
    <row r="1216" ht="34.5">
      <c r="A1216" s="38" t="s">
        <v>1068</v>
      </c>
      <c r="B1216" s="38" t="s">
        <v>1069</v>
      </c>
      <c r="C1216" s="38" t="s">
        <v>858</v>
      </c>
      <c r="D1216" s="38" t="s">
        <v>288</v>
      </c>
      <c r="E1216" s="38" t="s">
        <v>768</v>
      </c>
      <c r="F1216" s="37" t="s">
        <v>769</v>
      </c>
      <c r="G1216" s="38" t="s">
        <v>70</v>
      </c>
      <c r="H1216" s="37"/>
      <c r="I1216" s="37"/>
      <c r="J1216" s="37" t="s">
        <v>819</v>
      </c>
      <c r="K1216" s="40"/>
      <c r="L1216" s="38"/>
      <c r="M1216" s="38"/>
      <c r="N1216" s="37"/>
      <c r="O1216" s="37"/>
      <c r="P1216" s="37"/>
      <c r="Q1216" s="37"/>
      <c r="R1216" s="39"/>
      <c r="S1216" s="37"/>
      <c r="T1216" s="38" t="s">
        <v>293</v>
      </c>
    </row>
    <row r="1217" ht="34.5">
      <c r="A1217" s="38" t="s">
        <v>1068</v>
      </c>
      <c r="B1217" s="38" t="s">
        <v>1069</v>
      </c>
      <c r="C1217" s="38" t="s">
        <v>858</v>
      </c>
      <c r="D1217" s="38" t="s">
        <v>288</v>
      </c>
      <c r="E1217" s="38" t="s">
        <v>768</v>
      </c>
      <c r="F1217" s="37" t="s">
        <v>769</v>
      </c>
      <c r="G1217" s="38" t="s">
        <v>70</v>
      </c>
      <c r="H1217" s="37"/>
      <c r="I1217" s="37"/>
      <c r="J1217" s="37" t="s">
        <v>820</v>
      </c>
      <c r="K1217" s="40"/>
      <c r="L1217" s="38"/>
      <c r="M1217" s="38"/>
      <c r="N1217" s="37"/>
      <c r="O1217" s="37"/>
      <c r="P1217" s="37"/>
      <c r="Q1217" s="37"/>
      <c r="R1217" s="39"/>
      <c r="S1217" s="37"/>
      <c r="T1217" s="38" t="s">
        <v>293</v>
      </c>
    </row>
    <row r="1218" ht="34.5">
      <c r="A1218" s="38" t="s">
        <v>1068</v>
      </c>
      <c r="B1218" s="38" t="s">
        <v>1069</v>
      </c>
      <c r="C1218" s="38" t="s">
        <v>858</v>
      </c>
      <c r="D1218" s="38" t="s">
        <v>288</v>
      </c>
      <c r="E1218" s="38" t="s">
        <v>768</v>
      </c>
      <c r="F1218" s="37" t="s">
        <v>769</v>
      </c>
      <c r="G1218" s="38" t="s">
        <v>70</v>
      </c>
      <c r="H1218" s="37"/>
      <c r="I1218" s="37"/>
      <c r="J1218" s="37" t="s">
        <v>821</v>
      </c>
      <c r="K1218" s="40"/>
      <c r="L1218" s="38"/>
      <c r="M1218" s="38"/>
      <c r="N1218" s="37"/>
      <c r="O1218" s="37"/>
      <c r="P1218" s="37"/>
      <c r="Q1218" s="37"/>
      <c r="R1218" s="39"/>
      <c r="S1218" s="37"/>
      <c r="T1218" s="38" t="s">
        <v>293</v>
      </c>
    </row>
    <row r="1219" ht="34.5">
      <c r="A1219" s="38" t="s">
        <v>1068</v>
      </c>
      <c r="B1219" s="38" t="s">
        <v>1069</v>
      </c>
      <c r="C1219" s="38" t="s">
        <v>858</v>
      </c>
      <c r="D1219" s="38" t="s">
        <v>288</v>
      </c>
      <c r="E1219" s="38" t="s">
        <v>768</v>
      </c>
      <c r="F1219" s="37" t="s">
        <v>769</v>
      </c>
      <c r="G1219" s="38" t="s">
        <v>70</v>
      </c>
      <c r="H1219" s="37"/>
      <c r="I1219" s="37"/>
      <c r="J1219" s="37" t="s">
        <v>822</v>
      </c>
      <c r="K1219" s="40"/>
      <c r="L1219" s="38"/>
      <c r="M1219" s="38"/>
      <c r="N1219" s="37"/>
      <c r="O1219" s="37"/>
      <c r="P1219" s="37"/>
      <c r="Q1219" s="37"/>
      <c r="R1219" s="39"/>
      <c r="S1219" s="37"/>
      <c r="T1219" s="38" t="s">
        <v>293</v>
      </c>
    </row>
    <row r="1220" ht="34.5">
      <c r="A1220" s="38" t="s">
        <v>1068</v>
      </c>
      <c r="B1220" s="38" t="s">
        <v>1069</v>
      </c>
      <c r="C1220" s="38" t="s">
        <v>858</v>
      </c>
      <c r="D1220" s="38" t="s">
        <v>288</v>
      </c>
      <c r="E1220" s="38" t="s">
        <v>768</v>
      </c>
      <c r="F1220" s="37" t="s">
        <v>769</v>
      </c>
      <c r="G1220" s="38" t="s">
        <v>70</v>
      </c>
      <c r="H1220" s="37"/>
      <c r="I1220" s="37"/>
      <c r="J1220" s="37" t="s">
        <v>823</v>
      </c>
      <c r="K1220" s="40"/>
      <c r="L1220" s="38"/>
      <c r="M1220" s="38"/>
      <c r="N1220" s="37"/>
      <c r="O1220" s="37"/>
      <c r="P1220" s="37"/>
      <c r="Q1220" s="37"/>
      <c r="R1220" s="39"/>
      <c r="S1220" s="37"/>
      <c r="T1220" s="38" t="s">
        <v>293</v>
      </c>
    </row>
    <row r="1221" ht="34.5">
      <c r="A1221" s="38" t="s">
        <v>1068</v>
      </c>
      <c r="B1221" s="38" t="s">
        <v>1069</v>
      </c>
      <c r="C1221" s="38" t="s">
        <v>858</v>
      </c>
      <c r="D1221" s="38" t="s">
        <v>288</v>
      </c>
      <c r="E1221" s="38" t="s">
        <v>768</v>
      </c>
      <c r="F1221" s="37" t="s">
        <v>769</v>
      </c>
      <c r="G1221" s="38" t="s">
        <v>70</v>
      </c>
      <c r="H1221" s="37"/>
      <c r="I1221" s="37"/>
      <c r="J1221" s="37" t="s">
        <v>824</v>
      </c>
      <c r="K1221" s="40"/>
      <c r="L1221" s="38"/>
      <c r="M1221" s="38"/>
      <c r="N1221" s="37"/>
      <c r="O1221" s="37"/>
      <c r="P1221" s="37"/>
      <c r="Q1221" s="37"/>
      <c r="R1221" s="39"/>
      <c r="S1221" s="37"/>
      <c r="T1221" s="38" t="s">
        <v>293</v>
      </c>
    </row>
    <row r="1222" ht="34.5">
      <c r="A1222" s="38" t="s">
        <v>1068</v>
      </c>
      <c r="B1222" s="38" t="s">
        <v>1069</v>
      </c>
      <c r="C1222" s="38" t="s">
        <v>858</v>
      </c>
      <c r="D1222" s="38" t="s">
        <v>288</v>
      </c>
      <c r="E1222" s="38" t="s">
        <v>768</v>
      </c>
      <c r="F1222" s="37" t="s">
        <v>769</v>
      </c>
      <c r="G1222" s="38" t="s">
        <v>70</v>
      </c>
      <c r="H1222" s="37"/>
      <c r="I1222" s="37"/>
      <c r="J1222" s="37" t="s">
        <v>1174</v>
      </c>
      <c r="K1222" s="40"/>
      <c r="L1222" s="38"/>
      <c r="M1222" s="38"/>
      <c r="N1222" s="37"/>
      <c r="O1222" s="37"/>
      <c r="P1222" s="37"/>
      <c r="Q1222" s="37"/>
      <c r="R1222" s="39"/>
      <c r="S1222" s="37"/>
      <c r="T1222" s="38" t="s">
        <v>293</v>
      </c>
    </row>
    <row r="1223" ht="34.5">
      <c r="A1223" s="38" t="s">
        <v>1068</v>
      </c>
      <c r="B1223" s="38" t="s">
        <v>1069</v>
      </c>
      <c r="C1223" s="38" t="s">
        <v>865</v>
      </c>
      <c r="D1223" s="38" t="s">
        <v>288</v>
      </c>
      <c r="E1223" s="38" t="s">
        <v>768</v>
      </c>
      <c r="F1223" s="37" t="s">
        <v>769</v>
      </c>
      <c r="G1223" s="38" t="s">
        <v>70</v>
      </c>
      <c r="H1223" s="37"/>
      <c r="I1223" s="37"/>
      <c r="J1223" s="37" t="s">
        <v>1175</v>
      </c>
      <c r="K1223" s="40"/>
      <c r="L1223" s="38"/>
      <c r="M1223" s="38"/>
      <c r="N1223" s="37"/>
      <c r="O1223" s="37"/>
      <c r="P1223" s="37"/>
      <c r="Q1223" s="37"/>
      <c r="R1223" s="39"/>
      <c r="S1223" s="37"/>
      <c r="T1223" s="38" t="s">
        <v>293</v>
      </c>
    </row>
    <row r="1224" ht="34.5">
      <c r="A1224" s="38" t="s">
        <v>1068</v>
      </c>
      <c r="B1224" s="38" t="s">
        <v>1069</v>
      </c>
      <c r="C1224" s="38" t="s">
        <v>865</v>
      </c>
      <c r="D1224" s="38" t="s">
        <v>288</v>
      </c>
      <c r="E1224" s="38" t="s">
        <v>768</v>
      </c>
      <c r="F1224" s="37" t="s">
        <v>769</v>
      </c>
      <c r="G1224" s="38" t="s">
        <v>70</v>
      </c>
      <c r="H1224" s="37"/>
      <c r="I1224" s="37"/>
      <c r="J1224" s="37" t="s">
        <v>830</v>
      </c>
      <c r="K1224" s="40"/>
      <c r="L1224" s="38"/>
      <c r="M1224" s="38"/>
      <c r="N1224" s="37"/>
      <c r="O1224" s="37"/>
      <c r="P1224" s="37"/>
      <c r="Q1224" s="37"/>
      <c r="R1224" s="39"/>
      <c r="S1224" s="37"/>
      <c r="T1224" s="38" t="s">
        <v>293</v>
      </c>
    </row>
    <row r="1225" ht="34.5">
      <c r="A1225" s="38" t="s">
        <v>1068</v>
      </c>
      <c r="B1225" s="38" t="s">
        <v>1069</v>
      </c>
      <c r="C1225" s="38" t="s">
        <v>865</v>
      </c>
      <c r="D1225" s="38" t="s">
        <v>288</v>
      </c>
      <c r="E1225" s="38" t="s">
        <v>768</v>
      </c>
      <c r="F1225" s="37" t="s">
        <v>769</v>
      </c>
      <c r="G1225" s="38" t="s">
        <v>70</v>
      </c>
      <c r="H1225" s="37"/>
      <c r="I1225" s="37"/>
      <c r="J1225" s="37" t="s">
        <v>831</v>
      </c>
      <c r="K1225" s="40"/>
      <c r="L1225" s="38"/>
      <c r="M1225" s="38"/>
      <c r="N1225" s="37"/>
      <c r="O1225" s="37"/>
      <c r="P1225" s="37"/>
      <c r="Q1225" s="37"/>
      <c r="R1225" s="39"/>
      <c r="S1225" s="37"/>
      <c r="T1225" s="38" t="s">
        <v>293</v>
      </c>
    </row>
    <row r="1226" ht="34.5">
      <c r="A1226" s="38" t="s">
        <v>1068</v>
      </c>
      <c r="B1226" s="38" t="s">
        <v>1069</v>
      </c>
      <c r="C1226" s="38" t="s">
        <v>871</v>
      </c>
      <c r="D1226" s="38" t="s">
        <v>288</v>
      </c>
      <c r="E1226" s="38" t="s">
        <v>768</v>
      </c>
      <c r="F1226" s="37" t="s">
        <v>769</v>
      </c>
      <c r="G1226" s="38" t="s">
        <v>70</v>
      </c>
      <c r="H1226" s="37"/>
      <c r="I1226" s="37"/>
      <c r="J1226" s="37" t="s">
        <v>836</v>
      </c>
      <c r="K1226" s="40"/>
      <c r="L1226" s="38"/>
      <c r="M1226" s="38"/>
      <c r="N1226" s="37"/>
      <c r="O1226" s="37"/>
      <c r="P1226" s="37"/>
      <c r="Q1226" s="37"/>
      <c r="R1226" s="39"/>
      <c r="S1226" s="37"/>
      <c r="T1226" s="38" t="s">
        <v>293</v>
      </c>
    </row>
    <row r="1227" ht="34.5">
      <c r="A1227" s="38" t="s">
        <v>1068</v>
      </c>
      <c r="B1227" s="38" t="s">
        <v>1069</v>
      </c>
      <c r="C1227" s="38" t="s">
        <v>871</v>
      </c>
      <c r="D1227" s="38" t="s">
        <v>288</v>
      </c>
      <c r="E1227" s="38" t="s">
        <v>768</v>
      </c>
      <c r="F1227" s="37" t="s">
        <v>769</v>
      </c>
      <c r="G1227" s="38" t="s">
        <v>70</v>
      </c>
      <c r="H1227" s="37"/>
      <c r="I1227" s="37"/>
      <c r="J1227" s="37" t="s">
        <v>1176</v>
      </c>
      <c r="K1227" s="40"/>
      <c r="L1227" s="38"/>
      <c r="M1227" s="38"/>
      <c r="N1227" s="37"/>
      <c r="O1227" s="37"/>
      <c r="P1227" s="37"/>
      <c r="Q1227" s="37"/>
      <c r="R1227" s="39"/>
      <c r="S1227" s="37"/>
      <c r="T1227" s="38" t="s">
        <v>293</v>
      </c>
    </row>
    <row r="1228" ht="34.5">
      <c r="A1228" s="38" t="s">
        <v>1068</v>
      </c>
      <c r="B1228" s="38" t="s">
        <v>1069</v>
      </c>
      <c r="C1228" s="38" t="s">
        <v>871</v>
      </c>
      <c r="D1228" s="38" t="s">
        <v>288</v>
      </c>
      <c r="E1228" s="38" t="s">
        <v>768</v>
      </c>
      <c r="F1228" s="37" t="s">
        <v>769</v>
      </c>
      <c r="G1228" s="38" t="s">
        <v>70</v>
      </c>
      <c r="H1228" s="37"/>
      <c r="I1228" s="37"/>
      <c r="J1228" s="37" t="s">
        <v>840</v>
      </c>
      <c r="K1228" s="40"/>
      <c r="L1228" s="38"/>
      <c r="M1228" s="38"/>
      <c r="N1228" s="37"/>
      <c r="O1228" s="37"/>
      <c r="P1228" s="37"/>
      <c r="Q1228" s="37"/>
      <c r="R1228" s="39"/>
      <c r="S1228" s="37"/>
      <c r="T1228" s="38" t="s">
        <v>293</v>
      </c>
    </row>
    <row r="1229" ht="34.5">
      <c r="A1229" s="38" t="s">
        <v>1068</v>
      </c>
      <c r="B1229" s="38" t="s">
        <v>1069</v>
      </c>
      <c r="C1229" s="38" t="s">
        <v>871</v>
      </c>
      <c r="D1229" s="38" t="s">
        <v>288</v>
      </c>
      <c r="E1229" s="38" t="s">
        <v>768</v>
      </c>
      <c r="F1229" s="37" t="s">
        <v>769</v>
      </c>
      <c r="G1229" s="38" t="s">
        <v>70</v>
      </c>
      <c r="H1229" s="37"/>
      <c r="I1229" s="37"/>
      <c r="J1229" s="37" t="s">
        <v>841</v>
      </c>
      <c r="K1229" s="40"/>
      <c r="L1229" s="38"/>
      <c r="M1229" s="38"/>
      <c r="N1229" s="37"/>
      <c r="O1229" s="37"/>
      <c r="P1229" s="37"/>
      <c r="Q1229" s="37"/>
      <c r="R1229" s="39"/>
      <c r="S1229" s="37"/>
      <c r="T1229" s="38" t="s">
        <v>293</v>
      </c>
    </row>
    <row r="1230" ht="34.5">
      <c r="A1230" s="38" t="s">
        <v>1068</v>
      </c>
      <c r="B1230" s="38" t="s">
        <v>1069</v>
      </c>
      <c r="C1230" s="38" t="s">
        <v>871</v>
      </c>
      <c r="D1230" s="38" t="s">
        <v>288</v>
      </c>
      <c r="E1230" s="38" t="s">
        <v>768</v>
      </c>
      <c r="F1230" s="37" t="s">
        <v>769</v>
      </c>
      <c r="G1230" s="38" t="s">
        <v>70</v>
      </c>
      <c r="H1230" s="37"/>
      <c r="I1230" s="37"/>
      <c r="J1230" s="37" t="s">
        <v>842</v>
      </c>
      <c r="K1230" s="40"/>
      <c r="L1230" s="38"/>
      <c r="M1230" s="38"/>
      <c r="N1230" s="37"/>
      <c r="O1230" s="37"/>
      <c r="P1230" s="37"/>
      <c r="Q1230" s="37"/>
      <c r="R1230" s="39"/>
      <c r="S1230" s="37"/>
      <c r="T1230" s="38" t="s">
        <v>293</v>
      </c>
    </row>
    <row r="1231" ht="34.5">
      <c r="A1231" s="38" t="s">
        <v>1068</v>
      </c>
      <c r="B1231" s="38" t="s">
        <v>1069</v>
      </c>
      <c r="C1231" s="38" t="s">
        <v>871</v>
      </c>
      <c r="D1231" s="38" t="s">
        <v>288</v>
      </c>
      <c r="E1231" s="38" t="s">
        <v>768</v>
      </c>
      <c r="F1231" s="37" t="s">
        <v>769</v>
      </c>
      <c r="G1231" s="38" t="s">
        <v>70</v>
      </c>
      <c r="H1231" s="37"/>
      <c r="I1231" s="37"/>
      <c r="J1231" s="37" t="s">
        <v>843</v>
      </c>
      <c r="K1231" s="40"/>
      <c r="L1231" s="38"/>
      <c r="M1231" s="38"/>
      <c r="N1231" s="37"/>
      <c r="O1231" s="37"/>
      <c r="P1231" s="37"/>
      <c r="Q1231" s="37"/>
      <c r="R1231" s="39"/>
      <c r="S1231" s="37"/>
      <c r="T1231" s="38" t="s">
        <v>293</v>
      </c>
    </row>
    <row r="1232" ht="34.5">
      <c r="A1232" s="38" t="s">
        <v>1068</v>
      </c>
      <c r="B1232" s="38" t="s">
        <v>1069</v>
      </c>
      <c r="C1232" s="38" t="s">
        <v>871</v>
      </c>
      <c r="D1232" s="38" t="s">
        <v>288</v>
      </c>
      <c r="E1232" s="38" t="s">
        <v>768</v>
      </c>
      <c r="F1232" s="37" t="s">
        <v>769</v>
      </c>
      <c r="G1232" s="38" t="s">
        <v>70</v>
      </c>
      <c r="H1232" s="37"/>
      <c r="I1232" s="37"/>
      <c r="J1232" s="37" t="s">
        <v>1050</v>
      </c>
      <c r="K1232" s="40"/>
      <c r="L1232" s="38"/>
      <c r="M1232" s="38"/>
      <c r="N1232" s="37"/>
      <c r="O1232" s="37"/>
      <c r="P1232" s="37"/>
      <c r="Q1232" s="37"/>
      <c r="R1232" s="39"/>
      <c r="S1232" s="37"/>
      <c r="T1232" s="38" t="s">
        <v>293</v>
      </c>
    </row>
    <row r="1233" ht="34.5">
      <c r="A1233" s="38" t="s">
        <v>1068</v>
      </c>
      <c r="B1233" s="38" t="s">
        <v>1069</v>
      </c>
      <c r="C1233" s="38" t="s">
        <v>871</v>
      </c>
      <c r="D1233" s="38" t="s">
        <v>288</v>
      </c>
      <c r="E1233" s="38" t="s">
        <v>768</v>
      </c>
      <c r="F1233" s="37" t="s">
        <v>769</v>
      </c>
      <c r="G1233" s="38" t="s">
        <v>70</v>
      </c>
      <c r="H1233" s="37"/>
      <c r="I1233" s="37"/>
      <c r="J1233" s="37" t="s">
        <v>1177</v>
      </c>
      <c r="K1233" s="40">
        <v>1</v>
      </c>
      <c r="L1233" s="38" t="s">
        <v>297</v>
      </c>
      <c r="M1233" s="38"/>
      <c r="N1233" s="37"/>
      <c r="O1233" s="37"/>
      <c r="P1233" s="37"/>
      <c r="Q1233" s="37"/>
      <c r="R1233" s="39"/>
      <c r="S1233" s="37"/>
      <c r="T1233" s="38" t="s">
        <v>293</v>
      </c>
    </row>
    <row r="1234" ht="34.5">
      <c r="A1234" s="38" t="s">
        <v>1068</v>
      </c>
      <c r="B1234" s="38" t="s">
        <v>1069</v>
      </c>
      <c r="C1234" s="38" t="s">
        <v>871</v>
      </c>
      <c r="D1234" s="38" t="s">
        <v>288</v>
      </c>
      <c r="E1234" s="38" t="s">
        <v>768</v>
      </c>
      <c r="F1234" s="37" t="s">
        <v>769</v>
      </c>
      <c r="G1234" s="38" t="s">
        <v>70</v>
      </c>
      <c r="H1234" s="37"/>
      <c r="I1234" s="37"/>
      <c r="J1234" s="37" t="s">
        <v>1178</v>
      </c>
      <c r="K1234" s="40"/>
      <c r="L1234" s="38"/>
      <c r="M1234" s="38"/>
      <c r="N1234" s="37"/>
      <c r="O1234" s="37"/>
      <c r="P1234" s="37"/>
      <c r="Q1234" s="37"/>
      <c r="R1234" s="39"/>
      <c r="S1234" s="37"/>
      <c r="T1234" s="38" t="s">
        <v>293</v>
      </c>
    </row>
    <row r="1235" ht="34.5">
      <c r="A1235" s="38" t="s">
        <v>1068</v>
      </c>
      <c r="B1235" s="38" t="s">
        <v>1069</v>
      </c>
      <c r="C1235" s="38" t="s">
        <v>871</v>
      </c>
      <c r="D1235" s="38" t="s">
        <v>288</v>
      </c>
      <c r="E1235" s="38" t="s">
        <v>768</v>
      </c>
      <c r="F1235" s="37" t="s">
        <v>769</v>
      </c>
      <c r="G1235" s="38" t="s">
        <v>70</v>
      </c>
      <c r="H1235" s="37"/>
      <c r="I1235" s="37"/>
      <c r="J1235" s="37" t="s">
        <v>1179</v>
      </c>
      <c r="K1235" s="40"/>
      <c r="L1235" s="38"/>
      <c r="M1235" s="38"/>
      <c r="N1235" s="37"/>
      <c r="O1235" s="37"/>
      <c r="P1235" s="37"/>
      <c r="Q1235" s="37"/>
      <c r="R1235" s="39"/>
      <c r="S1235" s="37"/>
      <c r="T1235" s="38" t="s">
        <v>293</v>
      </c>
    </row>
    <row r="1236" ht="34.5">
      <c r="A1236" s="38" t="s">
        <v>1068</v>
      </c>
      <c r="B1236" s="38" t="s">
        <v>1069</v>
      </c>
      <c r="C1236" s="38" t="s">
        <v>871</v>
      </c>
      <c r="D1236" s="38" t="s">
        <v>288</v>
      </c>
      <c r="E1236" s="38" t="s">
        <v>768</v>
      </c>
      <c r="F1236" s="37" t="s">
        <v>769</v>
      </c>
      <c r="G1236" s="38" t="s">
        <v>70</v>
      </c>
      <c r="H1236" s="37"/>
      <c r="I1236" s="37"/>
      <c r="J1236" s="37" t="s">
        <v>1180</v>
      </c>
      <c r="K1236" s="40"/>
      <c r="L1236" s="38"/>
      <c r="M1236" s="38"/>
      <c r="N1236" s="37"/>
      <c r="O1236" s="37"/>
      <c r="P1236" s="37"/>
      <c r="Q1236" s="37"/>
      <c r="R1236" s="39"/>
      <c r="S1236" s="37"/>
      <c r="T1236" s="38" t="s">
        <v>293</v>
      </c>
    </row>
    <row r="1237" ht="34.5">
      <c r="A1237" s="38" t="s">
        <v>1068</v>
      </c>
      <c r="B1237" s="38" t="s">
        <v>1069</v>
      </c>
      <c r="C1237" s="38" t="s">
        <v>871</v>
      </c>
      <c r="D1237" s="38" t="s">
        <v>288</v>
      </c>
      <c r="E1237" s="38" t="s">
        <v>768</v>
      </c>
      <c r="F1237" s="37" t="s">
        <v>769</v>
      </c>
      <c r="G1237" s="38" t="s">
        <v>70</v>
      </c>
      <c r="H1237" s="37"/>
      <c r="I1237" s="37"/>
      <c r="J1237" s="37" t="s">
        <v>1181</v>
      </c>
      <c r="K1237" s="40"/>
      <c r="L1237" s="38"/>
      <c r="M1237" s="38"/>
      <c r="N1237" s="37"/>
      <c r="O1237" s="37"/>
      <c r="P1237" s="37"/>
      <c r="Q1237" s="37"/>
      <c r="R1237" s="39"/>
      <c r="S1237" s="37"/>
      <c r="T1237" s="38" t="s">
        <v>293</v>
      </c>
    </row>
    <row r="1238" ht="34.5">
      <c r="A1238" s="38" t="s">
        <v>1068</v>
      </c>
      <c r="B1238" s="38" t="s">
        <v>1069</v>
      </c>
      <c r="C1238" s="38" t="s">
        <v>877</v>
      </c>
      <c r="D1238" s="38" t="s">
        <v>288</v>
      </c>
      <c r="E1238" s="38" t="s">
        <v>768</v>
      </c>
      <c r="F1238" s="37" t="s">
        <v>769</v>
      </c>
      <c r="G1238" s="38" t="s">
        <v>70</v>
      </c>
      <c r="H1238" s="37"/>
      <c r="I1238" s="37"/>
      <c r="J1238" s="37" t="s">
        <v>1182</v>
      </c>
      <c r="K1238" s="40"/>
      <c r="L1238" s="38"/>
      <c r="M1238" s="38"/>
      <c r="N1238" s="37"/>
      <c r="O1238" s="37"/>
      <c r="P1238" s="37"/>
      <c r="Q1238" s="37"/>
      <c r="R1238" s="39"/>
      <c r="S1238" s="37"/>
      <c r="T1238" s="38" t="s">
        <v>293</v>
      </c>
    </row>
    <row r="1239" ht="34.5">
      <c r="A1239" s="38" t="s">
        <v>1068</v>
      </c>
      <c r="B1239" s="38" t="s">
        <v>1069</v>
      </c>
      <c r="C1239" s="38" t="s">
        <v>877</v>
      </c>
      <c r="D1239" s="38" t="s">
        <v>288</v>
      </c>
      <c r="E1239" s="38" t="s">
        <v>768</v>
      </c>
      <c r="F1239" s="37" t="s">
        <v>769</v>
      </c>
      <c r="G1239" s="38" t="s">
        <v>70</v>
      </c>
      <c r="H1239" s="37"/>
      <c r="I1239" s="37"/>
      <c r="J1239" s="37" t="s">
        <v>1183</v>
      </c>
      <c r="K1239" s="40"/>
      <c r="L1239" s="38"/>
      <c r="M1239" s="38"/>
      <c r="N1239" s="37"/>
      <c r="O1239" s="37"/>
      <c r="P1239" s="37"/>
      <c r="Q1239" s="37"/>
      <c r="R1239" s="39"/>
      <c r="S1239" s="37"/>
      <c r="T1239" s="38" t="s">
        <v>293</v>
      </c>
    </row>
    <row r="1240" ht="34.5">
      <c r="A1240" s="38" t="s">
        <v>1068</v>
      </c>
      <c r="B1240" s="38" t="s">
        <v>1069</v>
      </c>
      <c r="C1240" s="38" t="s">
        <v>877</v>
      </c>
      <c r="D1240" s="38" t="s">
        <v>288</v>
      </c>
      <c r="E1240" s="38" t="s">
        <v>768</v>
      </c>
      <c r="F1240" s="37" t="s">
        <v>769</v>
      </c>
      <c r="G1240" s="38" t="s">
        <v>70</v>
      </c>
      <c r="H1240" s="37"/>
      <c r="I1240" s="37"/>
      <c r="J1240" s="37" t="s">
        <v>1184</v>
      </c>
      <c r="K1240" s="40"/>
      <c r="L1240" s="38"/>
      <c r="M1240" s="38"/>
      <c r="N1240" s="37"/>
      <c r="O1240" s="37"/>
      <c r="P1240" s="37"/>
      <c r="Q1240" s="37"/>
      <c r="R1240" s="39"/>
      <c r="S1240" s="37"/>
      <c r="T1240" s="38" t="s">
        <v>293</v>
      </c>
    </row>
    <row r="1241" ht="34.5">
      <c r="A1241" s="38" t="s">
        <v>1068</v>
      </c>
      <c r="B1241" s="38" t="s">
        <v>1069</v>
      </c>
      <c r="C1241" s="38" t="s">
        <v>877</v>
      </c>
      <c r="D1241" s="38" t="s">
        <v>288</v>
      </c>
      <c r="E1241" s="38" t="s">
        <v>768</v>
      </c>
      <c r="F1241" s="37" t="s">
        <v>769</v>
      </c>
      <c r="G1241" s="38" t="s">
        <v>70</v>
      </c>
      <c r="H1241" s="37"/>
      <c r="I1241" s="37"/>
      <c r="J1241" s="37" t="s">
        <v>1185</v>
      </c>
      <c r="K1241" s="40"/>
      <c r="L1241" s="38"/>
      <c r="M1241" s="38"/>
      <c r="N1241" s="37"/>
      <c r="O1241" s="37"/>
      <c r="P1241" s="37"/>
      <c r="Q1241" s="37"/>
      <c r="R1241" s="39"/>
      <c r="S1241" s="37"/>
      <c r="T1241" s="38" t="s">
        <v>293</v>
      </c>
    </row>
    <row r="1242" ht="34.5">
      <c r="A1242" s="38" t="s">
        <v>1068</v>
      </c>
      <c r="B1242" s="38" t="s">
        <v>1069</v>
      </c>
      <c r="C1242" s="38" t="s">
        <v>877</v>
      </c>
      <c r="D1242" s="38" t="s">
        <v>288</v>
      </c>
      <c r="E1242" s="38" t="s">
        <v>768</v>
      </c>
      <c r="F1242" s="37" t="s">
        <v>769</v>
      </c>
      <c r="G1242" s="38" t="s">
        <v>70</v>
      </c>
      <c r="H1242" s="37"/>
      <c r="I1242" s="37"/>
      <c r="J1242" s="37" t="s">
        <v>1186</v>
      </c>
      <c r="K1242" s="40">
        <v>1</v>
      </c>
      <c r="L1242" s="38" t="s">
        <v>297</v>
      </c>
      <c r="M1242" s="38"/>
      <c r="N1242" s="37"/>
      <c r="O1242" s="37"/>
      <c r="P1242" s="37"/>
      <c r="Q1242" s="37"/>
      <c r="R1242" s="39"/>
      <c r="S1242" s="37"/>
      <c r="T1242" s="38" t="s">
        <v>293</v>
      </c>
    </row>
    <row r="1243" ht="34.5">
      <c r="A1243" s="38" t="s">
        <v>1068</v>
      </c>
      <c r="B1243" s="38" t="s">
        <v>1069</v>
      </c>
      <c r="C1243" s="38" t="s">
        <v>877</v>
      </c>
      <c r="D1243" s="38" t="s">
        <v>288</v>
      </c>
      <c r="E1243" s="38" t="s">
        <v>852</v>
      </c>
      <c r="F1243" s="37" t="s">
        <v>1187</v>
      </c>
      <c r="G1243" s="38" t="s">
        <v>70</v>
      </c>
      <c r="H1243" s="37"/>
      <c r="I1243" s="37"/>
      <c r="J1243" s="37" t="s">
        <v>1188</v>
      </c>
      <c r="K1243" s="40"/>
      <c r="L1243" s="38"/>
      <c r="M1243" s="38"/>
      <c r="N1243" s="37"/>
      <c r="O1243" s="37"/>
      <c r="P1243" s="37"/>
      <c r="Q1243" s="37"/>
      <c r="R1243" s="39"/>
      <c r="S1243" s="37"/>
      <c r="T1243" s="38" t="s">
        <v>293</v>
      </c>
    </row>
    <row r="1244" ht="34.5">
      <c r="A1244" s="38" t="s">
        <v>1068</v>
      </c>
      <c r="B1244" s="38" t="s">
        <v>1069</v>
      </c>
      <c r="C1244" s="38" t="s">
        <v>877</v>
      </c>
      <c r="D1244" s="38" t="s">
        <v>1015</v>
      </c>
      <c r="E1244" s="38" t="s">
        <v>852</v>
      </c>
      <c r="F1244" s="37" t="s">
        <v>1187</v>
      </c>
      <c r="G1244" s="38" t="s">
        <v>70</v>
      </c>
      <c r="H1244" s="37"/>
      <c r="I1244" s="37"/>
      <c r="J1244" s="37" t="s">
        <v>1016</v>
      </c>
      <c r="K1244" s="40"/>
      <c r="L1244" s="38"/>
      <c r="M1244" s="38"/>
      <c r="N1244" s="37"/>
      <c r="O1244" s="37"/>
      <c r="P1244" s="37"/>
      <c r="Q1244" s="37"/>
      <c r="R1244" s="39"/>
      <c r="S1244" s="37"/>
      <c r="T1244" s="38" t="s">
        <v>293</v>
      </c>
    </row>
    <row r="1245" ht="34.5">
      <c r="A1245" s="38" t="s">
        <v>1068</v>
      </c>
      <c r="B1245" s="38" t="s">
        <v>1069</v>
      </c>
      <c r="C1245" s="38" t="s">
        <v>1049</v>
      </c>
      <c r="D1245" s="38" t="s">
        <v>288</v>
      </c>
      <c r="E1245" s="38" t="s">
        <v>852</v>
      </c>
      <c r="F1245" s="37" t="s">
        <v>1187</v>
      </c>
      <c r="G1245" s="38" t="s">
        <v>70</v>
      </c>
      <c r="H1245" s="37"/>
      <c r="I1245" s="37"/>
      <c r="J1245" s="37" t="s">
        <v>878</v>
      </c>
      <c r="K1245" s="40"/>
      <c r="L1245" s="38"/>
      <c r="M1245" s="38"/>
      <c r="N1245" s="37"/>
      <c r="O1245" s="37"/>
      <c r="P1245" s="37"/>
      <c r="Q1245" s="37"/>
      <c r="R1245" s="39"/>
      <c r="S1245" s="37"/>
      <c r="T1245" s="38" t="s">
        <v>293</v>
      </c>
    </row>
    <row r="1246" ht="34.5">
      <c r="A1246" s="38" t="s">
        <v>1068</v>
      </c>
      <c r="B1246" s="38" t="s">
        <v>1069</v>
      </c>
      <c r="C1246" s="38" t="s">
        <v>1049</v>
      </c>
      <c r="D1246" s="38" t="s">
        <v>288</v>
      </c>
      <c r="E1246" s="38" t="s">
        <v>852</v>
      </c>
      <c r="F1246" s="37" t="s">
        <v>1187</v>
      </c>
      <c r="G1246" s="38" t="s">
        <v>70</v>
      </c>
      <c r="H1246" s="37"/>
      <c r="I1246" s="37"/>
      <c r="J1246" s="37" t="s">
        <v>1189</v>
      </c>
      <c r="K1246" s="40"/>
      <c r="L1246" s="38"/>
      <c r="M1246" s="38"/>
      <c r="N1246" s="37"/>
      <c r="O1246" s="37"/>
      <c r="P1246" s="37"/>
      <c r="Q1246" s="37"/>
      <c r="R1246" s="39"/>
      <c r="S1246" s="37"/>
      <c r="T1246" s="38" t="s">
        <v>293</v>
      </c>
    </row>
    <row r="1247" ht="34.5">
      <c r="A1247" s="38" t="s">
        <v>1068</v>
      </c>
      <c r="B1247" s="38" t="s">
        <v>1069</v>
      </c>
      <c r="C1247" s="38" t="s">
        <v>1049</v>
      </c>
      <c r="D1247" s="38" t="s">
        <v>288</v>
      </c>
      <c r="E1247" s="38" t="s">
        <v>852</v>
      </c>
      <c r="F1247" s="37" t="s">
        <v>1187</v>
      </c>
      <c r="G1247" s="38" t="s">
        <v>70</v>
      </c>
      <c r="H1247" s="37"/>
      <c r="I1247" s="37"/>
      <c r="J1247" s="37" t="s">
        <v>880</v>
      </c>
      <c r="K1247" s="40"/>
      <c r="L1247" s="38"/>
      <c r="M1247" s="38"/>
      <c r="N1247" s="37"/>
      <c r="O1247" s="37"/>
      <c r="P1247" s="37"/>
      <c r="Q1247" s="37"/>
      <c r="R1247" s="39"/>
      <c r="S1247" s="37"/>
      <c r="T1247" s="38" t="s">
        <v>293</v>
      </c>
    </row>
    <row r="1248" ht="34.5">
      <c r="A1248" s="38" t="s">
        <v>1068</v>
      </c>
      <c r="B1248" s="38" t="s">
        <v>1069</v>
      </c>
      <c r="C1248" s="38" t="s">
        <v>1049</v>
      </c>
      <c r="D1248" s="38" t="s">
        <v>1024</v>
      </c>
      <c r="E1248" s="38" t="s">
        <v>852</v>
      </c>
      <c r="F1248" s="37" t="s">
        <v>1187</v>
      </c>
      <c r="G1248" s="38" t="s">
        <v>70</v>
      </c>
      <c r="H1248" s="37"/>
      <c r="I1248" s="37"/>
      <c r="J1248" s="37" t="s">
        <v>1025</v>
      </c>
      <c r="K1248" s="40"/>
      <c r="L1248" s="38"/>
      <c r="M1248" s="38"/>
      <c r="N1248" s="37"/>
      <c r="O1248" s="37"/>
      <c r="P1248" s="37"/>
      <c r="Q1248" s="37"/>
      <c r="R1248" s="39"/>
      <c r="S1248" s="37"/>
      <c r="T1248" s="38" t="s">
        <v>293</v>
      </c>
    </row>
    <row r="1249" ht="34.5">
      <c r="A1249" s="38" t="s">
        <v>1068</v>
      </c>
      <c r="B1249" s="38" t="s">
        <v>1069</v>
      </c>
      <c r="C1249" s="38" t="s">
        <v>1049</v>
      </c>
      <c r="D1249" s="38" t="s">
        <v>288</v>
      </c>
      <c r="E1249" s="38" t="s">
        <v>852</v>
      </c>
      <c r="F1249" s="37" t="s">
        <v>1187</v>
      </c>
      <c r="G1249" s="38" t="s">
        <v>70</v>
      </c>
      <c r="H1249" s="37"/>
      <c r="I1249" s="37"/>
      <c r="J1249" s="37" t="s">
        <v>883</v>
      </c>
      <c r="K1249" s="40"/>
      <c r="L1249" s="38"/>
      <c r="M1249" s="38"/>
      <c r="N1249" s="37"/>
      <c r="O1249" s="37"/>
      <c r="P1249" s="37"/>
      <c r="Q1249" s="37"/>
      <c r="R1249" s="39"/>
      <c r="S1249" s="37"/>
      <c r="T1249" s="38" t="s">
        <v>293</v>
      </c>
    </row>
    <row r="1250" ht="34.5">
      <c r="A1250" s="38" t="s">
        <v>1068</v>
      </c>
      <c r="B1250" s="38" t="s">
        <v>1069</v>
      </c>
      <c r="C1250" s="38" t="s">
        <v>1057</v>
      </c>
      <c r="D1250" s="38" t="s">
        <v>1062</v>
      </c>
      <c r="E1250" s="38" t="s">
        <v>852</v>
      </c>
      <c r="F1250" s="37" t="s">
        <v>1187</v>
      </c>
      <c r="G1250" s="38" t="s">
        <v>70</v>
      </c>
      <c r="H1250" s="37"/>
      <c r="I1250" s="37"/>
      <c r="J1250" s="37" t="s">
        <v>1063</v>
      </c>
      <c r="K1250" s="40"/>
      <c r="L1250" s="38"/>
      <c r="M1250" s="38"/>
      <c r="N1250" s="37"/>
      <c r="O1250" s="37"/>
      <c r="P1250" s="37"/>
      <c r="Q1250" s="37"/>
      <c r="R1250" s="39"/>
      <c r="S1250" s="37"/>
      <c r="T1250" s="38" t="s">
        <v>293</v>
      </c>
    </row>
    <row r="1251" ht="34.5">
      <c r="A1251" s="38" t="s">
        <v>1068</v>
      </c>
      <c r="B1251" s="38" t="s">
        <v>1069</v>
      </c>
      <c r="C1251" s="38" t="s">
        <v>1064</v>
      </c>
      <c r="D1251" s="38" t="s">
        <v>288</v>
      </c>
      <c r="E1251" s="38" t="s">
        <v>852</v>
      </c>
      <c r="F1251" s="37" t="s">
        <v>1187</v>
      </c>
      <c r="G1251" s="38" t="s">
        <v>70</v>
      </c>
      <c r="H1251" s="37"/>
      <c r="I1251" s="37"/>
      <c r="J1251" s="37" t="s">
        <v>1190</v>
      </c>
      <c r="K1251" s="40"/>
      <c r="L1251" s="38"/>
      <c r="M1251" s="38"/>
      <c r="N1251" s="37"/>
      <c r="O1251" s="37"/>
      <c r="P1251" s="37"/>
      <c r="Q1251" s="37"/>
      <c r="R1251" s="39"/>
      <c r="S1251" s="37"/>
      <c r="T1251" s="38" t="s">
        <v>293</v>
      </c>
    </row>
    <row r="1252" ht="34.5">
      <c r="A1252" s="38" t="s">
        <v>1068</v>
      </c>
      <c r="B1252" s="38" t="s">
        <v>1069</v>
      </c>
      <c r="C1252" s="38" t="s">
        <v>1064</v>
      </c>
      <c r="D1252" s="38" t="s">
        <v>288</v>
      </c>
      <c r="E1252" s="38" t="s">
        <v>852</v>
      </c>
      <c r="F1252" s="37" t="s">
        <v>1187</v>
      </c>
      <c r="G1252" s="38" t="s">
        <v>70</v>
      </c>
      <c r="H1252" s="37"/>
      <c r="I1252" s="37"/>
      <c r="J1252" s="37" t="s">
        <v>1191</v>
      </c>
      <c r="K1252" s="40"/>
      <c r="L1252" s="38"/>
      <c r="M1252" s="38"/>
      <c r="N1252" s="37"/>
      <c r="O1252" s="37"/>
      <c r="P1252" s="37"/>
      <c r="Q1252" s="37"/>
      <c r="R1252" s="39"/>
      <c r="S1252" s="37"/>
      <c r="T1252" s="38" t="s">
        <v>293</v>
      </c>
    </row>
    <row r="1253" ht="34.5">
      <c r="A1253" s="38" t="s">
        <v>1068</v>
      </c>
      <c r="B1253" s="38" t="s">
        <v>1069</v>
      </c>
      <c r="C1253" s="38" t="s">
        <v>1064</v>
      </c>
      <c r="D1253" s="38" t="s">
        <v>1066</v>
      </c>
      <c r="E1253" s="38" t="s">
        <v>852</v>
      </c>
      <c r="F1253" s="37" t="s">
        <v>1187</v>
      </c>
      <c r="G1253" s="38" t="s">
        <v>70</v>
      </c>
      <c r="H1253" s="37"/>
      <c r="I1253" s="37"/>
      <c r="J1253" s="37" t="s">
        <v>1067</v>
      </c>
      <c r="K1253" s="40"/>
      <c r="L1253" s="38"/>
      <c r="M1253" s="38"/>
      <c r="N1253" s="37"/>
      <c r="O1253" s="37"/>
      <c r="P1253" s="37"/>
      <c r="Q1253" s="37"/>
      <c r="R1253" s="39"/>
      <c r="S1253" s="37"/>
      <c r="T1253" s="38" t="s">
        <v>293</v>
      </c>
    </row>
    <row r="1254" ht="34.5">
      <c r="A1254" s="38" t="s">
        <v>1068</v>
      </c>
      <c r="B1254" s="38" t="s">
        <v>1069</v>
      </c>
      <c r="C1254" s="38" t="s">
        <v>1192</v>
      </c>
      <c r="D1254" s="38" t="s">
        <v>288</v>
      </c>
      <c r="E1254" s="38" t="s">
        <v>852</v>
      </c>
      <c r="F1254" s="37" t="s">
        <v>1187</v>
      </c>
      <c r="G1254" s="38" t="s">
        <v>70</v>
      </c>
      <c r="H1254" s="37"/>
      <c r="I1254" s="37"/>
      <c r="J1254" s="37" t="s">
        <v>1193</v>
      </c>
      <c r="K1254" s="40"/>
      <c r="L1254" s="38"/>
      <c r="M1254" s="38"/>
      <c r="N1254" s="37"/>
      <c r="O1254" s="37"/>
      <c r="P1254" s="37"/>
      <c r="Q1254" s="37"/>
      <c r="R1254" s="39"/>
      <c r="S1254" s="37"/>
      <c r="T1254" s="38" t="s">
        <v>293</v>
      </c>
    </row>
    <row r="1255" ht="34.5">
      <c r="A1255" s="38" t="s">
        <v>1068</v>
      </c>
      <c r="B1255" s="38" t="s">
        <v>1069</v>
      </c>
      <c r="C1255" s="38" t="s">
        <v>1192</v>
      </c>
      <c r="D1255" s="38" t="s">
        <v>288</v>
      </c>
      <c r="E1255" s="38" t="s">
        <v>852</v>
      </c>
      <c r="F1255" s="37" t="s">
        <v>1187</v>
      </c>
      <c r="G1255" s="38" t="s">
        <v>70</v>
      </c>
      <c r="H1255" s="37"/>
      <c r="I1255" s="37"/>
      <c r="J1255" s="37" t="s">
        <v>1194</v>
      </c>
      <c r="K1255" s="40"/>
      <c r="L1255" s="38"/>
      <c r="M1255" s="38"/>
      <c r="N1255" s="37"/>
      <c r="O1255" s="37"/>
      <c r="P1255" s="37"/>
      <c r="Q1255" s="37"/>
      <c r="R1255" s="39"/>
      <c r="S1255" s="37"/>
      <c r="T1255" s="38" t="s">
        <v>293</v>
      </c>
    </row>
    <row r="1256" ht="34.5">
      <c r="A1256" s="38" t="s">
        <v>1068</v>
      </c>
      <c r="B1256" s="38" t="s">
        <v>1069</v>
      </c>
      <c r="C1256" s="38" t="s">
        <v>1192</v>
      </c>
      <c r="D1256" s="38" t="s">
        <v>288</v>
      </c>
      <c r="E1256" s="38" t="s">
        <v>852</v>
      </c>
      <c r="F1256" s="37" t="s">
        <v>1187</v>
      </c>
      <c r="G1256" s="38" t="s">
        <v>70</v>
      </c>
      <c r="H1256" s="37"/>
      <c r="I1256" s="37"/>
      <c r="J1256" s="37" t="s">
        <v>1195</v>
      </c>
      <c r="K1256" s="40"/>
      <c r="L1256" s="38"/>
      <c r="M1256" s="38"/>
      <c r="N1256" s="37"/>
      <c r="O1256" s="37"/>
      <c r="P1256" s="37"/>
      <c r="Q1256" s="37"/>
      <c r="R1256" s="39"/>
      <c r="S1256" s="37"/>
      <c r="T1256" s="38" t="s">
        <v>293</v>
      </c>
    </row>
    <row r="1257" ht="34.5">
      <c r="A1257" s="38" t="s">
        <v>1068</v>
      </c>
      <c r="B1257" s="38" t="s">
        <v>1069</v>
      </c>
      <c r="C1257" s="38" t="s">
        <v>1196</v>
      </c>
      <c r="D1257" s="38" t="s">
        <v>288</v>
      </c>
      <c r="E1257" s="38" t="s">
        <v>852</v>
      </c>
      <c r="F1257" s="37" t="s">
        <v>1187</v>
      </c>
      <c r="G1257" s="38" t="s">
        <v>70</v>
      </c>
      <c r="H1257" s="37"/>
      <c r="I1257" s="37"/>
      <c r="J1257" s="37" t="s">
        <v>1197</v>
      </c>
      <c r="K1257" s="40"/>
      <c r="L1257" s="38"/>
      <c r="M1257" s="38"/>
      <c r="N1257" s="37"/>
      <c r="O1257" s="37"/>
      <c r="P1257" s="37"/>
      <c r="Q1257" s="37"/>
      <c r="R1257" s="39"/>
      <c r="S1257" s="37"/>
      <c r="T1257" s="38" t="s">
        <v>293</v>
      </c>
    </row>
    <row r="1258" ht="34.5">
      <c r="A1258" s="38" t="s">
        <v>1068</v>
      </c>
      <c r="B1258" s="38" t="s">
        <v>1069</v>
      </c>
      <c r="C1258" s="38" t="s">
        <v>1196</v>
      </c>
      <c r="D1258" s="38" t="s">
        <v>288</v>
      </c>
      <c r="E1258" s="38" t="s">
        <v>852</v>
      </c>
      <c r="F1258" s="37" t="s">
        <v>1187</v>
      </c>
      <c r="G1258" s="38" t="s">
        <v>70</v>
      </c>
      <c r="H1258" s="37"/>
      <c r="I1258" s="37"/>
      <c r="J1258" s="37" t="s">
        <v>1198</v>
      </c>
      <c r="K1258" s="40"/>
      <c r="L1258" s="38"/>
      <c r="M1258" s="38"/>
      <c r="N1258" s="37"/>
      <c r="O1258" s="37"/>
      <c r="P1258" s="37"/>
      <c r="Q1258" s="37"/>
      <c r="R1258" s="39"/>
      <c r="S1258" s="37"/>
      <c r="T1258" s="38" t="s">
        <v>293</v>
      </c>
    </row>
    <row r="1259" ht="34.5">
      <c r="A1259" s="38" t="s">
        <v>1068</v>
      </c>
      <c r="B1259" s="38" t="s">
        <v>1069</v>
      </c>
      <c r="C1259" s="38" t="s">
        <v>1196</v>
      </c>
      <c r="D1259" s="38" t="s">
        <v>288</v>
      </c>
      <c r="E1259" s="38" t="s">
        <v>852</v>
      </c>
      <c r="F1259" s="37" t="s">
        <v>1187</v>
      </c>
      <c r="G1259" s="38" t="s">
        <v>70</v>
      </c>
      <c r="H1259" s="37"/>
      <c r="I1259" s="37"/>
      <c r="J1259" s="37" t="s">
        <v>1199</v>
      </c>
      <c r="K1259" s="40"/>
      <c r="L1259" s="38"/>
      <c r="M1259" s="38"/>
      <c r="N1259" s="37"/>
      <c r="O1259" s="37"/>
      <c r="P1259" s="37"/>
      <c r="Q1259" s="37"/>
      <c r="R1259" s="39"/>
      <c r="S1259" s="37"/>
      <c r="T1259" s="38" t="s">
        <v>293</v>
      </c>
    </row>
    <row r="1260" ht="34.5">
      <c r="A1260" s="38" t="s">
        <v>1068</v>
      </c>
      <c r="B1260" s="38" t="s">
        <v>1069</v>
      </c>
      <c r="C1260" s="38" t="s">
        <v>1200</v>
      </c>
      <c r="D1260" s="38" t="s">
        <v>288</v>
      </c>
      <c r="E1260" s="38" t="s">
        <v>852</v>
      </c>
      <c r="F1260" s="37" t="s">
        <v>1187</v>
      </c>
      <c r="G1260" s="38" t="s">
        <v>70</v>
      </c>
      <c r="H1260" s="37"/>
      <c r="I1260" s="37"/>
      <c r="J1260" s="37" t="s">
        <v>1201</v>
      </c>
      <c r="K1260" s="40"/>
      <c r="L1260" s="38"/>
      <c r="M1260" s="38"/>
      <c r="N1260" s="37"/>
      <c r="O1260" s="37"/>
      <c r="P1260" s="37"/>
      <c r="Q1260" s="37"/>
      <c r="R1260" s="39"/>
      <c r="S1260" s="37"/>
      <c r="T1260" s="38" t="s">
        <v>293</v>
      </c>
    </row>
    <row r="1261" ht="34.5">
      <c r="A1261" s="38" t="s">
        <v>1068</v>
      </c>
      <c r="B1261" s="38" t="s">
        <v>1069</v>
      </c>
      <c r="C1261" s="38" t="s">
        <v>1200</v>
      </c>
      <c r="D1261" s="38" t="s">
        <v>288</v>
      </c>
      <c r="E1261" s="38" t="s">
        <v>852</v>
      </c>
      <c r="F1261" s="37" t="s">
        <v>1187</v>
      </c>
      <c r="G1261" s="38" t="s">
        <v>70</v>
      </c>
      <c r="H1261" s="37"/>
      <c r="I1261" s="37"/>
      <c r="J1261" s="37" t="s">
        <v>1202</v>
      </c>
      <c r="K1261" s="40"/>
      <c r="L1261" s="38"/>
      <c r="M1261" s="38"/>
      <c r="N1261" s="37"/>
      <c r="O1261" s="37"/>
      <c r="P1261" s="37"/>
      <c r="Q1261" s="37"/>
      <c r="R1261" s="39"/>
      <c r="S1261" s="37"/>
      <c r="T1261" s="38" t="s">
        <v>293</v>
      </c>
    </row>
    <row r="1262" ht="34.5">
      <c r="A1262" s="38" t="s">
        <v>1068</v>
      </c>
      <c r="B1262" s="38" t="s">
        <v>1069</v>
      </c>
      <c r="C1262" s="38" t="s">
        <v>1200</v>
      </c>
      <c r="D1262" s="38" t="s">
        <v>288</v>
      </c>
      <c r="E1262" s="38" t="s">
        <v>852</v>
      </c>
      <c r="F1262" s="37" t="s">
        <v>1187</v>
      </c>
      <c r="G1262" s="38" t="s">
        <v>70</v>
      </c>
      <c r="H1262" s="37"/>
      <c r="I1262" s="37"/>
      <c r="J1262" s="37" t="s">
        <v>1203</v>
      </c>
      <c r="K1262" s="40"/>
      <c r="L1262" s="38"/>
      <c r="M1262" s="38"/>
      <c r="N1262" s="37"/>
      <c r="O1262" s="37"/>
      <c r="P1262" s="37"/>
      <c r="Q1262" s="37"/>
      <c r="R1262" s="39"/>
      <c r="S1262" s="37"/>
      <c r="T1262" s="38" t="s">
        <v>293</v>
      </c>
    </row>
    <row r="1263" ht="34.5">
      <c r="A1263" s="38" t="s">
        <v>1068</v>
      </c>
      <c r="B1263" s="38" t="s">
        <v>1069</v>
      </c>
      <c r="C1263" s="38" t="s">
        <v>1200</v>
      </c>
      <c r="D1263" s="38" t="s">
        <v>288</v>
      </c>
      <c r="E1263" s="38" t="s">
        <v>852</v>
      </c>
      <c r="F1263" s="37" t="s">
        <v>1187</v>
      </c>
      <c r="G1263" s="38" t="s">
        <v>70</v>
      </c>
      <c r="H1263" s="37"/>
      <c r="I1263" s="37"/>
      <c r="J1263" s="37" t="s">
        <v>1204</v>
      </c>
      <c r="K1263" s="40"/>
      <c r="L1263" s="38"/>
      <c r="M1263" s="38"/>
      <c r="N1263" s="37"/>
      <c r="O1263" s="37"/>
      <c r="P1263" s="37"/>
      <c r="Q1263" s="37"/>
      <c r="R1263" s="39"/>
      <c r="S1263" s="37"/>
      <c r="T1263" s="38" t="s">
        <v>293</v>
      </c>
    </row>
    <row r="1264" ht="34.5">
      <c r="A1264" s="38" t="s">
        <v>1068</v>
      </c>
      <c r="B1264" s="38" t="s">
        <v>1069</v>
      </c>
      <c r="C1264" s="38" t="s">
        <v>1205</v>
      </c>
      <c r="D1264" s="38" t="s">
        <v>288</v>
      </c>
      <c r="E1264" s="38" t="s">
        <v>852</v>
      </c>
      <c r="F1264" s="37" t="s">
        <v>1187</v>
      </c>
      <c r="G1264" s="38" t="s">
        <v>70</v>
      </c>
      <c r="H1264" s="37"/>
      <c r="I1264" s="37"/>
      <c r="J1264" s="37" t="s">
        <v>1206</v>
      </c>
      <c r="K1264" s="40"/>
      <c r="L1264" s="38"/>
      <c r="M1264" s="38"/>
      <c r="N1264" s="37"/>
      <c r="O1264" s="37"/>
      <c r="P1264" s="37"/>
      <c r="Q1264" s="37"/>
      <c r="R1264" s="39"/>
      <c r="S1264" s="37"/>
      <c r="T1264" s="38" t="s">
        <v>293</v>
      </c>
    </row>
    <row r="1265" ht="34.5">
      <c r="A1265" s="38" t="s">
        <v>1068</v>
      </c>
      <c r="B1265" s="38" t="s">
        <v>1069</v>
      </c>
      <c r="C1265" s="38" t="s">
        <v>1205</v>
      </c>
      <c r="D1265" s="38" t="s">
        <v>288</v>
      </c>
      <c r="E1265" s="38" t="s">
        <v>852</v>
      </c>
      <c r="F1265" s="37" t="s">
        <v>1187</v>
      </c>
      <c r="G1265" s="38" t="s">
        <v>70</v>
      </c>
      <c r="H1265" s="37"/>
      <c r="I1265" s="37"/>
      <c r="J1265" s="37" t="s">
        <v>1207</v>
      </c>
      <c r="K1265" s="40"/>
      <c r="L1265" s="38"/>
      <c r="M1265" s="38"/>
      <c r="N1265" s="37"/>
      <c r="O1265" s="37"/>
      <c r="P1265" s="37"/>
      <c r="Q1265" s="37"/>
      <c r="R1265" s="39"/>
      <c r="S1265" s="37"/>
      <c r="T1265" s="38" t="s">
        <v>293</v>
      </c>
    </row>
    <row r="1266" ht="34.5">
      <c r="A1266" s="38" t="s">
        <v>1068</v>
      </c>
      <c r="B1266" s="38" t="s">
        <v>1069</v>
      </c>
      <c r="C1266" s="38" t="s">
        <v>1205</v>
      </c>
      <c r="D1266" s="38" t="s">
        <v>288</v>
      </c>
      <c r="E1266" s="38" t="s">
        <v>852</v>
      </c>
      <c r="F1266" s="37" t="s">
        <v>1187</v>
      </c>
      <c r="G1266" s="38" t="s">
        <v>70</v>
      </c>
      <c r="H1266" s="37"/>
      <c r="I1266" s="37"/>
      <c r="J1266" s="37" t="s">
        <v>1208</v>
      </c>
      <c r="K1266" s="40"/>
      <c r="L1266" s="38"/>
      <c r="M1266" s="38"/>
      <c r="N1266" s="37"/>
      <c r="O1266" s="37"/>
      <c r="P1266" s="37"/>
      <c r="Q1266" s="37"/>
      <c r="R1266" s="39"/>
      <c r="S1266" s="37"/>
      <c r="T1266" s="38" t="s">
        <v>293</v>
      </c>
    </row>
    <row r="1267" ht="34.5">
      <c r="A1267" s="38" t="s">
        <v>1068</v>
      </c>
      <c r="B1267" s="38" t="s">
        <v>1069</v>
      </c>
      <c r="C1267" s="38" t="s">
        <v>1205</v>
      </c>
      <c r="D1267" s="38" t="s">
        <v>288</v>
      </c>
      <c r="E1267" s="38" t="s">
        <v>852</v>
      </c>
      <c r="F1267" s="37" t="s">
        <v>1187</v>
      </c>
      <c r="G1267" s="38" t="s">
        <v>70</v>
      </c>
      <c r="H1267" s="37"/>
      <c r="I1267" s="37"/>
      <c r="J1267" s="37" t="s">
        <v>1209</v>
      </c>
      <c r="K1267" s="40"/>
      <c r="L1267" s="38"/>
      <c r="M1267" s="38"/>
      <c r="N1267" s="37"/>
      <c r="O1267" s="37"/>
      <c r="P1267" s="37"/>
      <c r="Q1267" s="37"/>
      <c r="R1267" s="39"/>
      <c r="S1267" s="37"/>
      <c r="T1267" s="38" t="s">
        <v>293</v>
      </c>
    </row>
    <row r="1268" ht="34.5">
      <c r="A1268" s="38" t="s">
        <v>1068</v>
      </c>
      <c r="B1268" s="38" t="s">
        <v>1069</v>
      </c>
      <c r="C1268" s="38" t="s">
        <v>1205</v>
      </c>
      <c r="D1268" s="38" t="s">
        <v>288</v>
      </c>
      <c r="E1268" s="38" t="s">
        <v>852</v>
      </c>
      <c r="F1268" s="37" t="s">
        <v>1187</v>
      </c>
      <c r="G1268" s="38" t="s">
        <v>70</v>
      </c>
      <c r="H1268" s="37"/>
      <c r="I1268" s="37"/>
      <c r="J1268" s="37" t="s">
        <v>1210</v>
      </c>
      <c r="K1268" s="40"/>
      <c r="L1268" s="38"/>
      <c r="M1268" s="38"/>
      <c r="N1268" s="37"/>
      <c r="O1268" s="37"/>
      <c r="P1268" s="37"/>
      <c r="Q1268" s="37"/>
      <c r="R1268" s="39"/>
      <c r="S1268" s="37"/>
      <c r="T1268" s="38" t="s">
        <v>293</v>
      </c>
    </row>
    <row r="1269" ht="34.5">
      <c r="A1269" s="38" t="s">
        <v>1068</v>
      </c>
      <c r="B1269" s="38" t="s">
        <v>1069</v>
      </c>
      <c r="C1269" s="38" t="s">
        <v>1205</v>
      </c>
      <c r="D1269" s="38" t="s">
        <v>288</v>
      </c>
      <c r="E1269" s="38" t="s">
        <v>852</v>
      </c>
      <c r="F1269" s="37" t="s">
        <v>1187</v>
      </c>
      <c r="G1269" s="38" t="s">
        <v>70</v>
      </c>
      <c r="H1269" s="37"/>
      <c r="I1269" s="37"/>
      <c r="J1269" s="37" t="s">
        <v>1211</v>
      </c>
      <c r="K1269" s="40"/>
      <c r="L1269" s="38"/>
      <c r="M1269" s="38"/>
      <c r="N1269" s="37"/>
      <c r="O1269" s="37"/>
      <c r="P1269" s="37"/>
      <c r="Q1269" s="37"/>
      <c r="R1269" s="39"/>
      <c r="S1269" s="37"/>
      <c r="T1269" s="38" t="s">
        <v>293</v>
      </c>
    </row>
    <row r="1270" ht="34.5">
      <c r="A1270" s="38" t="s">
        <v>1068</v>
      </c>
      <c r="B1270" s="38" t="s">
        <v>1069</v>
      </c>
      <c r="C1270" s="38" t="s">
        <v>1205</v>
      </c>
      <c r="D1270" s="38" t="s">
        <v>288</v>
      </c>
      <c r="E1270" s="38" t="s">
        <v>852</v>
      </c>
      <c r="F1270" s="37" t="s">
        <v>1187</v>
      </c>
      <c r="G1270" s="38" t="s">
        <v>70</v>
      </c>
      <c r="H1270" s="37"/>
      <c r="I1270" s="37"/>
      <c r="J1270" s="37" t="s">
        <v>1212</v>
      </c>
      <c r="K1270" s="40"/>
      <c r="L1270" s="38"/>
      <c r="M1270" s="38"/>
      <c r="N1270" s="37"/>
      <c r="O1270" s="37"/>
      <c r="P1270" s="37"/>
      <c r="Q1270" s="37"/>
      <c r="R1270" s="39"/>
      <c r="S1270" s="37"/>
      <c r="T1270" s="38" t="s">
        <v>293</v>
      </c>
    </row>
    <row r="1271" ht="34.5">
      <c r="A1271" s="38" t="s">
        <v>1068</v>
      </c>
      <c r="B1271" s="38" t="s">
        <v>1069</v>
      </c>
      <c r="C1271" s="38" t="s">
        <v>1205</v>
      </c>
      <c r="D1271" s="38" t="s">
        <v>288</v>
      </c>
      <c r="E1271" s="38" t="s">
        <v>852</v>
      </c>
      <c r="F1271" s="37" t="s">
        <v>1187</v>
      </c>
      <c r="G1271" s="38" t="s">
        <v>70</v>
      </c>
      <c r="H1271" s="37"/>
      <c r="I1271" s="37"/>
      <c r="J1271" s="37" t="s">
        <v>1213</v>
      </c>
      <c r="K1271" s="40"/>
      <c r="L1271" s="38"/>
      <c r="M1271" s="38"/>
      <c r="N1271" s="37"/>
      <c r="O1271" s="37"/>
      <c r="P1271" s="37"/>
      <c r="Q1271" s="37"/>
      <c r="R1271" s="39"/>
      <c r="S1271" s="37"/>
      <c r="T1271" s="38" t="s">
        <v>293</v>
      </c>
    </row>
    <row r="1272" ht="34.5">
      <c r="A1272" s="38" t="s">
        <v>1068</v>
      </c>
      <c r="B1272" s="38" t="s">
        <v>1069</v>
      </c>
      <c r="C1272" s="38" t="s">
        <v>1205</v>
      </c>
      <c r="D1272" s="38" t="s">
        <v>288</v>
      </c>
      <c r="E1272" s="38" t="s">
        <v>852</v>
      </c>
      <c r="F1272" s="37" t="s">
        <v>1187</v>
      </c>
      <c r="G1272" s="38" t="s">
        <v>70</v>
      </c>
      <c r="H1272" s="37"/>
      <c r="I1272" s="37"/>
      <c r="J1272" s="37" t="s">
        <v>1214</v>
      </c>
      <c r="K1272" s="40"/>
      <c r="L1272" s="38"/>
      <c r="M1272" s="38"/>
      <c r="N1272" s="37"/>
      <c r="O1272" s="37"/>
      <c r="P1272" s="37"/>
      <c r="Q1272" s="37"/>
      <c r="R1272" s="39"/>
      <c r="S1272" s="37"/>
      <c r="T1272" s="38" t="s">
        <v>293</v>
      </c>
    </row>
    <row r="1273" ht="34.5">
      <c r="A1273" s="38" t="s">
        <v>1215</v>
      </c>
      <c r="B1273" s="38" t="s">
        <v>1216</v>
      </c>
      <c r="C1273" s="38" t="s">
        <v>1217</v>
      </c>
      <c r="D1273" s="38" t="s">
        <v>288</v>
      </c>
      <c r="E1273" s="38" t="s">
        <v>1218</v>
      </c>
      <c r="F1273" s="37" t="s">
        <v>1219</v>
      </c>
      <c r="G1273" s="38" t="s">
        <v>70</v>
      </c>
      <c r="H1273" s="37"/>
      <c r="I1273" s="37"/>
      <c r="J1273" s="37" t="s">
        <v>1220</v>
      </c>
      <c r="K1273" s="40"/>
      <c r="L1273" s="38"/>
      <c r="M1273" s="38"/>
      <c r="N1273" s="37"/>
      <c r="O1273" s="37"/>
      <c r="P1273" s="37"/>
      <c r="Q1273" s="37"/>
      <c r="R1273" s="39"/>
      <c r="S1273" s="37"/>
      <c r="T1273" s="38" t="s">
        <v>293</v>
      </c>
    </row>
    <row r="1274" ht="34.5">
      <c r="A1274" s="38" t="s">
        <v>1215</v>
      </c>
      <c r="B1274" s="38" t="s">
        <v>1216</v>
      </c>
      <c r="C1274" s="38" t="s">
        <v>1217</v>
      </c>
      <c r="D1274" s="38" t="s">
        <v>288</v>
      </c>
      <c r="E1274" s="38" t="s">
        <v>1218</v>
      </c>
      <c r="F1274" s="37" t="s">
        <v>1219</v>
      </c>
      <c r="G1274" s="38" t="s">
        <v>70</v>
      </c>
      <c r="H1274" s="37"/>
      <c r="I1274" s="37"/>
      <c r="J1274" s="37" t="s">
        <v>1221</v>
      </c>
      <c r="K1274" s="40"/>
      <c r="L1274" s="38"/>
      <c r="M1274" s="38"/>
      <c r="N1274" s="37"/>
      <c r="O1274" s="37"/>
      <c r="P1274" s="37"/>
      <c r="Q1274" s="37"/>
      <c r="R1274" s="39"/>
      <c r="S1274" s="37"/>
      <c r="T1274" s="38" t="s">
        <v>293</v>
      </c>
    </row>
    <row r="1275" ht="34.5">
      <c r="A1275" s="38" t="s">
        <v>1215</v>
      </c>
      <c r="B1275" s="38" t="s">
        <v>1216</v>
      </c>
      <c r="C1275" s="38" t="s">
        <v>1217</v>
      </c>
      <c r="D1275" s="38" t="s">
        <v>288</v>
      </c>
      <c r="E1275" s="38" t="s">
        <v>1218</v>
      </c>
      <c r="F1275" s="37" t="s">
        <v>1219</v>
      </c>
      <c r="G1275" s="38" t="s">
        <v>70</v>
      </c>
      <c r="H1275" s="37"/>
      <c r="I1275" s="37"/>
      <c r="J1275" s="37" t="s">
        <v>1222</v>
      </c>
      <c r="K1275" s="40"/>
      <c r="L1275" s="38"/>
      <c r="M1275" s="38"/>
      <c r="N1275" s="37"/>
      <c r="O1275" s="37"/>
      <c r="P1275" s="37"/>
      <c r="Q1275" s="37"/>
      <c r="R1275" s="39"/>
      <c r="S1275" s="37"/>
      <c r="T1275" s="38" t="s">
        <v>293</v>
      </c>
    </row>
    <row r="1276" ht="34.5">
      <c r="A1276" s="38" t="s">
        <v>1215</v>
      </c>
      <c r="B1276" s="38" t="s">
        <v>1216</v>
      </c>
      <c r="C1276" s="38" t="s">
        <v>1217</v>
      </c>
      <c r="D1276" s="38" t="s">
        <v>288</v>
      </c>
      <c r="E1276" s="38" t="s">
        <v>1218</v>
      </c>
      <c r="F1276" s="37" t="s">
        <v>1219</v>
      </c>
      <c r="G1276" s="38" t="s">
        <v>70</v>
      </c>
      <c r="H1276" s="37"/>
      <c r="I1276" s="37"/>
      <c r="J1276" s="37" t="s">
        <v>1223</v>
      </c>
      <c r="K1276" s="40"/>
      <c r="L1276" s="38"/>
      <c r="M1276" s="38"/>
      <c r="N1276" s="37"/>
      <c r="O1276" s="37"/>
      <c r="P1276" s="37"/>
      <c r="Q1276" s="37"/>
      <c r="R1276" s="39"/>
      <c r="S1276" s="37"/>
      <c r="T1276" s="38" t="s">
        <v>293</v>
      </c>
    </row>
    <row r="1277" ht="34.5">
      <c r="A1277" s="38" t="s">
        <v>1215</v>
      </c>
      <c r="B1277" s="38" t="s">
        <v>1216</v>
      </c>
      <c r="C1277" s="38" t="s">
        <v>1217</v>
      </c>
      <c r="D1277" s="38" t="s">
        <v>1224</v>
      </c>
      <c r="E1277" s="38" t="s">
        <v>1218</v>
      </c>
      <c r="F1277" s="37" t="s">
        <v>1219</v>
      </c>
      <c r="G1277" s="38" t="s">
        <v>70</v>
      </c>
      <c r="H1277" s="37"/>
      <c r="I1277" s="37"/>
      <c r="J1277" s="37" t="s">
        <v>1225</v>
      </c>
      <c r="K1277" s="40"/>
      <c r="L1277" s="38"/>
      <c r="M1277" s="38"/>
      <c r="N1277" s="37"/>
      <c r="O1277" s="37"/>
      <c r="P1277" s="37"/>
      <c r="Q1277" s="37"/>
      <c r="R1277" s="39"/>
      <c r="S1277" s="37"/>
      <c r="T1277" s="38" t="s">
        <v>293</v>
      </c>
    </row>
    <row r="1278" ht="34.5">
      <c r="A1278" s="38" t="s">
        <v>1215</v>
      </c>
      <c r="B1278" s="38" t="s">
        <v>1216</v>
      </c>
      <c r="C1278" s="38" t="s">
        <v>1226</v>
      </c>
      <c r="D1278" s="38" t="s">
        <v>288</v>
      </c>
      <c r="E1278" s="38" t="s">
        <v>1218</v>
      </c>
      <c r="F1278" s="37" t="s">
        <v>1219</v>
      </c>
      <c r="G1278" s="38" t="s">
        <v>70</v>
      </c>
      <c r="H1278" s="37"/>
      <c r="I1278" s="37"/>
      <c r="J1278" s="37" t="s">
        <v>1227</v>
      </c>
      <c r="K1278" s="40"/>
      <c r="L1278" s="38"/>
      <c r="M1278" s="38"/>
      <c r="N1278" s="37"/>
      <c r="O1278" s="37"/>
      <c r="P1278" s="37"/>
      <c r="Q1278" s="37"/>
      <c r="R1278" s="39"/>
      <c r="S1278" s="37"/>
      <c r="T1278" s="38" t="s">
        <v>293</v>
      </c>
    </row>
    <row r="1279" ht="34.5">
      <c r="A1279" s="38" t="s">
        <v>1215</v>
      </c>
      <c r="B1279" s="38" t="s">
        <v>1216</v>
      </c>
      <c r="C1279" s="38" t="s">
        <v>1226</v>
      </c>
      <c r="D1279" s="38" t="s">
        <v>288</v>
      </c>
      <c r="E1279" s="38" t="s">
        <v>1218</v>
      </c>
      <c r="F1279" s="37" t="s">
        <v>1219</v>
      </c>
      <c r="G1279" s="38" t="s">
        <v>70</v>
      </c>
      <c r="H1279" s="37"/>
      <c r="I1279" s="37"/>
      <c r="J1279" s="37" t="s">
        <v>1228</v>
      </c>
      <c r="K1279" s="40"/>
      <c r="L1279" s="38"/>
      <c r="M1279" s="38"/>
      <c r="N1279" s="37"/>
      <c r="O1279" s="37"/>
      <c r="P1279" s="37"/>
      <c r="Q1279" s="37"/>
      <c r="R1279" s="39"/>
      <c r="S1279" s="37"/>
      <c r="T1279" s="38" t="s">
        <v>293</v>
      </c>
    </row>
    <row r="1280" ht="34.5">
      <c r="A1280" s="38" t="s">
        <v>1215</v>
      </c>
      <c r="B1280" s="38" t="s">
        <v>1216</v>
      </c>
      <c r="C1280" s="38" t="s">
        <v>1226</v>
      </c>
      <c r="D1280" s="38" t="s">
        <v>1229</v>
      </c>
      <c r="E1280" s="38" t="s">
        <v>1218</v>
      </c>
      <c r="F1280" s="37" t="s">
        <v>1219</v>
      </c>
      <c r="G1280" s="38" t="s">
        <v>70</v>
      </c>
      <c r="H1280" s="37"/>
      <c r="I1280" s="37"/>
      <c r="J1280" s="37" t="s">
        <v>1230</v>
      </c>
      <c r="K1280" s="40"/>
      <c r="L1280" s="38"/>
      <c r="M1280" s="38"/>
      <c r="N1280" s="37"/>
      <c r="O1280" s="37"/>
      <c r="P1280" s="37"/>
      <c r="Q1280" s="37"/>
      <c r="R1280" s="39"/>
      <c r="S1280" s="37"/>
      <c r="T1280" s="38" t="s">
        <v>293</v>
      </c>
    </row>
    <row r="1281" ht="34.5">
      <c r="A1281" s="38" t="s">
        <v>1215</v>
      </c>
      <c r="B1281" s="38" t="s">
        <v>1216</v>
      </c>
      <c r="C1281" s="38" t="s">
        <v>1226</v>
      </c>
      <c r="D1281" s="38" t="s">
        <v>288</v>
      </c>
      <c r="E1281" s="38" t="s">
        <v>1218</v>
      </c>
      <c r="F1281" s="37" t="s">
        <v>1219</v>
      </c>
      <c r="G1281" s="38" t="s">
        <v>70</v>
      </c>
      <c r="H1281" s="37"/>
      <c r="I1281" s="37"/>
      <c r="J1281" s="37" t="s">
        <v>1231</v>
      </c>
      <c r="K1281" s="40"/>
      <c r="L1281" s="38"/>
      <c r="M1281" s="38"/>
      <c r="N1281" s="37"/>
      <c r="O1281" s="37"/>
      <c r="P1281" s="37"/>
      <c r="Q1281" s="37"/>
      <c r="R1281" s="39"/>
      <c r="S1281" s="37"/>
      <c r="T1281" s="38" t="s">
        <v>293</v>
      </c>
    </row>
    <row r="1282" ht="34.5">
      <c r="A1282" s="38" t="s">
        <v>1215</v>
      </c>
      <c r="B1282" s="38" t="s">
        <v>1216</v>
      </c>
      <c r="C1282" s="38" t="s">
        <v>1226</v>
      </c>
      <c r="D1282" s="38" t="s">
        <v>288</v>
      </c>
      <c r="E1282" s="38" t="s">
        <v>1218</v>
      </c>
      <c r="F1282" s="37" t="s">
        <v>1219</v>
      </c>
      <c r="G1282" s="38" t="s">
        <v>70</v>
      </c>
      <c r="H1282" s="37"/>
      <c r="I1282" s="37"/>
      <c r="J1282" s="37" t="s">
        <v>1232</v>
      </c>
      <c r="K1282" s="40"/>
      <c r="L1282" s="38"/>
      <c r="M1282" s="38"/>
      <c r="N1282" s="37"/>
      <c r="O1282" s="37"/>
      <c r="P1282" s="37"/>
      <c r="Q1282" s="37"/>
      <c r="R1282" s="39"/>
      <c r="S1282" s="37"/>
      <c r="T1282" s="38" t="s">
        <v>293</v>
      </c>
    </row>
    <row r="1283" ht="34.5">
      <c r="A1283" s="38" t="s">
        <v>1215</v>
      </c>
      <c r="B1283" s="38" t="s">
        <v>1216</v>
      </c>
      <c r="C1283" s="38" t="s">
        <v>1226</v>
      </c>
      <c r="D1283" s="38" t="s">
        <v>288</v>
      </c>
      <c r="E1283" s="38" t="s">
        <v>1218</v>
      </c>
      <c r="F1283" s="37" t="s">
        <v>1219</v>
      </c>
      <c r="G1283" s="38" t="s">
        <v>70</v>
      </c>
      <c r="H1283" s="37"/>
      <c r="I1283" s="37"/>
      <c r="J1283" s="37" t="s">
        <v>1233</v>
      </c>
      <c r="K1283" s="40"/>
      <c r="L1283" s="38"/>
      <c r="M1283" s="38"/>
      <c r="N1283" s="37"/>
      <c r="O1283" s="37"/>
      <c r="P1283" s="37"/>
      <c r="Q1283" s="37"/>
      <c r="R1283" s="39"/>
      <c r="S1283" s="37"/>
      <c r="T1283" s="38" t="s">
        <v>293</v>
      </c>
    </row>
    <row r="1284" ht="34.5">
      <c r="A1284" s="38" t="s">
        <v>1215</v>
      </c>
      <c r="B1284" s="38" t="s">
        <v>1216</v>
      </c>
      <c r="C1284" s="38" t="s">
        <v>1226</v>
      </c>
      <c r="D1284" s="38" t="s">
        <v>1234</v>
      </c>
      <c r="E1284" s="38" t="s">
        <v>1218</v>
      </c>
      <c r="F1284" s="37" t="s">
        <v>1219</v>
      </c>
      <c r="G1284" s="38" t="s">
        <v>70</v>
      </c>
      <c r="H1284" s="37"/>
      <c r="I1284" s="37"/>
      <c r="J1284" s="37" t="s">
        <v>1235</v>
      </c>
      <c r="K1284" s="40"/>
      <c r="L1284" s="38"/>
      <c r="M1284" s="38"/>
      <c r="N1284" s="37"/>
      <c r="O1284" s="37"/>
      <c r="P1284" s="37"/>
      <c r="Q1284" s="37"/>
      <c r="R1284" s="39"/>
      <c r="S1284" s="37"/>
      <c r="T1284" s="38" t="s">
        <v>293</v>
      </c>
    </row>
    <row r="1285" ht="34.5">
      <c r="A1285" s="38" t="s">
        <v>1215</v>
      </c>
      <c r="B1285" s="38" t="s">
        <v>1216</v>
      </c>
      <c r="C1285" s="38" t="s">
        <v>1226</v>
      </c>
      <c r="D1285" s="38" t="s">
        <v>288</v>
      </c>
      <c r="E1285" s="38" t="s">
        <v>1218</v>
      </c>
      <c r="F1285" s="37" t="s">
        <v>1219</v>
      </c>
      <c r="G1285" s="38" t="s">
        <v>70</v>
      </c>
      <c r="H1285" s="37"/>
      <c r="I1285" s="37"/>
      <c r="J1285" s="37" t="s">
        <v>1236</v>
      </c>
      <c r="K1285" s="40"/>
      <c r="L1285" s="38"/>
      <c r="M1285" s="38"/>
      <c r="N1285" s="37"/>
      <c r="O1285" s="37"/>
      <c r="P1285" s="37"/>
      <c r="Q1285" s="37"/>
      <c r="R1285" s="39"/>
      <c r="S1285" s="37"/>
      <c r="T1285" s="38" t="s">
        <v>293</v>
      </c>
    </row>
    <row r="1286" ht="34.5">
      <c r="A1286" s="38" t="s">
        <v>1215</v>
      </c>
      <c r="B1286" s="38" t="s">
        <v>1216</v>
      </c>
      <c r="C1286" s="38" t="s">
        <v>1237</v>
      </c>
      <c r="D1286" s="38" t="s">
        <v>288</v>
      </c>
      <c r="E1286" s="38" t="s">
        <v>1238</v>
      </c>
      <c r="F1286" s="37" t="s">
        <v>1239</v>
      </c>
      <c r="G1286" s="38" t="s">
        <v>70</v>
      </c>
      <c r="H1286" s="37"/>
      <c r="I1286" s="37"/>
      <c r="J1286" s="37" t="s">
        <v>1240</v>
      </c>
      <c r="K1286" s="40"/>
      <c r="L1286" s="38"/>
      <c r="M1286" s="38"/>
      <c r="N1286" s="37"/>
      <c r="O1286" s="37"/>
      <c r="P1286" s="37"/>
      <c r="Q1286" s="37"/>
      <c r="R1286" s="39"/>
      <c r="S1286" s="37"/>
      <c r="T1286" s="38" t="s">
        <v>293</v>
      </c>
    </row>
    <row r="1287" ht="34.5">
      <c r="A1287" s="38" t="s">
        <v>1215</v>
      </c>
      <c r="B1287" s="38" t="s">
        <v>1216</v>
      </c>
      <c r="C1287" s="38" t="s">
        <v>1237</v>
      </c>
      <c r="D1287" s="38" t="s">
        <v>288</v>
      </c>
      <c r="E1287" s="38" t="s">
        <v>1238</v>
      </c>
      <c r="F1287" s="37" t="s">
        <v>1239</v>
      </c>
      <c r="G1287" s="38" t="s">
        <v>70</v>
      </c>
      <c r="H1287" s="37"/>
      <c r="I1287" s="37"/>
      <c r="J1287" s="37" t="s">
        <v>1241</v>
      </c>
      <c r="K1287" s="40"/>
      <c r="L1287" s="38"/>
      <c r="M1287" s="38"/>
      <c r="N1287" s="37"/>
      <c r="O1287" s="37"/>
      <c r="P1287" s="37"/>
      <c r="Q1287" s="37"/>
      <c r="R1287" s="39"/>
      <c r="S1287" s="37"/>
      <c r="T1287" s="38" t="s">
        <v>293</v>
      </c>
    </row>
    <row r="1288" ht="34.5">
      <c r="A1288" s="38" t="s">
        <v>1215</v>
      </c>
      <c r="B1288" s="38" t="s">
        <v>1216</v>
      </c>
      <c r="C1288" s="38" t="s">
        <v>1237</v>
      </c>
      <c r="D1288" s="38" t="s">
        <v>288</v>
      </c>
      <c r="E1288" s="38" t="s">
        <v>1238</v>
      </c>
      <c r="F1288" s="37" t="s">
        <v>1239</v>
      </c>
      <c r="G1288" s="38" t="s">
        <v>70</v>
      </c>
      <c r="H1288" s="37"/>
      <c r="I1288" s="37"/>
      <c r="J1288" s="37" t="s">
        <v>1242</v>
      </c>
      <c r="K1288" s="40"/>
      <c r="L1288" s="38"/>
      <c r="M1288" s="38"/>
      <c r="N1288" s="37"/>
      <c r="O1288" s="37"/>
      <c r="P1288" s="37"/>
      <c r="Q1288" s="37"/>
      <c r="R1288" s="39"/>
      <c r="S1288" s="37"/>
      <c r="T1288" s="38" t="s">
        <v>293</v>
      </c>
    </row>
    <row r="1289" ht="34.5">
      <c r="A1289" s="38" t="s">
        <v>1215</v>
      </c>
      <c r="B1289" s="38" t="s">
        <v>1216</v>
      </c>
      <c r="C1289" s="38" t="s">
        <v>1237</v>
      </c>
      <c r="D1289" s="38" t="s">
        <v>288</v>
      </c>
      <c r="E1289" s="38" t="s">
        <v>1238</v>
      </c>
      <c r="F1289" s="37" t="s">
        <v>1239</v>
      </c>
      <c r="G1289" s="38" t="s">
        <v>70</v>
      </c>
      <c r="H1289" s="37"/>
      <c r="I1289" s="37"/>
      <c r="J1289" s="37" t="s">
        <v>1243</v>
      </c>
      <c r="K1289" s="40"/>
      <c r="L1289" s="38"/>
      <c r="M1289" s="38"/>
      <c r="N1289" s="37"/>
      <c r="O1289" s="37"/>
      <c r="P1289" s="37"/>
      <c r="Q1289" s="37"/>
      <c r="R1289" s="39"/>
      <c r="S1289" s="37"/>
      <c r="T1289" s="38" t="s">
        <v>293</v>
      </c>
    </row>
    <row r="1290" ht="34.5">
      <c r="A1290" s="38" t="s">
        <v>1215</v>
      </c>
      <c r="B1290" s="38" t="s">
        <v>1216</v>
      </c>
      <c r="C1290" s="38" t="s">
        <v>1237</v>
      </c>
      <c r="D1290" s="38" t="s">
        <v>288</v>
      </c>
      <c r="E1290" s="38" t="s">
        <v>1238</v>
      </c>
      <c r="F1290" s="37" t="s">
        <v>1239</v>
      </c>
      <c r="G1290" s="38" t="s">
        <v>70</v>
      </c>
      <c r="H1290" s="37"/>
      <c r="I1290" s="37"/>
      <c r="J1290" s="37" t="s">
        <v>1244</v>
      </c>
      <c r="K1290" s="40"/>
      <c r="L1290" s="38"/>
      <c r="M1290" s="38"/>
      <c r="N1290" s="37"/>
      <c r="O1290" s="37"/>
      <c r="P1290" s="37"/>
      <c r="Q1290" s="37"/>
      <c r="R1290" s="39"/>
      <c r="S1290" s="37"/>
      <c r="T1290" s="38" t="s">
        <v>293</v>
      </c>
    </row>
    <row r="1291" ht="34.5">
      <c r="A1291" s="38" t="s">
        <v>1215</v>
      </c>
      <c r="B1291" s="38" t="s">
        <v>1216</v>
      </c>
      <c r="C1291" s="38" t="s">
        <v>1237</v>
      </c>
      <c r="D1291" s="38" t="s">
        <v>288</v>
      </c>
      <c r="E1291" s="38" t="s">
        <v>1238</v>
      </c>
      <c r="F1291" s="37" t="s">
        <v>1239</v>
      </c>
      <c r="G1291" s="38" t="s">
        <v>70</v>
      </c>
      <c r="H1291" s="37"/>
      <c r="I1291" s="37"/>
      <c r="J1291" s="37" t="s">
        <v>1245</v>
      </c>
      <c r="K1291" s="40"/>
      <c r="L1291" s="38"/>
      <c r="M1291" s="38"/>
      <c r="N1291" s="37"/>
      <c r="O1291" s="37"/>
      <c r="P1291" s="37"/>
      <c r="Q1291" s="37"/>
      <c r="R1291" s="39"/>
      <c r="S1291" s="37"/>
      <c r="T1291" s="38" t="s">
        <v>293</v>
      </c>
    </row>
    <row r="1292" ht="34.5">
      <c r="A1292" s="38" t="s">
        <v>1215</v>
      </c>
      <c r="B1292" s="38" t="s">
        <v>1216</v>
      </c>
      <c r="C1292" s="38" t="s">
        <v>1237</v>
      </c>
      <c r="D1292" s="38" t="s">
        <v>288</v>
      </c>
      <c r="E1292" s="38" t="s">
        <v>1238</v>
      </c>
      <c r="F1292" s="37" t="s">
        <v>1239</v>
      </c>
      <c r="G1292" s="38" t="s">
        <v>70</v>
      </c>
      <c r="H1292" s="37"/>
      <c r="I1292" s="37"/>
      <c r="J1292" s="37" t="s">
        <v>1246</v>
      </c>
      <c r="K1292" s="40"/>
      <c r="L1292" s="38"/>
      <c r="M1292" s="38"/>
      <c r="N1292" s="37"/>
      <c r="O1292" s="37"/>
      <c r="P1292" s="37"/>
      <c r="Q1292" s="37"/>
      <c r="R1292" s="39"/>
      <c r="S1292" s="37"/>
      <c r="T1292" s="38" t="s">
        <v>293</v>
      </c>
    </row>
    <row r="1293" ht="34.5">
      <c r="A1293" s="38" t="s">
        <v>1215</v>
      </c>
      <c r="B1293" s="38" t="s">
        <v>1216</v>
      </c>
      <c r="C1293" s="38" t="s">
        <v>1237</v>
      </c>
      <c r="D1293" s="38" t="s">
        <v>288</v>
      </c>
      <c r="E1293" s="38" t="s">
        <v>1238</v>
      </c>
      <c r="F1293" s="37" t="s">
        <v>1239</v>
      </c>
      <c r="G1293" s="38" t="s">
        <v>70</v>
      </c>
      <c r="H1293" s="37"/>
      <c r="I1293" s="37"/>
      <c r="J1293" s="37" t="s">
        <v>1247</v>
      </c>
      <c r="K1293" s="40"/>
      <c r="L1293" s="38"/>
      <c r="M1293" s="38"/>
      <c r="N1293" s="37"/>
      <c r="O1293" s="37"/>
      <c r="P1293" s="37"/>
      <c r="Q1293" s="37"/>
      <c r="R1293" s="39"/>
      <c r="S1293" s="37"/>
      <c r="T1293" s="38" t="s">
        <v>293</v>
      </c>
    </row>
    <row r="1294" ht="34.5">
      <c r="A1294" s="38" t="s">
        <v>1215</v>
      </c>
      <c r="B1294" s="38" t="s">
        <v>1216</v>
      </c>
      <c r="C1294" s="38" t="s">
        <v>1237</v>
      </c>
      <c r="D1294" s="38" t="s">
        <v>288</v>
      </c>
      <c r="E1294" s="38" t="s">
        <v>1238</v>
      </c>
      <c r="F1294" s="37" t="s">
        <v>1239</v>
      </c>
      <c r="G1294" s="38" t="s">
        <v>70</v>
      </c>
      <c r="H1294" s="37"/>
      <c r="I1294" s="37"/>
      <c r="J1294" s="37" t="s">
        <v>1248</v>
      </c>
      <c r="K1294" s="40"/>
      <c r="L1294" s="38"/>
      <c r="M1294" s="38"/>
      <c r="N1294" s="37"/>
      <c r="O1294" s="37"/>
      <c r="P1294" s="37"/>
      <c r="Q1294" s="37"/>
      <c r="R1294" s="39"/>
      <c r="S1294" s="37"/>
      <c r="T1294" s="38" t="s">
        <v>293</v>
      </c>
    </row>
    <row r="1295" ht="34.5">
      <c r="A1295" s="38" t="s">
        <v>1215</v>
      </c>
      <c r="B1295" s="38" t="s">
        <v>1216</v>
      </c>
      <c r="C1295" s="38" t="s">
        <v>1249</v>
      </c>
      <c r="D1295" s="38" t="s">
        <v>288</v>
      </c>
      <c r="E1295" s="38" t="s">
        <v>1238</v>
      </c>
      <c r="F1295" s="37" t="s">
        <v>1239</v>
      </c>
      <c r="G1295" s="38" t="s">
        <v>70</v>
      </c>
      <c r="H1295" s="37"/>
      <c r="I1295" s="37"/>
      <c r="J1295" s="37" t="s">
        <v>1250</v>
      </c>
      <c r="K1295" s="40"/>
      <c r="L1295" s="38"/>
      <c r="M1295" s="38"/>
      <c r="N1295" s="37"/>
      <c r="O1295" s="37"/>
      <c r="P1295" s="37"/>
      <c r="Q1295" s="37"/>
      <c r="R1295" s="39"/>
      <c r="S1295" s="37"/>
      <c r="T1295" s="38" t="s">
        <v>293</v>
      </c>
    </row>
    <row r="1296" ht="34.5">
      <c r="A1296" s="38" t="s">
        <v>1215</v>
      </c>
      <c r="B1296" s="38" t="s">
        <v>1216</v>
      </c>
      <c r="C1296" s="38" t="s">
        <v>1249</v>
      </c>
      <c r="D1296" s="38" t="s">
        <v>288</v>
      </c>
      <c r="E1296" s="38" t="s">
        <v>1238</v>
      </c>
      <c r="F1296" s="37" t="s">
        <v>1239</v>
      </c>
      <c r="G1296" s="38" t="s">
        <v>70</v>
      </c>
      <c r="H1296" s="37"/>
      <c r="I1296" s="37"/>
      <c r="J1296" s="37" t="s">
        <v>1251</v>
      </c>
      <c r="K1296" s="40"/>
      <c r="L1296" s="38"/>
      <c r="M1296" s="38"/>
      <c r="N1296" s="37"/>
      <c r="O1296" s="37"/>
      <c r="P1296" s="37"/>
      <c r="Q1296" s="37"/>
      <c r="R1296" s="39"/>
      <c r="S1296" s="37"/>
      <c r="T1296" s="38" t="s">
        <v>293</v>
      </c>
    </row>
    <row r="1297" ht="34.5">
      <c r="A1297" s="38" t="s">
        <v>1215</v>
      </c>
      <c r="B1297" s="38" t="s">
        <v>1216</v>
      </c>
      <c r="C1297" s="38" t="s">
        <v>1249</v>
      </c>
      <c r="D1297" s="38" t="s">
        <v>288</v>
      </c>
      <c r="E1297" s="38" t="s">
        <v>1238</v>
      </c>
      <c r="F1297" s="37" t="s">
        <v>1239</v>
      </c>
      <c r="G1297" s="38" t="s">
        <v>70</v>
      </c>
      <c r="H1297" s="37"/>
      <c r="I1297" s="37"/>
      <c r="J1297" s="37" t="s">
        <v>1252</v>
      </c>
      <c r="K1297" s="40"/>
      <c r="L1297" s="38"/>
      <c r="M1297" s="38"/>
      <c r="N1297" s="37"/>
      <c r="O1297" s="37"/>
      <c r="P1297" s="37"/>
      <c r="Q1297" s="37"/>
      <c r="R1297" s="39"/>
      <c r="S1297" s="37"/>
      <c r="T1297" s="38" t="s">
        <v>293</v>
      </c>
    </row>
    <row r="1298" ht="34.5">
      <c r="A1298" s="38" t="s">
        <v>1215</v>
      </c>
      <c r="B1298" s="38" t="s">
        <v>1216</v>
      </c>
      <c r="C1298" s="38" t="s">
        <v>1249</v>
      </c>
      <c r="D1298" s="38" t="s">
        <v>288</v>
      </c>
      <c r="E1298" s="38" t="s">
        <v>1238</v>
      </c>
      <c r="F1298" s="37" t="s">
        <v>1239</v>
      </c>
      <c r="G1298" s="38" t="s">
        <v>70</v>
      </c>
      <c r="H1298" s="37"/>
      <c r="I1298" s="37"/>
      <c r="J1298" s="37" t="s">
        <v>1253</v>
      </c>
      <c r="K1298" s="40"/>
      <c r="L1298" s="38"/>
      <c r="M1298" s="38"/>
      <c r="N1298" s="37"/>
      <c r="O1298" s="37"/>
      <c r="P1298" s="37"/>
      <c r="Q1298" s="37"/>
      <c r="R1298" s="39"/>
      <c r="S1298" s="37"/>
      <c r="T1298" s="38" t="s">
        <v>293</v>
      </c>
    </row>
    <row r="1299" ht="34.5">
      <c r="A1299" s="38" t="s">
        <v>1215</v>
      </c>
      <c r="B1299" s="38" t="s">
        <v>1216</v>
      </c>
      <c r="C1299" s="38" t="s">
        <v>1249</v>
      </c>
      <c r="D1299" s="38" t="s">
        <v>288</v>
      </c>
      <c r="E1299" s="38" t="s">
        <v>1238</v>
      </c>
      <c r="F1299" s="37" t="s">
        <v>1239</v>
      </c>
      <c r="G1299" s="38" t="s">
        <v>70</v>
      </c>
      <c r="H1299" s="37"/>
      <c r="I1299" s="37"/>
      <c r="J1299" s="37" t="s">
        <v>1254</v>
      </c>
      <c r="K1299" s="40"/>
      <c r="L1299" s="38"/>
      <c r="M1299" s="38"/>
      <c r="N1299" s="37"/>
      <c r="O1299" s="37"/>
      <c r="P1299" s="37"/>
      <c r="Q1299" s="37"/>
      <c r="R1299" s="39"/>
      <c r="S1299" s="37"/>
      <c r="T1299" s="38" t="s">
        <v>293</v>
      </c>
    </row>
    <row r="1300" ht="34.5">
      <c r="A1300" s="38" t="s">
        <v>1215</v>
      </c>
      <c r="B1300" s="38" t="s">
        <v>1216</v>
      </c>
      <c r="C1300" s="38" t="s">
        <v>1249</v>
      </c>
      <c r="D1300" s="38" t="s">
        <v>288</v>
      </c>
      <c r="E1300" s="38" t="s">
        <v>1238</v>
      </c>
      <c r="F1300" s="37" t="s">
        <v>1239</v>
      </c>
      <c r="G1300" s="38" t="s">
        <v>70</v>
      </c>
      <c r="H1300" s="37"/>
      <c r="I1300" s="37"/>
      <c r="J1300" s="37" t="s">
        <v>1255</v>
      </c>
      <c r="K1300" s="40"/>
      <c r="L1300" s="38"/>
      <c r="M1300" s="38"/>
      <c r="N1300" s="37"/>
      <c r="O1300" s="37"/>
      <c r="P1300" s="37"/>
      <c r="Q1300" s="37"/>
      <c r="R1300" s="39"/>
      <c r="S1300" s="37"/>
      <c r="T1300" s="38" t="s">
        <v>293</v>
      </c>
    </row>
    <row r="1301" ht="34.5">
      <c r="A1301" s="38" t="s">
        <v>1215</v>
      </c>
      <c r="B1301" s="38" t="s">
        <v>1216</v>
      </c>
      <c r="C1301" s="38" t="s">
        <v>1249</v>
      </c>
      <c r="D1301" s="38" t="s">
        <v>288</v>
      </c>
      <c r="E1301" s="38" t="s">
        <v>1238</v>
      </c>
      <c r="F1301" s="37" t="s">
        <v>1239</v>
      </c>
      <c r="G1301" s="38" t="s">
        <v>70</v>
      </c>
      <c r="H1301" s="37"/>
      <c r="I1301" s="37"/>
      <c r="J1301" s="37" t="s">
        <v>1256</v>
      </c>
      <c r="K1301" s="40"/>
      <c r="L1301" s="38"/>
      <c r="M1301" s="38"/>
      <c r="N1301" s="37"/>
      <c r="O1301" s="37"/>
      <c r="P1301" s="37"/>
      <c r="Q1301" s="37"/>
      <c r="R1301" s="39"/>
      <c r="S1301" s="37"/>
      <c r="T1301" s="38" t="s">
        <v>293</v>
      </c>
    </row>
    <row r="1302" ht="34.5">
      <c r="A1302" s="38" t="s">
        <v>1215</v>
      </c>
      <c r="B1302" s="38" t="s">
        <v>1216</v>
      </c>
      <c r="C1302" s="38" t="s">
        <v>1249</v>
      </c>
      <c r="D1302" s="38" t="s">
        <v>288</v>
      </c>
      <c r="E1302" s="38" t="s">
        <v>1238</v>
      </c>
      <c r="F1302" s="37" t="s">
        <v>1239</v>
      </c>
      <c r="G1302" s="38" t="s">
        <v>70</v>
      </c>
      <c r="H1302" s="37"/>
      <c r="I1302" s="37"/>
      <c r="J1302" s="37" t="s">
        <v>1257</v>
      </c>
      <c r="K1302" s="40"/>
      <c r="L1302" s="38"/>
      <c r="M1302" s="38"/>
      <c r="N1302" s="37"/>
      <c r="O1302" s="37"/>
      <c r="P1302" s="37"/>
      <c r="Q1302" s="37"/>
      <c r="R1302" s="39"/>
      <c r="S1302" s="37"/>
      <c r="T1302" s="38" t="s">
        <v>293</v>
      </c>
    </row>
    <row r="1303" ht="34.5">
      <c r="A1303" s="38" t="s">
        <v>1215</v>
      </c>
      <c r="B1303" s="38" t="s">
        <v>1216</v>
      </c>
      <c r="C1303" s="38" t="s">
        <v>1249</v>
      </c>
      <c r="D1303" s="38" t="s">
        <v>288</v>
      </c>
      <c r="E1303" s="38" t="s">
        <v>1238</v>
      </c>
      <c r="F1303" s="37" t="s">
        <v>1239</v>
      </c>
      <c r="G1303" s="38" t="s">
        <v>70</v>
      </c>
      <c r="H1303" s="37"/>
      <c r="I1303" s="37"/>
      <c r="J1303" s="37" t="s">
        <v>1258</v>
      </c>
      <c r="K1303" s="40"/>
      <c r="L1303" s="38"/>
      <c r="M1303" s="38"/>
      <c r="N1303" s="37"/>
      <c r="O1303" s="37"/>
      <c r="P1303" s="37"/>
      <c r="Q1303" s="37"/>
      <c r="R1303" s="39"/>
      <c r="S1303" s="37"/>
      <c r="T1303" s="38" t="s">
        <v>293</v>
      </c>
    </row>
    <row r="1304" ht="34.5">
      <c r="A1304" s="38" t="s">
        <v>1215</v>
      </c>
      <c r="B1304" s="38" t="s">
        <v>1216</v>
      </c>
      <c r="C1304" s="38" t="s">
        <v>1249</v>
      </c>
      <c r="D1304" s="38" t="s">
        <v>288</v>
      </c>
      <c r="E1304" s="38" t="s">
        <v>1238</v>
      </c>
      <c r="F1304" s="37" t="s">
        <v>1239</v>
      </c>
      <c r="G1304" s="38" t="s">
        <v>70</v>
      </c>
      <c r="H1304" s="37"/>
      <c r="I1304" s="37"/>
      <c r="J1304" s="37" t="s">
        <v>1259</v>
      </c>
      <c r="K1304" s="40"/>
      <c r="L1304" s="38"/>
      <c r="M1304" s="38"/>
      <c r="N1304" s="37"/>
      <c r="O1304" s="37"/>
      <c r="P1304" s="37"/>
      <c r="Q1304" s="37"/>
      <c r="R1304" s="39"/>
      <c r="S1304" s="37"/>
      <c r="T1304" s="38" t="s">
        <v>293</v>
      </c>
    </row>
    <row r="1305" ht="34.5">
      <c r="A1305" s="38" t="s">
        <v>1215</v>
      </c>
      <c r="B1305" s="38" t="s">
        <v>1216</v>
      </c>
      <c r="C1305" s="38" t="s">
        <v>1249</v>
      </c>
      <c r="D1305" s="38" t="s">
        <v>288</v>
      </c>
      <c r="E1305" s="38" t="s">
        <v>1238</v>
      </c>
      <c r="F1305" s="37" t="s">
        <v>1239</v>
      </c>
      <c r="G1305" s="38" t="s">
        <v>70</v>
      </c>
      <c r="H1305" s="37"/>
      <c r="I1305" s="37"/>
      <c r="J1305" s="37" t="s">
        <v>1260</v>
      </c>
      <c r="K1305" s="40"/>
      <c r="L1305" s="38"/>
      <c r="M1305" s="38"/>
      <c r="N1305" s="37"/>
      <c r="O1305" s="37"/>
      <c r="P1305" s="37"/>
      <c r="Q1305" s="37"/>
      <c r="R1305" s="39"/>
      <c r="S1305" s="37"/>
      <c r="T1305" s="38" t="s">
        <v>293</v>
      </c>
    </row>
    <row r="1306" ht="34.5">
      <c r="A1306" s="38" t="s">
        <v>1215</v>
      </c>
      <c r="B1306" s="38" t="s">
        <v>1216</v>
      </c>
      <c r="C1306" s="38" t="s">
        <v>1249</v>
      </c>
      <c r="D1306" s="38" t="s">
        <v>288</v>
      </c>
      <c r="E1306" s="38" t="s">
        <v>1238</v>
      </c>
      <c r="F1306" s="37" t="s">
        <v>1239</v>
      </c>
      <c r="G1306" s="38" t="s">
        <v>70</v>
      </c>
      <c r="H1306" s="37"/>
      <c r="I1306" s="37"/>
      <c r="J1306" s="37" t="s">
        <v>1261</v>
      </c>
      <c r="K1306" s="40"/>
      <c r="L1306" s="38"/>
      <c r="M1306" s="38"/>
      <c r="N1306" s="37"/>
      <c r="O1306" s="37"/>
      <c r="P1306" s="37"/>
      <c r="Q1306" s="37"/>
      <c r="R1306" s="39"/>
      <c r="S1306" s="37"/>
      <c r="T1306" s="38" t="s">
        <v>293</v>
      </c>
    </row>
    <row r="1307" ht="34.5">
      <c r="A1307" s="38" t="s">
        <v>1215</v>
      </c>
      <c r="B1307" s="38" t="s">
        <v>1216</v>
      </c>
      <c r="C1307" s="38" t="s">
        <v>1249</v>
      </c>
      <c r="D1307" s="38" t="s">
        <v>288</v>
      </c>
      <c r="E1307" s="38" t="s">
        <v>1238</v>
      </c>
      <c r="F1307" s="37" t="s">
        <v>1239</v>
      </c>
      <c r="G1307" s="38" t="s">
        <v>70</v>
      </c>
      <c r="H1307" s="37"/>
      <c r="I1307" s="37"/>
      <c r="J1307" s="37" t="s">
        <v>1262</v>
      </c>
      <c r="K1307" s="40"/>
      <c r="L1307" s="38"/>
      <c r="M1307" s="38"/>
      <c r="N1307" s="37"/>
      <c r="O1307" s="37"/>
      <c r="P1307" s="37"/>
      <c r="Q1307" s="37"/>
      <c r="R1307" s="39"/>
      <c r="S1307" s="37"/>
      <c r="T1307" s="38" t="s">
        <v>293</v>
      </c>
    </row>
    <row r="1308" ht="34.5">
      <c r="A1308" s="38" t="s">
        <v>1215</v>
      </c>
      <c r="B1308" s="38" t="s">
        <v>1216</v>
      </c>
      <c r="C1308" s="38" t="s">
        <v>1263</v>
      </c>
      <c r="D1308" s="38" t="s">
        <v>288</v>
      </c>
      <c r="E1308" s="38" t="s">
        <v>1238</v>
      </c>
      <c r="F1308" s="37" t="s">
        <v>1239</v>
      </c>
      <c r="G1308" s="38" t="s">
        <v>70</v>
      </c>
      <c r="H1308" s="37"/>
      <c r="I1308" s="37"/>
      <c r="J1308" s="37" t="s">
        <v>1264</v>
      </c>
      <c r="K1308" s="40"/>
      <c r="L1308" s="38"/>
      <c r="M1308" s="38"/>
      <c r="N1308" s="37"/>
      <c r="O1308" s="37"/>
      <c r="P1308" s="37"/>
      <c r="Q1308" s="37"/>
      <c r="R1308" s="39"/>
      <c r="S1308" s="37"/>
      <c r="T1308" s="38" t="s">
        <v>293</v>
      </c>
    </row>
    <row r="1309" ht="34.5">
      <c r="A1309" s="38" t="s">
        <v>1215</v>
      </c>
      <c r="B1309" s="38" t="s">
        <v>1216</v>
      </c>
      <c r="C1309" s="38" t="s">
        <v>1263</v>
      </c>
      <c r="D1309" s="38" t="s">
        <v>288</v>
      </c>
      <c r="E1309" s="38" t="s">
        <v>1238</v>
      </c>
      <c r="F1309" s="37" t="s">
        <v>1239</v>
      </c>
      <c r="G1309" s="38" t="s">
        <v>70</v>
      </c>
      <c r="H1309" s="37"/>
      <c r="I1309" s="37"/>
      <c r="J1309" s="37" t="s">
        <v>1265</v>
      </c>
      <c r="K1309" s="40"/>
      <c r="L1309" s="38"/>
      <c r="M1309" s="38"/>
      <c r="N1309" s="37"/>
      <c r="O1309" s="37"/>
      <c r="P1309" s="37"/>
      <c r="Q1309" s="37"/>
      <c r="R1309" s="39"/>
      <c r="S1309" s="37"/>
      <c r="T1309" s="38" t="s">
        <v>293</v>
      </c>
    </row>
    <row r="1310" ht="34.5">
      <c r="A1310" s="38" t="s">
        <v>1215</v>
      </c>
      <c r="B1310" s="38" t="s">
        <v>1216</v>
      </c>
      <c r="C1310" s="38" t="s">
        <v>1263</v>
      </c>
      <c r="D1310" s="38" t="s">
        <v>288</v>
      </c>
      <c r="E1310" s="38" t="s">
        <v>1238</v>
      </c>
      <c r="F1310" s="37" t="s">
        <v>1239</v>
      </c>
      <c r="G1310" s="38" t="s">
        <v>70</v>
      </c>
      <c r="H1310" s="37"/>
      <c r="I1310" s="37"/>
      <c r="J1310" s="37" t="s">
        <v>1266</v>
      </c>
      <c r="K1310" s="40"/>
      <c r="L1310" s="38"/>
      <c r="M1310" s="38"/>
      <c r="N1310" s="37"/>
      <c r="O1310" s="37"/>
      <c r="P1310" s="37"/>
      <c r="Q1310" s="37"/>
      <c r="R1310" s="39"/>
      <c r="S1310" s="37"/>
      <c r="T1310" s="38" t="s">
        <v>293</v>
      </c>
    </row>
    <row r="1311" ht="34.5">
      <c r="A1311" s="38" t="s">
        <v>1215</v>
      </c>
      <c r="B1311" s="38" t="s">
        <v>1216</v>
      </c>
      <c r="C1311" s="38" t="s">
        <v>1263</v>
      </c>
      <c r="D1311" s="38" t="s">
        <v>288</v>
      </c>
      <c r="E1311" s="38" t="s">
        <v>1238</v>
      </c>
      <c r="F1311" s="37" t="s">
        <v>1239</v>
      </c>
      <c r="G1311" s="38" t="s">
        <v>70</v>
      </c>
      <c r="H1311" s="37"/>
      <c r="I1311" s="37"/>
      <c r="J1311" s="37" t="s">
        <v>1267</v>
      </c>
      <c r="K1311" s="40"/>
      <c r="L1311" s="38"/>
      <c r="M1311" s="38"/>
      <c r="N1311" s="37"/>
      <c r="O1311" s="37"/>
      <c r="P1311" s="37"/>
      <c r="Q1311" s="37"/>
      <c r="R1311" s="39"/>
      <c r="S1311" s="37"/>
      <c r="T1311" s="38" t="s">
        <v>293</v>
      </c>
    </row>
    <row r="1312" ht="34.5">
      <c r="A1312" s="38" t="s">
        <v>1215</v>
      </c>
      <c r="B1312" s="38" t="s">
        <v>1216</v>
      </c>
      <c r="C1312" s="38" t="s">
        <v>1263</v>
      </c>
      <c r="D1312" s="38" t="s">
        <v>288</v>
      </c>
      <c r="E1312" s="38" t="s">
        <v>1238</v>
      </c>
      <c r="F1312" s="37" t="s">
        <v>1239</v>
      </c>
      <c r="G1312" s="38" t="s">
        <v>70</v>
      </c>
      <c r="H1312" s="37"/>
      <c r="I1312" s="37"/>
      <c r="J1312" s="37" t="s">
        <v>1268</v>
      </c>
      <c r="K1312" s="40"/>
      <c r="L1312" s="38"/>
      <c r="M1312" s="38"/>
      <c r="N1312" s="37"/>
      <c r="O1312" s="37"/>
      <c r="P1312" s="37"/>
      <c r="Q1312" s="37"/>
      <c r="R1312" s="39"/>
      <c r="S1312" s="37"/>
      <c r="T1312" s="38" t="s">
        <v>293</v>
      </c>
    </row>
    <row r="1313" ht="34.5">
      <c r="A1313" s="38" t="s">
        <v>1215</v>
      </c>
      <c r="B1313" s="38" t="s">
        <v>1216</v>
      </c>
      <c r="C1313" s="38" t="s">
        <v>1263</v>
      </c>
      <c r="D1313" s="38" t="s">
        <v>288</v>
      </c>
      <c r="E1313" s="38" t="s">
        <v>1238</v>
      </c>
      <c r="F1313" s="37" t="s">
        <v>1239</v>
      </c>
      <c r="G1313" s="38" t="s">
        <v>70</v>
      </c>
      <c r="H1313" s="37"/>
      <c r="I1313" s="37"/>
      <c r="J1313" s="37" t="s">
        <v>1269</v>
      </c>
      <c r="K1313" s="40"/>
      <c r="L1313" s="38"/>
      <c r="M1313" s="38"/>
      <c r="N1313" s="37"/>
      <c r="O1313" s="37"/>
      <c r="P1313" s="37"/>
      <c r="Q1313" s="37"/>
      <c r="R1313" s="39"/>
      <c r="S1313" s="37"/>
      <c r="T1313" s="38" t="s">
        <v>293</v>
      </c>
    </row>
    <row r="1314" ht="34.5">
      <c r="A1314" s="38" t="s">
        <v>1215</v>
      </c>
      <c r="B1314" s="38" t="s">
        <v>1216</v>
      </c>
      <c r="C1314" s="38" t="s">
        <v>1263</v>
      </c>
      <c r="D1314" s="38" t="s">
        <v>288</v>
      </c>
      <c r="E1314" s="38" t="s">
        <v>1238</v>
      </c>
      <c r="F1314" s="37" t="s">
        <v>1239</v>
      </c>
      <c r="G1314" s="38" t="s">
        <v>70</v>
      </c>
      <c r="H1314" s="37"/>
      <c r="I1314" s="37"/>
      <c r="J1314" s="37" t="s">
        <v>1270</v>
      </c>
      <c r="K1314" s="40"/>
      <c r="L1314" s="38"/>
      <c r="M1314" s="38"/>
      <c r="N1314" s="37"/>
      <c r="O1314" s="37"/>
      <c r="P1314" s="37"/>
      <c r="Q1314" s="37"/>
      <c r="R1314" s="39"/>
      <c r="S1314" s="37"/>
      <c r="T1314" s="38" t="s">
        <v>293</v>
      </c>
    </row>
    <row r="1315" ht="34.5">
      <c r="A1315" s="38" t="s">
        <v>1215</v>
      </c>
      <c r="B1315" s="38" t="s">
        <v>1216</v>
      </c>
      <c r="C1315" s="38" t="s">
        <v>1271</v>
      </c>
      <c r="D1315" s="38" t="s">
        <v>288</v>
      </c>
      <c r="E1315" s="38" t="s">
        <v>1238</v>
      </c>
      <c r="F1315" s="37" t="s">
        <v>1239</v>
      </c>
      <c r="G1315" s="38" t="s">
        <v>70</v>
      </c>
      <c r="H1315" s="37"/>
      <c r="I1315" s="37"/>
      <c r="J1315" s="37" t="s">
        <v>1272</v>
      </c>
      <c r="K1315" s="40"/>
      <c r="L1315" s="38"/>
      <c r="M1315" s="38"/>
      <c r="N1315" s="37"/>
      <c r="O1315" s="37"/>
      <c r="P1315" s="37"/>
      <c r="Q1315" s="37"/>
      <c r="R1315" s="39"/>
      <c r="S1315" s="37"/>
      <c r="T1315" s="38" t="s">
        <v>293</v>
      </c>
    </row>
    <row r="1316" ht="34.5">
      <c r="A1316" s="38" t="s">
        <v>1215</v>
      </c>
      <c r="B1316" s="38" t="s">
        <v>1216</v>
      </c>
      <c r="C1316" s="38" t="s">
        <v>1271</v>
      </c>
      <c r="D1316" s="38" t="s">
        <v>288</v>
      </c>
      <c r="E1316" s="38" t="s">
        <v>1238</v>
      </c>
      <c r="F1316" s="37" t="s">
        <v>1239</v>
      </c>
      <c r="G1316" s="38" t="s">
        <v>70</v>
      </c>
      <c r="H1316" s="37"/>
      <c r="I1316" s="37"/>
      <c r="J1316" s="37" t="s">
        <v>1273</v>
      </c>
      <c r="K1316" s="40"/>
      <c r="L1316" s="38"/>
      <c r="M1316" s="38"/>
      <c r="N1316" s="37"/>
      <c r="O1316" s="37"/>
      <c r="P1316" s="37"/>
      <c r="Q1316" s="37"/>
      <c r="R1316" s="39"/>
      <c r="S1316" s="37"/>
      <c r="T1316" s="38" t="s">
        <v>293</v>
      </c>
    </row>
    <row r="1317" ht="34.5">
      <c r="A1317" s="38" t="s">
        <v>1215</v>
      </c>
      <c r="B1317" s="38" t="s">
        <v>1216</v>
      </c>
      <c r="C1317" s="38" t="s">
        <v>1271</v>
      </c>
      <c r="D1317" s="38" t="s">
        <v>288</v>
      </c>
      <c r="E1317" s="38" t="s">
        <v>1238</v>
      </c>
      <c r="F1317" s="37" t="s">
        <v>1239</v>
      </c>
      <c r="G1317" s="38" t="s">
        <v>70</v>
      </c>
      <c r="H1317" s="37"/>
      <c r="I1317" s="37"/>
      <c r="J1317" s="37" t="s">
        <v>1274</v>
      </c>
      <c r="K1317" s="40"/>
      <c r="L1317" s="38"/>
      <c r="M1317" s="38"/>
      <c r="N1317" s="37"/>
      <c r="O1317" s="37"/>
      <c r="P1317" s="37"/>
      <c r="Q1317" s="37"/>
      <c r="R1317" s="39"/>
      <c r="S1317" s="37"/>
      <c r="T1317" s="38" t="s">
        <v>293</v>
      </c>
    </row>
    <row r="1318" ht="34.5">
      <c r="A1318" s="38" t="s">
        <v>1215</v>
      </c>
      <c r="B1318" s="38" t="s">
        <v>1216</v>
      </c>
      <c r="C1318" s="38" t="s">
        <v>1271</v>
      </c>
      <c r="D1318" s="38" t="s">
        <v>288</v>
      </c>
      <c r="E1318" s="38" t="s">
        <v>1238</v>
      </c>
      <c r="F1318" s="37" t="s">
        <v>1239</v>
      </c>
      <c r="G1318" s="38" t="s">
        <v>70</v>
      </c>
      <c r="H1318" s="37"/>
      <c r="I1318" s="37"/>
      <c r="J1318" s="37" t="s">
        <v>1275</v>
      </c>
      <c r="K1318" s="40"/>
      <c r="L1318" s="38"/>
      <c r="M1318" s="38"/>
      <c r="N1318" s="37"/>
      <c r="O1318" s="37"/>
      <c r="P1318" s="37"/>
      <c r="Q1318" s="37"/>
      <c r="R1318" s="39"/>
      <c r="S1318" s="37"/>
      <c r="T1318" s="38" t="s">
        <v>293</v>
      </c>
    </row>
    <row r="1319" ht="34.5">
      <c r="A1319" s="38" t="s">
        <v>1215</v>
      </c>
      <c r="B1319" s="38" t="s">
        <v>1216</v>
      </c>
      <c r="C1319" s="38" t="s">
        <v>1271</v>
      </c>
      <c r="D1319" s="38" t="s">
        <v>288</v>
      </c>
      <c r="E1319" s="38" t="s">
        <v>1238</v>
      </c>
      <c r="F1319" s="37" t="s">
        <v>1239</v>
      </c>
      <c r="G1319" s="38" t="s">
        <v>70</v>
      </c>
      <c r="H1319" s="37"/>
      <c r="I1319" s="37"/>
      <c r="J1319" s="37" t="s">
        <v>1276</v>
      </c>
      <c r="K1319" s="40"/>
      <c r="L1319" s="38"/>
      <c r="M1319" s="38"/>
      <c r="N1319" s="37"/>
      <c r="O1319" s="37"/>
      <c r="P1319" s="37"/>
      <c r="Q1319" s="37"/>
      <c r="R1319" s="39"/>
      <c r="S1319" s="37"/>
      <c r="T1319" s="38" t="s">
        <v>293</v>
      </c>
    </row>
    <row r="1320" ht="34.5">
      <c r="A1320" s="38" t="s">
        <v>1215</v>
      </c>
      <c r="B1320" s="38" t="s">
        <v>1216</v>
      </c>
      <c r="C1320" s="38" t="s">
        <v>1271</v>
      </c>
      <c r="D1320" s="38" t="s">
        <v>288</v>
      </c>
      <c r="E1320" s="38" t="s">
        <v>1238</v>
      </c>
      <c r="F1320" s="37" t="s">
        <v>1239</v>
      </c>
      <c r="G1320" s="38" t="s">
        <v>70</v>
      </c>
      <c r="H1320" s="37"/>
      <c r="I1320" s="37"/>
      <c r="J1320" s="37" t="s">
        <v>1277</v>
      </c>
      <c r="K1320" s="40"/>
      <c r="L1320" s="38"/>
      <c r="M1320" s="38"/>
      <c r="N1320" s="37"/>
      <c r="O1320" s="37"/>
      <c r="P1320" s="37"/>
      <c r="Q1320" s="37"/>
      <c r="R1320" s="39"/>
      <c r="S1320" s="37"/>
      <c r="T1320" s="38" t="s">
        <v>293</v>
      </c>
    </row>
    <row r="1321" ht="34.5">
      <c r="A1321" s="38" t="s">
        <v>1215</v>
      </c>
      <c r="B1321" s="38" t="s">
        <v>1216</v>
      </c>
      <c r="C1321" s="38" t="s">
        <v>1271</v>
      </c>
      <c r="D1321" s="38" t="s">
        <v>288</v>
      </c>
      <c r="E1321" s="38" t="s">
        <v>1238</v>
      </c>
      <c r="F1321" s="37" t="s">
        <v>1239</v>
      </c>
      <c r="G1321" s="38" t="s">
        <v>70</v>
      </c>
      <c r="H1321" s="37"/>
      <c r="I1321" s="37"/>
      <c r="J1321" s="37" t="s">
        <v>1278</v>
      </c>
      <c r="K1321" s="40"/>
      <c r="L1321" s="38"/>
      <c r="M1321" s="38"/>
      <c r="N1321" s="37"/>
      <c r="O1321" s="37"/>
      <c r="P1321" s="37"/>
      <c r="Q1321" s="37"/>
      <c r="R1321" s="39"/>
      <c r="S1321" s="37"/>
      <c r="T1321" s="38" t="s">
        <v>293</v>
      </c>
    </row>
    <row r="1322" ht="34.5">
      <c r="A1322" s="38" t="s">
        <v>1215</v>
      </c>
      <c r="B1322" s="38" t="s">
        <v>1216</v>
      </c>
      <c r="C1322" s="38" t="s">
        <v>1271</v>
      </c>
      <c r="D1322" s="38" t="s">
        <v>288</v>
      </c>
      <c r="E1322" s="38" t="s">
        <v>1238</v>
      </c>
      <c r="F1322" s="37" t="s">
        <v>1239</v>
      </c>
      <c r="G1322" s="38" t="s">
        <v>70</v>
      </c>
      <c r="H1322" s="37"/>
      <c r="I1322" s="37"/>
      <c r="J1322" s="37" t="s">
        <v>1279</v>
      </c>
      <c r="K1322" s="40"/>
      <c r="L1322" s="38"/>
      <c r="M1322" s="38"/>
      <c r="N1322" s="37"/>
      <c r="O1322" s="37"/>
      <c r="P1322" s="37"/>
      <c r="Q1322" s="37"/>
      <c r="R1322" s="39"/>
      <c r="S1322" s="37"/>
      <c r="T1322" s="38" t="s">
        <v>293</v>
      </c>
    </row>
    <row r="1323" ht="34.5">
      <c r="A1323" s="38" t="s">
        <v>1215</v>
      </c>
      <c r="B1323" s="38" t="s">
        <v>1216</v>
      </c>
      <c r="C1323" s="38" t="s">
        <v>1271</v>
      </c>
      <c r="D1323" s="38" t="s">
        <v>288</v>
      </c>
      <c r="E1323" s="38" t="s">
        <v>1238</v>
      </c>
      <c r="F1323" s="37" t="s">
        <v>1239</v>
      </c>
      <c r="G1323" s="38" t="s">
        <v>70</v>
      </c>
      <c r="H1323" s="37"/>
      <c r="I1323" s="37"/>
      <c r="J1323" s="37" t="s">
        <v>1280</v>
      </c>
      <c r="K1323" s="40"/>
      <c r="L1323" s="38"/>
      <c r="M1323" s="38"/>
      <c r="N1323" s="37"/>
      <c r="O1323" s="37"/>
      <c r="P1323" s="37"/>
      <c r="Q1323" s="37"/>
      <c r="R1323" s="39"/>
      <c r="S1323" s="37"/>
      <c r="T1323" s="38" t="s">
        <v>293</v>
      </c>
    </row>
    <row r="1324" ht="34.5">
      <c r="A1324" s="38" t="s">
        <v>1215</v>
      </c>
      <c r="B1324" s="38" t="s">
        <v>1216</v>
      </c>
      <c r="C1324" s="38" t="s">
        <v>1271</v>
      </c>
      <c r="D1324" s="38" t="s">
        <v>288</v>
      </c>
      <c r="E1324" s="38" t="s">
        <v>1238</v>
      </c>
      <c r="F1324" s="37" t="s">
        <v>1239</v>
      </c>
      <c r="G1324" s="38" t="s">
        <v>70</v>
      </c>
      <c r="H1324" s="37"/>
      <c r="I1324" s="37"/>
      <c r="J1324" s="37" t="s">
        <v>1281</v>
      </c>
      <c r="K1324" s="40"/>
      <c r="L1324" s="38"/>
      <c r="M1324" s="38"/>
      <c r="N1324" s="37"/>
      <c r="O1324" s="37"/>
      <c r="P1324" s="37"/>
      <c r="Q1324" s="37"/>
      <c r="R1324" s="39"/>
      <c r="S1324" s="37"/>
      <c r="T1324" s="38" t="s">
        <v>293</v>
      </c>
    </row>
    <row r="1325" ht="34.5">
      <c r="A1325" s="38" t="s">
        <v>1215</v>
      </c>
      <c r="B1325" s="38" t="s">
        <v>1216</v>
      </c>
      <c r="C1325" s="38" t="s">
        <v>1271</v>
      </c>
      <c r="D1325" s="38" t="s">
        <v>288</v>
      </c>
      <c r="E1325" s="38" t="s">
        <v>1238</v>
      </c>
      <c r="F1325" s="37" t="s">
        <v>1239</v>
      </c>
      <c r="G1325" s="38" t="s">
        <v>70</v>
      </c>
      <c r="H1325" s="37"/>
      <c r="I1325" s="37"/>
      <c r="J1325" s="37" t="s">
        <v>1282</v>
      </c>
      <c r="K1325" s="40"/>
      <c r="L1325" s="38"/>
      <c r="M1325" s="38"/>
      <c r="N1325" s="37"/>
      <c r="O1325" s="37"/>
      <c r="P1325" s="37"/>
      <c r="Q1325" s="37"/>
      <c r="R1325" s="39"/>
      <c r="S1325" s="37"/>
      <c r="T1325" s="38" t="s">
        <v>293</v>
      </c>
    </row>
    <row r="1326" ht="34.5">
      <c r="A1326" s="38" t="s">
        <v>1215</v>
      </c>
      <c r="B1326" s="38" t="s">
        <v>1216</v>
      </c>
      <c r="C1326" s="38" t="s">
        <v>1283</v>
      </c>
      <c r="D1326" s="38" t="s">
        <v>288</v>
      </c>
      <c r="E1326" s="38" t="s">
        <v>1238</v>
      </c>
      <c r="F1326" s="37" t="s">
        <v>1239</v>
      </c>
      <c r="G1326" s="38" t="s">
        <v>70</v>
      </c>
      <c r="H1326" s="37"/>
      <c r="I1326" s="37"/>
      <c r="J1326" s="37" t="s">
        <v>1284</v>
      </c>
      <c r="K1326" s="40"/>
      <c r="L1326" s="38"/>
      <c r="M1326" s="38"/>
      <c r="N1326" s="37"/>
      <c r="O1326" s="37"/>
      <c r="P1326" s="37"/>
      <c r="Q1326" s="37"/>
      <c r="R1326" s="39"/>
      <c r="S1326" s="37"/>
      <c r="T1326" s="38" t="s">
        <v>293</v>
      </c>
    </row>
    <row r="1327" ht="34.5">
      <c r="A1327" s="38" t="s">
        <v>1215</v>
      </c>
      <c r="B1327" s="38" t="s">
        <v>1216</v>
      </c>
      <c r="C1327" s="38" t="s">
        <v>1283</v>
      </c>
      <c r="D1327" s="38" t="s">
        <v>288</v>
      </c>
      <c r="E1327" s="38" t="s">
        <v>1238</v>
      </c>
      <c r="F1327" s="37" t="s">
        <v>1239</v>
      </c>
      <c r="G1327" s="38" t="s">
        <v>70</v>
      </c>
      <c r="H1327" s="37"/>
      <c r="I1327" s="37"/>
      <c r="J1327" s="37" t="s">
        <v>1285</v>
      </c>
      <c r="K1327" s="40"/>
      <c r="L1327" s="38"/>
      <c r="M1327" s="38"/>
      <c r="N1327" s="37"/>
      <c r="O1327" s="37"/>
      <c r="P1327" s="37"/>
      <c r="Q1327" s="37"/>
      <c r="R1327" s="39"/>
      <c r="S1327" s="37"/>
      <c r="T1327" s="38" t="s">
        <v>293</v>
      </c>
    </row>
    <row r="1328" ht="34.5">
      <c r="A1328" s="38" t="s">
        <v>1215</v>
      </c>
      <c r="B1328" s="38" t="s">
        <v>1216</v>
      </c>
      <c r="C1328" s="38" t="s">
        <v>1283</v>
      </c>
      <c r="D1328" s="38" t="s">
        <v>288</v>
      </c>
      <c r="E1328" s="38" t="s">
        <v>1238</v>
      </c>
      <c r="F1328" s="37" t="s">
        <v>1239</v>
      </c>
      <c r="G1328" s="38" t="s">
        <v>70</v>
      </c>
      <c r="H1328" s="37"/>
      <c r="I1328" s="37"/>
      <c r="J1328" s="37" t="s">
        <v>1286</v>
      </c>
      <c r="K1328" s="40"/>
      <c r="L1328" s="38"/>
      <c r="M1328" s="38"/>
      <c r="N1328" s="37"/>
      <c r="O1328" s="37"/>
      <c r="P1328" s="37"/>
      <c r="Q1328" s="37"/>
      <c r="R1328" s="39"/>
      <c r="S1328" s="37"/>
      <c r="T1328" s="38" t="s">
        <v>293</v>
      </c>
    </row>
    <row r="1329" ht="34.5">
      <c r="A1329" s="38" t="s">
        <v>1215</v>
      </c>
      <c r="B1329" s="38" t="s">
        <v>1216</v>
      </c>
      <c r="C1329" s="38" t="s">
        <v>1283</v>
      </c>
      <c r="D1329" s="38" t="s">
        <v>288</v>
      </c>
      <c r="E1329" s="38" t="s">
        <v>1238</v>
      </c>
      <c r="F1329" s="37" t="s">
        <v>1239</v>
      </c>
      <c r="G1329" s="38" t="s">
        <v>70</v>
      </c>
      <c r="H1329" s="37"/>
      <c r="I1329" s="37"/>
      <c r="J1329" s="37" t="s">
        <v>1287</v>
      </c>
      <c r="K1329" s="40"/>
      <c r="L1329" s="38"/>
      <c r="M1329" s="38"/>
      <c r="N1329" s="37"/>
      <c r="O1329" s="37"/>
      <c r="P1329" s="37"/>
      <c r="Q1329" s="37"/>
      <c r="R1329" s="39"/>
      <c r="S1329" s="37"/>
      <c r="T1329" s="38" t="s">
        <v>293</v>
      </c>
    </row>
    <row r="1330" ht="34.5">
      <c r="A1330" s="38" t="s">
        <v>1215</v>
      </c>
      <c r="B1330" s="38" t="s">
        <v>1216</v>
      </c>
      <c r="C1330" s="38" t="s">
        <v>1283</v>
      </c>
      <c r="D1330" s="38" t="s">
        <v>288</v>
      </c>
      <c r="E1330" s="38" t="s">
        <v>1238</v>
      </c>
      <c r="F1330" s="37" t="s">
        <v>1239</v>
      </c>
      <c r="G1330" s="38" t="s">
        <v>70</v>
      </c>
      <c r="H1330" s="37"/>
      <c r="I1330" s="37"/>
      <c r="J1330" s="37" t="s">
        <v>1288</v>
      </c>
      <c r="K1330" s="40"/>
      <c r="L1330" s="38"/>
      <c r="M1330" s="38"/>
      <c r="N1330" s="37"/>
      <c r="O1330" s="37"/>
      <c r="P1330" s="37"/>
      <c r="Q1330" s="37"/>
      <c r="R1330" s="39"/>
      <c r="S1330" s="37"/>
      <c r="T1330" s="38" t="s">
        <v>293</v>
      </c>
    </row>
    <row r="1331" ht="34.5">
      <c r="A1331" s="38" t="s">
        <v>1215</v>
      </c>
      <c r="B1331" s="38" t="s">
        <v>1216</v>
      </c>
      <c r="C1331" s="38" t="s">
        <v>1283</v>
      </c>
      <c r="D1331" s="38" t="s">
        <v>288</v>
      </c>
      <c r="E1331" s="38" t="s">
        <v>1238</v>
      </c>
      <c r="F1331" s="37" t="s">
        <v>1239</v>
      </c>
      <c r="G1331" s="38" t="s">
        <v>70</v>
      </c>
      <c r="H1331" s="37"/>
      <c r="I1331" s="37"/>
      <c r="J1331" s="37" t="s">
        <v>1289</v>
      </c>
      <c r="K1331" s="40"/>
      <c r="L1331" s="38"/>
      <c r="M1331" s="38"/>
      <c r="N1331" s="37"/>
      <c r="O1331" s="37"/>
      <c r="P1331" s="37"/>
      <c r="Q1331" s="37"/>
      <c r="R1331" s="39"/>
      <c r="S1331" s="37"/>
      <c r="T1331" s="38" t="s">
        <v>293</v>
      </c>
    </row>
    <row r="1332" ht="34.5">
      <c r="A1332" s="38" t="s">
        <v>1215</v>
      </c>
      <c r="B1332" s="38" t="s">
        <v>1216</v>
      </c>
      <c r="C1332" s="38" t="s">
        <v>1283</v>
      </c>
      <c r="D1332" s="38" t="s">
        <v>288</v>
      </c>
      <c r="E1332" s="38" t="s">
        <v>1238</v>
      </c>
      <c r="F1332" s="37" t="s">
        <v>1239</v>
      </c>
      <c r="G1332" s="38" t="s">
        <v>70</v>
      </c>
      <c r="H1332" s="37"/>
      <c r="I1332" s="37"/>
      <c r="J1332" s="37" t="s">
        <v>1290</v>
      </c>
      <c r="K1332" s="40"/>
      <c r="L1332" s="38"/>
      <c r="M1332" s="38"/>
      <c r="N1332" s="37"/>
      <c r="O1332" s="37"/>
      <c r="P1332" s="37"/>
      <c r="Q1332" s="37"/>
      <c r="R1332" s="39"/>
      <c r="S1332" s="37"/>
      <c r="T1332" s="38" t="s">
        <v>293</v>
      </c>
    </row>
    <row r="1333" ht="34.5">
      <c r="A1333" s="38" t="s">
        <v>1215</v>
      </c>
      <c r="B1333" s="38" t="s">
        <v>1216</v>
      </c>
      <c r="C1333" s="38" t="s">
        <v>1283</v>
      </c>
      <c r="D1333" s="38" t="s">
        <v>288</v>
      </c>
      <c r="E1333" s="38" t="s">
        <v>1238</v>
      </c>
      <c r="F1333" s="37" t="s">
        <v>1239</v>
      </c>
      <c r="G1333" s="38" t="s">
        <v>70</v>
      </c>
      <c r="H1333" s="37"/>
      <c r="I1333" s="37"/>
      <c r="J1333" s="37" t="s">
        <v>1291</v>
      </c>
      <c r="K1333" s="40"/>
      <c r="L1333" s="38"/>
      <c r="M1333" s="38"/>
      <c r="N1333" s="37"/>
      <c r="O1333" s="37"/>
      <c r="P1333" s="37"/>
      <c r="Q1333" s="37"/>
      <c r="R1333" s="39"/>
      <c r="S1333" s="37"/>
      <c r="T1333" s="38" t="s">
        <v>293</v>
      </c>
    </row>
    <row r="1334" ht="34.5">
      <c r="A1334" s="38" t="s">
        <v>1215</v>
      </c>
      <c r="B1334" s="38" t="s">
        <v>1216</v>
      </c>
      <c r="C1334" s="38" t="s">
        <v>1283</v>
      </c>
      <c r="D1334" s="38" t="s">
        <v>288</v>
      </c>
      <c r="E1334" s="38" t="s">
        <v>1238</v>
      </c>
      <c r="F1334" s="37" t="s">
        <v>1239</v>
      </c>
      <c r="G1334" s="38" t="s">
        <v>70</v>
      </c>
      <c r="H1334" s="37"/>
      <c r="I1334" s="37"/>
      <c r="J1334" s="37" t="s">
        <v>1292</v>
      </c>
      <c r="K1334" s="40"/>
      <c r="L1334" s="38"/>
      <c r="M1334" s="38"/>
      <c r="N1334" s="37"/>
      <c r="O1334" s="37"/>
      <c r="P1334" s="37"/>
      <c r="Q1334" s="37"/>
      <c r="R1334" s="39"/>
      <c r="S1334" s="37"/>
      <c r="T1334" s="38" t="s">
        <v>293</v>
      </c>
    </row>
    <row r="1335" ht="34.5">
      <c r="A1335" s="38" t="s">
        <v>1215</v>
      </c>
      <c r="B1335" s="38" t="s">
        <v>1216</v>
      </c>
      <c r="C1335" s="38" t="s">
        <v>1283</v>
      </c>
      <c r="D1335" s="38" t="s">
        <v>288</v>
      </c>
      <c r="E1335" s="38" t="s">
        <v>1238</v>
      </c>
      <c r="F1335" s="37" t="s">
        <v>1239</v>
      </c>
      <c r="G1335" s="38" t="s">
        <v>70</v>
      </c>
      <c r="H1335" s="37"/>
      <c r="I1335" s="37"/>
      <c r="J1335" s="37" t="s">
        <v>1293</v>
      </c>
      <c r="K1335" s="40"/>
      <c r="L1335" s="38"/>
      <c r="M1335" s="38"/>
      <c r="N1335" s="37"/>
      <c r="O1335" s="37"/>
      <c r="P1335" s="37"/>
      <c r="Q1335" s="37"/>
      <c r="R1335" s="39"/>
      <c r="S1335" s="37"/>
      <c r="T1335" s="38" t="s">
        <v>293</v>
      </c>
    </row>
    <row r="1336" ht="34.5">
      <c r="A1336" s="38" t="s">
        <v>1215</v>
      </c>
      <c r="B1336" s="38" t="s">
        <v>1216</v>
      </c>
      <c r="C1336" s="38" t="s">
        <v>1283</v>
      </c>
      <c r="D1336" s="38" t="s">
        <v>288</v>
      </c>
      <c r="E1336" s="38" t="s">
        <v>1238</v>
      </c>
      <c r="F1336" s="37" t="s">
        <v>1239</v>
      </c>
      <c r="G1336" s="38" t="s">
        <v>70</v>
      </c>
      <c r="H1336" s="37"/>
      <c r="I1336" s="37"/>
      <c r="J1336" s="37" t="s">
        <v>1294</v>
      </c>
      <c r="K1336" s="40"/>
      <c r="L1336" s="38"/>
      <c r="M1336" s="38"/>
      <c r="N1336" s="37"/>
      <c r="O1336" s="37"/>
      <c r="P1336" s="37"/>
      <c r="Q1336" s="37"/>
      <c r="R1336" s="39"/>
      <c r="S1336" s="37"/>
      <c r="T1336" s="38" t="s">
        <v>293</v>
      </c>
    </row>
    <row r="1337" ht="34.5">
      <c r="A1337" s="38" t="s">
        <v>1215</v>
      </c>
      <c r="B1337" s="38" t="s">
        <v>1216</v>
      </c>
      <c r="C1337" s="38" t="s">
        <v>1295</v>
      </c>
      <c r="D1337" s="38" t="s">
        <v>288</v>
      </c>
      <c r="E1337" s="38" t="s">
        <v>1238</v>
      </c>
      <c r="F1337" s="37" t="s">
        <v>1239</v>
      </c>
      <c r="G1337" s="38" t="s">
        <v>70</v>
      </c>
      <c r="H1337" s="37"/>
      <c r="I1337" s="37"/>
      <c r="J1337" s="37" t="s">
        <v>1296</v>
      </c>
      <c r="K1337" s="40"/>
      <c r="L1337" s="38"/>
      <c r="M1337" s="38"/>
      <c r="N1337" s="37"/>
      <c r="O1337" s="37"/>
      <c r="P1337" s="37"/>
      <c r="Q1337" s="37"/>
      <c r="R1337" s="39"/>
      <c r="S1337" s="37"/>
      <c r="T1337" s="38" t="s">
        <v>293</v>
      </c>
    </row>
    <row r="1338" ht="34.5">
      <c r="A1338" s="38" t="s">
        <v>1215</v>
      </c>
      <c r="B1338" s="38" t="s">
        <v>1216</v>
      </c>
      <c r="C1338" s="38" t="s">
        <v>1295</v>
      </c>
      <c r="D1338" s="38" t="s">
        <v>288</v>
      </c>
      <c r="E1338" s="38" t="s">
        <v>1238</v>
      </c>
      <c r="F1338" s="37" t="s">
        <v>1239</v>
      </c>
      <c r="G1338" s="38" t="s">
        <v>70</v>
      </c>
      <c r="H1338" s="37"/>
      <c r="I1338" s="37"/>
      <c r="J1338" s="37" t="s">
        <v>1297</v>
      </c>
      <c r="K1338" s="40"/>
      <c r="L1338" s="38"/>
      <c r="M1338" s="38"/>
      <c r="N1338" s="37"/>
      <c r="O1338" s="37"/>
      <c r="P1338" s="37"/>
      <c r="Q1338" s="37"/>
      <c r="R1338" s="39"/>
      <c r="S1338" s="37"/>
      <c r="T1338" s="38" t="s">
        <v>293</v>
      </c>
    </row>
    <row r="1339" ht="34.5">
      <c r="A1339" s="38" t="s">
        <v>1215</v>
      </c>
      <c r="B1339" s="38" t="s">
        <v>1216</v>
      </c>
      <c r="C1339" s="38" t="s">
        <v>1295</v>
      </c>
      <c r="D1339" s="38" t="s">
        <v>288</v>
      </c>
      <c r="E1339" s="38" t="s">
        <v>1238</v>
      </c>
      <c r="F1339" s="37" t="s">
        <v>1239</v>
      </c>
      <c r="G1339" s="38" t="s">
        <v>70</v>
      </c>
      <c r="H1339" s="37"/>
      <c r="I1339" s="37"/>
      <c r="J1339" s="37" t="s">
        <v>1298</v>
      </c>
      <c r="K1339" s="40"/>
      <c r="L1339" s="38"/>
      <c r="M1339" s="38"/>
      <c r="N1339" s="37"/>
      <c r="O1339" s="37"/>
      <c r="P1339" s="37"/>
      <c r="Q1339" s="37"/>
      <c r="R1339" s="39"/>
      <c r="S1339" s="37"/>
      <c r="T1339" s="38" t="s">
        <v>293</v>
      </c>
    </row>
    <row r="1340" ht="34.5">
      <c r="A1340" s="38" t="s">
        <v>1215</v>
      </c>
      <c r="B1340" s="38" t="s">
        <v>1216</v>
      </c>
      <c r="C1340" s="38" t="s">
        <v>1295</v>
      </c>
      <c r="D1340" s="38" t="s">
        <v>288</v>
      </c>
      <c r="E1340" s="38" t="s">
        <v>1238</v>
      </c>
      <c r="F1340" s="37" t="s">
        <v>1239</v>
      </c>
      <c r="G1340" s="38" t="s">
        <v>70</v>
      </c>
      <c r="H1340" s="37"/>
      <c r="I1340" s="37"/>
      <c r="J1340" s="37" t="s">
        <v>1299</v>
      </c>
      <c r="K1340" s="40"/>
      <c r="L1340" s="38"/>
      <c r="M1340" s="38"/>
      <c r="N1340" s="37"/>
      <c r="O1340" s="37"/>
      <c r="P1340" s="37"/>
      <c r="Q1340" s="37"/>
      <c r="R1340" s="39"/>
      <c r="S1340" s="37"/>
      <c r="T1340" s="38" t="s">
        <v>293</v>
      </c>
    </row>
    <row r="1341" ht="34.5">
      <c r="A1341" s="38" t="s">
        <v>1215</v>
      </c>
      <c r="B1341" s="38" t="s">
        <v>1216</v>
      </c>
      <c r="C1341" s="38" t="s">
        <v>1295</v>
      </c>
      <c r="D1341" s="38" t="s">
        <v>288</v>
      </c>
      <c r="E1341" s="38" t="s">
        <v>1238</v>
      </c>
      <c r="F1341" s="37" t="s">
        <v>1239</v>
      </c>
      <c r="G1341" s="38" t="s">
        <v>70</v>
      </c>
      <c r="H1341" s="37"/>
      <c r="I1341" s="37"/>
      <c r="J1341" s="37" t="s">
        <v>1300</v>
      </c>
      <c r="K1341" s="40"/>
      <c r="L1341" s="38"/>
      <c r="M1341" s="38"/>
      <c r="N1341" s="37"/>
      <c r="O1341" s="37"/>
      <c r="P1341" s="37"/>
      <c r="Q1341" s="37"/>
      <c r="R1341" s="39"/>
      <c r="S1341" s="37"/>
      <c r="T1341" s="38" t="s">
        <v>293</v>
      </c>
    </row>
    <row r="1342" ht="34.5">
      <c r="A1342" s="38" t="s">
        <v>1215</v>
      </c>
      <c r="B1342" s="38" t="s">
        <v>1216</v>
      </c>
      <c r="C1342" s="38" t="s">
        <v>1295</v>
      </c>
      <c r="D1342" s="38" t="s">
        <v>288</v>
      </c>
      <c r="E1342" s="38" t="s">
        <v>1238</v>
      </c>
      <c r="F1342" s="37" t="s">
        <v>1239</v>
      </c>
      <c r="G1342" s="38" t="s">
        <v>70</v>
      </c>
      <c r="H1342" s="37"/>
      <c r="I1342" s="37"/>
      <c r="J1342" s="37" t="s">
        <v>1301</v>
      </c>
      <c r="K1342" s="40"/>
      <c r="L1342" s="38"/>
      <c r="M1342" s="38"/>
      <c r="N1342" s="37"/>
      <c r="O1342" s="37"/>
      <c r="P1342" s="37"/>
      <c r="Q1342" s="37"/>
      <c r="R1342" s="39"/>
      <c r="S1342" s="37"/>
      <c r="T1342" s="38" t="s">
        <v>293</v>
      </c>
    </row>
    <row r="1343" ht="34.5">
      <c r="A1343" s="38" t="s">
        <v>1215</v>
      </c>
      <c r="B1343" s="38" t="s">
        <v>1216</v>
      </c>
      <c r="C1343" s="38" t="s">
        <v>1295</v>
      </c>
      <c r="D1343" s="38" t="s">
        <v>288</v>
      </c>
      <c r="E1343" s="38" t="s">
        <v>1238</v>
      </c>
      <c r="F1343" s="37" t="s">
        <v>1239</v>
      </c>
      <c r="G1343" s="38" t="s">
        <v>70</v>
      </c>
      <c r="H1343" s="37"/>
      <c r="I1343" s="37"/>
      <c r="J1343" s="37" t="s">
        <v>1302</v>
      </c>
      <c r="K1343" s="40"/>
      <c r="L1343" s="38"/>
      <c r="M1343" s="38"/>
      <c r="N1343" s="37"/>
      <c r="O1343" s="37"/>
      <c r="P1343" s="37"/>
      <c r="Q1343" s="37"/>
      <c r="R1343" s="39"/>
      <c r="S1343" s="37"/>
      <c r="T1343" s="38" t="s">
        <v>293</v>
      </c>
    </row>
    <row r="1344" ht="34.5">
      <c r="A1344" s="38" t="s">
        <v>1215</v>
      </c>
      <c r="B1344" s="38" t="s">
        <v>1216</v>
      </c>
      <c r="C1344" s="38" t="s">
        <v>1295</v>
      </c>
      <c r="D1344" s="38" t="s">
        <v>288</v>
      </c>
      <c r="E1344" s="38" t="s">
        <v>1238</v>
      </c>
      <c r="F1344" s="37" t="s">
        <v>1239</v>
      </c>
      <c r="G1344" s="38" t="s">
        <v>70</v>
      </c>
      <c r="H1344" s="37"/>
      <c r="I1344" s="37"/>
      <c r="J1344" s="37" t="s">
        <v>1303</v>
      </c>
      <c r="K1344" s="40"/>
      <c r="L1344" s="38"/>
      <c r="M1344" s="38"/>
      <c r="N1344" s="37"/>
      <c r="O1344" s="37"/>
      <c r="P1344" s="37"/>
      <c r="Q1344" s="37"/>
      <c r="R1344" s="39"/>
      <c r="S1344" s="37"/>
      <c r="T1344" s="38" t="s">
        <v>293</v>
      </c>
    </row>
    <row r="1345" ht="34.5">
      <c r="A1345" s="38" t="s">
        <v>1215</v>
      </c>
      <c r="B1345" s="38" t="s">
        <v>1216</v>
      </c>
      <c r="C1345" s="38" t="s">
        <v>1295</v>
      </c>
      <c r="D1345" s="38" t="s">
        <v>288</v>
      </c>
      <c r="E1345" s="38" t="s">
        <v>1238</v>
      </c>
      <c r="F1345" s="37" t="s">
        <v>1239</v>
      </c>
      <c r="G1345" s="38" t="s">
        <v>70</v>
      </c>
      <c r="H1345" s="37"/>
      <c r="I1345" s="37"/>
      <c r="J1345" s="37" t="s">
        <v>1304</v>
      </c>
      <c r="K1345" s="40"/>
      <c r="L1345" s="38"/>
      <c r="M1345" s="38"/>
      <c r="N1345" s="37"/>
      <c r="O1345" s="37"/>
      <c r="P1345" s="37"/>
      <c r="Q1345" s="37"/>
      <c r="R1345" s="39"/>
      <c r="S1345" s="37"/>
      <c r="T1345" s="38" t="s">
        <v>293</v>
      </c>
    </row>
    <row r="1346" ht="34.5">
      <c r="A1346" s="38" t="s">
        <v>1215</v>
      </c>
      <c r="B1346" s="38" t="s">
        <v>1216</v>
      </c>
      <c r="C1346" s="38" t="s">
        <v>1295</v>
      </c>
      <c r="D1346" s="38" t="s">
        <v>288</v>
      </c>
      <c r="E1346" s="38" t="s">
        <v>1238</v>
      </c>
      <c r="F1346" s="37" t="s">
        <v>1239</v>
      </c>
      <c r="G1346" s="38" t="s">
        <v>70</v>
      </c>
      <c r="H1346" s="37"/>
      <c r="I1346" s="37"/>
      <c r="J1346" s="37" t="s">
        <v>1305</v>
      </c>
      <c r="K1346" s="40"/>
      <c r="L1346" s="38"/>
      <c r="M1346" s="38"/>
      <c r="N1346" s="37"/>
      <c r="O1346" s="37"/>
      <c r="P1346" s="37"/>
      <c r="Q1346" s="37"/>
      <c r="R1346" s="39"/>
      <c r="S1346" s="37"/>
      <c r="T1346" s="38" t="s">
        <v>293</v>
      </c>
    </row>
    <row r="1347" ht="34.5">
      <c r="A1347" s="38" t="s">
        <v>1215</v>
      </c>
      <c r="B1347" s="38" t="s">
        <v>1216</v>
      </c>
      <c r="C1347" s="38" t="s">
        <v>1295</v>
      </c>
      <c r="D1347" s="38" t="s">
        <v>288</v>
      </c>
      <c r="E1347" s="38" t="s">
        <v>1238</v>
      </c>
      <c r="F1347" s="37" t="s">
        <v>1239</v>
      </c>
      <c r="G1347" s="38" t="s">
        <v>70</v>
      </c>
      <c r="H1347" s="37"/>
      <c r="I1347" s="37"/>
      <c r="J1347" s="37" t="s">
        <v>1306</v>
      </c>
      <c r="K1347" s="40"/>
      <c r="L1347" s="38"/>
      <c r="M1347" s="38"/>
      <c r="N1347" s="37"/>
      <c r="O1347" s="37"/>
      <c r="P1347" s="37"/>
      <c r="Q1347" s="37"/>
      <c r="R1347" s="39"/>
      <c r="S1347" s="37"/>
      <c r="T1347" s="38" t="s">
        <v>293</v>
      </c>
    </row>
    <row r="1348" ht="34.5">
      <c r="A1348" s="38" t="s">
        <v>1215</v>
      </c>
      <c r="B1348" s="38" t="s">
        <v>1216</v>
      </c>
      <c r="C1348" s="38" t="s">
        <v>1295</v>
      </c>
      <c r="D1348" s="38" t="s">
        <v>288</v>
      </c>
      <c r="E1348" s="38" t="s">
        <v>1238</v>
      </c>
      <c r="F1348" s="37" t="s">
        <v>1239</v>
      </c>
      <c r="G1348" s="38" t="s">
        <v>70</v>
      </c>
      <c r="H1348" s="37"/>
      <c r="I1348" s="37"/>
      <c r="J1348" s="37" t="s">
        <v>1307</v>
      </c>
      <c r="K1348" s="40"/>
      <c r="L1348" s="38"/>
      <c r="M1348" s="38"/>
      <c r="N1348" s="37"/>
      <c r="O1348" s="37"/>
      <c r="P1348" s="37"/>
      <c r="Q1348" s="37"/>
      <c r="R1348" s="39"/>
      <c r="S1348" s="37"/>
      <c r="T1348" s="38" t="s">
        <v>293</v>
      </c>
    </row>
    <row r="1349" ht="34.5">
      <c r="A1349" s="38" t="s">
        <v>1215</v>
      </c>
      <c r="B1349" s="38" t="s">
        <v>1216</v>
      </c>
      <c r="C1349" s="38" t="s">
        <v>1295</v>
      </c>
      <c r="D1349" s="38" t="s">
        <v>288</v>
      </c>
      <c r="E1349" s="38" t="s">
        <v>1238</v>
      </c>
      <c r="F1349" s="37" t="s">
        <v>1239</v>
      </c>
      <c r="G1349" s="38" t="s">
        <v>70</v>
      </c>
      <c r="H1349" s="37"/>
      <c r="I1349" s="37"/>
      <c r="J1349" s="37" t="s">
        <v>1308</v>
      </c>
      <c r="K1349" s="40"/>
      <c r="L1349" s="38"/>
      <c r="M1349" s="38"/>
      <c r="N1349" s="37"/>
      <c r="O1349" s="37"/>
      <c r="P1349" s="37"/>
      <c r="Q1349" s="37"/>
      <c r="R1349" s="39"/>
      <c r="S1349" s="37"/>
      <c r="T1349" s="38" t="s">
        <v>293</v>
      </c>
    </row>
    <row r="1350" ht="34.5">
      <c r="A1350" s="38" t="s">
        <v>1215</v>
      </c>
      <c r="B1350" s="38" t="s">
        <v>1216</v>
      </c>
      <c r="C1350" s="38" t="s">
        <v>1295</v>
      </c>
      <c r="D1350" s="38" t="s">
        <v>288</v>
      </c>
      <c r="E1350" s="38" t="s">
        <v>1238</v>
      </c>
      <c r="F1350" s="37" t="s">
        <v>1239</v>
      </c>
      <c r="G1350" s="38" t="s">
        <v>70</v>
      </c>
      <c r="H1350" s="37"/>
      <c r="I1350" s="37"/>
      <c r="J1350" s="37" t="s">
        <v>1309</v>
      </c>
      <c r="K1350" s="40"/>
      <c r="L1350" s="38"/>
      <c r="M1350" s="38"/>
      <c r="N1350" s="37"/>
      <c r="O1350" s="37"/>
      <c r="P1350" s="37"/>
      <c r="Q1350" s="37"/>
      <c r="R1350" s="39"/>
      <c r="S1350" s="37"/>
      <c r="T1350" s="38" t="s">
        <v>293</v>
      </c>
    </row>
    <row r="1351" ht="34.5">
      <c r="A1351" s="38" t="s">
        <v>1215</v>
      </c>
      <c r="B1351" s="38" t="s">
        <v>1216</v>
      </c>
      <c r="C1351" s="38" t="s">
        <v>1295</v>
      </c>
      <c r="D1351" s="38" t="s">
        <v>288</v>
      </c>
      <c r="E1351" s="38" t="s">
        <v>1238</v>
      </c>
      <c r="F1351" s="37" t="s">
        <v>1239</v>
      </c>
      <c r="G1351" s="38" t="s">
        <v>70</v>
      </c>
      <c r="H1351" s="37"/>
      <c r="I1351" s="37"/>
      <c r="J1351" s="37" t="s">
        <v>1310</v>
      </c>
      <c r="K1351" s="40"/>
      <c r="L1351" s="38"/>
      <c r="M1351" s="38"/>
      <c r="N1351" s="37"/>
      <c r="O1351" s="37"/>
      <c r="P1351" s="37"/>
      <c r="Q1351" s="37"/>
      <c r="R1351" s="39"/>
      <c r="S1351" s="37"/>
      <c r="T1351" s="38" t="s">
        <v>293</v>
      </c>
    </row>
    <row r="1352" ht="34.5">
      <c r="A1352" s="38" t="s">
        <v>1215</v>
      </c>
      <c r="B1352" s="38" t="s">
        <v>1216</v>
      </c>
      <c r="C1352" s="38" t="s">
        <v>1311</v>
      </c>
      <c r="D1352" s="38" t="s">
        <v>288</v>
      </c>
      <c r="E1352" s="38" t="s">
        <v>1238</v>
      </c>
      <c r="F1352" s="37" t="s">
        <v>1239</v>
      </c>
      <c r="G1352" s="38" t="s">
        <v>70</v>
      </c>
      <c r="H1352" s="37"/>
      <c r="I1352" s="37"/>
      <c r="J1352" s="37" t="s">
        <v>1312</v>
      </c>
      <c r="K1352" s="40"/>
      <c r="L1352" s="38"/>
      <c r="M1352" s="38"/>
      <c r="N1352" s="37"/>
      <c r="O1352" s="37"/>
      <c r="P1352" s="37"/>
      <c r="Q1352" s="37"/>
      <c r="R1352" s="39"/>
      <c r="S1352" s="37"/>
      <c r="T1352" s="38" t="s">
        <v>293</v>
      </c>
    </row>
    <row r="1353" ht="34.5">
      <c r="A1353" s="38" t="s">
        <v>1215</v>
      </c>
      <c r="B1353" s="38" t="s">
        <v>1216</v>
      </c>
      <c r="C1353" s="38" t="s">
        <v>1311</v>
      </c>
      <c r="D1353" s="38" t="s">
        <v>288</v>
      </c>
      <c r="E1353" s="38" t="s">
        <v>1238</v>
      </c>
      <c r="F1353" s="37" t="s">
        <v>1239</v>
      </c>
      <c r="G1353" s="38" t="s">
        <v>70</v>
      </c>
      <c r="H1353" s="37"/>
      <c r="I1353" s="37"/>
      <c r="J1353" s="37" t="s">
        <v>1313</v>
      </c>
      <c r="K1353" s="40"/>
      <c r="L1353" s="38"/>
      <c r="M1353" s="38"/>
      <c r="N1353" s="37"/>
      <c r="O1353" s="37"/>
      <c r="P1353" s="37"/>
      <c r="Q1353" s="37"/>
      <c r="R1353" s="39"/>
      <c r="S1353" s="37"/>
      <c r="T1353" s="38" t="s">
        <v>293</v>
      </c>
    </row>
    <row r="1354" ht="34.5">
      <c r="A1354" s="38" t="s">
        <v>1215</v>
      </c>
      <c r="B1354" s="38" t="s">
        <v>1216</v>
      </c>
      <c r="C1354" s="38" t="s">
        <v>1311</v>
      </c>
      <c r="D1354" s="38" t="s">
        <v>288</v>
      </c>
      <c r="E1354" s="38" t="s">
        <v>1238</v>
      </c>
      <c r="F1354" s="37" t="s">
        <v>1239</v>
      </c>
      <c r="G1354" s="38" t="s">
        <v>70</v>
      </c>
      <c r="H1354" s="37"/>
      <c r="I1354" s="37"/>
      <c r="J1354" s="37" t="s">
        <v>1314</v>
      </c>
      <c r="K1354" s="40"/>
      <c r="L1354" s="38"/>
      <c r="M1354" s="38"/>
      <c r="N1354" s="37"/>
      <c r="O1354" s="37"/>
      <c r="P1354" s="37"/>
      <c r="Q1354" s="37"/>
      <c r="R1354" s="39"/>
      <c r="S1354" s="37"/>
      <c r="T1354" s="38" t="s">
        <v>293</v>
      </c>
    </row>
    <row r="1355" ht="34.5">
      <c r="A1355" s="38" t="s">
        <v>1215</v>
      </c>
      <c r="B1355" s="38" t="s">
        <v>1216</v>
      </c>
      <c r="C1355" s="38" t="s">
        <v>1311</v>
      </c>
      <c r="D1355" s="38" t="s">
        <v>288</v>
      </c>
      <c r="E1355" s="38" t="s">
        <v>1238</v>
      </c>
      <c r="F1355" s="37" t="s">
        <v>1239</v>
      </c>
      <c r="G1355" s="38" t="s">
        <v>70</v>
      </c>
      <c r="H1355" s="37"/>
      <c r="I1355" s="37"/>
      <c r="J1355" s="37" t="s">
        <v>1315</v>
      </c>
      <c r="K1355" s="40"/>
      <c r="L1355" s="38"/>
      <c r="M1355" s="38"/>
      <c r="N1355" s="37"/>
      <c r="O1355" s="37"/>
      <c r="P1355" s="37"/>
      <c r="Q1355" s="37"/>
      <c r="R1355" s="39"/>
      <c r="S1355" s="37"/>
      <c r="T1355" s="38" t="s">
        <v>293</v>
      </c>
    </row>
    <row r="1356" ht="34.5">
      <c r="A1356" s="38" t="s">
        <v>1215</v>
      </c>
      <c r="B1356" s="38" t="s">
        <v>1216</v>
      </c>
      <c r="C1356" s="38" t="s">
        <v>1311</v>
      </c>
      <c r="D1356" s="38" t="s">
        <v>288</v>
      </c>
      <c r="E1356" s="38" t="s">
        <v>1238</v>
      </c>
      <c r="F1356" s="37" t="s">
        <v>1239</v>
      </c>
      <c r="G1356" s="38" t="s">
        <v>70</v>
      </c>
      <c r="H1356" s="37"/>
      <c r="I1356" s="37"/>
      <c r="J1356" s="37" t="s">
        <v>1316</v>
      </c>
      <c r="K1356" s="40"/>
      <c r="L1356" s="38"/>
      <c r="M1356" s="38"/>
      <c r="N1356" s="37"/>
      <c r="O1356" s="37"/>
      <c r="P1356" s="37"/>
      <c r="Q1356" s="37"/>
      <c r="R1356" s="39"/>
      <c r="S1356" s="37"/>
      <c r="T1356" s="38" t="s">
        <v>293</v>
      </c>
    </row>
    <row r="1357" ht="34.5">
      <c r="A1357" s="38" t="s">
        <v>1215</v>
      </c>
      <c r="B1357" s="38" t="s">
        <v>1216</v>
      </c>
      <c r="C1357" s="38" t="s">
        <v>1311</v>
      </c>
      <c r="D1357" s="38" t="s">
        <v>288</v>
      </c>
      <c r="E1357" s="38" t="s">
        <v>1238</v>
      </c>
      <c r="F1357" s="37" t="s">
        <v>1239</v>
      </c>
      <c r="G1357" s="38" t="s">
        <v>70</v>
      </c>
      <c r="H1357" s="37"/>
      <c r="I1357" s="37"/>
      <c r="J1357" s="37" t="s">
        <v>1317</v>
      </c>
      <c r="K1357" s="40"/>
      <c r="L1357" s="38"/>
      <c r="M1357" s="38"/>
      <c r="N1357" s="37"/>
      <c r="O1357" s="37"/>
      <c r="P1357" s="37"/>
      <c r="Q1357" s="37"/>
      <c r="R1357" s="39"/>
      <c r="S1357" s="37"/>
      <c r="T1357" s="38" t="s">
        <v>293</v>
      </c>
    </row>
    <row r="1358" ht="34.5">
      <c r="A1358" s="38" t="s">
        <v>1215</v>
      </c>
      <c r="B1358" s="38" t="s">
        <v>1216</v>
      </c>
      <c r="C1358" s="38" t="s">
        <v>1311</v>
      </c>
      <c r="D1358" s="38" t="s">
        <v>288</v>
      </c>
      <c r="E1358" s="38" t="s">
        <v>1238</v>
      </c>
      <c r="F1358" s="37" t="s">
        <v>1239</v>
      </c>
      <c r="G1358" s="38" t="s">
        <v>70</v>
      </c>
      <c r="H1358" s="37"/>
      <c r="I1358" s="37"/>
      <c r="J1358" s="37" t="s">
        <v>1318</v>
      </c>
      <c r="K1358" s="40"/>
      <c r="L1358" s="38"/>
      <c r="M1358" s="38"/>
      <c r="N1358" s="37"/>
      <c r="O1358" s="37"/>
      <c r="P1358" s="37"/>
      <c r="Q1358" s="37"/>
      <c r="R1358" s="39"/>
      <c r="S1358" s="37"/>
      <c r="T1358" s="38" t="s">
        <v>293</v>
      </c>
    </row>
    <row r="1359" ht="34.5">
      <c r="A1359" s="38" t="s">
        <v>1215</v>
      </c>
      <c r="B1359" s="38" t="s">
        <v>1216</v>
      </c>
      <c r="C1359" s="38" t="s">
        <v>1311</v>
      </c>
      <c r="D1359" s="38" t="s">
        <v>288</v>
      </c>
      <c r="E1359" s="38" t="s">
        <v>1238</v>
      </c>
      <c r="F1359" s="37" t="s">
        <v>1239</v>
      </c>
      <c r="G1359" s="38" t="s">
        <v>70</v>
      </c>
      <c r="H1359" s="37"/>
      <c r="I1359" s="37"/>
      <c r="J1359" s="37" t="s">
        <v>1319</v>
      </c>
      <c r="K1359" s="40"/>
      <c r="L1359" s="38"/>
      <c r="M1359" s="38"/>
      <c r="N1359" s="37"/>
      <c r="O1359" s="37"/>
      <c r="P1359" s="37"/>
      <c r="Q1359" s="37"/>
      <c r="R1359" s="39"/>
      <c r="S1359" s="37"/>
      <c r="T1359" s="38" t="s">
        <v>293</v>
      </c>
    </row>
    <row r="1360" ht="34.5">
      <c r="A1360" s="38" t="s">
        <v>1215</v>
      </c>
      <c r="B1360" s="38" t="s">
        <v>1216</v>
      </c>
      <c r="C1360" s="38" t="s">
        <v>1311</v>
      </c>
      <c r="D1360" s="38" t="s">
        <v>288</v>
      </c>
      <c r="E1360" s="38" t="s">
        <v>1238</v>
      </c>
      <c r="F1360" s="37" t="s">
        <v>1239</v>
      </c>
      <c r="G1360" s="38" t="s">
        <v>70</v>
      </c>
      <c r="H1360" s="37"/>
      <c r="I1360" s="37"/>
      <c r="J1360" s="37" t="s">
        <v>1320</v>
      </c>
      <c r="K1360" s="40"/>
      <c r="L1360" s="38"/>
      <c r="M1360" s="38"/>
      <c r="N1360" s="37"/>
      <c r="O1360" s="37"/>
      <c r="P1360" s="37"/>
      <c r="Q1360" s="37"/>
      <c r="R1360" s="39"/>
      <c r="S1360" s="37"/>
      <c r="T1360" s="38" t="s">
        <v>293</v>
      </c>
    </row>
    <row r="1361" ht="34.5">
      <c r="A1361" s="38" t="s">
        <v>1215</v>
      </c>
      <c r="B1361" s="38" t="s">
        <v>1216</v>
      </c>
      <c r="C1361" s="38" t="s">
        <v>1321</v>
      </c>
      <c r="D1361" s="38" t="s">
        <v>288</v>
      </c>
      <c r="E1361" s="38" t="s">
        <v>1238</v>
      </c>
      <c r="F1361" s="37" t="s">
        <v>1239</v>
      </c>
      <c r="G1361" s="38" t="s">
        <v>70</v>
      </c>
      <c r="H1361" s="37"/>
      <c r="I1361" s="37"/>
      <c r="J1361" s="37" t="s">
        <v>1322</v>
      </c>
      <c r="K1361" s="40"/>
      <c r="L1361" s="38"/>
      <c r="M1361" s="38"/>
      <c r="N1361" s="37"/>
      <c r="O1361" s="37"/>
      <c r="P1361" s="37"/>
      <c r="Q1361" s="37"/>
      <c r="R1361" s="39"/>
      <c r="S1361" s="37"/>
      <c r="T1361" s="38" t="s">
        <v>293</v>
      </c>
    </row>
    <row r="1362" ht="34.5">
      <c r="A1362" s="38" t="s">
        <v>1215</v>
      </c>
      <c r="B1362" s="38" t="s">
        <v>1216</v>
      </c>
      <c r="C1362" s="38" t="s">
        <v>1321</v>
      </c>
      <c r="D1362" s="38" t="s">
        <v>288</v>
      </c>
      <c r="E1362" s="38" t="s">
        <v>1238</v>
      </c>
      <c r="F1362" s="37" t="s">
        <v>1239</v>
      </c>
      <c r="G1362" s="38" t="s">
        <v>70</v>
      </c>
      <c r="H1362" s="37"/>
      <c r="I1362" s="37"/>
      <c r="J1362" s="37" t="s">
        <v>1323</v>
      </c>
      <c r="K1362" s="40"/>
      <c r="L1362" s="38"/>
      <c r="M1362" s="38"/>
      <c r="N1362" s="37"/>
      <c r="O1362" s="37"/>
      <c r="P1362" s="37"/>
      <c r="Q1362" s="37"/>
      <c r="R1362" s="39"/>
      <c r="S1362" s="37"/>
      <c r="T1362" s="38" t="s">
        <v>293</v>
      </c>
    </row>
    <row r="1363" ht="34.5">
      <c r="A1363" s="38" t="s">
        <v>1215</v>
      </c>
      <c r="B1363" s="38" t="s">
        <v>1216</v>
      </c>
      <c r="C1363" s="38" t="s">
        <v>1321</v>
      </c>
      <c r="D1363" s="38" t="s">
        <v>288</v>
      </c>
      <c r="E1363" s="38" t="s">
        <v>1238</v>
      </c>
      <c r="F1363" s="37" t="s">
        <v>1239</v>
      </c>
      <c r="G1363" s="38" t="s">
        <v>70</v>
      </c>
      <c r="H1363" s="37"/>
      <c r="I1363" s="37"/>
      <c r="J1363" s="37" t="s">
        <v>1324</v>
      </c>
      <c r="K1363" s="40"/>
      <c r="L1363" s="38"/>
      <c r="M1363" s="38"/>
      <c r="N1363" s="37"/>
      <c r="O1363" s="37"/>
      <c r="P1363" s="37"/>
      <c r="Q1363" s="37"/>
      <c r="R1363" s="39"/>
      <c r="S1363" s="37"/>
      <c r="T1363" s="38" t="s">
        <v>293</v>
      </c>
    </row>
    <row r="1364" ht="34.5">
      <c r="A1364" s="38" t="s">
        <v>1215</v>
      </c>
      <c r="B1364" s="38" t="s">
        <v>1216</v>
      </c>
      <c r="C1364" s="38" t="s">
        <v>1321</v>
      </c>
      <c r="D1364" s="38" t="s">
        <v>288</v>
      </c>
      <c r="E1364" s="38" t="s">
        <v>1238</v>
      </c>
      <c r="F1364" s="37" t="s">
        <v>1239</v>
      </c>
      <c r="G1364" s="38" t="s">
        <v>70</v>
      </c>
      <c r="H1364" s="37"/>
      <c r="I1364" s="37"/>
      <c r="J1364" s="37" t="s">
        <v>1325</v>
      </c>
      <c r="K1364" s="40"/>
      <c r="L1364" s="38"/>
      <c r="M1364" s="38"/>
      <c r="N1364" s="37"/>
      <c r="O1364" s="37"/>
      <c r="P1364" s="37"/>
      <c r="Q1364" s="37"/>
      <c r="R1364" s="39"/>
      <c r="S1364" s="37"/>
      <c r="T1364" s="38" t="s">
        <v>293</v>
      </c>
    </row>
    <row r="1365" ht="34.5">
      <c r="A1365" s="38" t="s">
        <v>1215</v>
      </c>
      <c r="B1365" s="38" t="s">
        <v>1216</v>
      </c>
      <c r="C1365" s="38" t="s">
        <v>1321</v>
      </c>
      <c r="D1365" s="38" t="s">
        <v>288</v>
      </c>
      <c r="E1365" s="38" t="s">
        <v>1238</v>
      </c>
      <c r="F1365" s="37" t="s">
        <v>1239</v>
      </c>
      <c r="G1365" s="38" t="s">
        <v>70</v>
      </c>
      <c r="H1365" s="37"/>
      <c r="I1365" s="37"/>
      <c r="J1365" s="37" t="s">
        <v>1326</v>
      </c>
      <c r="K1365" s="40"/>
      <c r="L1365" s="38"/>
      <c r="M1365" s="38"/>
      <c r="N1365" s="37"/>
      <c r="O1365" s="37"/>
      <c r="P1365" s="37"/>
      <c r="Q1365" s="37"/>
      <c r="R1365" s="39"/>
      <c r="S1365" s="37"/>
      <c r="T1365" s="38" t="s">
        <v>293</v>
      </c>
    </row>
    <row r="1366" ht="34.5">
      <c r="A1366" s="38" t="s">
        <v>1215</v>
      </c>
      <c r="B1366" s="38" t="s">
        <v>1216</v>
      </c>
      <c r="C1366" s="38" t="s">
        <v>1321</v>
      </c>
      <c r="D1366" s="38" t="s">
        <v>288</v>
      </c>
      <c r="E1366" s="38" t="s">
        <v>1238</v>
      </c>
      <c r="F1366" s="37" t="s">
        <v>1239</v>
      </c>
      <c r="G1366" s="38" t="s">
        <v>70</v>
      </c>
      <c r="H1366" s="37"/>
      <c r="I1366" s="37"/>
      <c r="J1366" s="37" t="s">
        <v>1327</v>
      </c>
      <c r="K1366" s="40"/>
      <c r="L1366" s="38"/>
      <c r="M1366" s="38"/>
      <c r="N1366" s="37"/>
      <c r="O1366" s="37"/>
      <c r="P1366" s="37"/>
      <c r="Q1366" s="37"/>
      <c r="R1366" s="39"/>
      <c r="S1366" s="37"/>
      <c r="T1366" s="38" t="s">
        <v>293</v>
      </c>
    </row>
    <row r="1367" ht="34.5">
      <c r="A1367" s="38" t="s">
        <v>1215</v>
      </c>
      <c r="B1367" s="38" t="s">
        <v>1216</v>
      </c>
      <c r="C1367" s="38" t="s">
        <v>1321</v>
      </c>
      <c r="D1367" s="38" t="s">
        <v>288</v>
      </c>
      <c r="E1367" s="38" t="s">
        <v>1238</v>
      </c>
      <c r="F1367" s="37" t="s">
        <v>1239</v>
      </c>
      <c r="G1367" s="38" t="s">
        <v>70</v>
      </c>
      <c r="H1367" s="37"/>
      <c r="I1367" s="37"/>
      <c r="J1367" s="37" t="s">
        <v>1328</v>
      </c>
      <c r="K1367" s="40"/>
      <c r="L1367" s="38"/>
      <c r="M1367" s="38"/>
      <c r="N1367" s="37"/>
      <c r="O1367" s="37"/>
      <c r="P1367" s="37"/>
      <c r="Q1367" s="37"/>
      <c r="R1367" s="39"/>
      <c r="S1367" s="37"/>
      <c r="T1367" s="38" t="s">
        <v>293</v>
      </c>
    </row>
    <row r="1368" ht="34.5">
      <c r="A1368" s="38" t="s">
        <v>1215</v>
      </c>
      <c r="B1368" s="38" t="s">
        <v>1216</v>
      </c>
      <c r="C1368" s="38" t="s">
        <v>1321</v>
      </c>
      <c r="D1368" s="38" t="s">
        <v>288</v>
      </c>
      <c r="E1368" s="38" t="s">
        <v>1238</v>
      </c>
      <c r="F1368" s="37" t="s">
        <v>1239</v>
      </c>
      <c r="G1368" s="38" t="s">
        <v>70</v>
      </c>
      <c r="H1368" s="37"/>
      <c r="I1368" s="37"/>
      <c r="J1368" s="37" t="s">
        <v>1329</v>
      </c>
      <c r="K1368" s="40"/>
      <c r="L1368" s="38"/>
      <c r="M1368" s="38"/>
      <c r="N1368" s="37"/>
      <c r="O1368" s="37"/>
      <c r="P1368" s="37"/>
      <c r="Q1368" s="37"/>
      <c r="R1368" s="39"/>
      <c r="S1368" s="37"/>
      <c r="T1368" s="38" t="s">
        <v>293</v>
      </c>
    </row>
    <row r="1369" ht="34.5">
      <c r="A1369" s="38" t="s">
        <v>1215</v>
      </c>
      <c r="B1369" s="38" t="s">
        <v>1216</v>
      </c>
      <c r="C1369" s="38" t="s">
        <v>1321</v>
      </c>
      <c r="D1369" s="38" t="s">
        <v>288</v>
      </c>
      <c r="E1369" s="38" t="s">
        <v>1238</v>
      </c>
      <c r="F1369" s="37" t="s">
        <v>1239</v>
      </c>
      <c r="G1369" s="38" t="s">
        <v>70</v>
      </c>
      <c r="H1369" s="37"/>
      <c r="I1369" s="37"/>
      <c r="J1369" s="37" t="s">
        <v>1330</v>
      </c>
      <c r="K1369" s="40"/>
      <c r="L1369" s="38"/>
      <c r="M1369" s="38"/>
      <c r="N1369" s="37"/>
      <c r="O1369" s="37"/>
      <c r="P1369" s="37"/>
      <c r="Q1369" s="37"/>
      <c r="R1369" s="39"/>
      <c r="S1369" s="37"/>
      <c r="T1369" s="38" t="s">
        <v>293</v>
      </c>
    </row>
    <row r="1370" ht="34.5">
      <c r="A1370" s="38" t="s">
        <v>1215</v>
      </c>
      <c r="B1370" s="38" t="s">
        <v>1216</v>
      </c>
      <c r="C1370" s="38" t="s">
        <v>1321</v>
      </c>
      <c r="D1370" s="38" t="s">
        <v>288</v>
      </c>
      <c r="E1370" s="38" t="s">
        <v>1238</v>
      </c>
      <c r="F1370" s="37" t="s">
        <v>1239</v>
      </c>
      <c r="G1370" s="38" t="s">
        <v>70</v>
      </c>
      <c r="H1370" s="37"/>
      <c r="I1370" s="37"/>
      <c r="J1370" s="37" t="s">
        <v>1331</v>
      </c>
      <c r="K1370" s="40"/>
      <c r="L1370" s="38"/>
      <c r="M1370" s="38"/>
      <c r="N1370" s="37"/>
      <c r="O1370" s="37"/>
      <c r="P1370" s="37"/>
      <c r="Q1370" s="37"/>
      <c r="R1370" s="39"/>
      <c r="S1370" s="37"/>
      <c r="T1370" s="38" t="s">
        <v>293</v>
      </c>
    </row>
    <row r="1371" ht="34.5">
      <c r="A1371" s="38" t="s">
        <v>1215</v>
      </c>
      <c r="B1371" s="38" t="s">
        <v>1216</v>
      </c>
      <c r="C1371" s="38" t="s">
        <v>1332</v>
      </c>
      <c r="D1371" s="38" t="s">
        <v>288</v>
      </c>
      <c r="E1371" s="38" t="s">
        <v>1238</v>
      </c>
      <c r="F1371" s="37" t="s">
        <v>1239</v>
      </c>
      <c r="G1371" s="38" t="s">
        <v>70</v>
      </c>
      <c r="H1371" s="37"/>
      <c r="I1371" s="37"/>
      <c r="J1371" s="37" t="s">
        <v>1333</v>
      </c>
      <c r="K1371" s="40"/>
      <c r="L1371" s="38"/>
      <c r="M1371" s="38"/>
      <c r="N1371" s="37"/>
      <c r="O1371" s="37"/>
      <c r="P1371" s="37"/>
      <c r="Q1371" s="37"/>
      <c r="R1371" s="39"/>
      <c r="S1371" s="37"/>
      <c r="T1371" s="38" t="s">
        <v>293</v>
      </c>
    </row>
    <row r="1372" ht="34.5">
      <c r="A1372" s="38" t="s">
        <v>1215</v>
      </c>
      <c r="B1372" s="38" t="s">
        <v>1216</v>
      </c>
      <c r="C1372" s="38" t="s">
        <v>1332</v>
      </c>
      <c r="D1372" s="38" t="s">
        <v>288</v>
      </c>
      <c r="E1372" s="38" t="s">
        <v>1238</v>
      </c>
      <c r="F1372" s="37" t="s">
        <v>1239</v>
      </c>
      <c r="G1372" s="38" t="s">
        <v>70</v>
      </c>
      <c r="H1372" s="37"/>
      <c r="I1372" s="37"/>
      <c r="J1372" s="37" t="s">
        <v>1334</v>
      </c>
      <c r="K1372" s="40"/>
      <c r="L1372" s="38"/>
      <c r="M1372" s="38"/>
      <c r="N1372" s="37"/>
      <c r="O1372" s="37"/>
      <c r="P1372" s="37"/>
      <c r="Q1372" s="37"/>
      <c r="R1372" s="39"/>
      <c r="S1372" s="37"/>
      <c r="T1372" s="38" t="s">
        <v>293</v>
      </c>
    </row>
    <row r="1373" ht="34.5">
      <c r="A1373" s="38" t="s">
        <v>1215</v>
      </c>
      <c r="B1373" s="38" t="s">
        <v>1216</v>
      </c>
      <c r="C1373" s="38" t="s">
        <v>1332</v>
      </c>
      <c r="D1373" s="38" t="s">
        <v>288</v>
      </c>
      <c r="E1373" s="38" t="s">
        <v>1238</v>
      </c>
      <c r="F1373" s="37" t="s">
        <v>1239</v>
      </c>
      <c r="G1373" s="38" t="s">
        <v>70</v>
      </c>
      <c r="H1373" s="37"/>
      <c r="I1373" s="37"/>
      <c r="J1373" s="37" t="s">
        <v>1335</v>
      </c>
      <c r="K1373" s="40"/>
      <c r="L1373" s="38"/>
      <c r="M1373" s="38"/>
      <c r="N1373" s="37"/>
      <c r="O1373" s="37"/>
      <c r="P1373" s="37"/>
      <c r="Q1373" s="37"/>
      <c r="R1373" s="39"/>
      <c r="S1373" s="37"/>
      <c r="T1373" s="38" t="s">
        <v>293</v>
      </c>
    </row>
    <row r="1374" ht="34.5">
      <c r="A1374" s="38" t="s">
        <v>1215</v>
      </c>
      <c r="B1374" s="38" t="s">
        <v>1216</v>
      </c>
      <c r="C1374" s="38" t="s">
        <v>1332</v>
      </c>
      <c r="D1374" s="38" t="s">
        <v>288</v>
      </c>
      <c r="E1374" s="38" t="s">
        <v>1238</v>
      </c>
      <c r="F1374" s="37" t="s">
        <v>1239</v>
      </c>
      <c r="G1374" s="38" t="s">
        <v>70</v>
      </c>
      <c r="H1374" s="37"/>
      <c r="I1374" s="37"/>
      <c r="J1374" s="37" t="s">
        <v>1336</v>
      </c>
      <c r="K1374" s="40"/>
      <c r="L1374" s="38"/>
      <c r="M1374" s="38"/>
      <c r="N1374" s="37"/>
      <c r="O1374" s="37"/>
      <c r="P1374" s="37"/>
      <c r="Q1374" s="37"/>
      <c r="R1374" s="39"/>
      <c r="S1374" s="37"/>
      <c r="T1374" s="38" t="s">
        <v>293</v>
      </c>
    </row>
    <row r="1375" ht="34.5">
      <c r="A1375" s="38" t="s">
        <v>1215</v>
      </c>
      <c r="B1375" s="38" t="s">
        <v>1216</v>
      </c>
      <c r="C1375" s="38" t="s">
        <v>1332</v>
      </c>
      <c r="D1375" s="38" t="s">
        <v>288</v>
      </c>
      <c r="E1375" s="38" t="s">
        <v>1238</v>
      </c>
      <c r="F1375" s="37" t="s">
        <v>1239</v>
      </c>
      <c r="G1375" s="38" t="s">
        <v>70</v>
      </c>
      <c r="H1375" s="37"/>
      <c r="I1375" s="37"/>
      <c r="J1375" s="37" t="s">
        <v>1337</v>
      </c>
      <c r="K1375" s="40"/>
      <c r="L1375" s="38"/>
      <c r="M1375" s="38"/>
      <c r="N1375" s="37"/>
      <c r="O1375" s="37"/>
      <c r="P1375" s="37"/>
      <c r="Q1375" s="37"/>
      <c r="R1375" s="39"/>
      <c r="S1375" s="37"/>
      <c r="T1375" s="38" t="s">
        <v>293</v>
      </c>
    </row>
    <row r="1376" ht="34.5">
      <c r="A1376" s="38" t="s">
        <v>1215</v>
      </c>
      <c r="B1376" s="38" t="s">
        <v>1216</v>
      </c>
      <c r="C1376" s="38" t="s">
        <v>1332</v>
      </c>
      <c r="D1376" s="38" t="s">
        <v>288</v>
      </c>
      <c r="E1376" s="38" t="s">
        <v>1238</v>
      </c>
      <c r="F1376" s="37" t="s">
        <v>1239</v>
      </c>
      <c r="G1376" s="38" t="s">
        <v>70</v>
      </c>
      <c r="H1376" s="37"/>
      <c r="I1376" s="37"/>
      <c r="J1376" s="37" t="s">
        <v>1338</v>
      </c>
      <c r="K1376" s="40"/>
      <c r="L1376" s="38"/>
      <c r="M1376" s="38"/>
      <c r="N1376" s="37"/>
      <c r="O1376" s="37"/>
      <c r="P1376" s="37"/>
      <c r="Q1376" s="37"/>
      <c r="R1376" s="39"/>
      <c r="S1376" s="37"/>
      <c r="T1376" s="38" t="s">
        <v>293</v>
      </c>
    </row>
    <row r="1377" ht="34.5">
      <c r="A1377" s="38" t="s">
        <v>1215</v>
      </c>
      <c r="B1377" s="38" t="s">
        <v>1216</v>
      </c>
      <c r="C1377" s="38" t="s">
        <v>1332</v>
      </c>
      <c r="D1377" s="38" t="s">
        <v>288</v>
      </c>
      <c r="E1377" s="38" t="s">
        <v>1238</v>
      </c>
      <c r="F1377" s="37" t="s">
        <v>1239</v>
      </c>
      <c r="G1377" s="38" t="s">
        <v>70</v>
      </c>
      <c r="H1377" s="37"/>
      <c r="I1377" s="37"/>
      <c r="J1377" s="37" t="s">
        <v>1339</v>
      </c>
      <c r="K1377" s="40"/>
      <c r="L1377" s="38"/>
      <c r="M1377" s="38"/>
      <c r="N1377" s="37"/>
      <c r="O1377" s="37"/>
      <c r="P1377" s="37"/>
      <c r="Q1377" s="37"/>
      <c r="R1377" s="39"/>
      <c r="S1377" s="37"/>
      <c r="T1377" s="38" t="s">
        <v>293</v>
      </c>
    </row>
    <row r="1378" ht="34.5">
      <c r="A1378" s="38" t="s">
        <v>1215</v>
      </c>
      <c r="B1378" s="38" t="s">
        <v>1216</v>
      </c>
      <c r="C1378" s="38" t="s">
        <v>1332</v>
      </c>
      <c r="D1378" s="38" t="s">
        <v>288</v>
      </c>
      <c r="E1378" s="38" t="s">
        <v>1238</v>
      </c>
      <c r="F1378" s="37" t="s">
        <v>1239</v>
      </c>
      <c r="G1378" s="38" t="s">
        <v>70</v>
      </c>
      <c r="H1378" s="37"/>
      <c r="I1378" s="37"/>
      <c r="J1378" s="37" t="s">
        <v>1340</v>
      </c>
      <c r="K1378" s="40"/>
      <c r="L1378" s="38"/>
      <c r="M1378" s="38"/>
      <c r="N1378" s="37"/>
      <c r="O1378" s="37"/>
      <c r="P1378" s="37"/>
      <c r="Q1378" s="37"/>
      <c r="R1378" s="39"/>
      <c r="S1378" s="37"/>
      <c r="T1378" s="38" t="s">
        <v>293</v>
      </c>
    </row>
    <row r="1379" ht="34.5">
      <c r="A1379" s="38" t="s">
        <v>1215</v>
      </c>
      <c r="B1379" s="38" t="s">
        <v>1216</v>
      </c>
      <c r="C1379" s="38" t="s">
        <v>1341</v>
      </c>
      <c r="D1379" s="38" t="s">
        <v>288</v>
      </c>
      <c r="E1379" s="38" t="s">
        <v>1238</v>
      </c>
      <c r="F1379" s="37" t="s">
        <v>1239</v>
      </c>
      <c r="G1379" s="38" t="s">
        <v>70</v>
      </c>
      <c r="H1379" s="37"/>
      <c r="I1379" s="37"/>
      <c r="J1379" s="37" t="s">
        <v>1342</v>
      </c>
      <c r="K1379" s="40"/>
      <c r="L1379" s="38"/>
      <c r="M1379" s="38"/>
      <c r="N1379" s="37"/>
      <c r="O1379" s="37"/>
      <c r="P1379" s="37"/>
      <c r="Q1379" s="37"/>
      <c r="R1379" s="39"/>
      <c r="S1379" s="37"/>
      <c r="T1379" s="38" t="s">
        <v>293</v>
      </c>
    </row>
    <row r="1380" ht="34.5">
      <c r="A1380" s="38" t="s">
        <v>1215</v>
      </c>
      <c r="B1380" s="38" t="s">
        <v>1216</v>
      </c>
      <c r="C1380" s="38" t="s">
        <v>1341</v>
      </c>
      <c r="D1380" s="38" t="s">
        <v>288</v>
      </c>
      <c r="E1380" s="38" t="s">
        <v>1238</v>
      </c>
      <c r="F1380" s="37" t="s">
        <v>1239</v>
      </c>
      <c r="G1380" s="38" t="s">
        <v>70</v>
      </c>
      <c r="H1380" s="37"/>
      <c r="I1380" s="37"/>
      <c r="J1380" s="37" t="s">
        <v>1343</v>
      </c>
      <c r="K1380" s="40"/>
      <c r="L1380" s="38"/>
      <c r="M1380" s="38"/>
      <c r="N1380" s="37"/>
      <c r="O1380" s="37"/>
      <c r="P1380" s="37"/>
      <c r="Q1380" s="37"/>
      <c r="R1380" s="39"/>
      <c r="S1380" s="37"/>
      <c r="T1380" s="38" t="s">
        <v>293</v>
      </c>
    </row>
    <row r="1381" ht="34.5">
      <c r="A1381" s="38" t="s">
        <v>1215</v>
      </c>
      <c r="B1381" s="38" t="s">
        <v>1216</v>
      </c>
      <c r="C1381" s="38" t="s">
        <v>1341</v>
      </c>
      <c r="D1381" s="38" t="s">
        <v>288</v>
      </c>
      <c r="E1381" s="38" t="s">
        <v>1238</v>
      </c>
      <c r="F1381" s="37" t="s">
        <v>1239</v>
      </c>
      <c r="G1381" s="38" t="s">
        <v>70</v>
      </c>
      <c r="H1381" s="37"/>
      <c r="I1381" s="37"/>
      <c r="J1381" s="37" t="s">
        <v>1344</v>
      </c>
      <c r="K1381" s="40"/>
      <c r="L1381" s="38"/>
      <c r="M1381" s="38"/>
      <c r="N1381" s="37"/>
      <c r="O1381" s="37"/>
      <c r="P1381" s="37"/>
      <c r="Q1381" s="37"/>
      <c r="R1381" s="39"/>
      <c r="S1381" s="37"/>
      <c r="T1381" s="38" t="s">
        <v>293</v>
      </c>
    </row>
    <row r="1382" ht="34.5">
      <c r="A1382" s="38" t="s">
        <v>1215</v>
      </c>
      <c r="B1382" s="38" t="s">
        <v>1216</v>
      </c>
      <c r="C1382" s="38" t="s">
        <v>1341</v>
      </c>
      <c r="D1382" s="38" t="s">
        <v>288</v>
      </c>
      <c r="E1382" s="38" t="s">
        <v>1238</v>
      </c>
      <c r="F1382" s="37" t="s">
        <v>1239</v>
      </c>
      <c r="G1382" s="38" t="s">
        <v>70</v>
      </c>
      <c r="H1382" s="37"/>
      <c r="I1382" s="37"/>
      <c r="J1382" s="37" t="s">
        <v>1345</v>
      </c>
      <c r="K1382" s="40"/>
      <c r="L1382" s="38"/>
      <c r="M1382" s="38"/>
      <c r="N1382" s="37"/>
      <c r="O1382" s="37"/>
      <c r="P1382" s="37"/>
      <c r="Q1382" s="37"/>
      <c r="R1382" s="39"/>
      <c r="S1382" s="37"/>
      <c r="T1382" s="38" t="s">
        <v>293</v>
      </c>
    </row>
    <row r="1383" ht="34.5">
      <c r="A1383" s="38" t="s">
        <v>1215</v>
      </c>
      <c r="B1383" s="38" t="s">
        <v>1216</v>
      </c>
      <c r="C1383" s="38" t="s">
        <v>1341</v>
      </c>
      <c r="D1383" s="38" t="s">
        <v>288</v>
      </c>
      <c r="E1383" s="38" t="s">
        <v>1238</v>
      </c>
      <c r="F1383" s="37" t="s">
        <v>1239</v>
      </c>
      <c r="G1383" s="38" t="s">
        <v>70</v>
      </c>
      <c r="H1383" s="37"/>
      <c r="I1383" s="37"/>
      <c r="J1383" s="37" t="s">
        <v>1346</v>
      </c>
      <c r="K1383" s="40"/>
      <c r="L1383" s="38"/>
      <c r="M1383" s="38"/>
      <c r="N1383" s="37"/>
      <c r="O1383" s="37"/>
      <c r="P1383" s="37"/>
      <c r="Q1383" s="37"/>
      <c r="R1383" s="39"/>
      <c r="S1383" s="37"/>
      <c r="T1383" s="38" t="s">
        <v>293</v>
      </c>
    </row>
    <row r="1384" ht="34.5">
      <c r="A1384" s="38" t="s">
        <v>1215</v>
      </c>
      <c r="B1384" s="38" t="s">
        <v>1216</v>
      </c>
      <c r="C1384" s="38" t="s">
        <v>1341</v>
      </c>
      <c r="D1384" s="38" t="s">
        <v>288</v>
      </c>
      <c r="E1384" s="38" t="s">
        <v>1238</v>
      </c>
      <c r="F1384" s="37" t="s">
        <v>1239</v>
      </c>
      <c r="G1384" s="38" t="s">
        <v>70</v>
      </c>
      <c r="H1384" s="37"/>
      <c r="I1384" s="37"/>
      <c r="J1384" s="37" t="s">
        <v>1347</v>
      </c>
      <c r="K1384" s="40"/>
      <c r="L1384" s="38"/>
      <c r="M1384" s="38"/>
      <c r="N1384" s="37"/>
      <c r="O1384" s="37"/>
      <c r="P1384" s="37"/>
      <c r="Q1384" s="37"/>
      <c r="R1384" s="39"/>
      <c r="S1384" s="37"/>
      <c r="T1384" s="38" t="s">
        <v>293</v>
      </c>
    </row>
    <row r="1385" ht="34.5">
      <c r="A1385" s="38" t="s">
        <v>1215</v>
      </c>
      <c r="B1385" s="38" t="s">
        <v>1216</v>
      </c>
      <c r="C1385" s="38" t="s">
        <v>1341</v>
      </c>
      <c r="D1385" s="38" t="s">
        <v>288</v>
      </c>
      <c r="E1385" s="38" t="s">
        <v>1238</v>
      </c>
      <c r="F1385" s="37" t="s">
        <v>1239</v>
      </c>
      <c r="G1385" s="38" t="s">
        <v>70</v>
      </c>
      <c r="H1385" s="37"/>
      <c r="I1385" s="37"/>
      <c r="J1385" s="37" t="s">
        <v>1348</v>
      </c>
      <c r="K1385" s="40"/>
      <c r="L1385" s="38"/>
      <c r="M1385" s="38"/>
      <c r="N1385" s="37"/>
      <c r="O1385" s="37"/>
      <c r="P1385" s="37"/>
      <c r="Q1385" s="37"/>
      <c r="R1385" s="39"/>
      <c r="S1385" s="37"/>
      <c r="T1385" s="38" t="s">
        <v>293</v>
      </c>
    </row>
    <row r="1386" ht="34.5">
      <c r="A1386" s="38" t="s">
        <v>1215</v>
      </c>
      <c r="B1386" s="38" t="s">
        <v>1216</v>
      </c>
      <c r="C1386" s="38" t="s">
        <v>1341</v>
      </c>
      <c r="D1386" s="38" t="s">
        <v>288</v>
      </c>
      <c r="E1386" s="38" t="s">
        <v>1238</v>
      </c>
      <c r="F1386" s="37" t="s">
        <v>1239</v>
      </c>
      <c r="G1386" s="38" t="s">
        <v>70</v>
      </c>
      <c r="H1386" s="37"/>
      <c r="I1386" s="37"/>
      <c r="J1386" s="37" t="s">
        <v>1349</v>
      </c>
      <c r="K1386" s="40"/>
      <c r="L1386" s="38"/>
      <c r="M1386" s="38"/>
      <c r="N1386" s="37"/>
      <c r="O1386" s="37"/>
      <c r="P1386" s="37"/>
      <c r="Q1386" s="37"/>
      <c r="R1386" s="39"/>
      <c r="S1386" s="37"/>
      <c r="T1386" s="38" t="s">
        <v>293</v>
      </c>
    </row>
    <row r="1387" ht="34.5">
      <c r="A1387" s="38" t="s">
        <v>1215</v>
      </c>
      <c r="B1387" s="38" t="s">
        <v>1216</v>
      </c>
      <c r="C1387" s="38" t="s">
        <v>1341</v>
      </c>
      <c r="D1387" s="38" t="s">
        <v>288</v>
      </c>
      <c r="E1387" s="38" t="s">
        <v>1238</v>
      </c>
      <c r="F1387" s="37" t="s">
        <v>1239</v>
      </c>
      <c r="G1387" s="38" t="s">
        <v>70</v>
      </c>
      <c r="H1387" s="37"/>
      <c r="I1387" s="37"/>
      <c r="J1387" s="37" t="s">
        <v>1350</v>
      </c>
      <c r="K1387" s="40"/>
      <c r="L1387" s="38"/>
      <c r="M1387" s="38"/>
      <c r="N1387" s="37"/>
      <c r="O1387" s="37"/>
      <c r="P1387" s="37"/>
      <c r="Q1387" s="37"/>
      <c r="R1387" s="39"/>
      <c r="S1387" s="37"/>
      <c r="T1387" s="38" t="s">
        <v>293</v>
      </c>
    </row>
    <row r="1388" ht="34.5">
      <c r="A1388" s="38" t="s">
        <v>1215</v>
      </c>
      <c r="B1388" s="38" t="s">
        <v>1216</v>
      </c>
      <c r="C1388" s="38" t="s">
        <v>1341</v>
      </c>
      <c r="D1388" s="38" t="s">
        <v>288</v>
      </c>
      <c r="E1388" s="38" t="s">
        <v>1238</v>
      </c>
      <c r="F1388" s="37" t="s">
        <v>1239</v>
      </c>
      <c r="G1388" s="38" t="s">
        <v>70</v>
      </c>
      <c r="H1388" s="37"/>
      <c r="I1388" s="37"/>
      <c r="J1388" s="37" t="s">
        <v>1351</v>
      </c>
      <c r="K1388" s="40"/>
      <c r="L1388" s="38"/>
      <c r="M1388" s="38"/>
      <c r="N1388" s="37"/>
      <c r="O1388" s="37"/>
      <c r="P1388" s="37"/>
      <c r="Q1388" s="37"/>
      <c r="R1388" s="39"/>
      <c r="S1388" s="37"/>
      <c r="T1388" s="38" t="s">
        <v>293</v>
      </c>
    </row>
    <row r="1389" ht="34.5">
      <c r="A1389" s="38" t="s">
        <v>1215</v>
      </c>
      <c r="B1389" s="38" t="s">
        <v>1216</v>
      </c>
      <c r="C1389" s="38" t="s">
        <v>1352</v>
      </c>
      <c r="D1389" s="38" t="s">
        <v>288</v>
      </c>
      <c r="E1389" s="38" t="s">
        <v>1238</v>
      </c>
      <c r="F1389" s="37" t="s">
        <v>1239</v>
      </c>
      <c r="G1389" s="38" t="s">
        <v>70</v>
      </c>
      <c r="H1389" s="37"/>
      <c r="I1389" s="37"/>
      <c r="J1389" s="37" t="s">
        <v>1353</v>
      </c>
      <c r="K1389" s="40"/>
      <c r="L1389" s="38"/>
      <c r="M1389" s="38"/>
      <c r="N1389" s="37"/>
      <c r="O1389" s="37"/>
      <c r="P1389" s="37"/>
      <c r="Q1389" s="37"/>
      <c r="R1389" s="39"/>
      <c r="S1389" s="37"/>
      <c r="T1389" s="38" t="s">
        <v>293</v>
      </c>
    </row>
    <row r="1390" ht="34.5">
      <c r="A1390" s="38" t="s">
        <v>1215</v>
      </c>
      <c r="B1390" s="38" t="s">
        <v>1216</v>
      </c>
      <c r="C1390" s="38" t="s">
        <v>1352</v>
      </c>
      <c r="D1390" s="38" t="s">
        <v>288</v>
      </c>
      <c r="E1390" s="38" t="s">
        <v>1238</v>
      </c>
      <c r="F1390" s="37" t="s">
        <v>1239</v>
      </c>
      <c r="G1390" s="38" t="s">
        <v>70</v>
      </c>
      <c r="H1390" s="37"/>
      <c r="I1390" s="37"/>
      <c r="J1390" s="37" t="s">
        <v>1354</v>
      </c>
      <c r="K1390" s="40"/>
      <c r="L1390" s="38"/>
      <c r="M1390" s="38"/>
      <c r="N1390" s="37"/>
      <c r="O1390" s="37"/>
      <c r="P1390" s="37"/>
      <c r="Q1390" s="37"/>
      <c r="R1390" s="39"/>
      <c r="S1390" s="37"/>
      <c r="T1390" s="38" t="s">
        <v>293</v>
      </c>
    </row>
    <row r="1391" ht="34.5">
      <c r="A1391" s="38" t="s">
        <v>1215</v>
      </c>
      <c r="B1391" s="38" t="s">
        <v>1216</v>
      </c>
      <c r="C1391" s="38" t="s">
        <v>1352</v>
      </c>
      <c r="D1391" s="38" t="s">
        <v>288</v>
      </c>
      <c r="E1391" s="38" t="s">
        <v>1238</v>
      </c>
      <c r="F1391" s="37" t="s">
        <v>1239</v>
      </c>
      <c r="G1391" s="38" t="s">
        <v>70</v>
      </c>
      <c r="H1391" s="37"/>
      <c r="I1391" s="37"/>
      <c r="J1391" s="37" t="s">
        <v>1355</v>
      </c>
      <c r="K1391" s="40"/>
      <c r="L1391" s="38"/>
      <c r="M1391" s="38"/>
      <c r="N1391" s="37"/>
      <c r="O1391" s="37"/>
      <c r="P1391" s="37"/>
      <c r="Q1391" s="37"/>
      <c r="R1391" s="39"/>
      <c r="S1391" s="37"/>
      <c r="T1391" s="38" t="s">
        <v>293</v>
      </c>
    </row>
    <row r="1392" ht="34.5">
      <c r="A1392" s="38" t="s">
        <v>1215</v>
      </c>
      <c r="B1392" s="38" t="s">
        <v>1216</v>
      </c>
      <c r="C1392" s="38" t="s">
        <v>1352</v>
      </c>
      <c r="D1392" s="38" t="s">
        <v>288</v>
      </c>
      <c r="E1392" s="38" t="s">
        <v>1238</v>
      </c>
      <c r="F1392" s="37" t="s">
        <v>1239</v>
      </c>
      <c r="G1392" s="38" t="s">
        <v>70</v>
      </c>
      <c r="H1392" s="37"/>
      <c r="I1392" s="37"/>
      <c r="J1392" s="37" t="s">
        <v>1356</v>
      </c>
      <c r="K1392" s="40"/>
      <c r="L1392" s="38"/>
      <c r="M1392" s="38"/>
      <c r="N1392" s="37"/>
      <c r="O1392" s="37"/>
      <c r="P1392" s="37"/>
      <c r="Q1392" s="37"/>
      <c r="R1392" s="39"/>
      <c r="S1392" s="37"/>
      <c r="T1392" s="38" t="s">
        <v>293</v>
      </c>
    </row>
    <row r="1393" ht="34.5">
      <c r="A1393" s="38" t="s">
        <v>1215</v>
      </c>
      <c r="B1393" s="38" t="s">
        <v>1216</v>
      </c>
      <c r="C1393" s="38" t="s">
        <v>1352</v>
      </c>
      <c r="D1393" s="38" t="s">
        <v>288</v>
      </c>
      <c r="E1393" s="38" t="s">
        <v>1238</v>
      </c>
      <c r="F1393" s="37" t="s">
        <v>1239</v>
      </c>
      <c r="G1393" s="38" t="s">
        <v>70</v>
      </c>
      <c r="H1393" s="37"/>
      <c r="I1393" s="37"/>
      <c r="J1393" s="37" t="s">
        <v>1357</v>
      </c>
      <c r="K1393" s="40"/>
      <c r="L1393" s="38"/>
      <c r="M1393" s="38"/>
      <c r="N1393" s="37"/>
      <c r="O1393" s="37"/>
      <c r="P1393" s="37"/>
      <c r="Q1393" s="37"/>
      <c r="R1393" s="39"/>
      <c r="S1393" s="37"/>
      <c r="T1393" s="38" t="s">
        <v>293</v>
      </c>
    </row>
    <row r="1394" ht="34.5">
      <c r="A1394" s="38" t="s">
        <v>1215</v>
      </c>
      <c r="B1394" s="38" t="s">
        <v>1216</v>
      </c>
      <c r="C1394" s="38" t="s">
        <v>1352</v>
      </c>
      <c r="D1394" s="38" t="s">
        <v>288</v>
      </c>
      <c r="E1394" s="38" t="s">
        <v>1238</v>
      </c>
      <c r="F1394" s="37" t="s">
        <v>1239</v>
      </c>
      <c r="G1394" s="38" t="s">
        <v>70</v>
      </c>
      <c r="H1394" s="37"/>
      <c r="I1394" s="37"/>
      <c r="J1394" s="37" t="s">
        <v>1358</v>
      </c>
      <c r="K1394" s="40"/>
      <c r="L1394" s="38"/>
      <c r="M1394" s="38"/>
      <c r="N1394" s="37"/>
      <c r="O1394" s="37"/>
      <c r="P1394" s="37"/>
      <c r="Q1394" s="37"/>
      <c r="R1394" s="39"/>
      <c r="S1394" s="37"/>
      <c r="T1394" s="38" t="s">
        <v>293</v>
      </c>
    </row>
    <row r="1395" ht="34.5">
      <c r="A1395" s="38" t="s">
        <v>1215</v>
      </c>
      <c r="B1395" s="38" t="s">
        <v>1216</v>
      </c>
      <c r="C1395" s="38" t="s">
        <v>1352</v>
      </c>
      <c r="D1395" s="38" t="s">
        <v>288</v>
      </c>
      <c r="E1395" s="38" t="s">
        <v>1238</v>
      </c>
      <c r="F1395" s="37" t="s">
        <v>1239</v>
      </c>
      <c r="G1395" s="38" t="s">
        <v>70</v>
      </c>
      <c r="H1395" s="37"/>
      <c r="I1395" s="37"/>
      <c r="J1395" s="37" t="s">
        <v>1359</v>
      </c>
      <c r="K1395" s="40"/>
      <c r="L1395" s="38"/>
      <c r="M1395" s="38"/>
      <c r="N1395" s="37"/>
      <c r="O1395" s="37"/>
      <c r="P1395" s="37"/>
      <c r="Q1395" s="37"/>
      <c r="R1395" s="39"/>
      <c r="S1395" s="37"/>
      <c r="T1395" s="38" t="s">
        <v>293</v>
      </c>
    </row>
    <row r="1396" ht="34.5">
      <c r="A1396" s="38" t="s">
        <v>1215</v>
      </c>
      <c r="B1396" s="38" t="s">
        <v>1216</v>
      </c>
      <c r="C1396" s="38" t="s">
        <v>1352</v>
      </c>
      <c r="D1396" s="38" t="s">
        <v>288</v>
      </c>
      <c r="E1396" s="38" t="s">
        <v>1238</v>
      </c>
      <c r="F1396" s="37" t="s">
        <v>1239</v>
      </c>
      <c r="G1396" s="38" t="s">
        <v>70</v>
      </c>
      <c r="H1396" s="37"/>
      <c r="I1396" s="37"/>
      <c r="J1396" s="37" t="s">
        <v>1360</v>
      </c>
      <c r="K1396" s="40"/>
      <c r="L1396" s="38"/>
      <c r="M1396" s="38"/>
      <c r="N1396" s="37"/>
      <c r="O1396" s="37"/>
      <c r="P1396" s="37"/>
      <c r="Q1396" s="37"/>
      <c r="R1396" s="39"/>
      <c r="S1396" s="37"/>
      <c r="T1396" s="38" t="s">
        <v>293</v>
      </c>
    </row>
    <row r="1397" ht="34.5">
      <c r="A1397" s="38" t="s">
        <v>1215</v>
      </c>
      <c r="B1397" s="38" t="s">
        <v>1216</v>
      </c>
      <c r="C1397" s="38" t="s">
        <v>1361</v>
      </c>
      <c r="D1397" s="38" t="s">
        <v>288</v>
      </c>
      <c r="E1397" s="38" t="s">
        <v>1238</v>
      </c>
      <c r="F1397" s="37" t="s">
        <v>1239</v>
      </c>
      <c r="G1397" s="38" t="s">
        <v>70</v>
      </c>
      <c r="H1397" s="37"/>
      <c r="I1397" s="37"/>
      <c r="J1397" s="37" t="s">
        <v>1362</v>
      </c>
      <c r="K1397" s="40"/>
      <c r="L1397" s="38"/>
      <c r="M1397" s="38"/>
      <c r="N1397" s="37"/>
      <c r="O1397" s="37"/>
      <c r="P1397" s="37"/>
      <c r="Q1397" s="37"/>
      <c r="R1397" s="39"/>
      <c r="S1397" s="37"/>
      <c r="T1397" s="38" t="s">
        <v>293</v>
      </c>
    </row>
    <row r="1398" ht="34.5">
      <c r="A1398" s="38" t="s">
        <v>1215</v>
      </c>
      <c r="B1398" s="38" t="s">
        <v>1216</v>
      </c>
      <c r="C1398" s="38" t="s">
        <v>1361</v>
      </c>
      <c r="D1398" s="38" t="s">
        <v>288</v>
      </c>
      <c r="E1398" s="38" t="s">
        <v>1238</v>
      </c>
      <c r="F1398" s="37" t="s">
        <v>1239</v>
      </c>
      <c r="G1398" s="38" t="s">
        <v>70</v>
      </c>
      <c r="H1398" s="37"/>
      <c r="I1398" s="37"/>
      <c r="J1398" s="37" t="s">
        <v>1363</v>
      </c>
      <c r="K1398" s="40"/>
      <c r="L1398" s="38"/>
      <c r="M1398" s="38"/>
      <c r="N1398" s="37"/>
      <c r="O1398" s="37"/>
      <c r="P1398" s="37"/>
      <c r="Q1398" s="37"/>
      <c r="R1398" s="39"/>
      <c r="S1398" s="37"/>
      <c r="T1398" s="38" t="s">
        <v>293</v>
      </c>
    </row>
    <row r="1399" ht="34.5">
      <c r="A1399" s="38" t="s">
        <v>1215</v>
      </c>
      <c r="B1399" s="38" t="s">
        <v>1216</v>
      </c>
      <c r="C1399" s="38" t="s">
        <v>1361</v>
      </c>
      <c r="D1399" s="38" t="s">
        <v>288</v>
      </c>
      <c r="E1399" s="38" t="s">
        <v>1238</v>
      </c>
      <c r="F1399" s="37" t="s">
        <v>1239</v>
      </c>
      <c r="G1399" s="38" t="s">
        <v>70</v>
      </c>
      <c r="H1399" s="37"/>
      <c r="I1399" s="37"/>
      <c r="J1399" s="37" t="s">
        <v>1364</v>
      </c>
      <c r="K1399" s="40"/>
      <c r="L1399" s="38"/>
      <c r="M1399" s="38"/>
      <c r="N1399" s="37"/>
      <c r="O1399" s="37"/>
      <c r="P1399" s="37"/>
      <c r="Q1399" s="37"/>
      <c r="R1399" s="39"/>
      <c r="S1399" s="37"/>
      <c r="T1399" s="38" t="s">
        <v>293</v>
      </c>
    </row>
    <row r="1400" ht="34.5">
      <c r="A1400" s="38" t="s">
        <v>1215</v>
      </c>
      <c r="B1400" s="38" t="s">
        <v>1216</v>
      </c>
      <c r="C1400" s="38" t="s">
        <v>1361</v>
      </c>
      <c r="D1400" s="38" t="s">
        <v>288</v>
      </c>
      <c r="E1400" s="38" t="s">
        <v>1238</v>
      </c>
      <c r="F1400" s="37" t="s">
        <v>1239</v>
      </c>
      <c r="G1400" s="38" t="s">
        <v>70</v>
      </c>
      <c r="H1400" s="37"/>
      <c r="I1400" s="37"/>
      <c r="J1400" s="37" t="s">
        <v>1365</v>
      </c>
      <c r="K1400" s="40"/>
      <c r="L1400" s="38"/>
      <c r="M1400" s="38"/>
      <c r="N1400" s="37"/>
      <c r="O1400" s="37"/>
      <c r="P1400" s="37"/>
      <c r="Q1400" s="37"/>
      <c r="R1400" s="39"/>
      <c r="S1400" s="37"/>
      <c r="T1400" s="38" t="s">
        <v>293</v>
      </c>
    </row>
    <row r="1401" ht="34.5">
      <c r="A1401" s="38" t="s">
        <v>1215</v>
      </c>
      <c r="B1401" s="38" t="s">
        <v>1216</v>
      </c>
      <c r="C1401" s="38" t="s">
        <v>1361</v>
      </c>
      <c r="D1401" s="38" t="s">
        <v>288</v>
      </c>
      <c r="E1401" s="38" t="s">
        <v>1238</v>
      </c>
      <c r="F1401" s="37" t="s">
        <v>1239</v>
      </c>
      <c r="G1401" s="38" t="s">
        <v>70</v>
      </c>
      <c r="H1401" s="37"/>
      <c r="I1401" s="37"/>
      <c r="J1401" s="37" t="s">
        <v>1366</v>
      </c>
      <c r="K1401" s="40"/>
      <c r="L1401" s="38"/>
      <c r="M1401" s="38"/>
      <c r="N1401" s="37"/>
      <c r="O1401" s="37"/>
      <c r="P1401" s="37"/>
      <c r="Q1401" s="37"/>
      <c r="R1401" s="39"/>
      <c r="S1401" s="37"/>
      <c r="T1401" s="38" t="s">
        <v>293</v>
      </c>
    </row>
    <row r="1402" ht="34.5">
      <c r="A1402" s="38" t="s">
        <v>1215</v>
      </c>
      <c r="B1402" s="38" t="s">
        <v>1216</v>
      </c>
      <c r="C1402" s="38" t="s">
        <v>1361</v>
      </c>
      <c r="D1402" s="38" t="s">
        <v>288</v>
      </c>
      <c r="E1402" s="38" t="s">
        <v>1238</v>
      </c>
      <c r="F1402" s="37" t="s">
        <v>1239</v>
      </c>
      <c r="G1402" s="38" t="s">
        <v>70</v>
      </c>
      <c r="H1402" s="37"/>
      <c r="I1402" s="37"/>
      <c r="J1402" s="37" t="s">
        <v>1367</v>
      </c>
      <c r="K1402" s="40"/>
      <c r="L1402" s="38"/>
      <c r="M1402" s="38"/>
      <c r="N1402" s="37"/>
      <c r="O1402" s="37"/>
      <c r="P1402" s="37"/>
      <c r="Q1402" s="37"/>
      <c r="R1402" s="39"/>
      <c r="S1402" s="37"/>
      <c r="T1402" s="38" t="s">
        <v>293</v>
      </c>
    </row>
    <row r="1403" ht="34.5">
      <c r="A1403" s="38" t="s">
        <v>1215</v>
      </c>
      <c r="B1403" s="38" t="s">
        <v>1216</v>
      </c>
      <c r="C1403" s="38" t="s">
        <v>1361</v>
      </c>
      <c r="D1403" s="38" t="s">
        <v>288</v>
      </c>
      <c r="E1403" s="38" t="s">
        <v>1238</v>
      </c>
      <c r="F1403" s="37" t="s">
        <v>1239</v>
      </c>
      <c r="G1403" s="38" t="s">
        <v>70</v>
      </c>
      <c r="H1403" s="37"/>
      <c r="I1403" s="37"/>
      <c r="J1403" s="37" t="s">
        <v>1368</v>
      </c>
      <c r="K1403" s="40"/>
      <c r="L1403" s="38"/>
      <c r="M1403" s="38"/>
      <c r="N1403" s="37"/>
      <c r="O1403" s="37"/>
      <c r="P1403" s="37"/>
      <c r="Q1403" s="37"/>
      <c r="R1403" s="39"/>
      <c r="S1403" s="37"/>
      <c r="T1403" s="38" t="s">
        <v>293</v>
      </c>
    </row>
    <row r="1404" ht="34.5">
      <c r="A1404" s="38" t="s">
        <v>1215</v>
      </c>
      <c r="B1404" s="38" t="s">
        <v>1216</v>
      </c>
      <c r="C1404" s="38" t="s">
        <v>1361</v>
      </c>
      <c r="D1404" s="38" t="s">
        <v>288</v>
      </c>
      <c r="E1404" s="38" t="s">
        <v>1238</v>
      </c>
      <c r="F1404" s="37" t="s">
        <v>1239</v>
      </c>
      <c r="G1404" s="38" t="s">
        <v>70</v>
      </c>
      <c r="H1404" s="37"/>
      <c r="I1404" s="37"/>
      <c r="J1404" s="37" t="s">
        <v>1369</v>
      </c>
      <c r="K1404" s="40"/>
      <c r="L1404" s="38"/>
      <c r="M1404" s="38"/>
      <c r="N1404" s="37"/>
      <c r="O1404" s="37"/>
      <c r="P1404" s="37"/>
      <c r="Q1404" s="37"/>
      <c r="R1404" s="39"/>
      <c r="S1404" s="37"/>
      <c r="T1404" s="38" t="s">
        <v>293</v>
      </c>
    </row>
    <row r="1405" ht="34.5">
      <c r="A1405" s="38" t="s">
        <v>1215</v>
      </c>
      <c r="B1405" s="38" t="s">
        <v>1216</v>
      </c>
      <c r="C1405" s="38" t="s">
        <v>1361</v>
      </c>
      <c r="D1405" s="38" t="s">
        <v>288</v>
      </c>
      <c r="E1405" s="38" t="s">
        <v>1238</v>
      </c>
      <c r="F1405" s="37" t="s">
        <v>1239</v>
      </c>
      <c r="G1405" s="38" t="s">
        <v>70</v>
      </c>
      <c r="H1405" s="37"/>
      <c r="I1405" s="37"/>
      <c r="J1405" s="37" t="s">
        <v>1370</v>
      </c>
      <c r="K1405" s="40"/>
      <c r="L1405" s="38"/>
      <c r="M1405" s="38"/>
      <c r="N1405" s="37"/>
      <c r="O1405" s="37"/>
      <c r="P1405" s="37"/>
      <c r="Q1405" s="37"/>
      <c r="R1405" s="39"/>
      <c r="S1405" s="37"/>
      <c r="T1405" s="38" t="s">
        <v>293</v>
      </c>
    </row>
    <row r="1406" ht="34.5">
      <c r="A1406" s="38" t="s">
        <v>1215</v>
      </c>
      <c r="B1406" s="38" t="s">
        <v>1216</v>
      </c>
      <c r="C1406" s="38" t="s">
        <v>1361</v>
      </c>
      <c r="D1406" s="38" t="s">
        <v>288</v>
      </c>
      <c r="E1406" s="38" t="s">
        <v>1238</v>
      </c>
      <c r="F1406" s="37" t="s">
        <v>1239</v>
      </c>
      <c r="G1406" s="38" t="s">
        <v>70</v>
      </c>
      <c r="H1406" s="37"/>
      <c r="I1406" s="37"/>
      <c r="J1406" s="37" t="s">
        <v>1371</v>
      </c>
      <c r="K1406" s="40"/>
      <c r="L1406" s="38"/>
      <c r="M1406" s="38"/>
      <c r="N1406" s="37"/>
      <c r="O1406" s="37"/>
      <c r="P1406" s="37"/>
      <c r="Q1406" s="37"/>
      <c r="R1406" s="39"/>
      <c r="S1406" s="37"/>
      <c r="T1406" s="38" t="s">
        <v>293</v>
      </c>
    </row>
    <row r="1407" ht="34.5">
      <c r="A1407" s="38" t="s">
        <v>1215</v>
      </c>
      <c r="B1407" s="38" t="s">
        <v>1216</v>
      </c>
      <c r="C1407" s="38" t="s">
        <v>1372</v>
      </c>
      <c r="D1407" s="38" t="s">
        <v>288</v>
      </c>
      <c r="E1407" s="38" t="s">
        <v>1238</v>
      </c>
      <c r="F1407" s="37" t="s">
        <v>1239</v>
      </c>
      <c r="G1407" s="38" t="s">
        <v>70</v>
      </c>
      <c r="H1407" s="37"/>
      <c r="I1407" s="37"/>
      <c r="J1407" s="37" t="s">
        <v>1373</v>
      </c>
      <c r="K1407" s="40"/>
      <c r="L1407" s="38"/>
      <c r="M1407" s="38"/>
      <c r="N1407" s="37"/>
      <c r="O1407" s="37"/>
      <c r="P1407" s="37"/>
      <c r="Q1407" s="37"/>
      <c r="R1407" s="39"/>
      <c r="S1407" s="37"/>
      <c r="T1407" s="38" t="s">
        <v>293</v>
      </c>
    </row>
    <row r="1408" ht="34.5">
      <c r="A1408" s="38" t="s">
        <v>1215</v>
      </c>
      <c r="B1408" s="38" t="s">
        <v>1216</v>
      </c>
      <c r="C1408" s="38" t="s">
        <v>1372</v>
      </c>
      <c r="D1408" s="38" t="s">
        <v>288</v>
      </c>
      <c r="E1408" s="38" t="s">
        <v>1238</v>
      </c>
      <c r="F1408" s="37" t="s">
        <v>1239</v>
      </c>
      <c r="G1408" s="38" t="s">
        <v>70</v>
      </c>
      <c r="H1408" s="37"/>
      <c r="I1408" s="37"/>
      <c r="J1408" s="37" t="s">
        <v>1374</v>
      </c>
      <c r="K1408" s="40"/>
      <c r="L1408" s="38"/>
      <c r="M1408" s="38"/>
      <c r="N1408" s="37"/>
      <c r="O1408" s="37"/>
      <c r="P1408" s="37"/>
      <c r="Q1408" s="37"/>
      <c r="R1408" s="39"/>
      <c r="S1408" s="37"/>
      <c r="T1408" s="38" t="s">
        <v>293</v>
      </c>
    </row>
    <row r="1409" ht="34.5">
      <c r="A1409" s="38" t="s">
        <v>1215</v>
      </c>
      <c r="B1409" s="38" t="s">
        <v>1216</v>
      </c>
      <c r="C1409" s="38" t="s">
        <v>1372</v>
      </c>
      <c r="D1409" s="38" t="s">
        <v>288</v>
      </c>
      <c r="E1409" s="38" t="s">
        <v>1238</v>
      </c>
      <c r="F1409" s="37" t="s">
        <v>1239</v>
      </c>
      <c r="G1409" s="38" t="s">
        <v>70</v>
      </c>
      <c r="H1409" s="37"/>
      <c r="I1409" s="37"/>
      <c r="J1409" s="37" t="s">
        <v>1375</v>
      </c>
      <c r="K1409" s="40"/>
      <c r="L1409" s="38"/>
      <c r="M1409" s="38"/>
      <c r="N1409" s="37"/>
      <c r="O1409" s="37"/>
      <c r="P1409" s="37"/>
      <c r="Q1409" s="37"/>
      <c r="R1409" s="39"/>
      <c r="S1409" s="37"/>
      <c r="T1409" s="38" t="s">
        <v>293</v>
      </c>
    </row>
    <row r="1410" ht="34.5">
      <c r="A1410" s="38" t="s">
        <v>1215</v>
      </c>
      <c r="B1410" s="38" t="s">
        <v>1216</v>
      </c>
      <c r="C1410" s="38" t="s">
        <v>1372</v>
      </c>
      <c r="D1410" s="38" t="s">
        <v>288</v>
      </c>
      <c r="E1410" s="38" t="s">
        <v>1238</v>
      </c>
      <c r="F1410" s="37" t="s">
        <v>1239</v>
      </c>
      <c r="G1410" s="38" t="s">
        <v>70</v>
      </c>
      <c r="H1410" s="37"/>
      <c r="I1410" s="37"/>
      <c r="J1410" s="37" t="s">
        <v>1376</v>
      </c>
      <c r="K1410" s="40"/>
      <c r="L1410" s="38"/>
      <c r="M1410" s="38"/>
      <c r="N1410" s="37"/>
      <c r="O1410" s="37"/>
      <c r="P1410" s="37"/>
      <c r="Q1410" s="37"/>
      <c r="R1410" s="39"/>
      <c r="S1410" s="37"/>
      <c r="T1410" s="38" t="s">
        <v>293</v>
      </c>
    </row>
    <row r="1411" ht="34.5">
      <c r="A1411" s="38" t="s">
        <v>1215</v>
      </c>
      <c r="B1411" s="38" t="s">
        <v>1216</v>
      </c>
      <c r="C1411" s="38" t="s">
        <v>1372</v>
      </c>
      <c r="D1411" s="38" t="s">
        <v>288</v>
      </c>
      <c r="E1411" s="38" t="s">
        <v>1238</v>
      </c>
      <c r="F1411" s="37" t="s">
        <v>1239</v>
      </c>
      <c r="G1411" s="38" t="s">
        <v>70</v>
      </c>
      <c r="H1411" s="37"/>
      <c r="I1411" s="37"/>
      <c r="J1411" s="37" t="s">
        <v>1377</v>
      </c>
      <c r="K1411" s="40"/>
      <c r="L1411" s="38"/>
      <c r="M1411" s="38"/>
      <c r="N1411" s="37"/>
      <c r="O1411" s="37"/>
      <c r="P1411" s="37"/>
      <c r="Q1411" s="37"/>
      <c r="R1411" s="39"/>
      <c r="S1411" s="37"/>
      <c r="T1411" s="38" t="s">
        <v>293</v>
      </c>
    </row>
    <row r="1412" ht="34.5">
      <c r="A1412" s="38" t="s">
        <v>1215</v>
      </c>
      <c r="B1412" s="38" t="s">
        <v>1216</v>
      </c>
      <c r="C1412" s="38" t="s">
        <v>1372</v>
      </c>
      <c r="D1412" s="38" t="s">
        <v>288</v>
      </c>
      <c r="E1412" s="38" t="s">
        <v>1238</v>
      </c>
      <c r="F1412" s="37" t="s">
        <v>1239</v>
      </c>
      <c r="G1412" s="38" t="s">
        <v>70</v>
      </c>
      <c r="H1412" s="37"/>
      <c r="I1412" s="37"/>
      <c r="J1412" s="37" t="s">
        <v>1378</v>
      </c>
      <c r="K1412" s="40"/>
      <c r="L1412" s="38"/>
      <c r="M1412" s="38"/>
      <c r="N1412" s="37"/>
      <c r="O1412" s="37"/>
      <c r="P1412" s="37"/>
      <c r="Q1412" s="37"/>
      <c r="R1412" s="39"/>
      <c r="S1412" s="37"/>
      <c r="T1412" s="38" t="s">
        <v>293</v>
      </c>
    </row>
    <row r="1413" ht="34.5">
      <c r="A1413" s="38" t="s">
        <v>1215</v>
      </c>
      <c r="B1413" s="38" t="s">
        <v>1216</v>
      </c>
      <c r="C1413" s="38" t="s">
        <v>1372</v>
      </c>
      <c r="D1413" s="38" t="s">
        <v>288</v>
      </c>
      <c r="E1413" s="38" t="s">
        <v>1238</v>
      </c>
      <c r="F1413" s="37" t="s">
        <v>1239</v>
      </c>
      <c r="G1413" s="38" t="s">
        <v>70</v>
      </c>
      <c r="H1413" s="37"/>
      <c r="I1413" s="37"/>
      <c r="J1413" s="37" t="s">
        <v>1379</v>
      </c>
      <c r="K1413" s="40"/>
      <c r="L1413" s="38"/>
      <c r="M1413" s="38"/>
      <c r="N1413" s="37"/>
      <c r="O1413" s="37"/>
      <c r="P1413" s="37"/>
      <c r="Q1413" s="37"/>
      <c r="R1413" s="39"/>
      <c r="S1413" s="37"/>
      <c r="T1413" s="38" t="s">
        <v>293</v>
      </c>
    </row>
    <row r="1414" ht="34.5">
      <c r="A1414" s="38" t="s">
        <v>1215</v>
      </c>
      <c r="B1414" s="38" t="s">
        <v>1216</v>
      </c>
      <c r="C1414" s="38" t="s">
        <v>1372</v>
      </c>
      <c r="D1414" s="38" t="s">
        <v>288</v>
      </c>
      <c r="E1414" s="38" t="s">
        <v>1238</v>
      </c>
      <c r="F1414" s="37" t="s">
        <v>1239</v>
      </c>
      <c r="G1414" s="38" t="s">
        <v>70</v>
      </c>
      <c r="H1414" s="37"/>
      <c r="I1414" s="37"/>
      <c r="J1414" s="37" t="s">
        <v>1380</v>
      </c>
      <c r="K1414" s="40"/>
      <c r="L1414" s="38"/>
      <c r="M1414" s="38"/>
      <c r="N1414" s="37"/>
      <c r="O1414" s="37"/>
      <c r="P1414" s="37"/>
      <c r="Q1414" s="37"/>
      <c r="R1414" s="39"/>
      <c r="S1414" s="37"/>
      <c r="T1414" s="38" t="s">
        <v>293</v>
      </c>
    </row>
    <row r="1415" ht="34.5">
      <c r="A1415" s="38" t="s">
        <v>1215</v>
      </c>
      <c r="B1415" s="38" t="s">
        <v>1216</v>
      </c>
      <c r="C1415" s="38" t="s">
        <v>1372</v>
      </c>
      <c r="D1415" s="38" t="s">
        <v>288</v>
      </c>
      <c r="E1415" s="38" t="s">
        <v>1238</v>
      </c>
      <c r="F1415" s="37" t="s">
        <v>1239</v>
      </c>
      <c r="G1415" s="38" t="s">
        <v>70</v>
      </c>
      <c r="H1415" s="37"/>
      <c r="I1415" s="37"/>
      <c r="J1415" s="37" t="s">
        <v>1381</v>
      </c>
      <c r="K1415" s="40"/>
      <c r="L1415" s="38"/>
      <c r="M1415" s="38"/>
      <c r="N1415" s="37"/>
      <c r="O1415" s="37"/>
      <c r="P1415" s="37"/>
      <c r="Q1415" s="37"/>
      <c r="R1415" s="39"/>
      <c r="S1415" s="37"/>
      <c r="T1415" s="38" t="s">
        <v>293</v>
      </c>
    </row>
    <row r="1416" ht="34.5">
      <c r="A1416" s="38" t="s">
        <v>1215</v>
      </c>
      <c r="B1416" s="38" t="s">
        <v>1216</v>
      </c>
      <c r="C1416" s="38" t="s">
        <v>1372</v>
      </c>
      <c r="D1416" s="38" t="s">
        <v>288</v>
      </c>
      <c r="E1416" s="38" t="s">
        <v>1238</v>
      </c>
      <c r="F1416" s="37" t="s">
        <v>1239</v>
      </c>
      <c r="G1416" s="38" t="s">
        <v>70</v>
      </c>
      <c r="H1416" s="37"/>
      <c r="I1416" s="37"/>
      <c r="J1416" s="37" t="s">
        <v>1382</v>
      </c>
      <c r="K1416" s="40"/>
      <c r="L1416" s="38"/>
      <c r="M1416" s="38"/>
      <c r="N1416" s="37"/>
      <c r="O1416" s="37"/>
      <c r="P1416" s="37"/>
      <c r="Q1416" s="37"/>
      <c r="R1416" s="39"/>
      <c r="S1416" s="37"/>
      <c r="T1416" s="38" t="s">
        <v>293</v>
      </c>
    </row>
    <row r="1417" ht="34.5">
      <c r="A1417" s="38" t="s">
        <v>1215</v>
      </c>
      <c r="B1417" s="38" t="s">
        <v>1216</v>
      </c>
      <c r="C1417" s="38" t="s">
        <v>1372</v>
      </c>
      <c r="D1417" s="38" t="s">
        <v>288</v>
      </c>
      <c r="E1417" s="38" t="s">
        <v>1238</v>
      </c>
      <c r="F1417" s="37" t="s">
        <v>1239</v>
      </c>
      <c r="G1417" s="38" t="s">
        <v>70</v>
      </c>
      <c r="H1417" s="37"/>
      <c r="I1417" s="37"/>
      <c r="J1417" s="37" t="s">
        <v>1383</v>
      </c>
      <c r="K1417" s="40"/>
      <c r="L1417" s="38"/>
      <c r="M1417" s="38"/>
      <c r="N1417" s="37"/>
      <c r="O1417" s="37"/>
      <c r="P1417" s="37"/>
      <c r="Q1417" s="37"/>
      <c r="R1417" s="39"/>
      <c r="S1417" s="37"/>
      <c r="T1417" s="38" t="s">
        <v>293</v>
      </c>
    </row>
    <row r="1418" ht="34.5">
      <c r="A1418" s="38" t="s">
        <v>1215</v>
      </c>
      <c r="B1418" s="38" t="s">
        <v>1216</v>
      </c>
      <c r="C1418" s="38" t="s">
        <v>1384</v>
      </c>
      <c r="D1418" s="38" t="s">
        <v>288</v>
      </c>
      <c r="E1418" s="38" t="s">
        <v>1238</v>
      </c>
      <c r="F1418" s="37" t="s">
        <v>1239</v>
      </c>
      <c r="G1418" s="38" t="s">
        <v>70</v>
      </c>
      <c r="H1418" s="37"/>
      <c r="I1418" s="37"/>
      <c r="J1418" s="37" t="s">
        <v>1385</v>
      </c>
      <c r="K1418" s="40"/>
      <c r="L1418" s="38"/>
      <c r="M1418" s="38"/>
      <c r="N1418" s="37"/>
      <c r="O1418" s="37"/>
      <c r="P1418" s="37"/>
      <c r="Q1418" s="37"/>
      <c r="R1418" s="39"/>
      <c r="S1418" s="37"/>
      <c r="T1418" s="38" t="s">
        <v>293</v>
      </c>
    </row>
    <row r="1419" ht="34.5">
      <c r="A1419" s="38" t="s">
        <v>1215</v>
      </c>
      <c r="B1419" s="38" t="s">
        <v>1216</v>
      </c>
      <c r="C1419" s="38" t="s">
        <v>1384</v>
      </c>
      <c r="D1419" s="38" t="s">
        <v>288</v>
      </c>
      <c r="E1419" s="38" t="s">
        <v>1238</v>
      </c>
      <c r="F1419" s="37" t="s">
        <v>1239</v>
      </c>
      <c r="G1419" s="38" t="s">
        <v>70</v>
      </c>
      <c r="H1419" s="37"/>
      <c r="I1419" s="37"/>
      <c r="J1419" s="37" t="s">
        <v>1386</v>
      </c>
      <c r="K1419" s="40"/>
      <c r="L1419" s="38"/>
      <c r="M1419" s="38"/>
      <c r="N1419" s="37"/>
      <c r="O1419" s="37"/>
      <c r="P1419" s="37"/>
      <c r="Q1419" s="37"/>
      <c r="R1419" s="39"/>
      <c r="S1419" s="37"/>
      <c r="T1419" s="38" t="s">
        <v>293</v>
      </c>
    </row>
    <row r="1420" ht="34.5">
      <c r="A1420" s="38" t="s">
        <v>1215</v>
      </c>
      <c r="B1420" s="38" t="s">
        <v>1216</v>
      </c>
      <c r="C1420" s="38" t="s">
        <v>1384</v>
      </c>
      <c r="D1420" s="38" t="s">
        <v>288</v>
      </c>
      <c r="E1420" s="38" t="s">
        <v>1238</v>
      </c>
      <c r="F1420" s="37" t="s">
        <v>1239</v>
      </c>
      <c r="G1420" s="38" t="s">
        <v>70</v>
      </c>
      <c r="H1420" s="37"/>
      <c r="I1420" s="37"/>
      <c r="J1420" s="37" t="s">
        <v>1387</v>
      </c>
      <c r="K1420" s="40"/>
      <c r="L1420" s="38"/>
      <c r="M1420" s="38"/>
      <c r="N1420" s="37"/>
      <c r="O1420" s="37"/>
      <c r="P1420" s="37"/>
      <c r="Q1420" s="37"/>
      <c r="R1420" s="39"/>
      <c r="S1420" s="37"/>
      <c r="T1420" s="38" t="s">
        <v>293</v>
      </c>
    </row>
    <row r="1421" ht="34.5">
      <c r="A1421" s="38" t="s">
        <v>1215</v>
      </c>
      <c r="B1421" s="38" t="s">
        <v>1216</v>
      </c>
      <c r="C1421" s="38" t="s">
        <v>1384</v>
      </c>
      <c r="D1421" s="38" t="s">
        <v>288</v>
      </c>
      <c r="E1421" s="38" t="s">
        <v>1238</v>
      </c>
      <c r="F1421" s="37" t="s">
        <v>1239</v>
      </c>
      <c r="G1421" s="38" t="s">
        <v>70</v>
      </c>
      <c r="H1421" s="37"/>
      <c r="I1421" s="37"/>
      <c r="J1421" s="37" t="s">
        <v>1388</v>
      </c>
      <c r="K1421" s="40"/>
      <c r="L1421" s="38"/>
      <c r="M1421" s="38"/>
      <c r="N1421" s="37"/>
      <c r="O1421" s="37"/>
      <c r="P1421" s="37"/>
      <c r="Q1421" s="37"/>
      <c r="R1421" s="39"/>
      <c r="S1421" s="37"/>
      <c r="T1421" s="38" t="s">
        <v>293</v>
      </c>
    </row>
    <row r="1422" ht="34.5">
      <c r="A1422" s="38" t="s">
        <v>1215</v>
      </c>
      <c r="B1422" s="38" t="s">
        <v>1216</v>
      </c>
      <c r="C1422" s="38" t="s">
        <v>1384</v>
      </c>
      <c r="D1422" s="38" t="s">
        <v>288</v>
      </c>
      <c r="E1422" s="38" t="s">
        <v>1238</v>
      </c>
      <c r="F1422" s="37" t="s">
        <v>1239</v>
      </c>
      <c r="G1422" s="38" t="s">
        <v>70</v>
      </c>
      <c r="H1422" s="37"/>
      <c r="I1422" s="37"/>
      <c r="J1422" s="37" t="s">
        <v>1389</v>
      </c>
      <c r="K1422" s="40"/>
      <c r="L1422" s="38"/>
      <c r="M1422" s="38"/>
      <c r="N1422" s="37"/>
      <c r="O1422" s="37"/>
      <c r="P1422" s="37"/>
      <c r="Q1422" s="37"/>
      <c r="R1422" s="39"/>
      <c r="S1422" s="37"/>
      <c r="T1422" s="38" t="s">
        <v>293</v>
      </c>
    </row>
    <row r="1423" ht="34.5">
      <c r="A1423" s="38" t="s">
        <v>1215</v>
      </c>
      <c r="B1423" s="38" t="s">
        <v>1216</v>
      </c>
      <c r="C1423" s="38" t="s">
        <v>1384</v>
      </c>
      <c r="D1423" s="38" t="s">
        <v>288</v>
      </c>
      <c r="E1423" s="38" t="s">
        <v>1238</v>
      </c>
      <c r="F1423" s="37" t="s">
        <v>1239</v>
      </c>
      <c r="G1423" s="38" t="s">
        <v>70</v>
      </c>
      <c r="H1423" s="37"/>
      <c r="I1423" s="37"/>
      <c r="J1423" s="37" t="s">
        <v>1390</v>
      </c>
      <c r="K1423" s="40"/>
      <c r="L1423" s="38"/>
      <c r="M1423" s="38"/>
      <c r="N1423" s="37"/>
      <c r="O1423" s="37"/>
      <c r="P1423" s="37"/>
      <c r="Q1423" s="37"/>
      <c r="R1423" s="39"/>
      <c r="S1423" s="37"/>
      <c r="T1423" s="38" t="s">
        <v>293</v>
      </c>
    </row>
    <row r="1424" ht="34.5">
      <c r="A1424" s="38" t="s">
        <v>1215</v>
      </c>
      <c r="B1424" s="38" t="s">
        <v>1216</v>
      </c>
      <c r="C1424" s="38" t="s">
        <v>1384</v>
      </c>
      <c r="D1424" s="38" t="s">
        <v>288</v>
      </c>
      <c r="E1424" s="38" t="s">
        <v>1238</v>
      </c>
      <c r="F1424" s="37" t="s">
        <v>1239</v>
      </c>
      <c r="G1424" s="38" t="s">
        <v>70</v>
      </c>
      <c r="H1424" s="37"/>
      <c r="I1424" s="37"/>
      <c r="J1424" s="37" t="s">
        <v>1391</v>
      </c>
      <c r="K1424" s="40"/>
      <c r="L1424" s="38"/>
      <c r="M1424" s="38"/>
      <c r="N1424" s="37"/>
      <c r="O1424" s="37"/>
      <c r="P1424" s="37"/>
      <c r="Q1424" s="37"/>
      <c r="R1424" s="39"/>
      <c r="S1424" s="37"/>
      <c r="T1424" s="38" t="s">
        <v>293</v>
      </c>
    </row>
    <row r="1425" ht="34.5">
      <c r="A1425" s="38" t="s">
        <v>1215</v>
      </c>
      <c r="B1425" s="38" t="s">
        <v>1216</v>
      </c>
      <c r="C1425" s="38" t="s">
        <v>1384</v>
      </c>
      <c r="D1425" s="38" t="s">
        <v>288</v>
      </c>
      <c r="E1425" s="38" t="s">
        <v>1238</v>
      </c>
      <c r="F1425" s="37" t="s">
        <v>1239</v>
      </c>
      <c r="G1425" s="38" t="s">
        <v>70</v>
      </c>
      <c r="H1425" s="37"/>
      <c r="I1425" s="37"/>
      <c r="J1425" s="37" t="s">
        <v>1392</v>
      </c>
      <c r="K1425" s="40"/>
      <c r="L1425" s="38"/>
      <c r="M1425" s="38"/>
      <c r="N1425" s="37"/>
      <c r="O1425" s="37"/>
      <c r="P1425" s="37"/>
      <c r="Q1425" s="37"/>
      <c r="R1425" s="39"/>
      <c r="S1425" s="37"/>
      <c r="T1425" s="38" t="s">
        <v>293</v>
      </c>
    </row>
    <row r="1426" ht="34.5">
      <c r="A1426" s="38" t="s">
        <v>1215</v>
      </c>
      <c r="B1426" s="38" t="s">
        <v>1216</v>
      </c>
      <c r="C1426" s="38" t="s">
        <v>1384</v>
      </c>
      <c r="D1426" s="38" t="s">
        <v>288</v>
      </c>
      <c r="E1426" s="38" t="s">
        <v>1238</v>
      </c>
      <c r="F1426" s="37" t="s">
        <v>1239</v>
      </c>
      <c r="G1426" s="38" t="s">
        <v>70</v>
      </c>
      <c r="H1426" s="37"/>
      <c r="I1426" s="37"/>
      <c r="J1426" s="37" t="s">
        <v>1393</v>
      </c>
      <c r="K1426" s="40"/>
      <c r="L1426" s="38"/>
      <c r="M1426" s="38"/>
      <c r="N1426" s="37"/>
      <c r="O1426" s="37"/>
      <c r="P1426" s="37"/>
      <c r="Q1426" s="37"/>
      <c r="R1426" s="39"/>
      <c r="S1426" s="37"/>
      <c r="T1426" s="38" t="s">
        <v>293</v>
      </c>
    </row>
    <row r="1427" ht="34.5">
      <c r="A1427" s="38" t="s">
        <v>1215</v>
      </c>
      <c r="B1427" s="38" t="s">
        <v>1216</v>
      </c>
      <c r="C1427" s="38" t="s">
        <v>1384</v>
      </c>
      <c r="D1427" s="38" t="s">
        <v>288</v>
      </c>
      <c r="E1427" s="38" t="s">
        <v>1238</v>
      </c>
      <c r="F1427" s="37" t="s">
        <v>1239</v>
      </c>
      <c r="G1427" s="38" t="s">
        <v>70</v>
      </c>
      <c r="H1427" s="37"/>
      <c r="I1427" s="37"/>
      <c r="J1427" s="37" t="s">
        <v>1394</v>
      </c>
      <c r="K1427" s="40"/>
      <c r="L1427" s="38"/>
      <c r="M1427" s="38"/>
      <c r="N1427" s="37"/>
      <c r="O1427" s="37"/>
      <c r="P1427" s="37"/>
      <c r="Q1427" s="37"/>
      <c r="R1427" s="39"/>
      <c r="S1427" s="37"/>
      <c r="T1427" s="38" t="s">
        <v>293</v>
      </c>
    </row>
    <row r="1428" ht="34.5">
      <c r="A1428" s="38" t="s">
        <v>1215</v>
      </c>
      <c r="B1428" s="38" t="s">
        <v>1216</v>
      </c>
      <c r="C1428" s="38" t="s">
        <v>1384</v>
      </c>
      <c r="D1428" s="38" t="s">
        <v>288</v>
      </c>
      <c r="E1428" s="38" t="s">
        <v>1238</v>
      </c>
      <c r="F1428" s="37" t="s">
        <v>1239</v>
      </c>
      <c r="G1428" s="38" t="s">
        <v>70</v>
      </c>
      <c r="H1428" s="37"/>
      <c r="I1428" s="37"/>
      <c r="J1428" s="37" t="s">
        <v>1395</v>
      </c>
      <c r="K1428" s="40"/>
      <c r="L1428" s="38"/>
      <c r="M1428" s="38"/>
      <c r="N1428" s="37"/>
      <c r="O1428" s="37"/>
      <c r="P1428" s="37"/>
      <c r="Q1428" s="37"/>
      <c r="R1428" s="39"/>
      <c r="S1428" s="37"/>
      <c r="T1428" s="38" t="s">
        <v>293</v>
      </c>
    </row>
    <row r="1429" ht="34.5">
      <c r="A1429" s="38" t="s">
        <v>1215</v>
      </c>
      <c r="B1429" s="38" t="s">
        <v>1216</v>
      </c>
      <c r="C1429" s="38" t="s">
        <v>1396</v>
      </c>
      <c r="D1429" s="38" t="s">
        <v>288</v>
      </c>
      <c r="E1429" s="38" t="s">
        <v>1238</v>
      </c>
      <c r="F1429" s="37" t="s">
        <v>1239</v>
      </c>
      <c r="G1429" s="38" t="s">
        <v>70</v>
      </c>
      <c r="H1429" s="37"/>
      <c r="I1429" s="37"/>
      <c r="J1429" s="37" t="s">
        <v>1397</v>
      </c>
      <c r="K1429" s="40"/>
      <c r="L1429" s="38"/>
      <c r="M1429" s="38"/>
      <c r="N1429" s="37"/>
      <c r="O1429" s="37"/>
      <c r="P1429" s="37"/>
      <c r="Q1429" s="37"/>
      <c r="R1429" s="39"/>
      <c r="S1429" s="37"/>
      <c r="T1429" s="38" t="s">
        <v>293</v>
      </c>
    </row>
    <row r="1430" ht="34.5">
      <c r="A1430" s="38" t="s">
        <v>1215</v>
      </c>
      <c r="B1430" s="38" t="s">
        <v>1216</v>
      </c>
      <c r="C1430" s="38" t="s">
        <v>1396</v>
      </c>
      <c r="D1430" s="38" t="s">
        <v>288</v>
      </c>
      <c r="E1430" s="38" t="s">
        <v>1238</v>
      </c>
      <c r="F1430" s="37" t="s">
        <v>1239</v>
      </c>
      <c r="G1430" s="38" t="s">
        <v>70</v>
      </c>
      <c r="H1430" s="37"/>
      <c r="I1430" s="37"/>
      <c r="J1430" s="37" t="s">
        <v>1398</v>
      </c>
      <c r="K1430" s="40"/>
      <c r="L1430" s="38"/>
      <c r="M1430" s="38"/>
      <c r="N1430" s="37"/>
      <c r="O1430" s="37"/>
      <c r="P1430" s="37"/>
      <c r="Q1430" s="37"/>
      <c r="R1430" s="39"/>
      <c r="S1430" s="37"/>
      <c r="T1430" s="38" t="s">
        <v>293</v>
      </c>
    </row>
    <row r="1431" ht="34.5">
      <c r="A1431" s="38" t="s">
        <v>1215</v>
      </c>
      <c r="B1431" s="38" t="s">
        <v>1216</v>
      </c>
      <c r="C1431" s="38" t="s">
        <v>1396</v>
      </c>
      <c r="D1431" s="38" t="s">
        <v>288</v>
      </c>
      <c r="E1431" s="38" t="s">
        <v>1238</v>
      </c>
      <c r="F1431" s="37" t="s">
        <v>1239</v>
      </c>
      <c r="G1431" s="38" t="s">
        <v>70</v>
      </c>
      <c r="H1431" s="37"/>
      <c r="I1431" s="37"/>
      <c r="J1431" s="37" t="s">
        <v>1399</v>
      </c>
      <c r="K1431" s="40"/>
      <c r="L1431" s="38"/>
      <c r="M1431" s="38"/>
      <c r="N1431" s="37"/>
      <c r="O1431" s="37"/>
      <c r="P1431" s="37"/>
      <c r="Q1431" s="37"/>
      <c r="R1431" s="39"/>
      <c r="S1431" s="37"/>
      <c r="T1431" s="38" t="s">
        <v>293</v>
      </c>
    </row>
    <row r="1432" ht="34.5">
      <c r="A1432" s="38" t="s">
        <v>1215</v>
      </c>
      <c r="B1432" s="38" t="s">
        <v>1216</v>
      </c>
      <c r="C1432" s="38" t="s">
        <v>1396</v>
      </c>
      <c r="D1432" s="38" t="s">
        <v>288</v>
      </c>
      <c r="E1432" s="38" t="s">
        <v>1238</v>
      </c>
      <c r="F1432" s="37" t="s">
        <v>1239</v>
      </c>
      <c r="G1432" s="38" t="s">
        <v>70</v>
      </c>
      <c r="H1432" s="37"/>
      <c r="I1432" s="37"/>
      <c r="J1432" s="37" t="s">
        <v>1400</v>
      </c>
      <c r="K1432" s="40"/>
      <c r="L1432" s="38"/>
      <c r="M1432" s="38"/>
      <c r="N1432" s="37"/>
      <c r="O1432" s="37"/>
      <c r="P1432" s="37"/>
      <c r="Q1432" s="37"/>
      <c r="R1432" s="39"/>
      <c r="S1432" s="37"/>
      <c r="T1432" s="38" t="s">
        <v>293</v>
      </c>
    </row>
    <row r="1433" ht="34.5">
      <c r="A1433" s="38" t="s">
        <v>1215</v>
      </c>
      <c r="B1433" s="38" t="s">
        <v>1216</v>
      </c>
      <c r="C1433" s="38" t="s">
        <v>1396</v>
      </c>
      <c r="D1433" s="38" t="s">
        <v>288</v>
      </c>
      <c r="E1433" s="38" t="s">
        <v>1238</v>
      </c>
      <c r="F1433" s="37" t="s">
        <v>1239</v>
      </c>
      <c r="G1433" s="38" t="s">
        <v>70</v>
      </c>
      <c r="H1433" s="37"/>
      <c r="I1433" s="37"/>
      <c r="J1433" s="37" t="s">
        <v>1401</v>
      </c>
      <c r="K1433" s="40"/>
      <c r="L1433" s="38"/>
      <c r="M1433" s="38"/>
      <c r="N1433" s="37"/>
      <c r="O1433" s="37"/>
      <c r="P1433" s="37"/>
      <c r="Q1433" s="37"/>
      <c r="R1433" s="39"/>
      <c r="S1433" s="37"/>
      <c r="T1433" s="38" t="s">
        <v>293</v>
      </c>
    </row>
    <row r="1434" ht="34.5">
      <c r="A1434" s="38" t="s">
        <v>1215</v>
      </c>
      <c r="B1434" s="38" t="s">
        <v>1216</v>
      </c>
      <c r="C1434" s="38" t="s">
        <v>1396</v>
      </c>
      <c r="D1434" s="38" t="s">
        <v>288</v>
      </c>
      <c r="E1434" s="38" t="s">
        <v>1238</v>
      </c>
      <c r="F1434" s="37" t="s">
        <v>1239</v>
      </c>
      <c r="G1434" s="38" t="s">
        <v>70</v>
      </c>
      <c r="H1434" s="37"/>
      <c r="I1434" s="37"/>
      <c r="J1434" s="37" t="s">
        <v>1402</v>
      </c>
      <c r="K1434" s="40"/>
      <c r="L1434" s="38"/>
      <c r="M1434" s="38"/>
      <c r="N1434" s="37"/>
      <c r="O1434" s="37"/>
      <c r="P1434" s="37"/>
      <c r="Q1434" s="37"/>
      <c r="R1434" s="39"/>
      <c r="S1434" s="37"/>
      <c r="T1434" s="38" t="s">
        <v>293</v>
      </c>
    </row>
    <row r="1435" ht="34.5">
      <c r="A1435" s="38" t="s">
        <v>1215</v>
      </c>
      <c r="B1435" s="38" t="s">
        <v>1216</v>
      </c>
      <c r="C1435" s="38" t="s">
        <v>1396</v>
      </c>
      <c r="D1435" s="38" t="s">
        <v>288</v>
      </c>
      <c r="E1435" s="38" t="s">
        <v>1238</v>
      </c>
      <c r="F1435" s="37" t="s">
        <v>1239</v>
      </c>
      <c r="G1435" s="38" t="s">
        <v>70</v>
      </c>
      <c r="H1435" s="37"/>
      <c r="I1435" s="37"/>
      <c r="J1435" s="37" t="s">
        <v>1403</v>
      </c>
      <c r="K1435" s="40"/>
      <c r="L1435" s="38"/>
      <c r="M1435" s="38"/>
      <c r="N1435" s="37"/>
      <c r="O1435" s="37"/>
      <c r="P1435" s="37"/>
      <c r="Q1435" s="37"/>
      <c r="R1435" s="39"/>
      <c r="S1435" s="37"/>
      <c r="T1435" s="38" t="s">
        <v>293</v>
      </c>
    </row>
    <row r="1436" ht="34.5">
      <c r="A1436" s="38" t="s">
        <v>1215</v>
      </c>
      <c r="B1436" s="38" t="s">
        <v>1216</v>
      </c>
      <c r="C1436" s="38" t="s">
        <v>1404</v>
      </c>
      <c r="D1436" s="38" t="s">
        <v>288</v>
      </c>
      <c r="E1436" s="38" t="s">
        <v>1238</v>
      </c>
      <c r="F1436" s="37" t="s">
        <v>1239</v>
      </c>
      <c r="G1436" s="38" t="s">
        <v>70</v>
      </c>
      <c r="H1436" s="37"/>
      <c r="I1436" s="37"/>
      <c r="J1436" s="37" t="s">
        <v>1405</v>
      </c>
      <c r="K1436" s="40"/>
      <c r="L1436" s="38"/>
      <c r="M1436" s="38"/>
      <c r="N1436" s="37"/>
      <c r="O1436" s="37"/>
      <c r="P1436" s="37"/>
      <c r="Q1436" s="37"/>
      <c r="R1436" s="39"/>
      <c r="S1436" s="37"/>
      <c r="T1436" s="38" t="s">
        <v>293</v>
      </c>
    </row>
    <row r="1437" ht="34.5">
      <c r="A1437" s="38" t="s">
        <v>1215</v>
      </c>
      <c r="B1437" s="38" t="s">
        <v>1216</v>
      </c>
      <c r="C1437" s="38" t="s">
        <v>1404</v>
      </c>
      <c r="D1437" s="38" t="s">
        <v>288</v>
      </c>
      <c r="E1437" s="38" t="s">
        <v>1238</v>
      </c>
      <c r="F1437" s="37" t="s">
        <v>1239</v>
      </c>
      <c r="G1437" s="38" t="s">
        <v>70</v>
      </c>
      <c r="H1437" s="37"/>
      <c r="I1437" s="37"/>
      <c r="J1437" s="37" t="s">
        <v>1406</v>
      </c>
      <c r="K1437" s="40"/>
      <c r="L1437" s="38"/>
      <c r="M1437" s="38"/>
      <c r="N1437" s="37"/>
      <c r="O1437" s="37"/>
      <c r="P1437" s="37"/>
      <c r="Q1437" s="37"/>
      <c r="R1437" s="39"/>
      <c r="S1437" s="37"/>
      <c r="T1437" s="38" t="s">
        <v>293</v>
      </c>
    </row>
    <row r="1438" ht="34.5">
      <c r="A1438" s="38" t="s">
        <v>1215</v>
      </c>
      <c r="B1438" s="38" t="s">
        <v>1216</v>
      </c>
      <c r="C1438" s="38" t="s">
        <v>1404</v>
      </c>
      <c r="D1438" s="38" t="s">
        <v>288</v>
      </c>
      <c r="E1438" s="38" t="s">
        <v>1238</v>
      </c>
      <c r="F1438" s="37" t="s">
        <v>1239</v>
      </c>
      <c r="G1438" s="38" t="s">
        <v>70</v>
      </c>
      <c r="H1438" s="37"/>
      <c r="I1438" s="37"/>
      <c r="J1438" s="37" t="s">
        <v>1407</v>
      </c>
      <c r="K1438" s="40"/>
      <c r="L1438" s="38"/>
      <c r="M1438" s="38"/>
      <c r="N1438" s="37"/>
      <c r="O1438" s="37"/>
      <c r="P1438" s="37"/>
      <c r="Q1438" s="37"/>
      <c r="R1438" s="39"/>
      <c r="S1438" s="37"/>
      <c r="T1438" s="38" t="s">
        <v>293</v>
      </c>
    </row>
    <row r="1439" ht="34.5">
      <c r="A1439" s="38" t="s">
        <v>1215</v>
      </c>
      <c r="B1439" s="38" t="s">
        <v>1216</v>
      </c>
      <c r="C1439" s="38" t="s">
        <v>1404</v>
      </c>
      <c r="D1439" s="38" t="s">
        <v>288</v>
      </c>
      <c r="E1439" s="38" t="s">
        <v>1238</v>
      </c>
      <c r="F1439" s="37" t="s">
        <v>1239</v>
      </c>
      <c r="G1439" s="38" t="s">
        <v>70</v>
      </c>
      <c r="H1439" s="37"/>
      <c r="I1439" s="37"/>
      <c r="J1439" s="37" t="s">
        <v>1408</v>
      </c>
      <c r="K1439" s="40"/>
      <c r="L1439" s="38"/>
      <c r="M1439" s="38"/>
      <c r="N1439" s="37"/>
      <c r="O1439" s="37"/>
      <c r="P1439" s="37"/>
      <c r="Q1439" s="37"/>
      <c r="R1439" s="39"/>
      <c r="S1439" s="37"/>
      <c r="T1439" s="38" t="s">
        <v>293</v>
      </c>
    </row>
    <row r="1440" ht="34.5">
      <c r="A1440" s="38" t="s">
        <v>1215</v>
      </c>
      <c r="B1440" s="38" t="s">
        <v>1216</v>
      </c>
      <c r="C1440" s="38" t="s">
        <v>1404</v>
      </c>
      <c r="D1440" s="38" t="s">
        <v>288</v>
      </c>
      <c r="E1440" s="38" t="s">
        <v>1238</v>
      </c>
      <c r="F1440" s="37" t="s">
        <v>1239</v>
      </c>
      <c r="G1440" s="38" t="s">
        <v>70</v>
      </c>
      <c r="H1440" s="37"/>
      <c r="I1440" s="37"/>
      <c r="J1440" s="37" t="s">
        <v>1409</v>
      </c>
      <c r="K1440" s="40"/>
      <c r="L1440" s="38"/>
      <c r="M1440" s="38"/>
      <c r="N1440" s="37"/>
      <c r="O1440" s="37"/>
      <c r="P1440" s="37"/>
      <c r="Q1440" s="37"/>
      <c r="R1440" s="39"/>
      <c r="S1440" s="37"/>
      <c r="T1440" s="38" t="s">
        <v>293</v>
      </c>
    </row>
    <row r="1441" ht="34.5">
      <c r="A1441" s="38" t="s">
        <v>1215</v>
      </c>
      <c r="B1441" s="38" t="s">
        <v>1216</v>
      </c>
      <c r="C1441" s="38" t="s">
        <v>1404</v>
      </c>
      <c r="D1441" s="38" t="s">
        <v>288</v>
      </c>
      <c r="E1441" s="38" t="s">
        <v>1238</v>
      </c>
      <c r="F1441" s="37" t="s">
        <v>1239</v>
      </c>
      <c r="G1441" s="38" t="s">
        <v>70</v>
      </c>
      <c r="H1441" s="37"/>
      <c r="I1441" s="37"/>
      <c r="J1441" s="37" t="s">
        <v>1410</v>
      </c>
      <c r="K1441" s="40"/>
      <c r="L1441" s="38"/>
      <c r="M1441" s="38"/>
      <c r="N1441" s="37"/>
      <c r="O1441" s="37"/>
      <c r="P1441" s="37"/>
      <c r="Q1441" s="37"/>
      <c r="R1441" s="39"/>
      <c r="S1441" s="37"/>
      <c r="T1441" s="38" t="s">
        <v>293</v>
      </c>
    </row>
    <row r="1442" ht="34.5">
      <c r="A1442" s="38" t="s">
        <v>1215</v>
      </c>
      <c r="B1442" s="38" t="s">
        <v>1216</v>
      </c>
      <c r="C1442" s="38" t="s">
        <v>1404</v>
      </c>
      <c r="D1442" s="38" t="s">
        <v>288</v>
      </c>
      <c r="E1442" s="38" t="s">
        <v>1238</v>
      </c>
      <c r="F1442" s="37" t="s">
        <v>1239</v>
      </c>
      <c r="G1442" s="38" t="s">
        <v>70</v>
      </c>
      <c r="H1442" s="37"/>
      <c r="I1442" s="37"/>
      <c r="J1442" s="37" t="s">
        <v>1411</v>
      </c>
      <c r="K1442" s="40"/>
      <c r="L1442" s="38"/>
      <c r="M1442" s="38"/>
      <c r="N1442" s="37"/>
      <c r="O1442" s="37"/>
      <c r="P1442" s="37"/>
      <c r="Q1442" s="37"/>
      <c r="R1442" s="39"/>
      <c r="S1442" s="37"/>
      <c r="T1442" s="38" t="s">
        <v>293</v>
      </c>
    </row>
    <row r="1443" ht="34.5">
      <c r="A1443" s="38" t="s">
        <v>1215</v>
      </c>
      <c r="B1443" s="38" t="s">
        <v>1216</v>
      </c>
      <c r="C1443" s="38" t="s">
        <v>1404</v>
      </c>
      <c r="D1443" s="38" t="s">
        <v>288</v>
      </c>
      <c r="E1443" s="38" t="s">
        <v>1238</v>
      </c>
      <c r="F1443" s="37" t="s">
        <v>1239</v>
      </c>
      <c r="G1443" s="38" t="s">
        <v>70</v>
      </c>
      <c r="H1443" s="37"/>
      <c r="I1443" s="37"/>
      <c r="J1443" s="37" t="s">
        <v>1412</v>
      </c>
      <c r="K1443" s="40"/>
      <c r="L1443" s="38"/>
      <c r="M1443" s="38"/>
      <c r="N1443" s="37"/>
      <c r="O1443" s="37"/>
      <c r="P1443" s="37"/>
      <c r="Q1443" s="37"/>
      <c r="R1443" s="39"/>
      <c r="S1443" s="37"/>
      <c r="T1443" s="38" t="s">
        <v>293</v>
      </c>
    </row>
    <row r="1444" ht="34.5">
      <c r="A1444" s="38" t="s">
        <v>1215</v>
      </c>
      <c r="B1444" s="38" t="s">
        <v>1216</v>
      </c>
      <c r="C1444" s="38" t="s">
        <v>1404</v>
      </c>
      <c r="D1444" s="38" t="s">
        <v>288</v>
      </c>
      <c r="E1444" s="38" t="s">
        <v>1238</v>
      </c>
      <c r="F1444" s="37" t="s">
        <v>1239</v>
      </c>
      <c r="G1444" s="38" t="s">
        <v>70</v>
      </c>
      <c r="H1444" s="37"/>
      <c r="I1444" s="37"/>
      <c r="J1444" s="37" t="s">
        <v>1413</v>
      </c>
      <c r="K1444" s="40"/>
      <c r="L1444" s="38"/>
      <c r="M1444" s="38"/>
      <c r="N1444" s="37"/>
      <c r="O1444" s="37"/>
      <c r="P1444" s="37"/>
      <c r="Q1444" s="37"/>
      <c r="R1444" s="39"/>
      <c r="S1444" s="37"/>
      <c r="T1444" s="38" t="s">
        <v>293</v>
      </c>
    </row>
    <row r="1445" ht="34.5">
      <c r="A1445" s="38" t="s">
        <v>1215</v>
      </c>
      <c r="B1445" s="38" t="s">
        <v>1216</v>
      </c>
      <c r="C1445" s="38" t="s">
        <v>1404</v>
      </c>
      <c r="D1445" s="38" t="s">
        <v>288</v>
      </c>
      <c r="E1445" s="38" t="s">
        <v>1238</v>
      </c>
      <c r="F1445" s="37" t="s">
        <v>1239</v>
      </c>
      <c r="G1445" s="38" t="s">
        <v>70</v>
      </c>
      <c r="H1445" s="37"/>
      <c r="I1445" s="37"/>
      <c r="J1445" s="37" t="s">
        <v>1414</v>
      </c>
      <c r="K1445" s="40"/>
      <c r="L1445" s="38"/>
      <c r="M1445" s="38"/>
      <c r="N1445" s="37"/>
      <c r="O1445" s="37"/>
      <c r="P1445" s="37"/>
      <c r="Q1445" s="37"/>
      <c r="R1445" s="39"/>
      <c r="S1445" s="37"/>
      <c r="T1445" s="38" t="s">
        <v>293</v>
      </c>
    </row>
    <row r="1446" ht="34.5">
      <c r="A1446" s="38" t="s">
        <v>1215</v>
      </c>
      <c r="B1446" s="38" t="s">
        <v>1216</v>
      </c>
      <c r="C1446" s="38" t="s">
        <v>1404</v>
      </c>
      <c r="D1446" s="38" t="s">
        <v>288</v>
      </c>
      <c r="E1446" s="38" t="s">
        <v>1238</v>
      </c>
      <c r="F1446" s="37" t="s">
        <v>1239</v>
      </c>
      <c r="G1446" s="38" t="s">
        <v>70</v>
      </c>
      <c r="H1446" s="37"/>
      <c r="I1446" s="37"/>
      <c r="J1446" s="37" t="s">
        <v>1415</v>
      </c>
      <c r="K1446" s="40"/>
      <c r="L1446" s="38"/>
      <c r="M1446" s="38"/>
      <c r="N1446" s="37"/>
      <c r="O1446" s="37"/>
      <c r="P1446" s="37"/>
      <c r="Q1446" s="37"/>
      <c r="R1446" s="39"/>
      <c r="S1446" s="37"/>
      <c r="T1446" s="38" t="s">
        <v>293</v>
      </c>
    </row>
    <row r="1447" ht="34.5">
      <c r="A1447" s="38" t="s">
        <v>1215</v>
      </c>
      <c r="B1447" s="38" t="s">
        <v>1216</v>
      </c>
      <c r="C1447" s="38" t="s">
        <v>1416</v>
      </c>
      <c r="D1447" s="38" t="s">
        <v>288</v>
      </c>
      <c r="E1447" s="38" t="s">
        <v>1238</v>
      </c>
      <c r="F1447" s="37" t="s">
        <v>1239</v>
      </c>
      <c r="G1447" s="38" t="s">
        <v>70</v>
      </c>
      <c r="H1447" s="37"/>
      <c r="I1447" s="37"/>
      <c r="J1447" s="37" t="s">
        <v>1417</v>
      </c>
      <c r="K1447" s="40"/>
      <c r="L1447" s="38"/>
      <c r="M1447" s="38"/>
      <c r="N1447" s="37"/>
      <c r="O1447" s="37"/>
      <c r="P1447" s="37"/>
      <c r="Q1447" s="37"/>
      <c r="R1447" s="39"/>
      <c r="S1447" s="37"/>
      <c r="T1447" s="38" t="s">
        <v>293</v>
      </c>
    </row>
    <row r="1448" ht="34.5">
      <c r="A1448" s="38" t="s">
        <v>1215</v>
      </c>
      <c r="B1448" s="38" t="s">
        <v>1216</v>
      </c>
      <c r="C1448" s="38" t="s">
        <v>1416</v>
      </c>
      <c r="D1448" s="38" t="s">
        <v>288</v>
      </c>
      <c r="E1448" s="38" t="s">
        <v>1238</v>
      </c>
      <c r="F1448" s="37" t="s">
        <v>1239</v>
      </c>
      <c r="G1448" s="38" t="s">
        <v>70</v>
      </c>
      <c r="H1448" s="37"/>
      <c r="I1448" s="37"/>
      <c r="J1448" s="37" t="s">
        <v>1418</v>
      </c>
      <c r="K1448" s="40"/>
      <c r="L1448" s="38"/>
      <c r="M1448" s="38"/>
      <c r="N1448" s="37"/>
      <c r="O1448" s="37"/>
      <c r="P1448" s="37"/>
      <c r="Q1448" s="37"/>
      <c r="R1448" s="39"/>
      <c r="S1448" s="37"/>
      <c r="T1448" s="38" t="s">
        <v>293</v>
      </c>
    </row>
    <row r="1449" ht="34.5">
      <c r="A1449" s="38" t="s">
        <v>1215</v>
      </c>
      <c r="B1449" s="38" t="s">
        <v>1216</v>
      </c>
      <c r="C1449" s="38" t="s">
        <v>1416</v>
      </c>
      <c r="D1449" s="38" t="s">
        <v>288</v>
      </c>
      <c r="E1449" s="38" t="s">
        <v>1238</v>
      </c>
      <c r="F1449" s="37" t="s">
        <v>1239</v>
      </c>
      <c r="G1449" s="38" t="s">
        <v>70</v>
      </c>
      <c r="H1449" s="37"/>
      <c r="I1449" s="37"/>
      <c r="J1449" s="37" t="s">
        <v>1419</v>
      </c>
      <c r="K1449" s="40"/>
      <c r="L1449" s="38"/>
      <c r="M1449" s="38"/>
      <c r="N1449" s="37"/>
      <c r="O1449" s="37"/>
      <c r="P1449" s="37"/>
      <c r="Q1449" s="37"/>
      <c r="R1449" s="39"/>
      <c r="S1449" s="37"/>
      <c r="T1449" s="38" t="s">
        <v>293</v>
      </c>
    </row>
    <row r="1450" ht="34.5">
      <c r="A1450" s="38" t="s">
        <v>1215</v>
      </c>
      <c r="B1450" s="38" t="s">
        <v>1216</v>
      </c>
      <c r="C1450" s="38" t="s">
        <v>1416</v>
      </c>
      <c r="D1450" s="38" t="s">
        <v>288</v>
      </c>
      <c r="E1450" s="38" t="s">
        <v>1238</v>
      </c>
      <c r="F1450" s="37" t="s">
        <v>1239</v>
      </c>
      <c r="G1450" s="38" t="s">
        <v>70</v>
      </c>
      <c r="H1450" s="37"/>
      <c r="I1450" s="37"/>
      <c r="J1450" s="37" t="s">
        <v>1420</v>
      </c>
      <c r="K1450" s="40"/>
      <c r="L1450" s="38"/>
      <c r="M1450" s="38"/>
      <c r="N1450" s="37"/>
      <c r="O1450" s="37"/>
      <c r="P1450" s="37"/>
      <c r="Q1450" s="37"/>
      <c r="R1450" s="39"/>
      <c r="S1450" s="37"/>
      <c r="T1450" s="38" t="s">
        <v>293</v>
      </c>
    </row>
    <row r="1451" ht="34.5">
      <c r="A1451" s="38" t="s">
        <v>1215</v>
      </c>
      <c r="B1451" s="38" t="s">
        <v>1216</v>
      </c>
      <c r="C1451" s="38" t="s">
        <v>1416</v>
      </c>
      <c r="D1451" s="38" t="s">
        <v>288</v>
      </c>
      <c r="E1451" s="38" t="s">
        <v>1238</v>
      </c>
      <c r="F1451" s="37" t="s">
        <v>1239</v>
      </c>
      <c r="G1451" s="38" t="s">
        <v>70</v>
      </c>
      <c r="H1451" s="37"/>
      <c r="I1451" s="37"/>
      <c r="J1451" s="37" t="s">
        <v>1421</v>
      </c>
      <c r="K1451" s="40"/>
      <c r="L1451" s="38"/>
      <c r="M1451" s="38"/>
      <c r="N1451" s="37"/>
      <c r="O1451" s="37"/>
      <c r="P1451" s="37"/>
      <c r="Q1451" s="37"/>
      <c r="R1451" s="39"/>
      <c r="S1451" s="37"/>
      <c r="T1451" s="38" t="s">
        <v>293</v>
      </c>
    </row>
    <row r="1452" ht="34.5">
      <c r="A1452" s="38" t="s">
        <v>1215</v>
      </c>
      <c r="B1452" s="38" t="s">
        <v>1216</v>
      </c>
      <c r="C1452" s="38" t="s">
        <v>1416</v>
      </c>
      <c r="D1452" s="38" t="s">
        <v>288</v>
      </c>
      <c r="E1452" s="38" t="s">
        <v>1238</v>
      </c>
      <c r="F1452" s="37" t="s">
        <v>1239</v>
      </c>
      <c r="G1452" s="38" t="s">
        <v>70</v>
      </c>
      <c r="H1452" s="37"/>
      <c r="I1452" s="37"/>
      <c r="J1452" s="37" t="s">
        <v>1422</v>
      </c>
      <c r="K1452" s="40"/>
      <c r="L1452" s="38"/>
      <c r="M1452" s="38"/>
      <c r="N1452" s="37"/>
      <c r="O1452" s="37"/>
      <c r="P1452" s="37"/>
      <c r="Q1452" s="37"/>
      <c r="R1452" s="39"/>
      <c r="S1452" s="37"/>
      <c r="T1452" s="38" t="s">
        <v>293</v>
      </c>
    </row>
    <row r="1453" ht="34.5">
      <c r="A1453" s="38" t="s">
        <v>1215</v>
      </c>
      <c r="B1453" s="38" t="s">
        <v>1216</v>
      </c>
      <c r="C1453" s="38" t="s">
        <v>1416</v>
      </c>
      <c r="D1453" s="38" t="s">
        <v>288</v>
      </c>
      <c r="E1453" s="38" t="s">
        <v>1238</v>
      </c>
      <c r="F1453" s="37" t="s">
        <v>1239</v>
      </c>
      <c r="G1453" s="38" t="s">
        <v>70</v>
      </c>
      <c r="H1453" s="37"/>
      <c r="I1453" s="37"/>
      <c r="J1453" s="37" t="s">
        <v>1423</v>
      </c>
      <c r="K1453" s="40"/>
      <c r="L1453" s="38"/>
      <c r="M1453" s="38"/>
      <c r="N1453" s="37"/>
      <c r="O1453" s="37"/>
      <c r="P1453" s="37"/>
      <c r="Q1453" s="37"/>
      <c r="R1453" s="39"/>
      <c r="S1453" s="37"/>
      <c r="T1453" s="38" t="s">
        <v>293</v>
      </c>
    </row>
    <row r="1454" ht="34.5">
      <c r="A1454" s="38" t="s">
        <v>1215</v>
      </c>
      <c r="B1454" s="38" t="s">
        <v>1216</v>
      </c>
      <c r="C1454" s="38" t="s">
        <v>1416</v>
      </c>
      <c r="D1454" s="38" t="s">
        <v>288</v>
      </c>
      <c r="E1454" s="38" t="s">
        <v>1238</v>
      </c>
      <c r="F1454" s="37" t="s">
        <v>1239</v>
      </c>
      <c r="G1454" s="38" t="s">
        <v>70</v>
      </c>
      <c r="H1454" s="37"/>
      <c r="I1454" s="37"/>
      <c r="J1454" s="37" t="s">
        <v>1424</v>
      </c>
      <c r="K1454" s="40"/>
      <c r="L1454" s="38"/>
      <c r="M1454" s="38"/>
      <c r="N1454" s="37"/>
      <c r="O1454" s="37"/>
      <c r="P1454" s="37"/>
      <c r="Q1454" s="37"/>
      <c r="R1454" s="39"/>
      <c r="S1454" s="37"/>
      <c r="T1454" s="38" t="s">
        <v>293</v>
      </c>
    </row>
    <row r="1455" ht="34.5">
      <c r="A1455" s="38" t="s">
        <v>1215</v>
      </c>
      <c r="B1455" s="38" t="s">
        <v>1216</v>
      </c>
      <c r="C1455" s="38" t="s">
        <v>1416</v>
      </c>
      <c r="D1455" s="38" t="s">
        <v>288</v>
      </c>
      <c r="E1455" s="38" t="s">
        <v>1238</v>
      </c>
      <c r="F1455" s="37" t="s">
        <v>1239</v>
      </c>
      <c r="G1455" s="38" t="s">
        <v>70</v>
      </c>
      <c r="H1455" s="37"/>
      <c r="I1455" s="37"/>
      <c r="J1455" s="37" t="s">
        <v>1425</v>
      </c>
      <c r="K1455" s="40"/>
      <c r="L1455" s="38"/>
      <c r="M1455" s="38"/>
      <c r="N1455" s="37"/>
      <c r="O1455" s="37"/>
      <c r="P1455" s="37"/>
      <c r="Q1455" s="37"/>
      <c r="R1455" s="39"/>
      <c r="S1455" s="37"/>
      <c r="T1455" s="38" t="s">
        <v>293</v>
      </c>
    </row>
    <row r="1456" ht="34.5">
      <c r="A1456" s="38" t="s">
        <v>1215</v>
      </c>
      <c r="B1456" s="38" t="s">
        <v>1216</v>
      </c>
      <c r="C1456" s="38" t="s">
        <v>1416</v>
      </c>
      <c r="D1456" s="38" t="s">
        <v>288</v>
      </c>
      <c r="E1456" s="38" t="s">
        <v>1238</v>
      </c>
      <c r="F1456" s="37" t="s">
        <v>1239</v>
      </c>
      <c r="G1456" s="38" t="s">
        <v>70</v>
      </c>
      <c r="H1456" s="37"/>
      <c r="I1456" s="37"/>
      <c r="J1456" s="37" t="s">
        <v>1426</v>
      </c>
      <c r="K1456" s="40"/>
      <c r="L1456" s="38"/>
      <c r="M1456" s="38"/>
      <c r="N1456" s="37"/>
      <c r="O1456" s="37"/>
      <c r="P1456" s="37"/>
      <c r="Q1456" s="37"/>
      <c r="R1456" s="39"/>
      <c r="S1456" s="37"/>
      <c r="T1456" s="38" t="s">
        <v>293</v>
      </c>
    </row>
    <row r="1457" ht="34.5">
      <c r="A1457" s="38" t="s">
        <v>1215</v>
      </c>
      <c r="B1457" s="38" t="s">
        <v>1216</v>
      </c>
      <c r="C1457" s="38" t="s">
        <v>1416</v>
      </c>
      <c r="D1457" s="38" t="s">
        <v>288</v>
      </c>
      <c r="E1457" s="38" t="s">
        <v>1238</v>
      </c>
      <c r="F1457" s="37" t="s">
        <v>1239</v>
      </c>
      <c r="G1457" s="38" t="s">
        <v>70</v>
      </c>
      <c r="H1457" s="37"/>
      <c r="I1457" s="37"/>
      <c r="J1457" s="37" t="s">
        <v>1427</v>
      </c>
      <c r="K1457" s="40"/>
      <c r="L1457" s="38"/>
      <c r="M1457" s="38"/>
      <c r="N1457" s="37"/>
      <c r="O1457" s="37"/>
      <c r="P1457" s="37"/>
      <c r="Q1457" s="37"/>
      <c r="R1457" s="39"/>
      <c r="S1457" s="37"/>
      <c r="T1457" s="38" t="s">
        <v>293</v>
      </c>
    </row>
    <row r="1458" ht="34.5">
      <c r="A1458" s="38" t="s">
        <v>1215</v>
      </c>
      <c r="B1458" s="38" t="s">
        <v>1216</v>
      </c>
      <c r="C1458" s="38" t="s">
        <v>1428</v>
      </c>
      <c r="D1458" s="38" t="s">
        <v>288</v>
      </c>
      <c r="E1458" s="38" t="s">
        <v>1238</v>
      </c>
      <c r="F1458" s="37" t="s">
        <v>1239</v>
      </c>
      <c r="G1458" s="38" t="s">
        <v>70</v>
      </c>
      <c r="H1458" s="37"/>
      <c r="I1458" s="37"/>
      <c r="J1458" s="37" t="s">
        <v>1429</v>
      </c>
      <c r="K1458" s="40"/>
      <c r="L1458" s="38"/>
      <c r="M1458" s="38"/>
      <c r="N1458" s="37"/>
      <c r="O1458" s="37"/>
      <c r="P1458" s="37"/>
      <c r="Q1458" s="37"/>
      <c r="R1458" s="39"/>
      <c r="S1458" s="37"/>
      <c r="T1458" s="38" t="s">
        <v>293</v>
      </c>
    </row>
    <row r="1459" ht="34.5">
      <c r="A1459" s="38" t="s">
        <v>1215</v>
      </c>
      <c r="B1459" s="38" t="s">
        <v>1216</v>
      </c>
      <c r="C1459" s="38" t="s">
        <v>1428</v>
      </c>
      <c r="D1459" s="38" t="s">
        <v>288</v>
      </c>
      <c r="E1459" s="38" t="s">
        <v>1238</v>
      </c>
      <c r="F1459" s="37" t="s">
        <v>1239</v>
      </c>
      <c r="G1459" s="38" t="s">
        <v>70</v>
      </c>
      <c r="H1459" s="37"/>
      <c r="I1459" s="37"/>
      <c r="J1459" s="37" t="s">
        <v>1430</v>
      </c>
      <c r="K1459" s="40"/>
      <c r="L1459" s="38"/>
      <c r="M1459" s="38"/>
      <c r="N1459" s="37"/>
      <c r="O1459" s="37"/>
      <c r="P1459" s="37"/>
      <c r="Q1459" s="37"/>
      <c r="R1459" s="39"/>
      <c r="S1459" s="37"/>
      <c r="T1459" s="38" t="s">
        <v>293</v>
      </c>
    </row>
    <row r="1460" ht="34.5">
      <c r="A1460" s="38" t="s">
        <v>1215</v>
      </c>
      <c r="B1460" s="38" t="s">
        <v>1216</v>
      </c>
      <c r="C1460" s="38" t="s">
        <v>1428</v>
      </c>
      <c r="D1460" s="38" t="s">
        <v>288</v>
      </c>
      <c r="E1460" s="38" t="s">
        <v>1238</v>
      </c>
      <c r="F1460" s="37" t="s">
        <v>1239</v>
      </c>
      <c r="G1460" s="38" t="s">
        <v>70</v>
      </c>
      <c r="H1460" s="37"/>
      <c r="I1460" s="37"/>
      <c r="J1460" s="37" t="s">
        <v>1431</v>
      </c>
      <c r="K1460" s="40"/>
      <c r="L1460" s="38"/>
      <c r="M1460" s="38"/>
      <c r="N1460" s="37"/>
      <c r="O1460" s="37"/>
      <c r="P1460" s="37"/>
      <c r="Q1460" s="37"/>
      <c r="R1460" s="39"/>
      <c r="S1460" s="37"/>
      <c r="T1460" s="38" t="s">
        <v>293</v>
      </c>
    </row>
    <row r="1461" ht="34.5">
      <c r="A1461" s="38" t="s">
        <v>1215</v>
      </c>
      <c r="B1461" s="38" t="s">
        <v>1216</v>
      </c>
      <c r="C1461" s="38" t="s">
        <v>1428</v>
      </c>
      <c r="D1461" s="38" t="s">
        <v>288</v>
      </c>
      <c r="E1461" s="38" t="s">
        <v>1238</v>
      </c>
      <c r="F1461" s="37" t="s">
        <v>1239</v>
      </c>
      <c r="G1461" s="38" t="s">
        <v>70</v>
      </c>
      <c r="H1461" s="37"/>
      <c r="I1461" s="37"/>
      <c r="J1461" s="37" t="s">
        <v>1432</v>
      </c>
      <c r="K1461" s="40"/>
      <c r="L1461" s="38"/>
      <c r="M1461" s="38"/>
      <c r="N1461" s="37"/>
      <c r="O1461" s="37"/>
      <c r="P1461" s="37"/>
      <c r="Q1461" s="37"/>
      <c r="R1461" s="39"/>
      <c r="S1461" s="37"/>
      <c r="T1461" s="38" t="s">
        <v>293</v>
      </c>
    </row>
    <row r="1462" ht="34.5">
      <c r="A1462" s="38" t="s">
        <v>1215</v>
      </c>
      <c r="B1462" s="38" t="s">
        <v>1216</v>
      </c>
      <c r="C1462" s="38" t="s">
        <v>1428</v>
      </c>
      <c r="D1462" s="38" t="s">
        <v>288</v>
      </c>
      <c r="E1462" s="38" t="s">
        <v>1238</v>
      </c>
      <c r="F1462" s="37" t="s">
        <v>1239</v>
      </c>
      <c r="G1462" s="38" t="s">
        <v>70</v>
      </c>
      <c r="H1462" s="37"/>
      <c r="I1462" s="37"/>
      <c r="J1462" s="37" t="s">
        <v>1433</v>
      </c>
      <c r="K1462" s="40"/>
      <c r="L1462" s="38"/>
      <c r="M1462" s="38"/>
      <c r="N1462" s="37"/>
      <c r="O1462" s="37"/>
      <c r="P1462" s="37"/>
      <c r="Q1462" s="37"/>
      <c r="R1462" s="39"/>
      <c r="S1462" s="37"/>
      <c r="T1462" s="38" t="s">
        <v>293</v>
      </c>
    </row>
    <row r="1463" ht="34.5">
      <c r="A1463" s="38" t="s">
        <v>1215</v>
      </c>
      <c r="B1463" s="38" t="s">
        <v>1216</v>
      </c>
      <c r="C1463" s="38" t="s">
        <v>1428</v>
      </c>
      <c r="D1463" s="38" t="s">
        <v>288</v>
      </c>
      <c r="E1463" s="38" t="s">
        <v>1238</v>
      </c>
      <c r="F1463" s="37" t="s">
        <v>1239</v>
      </c>
      <c r="G1463" s="38" t="s">
        <v>70</v>
      </c>
      <c r="H1463" s="37"/>
      <c r="I1463" s="37"/>
      <c r="J1463" s="37" t="s">
        <v>1434</v>
      </c>
      <c r="K1463" s="40"/>
      <c r="L1463" s="38"/>
      <c r="M1463" s="38"/>
      <c r="N1463" s="37"/>
      <c r="O1463" s="37"/>
      <c r="P1463" s="37"/>
      <c r="Q1463" s="37"/>
      <c r="R1463" s="39"/>
      <c r="S1463" s="37"/>
      <c r="T1463" s="38" t="s">
        <v>293</v>
      </c>
    </row>
    <row r="1464" ht="34.5">
      <c r="A1464" s="38" t="s">
        <v>1215</v>
      </c>
      <c r="B1464" s="38" t="s">
        <v>1216</v>
      </c>
      <c r="C1464" s="38" t="s">
        <v>1428</v>
      </c>
      <c r="D1464" s="38" t="s">
        <v>288</v>
      </c>
      <c r="E1464" s="38" t="s">
        <v>1238</v>
      </c>
      <c r="F1464" s="37" t="s">
        <v>1239</v>
      </c>
      <c r="G1464" s="38" t="s">
        <v>70</v>
      </c>
      <c r="H1464" s="37"/>
      <c r="I1464" s="37"/>
      <c r="J1464" s="37" t="s">
        <v>1435</v>
      </c>
      <c r="K1464" s="40"/>
      <c r="L1464" s="38"/>
      <c r="M1464" s="38"/>
      <c r="N1464" s="37"/>
      <c r="O1464" s="37"/>
      <c r="P1464" s="37"/>
      <c r="Q1464" s="37"/>
      <c r="R1464" s="39"/>
      <c r="S1464" s="37"/>
      <c r="T1464" s="38" t="s">
        <v>293</v>
      </c>
    </row>
    <row r="1465" ht="34.5">
      <c r="A1465" s="38" t="s">
        <v>1215</v>
      </c>
      <c r="B1465" s="38" t="s">
        <v>1216</v>
      </c>
      <c r="C1465" s="38" t="s">
        <v>1428</v>
      </c>
      <c r="D1465" s="38" t="s">
        <v>288</v>
      </c>
      <c r="E1465" s="38" t="s">
        <v>1238</v>
      </c>
      <c r="F1465" s="37" t="s">
        <v>1239</v>
      </c>
      <c r="G1465" s="38" t="s">
        <v>70</v>
      </c>
      <c r="H1465" s="37"/>
      <c r="I1465" s="37"/>
      <c r="J1465" s="37" t="s">
        <v>1436</v>
      </c>
      <c r="K1465" s="40"/>
      <c r="L1465" s="38"/>
      <c r="M1465" s="38"/>
      <c r="N1465" s="37"/>
      <c r="O1465" s="37"/>
      <c r="P1465" s="37"/>
      <c r="Q1465" s="37"/>
      <c r="R1465" s="39"/>
      <c r="S1465" s="37"/>
      <c r="T1465" s="38" t="s">
        <v>293</v>
      </c>
    </row>
    <row r="1466" ht="34.5">
      <c r="A1466" s="38" t="s">
        <v>1215</v>
      </c>
      <c r="B1466" s="38" t="s">
        <v>1216</v>
      </c>
      <c r="C1466" s="38" t="s">
        <v>1428</v>
      </c>
      <c r="D1466" s="38" t="s">
        <v>288</v>
      </c>
      <c r="E1466" s="38" t="s">
        <v>1238</v>
      </c>
      <c r="F1466" s="37" t="s">
        <v>1239</v>
      </c>
      <c r="G1466" s="38" t="s">
        <v>70</v>
      </c>
      <c r="H1466" s="37"/>
      <c r="I1466" s="37"/>
      <c r="J1466" s="37" t="s">
        <v>1437</v>
      </c>
      <c r="K1466" s="40"/>
      <c r="L1466" s="38"/>
      <c r="M1466" s="38"/>
      <c r="N1466" s="37"/>
      <c r="O1466" s="37"/>
      <c r="P1466" s="37"/>
      <c r="Q1466" s="37"/>
      <c r="R1466" s="39"/>
      <c r="S1466" s="37"/>
      <c r="T1466" s="38" t="s">
        <v>293</v>
      </c>
    </row>
    <row r="1467" ht="34.5">
      <c r="A1467" s="38" t="s">
        <v>1215</v>
      </c>
      <c r="B1467" s="38" t="s">
        <v>1216</v>
      </c>
      <c r="C1467" s="38" t="s">
        <v>1428</v>
      </c>
      <c r="D1467" s="38" t="s">
        <v>288</v>
      </c>
      <c r="E1467" s="38" t="s">
        <v>1238</v>
      </c>
      <c r="F1467" s="37" t="s">
        <v>1239</v>
      </c>
      <c r="G1467" s="38" t="s">
        <v>70</v>
      </c>
      <c r="H1467" s="37"/>
      <c r="I1467" s="37"/>
      <c r="J1467" s="37" t="s">
        <v>1438</v>
      </c>
      <c r="K1467" s="40"/>
      <c r="L1467" s="38"/>
      <c r="M1467" s="38"/>
      <c r="N1467" s="37"/>
      <c r="O1467" s="37"/>
      <c r="P1467" s="37"/>
      <c r="Q1467" s="37"/>
      <c r="R1467" s="39"/>
      <c r="S1467" s="37"/>
      <c r="T1467" s="38" t="s">
        <v>293</v>
      </c>
    </row>
    <row r="1468" ht="34.5">
      <c r="A1468" s="38" t="s">
        <v>1215</v>
      </c>
      <c r="B1468" s="38" t="s">
        <v>1216</v>
      </c>
      <c r="C1468" s="38" t="s">
        <v>1428</v>
      </c>
      <c r="D1468" s="38" t="s">
        <v>288</v>
      </c>
      <c r="E1468" s="38" t="s">
        <v>1238</v>
      </c>
      <c r="F1468" s="37" t="s">
        <v>1239</v>
      </c>
      <c r="G1468" s="38" t="s">
        <v>70</v>
      </c>
      <c r="H1468" s="37"/>
      <c r="I1468" s="37"/>
      <c r="J1468" s="37" t="s">
        <v>1439</v>
      </c>
      <c r="K1468" s="40"/>
      <c r="L1468" s="38"/>
      <c r="M1468" s="38"/>
      <c r="N1468" s="37"/>
      <c r="O1468" s="37"/>
      <c r="P1468" s="37"/>
      <c r="Q1468" s="37"/>
      <c r="R1468" s="39"/>
      <c r="S1468" s="37"/>
      <c r="T1468" s="38" t="s">
        <v>293</v>
      </c>
    </row>
    <row r="1469" ht="34.5">
      <c r="A1469" s="38" t="s">
        <v>1215</v>
      </c>
      <c r="B1469" s="38" t="s">
        <v>1216</v>
      </c>
      <c r="C1469" s="38" t="s">
        <v>1440</v>
      </c>
      <c r="D1469" s="38" t="s">
        <v>288</v>
      </c>
      <c r="E1469" s="38" t="s">
        <v>1238</v>
      </c>
      <c r="F1469" s="37" t="s">
        <v>1239</v>
      </c>
      <c r="G1469" s="38" t="s">
        <v>70</v>
      </c>
      <c r="H1469" s="37"/>
      <c r="I1469" s="37"/>
      <c r="J1469" s="37" t="s">
        <v>1441</v>
      </c>
      <c r="K1469" s="40"/>
      <c r="L1469" s="38"/>
      <c r="M1469" s="38"/>
      <c r="N1469" s="37"/>
      <c r="O1469" s="37"/>
      <c r="P1469" s="37"/>
      <c r="Q1469" s="37"/>
      <c r="R1469" s="39"/>
      <c r="S1469" s="37"/>
      <c r="T1469" s="38" t="s">
        <v>293</v>
      </c>
    </row>
    <row r="1470" ht="34.5">
      <c r="A1470" s="38" t="s">
        <v>1215</v>
      </c>
      <c r="B1470" s="38" t="s">
        <v>1216</v>
      </c>
      <c r="C1470" s="38" t="s">
        <v>1440</v>
      </c>
      <c r="D1470" s="38" t="s">
        <v>288</v>
      </c>
      <c r="E1470" s="38" t="s">
        <v>1238</v>
      </c>
      <c r="F1470" s="37" t="s">
        <v>1239</v>
      </c>
      <c r="G1470" s="38" t="s">
        <v>70</v>
      </c>
      <c r="H1470" s="37"/>
      <c r="I1470" s="37"/>
      <c r="J1470" s="37" t="s">
        <v>1442</v>
      </c>
      <c r="K1470" s="40"/>
      <c r="L1470" s="38"/>
      <c r="M1470" s="38"/>
      <c r="N1470" s="37"/>
      <c r="O1470" s="37"/>
      <c r="P1470" s="37"/>
      <c r="Q1470" s="37"/>
      <c r="R1470" s="39"/>
      <c r="S1470" s="37"/>
      <c r="T1470" s="38" t="s">
        <v>293</v>
      </c>
    </row>
    <row r="1471" ht="34.5">
      <c r="A1471" s="38" t="s">
        <v>1215</v>
      </c>
      <c r="B1471" s="38" t="s">
        <v>1216</v>
      </c>
      <c r="C1471" s="38" t="s">
        <v>1440</v>
      </c>
      <c r="D1471" s="38" t="s">
        <v>288</v>
      </c>
      <c r="E1471" s="38" t="s">
        <v>1238</v>
      </c>
      <c r="F1471" s="37" t="s">
        <v>1239</v>
      </c>
      <c r="G1471" s="38" t="s">
        <v>70</v>
      </c>
      <c r="H1471" s="37"/>
      <c r="I1471" s="37"/>
      <c r="J1471" s="37" t="s">
        <v>1443</v>
      </c>
      <c r="K1471" s="40"/>
      <c r="L1471" s="38"/>
      <c r="M1471" s="38"/>
      <c r="N1471" s="37"/>
      <c r="O1471" s="37"/>
      <c r="P1471" s="37"/>
      <c r="Q1471" s="37"/>
      <c r="R1471" s="39"/>
      <c r="S1471" s="37"/>
      <c r="T1471" s="38" t="s">
        <v>293</v>
      </c>
    </row>
    <row r="1472" ht="34.5">
      <c r="A1472" s="38" t="s">
        <v>1215</v>
      </c>
      <c r="B1472" s="38" t="s">
        <v>1216</v>
      </c>
      <c r="C1472" s="38" t="s">
        <v>1440</v>
      </c>
      <c r="D1472" s="38" t="s">
        <v>288</v>
      </c>
      <c r="E1472" s="38" t="s">
        <v>1238</v>
      </c>
      <c r="F1472" s="37" t="s">
        <v>1239</v>
      </c>
      <c r="G1472" s="38" t="s">
        <v>70</v>
      </c>
      <c r="H1472" s="37"/>
      <c r="I1472" s="37"/>
      <c r="J1472" s="37" t="s">
        <v>1444</v>
      </c>
      <c r="K1472" s="40"/>
      <c r="L1472" s="38"/>
      <c r="M1472" s="38"/>
      <c r="N1472" s="37"/>
      <c r="O1472" s="37"/>
      <c r="P1472" s="37"/>
      <c r="Q1472" s="37"/>
      <c r="R1472" s="39"/>
      <c r="S1472" s="37"/>
      <c r="T1472" s="38" t="s">
        <v>293</v>
      </c>
    </row>
    <row r="1473" ht="34.5">
      <c r="A1473" s="38" t="s">
        <v>1215</v>
      </c>
      <c r="B1473" s="38" t="s">
        <v>1216</v>
      </c>
      <c r="C1473" s="38" t="s">
        <v>1440</v>
      </c>
      <c r="D1473" s="38" t="s">
        <v>288</v>
      </c>
      <c r="E1473" s="38" t="s">
        <v>1238</v>
      </c>
      <c r="F1473" s="37" t="s">
        <v>1239</v>
      </c>
      <c r="G1473" s="38" t="s">
        <v>70</v>
      </c>
      <c r="H1473" s="37"/>
      <c r="I1473" s="37"/>
      <c r="J1473" s="37" t="s">
        <v>1445</v>
      </c>
      <c r="K1473" s="40"/>
      <c r="L1473" s="38"/>
      <c r="M1473" s="38"/>
      <c r="N1473" s="37"/>
      <c r="O1473" s="37"/>
      <c r="P1473" s="37"/>
      <c r="Q1473" s="37"/>
      <c r="R1473" s="39"/>
      <c r="S1473" s="37"/>
      <c r="T1473" s="38" t="s">
        <v>293</v>
      </c>
    </row>
    <row r="1474" ht="34.5">
      <c r="A1474" s="38" t="s">
        <v>1215</v>
      </c>
      <c r="B1474" s="38" t="s">
        <v>1216</v>
      </c>
      <c r="C1474" s="38" t="s">
        <v>1440</v>
      </c>
      <c r="D1474" s="38" t="s">
        <v>288</v>
      </c>
      <c r="E1474" s="38" t="s">
        <v>1238</v>
      </c>
      <c r="F1474" s="37" t="s">
        <v>1239</v>
      </c>
      <c r="G1474" s="38" t="s">
        <v>70</v>
      </c>
      <c r="H1474" s="37"/>
      <c r="I1474" s="37"/>
      <c r="J1474" s="37" t="s">
        <v>1446</v>
      </c>
      <c r="K1474" s="40"/>
      <c r="L1474" s="38"/>
      <c r="M1474" s="38"/>
      <c r="N1474" s="37"/>
      <c r="O1474" s="37"/>
      <c r="P1474" s="37"/>
      <c r="Q1474" s="37"/>
      <c r="R1474" s="39"/>
      <c r="S1474" s="37"/>
      <c r="T1474" s="38" t="s">
        <v>293</v>
      </c>
    </row>
    <row r="1475" ht="34.5">
      <c r="A1475" s="38" t="s">
        <v>1215</v>
      </c>
      <c r="B1475" s="38" t="s">
        <v>1216</v>
      </c>
      <c r="C1475" s="38" t="s">
        <v>1440</v>
      </c>
      <c r="D1475" s="38" t="s">
        <v>288</v>
      </c>
      <c r="E1475" s="38" t="s">
        <v>1238</v>
      </c>
      <c r="F1475" s="37" t="s">
        <v>1239</v>
      </c>
      <c r="G1475" s="38" t="s">
        <v>70</v>
      </c>
      <c r="H1475" s="37"/>
      <c r="I1475" s="37"/>
      <c r="J1475" s="37" t="s">
        <v>1447</v>
      </c>
      <c r="K1475" s="40"/>
      <c r="L1475" s="38"/>
      <c r="M1475" s="38"/>
      <c r="N1475" s="37"/>
      <c r="O1475" s="37"/>
      <c r="P1475" s="37"/>
      <c r="Q1475" s="37"/>
      <c r="R1475" s="39"/>
      <c r="S1475" s="37"/>
      <c r="T1475" s="38" t="s">
        <v>293</v>
      </c>
    </row>
    <row r="1476" ht="34.5">
      <c r="A1476" s="38" t="s">
        <v>1215</v>
      </c>
      <c r="B1476" s="38" t="s">
        <v>1216</v>
      </c>
      <c r="C1476" s="38" t="s">
        <v>1440</v>
      </c>
      <c r="D1476" s="38" t="s">
        <v>288</v>
      </c>
      <c r="E1476" s="38" t="s">
        <v>1238</v>
      </c>
      <c r="F1476" s="37" t="s">
        <v>1239</v>
      </c>
      <c r="G1476" s="38" t="s">
        <v>70</v>
      </c>
      <c r="H1476" s="37"/>
      <c r="I1476" s="37"/>
      <c r="J1476" s="37" t="s">
        <v>1448</v>
      </c>
      <c r="K1476" s="40"/>
      <c r="L1476" s="38"/>
      <c r="M1476" s="38"/>
      <c r="N1476" s="37"/>
      <c r="O1476" s="37"/>
      <c r="P1476" s="37"/>
      <c r="Q1476" s="37"/>
      <c r="R1476" s="39"/>
      <c r="S1476" s="37"/>
      <c r="T1476" s="38" t="s">
        <v>293</v>
      </c>
    </row>
    <row r="1477" ht="34.5">
      <c r="A1477" s="38" t="s">
        <v>1215</v>
      </c>
      <c r="B1477" s="38" t="s">
        <v>1216</v>
      </c>
      <c r="C1477" s="38" t="s">
        <v>1440</v>
      </c>
      <c r="D1477" s="38" t="s">
        <v>288</v>
      </c>
      <c r="E1477" s="38" t="s">
        <v>1238</v>
      </c>
      <c r="F1477" s="37" t="s">
        <v>1239</v>
      </c>
      <c r="G1477" s="38" t="s">
        <v>70</v>
      </c>
      <c r="H1477" s="37"/>
      <c r="I1477" s="37"/>
      <c r="J1477" s="37" t="s">
        <v>1449</v>
      </c>
      <c r="K1477" s="40"/>
      <c r="L1477" s="38"/>
      <c r="M1477" s="38"/>
      <c r="N1477" s="37"/>
      <c r="O1477" s="37"/>
      <c r="P1477" s="37"/>
      <c r="Q1477" s="37"/>
      <c r="R1477" s="39"/>
      <c r="S1477" s="37"/>
      <c r="T1477" s="38" t="s">
        <v>293</v>
      </c>
    </row>
    <row r="1478" ht="34.5">
      <c r="A1478" s="38" t="s">
        <v>1215</v>
      </c>
      <c r="B1478" s="38" t="s">
        <v>1216</v>
      </c>
      <c r="C1478" s="38" t="s">
        <v>1450</v>
      </c>
      <c r="D1478" s="38" t="s">
        <v>288</v>
      </c>
      <c r="E1478" s="38" t="s">
        <v>1238</v>
      </c>
      <c r="F1478" s="37" t="s">
        <v>1239</v>
      </c>
      <c r="G1478" s="38" t="s">
        <v>70</v>
      </c>
      <c r="H1478" s="37"/>
      <c r="I1478" s="37"/>
      <c r="J1478" s="37" t="s">
        <v>1451</v>
      </c>
      <c r="K1478" s="40"/>
      <c r="L1478" s="38"/>
      <c r="M1478" s="38"/>
      <c r="N1478" s="37"/>
      <c r="O1478" s="37"/>
      <c r="P1478" s="37"/>
      <c r="Q1478" s="37"/>
      <c r="R1478" s="39"/>
      <c r="S1478" s="37"/>
      <c r="T1478" s="38" t="s">
        <v>293</v>
      </c>
    </row>
    <row r="1479" ht="34.5">
      <c r="A1479" s="38" t="s">
        <v>1215</v>
      </c>
      <c r="B1479" s="38" t="s">
        <v>1216</v>
      </c>
      <c r="C1479" s="38" t="s">
        <v>1450</v>
      </c>
      <c r="D1479" s="38" t="s">
        <v>288</v>
      </c>
      <c r="E1479" s="38" t="s">
        <v>1238</v>
      </c>
      <c r="F1479" s="37" t="s">
        <v>1239</v>
      </c>
      <c r="G1479" s="38" t="s">
        <v>70</v>
      </c>
      <c r="H1479" s="37"/>
      <c r="I1479" s="37"/>
      <c r="J1479" s="37" t="s">
        <v>1452</v>
      </c>
      <c r="K1479" s="40"/>
      <c r="L1479" s="38"/>
      <c r="M1479" s="38"/>
      <c r="N1479" s="37"/>
      <c r="O1479" s="37"/>
      <c r="P1479" s="37"/>
      <c r="Q1479" s="37"/>
      <c r="R1479" s="39"/>
      <c r="S1479" s="37"/>
      <c r="T1479" s="38" t="s">
        <v>293</v>
      </c>
    </row>
    <row r="1480" ht="34.5">
      <c r="A1480" s="38" t="s">
        <v>1215</v>
      </c>
      <c r="B1480" s="38" t="s">
        <v>1216</v>
      </c>
      <c r="C1480" s="38" t="s">
        <v>1450</v>
      </c>
      <c r="D1480" s="38" t="s">
        <v>288</v>
      </c>
      <c r="E1480" s="38" t="s">
        <v>1238</v>
      </c>
      <c r="F1480" s="37" t="s">
        <v>1239</v>
      </c>
      <c r="G1480" s="38" t="s">
        <v>70</v>
      </c>
      <c r="H1480" s="37"/>
      <c r="I1480" s="37"/>
      <c r="J1480" s="37" t="s">
        <v>1453</v>
      </c>
      <c r="K1480" s="40"/>
      <c r="L1480" s="38"/>
      <c r="M1480" s="38"/>
      <c r="N1480" s="37"/>
      <c r="O1480" s="37"/>
      <c r="P1480" s="37"/>
      <c r="Q1480" s="37"/>
      <c r="R1480" s="39"/>
      <c r="S1480" s="37"/>
      <c r="T1480" s="38" t="s">
        <v>293</v>
      </c>
    </row>
    <row r="1481" ht="34.5">
      <c r="A1481" s="38" t="s">
        <v>1215</v>
      </c>
      <c r="B1481" s="38" t="s">
        <v>1216</v>
      </c>
      <c r="C1481" s="38" t="s">
        <v>1450</v>
      </c>
      <c r="D1481" s="38" t="s">
        <v>288</v>
      </c>
      <c r="E1481" s="38" t="s">
        <v>1238</v>
      </c>
      <c r="F1481" s="37" t="s">
        <v>1239</v>
      </c>
      <c r="G1481" s="38" t="s">
        <v>70</v>
      </c>
      <c r="H1481" s="37"/>
      <c r="I1481" s="37"/>
      <c r="J1481" s="37" t="s">
        <v>1454</v>
      </c>
      <c r="K1481" s="40"/>
      <c r="L1481" s="38"/>
      <c r="M1481" s="38"/>
      <c r="N1481" s="37"/>
      <c r="O1481" s="37"/>
      <c r="P1481" s="37"/>
      <c r="Q1481" s="37"/>
      <c r="R1481" s="39"/>
      <c r="S1481" s="37"/>
      <c r="T1481" s="38" t="s">
        <v>293</v>
      </c>
    </row>
    <row r="1482" ht="34.5">
      <c r="A1482" s="38" t="s">
        <v>1215</v>
      </c>
      <c r="B1482" s="38" t="s">
        <v>1216</v>
      </c>
      <c r="C1482" s="38" t="s">
        <v>1450</v>
      </c>
      <c r="D1482" s="38" t="s">
        <v>288</v>
      </c>
      <c r="E1482" s="38" t="s">
        <v>1238</v>
      </c>
      <c r="F1482" s="37" t="s">
        <v>1239</v>
      </c>
      <c r="G1482" s="38" t="s">
        <v>70</v>
      </c>
      <c r="H1482" s="37"/>
      <c r="I1482" s="37"/>
      <c r="J1482" s="37" t="s">
        <v>1455</v>
      </c>
      <c r="K1482" s="40"/>
      <c r="L1482" s="38"/>
      <c r="M1482" s="38"/>
      <c r="N1482" s="37"/>
      <c r="O1482" s="37"/>
      <c r="P1482" s="37"/>
      <c r="Q1482" s="37"/>
      <c r="R1482" s="39"/>
      <c r="S1482" s="37"/>
      <c r="T1482" s="38" t="s">
        <v>293</v>
      </c>
    </row>
    <row r="1483" ht="34.5">
      <c r="A1483" s="38" t="s">
        <v>1215</v>
      </c>
      <c r="B1483" s="38" t="s">
        <v>1216</v>
      </c>
      <c r="C1483" s="38" t="s">
        <v>1450</v>
      </c>
      <c r="D1483" s="38" t="s">
        <v>288</v>
      </c>
      <c r="E1483" s="38" t="s">
        <v>1238</v>
      </c>
      <c r="F1483" s="37" t="s">
        <v>1239</v>
      </c>
      <c r="G1483" s="38" t="s">
        <v>70</v>
      </c>
      <c r="H1483" s="37"/>
      <c r="I1483" s="37"/>
      <c r="J1483" s="37" t="s">
        <v>1456</v>
      </c>
      <c r="K1483" s="40"/>
      <c r="L1483" s="38"/>
      <c r="M1483" s="38"/>
      <c r="N1483" s="37"/>
      <c r="O1483" s="37"/>
      <c r="P1483" s="37"/>
      <c r="Q1483" s="37"/>
      <c r="R1483" s="39"/>
      <c r="S1483" s="37"/>
      <c r="T1483" s="38" t="s">
        <v>293</v>
      </c>
    </row>
    <row r="1484" ht="34.5">
      <c r="A1484" s="38" t="s">
        <v>1215</v>
      </c>
      <c r="B1484" s="38" t="s">
        <v>1216</v>
      </c>
      <c r="C1484" s="38" t="s">
        <v>1450</v>
      </c>
      <c r="D1484" s="38" t="s">
        <v>288</v>
      </c>
      <c r="E1484" s="38" t="s">
        <v>1238</v>
      </c>
      <c r="F1484" s="37" t="s">
        <v>1239</v>
      </c>
      <c r="G1484" s="38" t="s">
        <v>70</v>
      </c>
      <c r="H1484" s="37"/>
      <c r="I1484" s="37"/>
      <c r="J1484" s="37" t="s">
        <v>1457</v>
      </c>
      <c r="K1484" s="40"/>
      <c r="L1484" s="38"/>
      <c r="M1484" s="38"/>
      <c r="N1484" s="37"/>
      <c r="O1484" s="37"/>
      <c r="P1484" s="37"/>
      <c r="Q1484" s="37"/>
      <c r="R1484" s="39"/>
      <c r="S1484" s="37"/>
      <c r="T1484" s="38" t="s">
        <v>293</v>
      </c>
    </row>
    <row r="1485" ht="34.5">
      <c r="A1485" s="38" t="s">
        <v>1215</v>
      </c>
      <c r="B1485" s="38" t="s">
        <v>1216</v>
      </c>
      <c r="C1485" s="38" t="s">
        <v>1458</v>
      </c>
      <c r="D1485" s="38" t="s">
        <v>288</v>
      </c>
      <c r="E1485" s="38" t="s">
        <v>1238</v>
      </c>
      <c r="F1485" s="37" t="s">
        <v>1239</v>
      </c>
      <c r="G1485" s="38" t="s">
        <v>70</v>
      </c>
      <c r="H1485" s="37"/>
      <c r="I1485" s="37"/>
      <c r="J1485" s="37" t="s">
        <v>1459</v>
      </c>
      <c r="K1485" s="40"/>
      <c r="L1485" s="38"/>
      <c r="M1485" s="38"/>
      <c r="N1485" s="37"/>
      <c r="O1485" s="37"/>
      <c r="P1485" s="37"/>
      <c r="Q1485" s="37"/>
      <c r="R1485" s="39"/>
      <c r="S1485" s="37"/>
      <c r="T1485" s="38" t="s">
        <v>293</v>
      </c>
    </row>
    <row r="1486" ht="34.5">
      <c r="A1486" s="38" t="s">
        <v>1215</v>
      </c>
      <c r="B1486" s="38" t="s">
        <v>1216</v>
      </c>
      <c r="C1486" s="38" t="s">
        <v>1458</v>
      </c>
      <c r="D1486" s="38" t="s">
        <v>288</v>
      </c>
      <c r="E1486" s="38" t="s">
        <v>1238</v>
      </c>
      <c r="F1486" s="37" t="s">
        <v>1239</v>
      </c>
      <c r="G1486" s="38" t="s">
        <v>70</v>
      </c>
      <c r="H1486" s="37"/>
      <c r="I1486" s="37"/>
      <c r="J1486" s="37" t="s">
        <v>1460</v>
      </c>
      <c r="K1486" s="40"/>
      <c r="L1486" s="38"/>
      <c r="M1486" s="38"/>
      <c r="N1486" s="37"/>
      <c r="O1486" s="37"/>
      <c r="P1486" s="37"/>
      <c r="Q1486" s="37"/>
      <c r="R1486" s="39"/>
      <c r="S1486" s="37"/>
      <c r="T1486" s="38" t="s">
        <v>293</v>
      </c>
    </row>
    <row r="1487" ht="34.5">
      <c r="A1487" s="38" t="s">
        <v>1215</v>
      </c>
      <c r="B1487" s="38" t="s">
        <v>1216</v>
      </c>
      <c r="C1487" s="38" t="s">
        <v>1458</v>
      </c>
      <c r="D1487" s="38" t="s">
        <v>288</v>
      </c>
      <c r="E1487" s="38" t="s">
        <v>1238</v>
      </c>
      <c r="F1487" s="37" t="s">
        <v>1239</v>
      </c>
      <c r="G1487" s="38" t="s">
        <v>70</v>
      </c>
      <c r="H1487" s="37"/>
      <c r="I1487" s="37"/>
      <c r="J1487" s="37" t="s">
        <v>1461</v>
      </c>
      <c r="K1487" s="40"/>
      <c r="L1487" s="38"/>
      <c r="M1487" s="38"/>
      <c r="N1487" s="37"/>
      <c r="O1487" s="37"/>
      <c r="P1487" s="37"/>
      <c r="Q1487" s="37"/>
      <c r="R1487" s="39"/>
      <c r="S1487" s="37"/>
      <c r="T1487" s="38" t="s">
        <v>293</v>
      </c>
    </row>
    <row r="1488" ht="34.5">
      <c r="A1488" s="38" t="s">
        <v>1215</v>
      </c>
      <c r="B1488" s="38" t="s">
        <v>1216</v>
      </c>
      <c r="C1488" s="38" t="s">
        <v>1458</v>
      </c>
      <c r="D1488" s="38" t="s">
        <v>288</v>
      </c>
      <c r="E1488" s="38" t="s">
        <v>1238</v>
      </c>
      <c r="F1488" s="37" t="s">
        <v>1239</v>
      </c>
      <c r="G1488" s="38" t="s">
        <v>70</v>
      </c>
      <c r="H1488" s="37"/>
      <c r="I1488" s="37"/>
      <c r="J1488" s="37" t="s">
        <v>1462</v>
      </c>
      <c r="K1488" s="40"/>
      <c r="L1488" s="38"/>
      <c r="M1488" s="38"/>
      <c r="N1488" s="37"/>
      <c r="O1488" s="37"/>
      <c r="P1488" s="37"/>
      <c r="Q1488" s="37"/>
      <c r="R1488" s="39"/>
      <c r="S1488" s="37"/>
      <c r="T1488" s="38" t="s">
        <v>293</v>
      </c>
    </row>
    <row r="1489" ht="34.5">
      <c r="A1489" s="38" t="s">
        <v>1215</v>
      </c>
      <c r="B1489" s="38" t="s">
        <v>1216</v>
      </c>
      <c r="C1489" s="38" t="s">
        <v>1458</v>
      </c>
      <c r="D1489" s="38" t="s">
        <v>288</v>
      </c>
      <c r="E1489" s="38" t="s">
        <v>1238</v>
      </c>
      <c r="F1489" s="37" t="s">
        <v>1239</v>
      </c>
      <c r="G1489" s="38" t="s">
        <v>70</v>
      </c>
      <c r="H1489" s="37"/>
      <c r="I1489" s="37"/>
      <c r="J1489" s="37" t="s">
        <v>1463</v>
      </c>
      <c r="K1489" s="40"/>
      <c r="L1489" s="38"/>
      <c r="M1489" s="38"/>
      <c r="N1489" s="37"/>
      <c r="O1489" s="37"/>
      <c r="P1489" s="37"/>
      <c r="Q1489" s="37"/>
      <c r="R1489" s="39"/>
      <c r="S1489" s="37"/>
      <c r="T1489" s="38" t="s">
        <v>293</v>
      </c>
    </row>
    <row r="1490" ht="34.5">
      <c r="A1490" s="38" t="s">
        <v>1215</v>
      </c>
      <c r="B1490" s="38" t="s">
        <v>1216</v>
      </c>
      <c r="C1490" s="38" t="s">
        <v>1458</v>
      </c>
      <c r="D1490" s="38" t="s">
        <v>288</v>
      </c>
      <c r="E1490" s="38" t="s">
        <v>1238</v>
      </c>
      <c r="F1490" s="37" t="s">
        <v>1239</v>
      </c>
      <c r="G1490" s="38" t="s">
        <v>70</v>
      </c>
      <c r="H1490" s="37"/>
      <c r="I1490" s="37"/>
      <c r="J1490" s="37" t="s">
        <v>1464</v>
      </c>
      <c r="K1490" s="40"/>
      <c r="L1490" s="38"/>
      <c r="M1490" s="38"/>
      <c r="N1490" s="37"/>
      <c r="O1490" s="37"/>
      <c r="P1490" s="37"/>
      <c r="Q1490" s="37"/>
      <c r="R1490" s="39"/>
      <c r="S1490" s="37"/>
      <c r="T1490" s="38" t="s">
        <v>293</v>
      </c>
    </row>
    <row r="1491" ht="34.5">
      <c r="A1491" s="38" t="s">
        <v>1215</v>
      </c>
      <c r="B1491" s="38" t="s">
        <v>1216</v>
      </c>
      <c r="C1491" s="38" t="s">
        <v>1458</v>
      </c>
      <c r="D1491" s="38" t="s">
        <v>288</v>
      </c>
      <c r="E1491" s="38" t="s">
        <v>1238</v>
      </c>
      <c r="F1491" s="37" t="s">
        <v>1239</v>
      </c>
      <c r="G1491" s="38" t="s">
        <v>70</v>
      </c>
      <c r="H1491" s="37"/>
      <c r="I1491" s="37"/>
      <c r="J1491" s="37" t="s">
        <v>1465</v>
      </c>
      <c r="K1491" s="40"/>
      <c r="L1491" s="38"/>
      <c r="M1491" s="38"/>
      <c r="N1491" s="37"/>
      <c r="O1491" s="37"/>
      <c r="P1491" s="37"/>
      <c r="Q1491" s="37"/>
      <c r="R1491" s="39"/>
      <c r="S1491" s="37"/>
      <c r="T1491" s="38" t="s">
        <v>293</v>
      </c>
    </row>
    <row r="1492" ht="34.5">
      <c r="A1492" s="38" t="s">
        <v>1215</v>
      </c>
      <c r="B1492" s="38" t="s">
        <v>1216</v>
      </c>
      <c r="C1492" s="38" t="s">
        <v>1458</v>
      </c>
      <c r="D1492" s="38" t="s">
        <v>288</v>
      </c>
      <c r="E1492" s="38" t="s">
        <v>1238</v>
      </c>
      <c r="F1492" s="37" t="s">
        <v>1239</v>
      </c>
      <c r="G1492" s="38" t="s">
        <v>70</v>
      </c>
      <c r="H1492" s="37"/>
      <c r="I1492" s="37"/>
      <c r="J1492" s="37" t="s">
        <v>1466</v>
      </c>
      <c r="K1492" s="40"/>
      <c r="L1492" s="38"/>
      <c r="M1492" s="38"/>
      <c r="N1492" s="37"/>
      <c r="O1492" s="37"/>
      <c r="P1492" s="37"/>
      <c r="Q1492" s="37"/>
      <c r="R1492" s="39"/>
      <c r="S1492" s="37"/>
      <c r="T1492" s="38" t="s">
        <v>293</v>
      </c>
    </row>
    <row r="1493" ht="34.5">
      <c r="A1493" s="38" t="s">
        <v>1215</v>
      </c>
      <c r="B1493" s="38" t="s">
        <v>1216</v>
      </c>
      <c r="C1493" s="38" t="s">
        <v>1458</v>
      </c>
      <c r="D1493" s="38" t="s">
        <v>288</v>
      </c>
      <c r="E1493" s="38" t="s">
        <v>1238</v>
      </c>
      <c r="F1493" s="37" t="s">
        <v>1239</v>
      </c>
      <c r="G1493" s="38" t="s">
        <v>70</v>
      </c>
      <c r="H1493" s="37"/>
      <c r="I1493" s="37"/>
      <c r="J1493" s="37" t="s">
        <v>1467</v>
      </c>
      <c r="K1493" s="40"/>
      <c r="L1493" s="38"/>
      <c r="M1493" s="38"/>
      <c r="N1493" s="37"/>
      <c r="O1493" s="37"/>
      <c r="P1493" s="37"/>
      <c r="Q1493" s="37"/>
      <c r="R1493" s="39"/>
      <c r="S1493" s="37"/>
      <c r="T1493" s="38" t="s">
        <v>293</v>
      </c>
    </row>
    <row r="1494" ht="34.5">
      <c r="A1494" s="38" t="s">
        <v>1215</v>
      </c>
      <c r="B1494" s="38" t="s">
        <v>1216</v>
      </c>
      <c r="C1494" s="38" t="s">
        <v>1458</v>
      </c>
      <c r="D1494" s="38" t="s">
        <v>288</v>
      </c>
      <c r="E1494" s="38" t="s">
        <v>1238</v>
      </c>
      <c r="F1494" s="37" t="s">
        <v>1239</v>
      </c>
      <c r="G1494" s="38" t="s">
        <v>70</v>
      </c>
      <c r="H1494" s="37"/>
      <c r="I1494" s="37"/>
      <c r="J1494" s="37" t="s">
        <v>1468</v>
      </c>
      <c r="K1494" s="40"/>
      <c r="L1494" s="38"/>
      <c r="M1494" s="38"/>
      <c r="N1494" s="37"/>
      <c r="O1494" s="37"/>
      <c r="P1494" s="37"/>
      <c r="Q1494" s="37"/>
      <c r="R1494" s="39"/>
      <c r="S1494" s="37"/>
      <c r="T1494" s="38" t="s">
        <v>293</v>
      </c>
    </row>
    <row r="1495" ht="34.5">
      <c r="A1495" s="38" t="s">
        <v>1215</v>
      </c>
      <c r="B1495" s="38" t="s">
        <v>1216</v>
      </c>
      <c r="C1495" s="38" t="s">
        <v>1458</v>
      </c>
      <c r="D1495" s="38" t="s">
        <v>288</v>
      </c>
      <c r="E1495" s="38" t="s">
        <v>1238</v>
      </c>
      <c r="F1495" s="37" t="s">
        <v>1239</v>
      </c>
      <c r="G1495" s="38" t="s">
        <v>70</v>
      </c>
      <c r="H1495" s="37"/>
      <c r="I1495" s="37"/>
      <c r="J1495" s="37" t="s">
        <v>1469</v>
      </c>
      <c r="K1495" s="40"/>
      <c r="L1495" s="38"/>
      <c r="M1495" s="38"/>
      <c r="N1495" s="37"/>
      <c r="O1495" s="37"/>
      <c r="P1495" s="37"/>
      <c r="Q1495" s="37"/>
      <c r="R1495" s="39"/>
      <c r="S1495" s="37"/>
      <c r="T1495" s="38" t="s">
        <v>293</v>
      </c>
    </row>
    <row r="1496" ht="34.5">
      <c r="A1496" s="38" t="s">
        <v>1215</v>
      </c>
      <c r="B1496" s="38" t="s">
        <v>1216</v>
      </c>
      <c r="C1496" s="38" t="s">
        <v>1458</v>
      </c>
      <c r="D1496" s="38" t="s">
        <v>288</v>
      </c>
      <c r="E1496" s="38" t="s">
        <v>1238</v>
      </c>
      <c r="F1496" s="37" t="s">
        <v>1239</v>
      </c>
      <c r="G1496" s="38" t="s">
        <v>70</v>
      </c>
      <c r="H1496" s="37"/>
      <c r="I1496" s="37"/>
      <c r="J1496" s="37" t="s">
        <v>1470</v>
      </c>
      <c r="K1496" s="40"/>
      <c r="L1496" s="38"/>
      <c r="M1496" s="38"/>
      <c r="N1496" s="37"/>
      <c r="O1496" s="37"/>
      <c r="P1496" s="37"/>
      <c r="Q1496" s="37"/>
      <c r="R1496" s="39"/>
      <c r="S1496" s="37"/>
      <c r="T1496" s="38" t="s">
        <v>293</v>
      </c>
    </row>
    <row r="1497" ht="34.5">
      <c r="A1497" s="38" t="s">
        <v>1215</v>
      </c>
      <c r="B1497" s="38" t="s">
        <v>1216</v>
      </c>
      <c r="C1497" s="38" t="s">
        <v>1471</v>
      </c>
      <c r="D1497" s="38" t="s">
        <v>288</v>
      </c>
      <c r="E1497" s="38" t="s">
        <v>1238</v>
      </c>
      <c r="F1497" s="37" t="s">
        <v>1239</v>
      </c>
      <c r="G1497" s="38" t="s">
        <v>70</v>
      </c>
      <c r="H1497" s="37"/>
      <c r="I1497" s="37"/>
      <c r="J1497" s="37" t="s">
        <v>1472</v>
      </c>
      <c r="K1497" s="40"/>
      <c r="L1497" s="38"/>
      <c r="M1497" s="38"/>
      <c r="N1497" s="37"/>
      <c r="O1497" s="37"/>
      <c r="P1497" s="37"/>
      <c r="Q1497" s="37"/>
      <c r="R1497" s="39"/>
      <c r="S1497" s="37"/>
      <c r="T1497" s="38" t="s">
        <v>293</v>
      </c>
    </row>
    <row r="1498" ht="34.5">
      <c r="A1498" s="38" t="s">
        <v>1215</v>
      </c>
      <c r="B1498" s="38" t="s">
        <v>1216</v>
      </c>
      <c r="C1498" s="38" t="s">
        <v>1471</v>
      </c>
      <c r="D1498" s="38" t="s">
        <v>288</v>
      </c>
      <c r="E1498" s="38" t="s">
        <v>1238</v>
      </c>
      <c r="F1498" s="37" t="s">
        <v>1239</v>
      </c>
      <c r="G1498" s="38" t="s">
        <v>70</v>
      </c>
      <c r="H1498" s="37"/>
      <c r="I1498" s="37"/>
      <c r="J1498" s="37" t="s">
        <v>1473</v>
      </c>
      <c r="K1498" s="40"/>
      <c r="L1498" s="38"/>
      <c r="M1498" s="38"/>
      <c r="N1498" s="37"/>
      <c r="O1498" s="37"/>
      <c r="P1498" s="37"/>
      <c r="Q1498" s="37"/>
      <c r="R1498" s="39"/>
      <c r="S1498" s="37"/>
      <c r="T1498" s="38" t="s">
        <v>293</v>
      </c>
    </row>
    <row r="1499" ht="34.5">
      <c r="A1499" s="38" t="s">
        <v>1215</v>
      </c>
      <c r="B1499" s="38" t="s">
        <v>1216</v>
      </c>
      <c r="C1499" s="38" t="s">
        <v>1471</v>
      </c>
      <c r="D1499" s="38" t="s">
        <v>288</v>
      </c>
      <c r="E1499" s="38" t="s">
        <v>1238</v>
      </c>
      <c r="F1499" s="37" t="s">
        <v>1239</v>
      </c>
      <c r="G1499" s="38" t="s">
        <v>70</v>
      </c>
      <c r="H1499" s="37"/>
      <c r="I1499" s="37"/>
      <c r="J1499" s="37" t="s">
        <v>1474</v>
      </c>
      <c r="K1499" s="40"/>
      <c r="L1499" s="38"/>
      <c r="M1499" s="38"/>
      <c r="N1499" s="37"/>
      <c r="O1499" s="37"/>
      <c r="P1499" s="37"/>
      <c r="Q1499" s="37"/>
      <c r="R1499" s="39"/>
      <c r="S1499" s="37"/>
      <c r="T1499" s="38" t="s">
        <v>293</v>
      </c>
    </row>
    <row r="1500" ht="34.5">
      <c r="A1500" s="38" t="s">
        <v>1215</v>
      </c>
      <c r="B1500" s="38" t="s">
        <v>1216</v>
      </c>
      <c r="C1500" s="38" t="s">
        <v>1471</v>
      </c>
      <c r="D1500" s="38" t="s">
        <v>288</v>
      </c>
      <c r="E1500" s="38" t="s">
        <v>1238</v>
      </c>
      <c r="F1500" s="37" t="s">
        <v>1239</v>
      </c>
      <c r="G1500" s="38" t="s">
        <v>70</v>
      </c>
      <c r="H1500" s="37"/>
      <c r="I1500" s="37"/>
      <c r="J1500" s="37" t="s">
        <v>1475</v>
      </c>
      <c r="K1500" s="40"/>
      <c r="L1500" s="38"/>
      <c r="M1500" s="38"/>
      <c r="N1500" s="37"/>
      <c r="O1500" s="37"/>
      <c r="P1500" s="37"/>
      <c r="Q1500" s="37"/>
      <c r="R1500" s="39"/>
      <c r="S1500" s="37"/>
      <c r="T1500" s="38" t="s">
        <v>293</v>
      </c>
    </row>
    <row r="1501" ht="34.5">
      <c r="A1501" s="38" t="s">
        <v>1215</v>
      </c>
      <c r="B1501" s="38" t="s">
        <v>1216</v>
      </c>
      <c r="C1501" s="38" t="s">
        <v>1471</v>
      </c>
      <c r="D1501" s="38" t="s">
        <v>288</v>
      </c>
      <c r="E1501" s="38" t="s">
        <v>1238</v>
      </c>
      <c r="F1501" s="37" t="s">
        <v>1239</v>
      </c>
      <c r="G1501" s="38" t="s">
        <v>70</v>
      </c>
      <c r="H1501" s="37"/>
      <c r="I1501" s="37"/>
      <c r="J1501" s="37" t="s">
        <v>1476</v>
      </c>
      <c r="K1501" s="40"/>
      <c r="L1501" s="38"/>
      <c r="M1501" s="38"/>
      <c r="N1501" s="37"/>
      <c r="O1501" s="37"/>
      <c r="P1501" s="37"/>
      <c r="Q1501" s="37"/>
      <c r="R1501" s="39"/>
      <c r="S1501" s="37"/>
      <c r="T1501" s="38" t="s">
        <v>293</v>
      </c>
    </row>
    <row r="1502" ht="34.5">
      <c r="A1502" s="38" t="s">
        <v>1215</v>
      </c>
      <c r="B1502" s="38" t="s">
        <v>1216</v>
      </c>
      <c r="C1502" s="38" t="s">
        <v>1471</v>
      </c>
      <c r="D1502" s="38" t="s">
        <v>288</v>
      </c>
      <c r="E1502" s="38" t="s">
        <v>1238</v>
      </c>
      <c r="F1502" s="37" t="s">
        <v>1239</v>
      </c>
      <c r="G1502" s="38" t="s">
        <v>70</v>
      </c>
      <c r="H1502" s="37"/>
      <c r="I1502" s="37"/>
      <c r="J1502" s="37" t="s">
        <v>1477</v>
      </c>
      <c r="K1502" s="40"/>
      <c r="L1502" s="38"/>
      <c r="M1502" s="38"/>
      <c r="N1502" s="37"/>
      <c r="O1502" s="37"/>
      <c r="P1502" s="37"/>
      <c r="Q1502" s="37"/>
      <c r="R1502" s="39"/>
      <c r="S1502" s="37"/>
      <c r="T1502" s="38" t="s">
        <v>293</v>
      </c>
    </row>
    <row r="1503" ht="34.5">
      <c r="A1503" s="38" t="s">
        <v>1215</v>
      </c>
      <c r="B1503" s="38" t="s">
        <v>1216</v>
      </c>
      <c r="C1503" s="38" t="s">
        <v>1471</v>
      </c>
      <c r="D1503" s="38" t="s">
        <v>288</v>
      </c>
      <c r="E1503" s="38" t="s">
        <v>1238</v>
      </c>
      <c r="F1503" s="37" t="s">
        <v>1239</v>
      </c>
      <c r="G1503" s="38" t="s">
        <v>70</v>
      </c>
      <c r="H1503" s="37"/>
      <c r="I1503" s="37"/>
      <c r="J1503" s="37" t="s">
        <v>1478</v>
      </c>
      <c r="K1503" s="40"/>
      <c r="L1503" s="38"/>
      <c r="M1503" s="38"/>
      <c r="N1503" s="37"/>
      <c r="O1503" s="37"/>
      <c r="P1503" s="37"/>
      <c r="Q1503" s="37"/>
      <c r="R1503" s="39"/>
      <c r="S1503" s="37"/>
      <c r="T1503" s="38" t="s">
        <v>293</v>
      </c>
    </row>
    <row r="1504" ht="34.5">
      <c r="A1504" s="38" t="s">
        <v>1215</v>
      </c>
      <c r="B1504" s="38" t="s">
        <v>1216</v>
      </c>
      <c r="C1504" s="38" t="s">
        <v>1471</v>
      </c>
      <c r="D1504" s="38" t="s">
        <v>288</v>
      </c>
      <c r="E1504" s="38" t="s">
        <v>1238</v>
      </c>
      <c r="F1504" s="37" t="s">
        <v>1239</v>
      </c>
      <c r="G1504" s="38" t="s">
        <v>70</v>
      </c>
      <c r="H1504" s="37"/>
      <c r="I1504" s="37"/>
      <c r="J1504" s="37" t="s">
        <v>1479</v>
      </c>
      <c r="K1504" s="40"/>
      <c r="L1504" s="38"/>
      <c r="M1504" s="38"/>
      <c r="N1504" s="37"/>
      <c r="O1504" s="37"/>
      <c r="P1504" s="37"/>
      <c r="Q1504" s="37"/>
      <c r="R1504" s="39"/>
      <c r="S1504" s="37"/>
      <c r="T1504" s="38" t="s">
        <v>293</v>
      </c>
    </row>
    <row r="1505" ht="34.5">
      <c r="A1505" s="38" t="s">
        <v>1215</v>
      </c>
      <c r="B1505" s="38" t="s">
        <v>1216</v>
      </c>
      <c r="C1505" s="38" t="s">
        <v>1471</v>
      </c>
      <c r="D1505" s="38" t="s">
        <v>288</v>
      </c>
      <c r="E1505" s="38" t="s">
        <v>1238</v>
      </c>
      <c r="F1505" s="37" t="s">
        <v>1239</v>
      </c>
      <c r="G1505" s="38" t="s">
        <v>70</v>
      </c>
      <c r="H1505" s="37"/>
      <c r="I1505" s="37"/>
      <c r="J1505" s="37" t="s">
        <v>1480</v>
      </c>
      <c r="K1505" s="40"/>
      <c r="L1505" s="38"/>
      <c r="M1505" s="38"/>
      <c r="N1505" s="37"/>
      <c r="O1505" s="37"/>
      <c r="P1505" s="37"/>
      <c r="Q1505" s="37"/>
      <c r="R1505" s="39"/>
      <c r="S1505" s="37"/>
      <c r="T1505" s="38" t="s">
        <v>293</v>
      </c>
    </row>
    <row r="1506" ht="34.5">
      <c r="A1506" s="38" t="s">
        <v>1215</v>
      </c>
      <c r="B1506" s="38" t="s">
        <v>1216</v>
      </c>
      <c r="C1506" s="38" t="s">
        <v>1471</v>
      </c>
      <c r="D1506" s="38" t="s">
        <v>288</v>
      </c>
      <c r="E1506" s="38" t="s">
        <v>1238</v>
      </c>
      <c r="F1506" s="37" t="s">
        <v>1239</v>
      </c>
      <c r="G1506" s="38" t="s">
        <v>70</v>
      </c>
      <c r="H1506" s="37"/>
      <c r="I1506" s="37"/>
      <c r="J1506" s="37" t="s">
        <v>1481</v>
      </c>
      <c r="K1506" s="40"/>
      <c r="L1506" s="38"/>
      <c r="M1506" s="38"/>
      <c r="N1506" s="37"/>
      <c r="O1506" s="37"/>
      <c r="P1506" s="37"/>
      <c r="Q1506" s="37"/>
      <c r="R1506" s="39"/>
      <c r="S1506" s="37"/>
      <c r="T1506" s="38" t="s">
        <v>293</v>
      </c>
    </row>
    <row r="1507" ht="34.5">
      <c r="A1507" s="38" t="s">
        <v>1215</v>
      </c>
      <c r="B1507" s="38" t="s">
        <v>1216</v>
      </c>
      <c r="C1507" s="38" t="s">
        <v>1471</v>
      </c>
      <c r="D1507" s="38" t="s">
        <v>288</v>
      </c>
      <c r="E1507" s="38" t="s">
        <v>1238</v>
      </c>
      <c r="F1507" s="37" t="s">
        <v>1239</v>
      </c>
      <c r="G1507" s="38" t="s">
        <v>70</v>
      </c>
      <c r="H1507" s="37"/>
      <c r="I1507" s="37"/>
      <c r="J1507" s="37" t="s">
        <v>1482</v>
      </c>
      <c r="K1507" s="40"/>
      <c r="L1507" s="38"/>
      <c r="M1507" s="38"/>
      <c r="N1507" s="37"/>
      <c r="O1507" s="37"/>
      <c r="P1507" s="37"/>
      <c r="Q1507" s="37"/>
      <c r="R1507" s="39"/>
      <c r="S1507" s="37"/>
      <c r="T1507" s="38" t="s">
        <v>293</v>
      </c>
    </row>
    <row r="1508" ht="34.5">
      <c r="A1508" s="38" t="s">
        <v>1215</v>
      </c>
      <c r="B1508" s="38" t="s">
        <v>1216</v>
      </c>
      <c r="C1508" s="38" t="s">
        <v>1471</v>
      </c>
      <c r="D1508" s="38" t="s">
        <v>288</v>
      </c>
      <c r="E1508" s="38" t="s">
        <v>1238</v>
      </c>
      <c r="F1508" s="37" t="s">
        <v>1239</v>
      </c>
      <c r="G1508" s="38" t="s">
        <v>70</v>
      </c>
      <c r="H1508" s="37"/>
      <c r="I1508" s="37"/>
      <c r="J1508" s="37" t="s">
        <v>1483</v>
      </c>
      <c r="K1508" s="40"/>
      <c r="L1508" s="38"/>
      <c r="M1508" s="38"/>
      <c r="N1508" s="37"/>
      <c r="O1508" s="37"/>
      <c r="P1508" s="37"/>
      <c r="Q1508" s="37"/>
      <c r="R1508" s="39"/>
      <c r="S1508" s="37"/>
      <c r="T1508" s="38" t="s">
        <v>293</v>
      </c>
    </row>
    <row r="1509" ht="34.5">
      <c r="A1509" s="38" t="s">
        <v>1215</v>
      </c>
      <c r="B1509" s="38" t="s">
        <v>1216</v>
      </c>
      <c r="C1509" s="38" t="s">
        <v>1471</v>
      </c>
      <c r="D1509" s="38" t="s">
        <v>288</v>
      </c>
      <c r="E1509" s="38" t="s">
        <v>1238</v>
      </c>
      <c r="F1509" s="37" t="s">
        <v>1239</v>
      </c>
      <c r="G1509" s="38" t="s">
        <v>70</v>
      </c>
      <c r="H1509" s="37"/>
      <c r="I1509" s="37"/>
      <c r="J1509" s="37" t="s">
        <v>1484</v>
      </c>
      <c r="K1509" s="40"/>
      <c r="L1509" s="38"/>
      <c r="M1509" s="38"/>
      <c r="N1509" s="37"/>
      <c r="O1509" s="37"/>
      <c r="P1509" s="37"/>
      <c r="Q1509" s="37"/>
      <c r="R1509" s="39"/>
      <c r="S1509" s="37"/>
      <c r="T1509" s="38" t="s">
        <v>293</v>
      </c>
    </row>
    <row r="1510" ht="34.5">
      <c r="A1510" s="38" t="s">
        <v>1215</v>
      </c>
      <c r="B1510" s="38" t="s">
        <v>1216</v>
      </c>
      <c r="C1510" s="38" t="s">
        <v>1471</v>
      </c>
      <c r="D1510" s="38" t="s">
        <v>288</v>
      </c>
      <c r="E1510" s="38" t="s">
        <v>1238</v>
      </c>
      <c r="F1510" s="37" t="s">
        <v>1239</v>
      </c>
      <c r="G1510" s="38" t="s">
        <v>70</v>
      </c>
      <c r="H1510" s="37"/>
      <c r="I1510" s="37"/>
      <c r="J1510" s="37" t="s">
        <v>1485</v>
      </c>
      <c r="K1510" s="40"/>
      <c r="L1510" s="38"/>
      <c r="M1510" s="38"/>
      <c r="N1510" s="37"/>
      <c r="O1510" s="37"/>
      <c r="P1510" s="37"/>
      <c r="Q1510" s="37"/>
      <c r="R1510" s="39"/>
      <c r="S1510" s="37"/>
      <c r="T1510" s="38" t="s">
        <v>293</v>
      </c>
    </row>
    <row r="1511" ht="34.5">
      <c r="A1511" s="38" t="s">
        <v>1215</v>
      </c>
      <c r="B1511" s="38" t="s">
        <v>1216</v>
      </c>
      <c r="C1511" s="38" t="s">
        <v>1471</v>
      </c>
      <c r="D1511" s="38" t="s">
        <v>288</v>
      </c>
      <c r="E1511" s="38" t="s">
        <v>1238</v>
      </c>
      <c r="F1511" s="37" t="s">
        <v>1239</v>
      </c>
      <c r="G1511" s="38" t="s">
        <v>70</v>
      </c>
      <c r="H1511" s="37"/>
      <c r="I1511" s="37"/>
      <c r="J1511" s="37" t="s">
        <v>1486</v>
      </c>
      <c r="K1511" s="40"/>
      <c r="L1511" s="38"/>
      <c r="M1511" s="38"/>
      <c r="N1511" s="37"/>
      <c r="O1511" s="37"/>
      <c r="P1511" s="37"/>
      <c r="Q1511" s="37"/>
      <c r="R1511" s="39"/>
      <c r="S1511" s="37"/>
      <c r="T1511" s="38" t="s">
        <v>293</v>
      </c>
    </row>
    <row r="1512" ht="34.5">
      <c r="A1512" s="38" t="s">
        <v>1215</v>
      </c>
      <c r="B1512" s="38" t="s">
        <v>1216</v>
      </c>
      <c r="C1512" s="38" t="s">
        <v>1487</v>
      </c>
      <c r="D1512" s="38" t="s">
        <v>288</v>
      </c>
      <c r="E1512" s="38" t="s">
        <v>1238</v>
      </c>
      <c r="F1512" s="37" t="s">
        <v>1239</v>
      </c>
      <c r="G1512" s="38" t="s">
        <v>70</v>
      </c>
      <c r="H1512" s="37"/>
      <c r="I1512" s="37"/>
      <c r="J1512" s="37" t="s">
        <v>1488</v>
      </c>
      <c r="K1512" s="40"/>
      <c r="L1512" s="38"/>
      <c r="M1512" s="38"/>
      <c r="N1512" s="37"/>
      <c r="O1512" s="37"/>
      <c r="P1512" s="37"/>
      <c r="Q1512" s="37"/>
      <c r="R1512" s="39"/>
      <c r="S1512" s="37"/>
      <c r="T1512" s="38" t="s">
        <v>293</v>
      </c>
    </row>
    <row r="1513" ht="34.5">
      <c r="A1513" s="38" t="s">
        <v>1215</v>
      </c>
      <c r="B1513" s="38" t="s">
        <v>1216</v>
      </c>
      <c r="C1513" s="38" t="s">
        <v>1487</v>
      </c>
      <c r="D1513" s="38" t="s">
        <v>288</v>
      </c>
      <c r="E1513" s="38" t="s">
        <v>1238</v>
      </c>
      <c r="F1513" s="37" t="s">
        <v>1239</v>
      </c>
      <c r="G1513" s="38" t="s">
        <v>70</v>
      </c>
      <c r="H1513" s="37"/>
      <c r="I1513" s="37"/>
      <c r="J1513" s="37" t="s">
        <v>1489</v>
      </c>
      <c r="K1513" s="40"/>
      <c r="L1513" s="38"/>
      <c r="M1513" s="38"/>
      <c r="N1513" s="37"/>
      <c r="O1513" s="37"/>
      <c r="P1513" s="37"/>
      <c r="Q1513" s="37"/>
      <c r="R1513" s="39"/>
      <c r="S1513" s="37"/>
      <c r="T1513" s="38" t="s">
        <v>293</v>
      </c>
    </row>
    <row r="1514" ht="34.5">
      <c r="A1514" s="38" t="s">
        <v>1215</v>
      </c>
      <c r="B1514" s="38" t="s">
        <v>1216</v>
      </c>
      <c r="C1514" s="38" t="s">
        <v>1487</v>
      </c>
      <c r="D1514" s="38" t="s">
        <v>288</v>
      </c>
      <c r="E1514" s="38" t="s">
        <v>1238</v>
      </c>
      <c r="F1514" s="37" t="s">
        <v>1239</v>
      </c>
      <c r="G1514" s="38" t="s">
        <v>70</v>
      </c>
      <c r="H1514" s="37"/>
      <c r="I1514" s="37"/>
      <c r="J1514" s="37" t="s">
        <v>1490</v>
      </c>
      <c r="K1514" s="40"/>
      <c r="L1514" s="38"/>
      <c r="M1514" s="38"/>
      <c r="N1514" s="37"/>
      <c r="O1514" s="37"/>
      <c r="P1514" s="37"/>
      <c r="Q1514" s="37"/>
      <c r="R1514" s="39"/>
      <c r="S1514" s="37"/>
      <c r="T1514" s="38" t="s">
        <v>293</v>
      </c>
    </row>
    <row r="1515" ht="34.5">
      <c r="A1515" s="38" t="s">
        <v>1215</v>
      </c>
      <c r="B1515" s="38" t="s">
        <v>1216</v>
      </c>
      <c r="C1515" s="38" t="s">
        <v>1487</v>
      </c>
      <c r="D1515" s="38" t="s">
        <v>288</v>
      </c>
      <c r="E1515" s="38" t="s">
        <v>1238</v>
      </c>
      <c r="F1515" s="37" t="s">
        <v>1239</v>
      </c>
      <c r="G1515" s="38" t="s">
        <v>70</v>
      </c>
      <c r="H1515" s="37"/>
      <c r="I1515" s="37"/>
      <c r="J1515" s="37" t="s">
        <v>1491</v>
      </c>
      <c r="K1515" s="40"/>
      <c r="L1515" s="38"/>
      <c r="M1515" s="38"/>
      <c r="N1515" s="37"/>
      <c r="O1515" s="37"/>
      <c r="P1515" s="37"/>
      <c r="Q1515" s="37"/>
      <c r="R1515" s="39"/>
      <c r="S1515" s="37"/>
      <c r="T1515" s="38" t="s">
        <v>293</v>
      </c>
    </row>
    <row r="1516" ht="34.5">
      <c r="A1516" s="38" t="s">
        <v>1215</v>
      </c>
      <c r="B1516" s="38" t="s">
        <v>1216</v>
      </c>
      <c r="C1516" s="38" t="s">
        <v>1487</v>
      </c>
      <c r="D1516" s="38" t="s">
        <v>288</v>
      </c>
      <c r="E1516" s="38" t="s">
        <v>1238</v>
      </c>
      <c r="F1516" s="37" t="s">
        <v>1239</v>
      </c>
      <c r="G1516" s="38" t="s">
        <v>70</v>
      </c>
      <c r="H1516" s="37"/>
      <c r="I1516" s="37"/>
      <c r="J1516" s="37" t="s">
        <v>1492</v>
      </c>
      <c r="K1516" s="40"/>
      <c r="L1516" s="38"/>
      <c r="M1516" s="38"/>
      <c r="N1516" s="37"/>
      <c r="O1516" s="37"/>
      <c r="P1516" s="37"/>
      <c r="Q1516" s="37"/>
      <c r="R1516" s="39"/>
      <c r="S1516" s="37"/>
      <c r="T1516" s="38" t="s">
        <v>293</v>
      </c>
    </row>
    <row r="1517" ht="34.5">
      <c r="A1517" s="38" t="s">
        <v>1215</v>
      </c>
      <c r="B1517" s="38" t="s">
        <v>1216</v>
      </c>
      <c r="C1517" s="38" t="s">
        <v>1487</v>
      </c>
      <c r="D1517" s="38" t="s">
        <v>288</v>
      </c>
      <c r="E1517" s="38" t="s">
        <v>1238</v>
      </c>
      <c r="F1517" s="37" t="s">
        <v>1239</v>
      </c>
      <c r="G1517" s="38" t="s">
        <v>70</v>
      </c>
      <c r="H1517" s="37"/>
      <c r="I1517" s="37"/>
      <c r="J1517" s="37" t="s">
        <v>1493</v>
      </c>
      <c r="K1517" s="40"/>
      <c r="L1517" s="38"/>
      <c r="M1517" s="38"/>
      <c r="N1517" s="37"/>
      <c r="O1517" s="37"/>
      <c r="P1517" s="37"/>
      <c r="Q1517" s="37"/>
      <c r="R1517" s="39"/>
      <c r="S1517" s="37"/>
      <c r="T1517" s="38" t="s">
        <v>293</v>
      </c>
    </row>
    <row r="1518" ht="34.5">
      <c r="A1518" s="38" t="s">
        <v>1215</v>
      </c>
      <c r="B1518" s="38" t="s">
        <v>1216</v>
      </c>
      <c r="C1518" s="38" t="s">
        <v>1487</v>
      </c>
      <c r="D1518" s="38" t="s">
        <v>288</v>
      </c>
      <c r="E1518" s="38" t="s">
        <v>1238</v>
      </c>
      <c r="F1518" s="37" t="s">
        <v>1239</v>
      </c>
      <c r="G1518" s="38" t="s">
        <v>70</v>
      </c>
      <c r="H1518" s="37"/>
      <c r="I1518" s="37"/>
      <c r="J1518" s="37" t="s">
        <v>1494</v>
      </c>
      <c r="K1518" s="40"/>
      <c r="L1518" s="38"/>
      <c r="M1518" s="38"/>
      <c r="N1518" s="37"/>
      <c r="O1518" s="37"/>
      <c r="P1518" s="37"/>
      <c r="Q1518" s="37"/>
      <c r="R1518" s="39"/>
      <c r="S1518" s="37"/>
      <c r="T1518" s="38" t="s">
        <v>293</v>
      </c>
    </row>
    <row r="1519" ht="34.5">
      <c r="A1519" s="38" t="s">
        <v>1215</v>
      </c>
      <c r="B1519" s="38" t="s">
        <v>1216</v>
      </c>
      <c r="C1519" s="38" t="s">
        <v>1495</v>
      </c>
      <c r="D1519" s="38" t="s">
        <v>288</v>
      </c>
      <c r="E1519" s="38" t="s">
        <v>1238</v>
      </c>
      <c r="F1519" s="37" t="s">
        <v>1239</v>
      </c>
      <c r="G1519" s="38" t="s">
        <v>70</v>
      </c>
      <c r="H1519" s="37"/>
      <c r="I1519" s="37"/>
      <c r="J1519" s="37" t="s">
        <v>1496</v>
      </c>
      <c r="K1519" s="40"/>
      <c r="L1519" s="38"/>
      <c r="M1519" s="38"/>
      <c r="N1519" s="37"/>
      <c r="O1519" s="37"/>
      <c r="P1519" s="37"/>
      <c r="Q1519" s="37"/>
      <c r="R1519" s="39"/>
      <c r="S1519" s="37"/>
      <c r="T1519" s="38" t="s">
        <v>293</v>
      </c>
    </row>
    <row r="1520" ht="34.5">
      <c r="A1520" s="38" t="s">
        <v>1215</v>
      </c>
      <c r="B1520" s="38" t="s">
        <v>1216</v>
      </c>
      <c r="C1520" s="38" t="s">
        <v>1495</v>
      </c>
      <c r="D1520" s="38" t="s">
        <v>288</v>
      </c>
      <c r="E1520" s="38" t="s">
        <v>1238</v>
      </c>
      <c r="F1520" s="37" t="s">
        <v>1239</v>
      </c>
      <c r="G1520" s="38" t="s">
        <v>70</v>
      </c>
      <c r="H1520" s="37"/>
      <c r="I1520" s="37"/>
      <c r="J1520" s="37" t="s">
        <v>1497</v>
      </c>
      <c r="K1520" s="40"/>
      <c r="L1520" s="38"/>
      <c r="M1520" s="38"/>
      <c r="N1520" s="37"/>
      <c r="O1520" s="37"/>
      <c r="P1520" s="37"/>
      <c r="Q1520" s="37"/>
      <c r="R1520" s="39"/>
      <c r="S1520" s="37"/>
      <c r="T1520" s="38" t="s">
        <v>293</v>
      </c>
    </row>
    <row r="1521" ht="34.5">
      <c r="A1521" s="38" t="s">
        <v>1215</v>
      </c>
      <c r="B1521" s="38" t="s">
        <v>1216</v>
      </c>
      <c r="C1521" s="38" t="s">
        <v>1495</v>
      </c>
      <c r="D1521" s="38" t="s">
        <v>288</v>
      </c>
      <c r="E1521" s="38" t="s">
        <v>1238</v>
      </c>
      <c r="F1521" s="37" t="s">
        <v>1239</v>
      </c>
      <c r="G1521" s="38" t="s">
        <v>70</v>
      </c>
      <c r="H1521" s="37"/>
      <c r="I1521" s="37"/>
      <c r="J1521" s="37" t="s">
        <v>1498</v>
      </c>
      <c r="K1521" s="40"/>
      <c r="L1521" s="38"/>
      <c r="M1521" s="38"/>
      <c r="N1521" s="37"/>
      <c r="O1521" s="37"/>
      <c r="P1521" s="37"/>
      <c r="Q1521" s="37"/>
      <c r="R1521" s="39"/>
      <c r="S1521" s="37"/>
      <c r="T1521" s="38" t="s">
        <v>293</v>
      </c>
    </row>
    <row r="1522" ht="34.5">
      <c r="A1522" s="38" t="s">
        <v>1215</v>
      </c>
      <c r="B1522" s="38" t="s">
        <v>1216</v>
      </c>
      <c r="C1522" s="38" t="s">
        <v>1495</v>
      </c>
      <c r="D1522" s="38" t="s">
        <v>288</v>
      </c>
      <c r="E1522" s="38" t="s">
        <v>1238</v>
      </c>
      <c r="F1522" s="37" t="s">
        <v>1239</v>
      </c>
      <c r="G1522" s="38" t="s">
        <v>70</v>
      </c>
      <c r="H1522" s="37"/>
      <c r="I1522" s="37"/>
      <c r="J1522" s="37" t="s">
        <v>1499</v>
      </c>
      <c r="K1522" s="40"/>
      <c r="L1522" s="38"/>
      <c r="M1522" s="38"/>
      <c r="N1522" s="37"/>
      <c r="O1522" s="37"/>
      <c r="P1522" s="37"/>
      <c r="Q1522" s="37"/>
      <c r="R1522" s="39"/>
      <c r="S1522" s="37"/>
      <c r="T1522" s="38" t="s">
        <v>293</v>
      </c>
    </row>
    <row r="1523" ht="34.5">
      <c r="A1523" s="38" t="s">
        <v>1215</v>
      </c>
      <c r="B1523" s="38" t="s">
        <v>1216</v>
      </c>
      <c r="C1523" s="38" t="s">
        <v>1495</v>
      </c>
      <c r="D1523" s="38" t="s">
        <v>288</v>
      </c>
      <c r="E1523" s="38" t="s">
        <v>1238</v>
      </c>
      <c r="F1523" s="37" t="s">
        <v>1239</v>
      </c>
      <c r="G1523" s="38" t="s">
        <v>70</v>
      </c>
      <c r="H1523" s="37"/>
      <c r="I1523" s="37"/>
      <c r="J1523" s="37" t="s">
        <v>1500</v>
      </c>
      <c r="K1523" s="40"/>
      <c r="L1523" s="38"/>
      <c r="M1523" s="38"/>
      <c r="N1523" s="37"/>
      <c r="O1523" s="37"/>
      <c r="P1523" s="37"/>
      <c r="Q1523" s="37"/>
      <c r="R1523" s="39"/>
      <c r="S1523" s="37"/>
      <c r="T1523" s="38" t="s">
        <v>293</v>
      </c>
    </row>
    <row r="1524" ht="34.5">
      <c r="A1524" s="38" t="s">
        <v>1215</v>
      </c>
      <c r="B1524" s="38" t="s">
        <v>1216</v>
      </c>
      <c r="C1524" s="38" t="s">
        <v>1495</v>
      </c>
      <c r="D1524" s="38" t="s">
        <v>288</v>
      </c>
      <c r="E1524" s="38" t="s">
        <v>1238</v>
      </c>
      <c r="F1524" s="37" t="s">
        <v>1239</v>
      </c>
      <c r="G1524" s="38" t="s">
        <v>70</v>
      </c>
      <c r="H1524" s="37"/>
      <c r="I1524" s="37"/>
      <c r="J1524" s="37" t="s">
        <v>1501</v>
      </c>
      <c r="K1524" s="40"/>
      <c r="L1524" s="38"/>
      <c r="M1524" s="38"/>
      <c r="N1524" s="37"/>
      <c r="O1524" s="37"/>
      <c r="P1524" s="37"/>
      <c r="Q1524" s="37"/>
      <c r="R1524" s="39"/>
      <c r="S1524" s="37"/>
      <c r="T1524" s="38" t="s">
        <v>293</v>
      </c>
    </row>
    <row r="1525" ht="34.5">
      <c r="A1525" s="38" t="s">
        <v>1215</v>
      </c>
      <c r="B1525" s="38" t="s">
        <v>1216</v>
      </c>
      <c r="C1525" s="38" t="s">
        <v>1495</v>
      </c>
      <c r="D1525" s="38" t="s">
        <v>288</v>
      </c>
      <c r="E1525" s="38" t="s">
        <v>1238</v>
      </c>
      <c r="F1525" s="37" t="s">
        <v>1239</v>
      </c>
      <c r="G1525" s="38" t="s">
        <v>70</v>
      </c>
      <c r="H1525" s="37"/>
      <c r="I1525" s="37"/>
      <c r="J1525" s="37" t="s">
        <v>1502</v>
      </c>
      <c r="K1525" s="40"/>
      <c r="L1525" s="38"/>
      <c r="M1525" s="38"/>
      <c r="N1525" s="37"/>
      <c r="O1525" s="37"/>
      <c r="P1525" s="37"/>
      <c r="Q1525" s="37"/>
      <c r="R1525" s="39"/>
      <c r="S1525" s="37"/>
      <c r="T1525" s="38" t="s">
        <v>293</v>
      </c>
    </row>
    <row r="1526" ht="34.5">
      <c r="A1526" s="38" t="s">
        <v>1215</v>
      </c>
      <c r="B1526" s="38" t="s">
        <v>1216</v>
      </c>
      <c r="C1526" s="38" t="s">
        <v>1495</v>
      </c>
      <c r="D1526" s="38" t="s">
        <v>288</v>
      </c>
      <c r="E1526" s="38" t="s">
        <v>1238</v>
      </c>
      <c r="F1526" s="37" t="s">
        <v>1239</v>
      </c>
      <c r="G1526" s="38" t="s">
        <v>70</v>
      </c>
      <c r="H1526" s="37"/>
      <c r="I1526" s="37"/>
      <c r="J1526" s="37" t="s">
        <v>1503</v>
      </c>
      <c r="K1526" s="40"/>
      <c r="L1526" s="38"/>
      <c r="M1526" s="38"/>
      <c r="N1526" s="37"/>
      <c r="O1526" s="37"/>
      <c r="P1526" s="37"/>
      <c r="Q1526" s="37"/>
      <c r="R1526" s="39"/>
      <c r="S1526" s="37"/>
      <c r="T1526" s="38" t="s">
        <v>293</v>
      </c>
    </row>
    <row r="1527" ht="34.5">
      <c r="A1527" s="38" t="s">
        <v>1215</v>
      </c>
      <c r="B1527" s="38" t="s">
        <v>1216</v>
      </c>
      <c r="C1527" s="38" t="s">
        <v>1495</v>
      </c>
      <c r="D1527" s="38" t="s">
        <v>288</v>
      </c>
      <c r="E1527" s="38" t="s">
        <v>1238</v>
      </c>
      <c r="F1527" s="37" t="s">
        <v>1239</v>
      </c>
      <c r="G1527" s="38" t="s">
        <v>70</v>
      </c>
      <c r="H1527" s="37"/>
      <c r="I1527" s="37"/>
      <c r="J1527" s="37" t="s">
        <v>1504</v>
      </c>
      <c r="K1527" s="40"/>
      <c r="L1527" s="38"/>
      <c r="M1527" s="38"/>
      <c r="N1527" s="37"/>
      <c r="O1527" s="37"/>
      <c r="P1527" s="37"/>
      <c r="Q1527" s="37"/>
      <c r="R1527" s="39"/>
      <c r="S1527" s="37"/>
      <c r="T1527" s="38" t="s">
        <v>293</v>
      </c>
    </row>
    <row r="1528" ht="34.5">
      <c r="A1528" s="38" t="s">
        <v>1215</v>
      </c>
      <c r="B1528" s="38" t="s">
        <v>1216</v>
      </c>
      <c r="C1528" s="38" t="s">
        <v>1505</v>
      </c>
      <c r="D1528" s="38" t="s">
        <v>288</v>
      </c>
      <c r="E1528" s="38" t="s">
        <v>1238</v>
      </c>
      <c r="F1528" s="37" t="s">
        <v>1239</v>
      </c>
      <c r="G1528" s="38" t="s">
        <v>70</v>
      </c>
      <c r="H1528" s="37"/>
      <c r="I1528" s="37"/>
      <c r="J1528" s="37" t="s">
        <v>1506</v>
      </c>
      <c r="K1528" s="40"/>
      <c r="L1528" s="38"/>
      <c r="M1528" s="38"/>
      <c r="N1528" s="37"/>
      <c r="O1528" s="37"/>
      <c r="P1528" s="37"/>
      <c r="Q1528" s="37"/>
      <c r="R1528" s="39"/>
      <c r="S1528" s="37"/>
      <c r="T1528" s="38" t="s">
        <v>293</v>
      </c>
    </row>
    <row r="1529" ht="34.5">
      <c r="A1529" s="38" t="s">
        <v>1215</v>
      </c>
      <c r="B1529" s="38" t="s">
        <v>1216</v>
      </c>
      <c r="C1529" s="38" t="s">
        <v>1505</v>
      </c>
      <c r="D1529" s="38" t="s">
        <v>288</v>
      </c>
      <c r="E1529" s="38" t="s">
        <v>1238</v>
      </c>
      <c r="F1529" s="37" t="s">
        <v>1239</v>
      </c>
      <c r="G1529" s="38" t="s">
        <v>70</v>
      </c>
      <c r="H1529" s="37"/>
      <c r="I1529" s="37"/>
      <c r="J1529" s="37" t="s">
        <v>1507</v>
      </c>
      <c r="K1529" s="40"/>
      <c r="L1529" s="38"/>
      <c r="M1529" s="38"/>
      <c r="N1529" s="37"/>
      <c r="O1529" s="37"/>
      <c r="P1529" s="37"/>
      <c r="Q1529" s="37"/>
      <c r="R1529" s="39"/>
      <c r="S1529" s="37"/>
      <c r="T1529" s="38" t="s">
        <v>293</v>
      </c>
    </row>
    <row r="1530" ht="34.5">
      <c r="A1530" s="38" t="s">
        <v>1215</v>
      </c>
      <c r="B1530" s="38" t="s">
        <v>1216</v>
      </c>
      <c r="C1530" s="38" t="s">
        <v>1505</v>
      </c>
      <c r="D1530" s="38" t="s">
        <v>288</v>
      </c>
      <c r="E1530" s="38" t="s">
        <v>1238</v>
      </c>
      <c r="F1530" s="37" t="s">
        <v>1239</v>
      </c>
      <c r="G1530" s="38" t="s">
        <v>70</v>
      </c>
      <c r="H1530" s="37"/>
      <c r="I1530" s="37"/>
      <c r="J1530" s="37" t="s">
        <v>1508</v>
      </c>
      <c r="K1530" s="40"/>
      <c r="L1530" s="38"/>
      <c r="M1530" s="38"/>
      <c r="N1530" s="37"/>
      <c r="O1530" s="37"/>
      <c r="P1530" s="37"/>
      <c r="Q1530" s="37"/>
      <c r="R1530" s="39"/>
      <c r="S1530" s="37"/>
      <c r="T1530" s="38" t="s">
        <v>293</v>
      </c>
    </row>
    <row r="1531" ht="34.5">
      <c r="A1531" s="38" t="s">
        <v>1215</v>
      </c>
      <c r="B1531" s="38" t="s">
        <v>1216</v>
      </c>
      <c r="C1531" s="38" t="s">
        <v>1505</v>
      </c>
      <c r="D1531" s="38" t="s">
        <v>288</v>
      </c>
      <c r="E1531" s="38" t="s">
        <v>1238</v>
      </c>
      <c r="F1531" s="37" t="s">
        <v>1239</v>
      </c>
      <c r="G1531" s="38" t="s">
        <v>70</v>
      </c>
      <c r="H1531" s="37"/>
      <c r="I1531" s="37"/>
      <c r="J1531" s="37" t="s">
        <v>1509</v>
      </c>
      <c r="K1531" s="40"/>
      <c r="L1531" s="38"/>
      <c r="M1531" s="38"/>
      <c r="N1531" s="37"/>
      <c r="O1531" s="37"/>
      <c r="P1531" s="37"/>
      <c r="Q1531" s="37"/>
      <c r="R1531" s="39"/>
      <c r="S1531" s="37"/>
      <c r="T1531" s="38" t="s">
        <v>293</v>
      </c>
    </row>
    <row r="1532" ht="34.5">
      <c r="A1532" s="38" t="s">
        <v>1215</v>
      </c>
      <c r="B1532" s="38" t="s">
        <v>1216</v>
      </c>
      <c r="C1532" s="38" t="s">
        <v>1505</v>
      </c>
      <c r="D1532" s="38" t="s">
        <v>288</v>
      </c>
      <c r="E1532" s="38" t="s">
        <v>1238</v>
      </c>
      <c r="F1532" s="37" t="s">
        <v>1239</v>
      </c>
      <c r="G1532" s="38" t="s">
        <v>70</v>
      </c>
      <c r="H1532" s="37"/>
      <c r="I1532" s="37"/>
      <c r="J1532" s="37" t="s">
        <v>1510</v>
      </c>
      <c r="K1532" s="40"/>
      <c r="L1532" s="38"/>
      <c r="M1532" s="38"/>
      <c r="N1532" s="37"/>
      <c r="O1532" s="37"/>
      <c r="P1532" s="37"/>
      <c r="Q1532" s="37"/>
      <c r="R1532" s="39"/>
      <c r="S1532" s="37"/>
      <c r="T1532" s="38" t="s">
        <v>293</v>
      </c>
    </row>
    <row r="1533" ht="34.5">
      <c r="A1533" s="38" t="s">
        <v>1215</v>
      </c>
      <c r="B1533" s="38" t="s">
        <v>1216</v>
      </c>
      <c r="C1533" s="38" t="s">
        <v>1505</v>
      </c>
      <c r="D1533" s="38" t="s">
        <v>288</v>
      </c>
      <c r="E1533" s="38" t="s">
        <v>1238</v>
      </c>
      <c r="F1533" s="37" t="s">
        <v>1239</v>
      </c>
      <c r="G1533" s="38" t="s">
        <v>70</v>
      </c>
      <c r="H1533" s="37"/>
      <c r="I1533" s="37"/>
      <c r="J1533" s="37" t="s">
        <v>1511</v>
      </c>
      <c r="K1533" s="40"/>
      <c r="L1533" s="38"/>
      <c r="M1533" s="38"/>
      <c r="N1533" s="37"/>
      <c r="O1533" s="37"/>
      <c r="P1533" s="37"/>
      <c r="Q1533" s="37"/>
      <c r="R1533" s="39"/>
      <c r="S1533" s="37"/>
      <c r="T1533" s="38" t="s">
        <v>293</v>
      </c>
    </row>
    <row r="1534" ht="34.5">
      <c r="A1534" s="38" t="s">
        <v>1215</v>
      </c>
      <c r="B1534" s="38" t="s">
        <v>1216</v>
      </c>
      <c r="C1534" s="38" t="s">
        <v>1505</v>
      </c>
      <c r="D1534" s="38" t="s">
        <v>288</v>
      </c>
      <c r="E1534" s="38" t="s">
        <v>1238</v>
      </c>
      <c r="F1534" s="37" t="s">
        <v>1239</v>
      </c>
      <c r="G1534" s="38" t="s">
        <v>70</v>
      </c>
      <c r="H1534" s="37"/>
      <c r="I1534" s="37"/>
      <c r="J1534" s="37" t="s">
        <v>1512</v>
      </c>
      <c r="K1534" s="40"/>
      <c r="L1534" s="38"/>
      <c r="M1534" s="38"/>
      <c r="N1534" s="37"/>
      <c r="O1534" s="37"/>
      <c r="P1534" s="37"/>
      <c r="Q1534" s="37"/>
      <c r="R1534" s="39"/>
      <c r="S1534" s="37"/>
      <c r="T1534" s="38" t="s">
        <v>293</v>
      </c>
    </row>
    <row r="1535" ht="34.5">
      <c r="A1535" s="38" t="s">
        <v>1215</v>
      </c>
      <c r="B1535" s="38" t="s">
        <v>1216</v>
      </c>
      <c r="C1535" s="38" t="s">
        <v>1505</v>
      </c>
      <c r="D1535" s="38" t="s">
        <v>288</v>
      </c>
      <c r="E1535" s="38" t="s">
        <v>1238</v>
      </c>
      <c r="F1535" s="37" t="s">
        <v>1239</v>
      </c>
      <c r="G1535" s="38" t="s">
        <v>70</v>
      </c>
      <c r="H1535" s="37"/>
      <c r="I1535" s="37"/>
      <c r="J1535" s="37" t="s">
        <v>1513</v>
      </c>
      <c r="K1535" s="40"/>
      <c r="L1535" s="38"/>
      <c r="M1535" s="38"/>
      <c r="N1535" s="37"/>
      <c r="O1535" s="37"/>
      <c r="P1535" s="37"/>
      <c r="Q1535" s="37"/>
      <c r="R1535" s="39"/>
      <c r="S1535" s="37"/>
      <c r="T1535" s="38" t="s">
        <v>293</v>
      </c>
    </row>
    <row r="1536" ht="34.5">
      <c r="A1536" s="38" t="s">
        <v>1215</v>
      </c>
      <c r="B1536" s="38" t="s">
        <v>1216</v>
      </c>
      <c r="C1536" s="38" t="s">
        <v>1505</v>
      </c>
      <c r="D1536" s="38" t="s">
        <v>288</v>
      </c>
      <c r="E1536" s="38" t="s">
        <v>1238</v>
      </c>
      <c r="F1536" s="37" t="s">
        <v>1239</v>
      </c>
      <c r="G1536" s="38" t="s">
        <v>70</v>
      </c>
      <c r="H1536" s="37"/>
      <c r="I1536" s="37"/>
      <c r="J1536" s="37" t="s">
        <v>1514</v>
      </c>
      <c r="K1536" s="40"/>
      <c r="L1536" s="38"/>
      <c r="M1536" s="38"/>
      <c r="N1536" s="37"/>
      <c r="O1536" s="37"/>
      <c r="P1536" s="37"/>
      <c r="Q1536" s="37"/>
      <c r="R1536" s="39"/>
      <c r="S1536" s="37"/>
      <c r="T1536" s="38" t="s">
        <v>293</v>
      </c>
    </row>
    <row r="1537" ht="34.5">
      <c r="A1537" s="38" t="s">
        <v>1215</v>
      </c>
      <c r="B1537" s="38" t="s">
        <v>1216</v>
      </c>
      <c r="C1537" s="38" t="s">
        <v>1505</v>
      </c>
      <c r="D1537" s="38" t="s">
        <v>288</v>
      </c>
      <c r="E1537" s="38" t="s">
        <v>1238</v>
      </c>
      <c r="F1537" s="37" t="s">
        <v>1239</v>
      </c>
      <c r="G1537" s="38" t="s">
        <v>70</v>
      </c>
      <c r="H1537" s="37"/>
      <c r="I1537" s="37"/>
      <c r="J1537" s="37" t="s">
        <v>1515</v>
      </c>
      <c r="K1537" s="40"/>
      <c r="L1537" s="38"/>
      <c r="M1537" s="38"/>
      <c r="N1537" s="37"/>
      <c r="O1537" s="37"/>
      <c r="P1537" s="37"/>
      <c r="Q1537" s="37"/>
      <c r="R1537" s="39"/>
      <c r="S1537" s="37"/>
      <c r="T1537" s="38" t="s">
        <v>293</v>
      </c>
    </row>
    <row r="1538" ht="34.5">
      <c r="A1538" s="38" t="s">
        <v>1215</v>
      </c>
      <c r="B1538" s="38" t="s">
        <v>1216</v>
      </c>
      <c r="C1538" s="38" t="s">
        <v>1505</v>
      </c>
      <c r="D1538" s="38" t="s">
        <v>288</v>
      </c>
      <c r="E1538" s="38" t="s">
        <v>1238</v>
      </c>
      <c r="F1538" s="37" t="s">
        <v>1239</v>
      </c>
      <c r="G1538" s="38" t="s">
        <v>70</v>
      </c>
      <c r="H1538" s="37"/>
      <c r="I1538" s="37"/>
      <c r="J1538" s="37" t="s">
        <v>1516</v>
      </c>
      <c r="K1538" s="40"/>
      <c r="L1538" s="38"/>
      <c r="M1538" s="38"/>
      <c r="N1538" s="37"/>
      <c r="O1538" s="37"/>
      <c r="P1538" s="37"/>
      <c r="Q1538" s="37"/>
      <c r="R1538" s="39"/>
      <c r="S1538" s="37"/>
      <c r="T1538" s="38" t="s">
        <v>293</v>
      </c>
    </row>
    <row r="1539" ht="34.5">
      <c r="A1539" s="38" t="s">
        <v>1215</v>
      </c>
      <c r="B1539" s="38" t="s">
        <v>1216</v>
      </c>
      <c r="C1539" s="38" t="s">
        <v>1505</v>
      </c>
      <c r="D1539" s="38" t="s">
        <v>288</v>
      </c>
      <c r="E1539" s="38" t="s">
        <v>1238</v>
      </c>
      <c r="F1539" s="37" t="s">
        <v>1239</v>
      </c>
      <c r="G1539" s="38" t="s">
        <v>70</v>
      </c>
      <c r="H1539" s="37"/>
      <c r="I1539" s="37"/>
      <c r="J1539" s="37" t="s">
        <v>1517</v>
      </c>
      <c r="K1539" s="40"/>
      <c r="L1539" s="38"/>
      <c r="M1539" s="38"/>
      <c r="N1539" s="37"/>
      <c r="O1539" s="37"/>
      <c r="P1539" s="37"/>
      <c r="Q1539" s="37"/>
      <c r="R1539" s="39"/>
      <c r="S1539" s="37"/>
      <c r="T1539" s="38" t="s">
        <v>293</v>
      </c>
    </row>
    <row r="1540" ht="34.5">
      <c r="A1540" s="38" t="s">
        <v>1215</v>
      </c>
      <c r="B1540" s="38" t="s">
        <v>1216</v>
      </c>
      <c r="C1540" s="38" t="s">
        <v>1505</v>
      </c>
      <c r="D1540" s="38" t="s">
        <v>288</v>
      </c>
      <c r="E1540" s="38" t="s">
        <v>1238</v>
      </c>
      <c r="F1540" s="37" t="s">
        <v>1239</v>
      </c>
      <c r="G1540" s="38" t="s">
        <v>70</v>
      </c>
      <c r="H1540" s="37"/>
      <c r="I1540" s="37"/>
      <c r="J1540" s="37" t="s">
        <v>1518</v>
      </c>
      <c r="K1540" s="40"/>
      <c r="L1540" s="38"/>
      <c r="M1540" s="38"/>
      <c r="N1540" s="37"/>
      <c r="O1540" s="37"/>
      <c r="P1540" s="37"/>
      <c r="Q1540" s="37"/>
      <c r="R1540" s="39"/>
      <c r="S1540" s="37"/>
      <c r="T1540" s="38" t="s">
        <v>293</v>
      </c>
    </row>
    <row r="1541" ht="34.5">
      <c r="A1541" s="38" t="s">
        <v>1215</v>
      </c>
      <c r="B1541" s="38" t="s">
        <v>1216</v>
      </c>
      <c r="C1541" s="38" t="s">
        <v>1519</v>
      </c>
      <c r="D1541" s="38" t="s">
        <v>288</v>
      </c>
      <c r="E1541" s="38" t="s">
        <v>1238</v>
      </c>
      <c r="F1541" s="37" t="s">
        <v>1239</v>
      </c>
      <c r="G1541" s="38" t="s">
        <v>70</v>
      </c>
      <c r="H1541" s="37"/>
      <c r="I1541" s="37"/>
      <c r="J1541" s="37" t="s">
        <v>1520</v>
      </c>
      <c r="K1541" s="40"/>
      <c r="L1541" s="38"/>
      <c r="M1541" s="38"/>
      <c r="N1541" s="37"/>
      <c r="O1541" s="37"/>
      <c r="P1541" s="37"/>
      <c r="Q1541" s="37"/>
      <c r="R1541" s="39"/>
      <c r="S1541" s="37"/>
      <c r="T1541" s="38" t="s">
        <v>293</v>
      </c>
    </row>
    <row r="1542" ht="34.5">
      <c r="A1542" s="38" t="s">
        <v>1215</v>
      </c>
      <c r="B1542" s="38" t="s">
        <v>1216</v>
      </c>
      <c r="C1542" s="38" t="s">
        <v>1519</v>
      </c>
      <c r="D1542" s="38" t="s">
        <v>288</v>
      </c>
      <c r="E1542" s="38" t="s">
        <v>1238</v>
      </c>
      <c r="F1542" s="37" t="s">
        <v>1239</v>
      </c>
      <c r="G1542" s="38" t="s">
        <v>70</v>
      </c>
      <c r="H1542" s="37"/>
      <c r="I1542" s="37"/>
      <c r="J1542" s="37" t="s">
        <v>1521</v>
      </c>
      <c r="K1542" s="40"/>
      <c r="L1542" s="38"/>
      <c r="M1542" s="38"/>
      <c r="N1542" s="37"/>
      <c r="O1542" s="37"/>
      <c r="P1542" s="37"/>
      <c r="Q1542" s="37"/>
      <c r="R1542" s="39"/>
      <c r="S1542" s="37"/>
      <c r="T1542" s="38" t="s">
        <v>293</v>
      </c>
    </row>
    <row r="1543" ht="34.5">
      <c r="A1543" s="38" t="s">
        <v>1215</v>
      </c>
      <c r="B1543" s="38" t="s">
        <v>1216</v>
      </c>
      <c r="C1543" s="38" t="s">
        <v>1519</v>
      </c>
      <c r="D1543" s="38" t="s">
        <v>288</v>
      </c>
      <c r="E1543" s="38" t="s">
        <v>1238</v>
      </c>
      <c r="F1543" s="37" t="s">
        <v>1239</v>
      </c>
      <c r="G1543" s="38" t="s">
        <v>70</v>
      </c>
      <c r="H1543" s="37"/>
      <c r="I1543" s="37"/>
      <c r="J1543" s="37" t="s">
        <v>1522</v>
      </c>
      <c r="K1543" s="40"/>
      <c r="L1543" s="38"/>
      <c r="M1543" s="38"/>
      <c r="N1543" s="37"/>
      <c r="O1543" s="37"/>
      <c r="P1543" s="37"/>
      <c r="Q1543" s="37"/>
      <c r="R1543" s="39"/>
      <c r="S1543" s="37"/>
      <c r="T1543" s="38" t="s">
        <v>293</v>
      </c>
    </row>
    <row r="1544" ht="34.5">
      <c r="A1544" s="38" t="s">
        <v>1215</v>
      </c>
      <c r="B1544" s="38" t="s">
        <v>1216</v>
      </c>
      <c r="C1544" s="38" t="s">
        <v>1519</v>
      </c>
      <c r="D1544" s="38" t="s">
        <v>288</v>
      </c>
      <c r="E1544" s="38" t="s">
        <v>1238</v>
      </c>
      <c r="F1544" s="37" t="s">
        <v>1239</v>
      </c>
      <c r="G1544" s="38" t="s">
        <v>70</v>
      </c>
      <c r="H1544" s="37"/>
      <c r="I1544" s="37"/>
      <c r="J1544" s="37" t="s">
        <v>1523</v>
      </c>
      <c r="K1544" s="40"/>
      <c r="L1544" s="38"/>
      <c r="M1544" s="38"/>
      <c r="N1544" s="37"/>
      <c r="O1544" s="37"/>
      <c r="P1544" s="37"/>
      <c r="Q1544" s="37"/>
      <c r="R1544" s="39"/>
      <c r="S1544" s="37"/>
      <c r="T1544" s="38" t="s">
        <v>293</v>
      </c>
    </row>
    <row r="1545" ht="34.5">
      <c r="A1545" s="38" t="s">
        <v>1215</v>
      </c>
      <c r="B1545" s="38" t="s">
        <v>1216</v>
      </c>
      <c r="C1545" s="38" t="s">
        <v>1519</v>
      </c>
      <c r="D1545" s="38" t="s">
        <v>288</v>
      </c>
      <c r="E1545" s="38" t="s">
        <v>1238</v>
      </c>
      <c r="F1545" s="37" t="s">
        <v>1239</v>
      </c>
      <c r="G1545" s="38" t="s">
        <v>70</v>
      </c>
      <c r="H1545" s="37"/>
      <c r="I1545" s="37"/>
      <c r="J1545" s="37" t="s">
        <v>1524</v>
      </c>
      <c r="K1545" s="40"/>
      <c r="L1545" s="38"/>
      <c r="M1545" s="38"/>
      <c r="N1545" s="37"/>
      <c r="O1545" s="37"/>
      <c r="P1545" s="37"/>
      <c r="Q1545" s="37"/>
      <c r="R1545" s="39"/>
      <c r="S1545" s="37"/>
      <c r="T1545" s="38" t="s">
        <v>293</v>
      </c>
    </row>
    <row r="1546" ht="34.5">
      <c r="A1546" s="38" t="s">
        <v>1215</v>
      </c>
      <c r="B1546" s="38" t="s">
        <v>1216</v>
      </c>
      <c r="C1546" s="38" t="s">
        <v>1519</v>
      </c>
      <c r="D1546" s="38" t="s">
        <v>288</v>
      </c>
      <c r="E1546" s="38" t="s">
        <v>1238</v>
      </c>
      <c r="F1546" s="37" t="s">
        <v>1239</v>
      </c>
      <c r="G1546" s="38" t="s">
        <v>70</v>
      </c>
      <c r="H1546" s="37"/>
      <c r="I1546" s="37"/>
      <c r="J1546" s="37" t="s">
        <v>1525</v>
      </c>
      <c r="K1546" s="40"/>
      <c r="L1546" s="38"/>
      <c r="M1546" s="38"/>
      <c r="N1546" s="37"/>
      <c r="O1546" s="37"/>
      <c r="P1546" s="37"/>
      <c r="Q1546" s="37"/>
      <c r="R1546" s="39"/>
      <c r="S1546" s="37"/>
      <c r="T1546" s="38" t="s">
        <v>293</v>
      </c>
    </row>
    <row r="1547" ht="34.5">
      <c r="A1547" s="38" t="s">
        <v>1215</v>
      </c>
      <c r="B1547" s="38" t="s">
        <v>1216</v>
      </c>
      <c r="C1547" s="38" t="s">
        <v>1519</v>
      </c>
      <c r="D1547" s="38" t="s">
        <v>288</v>
      </c>
      <c r="E1547" s="38" t="s">
        <v>1238</v>
      </c>
      <c r="F1547" s="37" t="s">
        <v>1239</v>
      </c>
      <c r="G1547" s="38" t="s">
        <v>70</v>
      </c>
      <c r="H1547" s="37"/>
      <c r="I1547" s="37"/>
      <c r="J1547" s="37" t="s">
        <v>1526</v>
      </c>
      <c r="K1547" s="40"/>
      <c r="L1547" s="38"/>
      <c r="M1547" s="38"/>
      <c r="N1547" s="37"/>
      <c r="O1547" s="37"/>
      <c r="P1547" s="37"/>
      <c r="Q1547" s="37"/>
      <c r="R1547" s="39"/>
      <c r="S1547" s="37"/>
      <c r="T1547" s="38" t="s">
        <v>293</v>
      </c>
    </row>
    <row r="1548" ht="34.5">
      <c r="A1548" s="38" t="s">
        <v>1215</v>
      </c>
      <c r="B1548" s="38" t="s">
        <v>1216</v>
      </c>
      <c r="C1548" s="38" t="s">
        <v>1519</v>
      </c>
      <c r="D1548" s="38" t="s">
        <v>288</v>
      </c>
      <c r="E1548" s="38" t="s">
        <v>1238</v>
      </c>
      <c r="F1548" s="37" t="s">
        <v>1239</v>
      </c>
      <c r="G1548" s="38" t="s">
        <v>70</v>
      </c>
      <c r="H1548" s="37"/>
      <c r="I1548" s="37"/>
      <c r="J1548" s="37" t="s">
        <v>1527</v>
      </c>
      <c r="K1548" s="40"/>
      <c r="L1548" s="38"/>
      <c r="M1548" s="38"/>
      <c r="N1548" s="37"/>
      <c r="O1548" s="37"/>
      <c r="P1548" s="37"/>
      <c r="Q1548" s="37"/>
      <c r="R1548" s="39"/>
      <c r="S1548" s="37"/>
      <c r="T1548" s="38" t="s">
        <v>293</v>
      </c>
    </row>
    <row r="1549" ht="34.5">
      <c r="A1549" s="38" t="s">
        <v>1215</v>
      </c>
      <c r="B1549" s="38" t="s">
        <v>1216</v>
      </c>
      <c r="C1549" s="38" t="s">
        <v>1519</v>
      </c>
      <c r="D1549" s="38" t="s">
        <v>288</v>
      </c>
      <c r="E1549" s="38" t="s">
        <v>1238</v>
      </c>
      <c r="F1549" s="37" t="s">
        <v>1239</v>
      </c>
      <c r="G1549" s="38" t="s">
        <v>70</v>
      </c>
      <c r="H1549" s="37"/>
      <c r="I1549" s="37"/>
      <c r="J1549" s="37" t="s">
        <v>1528</v>
      </c>
      <c r="K1549" s="40"/>
      <c r="L1549" s="38"/>
      <c r="M1549" s="38"/>
      <c r="N1549" s="37"/>
      <c r="O1549" s="37"/>
      <c r="P1549" s="37"/>
      <c r="Q1549" s="37"/>
      <c r="R1549" s="39"/>
      <c r="S1549" s="37"/>
      <c r="T1549" s="38" t="s">
        <v>293</v>
      </c>
    </row>
    <row r="1550" ht="34.5">
      <c r="A1550" s="38" t="s">
        <v>1215</v>
      </c>
      <c r="B1550" s="38" t="s">
        <v>1216</v>
      </c>
      <c r="C1550" s="38" t="s">
        <v>1519</v>
      </c>
      <c r="D1550" s="38" t="s">
        <v>288</v>
      </c>
      <c r="E1550" s="38" t="s">
        <v>1238</v>
      </c>
      <c r="F1550" s="37" t="s">
        <v>1239</v>
      </c>
      <c r="G1550" s="38" t="s">
        <v>70</v>
      </c>
      <c r="H1550" s="37"/>
      <c r="I1550" s="37"/>
      <c r="J1550" s="37" t="s">
        <v>1529</v>
      </c>
      <c r="K1550" s="40"/>
      <c r="L1550" s="38"/>
      <c r="M1550" s="38"/>
      <c r="N1550" s="37"/>
      <c r="O1550" s="37"/>
      <c r="P1550" s="37"/>
      <c r="Q1550" s="37"/>
      <c r="R1550" s="39"/>
      <c r="S1550" s="37"/>
      <c r="T1550" s="38" t="s">
        <v>293</v>
      </c>
    </row>
    <row r="1551" ht="34.5">
      <c r="A1551" s="38" t="s">
        <v>1215</v>
      </c>
      <c r="B1551" s="38" t="s">
        <v>1216</v>
      </c>
      <c r="C1551" s="38" t="s">
        <v>1530</v>
      </c>
      <c r="D1551" s="38" t="s">
        <v>288</v>
      </c>
      <c r="E1551" s="38" t="s">
        <v>1238</v>
      </c>
      <c r="F1551" s="37" t="s">
        <v>1239</v>
      </c>
      <c r="G1551" s="38" t="s">
        <v>70</v>
      </c>
      <c r="H1551" s="37"/>
      <c r="I1551" s="37"/>
      <c r="J1551" s="37" t="s">
        <v>1531</v>
      </c>
      <c r="K1551" s="40"/>
      <c r="L1551" s="38"/>
      <c r="M1551" s="38"/>
      <c r="N1551" s="37"/>
      <c r="O1551" s="37"/>
      <c r="P1551" s="37"/>
      <c r="Q1551" s="37"/>
      <c r="R1551" s="39"/>
      <c r="S1551" s="37"/>
      <c r="T1551" s="38" t="s">
        <v>293</v>
      </c>
    </row>
    <row r="1552" ht="34.5">
      <c r="A1552" s="38" t="s">
        <v>1215</v>
      </c>
      <c r="B1552" s="38" t="s">
        <v>1216</v>
      </c>
      <c r="C1552" s="38" t="s">
        <v>1530</v>
      </c>
      <c r="D1552" s="38" t="s">
        <v>288</v>
      </c>
      <c r="E1552" s="38" t="s">
        <v>1238</v>
      </c>
      <c r="F1552" s="37" t="s">
        <v>1239</v>
      </c>
      <c r="G1552" s="38" t="s">
        <v>70</v>
      </c>
      <c r="H1552" s="37"/>
      <c r="I1552" s="37"/>
      <c r="J1552" s="37" t="s">
        <v>1532</v>
      </c>
      <c r="K1552" s="40"/>
      <c r="L1552" s="38"/>
      <c r="M1552" s="38"/>
      <c r="N1552" s="37"/>
      <c r="O1552" s="37"/>
      <c r="P1552" s="37"/>
      <c r="Q1552" s="37"/>
      <c r="R1552" s="39"/>
      <c r="S1552" s="37"/>
      <c r="T1552" s="38" t="s">
        <v>293</v>
      </c>
    </row>
    <row r="1553" ht="34.5">
      <c r="A1553" s="38" t="s">
        <v>1215</v>
      </c>
      <c r="B1553" s="38" t="s">
        <v>1216</v>
      </c>
      <c r="C1553" s="38" t="s">
        <v>1530</v>
      </c>
      <c r="D1553" s="38" t="s">
        <v>288</v>
      </c>
      <c r="E1553" s="38" t="s">
        <v>1238</v>
      </c>
      <c r="F1553" s="37" t="s">
        <v>1239</v>
      </c>
      <c r="G1553" s="38" t="s">
        <v>70</v>
      </c>
      <c r="H1553" s="37"/>
      <c r="I1553" s="37"/>
      <c r="J1553" s="37" t="s">
        <v>1533</v>
      </c>
      <c r="K1553" s="40"/>
      <c r="L1553" s="38"/>
      <c r="M1553" s="38"/>
      <c r="N1553" s="37"/>
      <c r="O1553" s="37"/>
      <c r="P1553" s="37"/>
      <c r="Q1553" s="37"/>
      <c r="R1553" s="39"/>
      <c r="S1553" s="37"/>
      <c r="T1553" s="38" t="s">
        <v>293</v>
      </c>
    </row>
    <row r="1554" ht="34.5">
      <c r="A1554" s="38" t="s">
        <v>1215</v>
      </c>
      <c r="B1554" s="38" t="s">
        <v>1216</v>
      </c>
      <c r="C1554" s="38" t="s">
        <v>1530</v>
      </c>
      <c r="D1554" s="38" t="s">
        <v>288</v>
      </c>
      <c r="E1554" s="38" t="s">
        <v>1238</v>
      </c>
      <c r="F1554" s="37" t="s">
        <v>1239</v>
      </c>
      <c r="G1554" s="38" t="s">
        <v>70</v>
      </c>
      <c r="H1554" s="37"/>
      <c r="I1554" s="37"/>
      <c r="J1554" s="37" t="s">
        <v>1534</v>
      </c>
      <c r="K1554" s="40"/>
      <c r="L1554" s="38"/>
      <c r="M1554" s="38"/>
      <c r="N1554" s="37"/>
      <c r="O1554" s="37"/>
      <c r="P1554" s="37"/>
      <c r="Q1554" s="37"/>
      <c r="R1554" s="39"/>
      <c r="S1554" s="37"/>
      <c r="T1554" s="38" t="s">
        <v>293</v>
      </c>
    </row>
    <row r="1555" ht="34.5">
      <c r="A1555" s="38" t="s">
        <v>1215</v>
      </c>
      <c r="B1555" s="38" t="s">
        <v>1216</v>
      </c>
      <c r="C1555" s="38" t="s">
        <v>1530</v>
      </c>
      <c r="D1555" s="38" t="s">
        <v>288</v>
      </c>
      <c r="E1555" s="38" t="s">
        <v>1238</v>
      </c>
      <c r="F1555" s="37" t="s">
        <v>1239</v>
      </c>
      <c r="G1555" s="38" t="s">
        <v>70</v>
      </c>
      <c r="H1555" s="37"/>
      <c r="I1555" s="37"/>
      <c r="J1555" s="37" t="s">
        <v>1535</v>
      </c>
      <c r="K1555" s="40"/>
      <c r="L1555" s="38"/>
      <c r="M1555" s="38"/>
      <c r="N1555" s="37"/>
      <c r="O1555" s="37"/>
      <c r="P1555" s="37"/>
      <c r="Q1555" s="37"/>
      <c r="R1555" s="39"/>
      <c r="S1555" s="37"/>
      <c r="T1555" s="38" t="s">
        <v>293</v>
      </c>
    </row>
    <row r="1556" ht="34.5">
      <c r="A1556" s="38" t="s">
        <v>1215</v>
      </c>
      <c r="B1556" s="38" t="s">
        <v>1216</v>
      </c>
      <c r="C1556" s="38" t="s">
        <v>1530</v>
      </c>
      <c r="D1556" s="38" t="s">
        <v>288</v>
      </c>
      <c r="E1556" s="38" t="s">
        <v>1238</v>
      </c>
      <c r="F1556" s="37" t="s">
        <v>1239</v>
      </c>
      <c r="G1556" s="38" t="s">
        <v>70</v>
      </c>
      <c r="H1556" s="37"/>
      <c r="I1556" s="37"/>
      <c r="J1556" s="37" t="s">
        <v>1536</v>
      </c>
      <c r="K1556" s="40"/>
      <c r="L1556" s="38"/>
      <c r="M1556" s="38"/>
      <c r="N1556" s="37"/>
      <c r="O1556" s="37"/>
      <c r="P1556" s="37"/>
      <c r="Q1556" s="37"/>
      <c r="R1556" s="39"/>
      <c r="S1556" s="37"/>
      <c r="T1556" s="38" t="s">
        <v>293</v>
      </c>
    </row>
    <row r="1557" ht="34.5">
      <c r="A1557" s="38" t="s">
        <v>1215</v>
      </c>
      <c r="B1557" s="38" t="s">
        <v>1216</v>
      </c>
      <c r="C1557" s="38" t="s">
        <v>1530</v>
      </c>
      <c r="D1557" s="38" t="s">
        <v>288</v>
      </c>
      <c r="E1557" s="38" t="s">
        <v>1238</v>
      </c>
      <c r="F1557" s="37" t="s">
        <v>1239</v>
      </c>
      <c r="G1557" s="38" t="s">
        <v>70</v>
      </c>
      <c r="H1557" s="37"/>
      <c r="I1557" s="37"/>
      <c r="J1557" s="37" t="s">
        <v>1537</v>
      </c>
      <c r="K1557" s="40"/>
      <c r="L1557" s="38"/>
      <c r="M1557" s="38"/>
      <c r="N1557" s="37"/>
      <c r="O1557" s="37"/>
      <c r="P1557" s="37"/>
      <c r="Q1557" s="37"/>
      <c r="R1557" s="39"/>
      <c r="S1557" s="37"/>
      <c r="T1557" s="38" t="s">
        <v>293</v>
      </c>
    </row>
    <row r="1558" ht="34.5">
      <c r="A1558" s="38" t="s">
        <v>1215</v>
      </c>
      <c r="B1558" s="38" t="s">
        <v>1216</v>
      </c>
      <c r="C1558" s="38" t="s">
        <v>1530</v>
      </c>
      <c r="D1558" s="38" t="s">
        <v>288</v>
      </c>
      <c r="E1558" s="38" t="s">
        <v>1238</v>
      </c>
      <c r="F1558" s="37" t="s">
        <v>1239</v>
      </c>
      <c r="G1558" s="38" t="s">
        <v>70</v>
      </c>
      <c r="H1558" s="37"/>
      <c r="I1558" s="37"/>
      <c r="J1558" s="37" t="s">
        <v>1538</v>
      </c>
      <c r="K1558" s="40"/>
      <c r="L1558" s="38"/>
      <c r="M1558" s="38"/>
      <c r="N1558" s="37"/>
      <c r="O1558" s="37"/>
      <c r="P1558" s="37"/>
      <c r="Q1558" s="37"/>
      <c r="R1558" s="39"/>
      <c r="S1558" s="37"/>
      <c r="T1558" s="38" t="s">
        <v>293</v>
      </c>
    </row>
    <row r="1559" ht="34.5">
      <c r="A1559" s="38" t="s">
        <v>1215</v>
      </c>
      <c r="B1559" s="38" t="s">
        <v>1216</v>
      </c>
      <c r="C1559" s="38" t="s">
        <v>1530</v>
      </c>
      <c r="D1559" s="38" t="s">
        <v>288</v>
      </c>
      <c r="E1559" s="38" t="s">
        <v>1238</v>
      </c>
      <c r="F1559" s="37" t="s">
        <v>1239</v>
      </c>
      <c r="G1559" s="38" t="s">
        <v>70</v>
      </c>
      <c r="H1559" s="37"/>
      <c r="I1559" s="37"/>
      <c r="J1559" s="37" t="s">
        <v>1539</v>
      </c>
      <c r="K1559" s="40"/>
      <c r="L1559" s="38"/>
      <c r="M1559" s="38"/>
      <c r="N1559" s="37"/>
      <c r="O1559" s="37"/>
      <c r="P1559" s="37"/>
      <c r="Q1559" s="37"/>
      <c r="R1559" s="39"/>
      <c r="S1559" s="37"/>
      <c r="T1559" s="38" t="s">
        <v>293</v>
      </c>
    </row>
    <row r="1560" ht="34.5">
      <c r="A1560" s="38" t="s">
        <v>1215</v>
      </c>
      <c r="B1560" s="38" t="s">
        <v>1216</v>
      </c>
      <c r="C1560" s="38" t="s">
        <v>1530</v>
      </c>
      <c r="D1560" s="38" t="s">
        <v>288</v>
      </c>
      <c r="E1560" s="38" t="s">
        <v>1238</v>
      </c>
      <c r="F1560" s="37" t="s">
        <v>1239</v>
      </c>
      <c r="G1560" s="38" t="s">
        <v>70</v>
      </c>
      <c r="H1560" s="37"/>
      <c r="I1560" s="37"/>
      <c r="J1560" s="37" t="s">
        <v>1540</v>
      </c>
      <c r="K1560" s="40"/>
      <c r="L1560" s="38"/>
      <c r="M1560" s="38"/>
      <c r="N1560" s="37"/>
      <c r="O1560" s="37"/>
      <c r="P1560" s="37"/>
      <c r="Q1560" s="37"/>
      <c r="R1560" s="39"/>
      <c r="S1560" s="37"/>
      <c r="T1560" s="38" t="s">
        <v>293</v>
      </c>
    </row>
    <row r="1561" ht="34.5">
      <c r="A1561" s="38" t="s">
        <v>1215</v>
      </c>
      <c r="B1561" s="38" t="s">
        <v>1216</v>
      </c>
      <c r="C1561" s="38" t="s">
        <v>1541</v>
      </c>
      <c r="D1561" s="38" t="s">
        <v>288</v>
      </c>
      <c r="E1561" s="38" t="s">
        <v>1238</v>
      </c>
      <c r="F1561" s="37" t="s">
        <v>1239</v>
      </c>
      <c r="G1561" s="38" t="s">
        <v>70</v>
      </c>
      <c r="H1561" s="37"/>
      <c r="I1561" s="37"/>
      <c r="J1561" s="37" t="s">
        <v>1542</v>
      </c>
      <c r="K1561" s="40"/>
      <c r="L1561" s="38"/>
      <c r="M1561" s="38"/>
      <c r="N1561" s="37"/>
      <c r="O1561" s="37"/>
      <c r="P1561" s="37"/>
      <c r="Q1561" s="37"/>
      <c r="R1561" s="39"/>
      <c r="S1561" s="37"/>
      <c r="T1561" s="38" t="s">
        <v>293</v>
      </c>
    </row>
    <row r="1562" ht="34.5">
      <c r="A1562" s="38" t="s">
        <v>1215</v>
      </c>
      <c r="B1562" s="38" t="s">
        <v>1216</v>
      </c>
      <c r="C1562" s="38" t="s">
        <v>1541</v>
      </c>
      <c r="D1562" s="38" t="s">
        <v>288</v>
      </c>
      <c r="E1562" s="38" t="s">
        <v>1238</v>
      </c>
      <c r="F1562" s="37" t="s">
        <v>1239</v>
      </c>
      <c r="G1562" s="38" t="s">
        <v>70</v>
      </c>
      <c r="H1562" s="37"/>
      <c r="I1562" s="37"/>
      <c r="J1562" s="37" t="s">
        <v>1543</v>
      </c>
      <c r="K1562" s="40">
        <v>-2000000</v>
      </c>
      <c r="L1562" s="38" t="s">
        <v>297</v>
      </c>
      <c r="M1562" s="38"/>
      <c r="N1562" s="37"/>
      <c r="O1562" s="37"/>
      <c r="P1562" s="37"/>
      <c r="Q1562" s="37"/>
      <c r="R1562" s="39"/>
      <c r="S1562" s="37"/>
      <c r="T1562" s="38" t="s">
        <v>293</v>
      </c>
    </row>
    <row r="1563" ht="34.5">
      <c r="A1563" s="38" t="s">
        <v>1215</v>
      </c>
      <c r="B1563" s="38" t="s">
        <v>1216</v>
      </c>
      <c r="C1563" s="38" t="s">
        <v>1541</v>
      </c>
      <c r="D1563" s="38" t="s">
        <v>288</v>
      </c>
      <c r="E1563" s="38" t="s">
        <v>1238</v>
      </c>
      <c r="F1563" s="37" t="s">
        <v>1239</v>
      </c>
      <c r="G1563" s="38" t="s">
        <v>70</v>
      </c>
      <c r="H1563" s="37"/>
      <c r="I1563" s="37"/>
      <c r="J1563" s="37" t="s">
        <v>1544</v>
      </c>
      <c r="K1563" s="40"/>
      <c r="L1563" s="38"/>
      <c r="M1563" s="38"/>
      <c r="N1563" s="37"/>
      <c r="O1563" s="37"/>
      <c r="P1563" s="37"/>
      <c r="Q1563" s="37"/>
      <c r="R1563" s="39"/>
      <c r="S1563" s="37"/>
      <c r="T1563" s="38" t="s">
        <v>293</v>
      </c>
    </row>
    <row r="1564" ht="34.5">
      <c r="A1564" s="38" t="s">
        <v>1215</v>
      </c>
      <c r="B1564" s="38" t="s">
        <v>1216</v>
      </c>
      <c r="C1564" s="38" t="s">
        <v>1541</v>
      </c>
      <c r="D1564" s="38" t="s">
        <v>288</v>
      </c>
      <c r="E1564" s="38" t="s">
        <v>1238</v>
      </c>
      <c r="F1564" s="37" t="s">
        <v>1239</v>
      </c>
      <c r="G1564" s="38" t="s">
        <v>70</v>
      </c>
      <c r="H1564" s="37"/>
      <c r="I1564" s="37"/>
      <c r="J1564" s="37" t="s">
        <v>1545</v>
      </c>
      <c r="K1564" s="40"/>
      <c r="L1564" s="38"/>
      <c r="M1564" s="38"/>
      <c r="N1564" s="37"/>
      <c r="O1564" s="37"/>
      <c r="P1564" s="37"/>
      <c r="Q1564" s="37"/>
      <c r="R1564" s="39"/>
      <c r="S1564" s="37"/>
      <c r="T1564" s="38" t="s">
        <v>293</v>
      </c>
    </row>
    <row r="1565" ht="34.5">
      <c r="A1565" s="38" t="s">
        <v>1215</v>
      </c>
      <c r="B1565" s="38" t="s">
        <v>1216</v>
      </c>
      <c r="C1565" s="38" t="s">
        <v>1541</v>
      </c>
      <c r="D1565" s="38" t="s">
        <v>288</v>
      </c>
      <c r="E1565" s="38" t="s">
        <v>1238</v>
      </c>
      <c r="F1565" s="37" t="s">
        <v>1239</v>
      </c>
      <c r="G1565" s="38" t="s">
        <v>70</v>
      </c>
      <c r="H1565" s="37"/>
      <c r="I1565" s="37"/>
      <c r="J1565" s="37" t="s">
        <v>1546</v>
      </c>
      <c r="K1565" s="40"/>
      <c r="L1565" s="38"/>
      <c r="M1565" s="38"/>
      <c r="N1565" s="37"/>
      <c r="O1565" s="37"/>
      <c r="P1565" s="37"/>
      <c r="Q1565" s="37"/>
      <c r="R1565" s="39"/>
      <c r="S1565" s="37"/>
      <c r="T1565" s="38" t="s">
        <v>293</v>
      </c>
    </row>
    <row r="1566" ht="34.5">
      <c r="A1566" s="38" t="s">
        <v>1215</v>
      </c>
      <c r="B1566" s="38" t="s">
        <v>1216</v>
      </c>
      <c r="C1566" s="38" t="s">
        <v>1541</v>
      </c>
      <c r="D1566" s="38" t="s">
        <v>288</v>
      </c>
      <c r="E1566" s="38" t="s">
        <v>1238</v>
      </c>
      <c r="F1566" s="37" t="s">
        <v>1239</v>
      </c>
      <c r="G1566" s="38" t="s">
        <v>70</v>
      </c>
      <c r="H1566" s="37"/>
      <c r="I1566" s="37"/>
      <c r="J1566" s="37" t="s">
        <v>1547</v>
      </c>
      <c r="K1566" s="40"/>
      <c r="L1566" s="38"/>
      <c r="M1566" s="38"/>
      <c r="N1566" s="37"/>
      <c r="O1566" s="37"/>
      <c r="P1566" s="37"/>
      <c r="Q1566" s="37"/>
      <c r="R1566" s="39"/>
      <c r="S1566" s="37"/>
      <c r="T1566" s="38" t="s">
        <v>293</v>
      </c>
    </row>
    <row r="1567" ht="34.5">
      <c r="A1567" s="38" t="s">
        <v>1215</v>
      </c>
      <c r="B1567" s="38" t="s">
        <v>1216</v>
      </c>
      <c r="C1567" s="38" t="s">
        <v>1541</v>
      </c>
      <c r="D1567" s="38" t="s">
        <v>288</v>
      </c>
      <c r="E1567" s="38" t="s">
        <v>1238</v>
      </c>
      <c r="F1567" s="37" t="s">
        <v>1239</v>
      </c>
      <c r="G1567" s="38" t="s">
        <v>70</v>
      </c>
      <c r="H1567" s="37"/>
      <c r="I1567" s="37"/>
      <c r="J1567" s="37" t="s">
        <v>1548</v>
      </c>
      <c r="K1567" s="40"/>
      <c r="L1567" s="38"/>
      <c r="M1567" s="38"/>
      <c r="N1567" s="37"/>
      <c r="O1567" s="37"/>
      <c r="P1567" s="37"/>
      <c r="Q1567" s="37"/>
      <c r="R1567" s="39"/>
      <c r="S1567" s="37"/>
      <c r="T1567" s="38" t="s">
        <v>293</v>
      </c>
    </row>
    <row r="1568" ht="34.5">
      <c r="A1568" s="38" t="s">
        <v>1215</v>
      </c>
      <c r="B1568" s="38" t="s">
        <v>1216</v>
      </c>
      <c r="C1568" s="38" t="s">
        <v>1541</v>
      </c>
      <c r="D1568" s="38" t="s">
        <v>288</v>
      </c>
      <c r="E1568" s="38" t="s">
        <v>1238</v>
      </c>
      <c r="F1568" s="37" t="s">
        <v>1239</v>
      </c>
      <c r="G1568" s="38" t="s">
        <v>70</v>
      </c>
      <c r="H1568" s="37"/>
      <c r="I1568" s="37"/>
      <c r="J1568" s="37" t="s">
        <v>1549</v>
      </c>
      <c r="K1568" s="40"/>
      <c r="L1568" s="38"/>
      <c r="M1568" s="38"/>
      <c r="N1568" s="37"/>
      <c r="O1568" s="37"/>
      <c r="P1568" s="37"/>
      <c r="Q1568" s="37"/>
      <c r="R1568" s="39"/>
      <c r="S1568" s="37"/>
      <c r="T1568" s="38" t="s">
        <v>293</v>
      </c>
    </row>
    <row r="1569" ht="34.5">
      <c r="A1569" s="38" t="s">
        <v>1215</v>
      </c>
      <c r="B1569" s="38" t="s">
        <v>1216</v>
      </c>
      <c r="C1569" s="38" t="s">
        <v>1550</v>
      </c>
      <c r="D1569" s="38" t="s">
        <v>288</v>
      </c>
      <c r="E1569" s="38" t="s">
        <v>1238</v>
      </c>
      <c r="F1569" s="37" t="s">
        <v>1239</v>
      </c>
      <c r="G1569" s="38" t="s">
        <v>70</v>
      </c>
      <c r="H1569" s="37"/>
      <c r="I1569" s="37"/>
      <c r="J1569" s="37" t="s">
        <v>1551</v>
      </c>
      <c r="K1569" s="40"/>
      <c r="L1569" s="38"/>
      <c r="M1569" s="38"/>
      <c r="N1569" s="37"/>
      <c r="O1569" s="37"/>
      <c r="P1569" s="37"/>
      <c r="Q1569" s="37"/>
      <c r="R1569" s="39"/>
      <c r="S1569" s="37"/>
      <c r="T1569" s="38" t="s">
        <v>293</v>
      </c>
    </row>
    <row r="1570" ht="34.5">
      <c r="A1570" s="38" t="s">
        <v>1215</v>
      </c>
      <c r="B1570" s="38" t="s">
        <v>1216</v>
      </c>
      <c r="C1570" s="38" t="s">
        <v>1550</v>
      </c>
      <c r="D1570" s="38" t="s">
        <v>288</v>
      </c>
      <c r="E1570" s="38" t="s">
        <v>1238</v>
      </c>
      <c r="F1570" s="37" t="s">
        <v>1239</v>
      </c>
      <c r="G1570" s="38" t="s">
        <v>70</v>
      </c>
      <c r="H1570" s="37"/>
      <c r="I1570" s="37"/>
      <c r="J1570" s="37" t="s">
        <v>1552</v>
      </c>
      <c r="K1570" s="40"/>
      <c r="L1570" s="38"/>
      <c r="M1570" s="38"/>
      <c r="N1570" s="37"/>
      <c r="O1570" s="37"/>
      <c r="P1570" s="37"/>
      <c r="Q1570" s="37"/>
      <c r="R1570" s="39"/>
      <c r="S1570" s="37"/>
      <c r="T1570" s="38" t="s">
        <v>293</v>
      </c>
    </row>
    <row r="1571" ht="34.5">
      <c r="A1571" s="38" t="s">
        <v>1215</v>
      </c>
      <c r="B1571" s="38" t="s">
        <v>1216</v>
      </c>
      <c r="C1571" s="38" t="s">
        <v>1550</v>
      </c>
      <c r="D1571" s="38" t="s">
        <v>288</v>
      </c>
      <c r="E1571" s="38" t="s">
        <v>1238</v>
      </c>
      <c r="F1571" s="37" t="s">
        <v>1239</v>
      </c>
      <c r="G1571" s="38" t="s">
        <v>70</v>
      </c>
      <c r="H1571" s="37"/>
      <c r="I1571" s="37"/>
      <c r="J1571" s="37" t="s">
        <v>1553</v>
      </c>
      <c r="K1571" s="40"/>
      <c r="L1571" s="38"/>
      <c r="M1571" s="38"/>
      <c r="N1571" s="37"/>
      <c r="O1571" s="37"/>
      <c r="P1571" s="37"/>
      <c r="Q1571" s="37"/>
      <c r="R1571" s="39"/>
      <c r="S1571" s="37"/>
      <c r="T1571" s="38" t="s">
        <v>293</v>
      </c>
    </row>
    <row r="1572" ht="34.5">
      <c r="A1572" s="38" t="s">
        <v>1215</v>
      </c>
      <c r="B1572" s="38" t="s">
        <v>1216</v>
      </c>
      <c r="C1572" s="38" t="s">
        <v>1550</v>
      </c>
      <c r="D1572" s="38" t="s">
        <v>288</v>
      </c>
      <c r="E1572" s="38" t="s">
        <v>1238</v>
      </c>
      <c r="F1572" s="37" t="s">
        <v>1239</v>
      </c>
      <c r="G1572" s="38" t="s">
        <v>70</v>
      </c>
      <c r="H1572" s="37"/>
      <c r="I1572" s="37"/>
      <c r="J1572" s="37" t="s">
        <v>1554</v>
      </c>
      <c r="K1572" s="40"/>
      <c r="L1572" s="38"/>
      <c r="M1572" s="38"/>
      <c r="N1572" s="37"/>
      <c r="O1572" s="37"/>
      <c r="P1572" s="37"/>
      <c r="Q1572" s="37"/>
      <c r="R1572" s="39"/>
      <c r="S1572" s="37"/>
      <c r="T1572" s="38" t="s">
        <v>293</v>
      </c>
    </row>
    <row r="1573" ht="34.5">
      <c r="A1573" s="38" t="s">
        <v>1215</v>
      </c>
      <c r="B1573" s="38" t="s">
        <v>1216</v>
      </c>
      <c r="C1573" s="38" t="s">
        <v>1550</v>
      </c>
      <c r="D1573" s="38" t="s">
        <v>288</v>
      </c>
      <c r="E1573" s="38" t="s">
        <v>1238</v>
      </c>
      <c r="F1573" s="37" t="s">
        <v>1239</v>
      </c>
      <c r="G1573" s="38" t="s">
        <v>70</v>
      </c>
      <c r="H1573" s="37"/>
      <c r="I1573" s="37"/>
      <c r="J1573" s="37" t="s">
        <v>1555</v>
      </c>
      <c r="K1573" s="40"/>
      <c r="L1573" s="38"/>
      <c r="M1573" s="38"/>
      <c r="N1573" s="37"/>
      <c r="O1573" s="37"/>
      <c r="P1573" s="37"/>
      <c r="Q1573" s="37"/>
      <c r="R1573" s="39"/>
      <c r="S1573" s="37"/>
      <c r="T1573" s="38" t="s">
        <v>293</v>
      </c>
    </row>
    <row r="1574" ht="34.5">
      <c r="A1574" s="38" t="s">
        <v>1215</v>
      </c>
      <c r="B1574" s="38" t="s">
        <v>1216</v>
      </c>
      <c r="C1574" s="38" t="s">
        <v>1550</v>
      </c>
      <c r="D1574" s="38" t="s">
        <v>288</v>
      </c>
      <c r="E1574" s="38" t="s">
        <v>1238</v>
      </c>
      <c r="F1574" s="37" t="s">
        <v>1239</v>
      </c>
      <c r="G1574" s="38" t="s">
        <v>70</v>
      </c>
      <c r="H1574" s="37"/>
      <c r="I1574" s="37"/>
      <c r="J1574" s="37" t="s">
        <v>1556</v>
      </c>
      <c r="K1574" s="40"/>
      <c r="L1574" s="38"/>
      <c r="M1574" s="38"/>
      <c r="N1574" s="37"/>
      <c r="O1574" s="37"/>
      <c r="P1574" s="37"/>
      <c r="Q1574" s="37"/>
      <c r="R1574" s="39"/>
      <c r="S1574" s="37"/>
      <c r="T1574" s="38" t="s">
        <v>293</v>
      </c>
    </row>
    <row r="1575" ht="34.5">
      <c r="A1575" s="38" t="s">
        <v>1215</v>
      </c>
      <c r="B1575" s="38" t="s">
        <v>1216</v>
      </c>
      <c r="C1575" s="38" t="s">
        <v>1550</v>
      </c>
      <c r="D1575" s="38" t="s">
        <v>288</v>
      </c>
      <c r="E1575" s="38" t="s">
        <v>1238</v>
      </c>
      <c r="F1575" s="37" t="s">
        <v>1239</v>
      </c>
      <c r="G1575" s="38" t="s">
        <v>70</v>
      </c>
      <c r="H1575" s="37"/>
      <c r="I1575" s="37"/>
      <c r="J1575" s="37" t="s">
        <v>1557</v>
      </c>
      <c r="K1575" s="40"/>
      <c r="L1575" s="38"/>
      <c r="M1575" s="38"/>
      <c r="N1575" s="37"/>
      <c r="O1575" s="37"/>
      <c r="P1575" s="37"/>
      <c r="Q1575" s="37"/>
      <c r="R1575" s="39"/>
      <c r="S1575" s="37"/>
      <c r="T1575" s="38" t="s">
        <v>293</v>
      </c>
    </row>
    <row r="1576" ht="34.5">
      <c r="A1576" s="38" t="s">
        <v>1215</v>
      </c>
      <c r="B1576" s="38" t="s">
        <v>1216</v>
      </c>
      <c r="C1576" s="38" t="s">
        <v>1550</v>
      </c>
      <c r="D1576" s="38" t="s">
        <v>288</v>
      </c>
      <c r="E1576" s="38" t="s">
        <v>1238</v>
      </c>
      <c r="F1576" s="37" t="s">
        <v>1239</v>
      </c>
      <c r="G1576" s="38" t="s">
        <v>70</v>
      </c>
      <c r="H1576" s="37"/>
      <c r="I1576" s="37"/>
      <c r="J1576" s="37" t="s">
        <v>1558</v>
      </c>
      <c r="K1576" s="40"/>
      <c r="L1576" s="38"/>
      <c r="M1576" s="38"/>
      <c r="N1576" s="37"/>
      <c r="O1576" s="37"/>
      <c r="P1576" s="37"/>
      <c r="Q1576" s="37"/>
      <c r="R1576" s="39"/>
      <c r="S1576" s="37"/>
      <c r="T1576" s="38" t="s">
        <v>293</v>
      </c>
    </row>
    <row r="1577" ht="34.5">
      <c r="A1577" s="38" t="s">
        <v>1215</v>
      </c>
      <c r="B1577" s="38" t="s">
        <v>1216</v>
      </c>
      <c r="C1577" s="38" t="s">
        <v>1550</v>
      </c>
      <c r="D1577" s="38" t="s">
        <v>288</v>
      </c>
      <c r="E1577" s="38" t="s">
        <v>1238</v>
      </c>
      <c r="F1577" s="37" t="s">
        <v>1239</v>
      </c>
      <c r="G1577" s="38" t="s">
        <v>70</v>
      </c>
      <c r="H1577" s="37"/>
      <c r="I1577" s="37"/>
      <c r="J1577" s="37" t="s">
        <v>1559</v>
      </c>
      <c r="K1577" s="40"/>
      <c r="L1577" s="38"/>
      <c r="M1577" s="38"/>
      <c r="N1577" s="37"/>
      <c r="O1577" s="37"/>
      <c r="P1577" s="37"/>
      <c r="Q1577" s="37"/>
      <c r="R1577" s="39"/>
      <c r="S1577" s="37"/>
      <c r="T1577" s="38" t="s">
        <v>293</v>
      </c>
    </row>
    <row r="1578" ht="34.5">
      <c r="A1578" s="38" t="s">
        <v>1215</v>
      </c>
      <c r="B1578" s="38" t="s">
        <v>1216</v>
      </c>
      <c r="C1578" s="38" t="s">
        <v>1550</v>
      </c>
      <c r="D1578" s="38" t="s">
        <v>288</v>
      </c>
      <c r="E1578" s="38" t="s">
        <v>1238</v>
      </c>
      <c r="F1578" s="37" t="s">
        <v>1239</v>
      </c>
      <c r="G1578" s="38" t="s">
        <v>70</v>
      </c>
      <c r="H1578" s="37"/>
      <c r="I1578" s="37"/>
      <c r="J1578" s="37" t="s">
        <v>1560</v>
      </c>
      <c r="K1578" s="40"/>
      <c r="L1578" s="38"/>
      <c r="M1578" s="38"/>
      <c r="N1578" s="37"/>
      <c r="O1578" s="37"/>
      <c r="P1578" s="37"/>
      <c r="Q1578" s="37"/>
      <c r="R1578" s="39"/>
      <c r="S1578" s="37"/>
      <c r="T1578" s="38" t="s">
        <v>293</v>
      </c>
    </row>
    <row r="1579" ht="34.5">
      <c r="A1579" s="38" t="s">
        <v>1215</v>
      </c>
      <c r="B1579" s="38" t="s">
        <v>1216</v>
      </c>
      <c r="C1579" s="38" t="s">
        <v>1561</v>
      </c>
      <c r="D1579" s="38" t="s">
        <v>288</v>
      </c>
      <c r="E1579" s="38" t="s">
        <v>1238</v>
      </c>
      <c r="F1579" s="37" t="s">
        <v>1239</v>
      </c>
      <c r="G1579" s="38" t="s">
        <v>70</v>
      </c>
      <c r="H1579" s="37"/>
      <c r="I1579" s="37"/>
      <c r="J1579" s="37" t="s">
        <v>1562</v>
      </c>
      <c r="K1579" s="40"/>
      <c r="L1579" s="38"/>
      <c r="M1579" s="38"/>
      <c r="N1579" s="37"/>
      <c r="O1579" s="37"/>
      <c r="P1579" s="37"/>
      <c r="Q1579" s="37"/>
      <c r="R1579" s="39"/>
      <c r="S1579" s="37"/>
      <c r="T1579" s="38" t="s">
        <v>293</v>
      </c>
    </row>
    <row r="1580" ht="34.5">
      <c r="A1580" s="38" t="s">
        <v>1215</v>
      </c>
      <c r="B1580" s="38" t="s">
        <v>1216</v>
      </c>
      <c r="C1580" s="38" t="s">
        <v>1561</v>
      </c>
      <c r="D1580" s="38" t="s">
        <v>288</v>
      </c>
      <c r="E1580" s="38" t="s">
        <v>1238</v>
      </c>
      <c r="F1580" s="37" t="s">
        <v>1239</v>
      </c>
      <c r="G1580" s="38" t="s">
        <v>70</v>
      </c>
      <c r="H1580" s="37"/>
      <c r="I1580" s="37"/>
      <c r="J1580" s="37" t="s">
        <v>1563</v>
      </c>
      <c r="K1580" s="40"/>
      <c r="L1580" s="38"/>
      <c r="M1580" s="38"/>
      <c r="N1580" s="37"/>
      <c r="O1580" s="37"/>
      <c r="P1580" s="37"/>
      <c r="Q1580" s="37"/>
      <c r="R1580" s="39"/>
      <c r="S1580" s="37"/>
      <c r="T1580" s="38" t="s">
        <v>293</v>
      </c>
    </row>
    <row r="1581" ht="34.5">
      <c r="A1581" s="38" t="s">
        <v>1215</v>
      </c>
      <c r="B1581" s="38" t="s">
        <v>1216</v>
      </c>
      <c r="C1581" s="38" t="s">
        <v>1561</v>
      </c>
      <c r="D1581" s="38" t="s">
        <v>288</v>
      </c>
      <c r="E1581" s="38" t="s">
        <v>1238</v>
      </c>
      <c r="F1581" s="37" t="s">
        <v>1239</v>
      </c>
      <c r="G1581" s="38" t="s">
        <v>70</v>
      </c>
      <c r="H1581" s="37"/>
      <c r="I1581" s="37"/>
      <c r="J1581" s="37" t="s">
        <v>1564</v>
      </c>
      <c r="K1581" s="40"/>
      <c r="L1581" s="38"/>
      <c r="M1581" s="38"/>
      <c r="N1581" s="37"/>
      <c r="O1581" s="37"/>
      <c r="P1581" s="37"/>
      <c r="Q1581" s="37"/>
      <c r="R1581" s="39"/>
      <c r="S1581" s="37"/>
      <c r="T1581" s="38" t="s">
        <v>293</v>
      </c>
    </row>
    <row r="1582" ht="34.5">
      <c r="A1582" s="38" t="s">
        <v>1215</v>
      </c>
      <c r="B1582" s="38" t="s">
        <v>1216</v>
      </c>
      <c r="C1582" s="38" t="s">
        <v>1561</v>
      </c>
      <c r="D1582" s="38" t="s">
        <v>288</v>
      </c>
      <c r="E1582" s="38" t="s">
        <v>1238</v>
      </c>
      <c r="F1582" s="37" t="s">
        <v>1239</v>
      </c>
      <c r="G1582" s="38" t="s">
        <v>70</v>
      </c>
      <c r="H1582" s="37"/>
      <c r="I1582" s="37"/>
      <c r="J1582" s="37" t="s">
        <v>1565</v>
      </c>
      <c r="K1582" s="40"/>
      <c r="L1582" s="38"/>
      <c r="M1582" s="38"/>
      <c r="N1582" s="37"/>
      <c r="O1582" s="37"/>
      <c r="P1582" s="37"/>
      <c r="Q1582" s="37"/>
      <c r="R1582" s="39"/>
      <c r="S1582" s="37"/>
      <c r="T1582" s="38" t="s">
        <v>293</v>
      </c>
    </row>
    <row r="1583" ht="34.5">
      <c r="A1583" s="38" t="s">
        <v>1215</v>
      </c>
      <c r="B1583" s="38" t="s">
        <v>1216</v>
      </c>
      <c r="C1583" s="38" t="s">
        <v>1561</v>
      </c>
      <c r="D1583" s="38" t="s">
        <v>288</v>
      </c>
      <c r="E1583" s="38" t="s">
        <v>1238</v>
      </c>
      <c r="F1583" s="37" t="s">
        <v>1239</v>
      </c>
      <c r="G1583" s="38" t="s">
        <v>70</v>
      </c>
      <c r="H1583" s="37"/>
      <c r="I1583" s="37"/>
      <c r="J1583" s="37" t="s">
        <v>1566</v>
      </c>
      <c r="K1583" s="40"/>
      <c r="L1583" s="38"/>
      <c r="M1583" s="38"/>
      <c r="N1583" s="37"/>
      <c r="O1583" s="37"/>
      <c r="P1583" s="37"/>
      <c r="Q1583" s="37"/>
      <c r="R1583" s="39"/>
      <c r="S1583" s="37"/>
      <c r="T1583" s="38" t="s">
        <v>293</v>
      </c>
    </row>
    <row r="1584" ht="34.5">
      <c r="A1584" s="38" t="s">
        <v>1215</v>
      </c>
      <c r="B1584" s="38" t="s">
        <v>1216</v>
      </c>
      <c r="C1584" s="38" t="s">
        <v>1561</v>
      </c>
      <c r="D1584" s="38" t="s">
        <v>288</v>
      </c>
      <c r="E1584" s="38" t="s">
        <v>1238</v>
      </c>
      <c r="F1584" s="37" t="s">
        <v>1239</v>
      </c>
      <c r="G1584" s="38" t="s">
        <v>70</v>
      </c>
      <c r="H1584" s="37"/>
      <c r="I1584" s="37"/>
      <c r="J1584" s="37" t="s">
        <v>1567</v>
      </c>
      <c r="K1584" s="40"/>
      <c r="L1584" s="38"/>
      <c r="M1584" s="38"/>
      <c r="N1584" s="37"/>
      <c r="O1584" s="37"/>
      <c r="P1584" s="37"/>
      <c r="Q1584" s="37"/>
      <c r="R1584" s="39"/>
      <c r="S1584" s="37"/>
      <c r="T1584" s="38" t="s">
        <v>293</v>
      </c>
    </row>
    <row r="1585" ht="34.5">
      <c r="A1585" s="38" t="s">
        <v>1215</v>
      </c>
      <c r="B1585" s="38" t="s">
        <v>1216</v>
      </c>
      <c r="C1585" s="38" t="s">
        <v>1561</v>
      </c>
      <c r="D1585" s="38" t="s">
        <v>288</v>
      </c>
      <c r="E1585" s="38" t="s">
        <v>1238</v>
      </c>
      <c r="F1585" s="37" t="s">
        <v>1239</v>
      </c>
      <c r="G1585" s="38" t="s">
        <v>70</v>
      </c>
      <c r="H1585" s="37"/>
      <c r="I1585" s="37"/>
      <c r="J1585" s="37" t="s">
        <v>1568</v>
      </c>
      <c r="K1585" s="40"/>
      <c r="L1585" s="38"/>
      <c r="M1585" s="38"/>
      <c r="N1585" s="37"/>
      <c r="O1585" s="37"/>
      <c r="P1585" s="37"/>
      <c r="Q1585" s="37"/>
      <c r="R1585" s="39"/>
      <c r="S1585" s="37"/>
      <c r="T1585" s="38" t="s">
        <v>293</v>
      </c>
    </row>
    <row r="1586" ht="34.5">
      <c r="A1586" s="38" t="s">
        <v>1215</v>
      </c>
      <c r="B1586" s="38" t="s">
        <v>1216</v>
      </c>
      <c r="C1586" s="38" t="s">
        <v>1569</v>
      </c>
      <c r="D1586" s="38" t="s">
        <v>288</v>
      </c>
      <c r="E1586" s="38" t="s">
        <v>1238</v>
      </c>
      <c r="F1586" s="37" t="s">
        <v>1239</v>
      </c>
      <c r="G1586" s="38" t="s">
        <v>70</v>
      </c>
      <c r="H1586" s="37"/>
      <c r="I1586" s="37"/>
      <c r="J1586" s="37" t="s">
        <v>1570</v>
      </c>
      <c r="K1586" s="40"/>
      <c r="L1586" s="38"/>
      <c r="M1586" s="38"/>
      <c r="N1586" s="37"/>
      <c r="O1586" s="37"/>
      <c r="P1586" s="37"/>
      <c r="Q1586" s="37"/>
      <c r="R1586" s="39"/>
      <c r="S1586" s="37"/>
      <c r="T1586" s="38" t="s">
        <v>293</v>
      </c>
    </row>
    <row r="1587" ht="34.5">
      <c r="A1587" s="38" t="s">
        <v>1215</v>
      </c>
      <c r="B1587" s="38" t="s">
        <v>1216</v>
      </c>
      <c r="C1587" s="38" t="s">
        <v>1569</v>
      </c>
      <c r="D1587" s="38" t="s">
        <v>288</v>
      </c>
      <c r="E1587" s="38" t="s">
        <v>1238</v>
      </c>
      <c r="F1587" s="37" t="s">
        <v>1239</v>
      </c>
      <c r="G1587" s="38" t="s">
        <v>70</v>
      </c>
      <c r="H1587" s="37"/>
      <c r="I1587" s="37"/>
      <c r="J1587" s="37" t="s">
        <v>1571</v>
      </c>
      <c r="K1587" s="40"/>
      <c r="L1587" s="38"/>
      <c r="M1587" s="38"/>
      <c r="N1587" s="37"/>
      <c r="O1587" s="37"/>
      <c r="P1587" s="37"/>
      <c r="Q1587" s="37"/>
      <c r="R1587" s="39"/>
      <c r="S1587" s="37"/>
      <c r="T1587" s="38" t="s">
        <v>293</v>
      </c>
    </row>
    <row r="1588" ht="34.5">
      <c r="A1588" s="38" t="s">
        <v>1215</v>
      </c>
      <c r="B1588" s="38" t="s">
        <v>1216</v>
      </c>
      <c r="C1588" s="38" t="s">
        <v>1569</v>
      </c>
      <c r="D1588" s="38" t="s">
        <v>288</v>
      </c>
      <c r="E1588" s="38" t="s">
        <v>1238</v>
      </c>
      <c r="F1588" s="37" t="s">
        <v>1239</v>
      </c>
      <c r="G1588" s="38" t="s">
        <v>70</v>
      </c>
      <c r="H1588" s="37"/>
      <c r="I1588" s="37"/>
      <c r="J1588" s="37" t="s">
        <v>1572</v>
      </c>
      <c r="K1588" s="40"/>
      <c r="L1588" s="38"/>
      <c r="M1588" s="38"/>
      <c r="N1588" s="37"/>
      <c r="O1588" s="37"/>
      <c r="P1588" s="37"/>
      <c r="Q1588" s="37"/>
      <c r="R1588" s="39"/>
      <c r="S1588" s="37"/>
      <c r="T1588" s="38" t="s">
        <v>293</v>
      </c>
    </row>
    <row r="1589" ht="34.5">
      <c r="A1589" s="38" t="s">
        <v>1215</v>
      </c>
      <c r="B1589" s="38" t="s">
        <v>1216</v>
      </c>
      <c r="C1589" s="38" t="s">
        <v>1569</v>
      </c>
      <c r="D1589" s="38" t="s">
        <v>288</v>
      </c>
      <c r="E1589" s="38" t="s">
        <v>1238</v>
      </c>
      <c r="F1589" s="37" t="s">
        <v>1239</v>
      </c>
      <c r="G1589" s="38" t="s">
        <v>70</v>
      </c>
      <c r="H1589" s="37"/>
      <c r="I1589" s="37"/>
      <c r="J1589" s="37" t="s">
        <v>1573</v>
      </c>
      <c r="K1589" s="40"/>
      <c r="L1589" s="38"/>
      <c r="M1589" s="38"/>
      <c r="N1589" s="37"/>
      <c r="O1589" s="37"/>
      <c r="P1589" s="37"/>
      <c r="Q1589" s="37"/>
      <c r="R1589" s="39"/>
      <c r="S1589" s="37"/>
      <c r="T1589" s="38" t="s">
        <v>293</v>
      </c>
    </row>
    <row r="1590" ht="34.5">
      <c r="A1590" s="38" t="s">
        <v>1215</v>
      </c>
      <c r="B1590" s="38" t="s">
        <v>1216</v>
      </c>
      <c r="C1590" s="38" t="s">
        <v>1569</v>
      </c>
      <c r="D1590" s="38" t="s">
        <v>288</v>
      </c>
      <c r="E1590" s="38" t="s">
        <v>1238</v>
      </c>
      <c r="F1590" s="37" t="s">
        <v>1239</v>
      </c>
      <c r="G1590" s="38" t="s">
        <v>70</v>
      </c>
      <c r="H1590" s="37"/>
      <c r="I1590" s="37"/>
      <c r="J1590" s="37" t="s">
        <v>1574</v>
      </c>
      <c r="K1590" s="40"/>
      <c r="L1590" s="38"/>
      <c r="M1590" s="38"/>
      <c r="N1590" s="37"/>
      <c r="O1590" s="37"/>
      <c r="P1590" s="37"/>
      <c r="Q1590" s="37"/>
      <c r="R1590" s="39"/>
      <c r="S1590" s="37"/>
      <c r="T1590" s="38" t="s">
        <v>293</v>
      </c>
    </row>
    <row r="1591" ht="34.5">
      <c r="A1591" s="38" t="s">
        <v>1215</v>
      </c>
      <c r="B1591" s="38" t="s">
        <v>1216</v>
      </c>
      <c r="C1591" s="38" t="s">
        <v>1569</v>
      </c>
      <c r="D1591" s="38" t="s">
        <v>288</v>
      </c>
      <c r="E1591" s="38" t="s">
        <v>1238</v>
      </c>
      <c r="F1591" s="37" t="s">
        <v>1239</v>
      </c>
      <c r="G1591" s="38" t="s">
        <v>70</v>
      </c>
      <c r="H1591" s="37"/>
      <c r="I1591" s="37"/>
      <c r="J1591" s="37" t="s">
        <v>1575</v>
      </c>
      <c r="K1591" s="40"/>
      <c r="L1591" s="38"/>
      <c r="M1591" s="38"/>
      <c r="N1591" s="37"/>
      <c r="O1591" s="37"/>
      <c r="P1591" s="37"/>
      <c r="Q1591" s="37"/>
      <c r="R1591" s="39"/>
      <c r="S1591" s="37"/>
      <c r="T1591" s="38" t="s">
        <v>293</v>
      </c>
    </row>
    <row r="1592" ht="34.5">
      <c r="A1592" s="38" t="s">
        <v>1215</v>
      </c>
      <c r="B1592" s="38" t="s">
        <v>1216</v>
      </c>
      <c r="C1592" s="38" t="s">
        <v>1569</v>
      </c>
      <c r="D1592" s="38" t="s">
        <v>288</v>
      </c>
      <c r="E1592" s="38" t="s">
        <v>1238</v>
      </c>
      <c r="F1592" s="37" t="s">
        <v>1239</v>
      </c>
      <c r="G1592" s="38" t="s">
        <v>70</v>
      </c>
      <c r="H1592" s="37"/>
      <c r="I1592" s="37"/>
      <c r="J1592" s="37" t="s">
        <v>1576</v>
      </c>
      <c r="K1592" s="40"/>
      <c r="L1592" s="38"/>
      <c r="M1592" s="38"/>
      <c r="N1592" s="37"/>
      <c r="O1592" s="37"/>
      <c r="P1592" s="37"/>
      <c r="Q1592" s="37"/>
      <c r="R1592" s="39"/>
      <c r="S1592" s="37"/>
      <c r="T1592" s="38" t="s">
        <v>293</v>
      </c>
    </row>
    <row r="1593" ht="34.5">
      <c r="A1593" s="38" t="s">
        <v>1215</v>
      </c>
      <c r="B1593" s="38" t="s">
        <v>1216</v>
      </c>
      <c r="C1593" s="38" t="s">
        <v>1569</v>
      </c>
      <c r="D1593" s="38" t="s">
        <v>288</v>
      </c>
      <c r="E1593" s="38" t="s">
        <v>1238</v>
      </c>
      <c r="F1593" s="37" t="s">
        <v>1239</v>
      </c>
      <c r="G1593" s="38" t="s">
        <v>70</v>
      </c>
      <c r="H1593" s="37"/>
      <c r="I1593" s="37"/>
      <c r="J1593" s="37" t="s">
        <v>1577</v>
      </c>
      <c r="K1593" s="40"/>
      <c r="L1593" s="38"/>
      <c r="M1593" s="38"/>
      <c r="N1593" s="37"/>
      <c r="O1593" s="37"/>
      <c r="P1593" s="37"/>
      <c r="Q1593" s="37"/>
      <c r="R1593" s="39"/>
      <c r="S1593" s="37"/>
      <c r="T1593" s="38" t="s">
        <v>293</v>
      </c>
    </row>
    <row r="1594" ht="34.5">
      <c r="A1594" s="38" t="s">
        <v>1215</v>
      </c>
      <c r="B1594" s="38" t="s">
        <v>1216</v>
      </c>
      <c r="C1594" s="38" t="s">
        <v>1569</v>
      </c>
      <c r="D1594" s="38" t="s">
        <v>288</v>
      </c>
      <c r="E1594" s="38" t="s">
        <v>1238</v>
      </c>
      <c r="F1594" s="37" t="s">
        <v>1239</v>
      </c>
      <c r="G1594" s="38" t="s">
        <v>70</v>
      </c>
      <c r="H1594" s="37"/>
      <c r="I1594" s="37"/>
      <c r="J1594" s="37" t="s">
        <v>1578</v>
      </c>
      <c r="K1594" s="40"/>
      <c r="L1594" s="38"/>
      <c r="M1594" s="38"/>
      <c r="N1594" s="37"/>
      <c r="O1594" s="37"/>
      <c r="P1594" s="37"/>
      <c r="Q1594" s="37"/>
      <c r="R1594" s="39"/>
      <c r="S1594" s="37"/>
      <c r="T1594" s="38" t="s">
        <v>293</v>
      </c>
    </row>
    <row r="1595" ht="34.5">
      <c r="A1595" s="38" t="s">
        <v>1215</v>
      </c>
      <c r="B1595" s="38" t="s">
        <v>1216</v>
      </c>
      <c r="C1595" s="38" t="s">
        <v>1569</v>
      </c>
      <c r="D1595" s="38" t="s">
        <v>288</v>
      </c>
      <c r="E1595" s="38" t="s">
        <v>1238</v>
      </c>
      <c r="F1595" s="37" t="s">
        <v>1239</v>
      </c>
      <c r="G1595" s="38" t="s">
        <v>70</v>
      </c>
      <c r="H1595" s="37"/>
      <c r="I1595" s="37"/>
      <c r="J1595" s="37" t="s">
        <v>1579</v>
      </c>
      <c r="K1595" s="40"/>
      <c r="L1595" s="38"/>
      <c r="M1595" s="38"/>
      <c r="N1595" s="37"/>
      <c r="O1595" s="37"/>
      <c r="P1595" s="37"/>
      <c r="Q1595" s="37"/>
      <c r="R1595" s="39"/>
      <c r="S1595" s="37"/>
      <c r="T1595" s="38" t="s">
        <v>293</v>
      </c>
    </row>
    <row r="1596" ht="34.5">
      <c r="A1596" s="38" t="s">
        <v>1215</v>
      </c>
      <c r="B1596" s="38" t="s">
        <v>1216</v>
      </c>
      <c r="C1596" s="38" t="s">
        <v>1569</v>
      </c>
      <c r="D1596" s="38" t="s">
        <v>288</v>
      </c>
      <c r="E1596" s="38" t="s">
        <v>1238</v>
      </c>
      <c r="F1596" s="37" t="s">
        <v>1239</v>
      </c>
      <c r="G1596" s="38" t="s">
        <v>70</v>
      </c>
      <c r="H1596" s="37"/>
      <c r="I1596" s="37"/>
      <c r="J1596" s="37" t="s">
        <v>1580</v>
      </c>
      <c r="K1596" s="40"/>
      <c r="L1596" s="38"/>
      <c r="M1596" s="38"/>
      <c r="N1596" s="37"/>
      <c r="O1596" s="37"/>
      <c r="P1596" s="37"/>
      <c r="Q1596" s="37"/>
      <c r="R1596" s="39"/>
      <c r="S1596" s="37"/>
      <c r="T1596" s="38" t="s">
        <v>293</v>
      </c>
    </row>
    <row r="1597" ht="34.5">
      <c r="A1597" s="38" t="s">
        <v>1215</v>
      </c>
      <c r="B1597" s="38" t="s">
        <v>1216</v>
      </c>
      <c r="C1597" s="38" t="s">
        <v>1569</v>
      </c>
      <c r="D1597" s="38" t="s">
        <v>288</v>
      </c>
      <c r="E1597" s="38" t="s">
        <v>1238</v>
      </c>
      <c r="F1597" s="37" t="s">
        <v>1239</v>
      </c>
      <c r="G1597" s="38" t="s">
        <v>70</v>
      </c>
      <c r="H1597" s="37"/>
      <c r="I1597" s="37"/>
      <c r="J1597" s="37" t="s">
        <v>1581</v>
      </c>
      <c r="K1597" s="40"/>
      <c r="L1597" s="38"/>
      <c r="M1597" s="38"/>
      <c r="N1597" s="37"/>
      <c r="O1597" s="37"/>
      <c r="P1597" s="37"/>
      <c r="Q1597" s="37"/>
      <c r="R1597" s="39"/>
      <c r="S1597" s="37"/>
      <c r="T1597" s="38" t="s">
        <v>293</v>
      </c>
    </row>
    <row r="1598" ht="34.5">
      <c r="A1598" s="38" t="s">
        <v>1215</v>
      </c>
      <c r="B1598" s="38" t="s">
        <v>1216</v>
      </c>
      <c r="C1598" s="38" t="s">
        <v>1582</v>
      </c>
      <c r="D1598" s="38" t="s">
        <v>288</v>
      </c>
      <c r="E1598" s="38" t="s">
        <v>1238</v>
      </c>
      <c r="F1598" s="37" t="s">
        <v>1239</v>
      </c>
      <c r="G1598" s="38" t="s">
        <v>70</v>
      </c>
      <c r="H1598" s="37"/>
      <c r="I1598" s="37"/>
      <c r="J1598" s="37" t="s">
        <v>1583</v>
      </c>
      <c r="K1598" s="40"/>
      <c r="L1598" s="38"/>
      <c r="M1598" s="38"/>
      <c r="N1598" s="37"/>
      <c r="O1598" s="37"/>
      <c r="P1598" s="37"/>
      <c r="Q1598" s="37"/>
      <c r="R1598" s="39"/>
      <c r="S1598" s="37"/>
      <c r="T1598" s="38" t="s">
        <v>293</v>
      </c>
    </row>
    <row r="1599" ht="34.5">
      <c r="A1599" s="38" t="s">
        <v>1215</v>
      </c>
      <c r="B1599" s="38" t="s">
        <v>1216</v>
      </c>
      <c r="C1599" s="38" t="s">
        <v>1582</v>
      </c>
      <c r="D1599" s="38" t="s">
        <v>288</v>
      </c>
      <c r="E1599" s="38" t="s">
        <v>1238</v>
      </c>
      <c r="F1599" s="37" t="s">
        <v>1239</v>
      </c>
      <c r="G1599" s="38" t="s">
        <v>70</v>
      </c>
      <c r="H1599" s="37"/>
      <c r="I1599" s="37"/>
      <c r="J1599" s="37" t="s">
        <v>1584</v>
      </c>
      <c r="K1599" s="40"/>
      <c r="L1599" s="38"/>
      <c r="M1599" s="38"/>
      <c r="N1599" s="37"/>
      <c r="O1599" s="37"/>
      <c r="P1599" s="37"/>
      <c r="Q1599" s="37"/>
      <c r="R1599" s="39"/>
      <c r="S1599" s="37"/>
      <c r="T1599" s="38" t="s">
        <v>293</v>
      </c>
    </row>
    <row r="1600" ht="34.5">
      <c r="A1600" s="38" t="s">
        <v>1215</v>
      </c>
      <c r="B1600" s="38" t="s">
        <v>1216</v>
      </c>
      <c r="C1600" s="38" t="s">
        <v>1582</v>
      </c>
      <c r="D1600" s="38" t="s">
        <v>288</v>
      </c>
      <c r="E1600" s="38" t="s">
        <v>1238</v>
      </c>
      <c r="F1600" s="37" t="s">
        <v>1239</v>
      </c>
      <c r="G1600" s="38" t="s">
        <v>70</v>
      </c>
      <c r="H1600" s="37"/>
      <c r="I1600" s="37"/>
      <c r="J1600" s="37" t="s">
        <v>1585</v>
      </c>
      <c r="K1600" s="40"/>
      <c r="L1600" s="38"/>
      <c r="M1600" s="38"/>
      <c r="N1600" s="37"/>
      <c r="O1600" s="37"/>
      <c r="P1600" s="37"/>
      <c r="Q1600" s="37"/>
      <c r="R1600" s="39"/>
      <c r="S1600" s="37"/>
      <c r="T1600" s="38" t="s">
        <v>293</v>
      </c>
    </row>
    <row r="1601" ht="34.5">
      <c r="A1601" s="38" t="s">
        <v>1215</v>
      </c>
      <c r="B1601" s="38" t="s">
        <v>1216</v>
      </c>
      <c r="C1601" s="38" t="s">
        <v>1582</v>
      </c>
      <c r="D1601" s="38" t="s">
        <v>288</v>
      </c>
      <c r="E1601" s="38" t="s">
        <v>1238</v>
      </c>
      <c r="F1601" s="37" t="s">
        <v>1239</v>
      </c>
      <c r="G1601" s="38" t="s">
        <v>70</v>
      </c>
      <c r="H1601" s="37"/>
      <c r="I1601" s="37"/>
      <c r="J1601" s="37" t="s">
        <v>1586</v>
      </c>
      <c r="K1601" s="40"/>
      <c r="L1601" s="38"/>
      <c r="M1601" s="38"/>
      <c r="N1601" s="37"/>
      <c r="O1601" s="37"/>
      <c r="P1601" s="37"/>
      <c r="Q1601" s="37"/>
      <c r="R1601" s="39"/>
      <c r="S1601" s="37"/>
      <c r="T1601" s="38" t="s">
        <v>293</v>
      </c>
    </row>
    <row r="1602" ht="34.5">
      <c r="A1602" s="38" t="s">
        <v>1215</v>
      </c>
      <c r="B1602" s="38" t="s">
        <v>1216</v>
      </c>
      <c r="C1602" s="38" t="s">
        <v>1582</v>
      </c>
      <c r="D1602" s="38" t="s">
        <v>288</v>
      </c>
      <c r="E1602" s="38" t="s">
        <v>1238</v>
      </c>
      <c r="F1602" s="37" t="s">
        <v>1239</v>
      </c>
      <c r="G1602" s="38" t="s">
        <v>70</v>
      </c>
      <c r="H1602" s="37"/>
      <c r="I1602" s="37"/>
      <c r="J1602" s="37" t="s">
        <v>1587</v>
      </c>
      <c r="K1602" s="40"/>
      <c r="L1602" s="38"/>
      <c r="M1602" s="38"/>
      <c r="N1602" s="37"/>
      <c r="O1602" s="37"/>
      <c r="P1602" s="37"/>
      <c r="Q1602" s="37"/>
      <c r="R1602" s="39"/>
      <c r="S1602" s="37"/>
      <c r="T1602" s="38" t="s">
        <v>293</v>
      </c>
    </row>
    <row r="1603" ht="34.5">
      <c r="A1603" s="38" t="s">
        <v>1215</v>
      </c>
      <c r="B1603" s="38" t="s">
        <v>1216</v>
      </c>
      <c r="C1603" s="38" t="s">
        <v>1582</v>
      </c>
      <c r="D1603" s="38" t="s">
        <v>288</v>
      </c>
      <c r="E1603" s="38" t="s">
        <v>1238</v>
      </c>
      <c r="F1603" s="37" t="s">
        <v>1239</v>
      </c>
      <c r="G1603" s="38" t="s">
        <v>70</v>
      </c>
      <c r="H1603" s="37"/>
      <c r="I1603" s="37"/>
      <c r="J1603" s="37" t="s">
        <v>1588</v>
      </c>
      <c r="K1603" s="40"/>
      <c r="L1603" s="38"/>
      <c r="M1603" s="38"/>
      <c r="N1603" s="37"/>
      <c r="O1603" s="37"/>
      <c r="P1603" s="37"/>
      <c r="Q1603" s="37"/>
      <c r="R1603" s="39"/>
      <c r="S1603" s="37"/>
      <c r="T1603" s="38" t="s">
        <v>293</v>
      </c>
    </row>
    <row r="1604" ht="34.5">
      <c r="A1604" s="38" t="s">
        <v>1215</v>
      </c>
      <c r="B1604" s="38" t="s">
        <v>1216</v>
      </c>
      <c r="C1604" s="38" t="s">
        <v>1589</v>
      </c>
      <c r="D1604" s="38" t="s">
        <v>288</v>
      </c>
      <c r="E1604" s="38" t="s">
        <v>1238</v>
      </c>
      <c r="F1604" s="37" t="s">
        <v>1239</v>
      </c>
      <c r="G1604" s="38" t="s">
        <v>70</v>
      </c>
      <c r="H1604" s="37"/>
      <c r="I1604" s="37"/>
      <c r="J1604" s="37" t="s">
        <v>1590</v>
      </c>
      <c r="K1604" s="40"/>
      <c r="L1604" s="38"/>
      <c r="M1604" s="38"/>
      <c r="N1604" s="37"/>
      <c r="O1604" s="37"/>
      <c r="P1604" s="37"/>
      <c r="Q1604" s="37"/>
      <c r="R1604" s="39"/>
      <c r="S1604" s="37"/>
      <c r="T1604" s="38" t="s">
        <v>293</v>
      </c>
    </row>
    <row r="1605" ht="34.5">
      <c r="A1605" s="38" t="s">
        <v>1215</v>
      </c>
      <c r="B1605" s="38" t="s">
        <v>1216</v>
      </c>
      <c r="C1605" s="38" t="s">
        <v>1589</v>
      </c>
      <c r="D1605" s="38" t="s">
        <v>288</v>
      </c>
      <c r="E1605" s="38" t="s">
        <v>1238</v>
      </c>
      <c r="F1605" s="37" t="s">
        <v>1239</v>
      </c>
      <c r="G1605" s="38" t="s">
        <v>70</v>
      </c>
      <c r="H1605" s="37"/>
      <c r="I1605" s="37"/>
      <c r="J1605" s="37" t="s">
        <v>1591</v>
      </c>
      <c r="K1605" s="40"/>
      <c r="L1605" s="38"/>
      <c r="M1605" s="38"/>
      <c r="N1605" s="37"/>
      <c r="O1605" s="37"/>
      <c r="P1605" s="37"/>
      <c r="Q1605" s="37"/>
      <c r="R1605" s="39"/>
      <c r="S1605" s="37"/>
      <c r="T1605" s="38" t="s">
        <v>293</v>
      </c>
    </row>
    <row r="1606" ht="34.5">
      <c r="A1606" s="38" t="s">
        <v>1215</v>
      </c>
      <c r="B1606" s="38" t="s">
        <v>1216</v>
      </c>
      <c r="C1606" s="38" t="s">
        <v>1589</v>
      </c>
      <c r="D1606" s="38" t="s">
        <v>1592</v>
      </c>
      <c r="E1606" s="38" t="s">
        <v>1238</v>
      </c>
      <c r="F1606" s="37" t="s">
        <v>1239</v>
      </c>
      <c r="G1606" s="38" t="s">
        <v>70</v>
      </c>
      <c r="H1606" s="37"/>
      <c r="I1606" s="37"/>
      <c r="J1606" s="37" t="s">
        <v>1593</v>
      </c>
      <c r="K1606" s="40"/>
      <c r="L1606" s="38"/>
      <c r="M1606" s="38"/>
      <c r="N1606" s="37"/>
      <c r="O1606" s="37"/>
      <c r="P1606" s="37"/>
      <c r="Q1606" s="37"/>
      <c r="R1606" s="39"/>
      <c r="S1606" s="37"/>
      <c r="T1606" s="38" t="s">
        <v>293</v>
      </c>
    </row>
    <row r="1607" ht="34.5">
      <c r="A1607" s="38" t="s">
        <v>1215</v>
      </c>
      <c r="B1607" s="38" t="s">
        <v>1216</v>
      </c>
      <c r="C1607" s="38" t="s">
        <v>1589</v>
      </c>
      <c r="D1607" s="38" t="s">
        <v>288</v>
      </c>
      <c r="E1607" s="38" t="s">
        <v>1238</v>
      </c>
      <c r="F1607" s="37" t="s">
        <v>1239</v>
      </c>
      <c r="G1607" s="38" t="s">
        <v>70</v>
      </c>
      <c r="H1607" s="37"/>
      <c r="I1607" s="37"/>
      <c r="J1607" s="37" t="s">
        <v>1594</v>
      </c>
      <c r="K1607" s="40"/>
      <c r="L1607" s="38"/>
      <c r="M1607" s="38"/>
      <c r="N1607" s="37"/>
      <c r="O1607" s="37"/>
      <c r="P1607" s="37"/>
      <c r="Q1607" s="37"/>
      <c r="R1607" s="39"/>
      <c r="S1607" s="37"/>
      <c r="T1607" s="38" t="s">
        <v>293</v>
      </c>
    </row>
    <row r="1608" ht="34.5">
      <c r="A1608" s="38" t="s">
        <v>1215</v>
      </c>
      <c r="B1608" s="38" t="s">
        <v>1216</v>
      </c>
      <c r="C1608" s="38" t="s">
        <v>1589</v>
      </c>
      <c r="D1608" s="38" t="s">
        <v>288</v>
      </c>
      <c r="E1608" s="38" t="s">
        <v>1238</v>
      </c>
      <c r="F1608" s="37" t="s">
        <v>1239</v>
      </c>
      <c r="G1608" s="38" t="s">
        <v>70</v>
      </c>
      <c r="H1608" s="37"/>
      <c r="I1608" s="37"/>
      <c r="J1608" s="37" t="s">
        <v>1595</v>
      </c>
      <c r="K1608" s="40"/>
      <c r="L1608" s="38"/>
      <c r="M1608" s="38"/>
      <c r="N1608" s="37"/>
      <c r="O1608" s="37"/>
      <c r="P1608" s="37"/>
      <c r="Q1608" s="37"/>
      <c r="R1608" s="39"/>
      <c r="S1608" s="37"/>
      <c r="T1608" s="38" t="s">
        <v>293</v>
      </c>
    </row>
    <row r="1609" ht="34.5">
      <c r="A1609" s="38" t="s">
        <v>1215</v>
      </c>
      <c r="B1609" s="38" t="s">
        <v>1216</v>
      </c>
      <c r="C1609" s="38" t="s">
        <v>1589</v>
      </c>
      <c r="D1609" s="38" t="s">
        <v>288</v>
      </c>
      <c r="E1609" s="38" t="s">
        <v>1238</v>
      </c>
      <c r="F1609" s="37" t="s">
        <v>1239</v>
      </c>
      <c r="G1609" s="38" t="s">
        <v>70</v>
      </c>
      <c r="H1609" s="37"/>
      <c r="I1609" s="37"/>
      <c r="J1609" s="37" t="s">
        <v>1596</v>
      </c>
      <c r="K1609" s="40"/>
      <c r="L1609" s="38"/>
      <c r="M1609" s="38"/>
      <c r="N1609" s="37"/>
      <c r="O1609" s="37"/>
      <c r="P1609" s="37"/>
      <c r="Q1609" s="37"/>
      <c r="R1609" s="39"/>
      <c r="S1609" s="37"/>
      <c r="T1609" s="38" t="s">
        <v>293</v>
      </c>
    </row>
    <row r="1610" ht="34.5">
      <c r="A1610" s="38" t="s">
        <v>1215</v>
      </c>
      <c r="B1610" s="38" t="s">
        <v>1216</v>
      </c>
      <c r="C1610" s="38" t="s">
        <v>1589</v>
      </c>
      <c r="D1610" s="38" t="s">
        <v>288</v>
      </c>
      <c r="E1610" s="38" t="s">
        <v>1238</v>
      </c>
      <c r="F1610" s="37" t="s">
        <v>1239</v>
      </c>
      <c r="G1610" s="38" t="s">
        <v>70</v>
      </c>
      <c r="H1610" s="37"/>
      <c r="I1610" s="37"/>
      <c r="J1610" s="37" t="s">
        <v>1597</v>
      </c>
      <c r="K1610" s="40"/>
      <c r="L1610" s="38"/>
      <c r="M1610" s="38"/>
      <c r="N1610" s="37"/>
      <c r="O1610" s="37"/>
      <c r="P1610" s="37"/>
      <c r="Q1610" s="37"/>
      <c r="R1610" s="39"/>
      <c r="S1610" s="37"/>
      <c r="T1610" s="38" t="s">
        <v>293</v>
      </c>
    </row>
    <row r="1611" ht="34.5">
      <c r="A1611" s="38" t="s">
        <v>1215</v>
      </c>
      <c r="B1611" s="38" t="s">
        <v>1216</v>
      </c>
      <c r="C1611" s="38" t="s">
        <v>1589</v>
      </c>
      <c r="D1611" s="38" t="s">
        <v>288</v>
      </c>
      <c r="E1611" s="38" t="s">
        <v>1238</v>
      </c>
      <c r="F1611" s="37" t="s">
        <v>1239</v>
      </c>
      <c r="G1611" s="38" t="s">
        <v>70</v>
      </c>
      <c r="H1611" s="37"/>
      <c r="I1611" s="37"/>
      <c r="J1611" s="37" t="s">
        <v>1598</v>
      </c>
      <c r="K1611" s="40"/>
      <c r="L1611" s="38"/>
      <c r="M1611" s="38"/>
      <c r="N1611" s="37"/>
      <c r="O1611" s="37"/>
      <c r="P1611" s="37"/>
      <c r="Q1611" s="37"/>
      <c r="R1611" s="39"/>
      <c r="S1611" s="37"/>
      <c r="T1611" s="38" t="s">
        <v>293</v>
      </c>
    </row>
    <row r="1612" ht="34.5">
      <c r="A1612" s="38" t="s">
        <v>1215</v>
      </c>
      <c r="B1612" s="38" t="s">
        <v>1216</v>
      </c>
      <c r="C1612" s="38" t="s">
        <v>1589</v>
      </c>
      <c r="D1612" s="38" t="s">
        <v>288</v>
      </c>
      <c r="E1612" s="38" t="s">
        <v>1238</v>
      </c>
      <c r="F1612" s="37" t="s">
        <v>1239</v>
      </c>
      <c r="G1612" s="38" t="s">
        <v>70</v>
      </c>
      <c r="H1612" s="37"/>
      <c r="I1612" s="37"/>
      <c r="J1612" s="37" t="s">
        <v>1599</v>
      </c>
      <c r="K1612" s="40"/>
      <c r="L1612" s="38"/>
      <c r="M1612" s="38"/>
      <c r="N1612" s="37"/>
      <c r="O1612" s="37"/>
      <c r="P1612" s="37"/>
      <c r="Q1612" s="37"/>
      <c r="R1612" s="39"/>
      <c r="S1612" s="37"/>
      <c r="T1612" s="38" t="s">
        <v>293</v>
      </c>
    </row>
    <row r="1613" ht="34.5">
      <c r="A1613" s="38" t="s">
        <v>1215</v>
      </c>
      <c r="B1613" s="38" t="s">
        <v>1216</v>
      </c>
      <c r="C1613" s="38" t="s">
        <v>1600</v>
      </c>
      <c r="D1613" s="38" t="s">
        <v>288</v>
      </c>
      <c r="E1613" s="38" t="s">
        <v>1238</v>
      </c>
      <c r="F1613" s="37" t="s">
        <v>1239</v>
      </c>
      <c r="G1613" s="38" t="s">
        <v>70</v>
      </c>
      <c r="H1613" s="37"/>
      <c r="I1613" s="37"/>
      <c r="J1613" s="37" t="s">
        <v>1601</v>
      </c>
      <c r="K1613" s="40"/>
      <c r="L1613" s="38"/>
      <c r="M1613" s="38"/>
      <c r="N1613" s="37"/>
      <c r="O1613" s="37"/>
      <c r="P1613" s="37"/>
      <c r="Q1613" s="37"/>
      <c r="R1613" s="39"/>
      <c r="S1613" s="37"/>
      <c r="T1613" s="38" t="s">
        <v>293</v>
      </c>
    </row>
    <row r="1614" ht="34.5">
      <c r="A1614" s="38" t="s">
        <v>1215</v>
      </c>
      <c r="B1614" s="38" t="s">
        <v>1216</v>
      </c>
      <c r="C1614" s="38" t="s">
        <v>1600</v>
      </c>
      <c r="D1614" s="38" t="s">
        <v>288</v>
      </c>
      <c r="E1614" s="38" t="s">
        <v>1238</v>
      </c>
      <c r="F1614" s="37" t="s">
        <v>1239</v>
      </c>
      <c r="G1614" s="38" t="s">
        <v>70</v>
      </c>
      <c r="H1614" s="37"/>
      <c r="I1614" s="37"/>
      <c r="J1614" s="37" t="s">
        <v>1602</v>
      </c>
      <c r="K1614" s="40"/>
      <c r="L1614" s="38"/>
      <c r="M1614" s="38"/>
      <c r="N1614" s="37"/>
      <c r="O1614" s="37"/>
      <c r="P1614" s="37"/>
      <c r="Q1614" s="37"/>
      <c r="R1614" s="39"/>
      <c r="S1614" s="37"/>
      <c r="T1614" s="38" t="s">
        <v>293</v>
      </c>
    </row>
    <row r="1615" ht="34.5">
      <c r="A1615" s="38" t="s">
        <v>1215</v>
      </c>
      <c r="B1615" s="38" t="s">
        <v>1216</v>
      </c>
      <c r="C1615" s="38" t="s">
        <v>1600</v>
      </c>
      <c r="D1615" s="38" t="s">
        <v>288</v>
      </c>
      <c r="E1615" s="38" t="s">
        <v>1238</v>
      </c>
      <c r="F1615" s="37" t="s">
        <v>1239</v>
      </c>
      <c r="G1615" s="38" t="s">
        <v>70</v>
      </c>
      <c r="H1615" s="37"/>
      <c r="I1615" s="37"/>
      <c r="J1615" s="37" t="s">
        <v>1603</v>
      </c>
      <c r="K1615" s="40"/>
      <c r="L1615" s="38"/>
      <c r="M1615" s="38"/>
      <c r="N1615" s="37"/>
      <c r="O1615" s="37"/>
      <c r="P1615" s="37"/>
      <c r="Q1615" s="37"/>
      <c r="R1615" s="39"/>
      <c r="S1615" s="37"/>
      <c r="T1615" s="38" t="s">
        <v>293</v>
      </c>
    </row>
    <row r="1616" ht="34.5">
      <c r="A1616" s="38" t="s">
        <v>1215</v>
      </c>
      <c r="B1616" s="38" t="s">
        <v>1216</v>
      </c>
      <c r="C1616" s="38" t="s">
        <v>1600</v>
      </c>
      <c r="D1616" s="38" t="s">
        <v>288</v>
      </c>
      <c r="E1616" s="38" t="s">
        <v>1238</v>
      </c>
      <c r="F1616" s="37" t="s">
        <v>1239</v>
      </c>
      <c r="G1616" s="38" t="s">
        <v>70</v>
      </c>
      <c r="H1616" s="37"/>
      <c r="I1616" s="37"/>
      <c r="J1616" s="37" t="s">
        <v>1604</v>
      </c>
      <c r="K1616" s="40"/>
      <c r="L1616" s="38"/>
      <c r="M1616" s="38"/>
      <c r="N1616" s="37"/>
      <c r="O1616" s="37"/>
      <c r="P1616" s="37"/>
      <c r="Q1616" s="37"/>
      <c r="R1616" s="39"/>
      <c r="S1616" s="37"/>
      <c r="T1616" s="38" t="s">
        <v>293</v>
      </c>
    </row>
    <row r="1617" ht="34.5">
      <c r="A1617" s="38" t="s">
        <v>1215</v>
      </c>
      <c r="B1617" s="38" t="s">
        <v>1216</v>
      </c>
      <c r="C1617" s="38" t="s">
        <v>1600</v>
      </c>
      <c r="D1617" s="38" t="s">
        <v>288</v>
      </c>
      <c r="E1617" s="38" t="s">
        <v>1238</v>
      </c>
      <c r="F1617" s="37" t="s">
        <v>1239</v>
      </c>
      <c r="G1617" s="38" t="s">
        <v>70</v>
      </c>
      <c r="H1617" s="37"/>
      <c r="I1617" s="37"/>
      <c r="J1617" s="37" t="s">
        <v>1605</v>
      </c>
      <c r="K1617" s="40"/>
      <c r="L1617" s="38"/>
      <c r="M1617" s="38"/>
      <c r="N1617" s="37"/>
      <c r="O1617" s="37"/>
      <c r="P1617" s="37"/>
      <c r="Q1617" s="37"/>
      <c r="R1617" s="39"/>
      <c r="S1617" s="37"/>
      <c r="T1617" s="38" t="s">
        <v>293</v>
      </c>
    </row>
    <row r="1618" ht="34.5">
      <c r="A1618" s="38" t="s">
        <v>1215</v>
      </c>
      <c r="B1618" s="38" t="s">
        <v>1216</v>
      </c>
      <c r="C1618" s="38" t="s">
        <v>1600</v>
      </c>
      <c r="D1618" s="38" t="s">
        <v>288</v>
      </c>
      <c r="E1618" s="38" t="s">
        <v>1238</v>
      </c>
      <c r="F1618" s="37" t="s">
        <v>1239</v>
      </c>
      <c r="G1618" s="38" t="s">
        <v>70</v>
      </c>
      <c r="H1618" s="37"/>
      <c r="I1618" s="37"/>
      <c r="J1618" s="37" t="s">
        <v>1606</v>
      </c>
      <c r="K1618" s="40"/>
      <c r="L1618" s="38"/>
      <c r="M1618" s="38"/>
      <c r="N1618" s="37"/>
      <c r="O1618" s="37"/>
      <c r="P1618" s="37"/>
      <c r="Q1618" s="37"/>
      <c r="R1618" s="39"/>
      <c r="S1618" s="37"/>
      <c r="T1618" s="38" t="s">
        <v>293</v>
      </c>
    </row>
    <row r="1619" ht="34.5">
      <c r="A1619" s="38" t="s">
        <v>1215</v>
      </c>
      <c r="B1619" s="38" t="s">
        <v>1216</v>
      </c>
      <c r="C1619" s="38" t="s">
        <v>1600</v>
      </c>
      <c r="D1619" s="38" t="s">
        <v>288</v>
      </c>
      <c r="E1619" s="38" t="s">
        <v>1238</v>
      </c>
      <c r="F1619" s="37" t="s">
        <v>1239</v>
      </c>
      <c r="G1619" s="38" t="s">
        <v>70</v>
      </c>
      <c r="H1619" s="37"/>
      <c r="I1619" s="37"/>
      <c r="J1619" s="37" t="s">
        <v>1607</v>
      </c>
      <c r="K1619" s="40"/>
      <c r="L1619" s="38"/>
      <c r="M1619" s="38"/>
      <c r="N1619" s="37"/>
      <c r="O1619" s="37"/>
      <c r="P1619" s="37"/>
      <c r="Q1619" s="37"/>
      <c r="R1619" s="39"/>
      <c r="S1619" s="37"/>
      <c r="T1619" s="38" t="s">
        <v>293</v>
      </c>
    </row>
    <row r="1620" ht="34.5">
      <c r="A1620" s="38" t="s">
        <v>1215</v>
      </c>
      <c r="B1620" s="38" t="s">
        <v>1216</v>
      </c>
      <c r="C1620" s="38" t="s">
        <v>1600</v>
      </c>
      <c r="D1620" s="38" t="s">
        <v>288</v>
      </c>
      <c r="E1620" s="38" t="s">
        <v>1238</v>
      </c>
      <c r="F1620" s="37" t="s">
        <v>1239</v>
      </c>
      <c r="G1620" s="38" t="s">
        <v>70</v>
      </c>
      <c r="H1620" s="37"/>
      <c r="I1620" s="37"/>
      <c r="J1620" s="37" t="s">
        <v>1608</v>
      </c>
      <c r="K1620" s="40"/>
      <c r="L1620" s="38"/>
      <c r="M1620" s="38"/>
      <c r="N1620" s="37"/>
      <c r="O1620" s="37"/>
      <c r="P1620" s="37"/>
      <c r="Q1620" s="37"/>
      <c r="R1620" s="39"/>
      <c r="S1620" s="37"/>
      <c r="T1620" s="38" t="s">
        <v>293</v>
      </c>
    </row>
    <row r="1621" ht="34.5">
      <c r="A1621" s="38" t="s">
        <v>1215</v>
      </c>
      <c r="B1621" s="38" t="s">
        <v>1216</v>
      </c>
      <c r="C1621" s="38" t="s">
        <v>1600</v>
      </c>
      <c r="D1621" s="38" t="s">
        <v>288</v>
      </c>
      <c r="E1621" s="38" t="s">
        <v>1238</v>
      </c>
      <c r="F1621" s="37" t="s">
        <v>1239</v>
      </c>
      <c r="G1621" s="38" t="s">
        <v>70</v>
      </c>
      <c r="H1621" s="37"/>
      <c r="I1621" s="37"/>
      <c r="J1621" s="37" t="s">
        <v>1609</v>
      </c>
      <c r="K1621" s="40"/>
      <c r="L1621" s="38"/>
      <c r="M1621" s="38"/>
      <c r="N1621" s="37"/>
      <c r="O1621" s="37"/>
      <c r="P1621" s="37"/>
      <c r="Q1621" s="37"/>
      <c r="R1621" s="39"/>
      <c r="S1621" s="37"/>
      <c r="T1621" s="38" t="s">
        <v>293</v>
      </c>
    </row>
    <row r="1622" ht="34.5">
      <c r="A1622" s="38" t="s">
        <v>1215</v>
      </c>
      <c r="B1622" s="38" t="s">
        <v>1216</v>
      </c>
      <c r="C1622" s="38" t="s">
        <v>1600</v>
      </c>
      <c r="D1622" s="38" t="s">
        <v>288</v>
      </c>
      <c r="E1622" s="38" t="s">
        <v>1238</v>
      </c>
      <c r="F1622" s="37" t="s">
        <v>1239</v>
      </c>
      <c r="G1622" s="38" t="s">
        <v>70</v>
      </c>
      <c r="H1622" s="37"/>
      <c r="I1622" s="37"/>
      <c r="J1622" s="37" t="s">
        <v>1610</v>
      </c>
      <c r="K1622" s="40"/>
      <c r="L1622" s="38"/>
      <c r="M1622" s="38"/>
      <c r="N1622" s="37"/>
      <c r="O1622" s="37"/>
      <c r="P1622" s="37"/>
      <c r="Q1622" s="37"/>
      <c r="R1622" s="39"/>
      <c r="S1622" s="37"/>
      <c r="T1622" s="38" t="s">
        <v>293</v>
      </c>
    </row>
    <row r="1623" ht="34.5">
      <c r="A1623" s="38" t="s">
        <v>1215</v>
      </c>
      <c r="B1623" s="38" t="s">
        <v>1216</v>
      </c>
      <c r="C1623" s="38" t="s">
        <v>886</v>
      </c>
      <c r="D1623" s="38" t="s">
        <v>288</v>
      </c>
      <c r="E1623" s="38" t="s">
        <v>1238</v>
      </c>
      <c r="F1623" s="37" t="s">
        <v>1239</v>
      </c>
      <c r="G1623" s="38" t="s">
        <v>70</v>
      </c>
      <c r="H1623" s="37"/>
      <c r="I1623" s="37"/>
      <c r="J1623" s="37" t="s">
        <v>1611</v>
      </c>
      <c r="K1623" s="40"/>
      <c r="L1623" s="38"/>
      <c r="M1623" s="38"/>
      <c r="N1623" s="37"/>
      <c r="O1623" s="37"/>
      <c r="P1623" s="37"/>
      <c r="Q1623" s="37"/>
      <c r="R1623" s="39"/>
      <c r="S1623" s="37"/>
      <c r="T1623" s="38" t="s">
        <v>293</v>
      </c>
    </row>
    <row r="1624" ht="34.5">
      <c r="A1624" s="38" t="s">
        <v>1215</v>
      </c>
      <c r="B1624" s="38" t="s">
        <v>1216</v>
      </c>
      <c r="C1624" s="38" t="s">
        <v>886</v>
      </c>
      <c r="D1624" s="38" t="s">
        <v>288</v>
      </c>
      <c r="E1624" s="38" t="s">
        <v>1238</v>
      </c>
      <c r="F1624" s="37" t="s">
        <v>1239</v>
      </c>
      <c r="G1624" s="38" t="s">
        <v>70</v>
      </c>
      <c r="H1624" s="37"/>
      <c r="I1624" s="37"/>
      <c r="J1624" s="37" t="s">
        <v>1612</v>
      </c>
      <c r="K1624" s="40"/>
      <c r="L1624" s="38"/>
      <c r="M1624" s="38"/>
      <c r="N1624" s="37"/>
      <c r="O1624" s="37"/>
      <c r="P1624" s="37"/>
      <c r="Q1624" s="37"/>
      <c r="R1624" s="39"/>
      <c r="S1624" s="37"/>
      <c r="T1624" s="38" t="s">
        <v>293</v>
      </c>
    </row>
    <row r="1625" ht="34.5">
      <c r="A1625" s="38" t="s">
        <v>1215</v>
      </c>
      <c r="B1625" s="38" t="s">
        <v>1216</v>
      </c>
      <c r="C1625" s="38" t="s">
        <v>886</v>
      </c>
      <c r="D1625" s="38" t="s">
        <v>288</v>
      </c>
      <c r="E1625" s="38" t="s">
        <v>1238</v>
      </c>
      <c r="F1625" s="37" t="s">
        <v>1239</v>
      </c>
      <c r="G1625" s="38" t="s">
        <v>70</v>
      </c>
      <c r="H1625" s="37"/>
      <c r="I1625" s="37"/>
      <c r="J1625" s="37" t="s">
        <v>1613</v>
      </c>
      <c r="K1625" s="40"/>
      <c r="L1625" s="38"/>
      <c r="M1625" s="38"/>
      <c r="N1625" s="37"/>
      <c r="O1625" s="37"/>
      <c r="P1625" s="37"/>
      <c r="Q1625" s="37"/>
      <c r="R1625" s="39"/>
      <c r="S1625" s="37"/>
      <c r="T1625" s="38" t="s">
        <v>293</v>
      </c>
    </row>
    <row r="1626" ht="34.5">
      <c r="A1626" s="38" t="s">
        <v>1215</v>
      </c>
      <c r="B1626" s="38" t="s">
        <v>1216</v>
      </c>
      <c r="C1626" s="38" t="s">
        <v>886</v>
      </c>
      <c r="D1626" s="38" t="s">
        <v>288</v>
      </c>
      <c r="E1626" s="38" t="s">
        <v>1238</v>
      </c>
      <c r="F1626" s="37" t="s">
        <v>1239</v>
      </c>
      <c r="G1626" s="38" t="s">
        <v>70</v>
      </c>
      <c r="H1626" s="37"/>
      <c r="I1626" s="37"/>
      <c r="J1626" s="37" t="s">
        <v>1614</v>
      </c>
      <c r="K1626" s="40"/>
      <c r="L1626" s="38"/>
      <c r="M1626" s="38"/>
      <c r="N1626" s="37"/>
      <c r="O1626" s="37"/>
      <c r="P1626" s="37"/>
      <c r="Q1626" s="37"/>
      <c r="R1626" s="39"/>
      <c r="S1626" s="37"/>
      <c r="T1626" s="38" t="s">
        <v>293</v>
      </c>
    </row>
    <row r="1627" ht="34.5">
      <c r="A1627" s="38" t="s">
        <v>1215</v>
      </c>
      <c r="B1627" s="38" t="s">
        <v>1216</v>
      </c>
      <c r="C1627" s="38" t="s">
        <v>886</v>
      </c>
      <c r="D1627" s="38" t="s">
        <v>288</v>
      </c>
      <c r="E1627" s="38" t="s">
        <v>1238</v>
      </c>
      <c r="F1627" s="37" t="s">
        <v>1239</v>
      </c>
      <c r="G1627" s="38" t="s">
        <v>70</v>
      </c>
      <c r="H1627" s="37"/>
      <c r="I1627" s="37"/>
      <c r="J1627" s="37" t="s">
        <v>1615</v>
      </c>
      <c r="K1627" s="40"/>
      <c r="L1627" s="38"/>
      <c r="M1627" s="38"/>
      <c r="N1627" s="37"/>
      <c r="O1627" s="37"/>
      <c r="P1627" s="37"/>
      <c r="Q1627" s="37"/>
      <c r="R1627" s="39"/>
      <c r="S1627" s="37"/>
      <c r="T1627" s="38" t="s">
        <v>293</v>
      </c>
    </row>
    <row r="1628" ht="34.5">
      <c r="A1628" s="38" t="s">
        <v>1215</v>
      </c>
      <c r="B1628" s="38" t="s">
        <v>1216</v>
      </c>
      <c r="C1628" s="38" t="s">
        <v>886</v>
      </c>
      <c r="D1628" s="38" t="s">
        <v>288</v>
      </c>
      <c r="E1628" s="38" t="s">
        <v>1238</v>
      </c>
      <c r="F1628" s="37" t="s">
        <v>1239</v>
      </c>
      <c r="G1628" s="38" t="s">
        <v>70</v>
      </c>
      <c r="H1628" s="37"/>
      <c r="I1628" s="37"/>
      <c r="J1628" s="37" t="s">
        <v>1616</v>
      </c>
      <c r="K1628" s="40"/>
      <c r="L1628" s="38"/>
      <c r="M1628" s="38"/>
      <c r="N1628" s="37"/>
      <c r="O1628" s="37"/>
      <c r="P1628" s="37"/>
      <c r="Q1628" s="37"/>
      <c r="R1628" s="39"/>
      <c r="S1628" s="37"/>
      <c r="T1628" s="38" t="s">
        <v>293</v>
      </c>
    </row>
    <row r="1629" ht="34.5">
      <c r="A1629" s="38" t="s">
        <v>1215</v>
      </c>
      <c r="B1629" s="38" t="s">
        <v>1216</v>
      </c>
      <c r="C1629" s="38" t="s">
        <v>897</v>
      </c>
      <c r="D1629" s="38" t="s">
        <v>288</v>
      </c>
      <c r="E1629" s="38" t="s">
        <v>1238</v>
      </c>
      <c r="F1629" s="37" t="s">
        <v>1239</v>
      </c>
      <c r="G1629" s="38" t="s">
        <v>70</v>
      </c>
      <c r="H1629" s="37"/>
      <c r="I1629" s="37"/>
      <c r="J1629" s="37" t="s">
        <v>1617</v>
      </c>
      <c r="K1629" s="40"/>
      <c r="L1629" s="38"/>
      <c r="M1629" s="38"/>
      <c r="N1629" s="37"/>
      <c r="O1629" s="37"/>
      <c r="P1629" s="37"/>
      <c r="Q1629" s="37"/>
      <c r="R1629" s="39"/>
      <c r="S1629" s="37"/>
      <c r="T1629" s="38" t="s">
        <v>293</v>
      </c>
    </row>
    <row r="1630" ht="34.5">
      <c r="A1630" s="38" t="s">
        <v>1215</v>
      </c>
      <c r="B1630" s="38" t="s">
        <v>1216</v>
      </c>
      <c r="C1630" s="38" t="s">
        <v>897</v>
      </c>
      <c r="D1630" s="38" t="s">
        <v>288</v>
      </c>
      <c r="E1630" s="38" t="s">
        <v>1238</v>
      </c>
      <c r="F1630" s="37" t="s">
        <v>1239</v>
      </c>
      <c r="G1630" s="38" t="s">
        <v>70</v>
      </c>
      <c r="H1630" s="37"/>
      <c r="I1630" s="37"/>
      <c r="J1630" s="37" t="s">
        <v>1618</v>
      </c>
      <c r="K1630" s="40"/>
      <c r="L1630" s="38"/>
      <c r="M1630" s="38"/>
      <c r="N1630" s="37"/>
      <c r="O1630" s="37"/>
      <c r="P1630" s="37"/>
      <c r="Q1630" s="37"/>
      <c r="R1630" s="39"/>
      <c r="S1630" s="37"/>
      <c r="T1630" s="38" t="s">
        <v>293</v>
      </c>
    </row>
    <row r="1631" ht="34.5">
      <c r="A1631" s="38" t="s">
        <v>1215</v>
      </c>
      <c r="B1631" s="38" t="s">
        <v>1216</v>
      </c>
      <c r="C1631" s="38" t="s">
        <v>897</v>
      </c>
      <c r="D1631" s="38" t="s">
        <v>288</v>
      </c>
      <c r="E1631" s="38" t="s">
        <v>1238</v>
      </c>
      <c r="F1631" s="37" t="s">
        <v>1239</v>
      </c>
      <c r="G1631" s="38" t="s">
        <v>70</v>
      </c>
      <c r="H1631" s="37"/>
      <c r="I1631" s="37"/>
      <c r="J1631" s="37" t="s">
        <v>1619</v>
      </c>
      <c r="K1631" s="40"/>
      <c r="L1631" s="38"/>
      <c r="M1631" s="38"/>
      <c r="N1631" s="37"/>
      <c r="O1631" s="37"/>
      <c r="P1631" s="37"/>
      <c r="Q1631" s="37"/>
      <c r="R1631" s="39"/>
      <c r="S1631" s="37"/>
      <c r="T1631" s="38" t="s">
        <v>293</v>
      </c>
    </row>
    <row r="1632" ht="34.5">
      <c r="A1632" s="38" t="s">
        <v>1215</v>
      </c>
      <c r="B1632" s="38" t="s">
        <v>1216</v>
      </c>
      <c r="C1632" s="38" t="s">
        <v>897</v>
      </c>
      <c r="D1632" s="38" t="s">
        <v>288</v>
      </c>
      <c r="E1632" s="38" t="s">
        <v>1238</v>
      </c>
      <c r="F1632" s="37" t="s">
        <v>1239</v>
      </c>
      <c r="G1632" s="38" t="s">
        <v>70</v>
      </c>
      <c r="H1632" s="37"/>
      <c r="I1632" s="37"/>
      <c r="J1632" s="37" t="s">
        <v>1620</v>
      </c>
      <c r="K1632" s="40"/>
      <c r="L1632" s="38"/>
      <c r="M1632" s="38"/>
      <c r="N1632" s="37"/>
      <c r="O1632" s="37"/>
      <c r="P1632" s="37"/>
      <c r="Q1632" s="37"/>
      <c r="R1632" s="39"/>
      <c r="S1632" s="37"/>
      <c r="T1632" s="38" t="s">
        <v>293</v>
      </c>
    </row>
    <row r="1633" ht="34.5">
      <c r="A1633" s="38" t="s">
        <v>1215</v>
      </c>
      <c r="B1633" s="38" t="s">
        <v>1216</v>
      </c>
      <c r="C1633" s="38" t="s">
        <v>897</v>
      </c>
      <c r="D1633" s="38" t="s">
        <v>288</v>
      </c>
      <c r="E1633" s="38" t="s">
        <v>1238</v>
      </c>
      <c r="F1633" s="37" t="s">
        <v>1239</v>
      </c>
      <c r="G1633" s="38" t="s">
        <v>70</v>
      </c>
      <c r="H1633" s="37"/>
      <c r="I1633" s="37"/>
      <c r="J1633" s="37" t="s">
        <v>1621</v>
      </c>
      <c r="K1633" s="40"/>
      <c r="L1633" s="38"/>
      <c r="M1633" s="38"/>
      <c r="N1633" s="37"/>
      <c r="O1633" s="37"/>
      <c r="P1633" s="37"/>
      <c r="Q1633" s="37"/>
      <c r="R1633" s="39"/>
      <c r="S1633" s="37"/>
      <c r="T1633" s="38" t="s">
        <v>293</v>
      </c>
    </row>
    <row r="1634" ht="34.5">
      <c r="A1634" s="38" t="s">
        <v>1215</v>
      </c>
      <c r="B1634" s="38" t="s">
        <v>1216</v>
      </c>
      <c r="C1634" s="38" t="s">
        <v>897</v>
      </c>
      <c r="D1634" s="38" t="s">
        <v>288</v>
      </c>
      <c r="E1634" s="38" t="s">
        <v>1238</v>
      </c>
      <c r="F1634" s="37" t="s">
        <v>1239</v>
      </c>
      <c r="G1634" s="38" t="s">
        <v>70</v>
      </c>
      <c r="H1634" s="37"/>
      <c r="I1634" s="37"/>
      <c r="J1634" s="37" t="s">
        <v>1622</v>
      </c>
      <c r="K1634" s="40"/>
      <c r="L1634" s="38"/>
      <c r="M1634" s="38"/>
      <c r="N1634" s="37"/>
      <c r="O1634" s="37"/>
      <c r="P1634" s="37"/>
      <c r="Q1634" s="37"/>
      <c r="R1634" s="39"/>
      <c r="S1634" s="37"/>
      <c r="T1634" s="38" t="s">
        <v>293</v>
      </c>
    </row>
    <row r="1635" ht="34.5">
      <c r="A1635" s="38" t="s">
        <v>1215</v>
      </c>
      <c r="B1635" s="38" t="s">
        <v>1216</v>
      </c>
      <c r="C1635" s="38" t="s">
        <v>901</v>
      </c>
      <c r="D1635" s="38" t="s">
        <v>288</v>
      </c>
      <c r="E1635" s="38" t="s">
        <v>1238</v>
      </c>
      <c r="F1635" s="37" t="s">
        <v>1239</v>
      </c>
      <c r="G1635" s="38" t="s">
        <v>70</v>
      </c>
      <c r="H1635" s="37"/>
      <c r="I1635" s="37"/>
      <c r="J1635" s="37" t="s">
        <v>1623</v>
      </c>
      <c r="K1635" s="40"/>
      <c r="L1635" s="38"/>
      <c r="M1635" s="38"/>
      <c r="N1635" s="37"/>
      <c r="O1635" s="37"/>
      <c r="P1635" s="37"/>
      <c r="Q1635" s="37"/>
      <c r="R1635" s="39"/>
      <c r="S1635" s="37"/>
      <c r="T1635" s="38" t="s">
        <v>293</v>
      </c>
    </row>
    <row r="1636" ht="34.5">
      <c r="A1636" s="38" t="s">
        <v>1215</v>
      </c>
      <c r="B1636" s="38" t="s">
        <v>1216</v>
      </c>
      <c r="C1636" s="38" t="s">
        <v>901</v>
      </c>
      <c r="D1636" s="38" t="s">
        <v>288</v>
      </c>
      <c r="E1636" s="38" t="s">
        <v>1238</v>
      </c>
      <c r="F1636" s="37" t="s">
        <v>1239</v>
      </c>
      <c r="G1636" s="38" t="s">
        <v>70</v>
      </c>
      <c r="H1636" s="37"/>
      <c r="I1636" s="37"/>
      <c r="J1636" s="37" t="s">
        <v>1624</v>
      </c>
      <c r="K1636" s="40"/>
      <c r="L1636" s="38"/>
      <c r="M1636" s="38"/>
      <c r="N1636" s="37"/>
      <c r="O1636" s="37"/>
      <c r="P1636" s="37"/>
      <c r="Q1636" s="37"/>
      <c r="R1636" s="39"/>
      <c r="S1636" s="37"/>
      <c r="T1636" s="38" t="s">
        <v>293</v>
      </c>
    </row>
    <row r="1637" ht="34.5">
      <c r="A1637" s="38" t="s">
        <v>1215</v>
      </c>
      <c r="B1637" s="38" t="s">
        <v>1216</v>
      </c>
      <c r="C1637" s="38" t="s">
        <v>901</v>
      </c>
      <c r="D1637" s="38" t="s">
        <v>288</v>
      </c>
      <c r="E1637" s="38" t="s">
        <v>1238</v>
      </c>
      <c r="F1637" s="37" t="s">
        <v>1239</v>
      </c>
      <c r="G1637" s="38" t="s">
        <v>70</v>
      </c>
      <c r="H1637" s="37"/>
      <c r="I1637" s="37"/>
      <c r="J1637" s="37" t="s">
        <v>1625</v>
      </c>
      <c r="K1637" s="40"/>
      <c r="L1637" s="38"/>
      <c r="M1637" s="38"/>
      <c r="N1637" s="37"/>
      <c r="O1637" s="37"/>
      <c r="P1637" s="37"/>
      <c r="Q1637" s="37"/>
      <c r="R1637" s="39"/>
      <c r="S1637" s="37"/>
      <c r="T1637" s="38" t="s">
        <v>293</v>
      </c>
    </row>
    <row r="1638" ht="34.5">
      <c r="A1638" s="38" t="s">
        <v>1215</v>
      </c>
      <c r="B1638" s="38" t="s">
        <v>1216</v>
      </c>
      <c r="C1638" s="38" t="s">
        <v>901</v>
      </c>
      <c r="D1638" s="38" t="s">
        <v>288</v>
      </c>
      <c r="E1638" s="38" t="s">
        <v>1238</v>
      </c>
      <c r="F1638" s="37" t="s">
        <v>1239</v>
      </c>
      <c r="G1638" s="38" t="s">
        <v>70</v>
      </c>
      <c r="H1638" s="37"/>
      <c r="I1638" s="37"/>
      <c r="J1638" s="37" t="s">
        <v>1626</v>
      </c>
      <c r="K1638" s="40"/>
      <c r="L1638" s="38"/>
      <c r="M1638" s="38"/>
      <c r="N1638" s="37"/>
      <c r="O1638" s="37"/>
      <c r="P1638" s="37"/>
      <c r="Q1638" s="37"/>
      <c r="R1638" s="39"/>
      <c r="S1638" s="37"/>
      <c r="T1638" s="38" t="s">
        <v>293</v>
      </c>
    </row>
    <row r="1639" ht="34.5">
      <c r="A1639" s="38" t="s">
        <v>1215</v>
      </c>
      <c r="B1639" s="38" t="s">
        <v>1216</v>
      </c>
      <c r="C1639" s="38" t="s">
        <v>901</v>
      </c>
      <c r="D1639" s="38" t="s">
        <v>288</v>
      </c>
      <c r="E1639" s="38" t="s">
        <v>1238</v>
      </c>
      <c r="F1639" s="37" t="s">
        <v>1239</v>
      </c>
      <c r="G1639" s="38" t="s">
        <v>70</v>
      </c>
      <c r="H1639" s="37"/>
      <c r="I1639" s="37"/>
      <c r="J1639" s="37" t="s">
        <v>1627</v>
      </c>
      <c r="K1639" s="40"/>
      <c r="L1639" s="38"/>
      <c r="M1639" s="38"/>
      <c r="N1639" s="37"/>
      <c r="O1639" s="37"/>
      <c r="P1639" s="37"/>
      <c r="Q1639" s="37"/>
      <c r="R1639" s="39"/>
      <c r="S1639" s="37"/>
      <c r="T1639" s="38" t="s">
        <v>293</v>
      </c>
    </row>
    <row r="1640" ht="34.5">
      <c r="A1640" s="38" t="s">
        <v>1215</v>
      </c>
      <c r="B1640" s="38" t="s">
        <v>1216</v>
      </c>
      <c r="C1640" s="38" t="s">
        <v>901</v>
      </c>
      <c r="D1640" s="38" t="s">
        <v>288</v>
      </c>
      <c r="E1640" s="38" t="s">
        <v>1238</v>
      </c>
      <c r="F1640" s="37" t="s">
        <v>1239</v>
      </c>
      <c r="G1640" s="38" t="s">
        <v>70</v>
      </c>
      <c r="H1640" s="37"/>
      <c r="I1640" s="37"/>
      <c r="J1640" s="37" t="s">
        <v>1628</v>
      </c>
      <c r="K1640" s="40"/>
      <c r="L1640" s="38"/>
      <c r="M1640" s="38"/>
      <c r="N1640" s="37"/>
      <c r="O1640" s="37"/>
      <c r="P1640" s="37"/>
      <c r="Q1640" s="37"/>
      <c r="R1640" s="39"/>
      <c r="S1640" s="37"/>
      <c r="T1640" s="38" t="s">
        <v>293</v>
      </c>
    </row>
    <row r="1641" ht="34.5">
      <c r="A1641" s="38" t="s">
        <v>1215</v>
      </c>
      <c r="B1641" s="38" t="s">
        <v>1216</v>
      </c>
      <c r="C1641" s="38" t="s">
        <v>901</v>
      </c>
      <c r="D1641" s="38" t="s">
        <v>288</v>
      </c>
      <c r="E1641" s="38" t="s">
        <v>1238</v>
      </c>
      <c r="F1641" s="37" t="s">
        <v>1239</v>
      </c>
      <c r="G1641" s="38" t="s">
        <v>70</v>
      </c>
      <c r="H1641" s="37"/>
      <c r="I1641" s="37"/>
      <c r="J1641" s="37" t="s">
        <v>1629</v>
      </c>
      <c r="K1641" s="40"/>
      <c r="L1641" s="38"/>
      <c r="M1641" s="38"/>
      <c r="N1641" s="37"/>
      <c r="O1641" s="37"/>
      <c r="P1641" s="37"/>
      <c r="Q1641" s="37"/>
      <c r="R1641" s="39"/>
      <c r="S1641" s="37"/>
      <c r="T1641" s="38" t="s">
        <v>293</v>
      </c>
    </row>
    <row r="1642" ht="34.5">
      <c r="A1642" s="38" t="s">
        <v>1215</v>
      </c>
      <c r="B1642" s="38" t="s">
        <v>1216</v>
      </c>
      <c r="C1642" s="38" t="s">
        <v>901</v>
      </c>
      <c r="D1642" s="38" t="s">
        <v>288</v>
      </c>
      <c r="E1642" s="38" t="s">
        <v>1238</v>
      </c>
      <c r="F1642" s="37" t="s">
        <v>1239</v>
      </c>
      <c r="G1642" s="38" t="s">
        <v>70</v>
      </c>
      <c r="H1642" s="37"/>
      <c r="I1642" s="37"/>
      <c r="J1642" s="37" t="s">
        <v>1630</v>
      </c>
      <c r="K1642" s="40"/>
      <c r="L1642" s="38"/>
      <c r="M1642" s="38"/>
      <c r="N1642" s="37"/>
      <c r="O1642" s="37"/>
      <c r="P1642" s="37"/>
      <c r="Q1642" s="37"/>
      <c r="R1642" s="39"/>
      <c r="S1642" s="37"/>
      <c r="T1642" s="38" t="s">
        <v>293</v>
      </c>
    </row>
    <row r="1643" ht="34.5">
      <c r="A1643" s="38" t="s">
        <v>1215</v>
      </c>
      <c r="B1643" s="38" t="s">
        <v>1216</v>
      </c>
      <c r="C1643" s="38" t="s">
        <v>901</v>
      </c>
      <c r="D1643" s="38" t="s">
        <v>288</v>
      </c>
      <c r="E1643" s="38" t="s">
        <v>1238</v>
      </c>
      <c r="F1643" s="37" t="s">
        <v>1239</v>
      </c>
      <c r="G1643" s="38" t="s">
        <v>70</v>
      </c>
      <c r="H1643" s="37"/>
      <c r="I1643" s="37"/>
      <c r="J1643" s="37" t="s">
        <v>1631</v>
      </c>
      <c r="K1643" s="40"/>
      <c r="L1643" s="38"/>
      <c r="M1643" s="38"/>
      <c r="N1643" s="37"/>
      <c r="O1643" s="37"/>
      <c r="P1643" s="37"/>
      <c r="Q1643" s="37"/>
      <c r="R1643" s="39"/>
      <c r="S1643" s="37"/>
      <c r="T1643" s="38" t="s">
        <v>293</v>
      </c>
    </row>
    <row r="1644" ht="34.5">
      <c r="A1644" s="38" t="s">
        <v>1215</v>
      </c>
      <c r="B1644" s="38" t="s">
        <v>1216</v>
      </c>
      <c r="C1644" s="38" t="s">
        <v>907</v>
      </c>
      <c r="D1644" s="38" t="s">
        <v>288</v>
      </c>
      <c r="E1644" s="38" t="s">
        <v>1238</v>
      </c>
      <c r="F1644" s="37" t="s">
        <v>1239</v>
      </c>
      <c r="G1644" s="38" t="s">
        <v>70</v>
      </c>
      <c r="H1644" s="37"/>
      <c r="I1644" s="37"/>
      <c r="J1644" s="37" t="s">
        <v>1632</v>
      </c>
      <c r="K1644" s="40"/>
      <c r="L1644" s="38"/>
      <c r="M1644" s="38"/>
      <c r="N1644" s="37"/>
      <c r="O1644" s="37"/>
      <c r="P1644" s="37"/>
      <c r="Q1644" s="37"/>
      <c r="R1644" s="39"/>
      <c r="S1644" s="37"/>
      <c r="T1644" s="38" t="s">
        <v>293</v>
      </c>
    </row>
    <row r="1645" ht="34.5">
      <c r="A1645" s="38" t="s">
        <v>1215</v>
      </c>
      <c r="B1645" s="38" t="s">
        <v>1216</v>
      </c>
      <c r="C1645" s="38" t="s">
        <v>907</v>
      </c>
      <c r="D1645" s="38" t="s">
        <v>288</v>
      </c>
      <c r="E1645" s="38" t="s">
        <v>1238</v>
      </c>
      <c r="F1645" s="37" t="s">
        <v>1239</v>
      </c>
      <c r="G1645" s="38" t="s">
        <v>70</v>
      </c>
      <c r="H1645" s="37"/>
      <c r="I1645" s="37"/>
      <c r="J1645" s="37" t="s">
        <v>1633</v>
      </c>
      <c r="K1645" s="40"/>
      <c r="L1645" s="38"/>
      <c r="M1645" s="38"/>
      <c r="N1645" s="37"/>
      <c r="O1645" s="37"/>
      <c r="P1645" s="37"/>
      <c r="Q1645" s="37"/>
      <c r="R1645" s="39"/>
      <c r="S1645" s="37"/>
      <c r="T1645" s="38" t="s">
        <v>293</v>
      </c>
    </row>
    <row r="1646" ht="34.5">
      <c r="A1646" s="38" t="s">
        <v>1215</v>
      </c>
      <c r="B1646" s="38" t="s">
        <v>1216</v>
      </c>
      <c r="C1646" s="38" t="s">
        <v>907</v>
      </c>
      <c r="D1646" s="38" t="s">
        <v>288</v>
      </c>
      <c r="E1646" s="38" t="s">
        <v>1238</v>
      </c>
      <c r="F1646" s="37" t="s">
        <v>1239</v>
      </c>
      <c r="G1646" s="38" t="s">
        <v>70</v>
      </c>
      <c r="H1646" s="37"/>
      <c r="I1646" s="37"/>
      <c r="J1646" s="37" t="s">
        <v>1634</v>
      </c>
      <c r="K1646" s="40"/>
      <c r="L1646" s="38"/>
      <c r="M1646" s="38"/>
      <c r="N1646" s="37"/>
      <c r="O1646" s="37"/>
      <c r="P1646" s="37"/>
      <c r="Q1646" s="37"/>
      <c r="R1646" s="39"/>
      <c r="S1646" s="37"/>
      <c r="T1646" s="38" t="s">
        <v>293</v>
      </c>
    </row>
    <row r="1647" ht="34.5">
      <c r="A1647" s="38" t="s">
        <v>1215</v>
      </c>
      <c r="B1647" s="38" t="s">
        <v>1216</v>
      </c>
      <c r="C1647" s="38" t="s">
        <v>907</v>
      </c>
      <c r="D1647" s="38" t="s">
        <v>288</v>
      </c>
      <c r="E1647" s="38" t="s">
        <v>1238</v>
      </c>
      <c r="F1647" s="37" t="s">
        <v>1239</v>
      </c>
      <c r="G1647" s="38" t="s">
        <v>70</v>
      </c>
      <c r="H1647" s="37"/>
      <c r="I1647" s="37"/>
      <c r="J1647" s="37" t="s">
        <v>1635</v>
      </c>
      <c r="K1647" s="40"/>
      <c r="L1647" s="38"/>
      <c r="M1647" s="38"/>
      <c r="N1647" s="37"/>
      <c r="O1647" s="37"/>
      <c r="P1647" s="37"/>
      <c r="Q1647" s="37"/>
      <c r="R1647" s="39"/>
      <c r="S1647" s="37"/>
      <c r="T1647" s="38" t="s">
        <v>293</v>
      </c>
    </row>
    <row r="1648" ht="34.5">
      <c r="A1648" s="38" t="s">
        <v>1215</v>
      </c>
      <c r="B1648" s="38" t="s">
        <v>1216</v>
      </c>
      <c r="C1648" s="38" t="s">
        <v>907</v>
      </c>
      <c r="D1648" s="38" t="s">
        <v>288</v>
      </c>
      <c r="E1648" s="38" t="s">
        <v>1238</v>
      </c>
      <c r="F1648" s="37" t="s">
        <v>1239</v>
      </c>
      <c r="G1648" s="38" t="s">
        <v>70</v>
      </c>
      <c r="H1648" s="37"/>
      <c r="I1648" s="37"/>
      <c r="J1648" s="37" t="s">
        <v>1636</v>
      </c>
      <c r="K1648" s="40"/>
      <c r="L1648" s="38"/>
      <c r="M1648" s="38"/>
      <c r="N1648" s="37"/>
      <c r="O1648" s="37"/>
      <c r="P1648" s="37"/>
      <c r="Q1648" s="37"/>
      <c r="R1648" s="39"/>
      <c r="S1648" s="37"/>
      <c r="T1648" s="38" t="s">
        <v>293</v>
      </c>
    </row>
    <row r="1649" ht="34.5">
      <c r="A1649" s="38" t="s">
        <v>1215</v>
      </c>
      <c r="B1649" s="38" t="s">
        <v>1216</v>
      </c>
      <c r="C1649" s="38" t="s">
        <v>907</v>
      </c>
      <c r="D1649" s="38" t="s">
        <v>288</v>
      </c>
      <c r="E1649" s="38" t="s">
        <v>1238</v>
      </c>
      <c r="F1649" s="37" t="s">
        <v>1239</v>
      </c>
      <c r="G1649" s="38" t="s">
        <v>70</v>
      </c>
      <c r="H1649" s="37"/>
      <c r="I1649" s="37"/>
      <c r="J1649" s="37" t="s">
        <v>891</v>
      </c>
      <c r="K1649" s="40"/>
      <c r="L1649" s="38"/>
      <c r="M1649" s="38"/>
      <c r="N1649" s="37"/>
      <c r="O1649" s="37"/>
      <c r="P1649" s="37"/>
      <c r="Q1649" s="37"/>
      <c r="R1649" s="39"/>
      <c r="S1649" s="37"/>
      <c r="T1649" s="38" t="s">
        <v>293</v>
      </c>
    </row>
    <row r="1650" ht="34.5">
      <c r="A1650" s="38" t="s">
        <v>1215</v>
      </c>
      <c r="B1650" s="38" t="s">
        <v>1216</v>
      </c>
      <c r="C1650" s="38" t="s">
        <v>907</v>
      </c>
      <c r="D1650" s="38" t="s">
        <v>1637</v>
      </c>
      <c r="E1650" s="38" t="s">
        <v>1238</v>
      </c>
      <c r="F1650" s="37" t="s">
        <v>1239</v>
      </c>
      <c r="G1650" s="38" t="s">
        <v>70</v>
      </c>
      <c r="H1650" s="37"/>
      <c r="I1650" s="37"/>
      <c r="J1650" s="37" t="s">
        <v>1638</v>
      </c>
      <c r="K1650" s="40"/>
      <c r="L1650" s="38"/>
      <c r="M1650" s="38"/>
      <c r="N1650" s="37"/>
      <c r="O1650" s="37"/>
      <c r="P1650" s="37"/>
      <c r="Q1650" s="37"/>
      <c r="R1650" s="39"/>
      <c r="S1650" s="37"/>
      <c r="T1650" s="38" t="s">
        <v>293</v>
      </c>
    </row>
    <row r="1651" ht="34.5">
      <c r="A1651" s="38" t="s">
        <v>1215</v>
      </c>
      <c r="B1651" s="38" t="s">
        <v>1216</v>
      </c>
      <c r="C1651" s="38" t="s">
        <v>907</v>
      </c>
      <c r="D1651" s="38" t="s">
        <v>288</v>
      </c>
      <c r="E1651" s="38" t="s">
        <v>1238</v>
      </c>
      <c r="F1651" s="37" t="s">
        <v>1239</v>
      </c>
      <c r="G1651" s="38" t="s">
        <v>70</v>
      </c>
      <c r="H1651" s="37"/>
      <c r="I1651" s="37"/>
      <c r="J1651" s="37" t="s">
        <v>894</v>
      </c>
      <c r="K1651" s="40"/>
      <c r="L1651" s="38"/>
      <c r="M1651" s="38"/>
      <c r="N1651" s="37"/>
      <c r="O1651" s="37"/>
      <c r="P1651" s="37"/>
      <c r="Q1651" s="37"/>
      <c r="R1651" s="39"/>
      <c r="S1651" s="37"/>
      <c r="T1651" s="38" t="s">
        <v>293</v>
      </c>
    </row>
    <row r="1652" ht="34.5">
      <c r="A1652" s="38" t="s">
        <v>1215</v>
      </c>
      <c r="B1652" s="38" t="s">
        <v>1216</v>
      </c>
      <c r="C1652" s="38" t="s">
        <v>907</v>
      </c>
      <c r="D1652" s="38" t="s">
        <v>288</v>
      </c>
      <c r="E1652" s="38" t="s">
        <v>1238</v>
      </c>
      <c r="F1652" s="37" t="s">
        <v>1239</v>
      </c>
      <c r="G1652" s="38" t="s">
        <v>70</v>
      </c>
      <c r="H1652" s="37"/>
      <c r="I1652" s="37"/>
      <c r="J1652" s="37" t="s">
        <v>895</v>
      </c>
      <c r="K1652" s="40"/>
      <c r="L1652" s="38"/>
      <c r="M1652" s="38"/>
      <c r="N1652" s="37"/>
      <c r="O1652" s="37"/>
      <c r="P1652" s="37"/>
      <c r="Q1652" s="37"/>
      <c r="R1652" s="39"/>
      <c r="S1652" s="37"/>
      <c r="T1652" s="38" t="s">
        <v>293</v>
      </c>
    </row>
    <row r="1653" ht="34.5">
      <c r="A1653" s="38" t="s">
        <v>1215</v>
      </c>
      <c r="B1653" s="38" t="s">
        <v>1216</v>
      </c>
      <c r="C1653" s="38" t="s">
        <v>907</v>
      </c>
      <c r="D1653" s="38" t="s">
        <v>288</v>
      </c>
      <c r="E1653" s="38" t="s">
        <v>1238</v>
      </c>
      <c r="F1653" s="37" t="s">
        <v>1239</v>
      </c>
      <c r="G1653" s="38" t="s">
        <v>70</v>
      </c>
      <c r="H1653" s="37"/>
      <c r="I1653" s="37"/>
      <c r="J1653" s="37" t="s">
        <v>896</v>
      </c>
      <c r="K1653" s="40"/>
      <c r="L1653" s="38"/>
      <c r="M1653" s="38"/>
      <c r="N1653" s="37"/>
      <c r="O1653" s="37"/>
      <c r="P1653" s="37"/>
      <c r="Q1653" s="37"/>
      <c r="R1653" s="39"/>
      <c r="S1653" s="37"/>
      <c r="T1653" s="38" t="s">
        <v>293</v>
      </c>
    </row>
    <row r="1654" ht="34.5">
      <c r="A1654" s="38" t="s">
        <v>1215</v>
      </c>
      <c r="B1654" s="38" t="s">
        <v>1216</v>
      </c>
      <c r="C1654" s="38" t="s">
        <v>907</v>
      </c>
      <c r="D1654" s="38" t="s">
        <v>288</v>
      </c>
      <c r="E1654" s="38" t="s">
        <v>1238</v>
      </c>
      <c r="F1654" s="37" t="s">
        <v>1239</v>
      </c>
      <c r="G1654" s="38" t="s">
        <v>70</v>
      </c>
      <c r="H1654" s="37"/>
      <c r="I1654" s="37"/>
      <c r="J1654" s="37" t="s">
        <v>1639</v>
      </c>
      <c r="K1654" s="40"/>
      <c r="L1654" s="38"/>
      <c r="M1654" s="38"/>
      <c r="N1654" s="37"/>
      <c r="O1654" s="37"/>
      <c r="P1654" s="37"/>
      <c r="Q1654" s="37"/>
      <c r="R1654" s="39"/>
      <c r="S1654" s="37"/>
      <c r="T1654" s="38" t="s">
        <v>293</v>
      </c>
    </row>
    <row r="1655" ht="34.5">
      <c r="A1655" s="38" t="s">
        <v>1215</v>
      </c>
      <c r="B1655" s="38" t="s">
        <v>1216</v>
      </c>
      <c r="C1655" s="38" t="s">
        <v>287</v>
      </c>
      <c r="D1655" s="38" t="s">
        <v>288</v>
      </c>
      <c r="E1655" s="38" t="s">
        <v>1238</v>
      </c>
      <c r="F1655" s="37" t="s">
        <v>1239</v>
      </c>
      <c r="G1655" s="38" t="s">
        <v>70</v>
      </c>
      <c r="H1655" s="37"/>
      <c r="I1655" s="37"/>
      <c r="J1655" s="37" t="s">
        <v>898</v>
      </c>
      <c r="K1655" s="40"/>
      <c r="L1655" s="38"/>
      <c r="M1655" s="38"/>
      <c r="N1655" s="37"/>
      <c r="O1655" s="37"/>
      <c r="P1655" s="37"/>
      <c r="Q1655" s="37"/>
      <c r="R1655" s="39"/>
      <c r="S1655" s="37"/>
      <c r="T1655" s="38" t="s">
        <v>293</v>
      </c>
    </row>
    <row r="1656" ht="34.5">
      <c r="A1656" s="38" t="s">
        <v>1215</v>
      </c>
      <c r="B1656" s="38" t="s">
        <v>1216</v>
      </c>
      <c r="C1656" s="38" t="s">
        <v>287</v>
      </c>
      <c r="D1656" s="38" t="s">
        <v>1640</v>
      </c>
      <c r="E1656" s="38" t="s">
        <v>1238</v>
      </c>
      <c r="F1656" s="37" t="s">
        <v>1239</v>
      </c>
      <c r="G1656" s="38" t="s">
        <v>70</v>
      </c>
      <c r="H1656" s="37"/>
      <c r="I1656" s="37"/>
      <c r="J1656" s="37" t="s">
        <v>1641</v>
      </c>
      <c r="K1656" s="40"/>
      <c r="L1656" s="38"/>
      <c r="M1656" s="38"/>
      <c r="N1656" s="37"/>
      <c r="O1656" s="37"/>
      <c r="P1656" s="37"/>
      <c r="Q1656" s="37"/>
      <c r="R1656" s="39"/>
      <c r="S1656" s="37"/>
      <c r="T1656" s="38" t="s">
        <v>293</v>
      </c>
    </row>
    <row r="1657" ht="34.5">
      <c r="A1657" s="38" t="s">
        <v>1215</v>
      </c>
      <c r="B1657" s="38" t="s">
        <v>1216</v>
      </c>
      <c r="C1657" s="38" t="s">
        <v>301</v>
      </c>
      <c r="D1657" s="38" t="s">
        <v>288</v>
      </c>
      <c r="E1657" s="38" t="s">
        <v>1238</v>
      </c>
      <c r="F1657" s="37" t="s">
        <v>1239</v>
      </c>
      <c r="G1657" s="38" t="s">
        <v>70</v>
      </c>
      <c r="H1657" s="37"/>
      <c r="I1657" s="37"/>
      <c r="J1657" s="37" t="s">
        <v>902</v>
      </c>
      <c r="K1657" s="40"/>
      <c r="L1657" s="38"/>
      <c r="M1657" s="38"/>
      <c r="N1657" s="37"/>
      <c r="O1657" s="37"/>
      <c r="P1657" s="37"/>
      <c r="Q1657" s="37"/>
      <c r="R1657" s="39"/>
      <c r="S1657" s="37"/>
      <c r="T1657" s="38" t="s">
        <v>293</v>
      </c>
    </row>
    <row r="1658" ht="34.5">
      <c r="A1658" s="38" t="s">
        <v>1215</v>
      </c>
      <c r="B1658" s="38" t="s">
        <v>1216</v>
      </c>
      <c r="C1658" s="38" t="s">
        <v>301</v>
      </c>
      <c r="D1658" s="38" t="s">
        <v>288</v>
      </c>
      <c r="E1658" s="38" t="s">
        <v>1238</v>
      </c>
      <c r="F1658" s="37" t="s">
        <v>1239</v>
      </c>
      <c r="G1658" s="38" t="s">
        <v>70</v>
      </c>
      <c r="H1658" s="37"/>
      <c r="I1658" s="37"/>
      <c r="J1658" s="37" t="s">
        <v>903</v>
      </c>
      <c r="K1658" s="40"/>
      <c r="L1658" s="38"/>
      <c r="M1658" s="38"/>
      <c r="N1658" s="37"/>
      <c r="O1658" s="37"/>
      <c r="P1658" s="37"/>
      <c r="Q1658" s="37"/>
      <c r="R1658" s="39"/>
      <c r="S1658" s="37"/>
      <c r="T1658" s="38" t="s">
        <v>293</v>
      </c>
    </row>
    <row r="1659" ht="34.5">
      <c r="A1659" s="38" t="s">
        <v>1215</v>
      </c>
      <c r="B1659" s="38" t="s">
        <v>1216</v>
      </c>
      <c r="C1659" s="38" t="s">
        <v>301</v>
      </c>
      <c r="D1659" s="38" t="s">
        <v>288</v>
      </c>
      <c r="E1659" s="38" t="s">
        <v>1238</v>
      </c>
      <c r="F1659" s="37" t="s">
        <v>1239</v>
      </c>
      <c r="G1659" s="38" t="s">
        <v>70</v>
      </c>
      <c r="H1659" s="37"/>
      <c r="I1659" s="37"/>
      <c r="J1659" s="37" t="s">
        <v>904</v>
      </c>
      <c r="K1659" s="40"/>
      <c r="L1659" s="38"/>
      <c r="M1659" s="38"/>
      <c r="N1659" s="37"/>
      <c r="O1659" s="37"/>
      <c r="P1659" s="37"/>
      <c r="Q1659" s="37"/>
      <c r="R1659" s="39"/>
      <c r="S1659" s="37"/>
      <c r="T1659" s="38" t="s">
        <v>293</v>
      </c>
    </row>
    <row r="1660" ht="34.5">
      <c r="A1660" s="38" t="s">
        <v>1215</v>
      </c>
      <c r="B1660" s="38" t="s">
        <v>1216</v>
      </c>
      <c r="C1660" s="38" t="s">
        <v>301</v>
      </c>
      <c r="D1660" s="38" t="s">
        <v>1642</v>
      </c>
      <c r="E1660" s="38" t="s">
        <v>1238</v>
      </c>
      <c r="F1660" s="37" t="s">
        <v>1239</v>
      </c>
      <c r="G1660" s="38" t="s">
        <v>70</v>
      </c>
      <c r="H1660" s="37"/>
      <c r="I1660" s="37"/>
      <c r="J1660" s="37" t="s">
        <v>1643</v>
      </c>
      <c r="K1660" s="40"/>
      <c r="L1660" s="38"/>
      <c r="M1660" s="38"/>
      <c r="N1660" s="37"/>
      <c r="O1660" s="37"/>
      <c r="P1660" s="37"/>
      <c r="Q1660" s="37"/>
      <c r="R1660" s="39"/>
      <c r="S1660" s="37"/>
      <c r="T1660" s="38" t="s">
        <v>293</v>
      </c>
    </row>
    <row r="1661" ht="34.5">
      <c r="A1661" s="38" t="s">
        <v>1215</v>
      </c>
      <c r="B1661" s="38" t="s">
        <v>1216</v>
      </c>
      <c r="C1661" s="38" t="s">
        <v>308</v>
      </c>
      <c r="D1661" s="38" t="s">
        <v>288</v>
      </c>
      <c r="E1661" s="38" t="s">
        <v>289</v>
      </c>
      <c r="F1661" s="37" t="s">
        <v>290</v>
      </c>
      <c r="G1661" s="38" t="s">
        <v>291</v>
      </c>
      <c r="H1661" s="37"/>
      <c r="I1661" s="37"/>
      <c r="J1661" s="37" t="s">
        <v>909</v>
      </c>
      <c r="K1661" s="40"/>
      <c r="L1661" s="38"/>
      <c r="M1661" s="38"/>
      <c r="N1661" s="37"/>
      <c r="O1661" s="37"/>
      <c r="P1661" s="37"/>
      <c r="Q1661" s="37"/>
      <c r="R1661" s="39"/>
      <c r="S1661" s="37"/>
      <c r="T1661" s="38" t="s">
        <v>293</v>
      </c>
    </row>
    <row r="1662" ht="34.5">
      <c r="A1662" s="38" t="s">
        <v>1215</v>
      </c>
      <c r="B1662" s="38" t="s">
        <v>1216</v>
      </c>
      <c r="C1662" s="38" t="s">
        <v>308</v>
      </c>
      <c r="D1662" s="38" t="s">
        <v>892</v>
      </c>
      <c r="E1662" s="38" t="s">
        <v>289</v>
      </c>
      <c r="F1662" s="37" t="s">
        <v>290</v>
      </c>
      <c r="G1662" s="38" t="s">
        <v>291</v>
      </c>
      <c r="H1662" s="37"/>
      <c r="I1662" s="37"/>
      <c r="J1662" s="37" t="s">
        <v>893</v>
      </c>
      <c r="K1662" s="40"/>
      <c r="L1662" s="38"/>
      <c r="M1662" s="38"/>
      <c r="N1662" s="37"/>
      <c r="O1662" s="37"/>
      <c r="P1662" s="37"/>
      <c r="Q1662" s="37"/>
      <c r="R1662" s="39"/>
      <c r="S1662" s="37"/>
      <c r="T1662" s="38" t="s">
        <v>293</v>
      </c>
    </row>
    <row r="1663" ht="34.5">
      <c r="A1663" s="38" t="s">
        <v>1215</v>
      </c>
      <c r="B1663" s="38" t="s">
        <v>1216</v>
      </c>
      <c r="C1663" s="38" t="s">
        <v>308</v>
      </c>
      <c r="D1663" s="38" t="s">
        <v>288</v>
      </c>
      <c r="E1663" s="38" t="s">
        <v>289</v>
      </c>
      <c r="F1663" s="37" t="s">
        <v>290</v>
      </c>
      <c r="G1663" s="38" t="s">
        <v>291</v>
      </c>
      <c r="H1663" s="37"/>
      <c r="I1663" s="37"/>
      <c r="J1663" s="37" t="s">
        <v>910</v>
      </c>
      <c r="K1663" s="40"/>
      <c r="L1663" s="38"/>
      <c r="M1663" s="38"/>
      <c r="N1663" s="37"/>
      <c r="O1663" s="37"/>
      <c r="P1663" s="37"/>
      <c r="Q1663" s="37"/>
      <c r="R1663" s="39"/>
      <c r="S1663" s="37"/>
      <c r="T1663" s="38" t="s">
        <v>293</v>
      </c>
    </row>
    <row r="1664" ht="34.5">
      <c r="A1664" s="38" t="s">
        <v>1215</v>
      </c>
      <c r="B1664" s="38" t="s">
        <v>1216</v>
      </c>
      <c r="C1664" s="38" t="s">
        <v>308</v>
      </c>
      <c r="D1664" s="38" t="s">
        <v>288</v>
      </c>
      <c r="E1664" s="38" t="s">
        <v>289</v>
      </c>
      <c r="F1664" s="37" t="s">
        <v>290</v>
      </c>
      <c r="G1664" s="38" t="s">
        <v>291</v>
      </c>
      <c r="H1664" s="37"/>
      <c r="I1664" s="37"/>
      <c r="J1664" s="37" t="s">
        <v>911</v>
      </c>
      <c r="K1664" s="40"/>
      <c r="L1664" s="38"/>
      <c r="M1664" s="38"/>
      <c r="N1664" s="37"/>
      <c r="O1664" s="37"/>
      <c r="P1664" s="37"/>
      <c r="Q1664" s="37"/>
      <c r="R1664" s="39"/>
      <c r="S1664" s="37"/>
      <c r="T1664" s="38" t="s">
        <v>293</v>
      </c>
    </row>
    <row r="1665" ht="34.5">
      <c r="A1665" s="38" t="s">
        <v>1215</v>
      </c>
      <c r="B1665" s="38" t="s">
        <v>1216</v>
      </c>
      <c r="C1665" s="38" t="s">
        <v>308</v>
      </c>
      <c r="D1665" s="38" t="s">
        <v>288</v>
      </c>
      <c r="E1665" s="38" t="s">
        <v>289</v>
      </c>
      <c r="F1665" s="37" t="s">
        <v>290</v>
      </c>
      <c r="G1665" s="38" t="s">
        <v>291</v>
      </c>
      <c r="H1665" s="37"/>
      <c r="I1665" s="37"/>
      <c r="J1665" s="37" t="s">
        <v>312</v>
      </c>
      <c r="K1665" s="40"/>
      <c r="L1665" s="38"/>
      <c r="M1665" s="38"/>
      <c r="N1665" s="37"/>
      <c r="O1665" s="37"/>
      <c r="P1665" s="37"/>
      <c r="Q1665" s="37"/>
      <c r="R1665" s="39"/>
      <c r="S1665" s="37"/>
      <c r="T1665" s="38" t="s">
        <v>293</v>
      </c>
    </row>
    <row r="1666" ht="34.5">
      <c r="A1666" s="38" t="s">
        <v>1215</v>
      </c>
      <c r="B1666" s="38" t="s">
        <v>1216</v>
      </c>
      <c r="C1666" s="38" t="s">
        <v>314</v>
      </c>
      <c r="D1666" s="38" t="s">
        <v>288</v>
      </c>
      <c r="E1666" s="38" t="s">
        <v>289</v>
      </c>
      <c r="F1666" s="37" t="s">
        <v>290</v>
      </c>
      <c r="G1666" s="38" t="s">
        <v>291</v>
      </c>
      <c r="H1666" s="37"/>
      <c r="I1666" s="37"/>
      <c r="J1666" s="37" t="s">
        <v>313</v>
      </c>
      <c r="K1666" s="40"/>
      <c r="L1666" s="38"/>
      <c r="M1666" s="38"/>
      <c r="N1666" s="37"/>
      <c r="O1666" s="37"/>
      <c r="P1666" s="37"/>
      <c r="Q1666" s="37"/>
      <c r="R1666" s="39"/>
      <c r="S1666" s="37"/>
      <c r="T1666" s="38" t="s">
        <v>293</v>
      </c>
    </row>
    <row r="1667" ht="34.5">
      <c r="A1667" s="38" t="s">
        <v>1215</v>
      </c>
      <c r="B1667" s="38" t="s">
        <v>1216</v>
      </c>
      <c r="C1667" s="38" t="s">
        <v>314</v>
      </c>
      <c r="D1667" s="38" t="s">
        <v>288</v>
      </c>
      <c r="E1667" s="38" t="s">
        <v>315</v>
      </c>
      <c r="F1667" s="37" t="s">
        <v>1644</v>
      </c>
      <c r="G1667" s="38" t="s">
        <v>317</v>
      </c>
      <c r="H1667" s="37"/>
      <c r="I1667" s="37"/>
      <c r="J1667" s="37" t="s">
        <v>318</v>
      </c>
      <c r="K1667" s="40"/>
      <c r="L1667" s="38"/>
      <c r="M1667" s="38"/>
      <c r="N1667" s="37"/>
      <c r="O1667" s="37"/>
      <c r="P1667" s="37"/>
      <c r="Q1667" s="37"/>
      <c r="R1667" s="39"/>
      <c r="S1667" s="37"/>
      <c r="T1667" s="38" t="s">
        <v>293</v>
      </c>
    </row>
    <row r="1668" ht="34.5">
      <c r="A1668" s="38" t="s">
        <v>1215</v>
      </c>
      <c r="B1668" s="38" t="s">
        <v>1216</v>
      </c>
      <c r="C1668" s="38" t="s">
        <v>314</v>
      </c>
      <c r="D1668" s="38" t="s">
        <v>899</v>
      </c>
      <c r="E1668" s="38" t="s">
        <v>315</v>
      </c>
      <c r="F1668" s="37" t="s">
        <v>1644</v>
      </c>
      <c r="G1668" s="38" t="s">
        <v>317</v>
      </c>
      <c r="H1668" s="37"/>
      <c r="I1668" s="37"/>
      <c r="J1668" s="37" t="s">
        <v>900</v>
      </c>
      <c r="K1668" s="40"/>
      <c r="L1668" s="38"/>
      <c r="M1668" s="38"/>
      <c r="N1668" s="37"/>
      <c r="O1668" s="37"/>
      <c r="P1668" s="37"/>
      <c r="Q1668" s="37"/>
      <c r="R1668" s="39"/>
      <c r="S1668" s="37"/>
      <c r="T1668" s="38" t="s">
        <v>293</v>
      </c>
    </row>
    <row r="1669" ht="34.5">
      <c r="A1669" s="38" t="s">
        <v>1215</v>
      </c>
      <c r="B1669" s="38" t="s">
        <v>1216</v>
      </c>
      <c r="C1669" s="38" t="s">
        <v>314</v>
      </c>
      <c r="D1669" s="38" t="s">
        <v>288</v>
      </c>
      <c r="E1669" s="38" t="s">
        <v>315</v>
      </c>
      <c r="F1669" s="37" t="s">
        <v>1644</v>
      </c>
      <c r="G1669" s="38" t="s">
        <v>317</v>
      </c>
      <c r="H1669" s="37"/>
      <c r="I1669" s="37"/>
      <c r="J1669" s="37" t="s">
        <v>321</v>
      </c>
      <c r="K1669" s="40"/>
      <c r="L1669" s="38"/>
      <c r="M1669" s="38"/>
      <c r="N1669" s="37"/>
      <c r="O1669" s="37"/>
      <c r="P1669" s="37"/>
      <c r="Q1669" s="37"/>
      <c r="R1669" s="39"/>
      <c r="S1669" s="37"/>
      <c r="T1669" s="38" t="s">
        <v>293</v>
      </c>
    </row>
    <row r="1670" ht="34.5">
      <c r="A1670" s="38" t="s">
        <v>1215</v>
      </c>
      <c r="B1670" s="38" t="s">
        <v>1216</v>
      </c>
      <c r="C1670" s="38" t="s">
        <v>314</v>
      </c>
      <c r="D1670" s="38" t="s">
        <v>288</v>
      </c>
      <c r="E1670" s="38" t="s">
        <v>315</v>
      </c>
      <c r="F1670" s="37" t="s">
        <v>1644</v>
      </c>
      <c r="G1670" s="38" t="s">
        <v>317</v>
      </c>
      <c r="H1670" s="37"/>
      <c r="I1670" s="37"/>
      <c r="J1670" s="37" t="s">
        <v>1645</v>
      </c>
      <c r="K1670" s="40">
        <v>55577352</v>
      </c>
      <c r="L1670" s="38" t="s">
        <v>297</v>
      </c>
      <c r="M1670" s="38"/>
      <c r="N1670" s="37"/>
      <c r="O1670" s="37"/>
      <c r="P1670" s="37"/>
      <c r="Q1670" s="37"/>
      <c r="R1670" s="39"/>
      <c r="S1670" s="37"/>
      <c r="T1670" s="38" t="s">
        <v>293</v>
      </c>
    </row>
    <row r="1671" ht="34.5">
      <c r="A1671" s="38" t="s">
        <v>1215</v>
      </c>
      <c r="B1671" s="38" t="s">
        <v>1216</v>
      </c>
      <c r="C1671" s="38" t="s">
        <v>314</v>
      </c>
      <c r="D1671" s="38" t="s">
        <v>288</v>
      </c>
      <c r="E1671" s="38" t="s">
        <v>323</v>
      </c>
      <c r="F1671" s="37" t="s">
        <v>324</v>
      </c>
      <c r="G1671" s="38" t="s">
        <v>188</v>
      </c>
      <c r="H1671" s="37"/>
      <c r="I1671" s="37"/>
      <c r="J1671" s="37" t="s">
        <v>325</v>
      </c>
      <c r="K1671" s="40"/>
      <c r="L1671" s="38"/>
      <c r="M1671" s="38"/>
      <c r="N1671" s="37"/>
      <c r="O1671" s="37"/>
      <c r="P1671" s="37"/>
      <c r="Q1671" s="37"/>
      <c r="R1671" s="39"/>
      <c r="S1671" s="37"/>
      <c r="T1671" s="38" t="s">
        <v>293</v>
      </c>
    </row>
    <row r="1672" ht="34.5">
      <c r="A1672" s="38" t="s">
        <v>1215</v>
      </c>
      <c r="B1672" s="38" t="s">
        <v>1216</v>
      </c>
      <c r="C1672" s="38" t="s">
        <v>314</v>
      </c>
      <c r="D1672" s="38" t="s">
        <v>905</v>
      </c>
      <c r="E1672" s="38" t="s">
        <v>323</v>
      </c>
      <c r="F1672" s="37" t="s">
        <v>324</v>
      </c>
      <c r="G1672" s="38" t="s">
        <v>188</v>
      </c>
      <c r="H1672" s="37"/>
      <c r="I1672" s="37"/>
      <c r="J1672" s="37" t="s">
        <v>906</v>
      </c>
      <c r="K1672" s="40"/>
      <c r="L1672" s="38"/>
      <c r="M1672" s="38"/>
      <c r="N1672" s="37"/>
      <c r="O1672" s="37"/>
      <c r="P1672" s="37"/>
      <c r="Q1672" s="37"/>
      <c r="R1672" s="39"/>
      <c r="S1672" s="37"/>
      <c r="T1672" s="38" t="s">
        <v>293</v>
      </c>
    </row>
    <row r="1673" ht="34.5">
      <c r="A1673" s="38" t="s">
        <v>1215</v>
      </c>
      <c r="B1673" s="38" t="s">
        <v>1216</v>
      </c>
      <c r="C1673" s="38" t="s">
        <v>329</v>
      </c>
      <c r="D1673" s="38" t="s">
        <v>288</v>
      </c>
      <c r="E1673" s="38" t="s">
        <v>323</v>
      </c>
      <c r="F1673" s="37" t="s">
        <v>324</v>
      </c>
      <c r="G1673" s="38" t="s">
        <v>188</v>
      </c>
      <c r="H1673" s="37"/>
      <c r="I1673" s="37"/>
      <c r="J1673" s="37" t="s">
        <v>328</v>
      </c>
      <c r="K1673" s="40"/>
      <c r="L1673" s="38"/>
      <c r="M1673" s="38"/>
      <c r="N1673" s="37"/>
      <c r="O1673" s="37"/>
      <c r="P1673" s="37"/>
      <c r="Q1673" s="37"/>
      <c r="R1673" s="39"/>
      <c r="S1673" s="37"/>
      <c r="T1673" s="38" t="s">
        <v>293</v>
      </c>
    </row>
    <row r="1674" ht="34.5">
      <c r="A1674" s="38" t="s">
        <v>1215</v>
      </c>
      <c r="B1674" s="38" t="s">
        <v>1216</v>
      </c>
      <c r="C1674" s="38" t="s">
        <v>329</v>
      </c>
      <c r="D1674" s="38" t="s">
        <v>288</v>
      </c>
      <c r="E1674" s="38" t="s">
        <v>323</v>
      </c>
      <c r="F1674" s="37" t="s">
        <v>324</v>
      </c>
      <c r="G1674" s="38" t="s">
        <v>188</v>
      </c>
      <c r="H1674" s="37"/>
      <c r="I1674" s="37"/>
      <c r="J1674" s="37" t="s">
        <v>330</v>
      </c>
      <c r="K1674" s="40"/>
      <c r="L1674" s="38"/>
      <c r="M1674" s="38"/>
      <c r="N1674" s="37"/>
      <c r="O1674" s="37"/>
      <c r="P1674" s="37"/>
      <c r="Q1674" s="37"/>
      <c r="R1674" s="39"/>
      <c r="S1674" s="37"/>
      <c r="T1674" s="38" t="s">
        <v>293</v>
      </c>
    </row>
    <row r="1675" ht="34.5">
      <c r="A1675" s="38" t="s">
        <v>1215</v>
      </c>
      <c r="B1675" s="38" t="s">
        <v>1216</v>
      </c>
      <c r="C1675" s="38" t="s">
        <v>329</v>
      </c>
      <c r="D1675" s="38" t="s">
        <v>310</v>
      </c>
      <c r="E1675" s="38" t="s">
        <v>323</v>
      </c>
      <c r="F1675" s="37" t="s">
        <v>324</v>
      </c>
      <c r="G1675" s="38" t="s">
        <v>188</v>
      </c>
      <c r="H1675" s="37"/>
      <c r="I1675" s="37"/>
      <c r="J1675" s="37" t="s">
        <v>311</v>
      </c>
      <c r="K1675" s="40"/>
      <c r="L1675" s="38"/>
      <c r="M1675" s="38"/>
      <c r="N1675" s="37"/>
      <c r="O1675" s="37"/>
      <c r="P1675" s="37"/>
      <c r="Q1675" s="37"/>
      <c r="R1675" s="39"/>
      <c r="S1675" s="37"/>
      <c r="T1675" s="38" t="s">
        <v>293</v>
      </c>
    </row>
    <row r="1676" ht="34.5">
      <c r="A1676" s="38" t="s">
        <v>1215</v>
      </c>
      <c r="B1676" s="38" t="s">
        <v>1216</v>
      </c>
      <c r="C1676" s="38" t="s">
        <v>339</v>
      </c>
      <c r="D1676" s="38" t="s">
        <v>288</v>
      </c>
      <c r="E1676" s="38" t="s">
        <v>915</v>
      </c>
      <c r="F1676" s="37" t="s">
        <v>916</v>
      </c>
      <c r="G1676" s="38" t="s">
        <v>451</v>
      </c>
      <c r="H1676" s="37"/>
      <c r="I1676" s="37"/>
      <c r="J1676" s="37" t="s">
        <v>334</v>
      </c>
      <c r="K1676" s="40"/>
      <c r="L1676" s="38"/>
      <c r="M1676" s="38"/>
      <c r="N1676" s="37"/>
      <c r="O1676" s="37"/>
      <c r="P1676" s="37"/>
      <c r="Q1676" s="37"/>
      <c r="R1676" s="39"/>
      <c r="S1676" s="37"/>
      <c r="T1676" s="38" t="s">
        <v>293</v>
      </c>
    </row>
    <row r="1677" ht="34.5">
      <c r="A1677" s="38" t="s">
        <v>1215</v>
      </c>
      <c r="B1677" s="38" t="s">
        <v>1216</v>
      </c>
      <c r="C1677" s="38" t="s">
        <v>339</v>
      </c>
      <c r="D1677" s="38" t="s">
        <v>319</v>
      </c>
      <c r="E1677" s="38" t="s">
        <v>915</v>
      </c>
      <c r="F1677" s="37" t="s">
        <v>916</v>
      </c>
      <c r="G1677" s="38" t="s">
        <v>451</v>
      </c>
      <c r="H1677" s="37"/>
      <c r="I1677" s="37"/>
      <c r="J1677" s="37" t="s">
        <v>320</v>
      </c>
      <c r="K1677" s="40"/>
      <c r="L1677" s="38"/>
      <c r="M1677" s="38"/>
      <c r="N1677" s="37"/>
      <c r="O1677" s="37"/>
      <c r="P1677" s="37"/>
      <c r="Q1677" s="37"/>
      <c r="R1677" s="39"/>
      <c r="S1677" s="37"/>
      <c r="T1677" s="38" t="s">
        <v>293</v>
      </c>
    </row>
    <row r="1678" ht="34.5">
      <c r="A1678" s="38" t="s">
        <v>1215</v>
      </c>
      <c r="B1678" s="38" t="s">
        <v>1216</v>
      </c>
      <c r="C1678" s="38" t="s">
        <v>339</v>
      </c>
      <c r="D1678" s="38" t="s">
        <v>288</v>
      </c>
      <c r="E1678" s="38" t="s">
        <v>915</v>
      </c>
      <c r="F1678" s="37" t="s">
        <v>916</v>
      </c>
      <c r="G1678" s="38" t="s">
        <v>451</v>
      </c>
      <c r="H1678" s="37"/>
      <c r="I1678" s="37"/>
      <c r="J1678" s="37" t="s">
        <v>341</v>
      </c>
      <c r="K1678" s="40"/>
      <c r="L1678" s="38"/>
      <c r="M1678" s="38"/>
      <c r="N1678" s="37"/>
      <c r="O1678" s="37"/>
      <c r="P1678" s="37"/>
      <c r="Q1678" s="37"/>
      <c r="R1678" s="39"/>
      <c r="S1678" s="37"/>
      <c r="T1678" s="38" t="s">
        <v>293</v>
      </c>
    </row>
    <row r="1679" ht="34.5">
      <c r="A1679" s="38" t="s">
        <v>1215</v>
      </c>
      <c r="B1679" s="38" t="s">
        <v>1216</v>
      </c>
      <c r="C1679" s="38" t="s">
        <v>339</v>
      </c>
      <c r="D1679" s="38" t="s">
        <v>326</v>
      </c>
      <c r="E1679" s="38" t="s">
        <v>915</v>
      </c>
      <c r="F1679" s="37" t="s">
        <v>916</v>
      </c>
      <c r="G1679" s="38" t="s">
        <v>451</v>
      </c>
      <c r="H1679" s="37"/>
      <c r="I1679" s="37"/>
      <c r="J1679" s="37" t="s">
        <v>327</v>
      </c>
      <c r="K1679" s="40"/>
      <c r="L1679" s="38"/>
      <c r="M1679" s="38"/>
      <c r="N1679" s="37"/>
      <c r="O1679" s="37"/>
      <c r="P1679" s="37"/>
      <c r="Q1679" s="37"/>
      <c r="R1679" s="39"/>
      <c r="S1679" s="37"/>
      <c r="T1679" s="38" t="s">
        <v>293</v>
      </c>
    </row>
    <row r="1680" ht="34.5">
      <c r="A1680" s="38" t="s">
        <v>1215</v>
      </c>
      <c r="B1680" s="38" t="s">
        <v>1216</v>
      </c>
      <c r="C1680" s="38" t="s">
        <v>350</v>
      </c>
      <c r="D1680" s="38" t="s">
        <v>331</v>
      </c>
      <c r="E1680" s="38" t="s">
        <v>915</v>
      </c>
      <c r="F1680" s="37" t="s">
        <v>916</v>
      </c>
      <c r="G1680" s="38" t="s">
        <v>451</v>
      </c>
      <c r="H1680" s="37"/>
      <c r="I1680" s="37"/>
      <c r="J1680" s="37" t="s">
        <v>332</v>
      </c>
      <c r="K1680" s="40"/>
      <c r="L1680" s="38"/>
      <c r="M1680" s="38"/>
      <c r="N1680" s="37"/>
      <c r="O1680" s="37"/>
      <c r="P1680" s="37"/>
      <c r="Q1680" s="37"/>
      <c r="R1680" s="39"/>
      <c r="S1680" s="37"/>
      <c r="T1680" s="38" t="s">
        <v>293</v>
      </c>
    </row>
    <row r="1681" ht="34.5">
      <c r="A1681" s="38" t="s">
        <v>1215</v>
      </c>
      <c r="B1681" s="38" t="s">
        <v>1216</v>
      </c>
      <c r="C1681" s="38" t="s">
        <v>350</v>
      </c>
      <c r="D1681" s="38" t="s">
        <v>288</v>
      </c>
      <c r="E1681" s="38" t="s">
        <v>915</v>
      </c>
      <c r="F1681" s="37" t="s">
        <v>916</v>
      </c>
      <c r="G1681" s="38" t="s">
        <v>451</v>
      </c>
      <c r="H1681" s="37"/>
      <c r="I1681" s="37"/>
      <c r="J1681" s="37" t="s">
        <v>1646</v>
      </c>
      <c r="K1681" s="40">
        <v>13109696</v>
      </c>
      <c r="L1681" s="38" t="s">
        <v>297</v>
      </c>
      <c r="M1681" s="38"/>
      <c r="N1681" s="37"/>
      <c r="O1681" s="37"/>
      <c r="P1681" s="37"/>
      <c r="Q1681" s="37"/>
      <c r="R1681" s="39"/>
      <c r="S1681" s="37"/>
      <c r="T1681" s="38" t="s">
        <v>293</v>
      </c>
    </row>
    <row r="1682" ht="34.5">
      <c r="A1682" s="38" t="s">
        <v>1215</v>
      </c>
      <c r="B1682" s="38" t="s">
        <v>1216</v>
      </c>
      <c r="C1682" s="38" t="s">
        <v>360</v>
      </c>
      <c r="D1682" s="38" t="s">
        <v>288</v>
      </c>
      <c r="E1682" s="38" t="s">
        <v>921</v>
      </c>
      <c r="F1682" s="37" t="s">
        <v>922</v>
      </c>
      <c r="G1682" s="38" t="s">
        <v>70</v>
      </c>
      <c r="H1682" s="37"/>
      <c r="I1682" s="37"/>
      <c r="J1682" s="37" t="s">
        <v>347</v>
      </c>
      <c r="K1682" s="40"/>
      <c r="L1682" s="38"/>
      <c r="M1682" s="38"/>
      <c r="N1682" s="37"/>
      <c r="O1682" s="37"/>
      <c r="P1682" s="37"/>
      <c r="Q1682" s="37"/>
      <c r="R1682" s="39"/>
      <c r="S1682" s="37"/>
      <c r="T1682" s="38" t="s">
        <v>293</v>
      </c>
    </row>
    <row r="1683" ht="34.5">
      <c r="A1683" s="38" t="s">
        <v>1215</v>
      </c>
      <c r="B1683" s="38" t="s">
        <v>1216</v>
      </c>
      <c r="C1683" s="38" t="s">
        <v>360</v>
      </c>
      <c r="D1683" s="38" t="s">
        <v>335</v>
      </c>
      <c r="E1683" s="38" t="s">
        <v>921</v>
      </c>
      <c r="F1683" s="37" t="s">
        <v>922</v>
      </c>
      <c r="G1683" s="38" t="s">
        <v>70</v>
      </c>
      <c r="H1683" s="37"/>
      <c r="I1683" s="37"/>
      <c r="J1683" s="37" t="s">
        <v>336</v>
      </c>
      <c r="K1683" s="40"/>
      <c r="L1683" s="38"/>
      <c r="M1683" s="38"/>
      <c r="N1683" s="37"/>
      <c r="O1683" s="37"/>
      <c r="P1683" s="37"/>
      <c r="Q1683" s="37"/>
      <c r="R1683" s="39"/>
      <c r="S1683" s="37"/>
      <c r="T1683" s="38" t="s">
        <v>293</v>
      </c>
    </row>
    <row r="1684" ht="34.5">
      <c r="A1684" s="38" t="s">
        <v>1215</v>
      </c>
      <c r="B1684" s="38" t="s">
        <v>1216</v>
      </c>
      <c r="C1684" s="38" t="s">
        <v>364</v>
      </c>
      <c r="D1684" s="38" t="s">
        <v>288</v>
      </c>
      <c r="E1684" s="38" t="s">
        <v>921</v>
      </c>
      <c r="F1684" s="37" t="s">
        <v>922</v>
      </c>
      <c r="G1684" s="38" t="s">
        <v>70</v>
      </c>
      <c r="H1684" s="37"/>
      <c r="I1684" s="37"/>
      <c r="J1684" s="37" t="s">
        <v>351</v>
      </c>
      <c r="K1684" s="40"/>
      <c r="L1684" s="38"/>
      <c r="M1684" s="38"/>
      <c r="N1684" s="37"/>
      <c r="O1684" s="37"/>
      <c r="P1684" s="37"/>
      <c r="Q1684" s="37"/>
      <c r="R1684" s="39"/>
      <c r="S1684" s="37"/>
      <c r="T1684" s="38" t="s">
        <v>293</v>
      </c>
    </row>
    <row r="1685" ht="34.5">
      <c r="A1685" s="38" t="s">
        <v>1215</v>
      </c>
      <c r="B1685" s="38" t="s">
        <v>1216</v>
      </c>
      <c r="C1685" s="38" t="s">
        <v>364</v>
      </c>
      <c r="D1685" s="38" t="s">
        <v>342</v>
      </c>
      <c r="E1685" s="38" t="s">
        <v>921</v>
      </c>
      <c r="F1685" s="37" t="s">
        <v>922</v>
      </c>
      <c r="G1685" s="38" t="s">
        <v>70</v>
      </c>
      <c r="H1685" s="37"/>
      <c r="I1685" s="37"/>
      <c r="J1685" s="37" t="s">
        <v>343</v>
      </c>
      <c r="K1685" s="40"/>
      <c r="L1685" s="38"/>
      <c r="M1685" s="38"/>
      <c r="N1685" s="37"/>
      <c r="O1685" s="37"/>
      <c r="P1685" s="37"/>
      <c r="Q1685" s="37"/>
      <c r="R1685" s="39"/>
      <c r="S1685" s="37"/>
      <c r="T1685" s="38" t="s">
        <v>293</v>
      </c>
    </row>
    <row r="1686" ht="34.5">
      <c r="A1686" s="38" t="s">
        <v>1215</v>
      </c>
      <c r="B1686" s="38" t="s">
        <v>1216</v>
      </c>
      <c r="C1686" s="38" t="s">
        <v>364</v>
      </c>
      <c r="D1686" s="38" t="s">
        <v>288</v>
      </c>
      <c r="E1686" s="38" t="s">
        <v>921</v>
      </c>
      <c r="F1686" s="37" t="s">
        <v>922</v>
      </c>
      <c r="G1686" s="38" t="s">
        <v>70</v>
      </c>
      <c r="H1686" s="37"/>
      <c r="I1686" s="37"/>
      <c r="J1686" s="37" t="s">
        <v>354</v>
      </c>
      <c r="K1686" s="40"/>
      <c r="L1686" s="38"/>
      <c r="M1686" s="38"/>
      <c r="N1686" s="37"/>
      <c r="O1686" s="37"/>
      <c r="P1686" s="37"/>
      <c r="Q1686" s="37"/>
      <c r="R1686" s="39"/>
      <c r="S1686" s="37"/>
      <c r="T1686" s="38" t="s">
        <v>293</v>
      </c>
    </row>
    <row r="1687" ht="34.5">
      <c r="A1687" s="38" t="s">
        <v>1215</v>
      </c>
      <c r="B1687" s="38" t="s">
        <v>1216</v>
      </c>
      <c r="C1687" s="38" t="s">
        <v>364</v>
      </c>
      <c r="D1687" s="38" t="s">
        <v>288</v>
      </c>
      <c r="E1687" s="38" t="s">
        <v>921</v>
      </c>
      <c r="F1687" s="37" t="s">
        <v>922</v>
      </c>
      <c r="G1687" s="38" t="s">
        <v>70</v>
      </c>
      <c r="H1687" s="37"/>
      <c r="I1687" s="37"/>
      <c r="J1687" s="37" t="s">
        <v>1647</v>
      </c>
      <c r="K1687" s="40">
        <v>4333024</v>
      </c>
      <c r="L1687" s="38" t="s">
        <v>297</v>
      </c>
      <c r="M1687" s="38"/>
      <c r="N1687" s="37"/>
      <c r="O1687" s="37"/>
      <c r="P1687" s="37"/>
      <c r="Q1687" s="37"/>
      <c r="R1687" s="39"/>
      <c r="S1687" s="37"/>
      <c r="T1687" s="38" t="s">
        <v>293</v>
      </c>
    </row>
    <row r="1688" ht="34.5">
      <c r="A1688" s="38" t="s">
        <v>1215</v>
      </c>
      <c r="B1688" s="38" t="s">
        <v>1216</v>
      </c>
      <c r="C1688" s="38" t="s">
        <v>364</v>
      </c>
      <c r="D1688" s="38" t="s">
        <v>288</v>
      </c>
      <c r="E1688" s="38" t="s">
        <v>921</v>
      </c>
      <c r="F1688" s="37" t="s">
        <v>922</v>
      </c>
      <c r="G1688" s="38" t="s">
        <v>70</v>
      </c>
      <c r="H1688" s="37"/>
      <c r="I1688" s="37"/>
      <c r="J1688" s="37" t="s">
        <v>356</v>
      </c>
      <c r="K1688" s="40"/>
      <c r="L1688" s="38"/>
      <c r="M1688" s="38"/>
      <c r="N1688" s="37"/>
      <c r="O1688" s="37"/>
      <c r="P1688" s="37"/>
      <c r="Q1688" s="37"/>
      <c r="R1688" s="39"/>
      <c r="S1688" s="37"/>
      <c r="T1688" s="38" t="s">
        <v>293</v>
      </c>
    </row>
    <row r="1689" ht="34.5">
      <c r="A1689" s="38" t="s">
        <v>1215</v>
      </c>
      <c r="B1689" s="38" t="s">
        <v>1216</v>
      </c>
      <c r="C1689" s="38" t="s">
        <v>364</v>
      </c>
      <c r="D1689" s="38" t="s">
        <v>288</v>
      </c>
      <c r="E1689" s="38" t="s">
        <v>921</v>
      </c>
      <c r="F1689" s="37" t="s">
        <v>922</v>
      </c>
      <c r="G1689" s="38" t="s">
        <v>70</v>
      </c>
      <c r="H1689" s="37"/>
      <c r="I1689" s="37"/>
      <c r="J1689" s="37" t="s">
        <v>1648</v>
      </c>
      <c r="K1689" s="40">
        <v>76023436</v>
      </c>
      <c r="L1689" s="38" t="s">
        <v>297</v>
      </c>
      <c r="M1689" s="38"/>
      <c r="N1689" s="37"/>
      <c r="O1689" s="37"/>
      <c r="P1689" s="37"/>
      <c r="Q1689" s="37"/>
      <c r="R1689" s="39"/>
      <c r="S1689" s="37"/>
      <c r="T1689" s="38" t="s">
        <v>293</v>
      </c>
    </row>
    <row r="1690" ht="34.5">
      <c r="A1690" s="38" t="s">
        <v>1215</v>
      </c>
      <c r="B1690" s="38" t="s">
        <v>1216</v>
      </c>
      <c r="C1690" s="38" t="s">
        <v>364</v>
      </c>
      <c r="D1690" s="38" t="s">
        <v>288</v>
      </c>
      <c r="E1690" s="38" t="s">
        <v>921</v>
      </c>
      <c r="F1690" s="37" t="s">
        <v>922</v>
      </c>
      <c r="G1690" s="38" t="s">
        <v>70</v>
      </c>
      <c r="H1690" s="37"/>
      <c r="I1690" s="37"/>
      <c r="J1690" s="37" t="s">
        <v>358</v>
      </c>
      <c r="K1690" s="40"/>
      <c r="L1690" s="38"/>
      <c r="M1690" s="38"/>
      <c r="N1690" s="37"/>
      <c r="O1690" s="37"/>
      <c r="P1690" s="37"/>
      <c r="Q1690" s="37"/>
      <c r="R1690" s="39"/>
      <c r="S1690" s="37"/>
      <c r="T1690" s="38" t="s">
        <v>293</v>
      </c>
    </row>
    <row r="1691" ht="34.5">
      <c r="A1691" s="38" t="s">
        <v>1215</v>
      </c>
      <c r="B1691" s="38" t="s">
        <v>1216</v>
      </c>
      <c r="C1691" s="38" t="s">
        <v>364</v>
      </c>
      <c r="D1691" s="38" t="s">
        <v>288</v>
      </c>
      <c r="E1691" s="38" t="s">
        <v>921</v>
      </c>
      <c r="F1691" s="37" t="s">
        <v>922</v>
      </c>
      <c r="G1691" s="38" t="s">
        <v>70</v>
      </c>
      <c r="H1691" s="37"/>
      <c r="I1691" s="37"/>
      <c r="J1691" s="37" t="s">
        <v>1649</v>
      </c>
      <c r="K1691" s="40">
        <v>1204112</v>
      </c>
      <c r="L1691" s="38" t="s">
        <v>297</v>
      </c>
      <c r="M1691" s="38"/>
      <c r="N1691" s="37"/>
      <c r="O1691" s="37"/>
      <c r="P1691" s="37"/>
      <c r="Q1691" s="37"/>
      <c r="R1691" s="39"/>
      <c r="S1691" s="37"/>
      <c r="T1691" s="38" t="s">
        <v>293</v>
      </c>
    </row>
    <row r="1692" ht="34.5">
      <c r="A1692" s="38" t="s">
        <v>1215</v>
      </c>
      <c r="B1692" s="38" t="s">
        <v>1216</v>
      </c>
      <c r="C1692" s="38" t="s">
        <v>372</v>
      </c>
      <c r="D1692" s="38" t="s">
        <v>288</v>
      </c>
      <c r="E1692" s="38" t="s">
        <v>921</v>
      </c>
      <c r="F1692" s="37" t="s">
        <v>922</v>
      </c>
      <c r="G1692" s="38" t="s">
        <v>70</v>
      </c>
      <c r="H1692" s="37"/>
      <c r="I1692" s="37"/>
      <c r="J1692" s="37" t="s">
        <v>927</v>
      </c>
      <c r="K1692" s="40"/>
      <c r="L1692" s="38"/>
      <c r="M1692" s="38"/>
      <c r="N1692" s="37"/>
      <c r="O1692" s="37"/>
      <c r="P1692" s="37"/>
      <c r="Q1692" s="37"/>
      <c r="R1692" s="39"/>
      <c r="S1692" s="37"/>
      <c r="T1692" s="38" t="s">
        <v>293</v>
      </c>
    </row>
    <row r="1693" ht="34.5">
      <c r="A1693" s="38" t="s">
        <v>1215</v>
      </c>
      <c r="B1693" s="38" t="s">
        <v>1216</v>
      </c>
      <c r="C1693" s="38" t="s">
        <v>372</v>
      </c>
      <c r="D1693" s="38" t="s">
        <v>348</v>
      </c>
      <c r="E1693" s="38" t="s">
        <v>921</v>
      </c>
      <c r="F1693" s="37" t="s">
        <v>922</v>
      </c>
      <c r="G1693" s="38" t="s">
        <v>70</v>
      </c>
      <c r="H1693" s="37"/>
      <c r="I1693" s="37"/>
      <c r="J1693" s="37" t="s">
        <v>349</v>
      </c>
      <c r="K1693" s="40"/>
      <c r="L1693" s="38"/>
      <c r="M1693" s="38"/>
      <c r="N1693" s="37"/>
      <c r="O1693" s="37"/>
      <c r="P1693" s="37"/>
      <c r="Q1693" s="37"/>
      <c r="R1693" s="39"/>
      <c r="S1693" s="37"/>
      <c r="T1693" s="38" t="s">
        <v>293</v>
      </c>
    </row>
    <row r="1694" ht="34.5">
      <c r="A1694" s="38" t="s">
        <v>1215</v>
      </c>
      <c r="B1694" s="38" t="s">
        <v>1216</v>
      </c>
      <c r="C1694" s="38" t="s">
        <v>372</v>
      </c>
      <c r="D1694" s="38" t="s">
        <v>288</v>
      </c>
      <c r="E1694" s="38" t="s">
        <v>921</v>
      </c>
      <c r="F1694" s="37" t="s">
        <v>922</v>
      </c>
      <c r="G1694" s="38" t="s">
        <v>70</v>
      </c>
      <c r="H1694" s="37"/>
      <c r="I1694" s="37"/>
      <c r="J1694" s="37" t="s">
        <v>930</v>
      </c>
      <c r="K1694" s="40"/>
      <c r="L1694" s="38"/>
      <c r="M1694" s="38"/>
      <c r="N1694" s="37"/>
      <c r="O1694" s="37"/>
      <c r="P1694" s="37"/>
      <c r="Q1694" s="37"/>
      <c r="R1694" s="39"/>
      <c r="S1694" s="37"/>
      <c r="T1694" s="38" t="s">
        <v>293</v>
      </c>
    </row>
    <row r="1695" ht="34.5">
      <c r="A1695" s="38" t="s">
        <v>1215</v>
      </c>
      <c r="B1695" s="38" t="s">
        <v>1216</v>
      </c>
      <c r="C1695" s="38" t="s">
        <v>372</v>
      </c>
      <c r="D1695" s="38" t="s">
        <v>352</v>
      </c>
      <c r="E1695" s="38" t="s">
        <v>921</v>
      </c>
      <c r="F1695" s="37" t="s">
        <v>922</v>
      </c>
      <c r="G1695" s="38" t="s">
        <v>70</v>
      </c>
      <c r="H1695" s="37"/>
      <c r="I1695" s="37"/>
      <c r="J1695" s="37" t="s">
        <v>353</v>
      </c>
      <c r="K1695" s="40"/>
      <c r="L1695" s="38"/>
      <c r="M1695" s="38"/>
      <c r="N1695" s="37"/>
      <c r="O1695" s="37"/>
      <c r="P1695" s="37"/>
      <c r="Q1695" s="37"/>
      <c r="R1695" s="39"/>
      <c r="S1695" s="37"/>
      <c r="T1695" s="38" t="s">
        <v>293</v>
      </c>
    </row>
    <row r="1696" ht="34.5">
      <c r="A1696" s="38" t="s">
        <v>1215</v>
      </c>
      <c r="B1696" s="38" t="s">
        <v>1216</v>
      </c>
      <c r="C1696" s="38" t="s">
        <v>384</v>
      </c>
      <c r="D1696" s="38" t="s">
        <v>288</v>
      </c>
      <c r="E1696" s="38" t="s">
        <v>365</v>
      </c>
      <c r="F1696" s="37" t="s">
        <v>366</v>
      </c>
      <c r="G1696" s="38" t="s">
        <v>367</v>
      </c>
      <c r="H1696" s="37"/>
      <c r="I1696" s="37"/>
      <c r="J1696" s="37" t="s">
        <v>368</v>
      </c>
      <c r="K1696" s="40"/>
      <c r="L1696" s="38"/>
      <c r="M1696" s="38"/>
      <c r="N1696" s="37"/>
      <c r="O1696" s="37"/>
      <c r="P1696" s="37"/>
      <c r="Q1696" s="37"/>
      <c r="R1696" s="39"/>
      <c r="S1696" s="37"/>
      <c r="T1696" s="38" t="s">
        <v>293</v>
      </c>
    </row>
    <row r="1697" ht="34.5">
      <c r="A1697" s="38" t="s">
        <v>1215</v>
      </c>
      <c r="B1697" s="38" t="s">
        <v>1216</v>
      </c>
      <c r="C1697" s="38" t="s">
        <v>384</v>
      </c>
      <c r="D1697" s="38" t="s">
        <v>362</v>
      </c>
      <c r="E1697" s="38" t="s">
        <v>365</v>
      </c>
      <c r="F1697" s="37" t="s">
        <v>366</v>
      </c>
      <c r="G1697" s="38" t="s">
        <v>367</v>
      </c>
      <c r="H1697" s="37"/>
      <c r="I1697" s="37"/>
      <c r="J1697" s="37" t="s">
        <v>363</v>
      </c>
      <c r="K1697" s="40"/>
      <c r="L1697" s="38"/>
      <c r="M1697" s="38"/>
      <c r="N1697" s="37"/>
      <c r="O1697" s="37"/>
      <c r="P1697" s="37"/>
      <c r="Q1697" s="37"/>
      <c r="R1697" s="39"/>
      <c r="S1697" s="37"/>
      <c r="T1697" s="38" t="s">
        <v>293</v>
      </c>
    </row>
    <row r="1698" ht="34.5">
      <c r="A1698" s="38" t="s">
        <v>1215</v>
      </c>
      <c r="B1698" s="38" t="s">
        <v>1216</v>
      </c>
      <c r="C1698" s="38" t="s">
        <v>394</v>
      </c>
      <c r="D1698" s="38" t="s">
        <v>369</v>
      </c>
      <c r="E1698" s="38" t="s">
        <v>365</v>
      </c>
      <c r="F1698" s="37" t="s">
        <v>366</v>
      </c>
      <c r="G1698" s="38" t="s">
        <v>367</v>
      </c>
      <c r="H1698" s="37"/>
      <c r="I1698" s="37"/>
      <c r="J1698" s="37" t="s">
        <v>923</v>
      </c>
      <c r="K1698" s="40"/>
      <c r="L1698" s="38"/>
      <c r="M1698" s="38"/>
      <c r="N1698" s="37"/>
      <c r="O1698" s="37"/>
      <c r="P1698" s="37"/>
      <c r="Q1698" s="37"/>
      <c r="R1698" s="39"/>
      <c r="S1698" s="37"/>
      <c r="T1698" s="38" t="s">
        <v>293</v>
      </c>
    </row>
    <row r="1699" ht="34.5">
      <c r="A1699" s="38" t="s">
        <v>1215</v>
      </c>
      <c r="B1699" s="38" t="s">
        <v>1216</v>
      </c>
      <c r="C1699" s="38" t="s">
        <v>394</v>
      </c>
      <c r="D1699" s="38" t="s">
        <v>288</v>
      </c>
      <c r="E1699" s="38" t="s">
        <v>365</v>
      </c>
      <c r="F1699" s="37" t="s">
        <v>366</v>
      </c>
      <c r="G1699" s="38" t="s">
        <v>367</v>
      </c>
      <c r="H1699" s="37"/>
      <c r="I1699" s="37"/>
      <c r="J1699" s="37" t="s">
        <v>1650</v>
      </c>
      <c r="K1699" s="40">
        <v>15641306</v>
      </c>
      <c r="L1699" s="38" t="s">
        <v>297</v>
      </c>
      <c r="M1699" s="38"/>
      <c r="N1699" s="37"/>
      <c r="O1699" s="37"/>
      <c r="P1699" s="37"/>
      <c r="Q1699" s="37"/>
      <c r="R1699" s="39"/>
      <c r="S1699" s="37"/>
      <c r="T1699" s="38" t="s">
        <v>293</v>
      </c>
    </row>
    <row r="1700" ht="34.5">
      <c r="A1700" s="38" t="s">
        <v>1215</v>
      </c>
      <c r="B1700" s="38" t="s">
        <v>1216</v>
      </c>
      <c r="C1700" s="38" t="s">
        <v>407</v>
      </c>
      <c r="D1700" s="38" t="s">
        <v>288</v>
      </c>
      <c r="E1700" s="38" t="s">
        <v>365</v>
      </c>
      <c r="F1700" s="37" t="s">
        <v>366</v>
      </c>
      <c r="G1700" s="38" t="s">
        <v>367</v>
      </c>
      <c r="H1700" s="37"/>
      <c r="I1700" s="37"/>
      <c r="J1700" s="37" t="s">
        <v>1651</v>
      </c>
      <c r="K1700" s="40"/>
      <c r="L1700" s="38"/>
      <c r="M1700" s="38"/>
      <c r="N1700" s="37"/>
      <c r="O1700" s="37"/>
      <c r="P1700" s="37"/>
      <c r="Q1700" s="37"/>
      <c r="R1700" s="39"/>
      <c r="S1700" s="37"/>
      <c r="T1700" s="38" t="s">
        <v>293</v>
      </c>
    </row>
    <row r="1701" ht="34.5">
      <c r="A1701" s="38" t="s">
        <v>1215</v>
      </c>
      <c r="B1701" s="38" t="s">
        <v>1216</v>
      </c>
      <c r="C1701" s="38" t="s">
        <v>407</v>
      </c>
      <c r="D1701" s="38" t="s">
        <v>288</v>
      </c>
      <c r="E1701" s="38" t="s">
        <v>365</v>
      </c>
      <c r="F1701" s="37" t="s">
        <v>366</v>
      </c>
      <c r="G1701" s="38" t="s">
        <v>367</v>
      </c>
      <c r="H1701" s="37"/>
      <c r="I1701" s="37"/>
      <c r="J1701" s="37" t="s">
        <v>1083</v>
      </c>
      <c r="K1701" s="40"/>
      <c r="L1701" s="38"/>
      <c r="M1701" s="38"/>
      <c r="N1701" s="37"/>
      <c r="O1701" s="37"/>
      <c r="P1701" s="37"/>
      <c r="Q1701" s="37"/>
      <c r="R1701" s="39"/>
      <c r="S1701" s="37"/>
      <c r="T1701" s="38" t="s">
        <v>293</v>
      </c>
    </row>
    <row r="1702" ht="34.5">
      <c r="A1702" s="38" t="s">
        <v>1215</v>
      </c>
      <c r="B1702" s="38" t="s">
        <v>1216</v>
      </c>
      <c r="C1702" s="38" t="s">
        <v>407</v>
      </c>
      <c r="D1702" s="38" t="s">
        <v>928</v>
      </c>
      <c r="E1702" s="38" t="s">
        <v>365</v>
      </c>
      <c r="F1702" s="37" t="s">
        <v>366</v>
      </c>
      <c r="G1702" s="38" t="s">
        <v>367</v>
      </c>
      <c r="H1702" s="37"/>
      <c r="I1702" s="37"/>
      <c r="J1702" s="37" t="s">
        <v>929</v>
      </c>
      <c r="K1702" s="40"/>
      <c r="L1702" s="38"/>
      <c r="M1702" s="38"/>
      <c r="N1702" s="37"/>
      <c r="O1702" s="37"/>
      <c r="P1702" s="37"/>
      <c r="Q1702" s="37"/>
      <c r="R1702" s="39"/>
      <c r="S1702" s="37"/>
      <c r="T1702" s="38" t="s">
        <v>293</v>
      </c>
    </row>
    <row r="1703" ht="34.5">
      <c r="A1703" s="38" t="s">
        <v>1215</v>
      </c>
      <c r="B1703" s="38" t="s">
        <v>1216</v>
      </c>
      <c r="C1703" s="38" t="s">
        <v>407</v>
      </c>
      <c r="D1703" s="38" t="s">
        <v>288</v>
      </c>
      <c r="E1703" s="38" t="s">
        <v>365</v>
      </c>
      <c r="F1703" s="37" t="s">
        <v>366</v>
      </c>
      <c r="G1703" s="38" t="s">
        <v>367</v>
      </c>
      <c r="H1703" s="37"/>
      <c r="I1703" s="37"/>
      <c r="J1703" s="37" t="s">
        <v>1084</v>
      </c>
      <c r="K1703" s="40"/>
      <c r="L1703" s="38"/>
      <c r="M1703" s="38"/>
      <c r="N1703" s="37"/>
      <c r="O1703" s="37"/>
      <c r="P1703" s="37"/>
      <c r="Q1703" s="37"/>
      <c r="R1703" s="39"/>
      <c r="S1703" s="37"/>
      <c r="T1703" s="38" t="s">
        <v>293</v>
      </c>
    </row>
    <row r="1704" ht="34.5">
      <c r="A1704" s="38" t="s">
        <v>1215</v>
      </c>
      <c r="B1704" s="38" t="s">
        <v>1216</v>
      </c>
      <c r="C1704" s="38" t="s">
        <v>407</v>
      </c>
      <c r="D1704" s="38" t="s">
        <v>288</v>
      </c>
      <c r="E1704" s="38" t="s">
        <v>365</v>
      </c>
      <c r="F1704" s="37" t="s">
        <v>366</v>
      </c>
      <c r="G1704" s="38" t="s">
        <v>367</v>
      </c>
      <c r="H1704" s="37"/>
      <c r="I1704" s="37"/>
      <c r="J1704" s="37" t="s">
        <v>381</v>
      </c>
      <c r="K1704" s="40"/>
      <c r="L1704" s="38"/>
      <c r="M1704" s="38"/>
      <c r="N1704" s="37"/>
      <c r="O1704" s="37"/>
      <c r="P1704" s="37"/>
      <c r="Q1704" s="37"/>
      <c r="R1704" s="39"/>
      <c r="S1704" s="37"/>
      <c r="T1704" s="38" t="s">
        <v>293</v>
      </c>
    </row>
    <row r="1705" ht="34.5">
      <c r="A1705" s="38" t="s">
        <v>1215</v>
      </c>
      <c r="B1705" s="38" t="s">
        <v>1216</v>
      </c>
      <c r="C1705" s="38" t="s">
        <v>407</v>
      </c>
      <c r="D1705" s="38" t="s">
        <v>376</v>
      </c>
      <c r="E1705" s="38" t="s">
        <v>365</v>
      </c>
      <c r="F1705" s="37" t="s">
        <v>366</v>
      </c>
      <c r="G1705" s="38" t="s">
        <v>367</v>
      </c>
      <c r="H1705" s="37"/>
      <c r="I1705" s="37"/>
      <c r="J1705" s="37" t="s">
        <v>377</v>
      </c>
      <c r="K1705" s="40"/>
      <c r="L1705" s="38"/>
      <c r="M1705" s="38"/>
      <c r="N1705" s="37"/>
      <c r="O1705" s="37"/>
      <c r="P1705" s="37"/>
      <c r="Q1705" s="37"/>
      <c r="R1705" s="39"/>
      <c r="S1705" s="37"/>
      <c r="T1705" s="38" t="s">
        <v>293</v>
      </c>
    </row>
    <row r="1706" ht="34.5">
      <c r="A1706" s="38" t="s">
        <v>1215</v>
      </c>
      <c r="B1706" s="38" t="s">
        <v>1216</v>
      </c>
      <c r="C1706" s="38" t="s">
        <v>418</v>
      </c>
      <c r="D1706" s="38" t="s">
        <v>382</v>
      </c>
      <c r="E1706" s="38" t="s">
        <v>365</v>
      </c>
      <c r="F1706" s="37" t="s">
        <v>366</v>
      </c>
      <c r="G1706" s="38" t="s">
        <v>367</v>
      </c>
      <c r="H1706" s="37"/>
      <c r="I1706" s="37"/>
      <c r="J1706" s="37" t="s">
        <v>383</v>
      </c>
      <c r="K1706" s="40"/>
      <c r="L1706" s="38"/>
      <c r="M1706" s="38"/>
      <c r="N1706" s="37"/>
      <c r="O1706" s="37"/>
      <c r="P1706" s="37"/>
      <c r="Q1706" s="37"/>
      <c r="R1706" s="39"/>
      <c r="S1706" s="37"/>
      <c r="T1706" s="38" t="s">
        <v>293</v>
      </c>
    </row>
    <row r="1707" ht="34.5">
      <c r="A1707" s="38" t="s">
        <v>1215</v>
      </c>
      <c r="B1707" s="38" t="s">
        <v>1216</v>
      </c>
      <c r="C1707" s="38" t="s">
        <v>418</v>
      </c>
      <c r="D1707" s="38" t="s">
        <v>288</v>
      </c>
      <c r="E1707" s="38" t="s">
        <v>365</v>
      </c>
      <c r="F1707" s="37" t="s">
        <v>366</v>
      </c>
      <c r="G1707" s="38" t="s">
        <v>367</v>
      </c>
      <c r="H1707" s="37"/>
      <c r="I1707" s="37"/>
      <c r="J1707" s="37" t="s">
        <v>387</v>
      </c>
      <c r="K1707" s="40"/>
      <c r="L1707" s="38"/>
      <c r="M1707" s="38"/>
      <c r="N1707" s="37"/>
      <c r="O1707" s="37"/>
      <c r="P1707" s="37"/>
      <c r="Q1707" s="37"/>
      <c r="R1707" s="39"/>
      <c r="S1707" s="37"/>
      <c r="T1707" s="38" t="s">
        <v>293</v>
      </c>
    </row>
    <row r="1708" ht="34.5">
      <c r="A1708" s="38" t="s">
        <v>1215</v>
      </c>
      <c r="B1708" s="38" t="s">
        <v>1216</v>
      </c>
      <c r="C1708" s="38" t="s">
        <v>418</v>
      </c>
      <c r="D1708" s="38" t="s">
        <v>385</v>
      </c>
      <c r="E1708" s="38" t="s">
        <v>365</v>
      </c>
      <c r="F1708" s="37" t="s">
        <v>366</v>
      </c>
      <c r="G1708" s="38" t="s">
        <v>367</v>
      </c>
      <c r="H1708" s="37"/>
      <c r="I1708" s="37"/>
      <c r="J1708" s="37" t="s">
        <v>386</v>
      </c>
      <c r="K1708" s="40"/>
      <c r="L1708" s="38"/>
      <c r="M1708" s="38"/>
      <c r="N1708" s="37"/>
      <c r="O1708" s="37"/>
      <c r="P1708" s="37"/>
      <c r="Q1708" s="37"/>
      <c r="R1708" s="39"/>
      <c r="S1708" s="37"/>
      <c r="T1708" s="38" t="s">
        <v>293</v>
      </c>
    </row>
    <row r="1709" ht="34.5">
      <c r="A1709" s="38" t="s">
        <v>1215</v>
      </c>
      <c r="B1709" s="38" t="s">
        <v>1216</v>
      </c>
      <c r="C1709" s="38" t="s">
        <v>418</v>
      </c>
      <c r="D1709" s="38" t="s">
        <v>288</v>
      </c>
      <c r="E1709" s="38" t="s">
        <v>365</v>
      </c>
      <c r="F1709" s="37" t="s">
        <v>366</v>
      </c>
      <c r="G1709" s="38" t="s">
        <v>367</v>
      </c>
      <c r="H1709" s="37"/>
      <c r="I1709" s="37"/>
      <c r="J1709" s="37" t="s">
        <v>1652</v>
      </c>
      <c r="K1709" s="40"/>
      <c r="L1709" s="38"/>
      <c r="M1709" s="38"/>
      <c r="N1709" s="37"/>
      <c r="O1709" s="37"/>
      <c r="P1709" s="37"/>
      <c r="Q1709" s="37"/>
      <c r="R1709" s="39"/>
      <c r="S1709" s="37"/>
      <c r="T1709" s="38" t="s">
        <v>293</v>
      </c>
    </row>
    <row r="1710" ht="34.5">
      <c r="A1710" s="38" t="s">
        <v>1215</v>
      </c>
      <c r="B1710" s="38" t="s">
        <v>1216</v>
      </c>
      <c r="C1710" s="38" t="s">
        <v>418</v>
      </c>
      <c r="D1710" s="38" t="s">
        <v>288</v>
      </c>
      <c r="E1710" s="38" t="s">
        <v>365</v>
      </c>
      <c r="F1710" s="37" t="s">
        <v>366</v>
      </c>
      <c r="G1710" s="38" t="s">
        <v>367</v>
      </c>
      <c r="H1710" s="37"/>
      <c r="I1710" s="37"/>
      <c r="J1710" s="37" t="s">
        <v>391</v>
      </c>
      <c r="K1710" s="40"/>
      <c r="L1710" s="38"/>
      <c r="M1710" s="38"/>
      <c r="N1710" s="37"/>
      <c r="O1710" s="37"/>
      <c r="P1710" s="37"/>
      <c r="Q1710" s="37"/>
      <c r="R1710" s="39"/>
      <c r="S1710" s="37"/>
      <c r="T1710" s="38" t="s">
        <v>293</v>
      </c>
    </row>
    <row r="1711" ht="34.5">
      <c r="A1711" s="38" t="s">
        <v>1215</v>
      </c>
      <c r="B1711" s="38" t="s">
        <v>1216</v>
      </c>
      <c r="C1711" s="38" t="s">
        <v>418</v>
      </c>
      <c r="D1711" s="38" t="s">
        <v>388</v>
      </c>
      <c r="E1711" s="38" t="s">
        <v>365</v>
      </c>
      <c r="F1711" s="37" t="s">
        <v>366</v>
      </c>
      <c r="G1711" s="38" t="s">
        <v>367</v>
      </c>
      <c r="H1711" s="37"/>
      <c r="I1711" s="37"/>
      <c r="J1711" s="37" t="s">
        <v>389</v>
      </c>
      <c r="K1711" s="40"/>
      <c r="L1711" s="38"/>
      <c r="M1711" s="38"/>
      <c r="N1711" s="37"/>
      <c r="O1711" s="37"/>
      <c r="P1711" s="37"/>
      <c r="Q1711" s="37"/>
      <c r="R1711" s="39"/>
      <c r="S1711" s="37"/>
      <c r="T1711" s="38" t="s">
        <v>293</v>
      </c>
    </row>
    <row r="1712" ht="34.5">
      <c r="A1712" s="38" t="s">
        <v>1215</v>
      </c>
      <c r="B1712" s="38" t="s">
        <v>1216</v>
      </c>
      <c r="C1712" s="38" t="s">
        <v>428</v>
      </c>
      <c r="D1712" s="38" t="s">
        <v>288</v>
      </c>
      <c r="E1712" s="38" t="s">
        <v>365</v>
      </c>
      <c r="F1712" s="37" t="s">
        <v>366</v>
      </c>
      <c r="G1712" s="38" t="s">
        <v>367</v>
      </c>
      <c r="H1712" s="37"/>
      <c r="I1712" s="37"/>
      <c r="J1712" s="37" t="s">
        <v>395</v>
      </c>
      <c r="K1712" s="40"/>
      <c r="L1712" s="38"/>
      <c r="M1712" s="38"/>
      <c r="N1712" s="37"/>
      <c r="O1712" s="37"/>
      <c r="P1712" s="37"/>
      <c r="Q1712" s="37"/>
      <c r="R1712" s="39"/>
      <c r="S1712" s="37"/>
      <c r="T1712" s="38" t="s">
        <v>293</v>
      </c>
    </row>
    <row r="1713" ht="34.5">
      <c r="A1713" s="38" t="s">
        <v>1215</v>
      </c>
      <c r="B1713" s="38" t="s">
        <v>1216</v>
      </c>
      <c r="C1713" s="38" t="s">
        <v>428</v>
      </c>
      <c r="D1713" s="38" t="s">
        <v>288</v>
      </c>
      <c r="E1713" s="38" t="s">
        <v>365</v>
      </c>
      <c r="F1713" s="37" t="s">
        <v>366</v>
      </c>
      <c r="G1713" s="38" t="s">
        <v>367</v>
      </c>
      <c r="H1713" s="37"/>
      <c r="I1713" s="37"/>
      <c r="J1713" s="37" t="s">
        <v>1653</v>
      </c>
      <c r="K1713" s="40"/>
      <c r="L1713" s="38"/>
      <c r="M1713" s="38"/>
      <c r="N1713" s="37"/>
      <c r="O1713" s="37"/>
      <c r="P1713" s="37"/>
      <c r="Q1713" s="37"/>
      <c r="R1713" s="39"/>
      <c r="S1713" s="37"/>
      <c r="T1713" s="38" t="s">
        <v>293</v>
      </c>
    </row>
    <row r="1714" ht="34.5">
      <c r="A1714" s="38" t="s">
        <v>1215</v>
      </c>
      <c r="B1714" s="38" t="s">
        <v>1216</v>
      </c>
      <c r="C1714" s="38" t="s">
        <v>428</v>
      </c>
      <c r="D1714" s="38" t="s">
        <v>288</v>
      </c>
      <c r="E1714" s="38" t="s">
        <v>365</v>
      </c>
      <c r="F1714" s="37" t="s">
        <v>366</v>
      </c>
      <c r="G1714" s="38" t="s">
        <v>367</v>
      </c>
      <c r="H1714" s="37"/>
      <c r="I1714" s="37"/>
      <c r="J1714" s="37" t="s">
        <v>1654</v>
      </c>
      <c r="K1714" s="40"/>
      <c r="L1714" s="38"/>
      <c r="M1714" s="38"/>
      <c r="N1714" s="37"/>
      <c r="O1714" s="37"/>
      <c r="P1714" s="37"/>
      <c r="Q1714" s="37"/>
      <c r="R1714" s="39"/>
      <c r="S1714" s="37"/>
      <c r="T1714" s="38" t="s">
        <v>293</v>
      </c>
    </row>
    <row r="1715" ht="34.5">
      <c r="A1715" s="38" t="s">
        <v>1215</v>
      </c>
      <c r="B1715" s="38" t="s">
        <v>1216</v>
      </c>
      <c r="C1715" s="38" t="s">
        <v>428</v>
      </c>
      <c r="D1715" s="38" t="s">
        <v>288</v>
      </c>
      <c r="E1715" s="38" t="s">
        <v>398</v>
      </c>
      <c r="F1715" s="37" t="s">
        <v>1655</v>
      </c>
      <c r="G1715" s="38" t="s">
        <v>400</v>
      </c>
      <c r="H1715" s="37"/>
      <c r="I1715" s="37"/>
      <c r="J1715" s="37" t="s">
        <v>401</v>
      </c>
      <c r="K1715" s="40"/>
      <c r="L1715" s="38"/>
      <c r="M1715" s="38"/>
      <c r="N1715" s="37"/>
      <c r="O1715" s="37"/>
      <c r="P1715" s="37"/>
      <c r="Q1715" s="37"/>
      <c r="R1715" s="39"/>
      <c r="S1715" s="37"/>
      <c r="T1715" s="38" t="s">
        <v>293</v>
      </c>
    </row>
    <row r="1716" ht="34.5">
      <c r="A1716" s="38" t="s">
        <v>1215</v>
      </c>
      <c r="B1716" s="38" t="s">
        <v>1216</v>
      </c>
      <c r="C1716" s="38" t="s">
        <v>428</v>
      </c>
      <c r="D1716" s="38" t="s">
        <v>392</v>
      </c>
      <c r="E1716" s="38" t="s">
        <v>398</v>
      </c>
      <c r="F1716" s="37" t="s">
        <v>1655</v>
      </c>
      <c r="G1716" s="38" t="s">
        <v>400</v>
      </c>
      <c r="H1716" s="37"/>
      <c r="I1716" s="37"/>
      <c r="J1716" s="37" t="s">
        <v>393</v>
      </c>
      <c r="K1716" s="40"/>
      <c r="L1716" s="38"/>
      <c r="M1716" s="38"/>
      <c r="N1716" s="37"/>
      <c r="O1716" s="37"/>
      <c r="P1716" s="37"/>
      <c r="Q1716" s="37"/>
      <c r="R1716" s="39"/>
      <c r="S1716" s="37"/>
      <c r="T1716" s="38" t="s">
        <v>293</v>
      </c>
    </row>
    <row r="1717" ht="34.5">
      <c r="A1717" s="38" t="s">
        <v>1215</v>
      </c>
      <c r="B1717" s="38" t="s">
        <v>1216</v>
      </c>
      <c r="C1717" s="38" t="s">
        <v>428</v>
      </c>
      <c r="D1717" s="38" t="s">
        <v>288</v>
      </c>
      <c r="E1717" s="38" t="s">
        <v>398</v>
      </c>
      <c r="F1717" s="37" t="s">
        <v>1655</v>
      </c>
      <c r="G1717" s="38" t="s">
        <v>400</v>
      </c>
      <c r="H1717" s="37"/>
      <c r="I1717" s="37"/>
      <c r="J1717" s="37" t="s">
        <v>1656</v>
      </c>
      <c r="K1717" s="40"/>
      <c r="L1717" s="38"/>
      <c r="M1717" s="38"/>
      <c r="N1717" s="37"/>
      <c r="O1717" s="37"/>
      <c r="P1717" s="37"/>
      <c r="Q1717" s="37"/>
      <c r="R1717" s="39"/>
      <c r="S1717" s="37"/>
      <c r="T1717" s="38" t="s">
        <v>293</v>
      </c>
    </row>
    <row r="1718" ht="34.5">
      <c r="A1718" s="38" t="s">
        <v>1215</v>
      </c>
      <c r="B1718" s="38" t="s">
        <v>1216</v>
      </c>
      <c r="C1718" s="38" t="s">
        <v>428</v>
      </c>
      <c r="D1718" s="38" t="s">
        <v>402</v>
      </c>
      <c r="E1718" s="38" t="s">
        <v>398</v>
      </c>
      <c r="F1718" s="37" t="s">
        <v>1655</v>
      </c>
      <c r="G1718" s="38" t="s">
        <v>400</v>
      </c>
      <c r="H1718" s="37"/>
      <c r="I1718" s="37"/>
      <c r="J1718" s="37" t="s">
        <v>403</v>
      </c>
      <c r="K1718" s="40"/>
      <c r="L1718" s="38"/>
      <c r="M1718" s="38"/>
      <c r="N1718" s="37"/>
      <c r="O1718" s="37"/>
      <c r="P1718" s="37"/>
      <c r="Q1718" s="37"/>
      <c r="R1718" s="39"/>
      <c r="S1718" s="37"/>
      <c r="T1718" s="38" t="s">
        <v>293</v>
      </c>
    </row>
    <row r="1719" ht="34.5">
      <c r="A1719" s="38" t="s">
        <v>1215</v>
      </c>
      <c r="B1719" s="38" t="s">
        <v>1216</v>
      </c>
      <c r="C1719" s="38" t="s">
        <v>438</v>
      </c>
      <c r="D1719" s="38" t="s">
        <v>405</v>
      </c>
      <c r="E1719" s="38" t="s">
        <v>398</v>
      </c>
      <c r="F1719" s="37" t="s">
        <v>1655</v>
      </c>
      <c r="G1719" s="38" t="s">
        <v>400</v>
      </c>
      <c r="H1719" s="37"/>
      <c r="I1719" s="37"/>
      <c r="J1719" s="37" t="s">
        <v>406</v>
      </c>
      <c r="K1719" s="40"/>
      <c r="L1719" s="38"/>
      <c r="M1719" s="38"/>
      <c r="N1719" s="37"/>
      <c r="O1719" s="37"/>
      <c r="P1719" s="37"/>
      <c r="Q1719" s="37"/>
      <c r="R1719" s="39"/>
      <c r="S1719" s="37"/>
      <c r="T1719" s="38" t="s">
        <v>293</v>
      </c>
    </row>
    <row r="1720" ht="34.5">
      <c r="A1720" s="38" t="s">
        <v>1215</v>
      </c>
      <c r="B1720" s="38" t="s">
        <v>1216</v>
      </c>
      <c r="C1720" s="38" t="s">
        <v>438</v>
      </c>
      <c r="D1720" s="38" t="s">
        <v>288</v>
      </c>
      <c r="E1720" s="38" t="s">
        <v>398</v>
      </c>
      <c r="F1720" s="37" t="s">
        <v>1655</v>
      </c>
      <c r="G1720" s="38" t="s">
        <v>400</v>
      </c>
      <c r="H1720" s="37"/>
      <c r="I1720" s="37"/>
      <c r="J1720" s="37" t="s">
        <v>410</v>
      </c>
      <c r="K1720" s="40"/>
      <c r="L1720" s="38"/>
      <c r="M1720" s="38"/>
      <c r="N1720" s="37"/>
      <c r="O1720" s="37"/>
      <c r="P1720" s="37"/>
      <c r="Q1720" s="37"/>
      <c r="R1720" s="39"/>
      <c r="S1720" s="37"/>
      <c r="T1720" s="38" t="s">
        <v>293</v>
      </c>
    </row>
    <row r="1721" ht="34.5">
      <c r="A1721" s="38" t="s">
        <v>1215</v>
      </c>
      <c r="B1721" s="38" t="s">
        <v>1216</v>
      </c>
      <c r="C1721" s="38" t="s">
        <v>438</v>
      </c>
      <c r="D1721" s="38" t="s">
        <v>408</v>
      </c>
      <c r="E1721" s="38" t="s">
        <v>398</v>
      </c>
      <c r="F1721" s="37" t="s">
        <v>1655</v>
      </c>
      <c r="G1721" s="38" t="s">
        <v>400</v>
      </c>
      <c r="H1721" s="37"/>
      <c r="I1721" s="37"/>
      <c r="J1721" s="37" t="s">
        <v>409</v>
      </c>
      <c r="K1721" s="40"/>
      <c r="L1721" s="38"/>
      <c r="M1721" s="38"/>
      <c r="N1721" s="37"/>
      <c r="O1721" s="37"/>
      <c r="P1721" s="37"/>
      <c r="Q1721" s="37"/>
      <c r="R1721" s="39"/>
      <c r="S1721" s="37"/>
      <c r="T1721" s="38" t="s">
        <v>293</v>
      </c>
    </row>
    <row r="1722" ht="34.5">
      <c r="A1722" s="38" t="s">
        <v>1215</v>
      </c>
      <c r="B1722" s="38" t="s">
        <v>1216</v>
      </c>
      <c r="C1722" s="38" t="s">
        <v>438</v>
      </c>
      <c r="D1722" s="38" t="s">
        <v>288</v>
      </c>
      <c r="E1722" s="38" t="s">
        <v>398</v>
      </c>
      <c r="F1722" s="37" t="s">
        <v>1655</v>
      </c>
      <c r="G1722" s="38" t="s">
        <v>400</v>
      </c>
      <c r="H1722" s="37"/>
      <c r="I1722" s="37"/>
      <c r="J1722" s="37" t="s">
        <v>413</v>
      </c>
      <c r="K1722" s="40"/>
      <c r="L1722" s="38"/>
      <c r="M1722" s="38"/>
      <c r="N1722" s="37"/>
      <c r="O1722" s="37"/>
      <c r="P1722" s="37"/>
      <c r="Q1722" s="37"/>
      <c r="R1722" s="39"/>
      <c r="S1722" s="37"/>
      <c r="T1722" s="38" t="s">
        <v>293</v>
      </c>
    </row>
    <row r="1723" ht="34.5">
      <c r="A1723" s="38" t="s">
        <v>1215</v>
      </c>
      <c r="B1723" s="38" t="s">
        <v>1216</v>
      </c>
      <c r="C1723" s="38" t="s">
        <v>438</v>
      </c>
      <c r="D1723" s="38" t="s">
        <v>288</v>
      </c>
      <c r="E1723" s="38" t="s">
        <v>398</v>
      </c>
      <c r="F1723" s="37" t="s">
        <v>1655</v>
      </c>
      <c r="G1723" s="38" t="s">
        <v>400</v>
      </c>
      <c r="H1723" s="37"/>
      <c r="I1723" s="37"/>
      <c r="J1723" s="37" t="s">
        <v>414</v>
      </c>
      <c r="K1723" s="40"/>
      <c r="L1723" s="38"/>
      <c r="M1723" s="38"/>
      <c r="N1723" s="37"/>
      <c r="O1723" s="37"/>
      <c r="P1723" s="37"/>
      <c r="Q1723" s="37"/>
      <c r="R1723" s="39"/>
      <c r="S1723" s="37"/>
      <c r="T1723" s="38" t="s">
        <v>293</v>
      </c>
    </row>
    <row r="1724" ht="34.5">
      <c r="A1724" s="38" t="s">
        <v>1215</v>
      </c>
      <c r="B1724" s="38" t="s">
        <v>1216</v>
      </c>
      <c r="C1724" s="38" t="s">
        <v>438</v>
      </c>
      <c r="D1724" s="38" t="s">
        <v>288</v>
      </c>
      <c r="E1724" s="38" t="s">
        <v>398</v>
      </c>
      <c r="F1724" s="37" t="s">
        <v>1655</v>
      </c>
      <c r="G1724" s="38" t="s">
        <v>400</v>
      </c>
      <c r="H1724" s="37"/>
      <c r="I1724" s="37"/>
      <c r="J1724" s="37" t="s">
        <v>1657</v>
      </c>
      <c r="K1724" s="40"/>
      <c r="L1724" s="38"/>
      <c r="M1724" s="38"/>
      <c r="N1724" s="37"/>
      <c r="O1724" s="37"/>
      <c r="P1724" s="37"/>
      <c r="Q1724" s="37"/>
      <c r="R1724" s="39"/>
      <c r="S1724" s="37"/>
      <c r="T1724" s="38" t="s">
        <v>293</v>
      </c>
    </row>
    <row r="1725" ht="34.5">
      <c r="A1725" s="38" t="s">
        <v>1215</v>
      </c>
      <c r="B1725" s="38" t="s">
        <v>1216</v>
      </c>
      <c r="C1725" s="38" t="s">
        <v>438</v>
      </c>
      <c r="D1725" s="38" t="s">
        <v>288</v>
      </c>
      <c r="E1725" s="38" t="s">
        <v>398</v>
      </c>
      <c r="F1725" s="37" t="s">
        <v>1655</v>
      </c>
      <c r="G1725" s="38" t="s">
        <v>400</v>
      </c>
      <c r="H1725" s="37"/>
      <c r="I1725" s="37"/>
      <c r="J1725" s="37" t="s">
        <v>416</v>
      </c>
      <c r="K1725" s="40"/>
      <c r="L1725" s="38"/>
      <c r="M1725" s="38"/>
      <c r="N1725" s="37"/>
      <c r="O1725" s="37"/>
      <c r="P1725" s="37"/>
      <c r="Q1725" s="37"/>
      <c r="R1725" s="39"/>
      <c r="S1725" s="37"/>
      <c r="T1725" s="38" t="s">
        <v>293</v>
      </c>
    </row>
    <row r="1726" ht="34.5">
      <c r="A1726" s="38" t="s">
        <v>1215</v>
      </c>
      <c r="B1726" s="38" t="s">
        <v>1216</v>
      </c>
      <c r="C1726" s="38" t="s">
        <v>438</v>
      </c>
      <c r="D1726" s="38" t="s">
        <v>288</v>
      </c>
      <c r="E1726" s="38" t="s">
        <v>398</v>
      </c>
      <c r="F1726" s="37" t="s">
        <v>1655</v>
      </c>
      <c r="G1726" s="38" t="s">
        <v>400</v>
      </c>
      <c r="H1726" s="37"/>
      <c r="I1726" s="37"/>
      <c r="J1726" s="37" t="s">
        <v>417</v>
      </c>
      <c r="K1726" s="40"/>
      <c r="L1726" s="38"/>
      <c r="M1726" s="38"/>
      <c r="N1726" s="37"/>
      <c r="O1726" s="37"/>
      <c r="P1726" s="37"/>
      <c r="Q1726" s="37"/>
      <c r="R1726" s="39"/>
      <c r="S1726" s="37"/>
      <c r="T1726" s="38" t="s">
        <v>293</v>
      </c>
    </row>
    <row r="1727" ht="34.5">
      <c r="A1727" s="38" t="s">
        <v>1215</v>
      </c>
      <c r="B1727" s="38" t="s">
        <v>1216</v>
      </c>
      <c r="C1727" s="38" t="s">
        <v>448</v>
      </c>
      <c r="D1727" s="38" t="s">
        <v>288</v>
      </c>
      <c r="E1727" s="38" t="s">
        <v>398</v>
      </c>
      <c r="F1727" s="37" t="s">
        <v>1655</v>
      </c>
      <c r="G1727" s="38" t="s">
        <v>400</v>
      </c>
      <c r="H1727" s="37"/>
      <c r="I1727" s="37"/>
      <c r="J1727" s="37" t="s">
        <v>419</v>
      </c>
      <c r="K1727" s="40"/>
      <c r="L1727" s="38"/>
      <c r="M1727" s="38"/>
      <c r="N1727" s="37"/>
      <c r="O1727" s="37"/>
      <c r="P1727" s="37"/>
      <c r="Q1727" s="37"/>
      <c r="R1727" s="39"/>
      <c r="S1727" s="37"/>
      <c r="T1727" s="38" t="s">
        <v>293</v>
      </c>
    </row>
    <row r="1728" ht="34.5">
      <c r="A1728" s="38" t="s">
        <v>1215</v>
      </c>
      <c r="B1728" s="38" t="s">
        <v>1216</v>
      </c>
      <c r="C1728" s="38" t="s">
        <v>448</v>
      </c>
      <c r="D1728" s="38" t="s">
        <v>288</v>
      </c>
      <c r="E1728" s="38" t="s">
        <v>398</v>
      </c>
      <c r="F1728" s="37" t="s">
        <v>1655</v>
      </c>
      <c r="G1728" s="38" t="s">
        <v>400</v>
      </c>
      <c r="H1728" s="37"/>
      <c r="I1728" s="37"/>
      <c r="J1728" s="37" t="s">
        <v>420</v>
      </c>
      <c r="K1728" s="40"/>
      <c r="L1728" s="38"/>
      <c r="M1728" s="38"/>
      <c r="N1728" s="37"/>
      <c r="O1728" s="37"/>
      <c r="P1728" s="37"/>
      <c r="Q1728" s="37"/>
      <c r="R1728" s="39"/>
      <c r="S1728" s="37"/>
      <c r="T1728" s="38" t="s">
        <v>293</v>
      </c>
    </row>
    <row r="1729" ht="34.5">
      <c r="A1729" s="38" t="s">
        <v>1215</v>
      </c>
      <c r="B1729" s="38" t="s">
        <v>1216</v>
      </c>
      <c r="C1729" s="38" t="s">
        <v>448</v>
      </c>
      <c r="D1729" s="38" t="s">
        <v>411</v>
      </c>
      <c r="E1729" s="38" t="s">
        <v>398</v>
      </c>
      <c r="F1729" s="37" t="s">
        <v>1655</v>
      </c>
      <c r="G1729" s="38" t="s">
        <v>400</v>
      </c>
      <c r="H1729" s="37"/>
      <c r="I1729" s="37"/>
      <c r="J1729" s="37" t="s">
        <v>412</v>
      </c>
      <c r="K1729" s="40"/>
      <c r="L1729" s="38"/>
      <c r="M1729" s="38"/>
      <c r="N1729" s="37"/>
      <c r="O1729" s="37"/>
      <c r="P1729" s="37"/>
      <c r="Q1729" s="37"/>
      <c r="R1729" s="39"/>
      <c r="S1729" s="37"/>
      <c r="T1729" s="38" t="s">
        <v>293</v>
      </c>
    </row>
    <row r="1730" ht="34.5">
      <c r="A1730" s="38" t="s">
        <v>1215</v>
      </c>
      <c r="B1730" s="38" t="s">
        <v>1216</v>
      </c>
      <c r="C1730" s="38" t="s">
        <v>448</v>
      </c>
      <c r="D1730" s="38" t="s">
        <v>288</v>
      </c>
      <c r="E1730" s="38" t="s">
        <v>398</v>
      </c>
      <c r="F1730" s="37" t="s">
        <v>1655</v>
      </c>
      <c r="G1730" s="38" t="s">
        <v>400</v>
      </c>
      <c r="H1730" s="37"/>
      <c r="I1730" s="37"/>
      <c r="J1730" s="37" t="s">
        <v>423</v>
      </c>
      <c r="K1730" s="40"/>
      <c r="L1730" s="38"/>
      <c r="M1730" s="38"/>
      <c r="N1730" s="37"/>
      <c r="O1730" s="37"/>
      <c r="P1730" s="37"/>
      <c r="Q1730" s="37"/>
      <c r="R1730" s="39"/>
      <c r="S1730" s="37"/>
      <c r="T1730" s="38" t="s">
        <v>293</v>
      </c>
    </row>
    <row r="1731" ht="34.5">
      <c r="A1731" s="38" t="s">
        <v>1215</v>
      </c>
      <c r="B1731" s="38" t="s">
        <v>1216</v>
      </c>
      <c r="C1731" s="38" t="s">
        <v>448</v>
      </c>
      <c r="D1731" s="38" t="s">
        <v>288</v>
      </c>
      <c r="E1731" s="38" t="s">
        <v>398</v>
      </c>
      <c r="F1731" s="37" t="s">
        <v>1655</v>
      </c>
      <c r="G1731" s="38" t="s">
        <v>400</v>
      </c>
      <c r="H1731" s="37"/>
      <c r="I1731" s="37"/>
      <c r="J1731" s="37" t="s">
        <v>424</v>
      </c>
      <c r="K1731" s="40"/>
      <c r="L1731" s="38"/>
      <c r="M1731" s="38"/>
      <c r="N1731" s="37"/>
      <c r="O1731" s="37"/>
      <c r="P1731" s="37"/>
      <c r="Q1731" s="37"/>
      <c r="R1731" s="39"/>
      <c r="S1731" s="37"/>
      <c r="T1731" s="38" t="s">
        <v>293</v>
      </c>
    </row>
    <row r="1732" ht="34.5">
      <c r="A1732" s="38" t="s">
        <v>1215</v>
      </c>
      <c r="B1732" s="38" t="s">
        <v>1216</v>
      </c>
      <c r="C1732" s="38" t="s">
        <v>448</v>
      </c>
      <c r="D1732" s="38" t="s">
        <v>288</v>
      </c>
      <c r="E1732" s="38" t="s">
        <v>398</v>
      </c>
      <c r="F1732" s="37" t="s">
        <v>1655</v>
      </c>
      <c r="G1732" s="38" t="s">
        <v>400</v>
      </c>
      <c r="H1732" s="37"/>
      <c r="I1732" s="37"/>
      <c r="J1732" s="37" t="s">
        <v>425</v>
      </c>
      <c r="K1732" s="40"/>
      <c r="L1732" s="38"/>
      <c r="M1732" s="38"/>
      <c r="N1732" s="37"/>
      <c r="O1732" s="37"/>
      <c r="P1732" s="37"/>
      <c r="Q1732" s="37"/>
      <c r="R1732" s="39"/>
      <c r="S1732" s="37"/>
      <c r="T1732" s="38" t="s">
        <v>293</v>
      </c>
    </row>
    <row r="1733" ht="34.5">
      <c r="A1733" s="38" t="s">
        <v>1215</v>
      </c>
      <c r="B1733" s="38" t="s">
        <v>1216</v>
      </c>
      <c r="C1733" s="38" t="s">
        <v>448</v>
      </c>
      <c r="D1733" s="38" t="s">
        <v>288</v>
      </c>
      <c r="E1733" s="38" t="s">
        <v>398</v>
      </c>
      <c r="F1733" s="37" t="s">
        <v>1655</v>
      </c>
      <c r="G1733" s="38" t="s">
        <v>400</v>
      </c>
      <c r="H1733" s="37"/>
      <c r="I1733" s="37"/>
      <c r="J1733" s="37" t="s">
        <v>426</v>
      </c>
      <c r="K1733" s="40"/>
      <c r="L1733" s="38"/>
      <c r="M1733" s="38"/>
      <c r="N1733" s="37"/>
      <c r="O1733" s="37"/>
      <c r="P1733" s="37"/>
      <c r="Q1733" s="37"/>
      <c r="R1733" s="39"/>
      <c r="S1733" s="37"/>
      <c r="T1733" s="38" t="s">
        <v>293</v>
      </c>
    </row>
    <row r="1734" ht="34.5">
      <c r="A1734" s="38" t="s">
        <v>1215</v>
      </c>
      <c r="B1734" s="38" t="s">
        <v>1216</v>
      </c>
      <c r="C1734" s="38" t="s">
        <v>448</v>
      </c>
      <c r="D1734" s="38" t="s">
        <v>288</v>
      </c>
      <c r="E1734" s="38" t="s">
        <v>398</v>
      </c>
      <c r="F1734" s="37" t="s">
        <v>1655</v>
      </c>
      <c r="G1734" s="38" t="s">
        <v>400</v>
      </c>
      <c r="H1734" s="37"/>
      <c r="I1734" s="37"/>
      <c r="J1734" s="37" t="s">
        <v>941</v>
      </c>
      <c r="K1734" s="40"/>
      <c r="L1734" s="38"/>
      <c r="M1734" s="38"/>
      <c r="N1734" s="37"/>
      <c r="O1734" s="37"/>
      <c r="P1734" s="37"/>
      <c r="Q1734" s="37"/>
      <c r="R1734" s="39"/>
      <c r="S1734" s="37"/>
      <c r="T1734" s="38" t="s">
        <v>293</v>
      </c>
    </row>
    <row r="1735" ht="34.5">
      <c r="A1735" s="38" t="s">
        <v>1215</v>
      </c>
      <c r="B1735" s="38" t="s">
        <v>1216</v>
      </c>
      <c r="C1735" s="38" t="s">
        <v>455</v>
      </c>
      <c r="D1735" s="38" t="s">
        <v>421</v>
      </c>
      <c r="E1735" s="38" t="s">
        <v>398</v>
      </c>
      <c r="F1735" s="37" t="s">
        <v>1655</v>
      </c>
      <c r="G1735" s="38" t="s">
        <v>400</v>
      </c>
      <c r="H1735" s="37"/>
      <c r="I1735" s="37"/>
      <c r="J1735" s="37" t="s">
        <v>422</v>
      </c>
      <c r="K1735" s="40"/>
      <c r="L1735" s="38"/>
      <c r="M1735" s="38"/>
      <c r="N1735" s="37"/>
      <c r="O1735" s="37"/>
      <c r="P1735" s="37"/>
      <c r="Q1735" s="37"/>
      <c r="R1735" s="39"/>
      <c r="S1735" s="37"/>
      <c r="T1735" s="38" t="s">
        <v>293</v>
      </c>
    </row>
    <row r="1736" ht="34.5">
      <c r="A1736" s="38" t="s">
        <v>1215</v>
      </c>
      <c r="B1736" s="38" t="s">
        <v>1216</v>
      </c>
      <c r="C1736" s="38" t="s">
        <v>455</v>
      </c>
      <c r="D1736" s="38" t="s">
        <v>288</v>
      </c>
      <c r="E1736" s="38" t="s">
        <v>398</v>
      </c>
      <c r="F1736" s="37" t="s">
        <v>1655</v>
      </c>
      <c r="G1736" s="38" t="s">
        <v>400</v>
      </c>
      <c r="H1736" s="37"/>
      <c r="I1736" s="37"/>
      <c r="J1736" s="37" t="s">
        <v>432</v>
      </c>
      <c r="K1736" s="40"/>
      <c r="L1736" s="38"/>
      <c r="M1736" s="38"/>
      <c r="N1736" s="37"/>
      <c r="O1736" s="37"/>
      <c r="P1736" s="37"/>
      <c r="Q1736" s="37"/>
      <c r="R1736" s="39"/>
      <c r="S1736" s="37"/>
      <c r="T1736" s="38" t="s">
        <v>293</v>
      </c>
    </row>
    <row r="1737" ht="34.5">
      <c r="A1737" s="38" t="s">
        <v>1215</v>
      </c>
      <c r="B1737" s="38" t="s">
        <v>1216</v>
      </c>
      <c r="C1737" s="38" t="s">
        <v>455</v>
      </c>
      <c r="D1737" s="38" t="s">
        <v>430</v>
      </c>
      <c r="E1737" s="38" t="s">
        <v>398</v>
      </c>
      <c r="F1737" s="37" t="s">
        <v>1655</v>
      </c>
      <c r="G1737" s="38" t="s">
        <v>400</v>
      </c>
      <c r="H1737" s="37"/>
      <c r="I1737" s="37"/>
      <c r="J1737" s="37" t="s">
        <v>431</v>
      </c>
      <c r="K1737" s="40"/>
      <c r="L1737" s="38"/>
      <c r="M1737" s="38"/>
      <c r="N1737" s="37"/>
      <c r="O1737" s="37"/>
      <c r="P1737" s="37"/>
      <c r="Q1737" s="37"/>
      <c r="R1737" s="39"/>
      <c r="S1737" s="37"/>
      <c r="T1737" s="38" t="s">
        <v>293</v>
      </c>
    </row>
    <row r="1738" ht="34.5">
      <c r="A1738" s="38" t="s">
        <v>1215</v>
      </c>
      <c r="B1738" s="38" t="s">
        <v>1216</v>
      </c>
      <c r="C1738" s="38" t="s">
        <v>455</v>
      </c>
      <c r="D1738" s="38" t="s">
        <v>288</v>
      </c>
      <c r="E1738" s="38" t="s">
        <v>398</v>
      </c>
      <c r="F1738" s="37" t="s">
        <v>1655</v>
      </c>
      <c r="G1738" s="38" t="s">
        <v>400</v>
      </c>
      <c r="H1738" s="37"/>
      <c r="I1738" s="37"/>
      <c r="J1738" s="37" t="s">
        <v>1658</v>
      </c>
      <c r="K1738" s="40"/>
      <c r="L1738" s="38"/>
      <c r="M1738" s="38"/>
      <c r="N1738" s="37"/>
      <c r="O1738" s="37"/>
      <c r="P1738" s="37"/>
      <c r="Q1738" s="37"/>
      <c r="R1738" s="39"/>
      <c r="S1738" s="37"/>
      <c r="T1738" s="38" t="s">
        <v>293</v>
      </c>
    </row>
    <row r="1739" ht="34.5">
      <c r="A1739" s="38" t="s">
        <v>1215</v>
      </c>
      <c r="B1739" s="38" t="s">
        <v>1216</v>
      </c>
      <c r="C1739" s="38" t="s">
        <v>455</v>
      </c>
      <c r="D1739" s="38" t="s">
        <v>288</v>
      </c>
      <c r="E1739" s="38" t="s">
        <v>398</v>
      </c>
      <c r="F1739" s="37" t="s">
        <v>1655</v>
      </c>
      <c r="G1739" s="38" t="s">
        <v>400</v>
      </c>
      <c r="H1739" s="37"/>
      <c r="I1739" s="37"/>
      <c r="J1739" s="37" t="s">
        <v>436</v>
      </c>
      <c r="K1739" s="40"/>
      <c r="L1739" s="38"/>
      <c r="M1739" s="38"/>
      <c r="N1739" s="37"/>
      <c r="O1739" s="37"/>
      <c r="P1739" s="37"/>
      <c r="Q1739" s="37"/>
      <c r="R1739" s="39"/>
      <c r="S1739" s="37"/>
      <c r="T1739" s="38" t="s">
        <v>293</v>
      </c>
    </row>
    <row r="1740" ht="34.5">
      <c r="A1740" s="38" t="s">
        <v>1215</v>
      </c>
      <c r="B1740" s="38" t="s">
        <v>1216</v>
      </c>
      <c r="C1740" s="38" t="s">
        <v>455</v>
      </c>
      <c r="D1740" s="38" t="s">
        <v>288</v>
      </c>
      <c r="E1740" s="38" t="s">
        <v>398</v>
      </c>
      <c r="F1740" s="37" t="s">
        <v>1655</v>
      </c>
      <c r="G1740" s="38" t="s">
        <v>400</v>
      </c>
      <c r="H1740" s="37"/>
      <c r="I1740" s="37"/>
      <c r="J1740" s="37" t="s">
        <v>437</v>
      </c>
      <c r="K1740" s="40"/>
      <c r="L1740" s="38"/>
      <c r="M1740" s="38"/>
      <c r="N1740" s="37"/>
      <c r="O1740" s="37"/>
      <c r="P1740" s="37"/>
      <c r="Q1740" s="37"/>
      <c r="R1740" s="39"/>
      <c r="S1740" s="37"/>
      <c r="T1740" s="38" t="s">
        <v>293</v>
      </c>
    </row>
    <row r="1741" ht="34.5">
      <c r="A1741" s="38" t="s">
        <v>1215</v>
      </c>
      <c r="B1741" s="38" t="s">
        <v>1216</v>
      </c>
      <c r="C1741" s="38" t="s">
        <v>461</v>
      </c>
      <c r="D1741" s="38" t="s">
        <v>288</v>
      </c>
      <c r="E1741" s="38" t="s">
        <v>398</v>
      </c>
      <c r="F1741" s="37" t="s">
        <v>1655</v>
      </c>
      <c r="G1741" s="38" t="s">
        <v>400</v>
      </c>
      <c r="H1741" s="37"/>
      <c r="I1741" s="37"/>
      <c r="J1741" s="37" t="s">
        <v>439</v>
      </c>
      <c r="K1741" s="40"/>
      <c r="L1741" s="38"/>
      <c r="M1741" s="38"/>
      <c r="N1741" s="37"/>
      <c r="O1741" s="37"/>
      <c r="P1741" s="37"/>
      <c r="Q1741" s="37"/>
      <c r="R1741" s="39"/>
      <c r="S1741" s="37"/>
      <c r="T1741" s="38" t="s">
        <v>293</v>
      </c>
    </row>
    <row r="1742" ht="34.5">
      <c r="A1742" s="38" t="s">
        <v>1215</v>
      </c>
      <c r="B1742" s="38" t="s">
        <v>1216</v>
      </c>
      <c r="C1742" s="38" t="s">
        <v>461</v>
      </c>
      <c r="D1742" s="38" t="s">
        <v>288</v>
      </c>
      <c r="E1742" s="38" t="s">
        <v>398</v>
      </c>
      <c r="F1742" s="37" t="s">
        <v>1655</v>
      </c>
      <c r="G1742" s="38" t="s">
        <v>400</v>
      </c>
      <c r="H1742" s="37"/>
      <c r="I1742" s="37"/>
      <c r="J1742" s="37" t="s">
        <v>1659</v>
      </c>
      <c r="K1742" s="40"/>
      <c r="L1742" s="38"/>
      <c r="M1742" s="38"/>
      <c r="N1742" s="37"/>
      <c r="O1742" s="37"/>
      <c r="P1742" s="37"/>
      <c r="Q1742" s="37"/>
      <c r="R1742" s="39"/>
      <c r="S1742" s="37"/>
      <c r="T1742" s="38" t="s">
        <v>293</v>
      </c>
    </row>
    <row r="1743" ht="34.5">
      <c r="A1743" s="38" t="s">
        <v>1215</v>
      </c>
      <c r="B1743" s="38" t="s">
        <v>1216</v>
      </c>
      <c r="C1743" s="38" t="s">
        <v>461</v>
      </c>
      <c r="D1743" s="38" t="s">
        <v>288</v>
      </c>
      <c r="E1743" s="38" t="s">
        <v>398</v>
      </c>
      <c r="F1743" s="37" t="s">
        <v>1655</v>
      </c>
      <c r="G1743" s="38" t="s">
        <v>400</v>
      </c>
      <c r="H1743" s="37"/>
      <c r="I1743" s="37"/>
      <c r="J1743" s="37" t="s">
        <v>1660</v>
      </c>
      <c r="K1743" s="40"/>
      <c r="L1743" s="38"/>
      <c r="M1743" s="38"/>
      <c r="N1743" s="37"/>
      <c r="O1743" s="37"/>
      <c r="P1743" s="37"/>
      <c r="Q1743" s="37"/>
      <c r="R1743" s="39"/>
      <c r="S1743" s="37"/>
      <c r="T1743" s="38" t="s">
        <v>293</v>
      </c>
    </row>
    <row r="1744" ht="34.5">
      <c r="A1744" s="38" t="s">
        <v>1215</v>
      </c>
      <c r="B1744" s="38" t="s">
        <v>1216</v>
      </c>
      <c r="C1744" s="38" t="s">
        <v>461</v>
      </c>
      <c r="D1744" s="38" t="s">
        <v>288</v>
      </c>
      <c r="E1744" s="38" t="s">
        <v>398</v>
      </c>
      <c r="F1744" s="37" t="s">
        <v>1655</v>
      </c>
      <c r="G1744" s="38" t="s">
        <v>400</v>
      </c>
      <c r="H1744" s="37"/>
      <c r="I1744" s="37"/>
      <c r="J1744" s="37" t="s">
        <v>442</v>
      </c>
      <c r="K1744" s="40"/>
      <c r="L1744" s="38"/>
      <c r="M1744" s="38"/>
      <c r="N1744" s="37"/>
      <c r="O1744" s="37"/>
      <c r="P1744" s="37"/>
      <c r="Q1744" s="37"/>
      <c r="R1744" s="39"/>
      <c r="S1744" s="37"/>
      <c r="T1744" s="38" t="s">
        <v>293</v>
      </c>
    </row>
    <row r="1745" ht="34.5">
      <c r="A1745" s="38" t="s">
        <v>1215</v>
      </c>
      <c r="B1745" s="38" t="s">
        <v>1216</v>
      </c>
      <c r="C1745" s="38" t="s">
        <v>461</v>
      </c>
      <c r="D1745" s="38" t="s">
        <v>288</v>
      </c>
      <c r="E1745" s="38" t="s">
        <v>398</v>
      </c>
      <c r="F1745" s="37" t="s">
        <v>1655</v>
      </c>
      <c r="G1745" s="38" t="s">
        <v>400</v>
      </c>
      <c r="H1745" s="37"/>
      <c r="I1745" s="37"/>
      <c r="J1745" s="37" t="s">
        <v>443</v>
      </c>
      <c r="K1745" s="40"/>
      <c r="L1745" s="38"/>
      <c r="M1745" s="38"/>
      <c r="N1745" s="37"/>
      <c r="O1745" s="37"/>
      <c r="P1745" s="37"/>
      <c r="Q1745" s="37"/>
      <c r="R1745" s="39"/>
      <c r="S1745" s="37"/>
      <c r="T1745" s="38" t="s">
        <v>293</v>
      </c>
    </row>
    <row r="1746" ht="34.5">
      <c r="A1746" s="38" t="s">
        <v>1215</v>
      </c>
      <c r="B1746" s="38" t="s">
        <v>1216</v>
      </c>
      <c r="C1746" s="38" t="s">
        <v>461</v>
      </c>
      <c r="D1746" s="38" t="s">
        <v>288</v>
      </c>
      <c r="E1746" s="38" t="s">
        <v>398</v>
      </c>
      <c r="F1746" s="37" t="s">
        <v>1655</v>
      </c>
      <c r="G1746" s="38" t="s">
        <v>400</v>
      </c>
      <c r="H1746" s="37"/>
      <c r="I1746" s="37"/>
      <c r="J1746" s="37" t="s">
        <v>444</v>
      </c>
      <c r="K1746" s="40"/>
      <c r="L1746" s="38"/>
      <c r="M1746" s="38"/>
      <c r="N1746" s="37"/>
      <c r="O1746" s="37"/>
      <c r="P1746" s="37"/>
      <c r="Q1746" s="37"/>
      <c r="R1746" s="39"/>
      <c r="S1746" s="37"/>
      <c r="T1746" s="38" t="s">
        <v>293</v>
      </c>
    </row>
    <row r="1747" ht="34.5">
      <c r="A1747" s="38" t="s">
        <v>1215</v>
      </c>
      <c r="B1747" s="38" t="s">
        <v>1216</v>
      </c>
      <c r="C1747" s="38" t="s">
        <v>461</v>
      </c>
      <c r="D1747" s="38" t="s">
        <v>288</v>
      </c>
      <c r="E1747" s="38" t="s">
        <v>398</v>
      </c>
      <c r="F1747" s="37" t="s">
        <v>1655</v>
      </c>
      <c r="G1747" s="38" t="s">
        <v>400</v>
      </c>
      <c r="H1747" s="37"/>
      <c r="I1747" s="37"/>
      <c r="J1747" s="37" t="s">
        <v>445</v>
      </c>
      <c r="K1747" s="40"/>
      <c r="L1747" s="38"/>
      <c r="M1747" s="38"/>
      <c r="N1747" s="37"/>
      <c r="O1747" s="37"/>
      <c r="P1747" s="37"/>
      <c r="Q1747" s="37"/>
      <c r="R1747" s="39"/>
      <c r="S1747" s="37"/>
      <c r="T1747" s="38" t="s">
        <v>293</v>
      </c>
    </row>
    <row r="1748" ht="34.5">
      <c r="A1748" s="38" t="s">
        <v>1215</v>
      </c>
      <c r="B1748" s="38" t="s">
        <v>1216</v>
      </c>
      <c r="C1748" s="38" t="s">
        <v>461</v>
      </c>
      <c r="D1748" s="38" t="s">
        <v>288</v>
      </c>
      <c r="E1748" s="38" t="s">
        <v>398</v>
      </c>
      <c r="F1748" s="37" t="s">
        <v>1655</v>
      </c>
      <c r="G1748" s="38" t="s">
        <v>400</v>
      </c>
      <c r="H1748" s="37"/>
      <c r="I1748" s="37"/>
      <c r="J1748" s="37" t="s">
        <v>446</v>
      </c>
      <c r="K1748" s="40"/>
      <c r="L1748" s="38"/>
      <c r="M1748" s="38"/>
      <c r="N1748" s="37"/>
      <c r="O1748" s="37"/>
      <c r="P1748" s="37"/>
      <c r="Q1748" s="37"/>
      <c r="R1748" s="39"/>
      <c r="S1748" s="37"/>
      <c r="T1748" s="38" t="s">
        <v>293</v>
      </c>
    </row>
    <row r="1749" ht="34.5">
      <c r="A1749" s="38" t="s">
        <v>1215</v>
      </c>
      <c r="B1749" s="38" t="s">
        <v>1216</v>
      </c>
      <c r="C1749" s="38" t="s">
        <v>461</v>
      </c>
      <c r="D1749" s="38" t="s">
        <v>288</v>
      </c>
      <c r="E1749" s="38" t="s">
        <v>398</v>
      </c>
      <c r="F1749" s="37" t="s">
        <v>1655</v>
      </c>
      <c r="G1749" s="38" t="s">
        <v>400</v>
      </c>
      <c r="H1749" s="37"/>
      <c r="I1749" s="37"/>
      <c r="J1749" s="37" t="s">
        <v>447</v>
      </c>
      <c r="K1749" s="40"/>
      <c r="L1749" s="38"/>
      <c r="M1749" s="38"/>
      <c r="N1749" s="37"/>
      <c r="O1749" s="37"/>
      <c r="P1749" s="37"/>
      <c r="Q1749" s="37"/>
      <c r="R1749" s="39"/>
      <c r="S1749" s="37"/>
      <c r="T1749" s="38" t="s">
        <v>293</v>
      </c>
    </row>
    <row r="1750" ht="34.5">
      <c r="A1750" s="38" t="s">
        <v>1215</v>
      </c>
      <c r="B1750" s="38" t="s">
        <v>1216</v>
      </c>
      <c r="C1750" s="38" t="s">
        <v>471</v>
      </c>
      <c r="D1750" s="38" t="s">
        <v>288</v>
      </c>
      <c r="E1750" s="38" t="s">
        <v>449</v>
      </c>
      <c r="F1750" s="37" t="s">
        <v>450</v>
      </c>
      <c r="G1750" s="38" t="s">
        <v>451</v>
      </c>
      <c r="H1750" s="37"/>
      <c r="I1750" s="37"/>
      <c r="J1750" s="37" t="s">
        <v>452</v>
      </c>
      <c r="K1750" s="40"/>
      <c r="L1750" s="38"/>
      <c r="M1750" s="38"/>
      <c r="N1750" s="37"/>
      <c r="O1750" s="37"/>
      <c r="P1750" s="37"/>
      <c r="Q1750" s="37"/>
      <c r="R1750" s="39"/>
      <c r="S1750" s="37"/>
      <c r="T1750" s="38" t="s">
        <v>293</v>
      </c>
    </row>
    <row r="1751" ht="34.5">
      <c r="A1751" s="38" t="s">
        <v>1215</v>
      </c>
      <c r="B1751" s="38" t="s">
        <v>1216</v>
      </c>
      <c r="C1751" s="38" t="s">
        <v>471</v>
      </c>
      <c r="D1751" s="38" t="s">
        <v>433</v>
      </c>
      <c r="E1751" s="38" t="s">
        <v>449</v>
      </c>
      <c r="F1751" s="37" t="s">
        <v>450</v>
      </c>
      <c r="G1751" s="38" t="s">
        <v>451</v>
      </c>
      <c r="H1751" s="37"/>
      <c r="I1751" s="37"/>
      <c r="J1751" s="37" t="s">
        <v>434</v>
      </c>
      <c r="K1751" s="40"/>
      <c r="L1751" s="38"/>
      <c r="M1751" s="38"/>
      <c r="N1751" s="37"/>
      <c r="O1751" s="37"/>
      <c r="P1751" s="37"/>
      <c r="Q1751" s="37"/>
      <c r="R1751" s="39"/>
      <c r="S1751" s="37"/>
      <c r="T1751" s="38" t="s">
        <v>293</v>
      </c>
    </row>
    <row r="1752" ht="34.5">
      <c r="A1752" s="38" t="s">
        <v>1215</v>
      </c>
      <c r="B1752" s="38" t="s">
        <v>1216</v>
      </c>
      <c r="C1752" s="38" t="s">
        <v>483</v>
      </c>
      <c r="D1752" s="38" t="s">
        <v>453</v>
      </c>
      <c r="E1752" s="38" t="s">
        <v>449</v>
      </c>
      <c r="F1752" s="37" t="s">
        <v>450</v>
      </c>
      <c r="G1752" s="38" t="s">
        <v>451</v>
      </c>
      <c r="H1752" s="37"/>
      <c r="I1752" s="37"/>
      <c r="J1752" s="37" t="s">
        <v>454</v>
      </c>
      <c r="K1752" s="40"/>
      <c r="L1752" s="38"/>
      <c r="M1752" s="38"/>
      <c r="N1752" s="37"/>
      <c r="O1752" s="37"/>
      <c r="P1752" s="37"/>
      <c r="Q1752" s="37"/>
      <c r="R1752" s="39"/>
      <c r="S1752" s="37"/>
      <c r="T1752" s="38" t="s">
        <v>293</v>
      </c>
    </row>
    <row r="1753" ht="34.5">
      <c r="A1753" s="38" t="s">
        <v>1215</v>
      </c>
      <c r="B1753" s="38" t="s">
        <v>1216</v>
      </c>
      <c r="C1753" s="38" t="s">
        <v>483</v>
      </c>
      <c r="D1753" s="38" t="s">
        <v>288</v>
      </c>
      <c r="E1753" s="38" t="s">
        <v>449</v>
      </c>
      <c r="F1753" s="37" t="s">
        <v>450</v>
      </c>
      <c r="G1753" s="38" t="s">
        <v>451</v>
      </c>
      <c r="H1753" s="37"/>
      <c r="I1753" s="37"/>
      <c r="J1753" s="37" t="s">
        <v>458</v>
      </c>
      <c r="K1753" s="40"/>
      <c r="L1753" s="38"/>
      <c r="M1753" s="38"/>
      <c r="N1753" s="37"/>
      <c r="O1753" s="37"/>
      <c r="P1753" s="37"/>
      <c r="Q1753" s="37"/>
      <c r="R1753" s="39"/>
      <c r="S1753" s="37"/>
      <c r="T1753" s="38" t="s">
        <v>293</v>
      </c>
    </row>
    <row r="1754" ht="34.5">
      <c r="A1754" s="38" t="s">
        <v>1215</v>
      </c>
      <c r="B1754" s="38" t="s">
        <v>1216</v>
      </c>
      <c r="C1754" s="38" t="s">
        <v>483</v>
      </c>
      <c r="D1754" s="38" t="s">
        <v>456</v>
      </c>
      <c r="E1754" s="38" t="s">
        <v>449</v>
      </c>
      <c r="F1754" s="37" t="s">
        <v>450</v>
      </c>
      <c r="G1754" s="38" t="s">
        <v>451</v>
      </c>
      <c r="H1754" s="37"/>
      <c r="I1754" s="37"/>
      <c r="J1754" s="37" t="s">
        <v>457</v>
      </c>
      <c r="K1754" s="40"/>
      <c r="L1754" s="38"/>
      <c r="M1754" s="38"/>
      <c r="N1754" s="37"/>
      <c r="O1754" s="37"/>
      <c r="P1754" s="37"/>
      <c r="Q1754" s="37"/>
      <c r="R1754" s="39"/>
      <c r="S1754" s="37"/>
      <c r="T1754" s="38" t="s">
        <v>293</v>
      </c>
    </row>
    <row r="1755" ht="34.5">
      <c r="A1755" s="38" t="s">
        <v>1215</v>
      </c>
      <c r="B1755" s="38" t="s">
        <v>1216</v>
      </c>
      <c r="C1755" s="38" t="s">
        <v>497</v>
      </c>
      <c r="D1755" s="38" t="s">
        <v>288</v>
      </c>
      <c r="E1755" s="38" t="s">
        <v>449</v>
      </c>
      <c r="F1755" s="37" t="s">
        <v>450</v>
      </c>
      <c r="G1755" s="38" t="s">
        <v>451</v>
      </c>
      <c r="H1755" s="37"/>
      <c r="I1755" s="37"/>
      <c r="J1755" s="37" t="s">
        <v>462</v>
      </c>
      <c r="K1755" s="40">
        <v>200000000</v>
      </c>
      <c r="L1755" s="38" t="s">
        <v>297</v>
      </c>
      <c r="M1755" s="38"/>
      <c r="N1755" s="37"/>
      <c r="O1755" s="37"/>
      <c r="P1755" s="37"/>
      <c r="Q1755" s="37"/>
      <c r="R1755" s="39"/>
      <c r="S1755" s="37"/>
      <c r="T1755" s="38" t="s">
        <v>293</v>
      </c>
    </row>
    <row r="1756" ht="34.5">
      <c r="A1756" s="38" t="s">
        <v>1215</v>
      </c>
      <c r="B1756" s="38" t="s">
        <v>1216</v>
      </c>
      <c r="C1756" s="38" t="s">
        <v>497</v>
      </c>
      <c r="D1756" s="38" t="s">
        <v>288</v>
      </c>
      <c r="E1756" s="38" t="s">
        <v>449</v>
      </c>
      <c r="F1756" s="37" t="s">
        <v>450</v>
      </c>
      <c r="G1756" s="38" t="s">
        <v>451</v>
      </c>
      <c r="H1756" s="37"/>
      <c r="I1756" s="37"/>
      <c r="J1756" s="37" t="s">
        <v>944</v>
      </c>
      <c r="K1756" s="40">
        <v>10000000</v>
      </c>
      <c r="L1756" s="38" t="s">
        <v>297</v>
      </c>
      <c r="M1756" s="38"/>
      <c r="N1756" s="37"/>
      <c r="O1756" s="37"/>
      <c r="P1756" s="37"/>
      <c r="Q1756" s="37"/>
      <c r="R1756" s="39"/>
      <c r="S1756" s="37"/>
      <c r="T1756" s="38" t="s">
        <v>293</v>
      </c>
    </row>
    <row r="1757" ht="34.5">
      <c r="A1757" s="38" t="s">
        <v>1215</v>
      </c>
      <c r="B1757" s="38" t="s">
        <v>1216</v>
      </c>
      <c r="C1757" s="38" t="s">
        <v>497</v>
      </c>
      <c r="D1757" s="38" t="s">
        <v>288</v>
      </c>
      <c r="E1757" s="38" t="s">
        <v>449</v>
      </c>
      <c r="F1757" s="37" t="s">
        <v>450</v>
      </c>
      <c r="G1757" s="38" t="s">
        <v>451</v>
      </c>
      <c r="H1757" s="37"/>
      <c r="I1757" s="37"/>
      <c r="J1757" s="37" t="s">
        <v>1661</v>
      </c>
      <c r="K1757" s="40">
        <v>50000000</v>
      </c>
      <c r="L1757" s="38" t="s">
        <v>297</v>
      </c>
      <c r="M1757" s="38"/>
      <c r="N1757" s="37"/>
      <c r="O1757" s="37"/>
      <c r="P1757" s="37"/>
      <c r="Q1757" s="37"/>
      <c r="R1757" s="39"/>
      <c r="S1757" s="37"/>
      <c r="T1757" s="38" t="s">
        <v>293</v>
      </c>
    </row>
    <row r="1758" ht="34.5">
      <c r="A1758" s="38" t="s">
        <v>1215</v>
      </c>
      <c r="B1758" s="38" t="s">
        <v>1216</v>
      </c>
      <c r="C1758" s="38" t="s">
        <v>497</v>
      </c>
      <c r="D1758" s="38" t="s">
        <v>288</v>
      </c>
      <c r="E1758" s="38" t="s">
        <v>449</v>
      </c>
      <c r="F1758" s="37" t="s">
        <v>450</v>
      </c>
      <c r="G1758" s="38" t="s">
        <v>451</v>
      </c>
      <c r="H1758" s="37"/>
      <c r="I1758" s="37"/>
      <c r="J1758" s="37" t="s">
        <v>1090</v>
      </c>
      <c r="K1758" s="40">
        <v>100000000</v>
      </c>
      <c r="L1758" s="38" t="s">
        <v>297</v>
      </c>
      <c r="M1758" s="38"/>
      <c r="N1758" s="37"/>
      <c r="O1758" s="37"/>
      <c r="P1758" s="37"/>
      <c r="Q1758" s="37"/>
      <c r="R1758" s="39"/>
      <c r="S1758" s="37"/>
      <c r="T1758" s="38" t="s">
        <v>293</v>
      </c>
    </row>
    <row r="1759" ht="34.5">
      <c r="A1759" s="38" t="s">
        <v>1215</v>
      </c>
      <c r="B1759" s="38" t="s">
        <v>1216</v>
      </c>
      <c r="C1759" s="38" t="s">
        <v>497</v>
      </c>
      <c r="D1759" s="38" t="s">
        <v>288</v>
      </c>
      <c r="E1759" s="38" t="s">
        <v>449</v>
      </c>
      <c r="F1759" s="37" t="s">
        <v>450</v>
      </c>
      <c r="G1759" s="38" t="s">
        <v>451</v>
      </c>
      <c r="H1759" s="37"/>
      <c r="I1759" s="37"/>
      <c r="J1759" s="37" t="s">
        <v>468</v>
      </c>
      <c r="K1759" s="40"/>
      <c r="L1759" s="38"/>
      <c r="M1759" s="38"/>
      <c r="N1759" s="37"/>
      <c r="O1759" s="37"/>
      <c r="P1759" s="37"/>
      <c r="Q1759" s="37"/>
      <c r="R1759" s="39"/>
      <c r="S1759" s="37"/>
      <c r="T1759" s="38" t="s">
        <v>293</v>
      </c>
    </row>
    <row r="1760" ht="34.5">
      <c r="A1760" s="38" t="s">
        <v>1215</v>
      </c>
      <c r="B1760" s="38" t="s">
        <v>1216</v>
      </c>
      <c r="C1760" s="38" t="s">
        <v>497</v>
      </c>
      <c r="D1760" s="38" t="s">
        <v>288</v>
      </c>
      <c r="E1760" s="38" t="s">
        <v>449</v>
      </c>
      <c r="F1760" s="37" t="s">
        <v>450</v>
      </c>
      <c r="G1760" s="38" t="s">
        <v>451</v>
      </c>
      <c r="H1760" s="37"/>
      <c r="I1760" s="37"/>
      <c r="J1760" s="37" t="s">
        <v>1662</v>
      </c>
      <c r="K1760" s="40">
        <v>1775009</v>
      </c>
      <c r="L1760" s="38" t="s">
        <v>297</v>
      </c>
      <c r="M1760" s="38"/>
      <c r="N1760" s="37"/>
      <c r="O1760" s="37"/>
      <c r="P1760" s="37"/>
      <c r="Q1760" s="37"/>
      <c r="R1760" s="39"/>
      <c r="S1760" s="37"/>
      <c r="T1760" s="38" t="s">
        <v>293</v>
      </c>
    </row>
    <row r="1761" ht="34.5">
      <c r="A1761" s="38" t="s">
        <v>1215</v>
      </c>
      <c r="B1761" s="38" t="s">
        <v>1216</v>
      </c>
      <c r="C1761" s="38" t="s">
        <v>497</v>
      </c>
      <c r="D1761" s="38" t="s">
        <v>288</v>
      </c>
      <c r="E1761" s="38" t="s">
        <v>449</v>
      </c>
      <c r="F1761" s="37" t="s">
        <v>450</v>
      </c>
      <c r="G1761" s="38" t="s">
        <v>451</v>
      </c>
      <c r="H1761" s="37"/>
      <c r="I1761" s="37"/>
      <c r="J1761" s="37" t="s">
        <v>1663</v>
      </c>
      <c r="K1761" s="40">
        <v>200000000</v>
      </c>
      <c r="L1761" s="38" t="s">
        <v>297</v>
      </c>
      <c r="M1761" s="38"/>
      <c r="N1761" s="37"/>
      <c r="O1761" s="37"/>
      <c r="P1761" s="37"/>
      <c r="Q1761" s="37"/>
      <c r="R1761" s="39"/>
      <c r="S1761" s="37"/>
      <c r="T1761" s="38" t="s">
        <v>293</v>
      </c>
    </row>
    <row r="1762" ht="34.5">
      <c r="A1762" s="38" t="s">
        <v>1215</v>
      </c>
      <c r="B1762" s="38" t="s">
        <v>1216</v>
      </c>
      <c r="C1762" s="38" t="s">
        <v>497</v>
      </c>
      <c r="D1762" s="38" t="s">
        <v>288</v>
      </c>
      <c r="E1762" s="38" t="s">
        <v>449</v>
      </c>
      <c r="F1762" s="37" t="s">
        <v>450</v>
      </c>
      <c r="G1762" s="38" t="s">
        <v>451</v>
      </c>
      <c r="H1762" s="37"/>
      <c r="I1762" s="37"/>
      <c r="J1762" s="37" t="s">
        <v>1664</v>
      </c>
      <c r="K1762" s="40"/>
      <c r="L1762" s="38"/>
      <c r="M1762" s="38"/>
      <c r="N1762" s="37"/>
      <c r="O1762" s="37"/>
      <c r="P1762" s="37"/>
      <c r="Q1762" s="37"/>
      <c r="R1762" s="39"/>
      <c r="S1762" s="37"/>
      <c r="T1762" s="38" t="s">
        <v>293</v>
      </c>
    </row>
    <row r="1763" ht="34.5">
      <c r="A1763" s="38" t="s">
        <v>1215</v>
      </c>
      <c r="B1763" s="38" t="s">
        <v>1216</v>
      </c>
      <c r="C1763" s="38" t="s">
        <v>497</v>
      </c>
      <c r="D1763" s="38" t="s">
        <v>459</v>
      </c>
      <c r="E1763" s="38" t="s">
        <v>449</v>
      </c>
      <c r="F1763" s="37" t="s">
        <v>450</v>
      </c>
      <c r="G1763" s="38" t="s">
        <v>451</v>
      </c>
      <c r="H1763" s="37"/>
      <c r="I1763" s="37"/>
      <c r="J1763" s="37" t="s">
        <v>460</v>
      </c>
      <c r="K1763" s="40"/>
      <c r="L1763" s="38"/>
      <c r="M1763" s="38"/>
      <c r="N1763" s="37"/>
      <c r="O1763" s="37"/>
      <c r="P1763" s="37"/>
      <c r="Q1763" s="37"/>
      <c r="R1763" s="39"/>
      <c r="S1763" s="37"/>
      <c r="T1763" s="38" t="s">
        <v>293</v>
      </c>
    </row>
    <row r="1764" ht="34.5">
      <c r="A1764" s="38" t="s">
        <v>1215</v>
      </c>
      <c r="B1764" s="38" t="s">
        <v>1216</v>
      </c>
      <c r="C1764" s="38" t="s">
        <v>508</v>
      </c>
      <c r="D1764" s="38" t="s">
        <v>288</v>
      </c>
      <c r="E1764" s="38" t="s">
        <v>449</v>
      </c>
      <c r="F1764" s="37" t="s">
        <v>450</v>
      </c>
      <c r="G1764" s="38" t="s">
        <v>451</v>
      </c>
      <c r="H1764" s="37"/>
      <c r="I1764" s="37"/>
      <c r="J1764" s="37" t="s">
        <v>1665</v>
      </c>
      <c r="K1764" s="40"/>
      <c r="L1764" s="38"/>
      <c r="M1764" s="38"/>
      <c r="N1764" s="37"/>
      <c r="O1764" s="37"/>
      <c r="P1764" s="37"/>
      <c r="Q1764" s="37"/>
      <c r="R1764" s="39"/>
      <c r="S1764" s="37"/>
      <c r="T1764" s="38" t="s">
        <v>293</v>
      </c>
    </row>
    <row r="1765" ht="34.5">
      <c r="A1765" s="38" t="s">
        <v>1215</v>
      </c>
      <c r="B1765" s="38" t="s">
        <v>1216</v>
      </c>
      <c r="C1765" s="38" t="s">
        <v>508</v>
      </c>
      <c r="D1765" s="38" t="s">
        <v>288</v>
      </c>
      <c r="E1765" s="38" t="s">
        <v>477</v>
      </c>
      <c r="F1765" s="37" t="s">
        <v>478</v>
      </c>
      <c r="G1765" s="38" t="s">
        <v>451</v>
      </c>
      <c r="H1765" s="37"/>
      <c r="I1765" s="37"/>
      <c r="J1765" s="37" t="s">
        <v>1666</v>
      </c>
      <c r="K1765" s="40"/>
      <c r="L1765" s="38"/>
      <c r="M1765" s="38"/>
      <c r="N1765" s="37"/>
      <c r="O1765" s="37"/>
      <c r="P1765" s="37"/>
      <c r="Q1765" s="37"/>
      <c r="R1765" s="39"/>
      <c r="S1765" s="37"/>
      <c r="T1765" s="38" t="s">
        <v>293</v>
      </c>
    </row>
    <row r="1766" ht="34.5">
      <c r="A1766" s="38" t="s">
        <v>1215</v>
      </c>
      <c r="B1766" s="38" t="s">
        <v>1216</v>
      </c>
      <c r="C1766" s="38" t="s">
        <v>508</v>
      </c>
      <c r="D1766" s="38" t="s">
        <v>474</v>
      </c>
      <c r="E1766" s="38" t="s">
        <v>477</v>
      </c>
      <c r="F1766" s="37" t="s">
        <v>478</v>
      </c>
      <c r="G1766" s="38" t="s">
        <v>451</v>
      </c>
      <c r="H1766" s="37"/>
      <c r="I1766" s="37"/>
      <c r="J1766" s="37" t="s">
        <v>475</v>
      </c>
      <c r="K1766" s="40"/>
      <c r="L1766" s="38"/>
      <c r="M1766" s="38"/>
      <c r="N1766" s="37"/>
      <c r="O1766" s="37"/>
      <c r="P1766" s="37"/>
      <c r="Q1766" s="37"/>
      <c r="R1766" s="39"/>
      <c r="S1766" s="37"/>
      <c r="T1766" s="38" t="s">
        <v>293</v>
      </c>
    </row>
    <row r="1767" ht="34.5">
      <c r="A1767" s="38" t="s">
        <v>1215</v>
      </c>
      <c r="B1767" s="38" t="s">
        <v>1216</v>
      </c>
      <c r="C1767" s="38" t="s">
        <v>508</v>
      </c>
      <c r="D1767" s="38" t="s">
        <v>288</v>
      </c>
      <c r="E1767" s="38" t="s">
        <v>477</v>
      </c>
      <c r="F1767" s="37" t="s">
        <v>478</v>
      </c>
      <c r="G1767" s="38" t="s">
        <v>451</v>
      </c>
      <c r="H1767" s="37"/>
      <c r="I1767" s="37"/>
      <c r="J1767" s="37" t="s">
        <v>484</v>
      </c>
      <c r="K1767" s="40"/>
      <c r="L1767" s="38"/>
      <c r="M1767" s="38"/>
      <c r="N1767" s="37"/>
      <c r="O1767" s="37"/>
      <c r="P1767" s="37"/>
      <c r="Q1767" s="37"/>
      <c r="R1767" s="39"/>
      <c r="S1767" s="37"/>
      <c r="T1767" s="38" t="s">
        <v>293</v>
      </c>
    </row>
    <row r="1768" ht="34.5">
      <c r="A1768" s="38" t="s">
        <v>1215</v>
      </c>
      <c r="B1768" s="38" t="s">
        <v>1216</v>
      </c>
      <c r="C1768" s="38" t="s">
        <v>508</v>
      </c>
      <c r="D1768" s="38" t="s">
        <v>480</v>
      </c>
      <c r="E1768" s="38" t="s">
        <v>477</v>
      </c>
      <c r="F1768" s="37" t="s">
        <v>478</v>
      </c>
      <c r="G1768" s="38" t="s">
        <v>451</v>
      </c>
      <c r="H1768" s="37"/>
      <c r="I1768" s="37"/>
      <c r="J1768" s="37" t="s">
        <v>481</v>
      </c>
      <c r="K1768" s="40"/>
      <c r="L1768" s="38"/>
      <c r="M1768" s="38"/>
      <c r="N1768" s="37"/>
      <c r="O1768" s="37"/>
      <c r="P1768" s="37"/>
      <c r="Q1768" s="37"/>
      <c r="R1768" s="39"/>
      <c r="S1768" s="37"/>
      <c r="T1768" s="38" t="s">
        <v>293</v>
      </c>
    </row>
    <row r="1769" ht="34.5">
      <c r="A1769" s="38" t="s">
        <v>1215</v>
      </c>
      <c r="B1769" s="38" t="s">
        <v>1216</v>
      </c>
      <c r="C1769" s="38" t="s">
        <v>508</v>
      </c>
      <c r="D1769" s="38" t="s">
        <v>288</v>
      </c>
      <c r="E1769" s="38" t="s">
        <v>487</v>
      </c>
      <c r="F1769" s="37" t="s">
        <v>488</v>
      </c>
      <c r="G1769" s="38" t="s">
        <v>451</v>
      </c>
      <c r="H1769" s="37"/>
      <c r="I1769" s="37"/>
      <c r="J1769" s="37" t="s">
        <v>1096</v>
      </c>
      <c r="K1769" s="40"/>
      <c r="L1769" s="38"/>
      <c r="M1769" s="38"/>
      <c r="N1769" s="37"/>
      <c r="O1769" s="37"/>
      <c r="P1769" s="37"/>
      <c r="Q1769" s="37"/>
      <c r="R1769" s="39"/>
      <c r="S1769" s="37"/>
      <c r="T1769" s="38" t="s">
        <v>293</v>
      </c>
    </row>
    <row r="1770" ht="34.5">
      <c r="A1770" s="38" t="s">
        <v>1215</v>
      </c>
      <c r="B1770" s="38" t="s">
        <v>1216</v>
      </c>
      <c r="C1770" s="38" t="s">
        <v>508</v>
      </c>
      <c r="D1770" s="38" t="s">
        <v>485</v>
      </c>
      <c r="E1770" s="38" t="s">
        <v>487</v>
      </c>
      <c r="F1770" s="37" t="s">
        <v>488</v>
      </c>
      <c r="G1770" s="38" t="s">
        <v>451</v>
      </c>
      <c r="H1770" s="37"/>
      <c r="I1770" s="37"/>
      <c r="J1770" s="37" t="s">
        <v>486</v>
      </c>
      <c r="K1770" s="40"/>
      <c r="L1770" s="38"/>
      <c r="M1770" s="38"/>
      <c r="N1770" s="37"/>
      <c r="O1770" s="37"/>
      <c r="P1770" s="37"/>
      <c r="Q1770" s="37"/>
      <c r="R1770" s="39"/>
      <c r="S1770" s="37"/>
      <c r="T1770" s="38" t="s">
        <v>293</v>
      </c>
    </row>
    <row r="1771" ht="34.5">
      <c r="A1771" s="38" t="s">
        <v>1215</v>
      </c>
      <c r="B1771" s="38" t="s">
        <v>1216</v>
      </c>
      <c r="C1771" s="38" t="s">
        <v>519</v>
      </c>
      <c r="D1771" s="38" t="s">
        <v>288</v>
      </c>
      <c r="E1771" s="38" t="s">
        <v>492</v>
      </c>
      <c r="F1771" s="37" t="s">
        <v>493</v>
      </c>
      <c r="G1771" s="38" t="s">
        <v>70</v>
      </c>
      <c r="H1771" s="37"/>
      <c r="I1771" s="37"/>
      <c r="J1771" s="37" t="s">
        <v>494</v>
      </c>
      <c r="K1771" s="40"/>
      <c r="L1771" s="38"/>
      <c r="M1771" s="38"/>
      <c r="N1771" s="37"/>
      <c r="O1771" s="37"/>
      <c r="P1771" s="37"/>
      <c r="Q1771" s="37"/>
      <c r="R1771" s="39"/>
      <c r="S1771" s="37"/>
      <c r="T1771" s="38" t="s">
        <v>293</v>
      </c>
    </row>
    <row r="1772" ht="34.5">
      <c r="A1772" s="38" t="s">
        <v>1215</v>
      </c>
      <c r="B1772" s="38" t="s">
        <v>1216</v>
      </c>
      <c r="C1772" s="38" t="s">
        <v>519</v>
      </c>
      <c r="D1772" s="38" t="s">
        <v>490</v>
      </c>
      <c r="E1772" s="38" t="s">
        <v>492</v>
      </c>
      <c r="F1772" s="37" t="s">
        <v>493</v>
      </c>
      <c r="G1772" s="38" t="s">
        <v>70</v>
      </c>
      <c r="H1772" s="37"/>
      <c r="I1772" s="37"/>
      <c r="J1772" s="37" t="s">
        <v>491</v>
      </c>
      <c r="K1772" s="40"/>
      <c r="L1772" s="38"/>
      <c r="M1772" s="38"/>
      <c r="N1772" s="37"/>
      <c r="O1772" s="37"/>
      <c r="P1772" s="37"/>
      <c r="Q1772" s="37"/>
      <c r="R1772" s="39"/>
      <c r="S1772" s="37"/>
      <c r="T1772" s="38" t="s">
        <v>293</v>
      </c>
    </row>
    <row r="1773" ht="34.5">
      <c r="A1773" s="38" t="s">
        <v>1215</v>
      </c>
      <c r="B1773" s="38" t="s">
        <v>1216</v>
      </c>
      <c r="C1773" s="38" t="s">
        <v>519</v>
      </c>
      <c r="D1773" s="38" t="s">
        <v>288</v>
      </c>
      <c r="E1773" s="38" t="s">
        <v>498</v>
      </c>
      <c r="F1773" s="37" t="s">
        <v>499</v>
      </c>
      <c r="G1773" s="38" t="s">
        <v>500</v>
      </c>
      <c r="H1773" s="37"/>
      <c r="I1773" s="37"/>
      <c r="J1773" s="37" t="s">
        <v>1667</v>
      </c>
      <c r="K1773" s="40">
        <v>10349516</v>
      </c>
      <c r="L1773" s="38" t="s">
        <v>297</v>
      </c>
      <c r="M1773" s="38"/>
      <c r="N1773" s="37"/>
      <c r="O1773" s="37"/>
      <c r="P1773" s="37"/>
      <c r="Q1773" s="37"/>
      <c r="R1773" s="39"/>
      <c r="S1773" s="37"/>
      <c r="T1773" s="38" t="s">
        <v>293</v>
      </c>
    </row>
    <row r="1774" ht="34.5">
      <c r="A1774" s="38" t="s">
        <v>1215</v>
      </c>
      <c r="B1774" s="38" t="s">
        <v>1216</v>
      </c>
      <c r="C1774" s="38" t="s">
        <v>519</v>
      </c>
      <c r="D1774" s="38" t="s">
        <v>495</v>
      </c>
      <c r="E1774" s="38" t="s">
        <v>498</v>
      </c>
      <c r="F1774" s="37" t="s">
        <v>499</v>
      </c>
      <c r="G1774" s="38" t="s">
        <v>500</v>
      </c>
      <c r="H1774" s="37"/>
      <c r="I1774" s="37"/>
      <c r="J1774" s="37" t="s">
        <v>496</v>
      </c>
      <c r="K1774" s="40"/>
      <c r="L1774" s="38"/>
      <c r="M1774" s="38"/>
      <c r="N1774" s="37"/>
      <c r="O1774" s="37"/>
      <c r="P1774" s="37"/>
      <c r="Q1774" s="37"/>
      <c r="R1774" s="39"/>
      <c r="S1774" s="37"/>
      <c r="T1774" s="38" t="s">
        <v>293</v>
      </c>
    </row>
    <row r="1775" ht="34.5">
      <c r="A1775" s="38" t="s">
        <v>1215</v>
      </c>
      <c r="B1775" s="38" t="s">
        <v>1216</v>
      </c>
      <c r="C1775" s="38" t="s">
        <v>519</v>
      </c>
      <c r="D1775" s="38" t="s">
        <v>288</v>
      </c>
      <c r="E1775" s="38" t="s">
        <v>498</v>
      </c>
      <c r="F1775" s="37" t="s">
        <v>499</v>
      </c>
      <c r="G1775" s="38" t="s">
        <v>500</v>
      </c>
      <c r="H1775" s="37"/>
      <c r="I1775" s="37"/>
      <c r="J1775" s="37" t="s">
        <v>504</v>
      </c>
      <c r="K1775" s="40"/>
      <c r="L1775" s="38"/>
      <c r="M1775" s="38"/>
      <c r="N1775" s="37"/>
      <c r="O1775" s="37"/>
      <c r="P1775" s="37"/>
      <c r="Q1775" s="37"/>
      <c r="R1775" s="39"/>
      <c r="S1775" s="37"/>
      <c r="T1775" s="38" t="s">
        <v>293</v>
      </c>
    </row>
    <row r="1776" ht="34.5">
      <c r="A1776" s="38" t="s">
        <v>1215</v>
      </c>
      <c r="B1776" s="38" t="s">
        <v>1216</v>
      </c>
      <c r="C1776" s="38" t="s">
        <v>528</v>
      </c>
      <c r="D1776" s="38" t="s">
        <v>288</v>
      </c>
      <c r="E1776" s="38" t="s">
        <v>498</v>
      </c>
      <c r="F1776" s="37" t="s">
        <v>499</v>
      </c>
      <c r="G1776" s="38" t="s">
        <v>500</v>
      </c>
      <c r="H1776" s="37"/>
      <c r="I1776" s="37"/>
      <c r="J1776" s="37" t="s">
        <v>1098</v>
      </c>
      <c r="K1776" s="40"/>
      <c r="L1776" s="38"/>
      <c r="M1776" s="38"/>
      <c r="N1776" s="37"/>
      <c r="O1776" s="37"/>
      <c r="P1776" s="37"/>
      <c r="Q1776" s="37"/>
      <c r="R1776" s="39"/>
      <c r="S1776" s="37"/>
      <c r="T1776" s="38" t="s">
        <v>293</v>
      </c>
    </row>
    <row r="1777" ht="34.5">
      <c r="A1777" s="38" t="s">
        <v>1215</v>
      </c>
      <c r="B1777" s="38" t="s">
        <v>1216</v>
      </c>
      <c r="C1777" s="38" t="s">
        <v>528</v>
      </c>
      <c r="D1777" s="38" t="s">
        <v>288</v>
      </c>
      <c r="E1777" s="38" t="s">
        <v>498</v>
      </c>
      <c r="F1777" s="37" t="s">
        <v>499</v>
      </c>
      <c r="G1777" s="38" t="s">
        <v>500</v>
      </c>
      <c r="H1777" s="37"/>
      <c r="I1777" s="37"/>
      <c r="J1777" s="37" t="s">
        <v>1668</v>
      </c>
      <c r="K1777" s="40">
        <v>210000</v>
      </c>
      <c r="L1777" s="38" t="s">
        <v>297</v>
      </c>
      <c r="M1777" s="38"/>
      <c r="N1777" s="37"/>
      <c r="O1777" s="37"/>
      <c r="P1777" s="37"/>
      <c r="Q1777" s="37"/>
      <c r="R1777" s="39"/>
      <c r="S1777" s="37"/>
      <c r="T1777" s="38" t="s">
        <v>293</v>
      </c>
    </row>
    <row r="1778" ht="34.5">
      <c r="A1778" s="38" t="s">
        <v>1215</v>
      </c>
      <c r="B1778" s="38" t="s">
        <v>1216</v>
      </c>
      <c r="C1778" s="38" t="s">
        <v>528</v>
      </c>
      <c r="D1778" s="38" t="s">
        <v>288</v>
      </c>
      <c r="E1778" s="38" t="s">
        <v>498</v>
      </c>
      <c r="F1778" s="37" t="s">
        <v>499</v>
      </c>
      <c r="G1778" s="38" t="s">
        <v>500</v>
      </c>
      <c r="H1778" s="37"/>
      <c r="I1778" s="37"/>
      <c r="J1778" s="37" t="s">
        <v>1669</v>
      </c>
      <c r="K1778" s="40"/>
      <c r="L1778" s="38"/>
      <c r="M1778" s="38"/>
      <c r="N1778" s="37"/>
      <c r="O1778" s="37"/>
      <c r="P1778" s="37"/>
      <c r="Q1778" s="37"/>
      <c r="R1778" s="39"/>
      <c r="S1778" s="37"/>
      <c r="T1778" s="38" t="s">
        <v>293</v>
      </c>
    </row>
    <row r="1779" ht="34.5">
      <c r="A1779" s="38" t="s">
        <v>1215</v>
      </c>
      <c r="B1779" s="38" t="s">
        <v>1216</v>
      </c>
      <c r="C1779" s="38" t="s">
        <v>528</v>
      </c>
      <c r="D1779" s="38" t="s">
        <v>288</v>
      </c>
      <c r="E1779" s="38" t="s">
        <v>498</v>
      </c>
      <c r="F1779" s="37" t="s">
        <v>499</v>
      </c>
      <c r="G1779" s="38" t="s">
        <v>500</v>
      </c>
      <c r="H1779" s="37"/>
      <c r="I1779" s="37"/>
      <c r="J1779" s="37" t="s">
        <v>1101</v>
      </c>
      <c r="K1779" s="40"/>
      <c r="L1779" s="38"/>
      <c r="M1779" s="38"/>
      <c r="N1779" s="37"/>
      <c r="O1779" s="37"/>
      <c r="P1779" s="37"/>
      <c r="Q1779" s="37"/>
      <c r="R1779" s="39"/>
      <c r="S1779" s="37"/>
      <c r="T1779" s="38" t="s">
        <v>293</v>
      </c>
    </row>
    <row r="1780" ht="34.5">
      <c r="A1780" s="38" t="s">
        <v>1215</v>
      </c>
      <c r="B1780" s="38" t="s">
        <v>1216</v>
      </c>
      <c r="C1780" s="38" t="s">
        <v>528</v>
      </c>
      <c r="D1780" s="38" t="s">
        <v>288</v>
      </c>
      <c r="E1780" s="38" t="s">
        <v>498</v>
      </c>
      <c r="F1780" s="37" t="s">
        <v>499</v>
      </c>
      <c r="G1780" s="38" t="s">
        <v>500</v>
      </c>
      <c r="H1780" s="37"/>
      <c r="I1780" s="37"/>
      <c r="J1780" s="37" t="s">
        <v>510</v>
      </c>
      <c r="K1780" s="40"/>
      <c r="L1780" s="38"/>
      <c r="M1780" s="38"/>
      <c r="N1780" s="37"/>
      <c r="O1780" s="37"/>
      <c r="P1780" s="37"/>
      <c r="Q1780" s="37"/>
      <c r="R1780" s="39"/>
      <c r="S1780" s="37"/>
      <c r="T1780" s="38" t="s">
        <v>293</v>
      </c>
    </row>
    <row r="1781" ht="34.5">
      <c r="A1781" s="38" t="s">
        <v>1215</v>
      </c>
      <c r="B1781" s="38" t="s">
        <v>1216</v>
      </c>
      <c r="C1781" s="38" t="s">
        <v>528</v>
      </c>
      <c r="D1781" s="38" t="s">
        <v>288</v>
      </c>
      <c r="E1781" s="38" t="s">
        <v>498</v>
      </c>
      <c r="F1781" s="37" t="s">
        <v>499</v>
      </c>
      <c r="G1781" s="38" t="s">
        <v>500</v>
      </c>
      <c r="H1781" s="37"/>
      <c r="I1781" s="37"/>
      <c r="J1781" s="37" t="s">
        <v>511</v>
      </c>
      <c r="K1781" s="40"/>
      <c r="L1781" s="38"/>
      <c r="M1781" s="38"/>
      <c r="N1781" s="37"/>
      <c r="O1781" s="37"/>
      <c r="P1781" s="37"/>
      <c r="Q1781" s="37"/>
      <c r="R1781" s="39"/>
      <c r="S1781" s="37"/>
      <c r="T1781" s="38" t="s">
        <v>293</v>
      </c>
    </row>
    <row r="1782" ht="34.5">
      <c r="A1782" s="38" t="s">
        <v>1215</v>
      </c>
      <c r="B1782" s="38" t="s">
        <v>1216</v>
      </c>
      <c r="C1782" s="38" t="s">
        <v>528</v>
      </c>
      <c r="D1782" s="38" t="s">
        <v>502</v>
      </c>
      <c r="E1782" s="38" t="s">
        <v>498</v>
      </c>
      <c r="F1782" s="37" t="s">
        <v>499</v>
      </c>
      <c r="G1782" s="38" t="s">
        <v>500</v>
      </c>
      <c r="H1782" s="37"/>
      <c r="I1782" s="37"/>
      <c r="J1782" s="37" t="s">
        <v>503</v>
      </c>
      <c r="K1782" s="40"/>
      <c r="L1782" s="38"/>
      <c r="M1782" s="38"/>
      <c r="N1782" s="37"/>
      <c r="O1782" s="37"/>
      <c r="P1782" s="37"/>
      <c r="Q1782" s="37"/>
      <c r="R1782" s="39"/>
      <c r="S1782" s="37"/>
      <c r="T1782" s="38" t="s">
        <v>293</v>
      </c>
    </row>
    <row r="1783" ht="34.5">
      <c r="A1783" s="38" t="s">
        <v>1215</v>
      </c>
      <c r="B1783" s="38" t="s">
        <v>1216</v>
      </c>
      <c r="C1783" s="38" t="s">
        <v>540</v>
      </c>
      <c r="D1783" s="38" t="s">
        <v>288</v>
      </c>
      <c r="E1783" s="38" t="s">
        <v>514</v>
      </c>
      <c r="F1783" s="37" t="s">
        <v>515</v>
      </c>
      <c r="G1783" s="38" t="s">
        <v>70</v>
      </c>
      <c r="H1783" s="37"/>
      <c r="I1783" s="37"/>
      <c r="J1783" s="37" t="s">
        <v>516</v>
      </c>
      <c r="K1783" s="40"/>
      <c r="L1783" s="38"/>
      <c r="M1783" s="38"/>
      <c r="N1783" s="37"/>
      <c r="O1783" s="37"/>
      <c r="P1783" s="37"/>
      <c r="Q1783" s="37"/>
      <c r="R1783" s="39"/>
      <c r="S1783" s="37"/>
      <c r="T1783" s="38" t="s">
        <v>293</v>
      </c>
    </row>
    <row r="1784" ht="34.5">
      <c r="A1784" s="38" t="s">
        <v>1215</v>
      </c>
      <c r="B1784" s="38" t="s">
        <v>1216</v>
      </c>
      <c r="C1784" s="38" t="s">
        <v>540</v>
      </c>
      <c r="D1784" s="38" t="s">
        <v>512</v>
      </c>
      <c r="E1784" s="38" t="s">
        <v>514</v>
      </c>
      <c r="F1784" s="37" t="s">
        <v>515</v>
      </c>
      <c r="G1784" s="38" t="s">
        <v>70</v>
      </c>
      <c r="H1784" s="37"/>
      <c r="I1784" s="37"/>
      <c r="J1784" s="37" t="s">
        <v>513</v>
      </c>
      <c r="K1784" s="40"/>
      <c r="L1784" s="38"/>
      <c r="M1784" s="38"/>
      <c r="N1784" s="37"/>
      <c r="O1784" s="37"/>
      <c r="P1784" s="37"/>
      <c r="Q1784" s="37"/>
      <c r="R1784" s="39"/>
      <c r="S1784" s="37"/>
      <c r="T1784" s="38" t="s">
        <v>293</v>
      </c>
    </row>
    <row r="1785" ht="34.5">
      <c r="A1785" s="38" t="s">
        <v>1215</v>
      </c>
      <c r="B1785" s="38" t="s">
        <v>1216</v>
      </c>
      <c r="C1785" s="38" t="s">
        <v>540</v>
      </c>
      <c r="D1785" s="38" t="s">
        <v>288</v>
      </c>
      <c r="E1785" s="38" t="s">
        <v>514</v>
      </c>
      <c r="F1785" s="37" t="s">
        <v>515</v>
      </c>
      <c r="G1785" s="38" t="s">
        <v>70</v>
      </c>
      <c r="H1785" s="37"/>
      <c r="I1785" s="37"/>
      <c r="J1785" s="37" t="s">
        <v>520</v>
      </c>
      <c r="K1785" s="40"/>
      <c r="L1785" s="38"/>
      <c r="M1785" s="38"/>
      <c r="N1785" s="37"/>
      <c r="O1785" s="37"/>
      <c r="P1785" s="37"/>
      <c r="Q1785" s="37"/>
      <c r="R1785" s="39"/>
      <c r="S1785" s="37"/>
      <c r="T1785" s="38" t="s">
        <v>293</v>
      </c>
    </row>
    <row r="1786" ht="34.5">
      <c r="A1786" s="38" t="s">
        <v>1215</v>
      </c>
      <c r="B1786" s="38" t="s">
        <v>1216</v>
      </c>
      <c r="C1786" s="38" t="s">
        <v>540</v>
      </c>
      <c r="D1786" s="38" t="s">
        <v>517</v>
      </c>
      <c r="E1786" s="38" t="s">
        <v>514</v>
      </c>
      <c r="F1786" s="37" t="s">
        <v>515</v>
      </c>
      <c r="G1786" s="38" t="s">
        <v>70</v>
      </c>
      <c r="H1786" s="37"/>
      <c r="I1786" s="37"/>
      <c r="J1786" s="37" t="s">
        <v>518</v>
      </c>
      <c r="K1786" s="40"/>
      <c r="L1786" s="38"/>
      <c r="M1786" s="38"/>
      <c r="N1786" s="37"/>
      <c r="O1786" s="37"/>
      <c r="P1786" s="37"/>
      <c r="Q1786" s="37"/>
      <c r="R1786" s="39"/>
      <c r="S1786" s="37"/>
      <c r="T1786" s="38" t="s">
        <v>293</v>
      </c>
    </row>
    <row r="1787" ht="34.5">
      <c r="A1787" s="38" t="s">
        <v>1215</v>
      </c>
      <c r="B1787" s="38" t="s">
        <v>1216</v>
      </c>
      <c r="C1787" s="38" t="s">
        <v>551</v>
      </c>
      <c r="D1787" s="38" t="s">
        <v>288</v>
      </c>
      <c r="E1787" s="38" t="s">
        <v>523</v>
      </c>
      <c r="F1787" s="37" t="s">
        <v>524</v>
      </c>
      <c r="G1787" s="38" t="s">
        <v>400</v>
      </c>
      <c r="H1787" s="37"/>
      <c r="I1787" s="37"/>
      <c r="J1787" s="37" t="s">
        <v>525</v>
      </c>
      <c r="K1787" s="40"/>
      <c r="L1787" s="38"/>
      <c r="M1787" s="38"/>
      <c r="N1787" s="37"/>
      <c r="O1787" s="37"/>
      <c r="P1787" s="37"/>
      <c r="Q1787" s="37"/>
      <c r="R1787" s="39"/>
      <c r="S1787" s="37"/>
      <c r="T1787" s="38" t="s">
        <v>293</v>
      </c>
    </row>
    <row r="1788" ht="34.5">
      <c r="A1788" s="38" t="s">
        <v>1215</v>
      </c>
      <c r="B1788" s="38" t="s">
        <v>1216</v>
      </c>
      <c r="C1788" s="38" t="s">
        <v>551</v>
      </c>
      <c r="D1788" s="38" t="s">
        <v>521</v>
      </c>
      <c r="E1788" s="38" t="s">
        <v>523</v>
      </c>
      <c r="F1788" s="37" t="s">
        <v>524</v>
      </c>
      <c r="G1788" s="38" t="s">
        <v>400</v>
      </c>
      <c r="H1788" s="37"/>
      <c r="I1788" s="37"/>
      <c r="J1788" s="37" t="s">
        <v>522</v>
      </c>
      <c r="K1788" s="40"/>
      <c r="L1788" s="38"/>
      <c r="M1788" s="38"/>
      <c r="N1788" s="37"/>
      <c r="O1788" s="37"/>
      <c r="P1788" s="37"/>
      <c r="Q1788" s="37"/>
      <c r="R1788" s="39"/>
      <c r="S1788" s="37"/>
      <c r="T1788" s="38" t="s">
        <v>293</v>
      </c>
    </row>
    <row r="1789" ht="34.5">
      <c r="A1789" s="38" t="s">
        <v>1215</v>
      </c>
      <c r="B1789" s="38" t="s">
        <v>1216</v>
      </c>
      <c r="C1789" s="38" t="s">
        <v>551</v>
      </c>
      <c r="D1789" s="38" t="s">
        <v>288</v>
      </c>
      <c r="E1789" s="38" t="s">
        <v>529</v>
      </c>
      <c r="F1789" s="37" t="s">
        <v>530</v>
      </c>
      <c r="G1789" s="38" t="s">
        <v>70</v>
      </c>
      <c r="H1789" s="37"/>
      <c r="I1789" s="37"/>
      <c r="J1789" s="37" t="s">
        <v>531</v>
      </c>
      <c r="K1789" s="40"/>
      <c r="L1789" s="38"/>
      <c r="M1789" s="38"/>
      <c r="N1789" s="37"/>
      <c r="O1789" s="37"/>
      <c r="P1789" s="37"/>
      <c r="Q1789" s="37"/>
      <c r="R1789" s="39"/>
      <c r="S1789" s="37"/>
      <c r="T1789" s="38" t="s">
        <v>293</v>
      </c>
    </row>
    <row r="1790" ht="34.5">
      <c r="A1790" s="38" t="s">
        <v>1215</v>
      </c>
      <c r="B1790" s="38" t="s">
        <v>1216</v>
      </c>
      <c r="C1790" s="38" t="s">
        <v>551</v>
      </c>
      <c r="D1790" s="38" t="s">
        <v>526</v>
      </c>
      <c r="E1790" s="38" t="s">
        <v>529</v>
      </c>
      <c r="F1790" s="37" t="s">
        <v>530</v>
      </c>
      <c r="G1790" s="38" t="s">
        <v>70</v>
      </c>
      <c r="H1790" s="37"/>
      <c r="I1790" s="37"/>
      <c r="J1790" s="37" t="s">
        <v>527</v>
      </c>
      <c r="K1790" s="40"/>
      <c r="L1790" s="38"/>
      <c r="M1790" s="38"/>
      <c r="N1790" s="37"/>
      <c r="O1790" s="37"/>
      <c r="P1790" s="37"/>
      <c r="Q1790" s="37"/>
      <c r="R1790" s="39"/>
      <c r="S1790" s="37"/>
      <c r="T1790" s="38" t="s">
        <v>293</v>
      </c>
    </row>
    <row r="1791" ht="34.5">
      <c r="A1791" s="38" t="s">
        <v>1215</v>
      </c>
      <c r="B1791" s="38" t="s">
        <v>1216</v>
      </c>
      <c r="C1791" s="38" t="s">
        <v>558</v>
      </c>
      <c r="D1791" s="38" t="s">
        <v>288</v>
      </c>
      <c r="E1791" s="38" t="s">
        <v>534</v>
      </c>
      <c r="F1791" s="37" t="s">
        <v>535</v>
      </c>
      <c r="G1791" s="38" t="s">
        <v>536</v>
      </c>
      <c r="H1791" s="37"/>
      <c r="I1791" s="37"/>
      <c r="J1791" s="37" t="s">
        <v>537</v>
      </c>
      <c r="K1791" s="40"/>
      <c r="L1791" s="38"/>
      <c r="M1791" s="38"/>
      <c r="N1791" s="37"/>
      <c r="O1791" s="37"/>
      <c r="P1791" s="37"/>
      <c r="Q1791" s="37"/>
      <c r="R1791" s="39"/>
      <c r="S1791" s="37"/>
      <c r="T1791" s="38" t="s">
        <v>293</v>
      </c>
    </row>
    <row r="1792" ht="34.5">
      <c r="A1792" s="38" t="s">
        <v>1215</v>
      </c>
      <c r="B1792" s="38" t="s">
        <v>1216</v>
      </c>
      <c r="C1792" s="38" t="s">
        <v>558</v>
      </c>
      <c r="D1792" s="38" t="s">
        <v>532</v>
      </c>
      <c r="E1792" s="38" t="s">
        <v>534</v>
      </c>
      <c r="F1792" s="37" t="s">
        <v>535</v>
      </c>
      <c r="G1792" s="38" t="s">
        <v>536</v>
      </c>
      <c r="H1792" s="37"/>
      <c r="I1792" s="37"/>
      <c r="J1792" s="37" t="s">
        <v>533</v>
      </c>
      <c r="K1792" s="40"/>
      <c r="L1792" s="38"/>
      <c r="M1792" s="38"/>
      <c r="N1792" s="37"/>
      <c r="O1792" s="37"/>
      <c r="P1792" s="37"/>
      <c r="Q1792" s="37"/>
      <c r="R1792" s="39"/>
      <c r="S1792" s="37"/>
      <c r="T1792" s="38" t="s">
        <v>293</v>
      </c>
    </row>
    <row r="1793" ht="34.5">
      <c r="A1793" s="38" t="s">
        <v>1215</v>
      </c>
      <c r="B1793" s="38" t="s">
        <v>1216</v>
      </c>
      <c r="C1793" s="38" t="s">
        <v>558</v>
      </c>
      <c r="D1793" s="38" t="s">
        <v>288</v>
      </c>
      <c r="E1793" s="38" t="s">
        <v>541</v>
      </c>
      <c r="F1793" s="37" t="s">
        <v>542</v>
      </c>
      <c r="G1793" s="38" t="s">
        <v>536</v>
      </c>
      <c r="H1793" s="37"/>
      <c r="I1793" s="37"/>
      <c r="J1793" s="37" t="s">
        <v>543</v>
      </c>
      <c r="K1793" s="40"/>
      <c r="L1793" s="38"/>
      <c r="M1793" s="38"/>
      <c r="N1793" s="37"/>
      <c r="O1793" s="37"/>
      <c r="P1793" s="37"/>
      <c r="Q1793" s="37"/>
      <c r="R1793" s="39"/>
      <c r="S1793" s="37"/>
      <c r="T1793" s="38" t="s">
        <v>293</v>
      </c>
    </row>
    <row r="1794" ht="34.5">
      <c r="A1794" s="38" t="s">
        <v>1215</v>
      </c>
      <c r="B1794" s="38" t="s">
        <v>1216</v>
      </c>
      <c r="C1794" s="38" t="s">
        <v>558</v>
      </c>
      <c r="D1794" s="38" t="s">
        <v>538</v>
      </c>
      <c r="E1794" s="38" t="s">
        <v>541</v>
      </c>
      <c r="F1794" s="37" t="s">
        <v>542</v>
      </c>
      <c r="G1794" s="38" t="s">
        <v>536</v>
      </c>
      <c r="H1794" s="37"/>
      <c r="I1794" s="37"/>
      <c r="J1794" s="37" t="s">
        <v>539</v>
      </c>
      <c r="K1794" s="40"/>
      <c r="L1794" s="38"/>
      <c r="M1794" s="38"/>
      <c r="N1794" s="37"/>
      <c r="O1794" s="37"/>
      <c r="P1794" s="37"/>
      <c r="Q1794" s="37"/>
      <c r="R1794" s="39"/>
      <c r="S1794" s="37"/>
      <c r="T1794" s="38" t="s">
        <v>293</v>
      </c>
    </row>
    <row r="1795" ht="34.5">
      <c r="A1795" s="38" t="s">
        <v>1215</v>
      </c>
      <c r="B1795" s="38" t="s">
        <v>1216</v>
      </c>
      <c r="C1795" s="38" t="s">
        <v>558</v>
      </c>
      <c r="D1795" s="38" t="s">
        <v>288</v>
      </c>
      <c r="E1795" s="38" t="s">
        <v>541</v>
      </c>
      <c r="F1795" s="37" t="s">
        <v>542</v>
      </c>
      <c r="G1795" s="38" t="s">
        <v>536</v>
      </c>
      <c r="H1795" s="37"/>
      <c r="I1795" s="37"/>
      <c r="J1795" s="37" t="s">
        <v>1670</v>
      </c>
      <c r="K1795" s="40">
        <v>2411</v>
      </c>
      <c r="L1795" s="38" t="s">
        <v>297</v>
      </c>
      <c r="M1795" s="38"/>
      <c r="N1795" s="37"/>
      <c r="O1795" s="37"/>
      <c r="P1795" s="37"/>
      <c r="Q1795" s="37"/>
      <c r="R1795" s="39"/>
      <c r="S1795" s="37"/>
      <c r="T1795" s="38" t="s">
        <v>293</v>
      </c>
    </row>
    <row r="1796" ht="34.5">
      <c r="A1796" s="38" t="s">
        <v>1215</v>
      </c>
      <c r="B1796" s="38" t="s">
        <v>1216</v>
      </c>
      <c r="C1796" s="38" t="s">
        <v>558</v>
      </c>
      <c r="D1796" s="38" t="s">
        <v>288</v>
      </c>
      <c r="E1796" s="38" t="s">
        <v>541</v>
      </c>
      <c r="F1796" s="37" t="s">
        <v>542</v>
      </c>
      <c r="G1796" s="38" t="s">
        <v>536</v>
      </c>
      <c r="H1796" s="37"/>
      <c r="I1796" s="37"/>
      <c r="J1796" s="37" t="s">
        <v>547</v>
      </c>
      <c r="K1796" s="40"/>
      <c r="L1796" s="38"/>
      <c r="M1796" s="38"/>
      <c r="N1796" s="37"/>
      <c r="O1796" s="37"/>
      <c r="P1796" s="37"/>
      <c r="Q1796" s="37"/>
      <c r="R1796" s="39"/>
      <c r="S1796" s="37"/>
      <c r="T1796" s="38" t="s">
        <v>293</v>
      </c>
    </row>
    <row r="1797" ht="34.5">
      <c r="A1797" s="38" t="s">
        <v>1215</v>
      </c>
      <c r="B1797" s="38" t="s">
        <v>1216</v>
      </c>
      <c r="C1797" s="38" t="s">
        <v>558</v>
      </c>
      <c r="D1797" s="38" t="s">
        <v>288</v>
      </c>
      <c r="E1797" s="38" t="s">
        <v>541</v>
      </c>
      <c r="F1797" s="37" t="s">
        <v>542</v>
      </c>
      <c r="G1797" s="38" t="s">
        <v>536</v>
      </c>
      <c r="H1797" s="37"/>
      <c r="I1797" s="37"/>
      <c r="J1797" s="37" t="s">
        <v>1671</v>
      </c>
      <c r="K1797" s="40">
        <v>200000</v>
      </c>
      <c r="L1797" s="38" t="s">
        <v>297</v>
      </c>
      <c r="M1797" s="38"/>
      <c r="N1797" s="37"/>
      <c r="O1797" s="37"/>
      <c r="P1797" s="37"/>
      <c r="Q1797" s="37"/>
      <c r="R1797" s="39"/>
      <c r="S1797" s="37"/>
      <c r="T1797" s="38" t="s">
        <v>293</v>
      </c>
    </row>
    <row r="1798" ht="34.5">
      <c r="A1798" s="38" t="s">
        <v>1215</v>
      </c>
      <c r="B1798" s="38" t="s">
        <v>1216</v>
      </c>
      <c r="C1798" s="38" t="s">
        <v>561</v>
      </c>
      <c r="D1798" s="38" t="s">
        <v>288</v>
      </c>
      <c r="E1798" s="38" t="s">
        <v>541</v>
      </c>
      <c r="F1798" s="37" t="s">
        <v>542</v>
      </c>
      <c r="G1798" s="38" t="s">
        <v>536</v>
      </c>
      <c r="H1798" s="37"/>
      <c r="I1798" s="37"/>
      <c r="J1798" s="37" t="s">
        <v>549</v>
      </c>
      <c r="K1798" s="40">
        <v>150000</v>
      </c>
      <c r="L1798" s="38" t="s">
        <v>297</v>
      </c>
      <c r="M1798" s="38"/>
      <c r="N1798" s="37"/>
      <c r="O1798" s="37"/>
      <c r="P1798" s="37"/>
      <c r="Q1798" s="37"/>
      <c r="R1798" s="39"/>
      <c r="S1798" s="37"/>
      <c r="T1798" s="38" t="s">
        <v>293</v>
      </c>
    </row>
    <row r="1799" ht="34.5">
      <c r="A1799" s="38" t="s">
        <v>1215</v>
      </c>
      <c r="B1799" s="38" t="s">
        <v>1216</v>
      </c>
      <c r="C1799" s="38" t="s">
        <v>561</v>
      </c>
      <c r="D1799" s="38" t="s">
        <v>288</v>
      </c>
      <c r="E1799" s="38" t="s">
        <v>541</v>
      </c>
      <c r="F1799" s="37" t="s">
        <v>542</v>
      </c>
      <c r="G1799" s="38" t="s">
        <v>536</v>
      </c>
      <c r="H1799" s="37"/>
      <c r="I1799" s="37"/>
      <c r="J1799" s="37" t="s">
        <v>1672</v>
      </c>
      <c r="K1799" s="40">
        <v>109804</v>
      </c>
      <c r="L1799" s="38" t="s">
        <v>297</v>
      </c>
      <c r="M1799" s="38"/>
      <c r="N1799" s="37"/>
      <c r="O1799" s="37"/>
      <c r="P1799" s="37"/>
      <c r="Q1799" s="37"/>
      <c r="R1799" s="39"/>
      <c r="S1799" s="37"/>
      <c r="T1799" s="38" t="s">
        <v>293</v>
      </c>
    </row>
    <row r="1800" ht="34.5">
      <c r="A1800" s="38" t="s">
        <v>1215</v>
      </c>
      <c r="B1800" s="38" t="s">
        <v>1216</v>
      </c>
      <c r="C1800" s="38" t="s">
        <v>561</v>
      </c>
      <c r="D1800" s="38" t="s">
        <v>288</v>
      </c>
      <c r="E1800" s="38" t="s">
        <v>541</v>
      </c>
      <c r="F1800" s="37" t="s">
        <v>542</v>
      </c>
      <c r="G1800" s="38" t="s">
        <v>536</v>
      </c>
      <c r="H1800" s="37"/>
      <c r="I1800" s="37"/>
      <c r="J1800" s="37" t="s">
        <v>1673</v>
      </c>
      <c r="K1800" s="40">
        <v>31816</v>
      </c>
      <c r="L1800" s="38" t="s">
        <v>297</v>
      </c>
      <c r="M1800" s="38"/>
      <c r="N1800" s="37"/>
      <c r="O1800" s="37"/>
      <c r="P1800" s="37"/>
      <c r="Q1800" s="37"/>
      <c r="R1800" s="39"/>
      <c r="S1800" s="37"/>
      <c r="T1800" s="38" t="s">
        <v>293</v>
      </c>
    </row>
    <row r="1801" ht="34.5">
      <c r="A1801" s="38" t="s">
        <v>1215</v>
      </c>
      <c r="B1801" s="38" t="s">
        <v>1216</v>
      </c>
      <c r="C1801" s="38" t="s">
        <v>561</v>
      </c>
      <c r="D1801" s="38" t="s">
        <v>288</v>
      </c>
      <c r="E1801" s="38" t="s">
        <v>541</v>
      </c>
      <c r="F1801" s="37" t="s">
        <v>542</v>
      </c>
      <c r="G1801" s="38" t="s">
        <v>536</v>
      </c>
      <c r="H1801" s="37"/>
      <c r="I1801" s="37"/>
      <c r="J1801" s="37" t="s">
        <v>1674</v>
      </c>
      <c r="K1801" s="40">
        <v>150000</v>
      </c>
      <c r="L1801" s="38" t="s">
        <v>297</v>
      </c>
      <c r="M1801" s="38"/>
      <c r="N1801" s="37"/>
      <c r="O1801" s="37"/>
      <c r="P1801" s="37"/>
      <c r="Q1801" s="37"/>
      <c r="R1801" s="39"/>
      <c r="S1801" s="37"/>
      <c r="T1801" s="38" t="s">
        <v>293</v>
      </c>
    </row>
    <row r="1802" ht="34.5">
      <c r="A1802" s="38" t="s">
        <v>1215</v>
      </c>
      <c r="B1802" s="38" t="s">
        <v>1216</v>
      </c>
      <c r="C1802" s="38" t="s">
        <v>575</v>
      </c>
      <c r="D1802" s="38" t="s">
        <v>288</v>
      </c>
      <c r="E1802" s="38" t="s">
        <v>541</v>
      </c>
      <c r="F1802" s="37" t="s">
        <v>542</v>
      </c>
      <c r="G1802" s="38" t="s">
        <v>536</v>
      </c>
      <c r="H1802" s="37"/>
      <c r="I1802" s="37"/>
      <c r="J1802" s="37" t="s">
        <v>554</v>
      </c>
      <c r="K1802" s="40"/>
      <c r="L1802" s="38"/>
      <c r="M1802" s="38"/>
      <c r="N1802" s="37"/>
      <c r="O1802" s="37"/>
      <c r="P1802" s="37"/>
      <c r="Q1802" s="37"/>
      <c r="R1802" s="39"/>
      <c r="S1802" s="37"/>
      <c r="T1802" s="38" t="s">
        <v>293</v>
      </c>
    </row>
    <row r="1803" ht="34.5">
      <c r="A1803" s="38" t="s">
        <v>1215</v>
      </c>
      <c r="B1803" s="38" t="s">
        <v>1216</v>
      </c>
      <c r="C1803" s="38" t="s">
        <v>575</v>
      </c>
      <c r="D1803" s="38" t="s">
        <v>288</v>
      </c>
      <c r="E1803" s="38" t="s">
        <v>541</v>
      </c>
      <c r="F1803" s="37" t="s">
        <v>542</v>
      </c>
      <c r="G1803" s="38" t="s">
        <v>536</v>
      </c>
      <c r="H1803" s="37"/>
      <c r="I1803" s="37"/>
      <c r="J1803" s="37" t="s">
        <v>1675</v>
      </c>
      <c r="K1803" s="40"/>
      <c r="L1803" s="38"/>
      <c r="M1803" s="38"/>
      <c r="N1803" s="37"/>
      <c r="O1803" s="37"/>
      <c r="P1803" s="37"/>
      <c r="Q1803" s="37"/>
      <c r="R1803" s="39"/>
      <c r="S1803" s="37"/>
      <c r="T1803" s="38" t="s">
        <v>293</v>
      </c>
    </row>
    <row r="1804" ht="34.5">
      <c r="A1804" s="38" t="s">
        <v>1215</v>
      </c>
      <c r="B1804" s="38" t="s">
        <v>1216</v>
      </c>
      <c r="C1804" s="38" t="s">
        <v>575</v>
      </c>
      <c r="D1804" s="38" t="s">
        <v>288</v>
      </c>
      <c r="E1804" s="38" t="s">
        <v>541</v>
      </c>
      <c r="F1804" s="37" t="s">
        <v>542</v>
      </c>
      <c r="G1804" s="38" t="s">
        <v>536</v>
      </c>
      <c r="H1804" s="37"/>
      <c r="I1804" s="37"/>
      <c r="J1804" s="37" t="s">
        <v>556</v>
      </c>
      <c r="K1804" s="40"/>
      <c r="L1804" s="38"/>
      <c r="M1804" s="38"/>
      <c r="N1804" s="37"/>
      <c r="O1804" s="37"/>
      <c r="P1804" s="37"/>
      <c r="Q1804" s="37"/>
      <c r="R1804" s="39"/>
      <c r="S1804" s="37"/>
      <c r="T1804" s="38" t="s">
        <v>293</v>
      </c>
    </row>
    <row r="1805" ht="34.5">
      <c r="A1805" s="38" t="s">
        <v>1215</v>
      </c>
      <c r="B1805" s="38" t="s">
        <v>1216</v>
      </c>
      <c r="C1805" s="38" t="s">
        <v>575</v>
      </c>
      <c r="D1805" s="38" t="s">
        <v>288</v>
      </c>
      <c r="E1805" s="38" t="s">
        <v>541</v>
      </c>
      <c r="F1805" s="37" t="s">
        <v>542</v>
      </c>
      <c r="G1805" s="38" t="s">
        <v>536</v>
      </c>
      <c r="H1805" s="37"/>
      <c r="I1805" s="37"/>
      <c r="J1805" s="37" t="s">
        <v>1676</v>
      </c>
      <c r="K1805" s="40">
        <v>467689</v>
      </c>
      <c r="L1805" s="38" t="s">
        <v>297</v>
      </c>
      <c r="M1805" s="38"/>
      <c r="N1805" s="37"/>
      <c r="O1805" s="37"/>
      <c r="P1805" s="37"/>
      <c r="Q1805" s="37"/>
      <c r="R1805" s="39"/>
      <c r="S1805" s="37"/>
      <c r="T1805" s="38" t="s">
        <v>293</v>
      </c>
    </row>
    <row r="1806" ht="34.5">
      <c r="A1806" s="38" t="s">
        <v>1215</v>
      </c>
      <c r="B1806" s="38" t="s">
        <v>1216</v>
      </c>
      <c r="C1806" s="38" t="s">
        <v>575</v>
      </c>
      <c r="D1806" s="38" t="s">
        <v>544</v>
      </c>
      <c r="E1806" s="38" t="s">
        <v>541</v>
      </c>
      <c r="F1806" s="37" t="s">
        <v>542</v>
      </c>
      <c r="G1806" s="38" t="s">
        <v>536</v>
      </c>
      <c r="H1806" s="37"/>
      <c r="I1806" s="37"/>
      <c r="J1806" s="37" t="s">
        <v>545</v>
      </c>
      <c r="K1806" s="40"/>
      <c r="L1806" s="38"/>
      <c r="M1806" s="38"/>
      <c r="N1806" s="37"/>
      <c r="O1806" s="37"/>
      <c r="P1806" s="37"/>
      <c r="Q1806" s="37"/>
      <c r="R1806" s="39"/>
      <c r="S1806" s="37"/>
      <c r="T1806" s="38" t="s">
        <v>293</v>
      </c>
    </row>
    <row r="1807" ht="34.5">
      <c r="A1807" s="38" t="s">
        <v>1215</v>
      </c>
      <c r="B1807" s="38" t="s">
        <v>1216</v>
      </c>
      <c r="C1807" s="38" t="s">
        <v>582</v>
      </c>
      <c r="D1807" s="38" t="s">
        <v>559</v>
      </c>
      <c r="E1807" s="38" t="s">
        <v>541</v>
      </c>
      <c r="F1807" s="37" t="s">
        <v>542</v>
      </c>
      <c r="G1807" s="38" t="s">
        <v>536</v>
      </c>
      <c r="H1807" s="37"/>
      <c r="I1807" s="37"/>
      <c r="J1807" s="37" t="s">
        <v>1677</v>
      </c>
      <c r="K1807" s="40"/>
      <c r="L1807" s="38"/>
      <c r="M1807" s="38"/>
      <c r="N1807" s="37"/>
      <c r="O1807" s="37"/>
      <c r="P1807" s="37"/>
      <c r="Q1807" s="37"/>
      <c r="R1807" s="39"/>
      <c r="S1807" s="37"/>
      <c r="T1807" s="38" t="s">
        <v>293</v>
      </c>
    </row>
    <row r="1808" ht="34.5">
      <c r="A1808" s="38" t="s">
        <v>1215</v>
      </c>
      <c r="B1808" s="38" t="s">
        <v>1216</v>
      </c>
      <c r="C1808" s="38" t="s">
        <v>597</v>
      </c>
      <c r="D1808" s="38" t="s">
        <v>288</v>
      </c>
      <c r="E1808" s="38" t="s">
        <v>562</v>
      </c>
      <c r="F1808" s="37" t="s">
        <v>563</v>
      </c>
      <c r="G1808" s="38" t="s">
        <v>536</v>
      </c>
      <c r="H1808" s="37"/>
      <c r="I1808" s="37"/>
      <c r="J1808" s="37" t="s">
        <v>564</v>
      </c>
      <c r="K1808" s="40"/>
      <c r="L1808" s="38"/>
      <c r="M1808" s="38"/>
      <c r="N1808" s="37"/>
      <c r="O1808" s="37"/>
      <c r="P1808" s="37"/>
      <c r="Q1808" s="37"/>
      <c r="R1808" s="39"/>
      <c r="S1808" s="37"/>
      <c r="T1808" s="38" t="s">
        <v>293</v>
      </c>
    </row>
    <row r="1809" ht="34.5">
      <c r="A1809" s="38" t="s">
        <v>1215</v>
      </c>
      <c r="B1809" s="38" t="s">
        <v>1216</v>
      </c>
      <c r="C1809" s="38" t="s">
        <v>597</v>
      </c>
      <c r="D1809" s="38" t="s">
        <v>966</v>
      </c>
      <c r="E1809" s="38" t="s">
        <v>562</v>
      </c>
      <c r="F1809" s="37" t="s">
        <v>563</v>
      </c>
      <c r="G1809" s="38" t="s">
        <v>536</v>
      </c>
      <c r="H1809" s="37"/>
      <c r="I1809" s="37"/>
      <c r="J1809" s="37" t="s">
        <v>1103</v>
      </c>
      <c r="K1809" s="40"/>
      <c r="L1809" s="38"/>
      <c r="M1809" s="38"/>
      <c r="N1809" s="37"/>
      <c r="O1809" s="37"/>
      <c r="P1809" s="37"/>
      <c r="Q1809" s="37"/>
      <c r="R1809" s="39"/>
      <c r="S1809" s="37"/>
      <c r="T1809" s="38" t="s">
        <v>293</v>
      </c>
    </row>
    <row r="1810" ht="34.5">
      <c r="A1810" s="38" t="s">
        <v>1215</v>
      </c>
      <c r="B1810" s="38" t="s">
        <v>1216</v>
      </c>
      <c r="C1810" s="38" t="s">
        <v>597</v>
      </c>
      <c r="D1810" s="38" t="s">
        <v>288</v>
      </c>
      <c r="E1810" s="38" t="s">
        <v>567</v>
      </c>
      <c r="F1810" s="37" t="s">
        <v>1678</v>
      </c>
      <c r="G1810" s="38" t="s">
        <v>569</v>
      </c>
      <c r="H1810" s="37"/>
      <c r="I1810" s="37"/>
      <c r="J1810" s="37" t="s">
        <v>1679</v>
      </c>
      <c r="K1810" s="40"/>
      <c r="L1810" s="38"/>
      <c r="M1810" s="38"/>
      <c r="N1810" s="37"/>
      <c r="O1810" s="37"/>
      <c r="P1810" s="37"/>
      <c r="Q1810" s="37"/>
      <c r="R1810" s="39"/>
      <c r="S1810" s="37"/>
      <c r="T1810" s="38" t="s">
        <v>293</v>
      </c>
    </row>
    <row r="1811" ht="34.5">
      <c r="A1811" s="38" t="s">
        <v>1215</v>
      </c>
      <c r="B1811" s="38" t="s">
        <v>1216</v>
      </c>
      <c r="C1811" s="38" t="s">
        <v>597</v>
      </c>
      <c r="D1811" s="38" t="s">
        <v>288</v>
      </c>
      <c r="E1811" s="38" t="s">
        <v>567</v>
      </c>
      <c r="F1811" s="37" t="s">
        <v>1678</v>
      </c>
      <c r="G1811" s="38" t="s">
        <v>569</v>
      </c>
      <c r="H1811" s="37"/>
      <c r="I1811" s="37"/>
      <c r="J1811" s="37" t="s">
        <v>1111</v>
      </c>
      <c r="K1811" s="40"/>
      <c r="L1811" s="38"/>
      <c r="M1811" s="38"/>
      <c r="N1811" s="37"/>
      <c r="O1811" s="37"/>
      <c r="P1811" s="37"/>
      <c r="Q1811" s="37"/>
      <c r="R1811" s="39"/>
      <c r="S1811" s="37"/>
      <c r="T1811" s="38" t="s">
        <v>293</v>
      </c>
    </row>
    <row r="1812" ht="34.5">
      <c r="A1812" s="38" t="s">
        <v>1215</v>
      </c>
      <c r="B1812" s="38" t="s">
        <v>1216</v>
      </c>
      <c r="C1812" s="38" t="s">
        <v>597</v>
      </c>
      <c r="D1812" s="38" t="s">
        <v>288</v>
      </c>
      <c r="E1812" s="38" t="s">
        <v>567</v>
      </c>
      <c r="F1812" s="37" t="s">
        <v>1678</v>
      </c>
      <c r="G1812" s="38" t="s">
        <v>569</v>
      </c>
      <c r="H1812" s="37"/>
      <c r="I1812" s="37"/>
      <c r="J1812" s="37" t="s">
        <v>1680</v>
      </c>
      <c r="K1812" s="40"/>
      <c r="L1812" s="38"/>
      <c r="M1812" s="38"/>
      <c r="N1812" s="37"/>
      <c r="O1812" s="37"/>
      <c r="P1812" s="37"/>
      <c r="Q1812" s="37"/>
      <c r="R1812" s="39"/>
      <c r="S1812" s="37"/>
      <c r="T1812" s="38" t="s">
        <v>293</v>
      </c>
    </row>
    <row r="1813" ht="34.5">
      <c r="A1813" s="38" t="s">
        <v>1215</v>
      </c>
      <c r="B1813" s="38" t="s">
        <v>1216</v>
      </c>
      <c r="C1813" s="38" t="s">
        <v>597</v>
      </c>
      <c r="D1813" s="38" t="s">
        <v>565</v>
      </c>
      <c r="E1813" s="38" t="s">
        <v>567</v>
      </c>
      <c r="F1813" s="37" t="s">
        <v>1678</v>
      </c>
      <c r="G1813" s="38" t="s">
        <v>569</v>
      </c>
      <c r="H1813" s="37"/>
      <c r="I1813" s="37"/>
      <c r="J1813" s="37" t="s">
        <v>566</v>
      </c>
      <c r="K1813" s="40"/>
      <c r="L1813" s="38"/>
      <c r="M1813" s="38"/>
      <c r="N1813" s="37"/>
      <c r="O1813" s="37"/>
      <c r="P1813" s="37"/>
      <c r="Q1813" s="37"/>
      <c r="R1813" s="39"/>
      <c r="S1813" s="37"/>
      <c r="T1813" s="38" t="s">
        <v>293</v>
      </c>
    </row>
    <row r="1814" ht="34.5">
      <c r="A1814" s="38" t="s">
        <v>1215</v>
      </c>
      <c r="B1814" s="38" t="s">
        <v>1216</v>
      </c>
      <c r="C1814" s="38" t="s">
        <v>608</v>
      </c>
      <c r="D1814" s="38" t="s">
        <v>288</v>
      </c>
      <c r="E1814" s="38" t="s">
        <v>567</v>
      </c>
      <c r="F1814" s="37" t="s">
        <v>1678</v>
      </c>
      <c r="G1814" s="38" t="s">
        <v>569</v>
      </c>
      <c r="H1814" s="37"/>
      <c r="I1814" s="37"/>
      <c r="J1814" s="37" t="s">
        <v>576</v>
      </c>
      <c r="K1814" s="40"/>
      <c r="L1814" s="38"/>
      <c r="M1814" s="38"/>
      <c r="N1814" s="37"/>
      <c r="O1814" s="37"/>
      <c r="P1814" s="37"/>
      <c r="Q1814" s="37"/>
      <c r="R1814" s="39"/>
      <c r="S1814" s="37"/>
      <c r="T1814" s="38" t="s">
        <v>293</v>
      </c>
    </row>
    <row r="1815" ht="34.5">
      <c r="A1815" s="38" t="s">
        <v>1215</v>
      </c>
      <c r="B1815" s="38" t="s">
        <v>1216</v>
      </c>
      <c r="C1815" s="38" t="s">
        <v>608</v>
      </c>
      <c r="D1815" s="38" t="s">
        <v>573</v>
      </c>
      <c r="E1815" s="38" t="s">
        <v>567</v>
      </c>
      <c r="F1815" s="37" t="s">
        <v>1678</v>
      </c>
      <c r="G1815" s="38" t="s">
        <v>569</v>
      </c>
      <c r="H1815" s="37"/>
      <c r="I1815" s="37"/>
      <c r="J1815" s="37" t="s">
        <v>574</v>
      </c>
      <c r="K1815" s="40"/>
      <c r="L1815" s="38"/>
      <c r="M1815" s="38"/>
      <c r="N1815" s="37"/>
      <c r="O1815" s="37"/>
      <c r="P1815" s="37"/>
      <c r="Q1815" s="37"/>
      <c r="R1815" s="39"/>
      <c r="S1815" s="37"/>
      <c r="T1815" s="38" t="s">
        <v>293</v>
      </c>
    </row>
    <row r="1816" ht="34.5">
      <c r="A1816" s="38" t="s">
        <v>1215</v>
      </c>
      <c r="B1816" s="38" t="s">
        <v>1216</v>
      </c>
      <c r="C1816" s="38" t="s">
        <v>608</v>
      </c>
      <c r="D1816" s="38" t="s">
        <v>288</v>
      </c>
      <c r="E1816" s="38" t="s">
        <v>567</v>
      </c>
      <c r="F1816" s="37" t="s">
        <v>1678</v>
      </c>
      <c r="G1816" s="38" t="s">
        <v>569</v>
      </c>
      <c r="H1816" s="37"/>
      <c r="I1816" s="37"/>
      <c r="J1816" s="37" t="s">
        <v>579</v>
      </c>
      <c r="K1816" s="40"/>
      <c r="L1816" s="38"/>
      <c r="M1816" s="38"/>
      <c r="N1816" s="37"/>
      <c r="O1816" s="37"/>
      <c r="P1816" s="37"/>
      <c r="Q1816" s="37"/>
      <c r="R1816" s="39"/>
      <c r="S1816" s="37"/>
      <c r="T1816" s="38" t="s">
        <v>293</v>
      </c>
    </row>
    <row r="1817" ht="34.5">
      <c r="A1817" s="38" t="s">
        <v>1215</v>
      </c>
      <c r="B1817" s="38" t="s">
        <v>1216</v>
      </c>
      <c r="C1817" s="38" t="s">
        <v>608</v>
      </c>
      <c r="D1817" s="38" t="s">
        <v>577</v>
      </c>
      <c r="E1817" s="38" t="s">
        <v>567</v>
      </c>
      <c r="F1817" s="37" t="s">
        <v>1678</v>
      </c>
      <c r="G1817" s="38" t="s">
        <v>569</v>
      </c>
      <c r="H1817" s="37"/>
      <c r="I1817" s="37"/>
      <c r="J1817" s="37" t="s">
        <v>1681</v>
      </c>
      <c r="K1817" s="40"/>
      <c r="L1817" s="38"/>
      <c r="M1817" s="38"/>
      <c r="N1817" s="37"/>
      <c r="O1817" s="37"/>
      <c r="P1817" s="37"/>
      <c r="Q1817" s="37"/>
      <c r="R1817" s="39"/>
      <c r="S1817" s="37"/>
      <c r="T1817" s="38" t="s">
        <v>293</v>
      </c>
    </row>
    <row r="1818" ht="34.5">
      <c r="A1818" s="38" t="s">
        <v>1215</v>
      </c>
      <c r="B1818" s="38" t="s">
        <v>1216</v>
      </c>
      <c r="C1818" s="38" t="s">
        <v>614</v>
      </c>
      <c r="D1818" s="38" t="s">
        <v>288</v>
      </c>
      <c r="E1818" s="38" t="s">
        <v>567</v>
      </c>
      <c r="F1818" s="37" t="s">
        <v>1678</v>
      </c>
      <c r="G1818" s="38" t="s">
        <v>569</v>
      </c>
      <c r="H1818" s="37"/>
      <c r="I1818" s="37"/>
      <c r="J1818" s="37" t="s">
        <v>583</v>
      </c>
      <c r="K1818" s="40"/>
      <c r="L1818" s="38"/>
      <c r="M1818" s="38"/>
      <c r="N1818" s="37"/>
      <c r="O1818" s="37"/>
      <c r="P1818" s="37"/>
      <c r="Q1818" s="37"/>
      <c r="R1818" s="39"/>
      <c r="S1818" s="37"/>
      <c r="T1818" s="38" t="s">
        <v>293</v>
      </c>
    </row>
    <row r="1819" ht="34.5">
      <c r="A1819" s="38" t="s">
        <v>1215</v>
      </c>
      <c r="B1819" s="38" t="s">
        <v>1216</v>
      </c>
      <c r="C1819" s="38" t="s">
        <v>614</v>
      </c>
      <c r="D1819" s="38" t="s">
        <v>584</v>
      </c>
      <c r="E1819" s="38" t="s">
        <v>567</v>
      </c>
      <c r="F1819" s="37" t="s">
        <v>1678</v>
      </c>
      <c r="G1819" s="38" t="s">
        <v>569</v>
      </c>
      <c r="H1819" s="37"/>
      <c r="I1819" s="37"/>
      <c r="J1819" s="37" t="s">
        <v>585</v>
      </c>
      <c r="K1819" s="40"/>
      <c r="L1819" s="38"/>
      <c r="M1819" s="38"/>
      <c r="N1819" s="37"/>
      <c r="O1819" s="37"/>
      <c r="P1819" s="37"/>
      <c r="Q1819" s="37"/>
      <c r="R1819" s="39"/>
      <c r="S1819" s="37"/>
      <c r="T1819" s="38" t="s">
        <v>293</v>
      </c>
    </row>
    <row r="1820" ht="34.5">
      <c r="A1820" s="38" t="s">
        <v>1215</v>
      </c>
      <c r="B1820" s="38" t="s">
        <v>1216</v>
      </c>
      <c r="C1820" s="38" t="s">
        <v>614</v>
      </c>
      <c r="D1820" s="38" t="s">
        <v>288</v>
      </c>
      <c r="E1820" s="38" t="s">
        <v>567</v>
      </c>
      <c r="F1820" s="37" t="s">
        <v>1678</v>
      </c>
      <c r="G1820" s="38" t="s">
        <v>569</v>
      </c>
      <c r="H1820" s="37"/>
      <c r="I1820" s="37"/>
      <c r="J1820" s="37" t="s">
        <v>586</v>
      </c>
      <c r="K1820" s="40"/>
      <c r="L1820" s="38"/>
      <c r="M1820" s="38"/>
      <c r="N1820" s="37"/>
      <c r="O1820" s="37"/>
      <c r="P1820" s="37"/>
      <c r="Q1820" s="37"/>
      <c r="R1820" s="39"/>
      <c r="S1820" s="37"/>
      <c r="T1820" s="38" t="s">
        <v>293</v>
      </c>
    </row>
    <row r="1821" ht="34.5">
      <c r="A1821" s="38" t="s">
        <v>1215</v>
      </c>
      <c r="B1821" s="38" t="s">
        <v>1216</v>
      </c>
      <c r="C1821" s="38" t="s">
        <v>614</v>
      </c>
      <c r="D1821" s="38" t="s">
        <v>288</v>
      </c>
      <c r="E1821" s="38" t="s">
        <v>587</v>
      </c>
      <c r="F1821" s="37" t="s">
        <v>588</v>
      </c>
      <c r="G1821" s="38" t="s">
        <v>70</v>
      </c>
      <c r="H1821" s="37"/>
      <c r="I1821" s="37"/>
      <c r="J1821" s="37" t="s">
        <v>589</v>
      </c>
      <c r="K1821" s="40"/>
      <c r="L1821" s="38"/>
      <c r="M1821" s="38"/>
      <c r="N1821" s="37"/>
      <c r="O1821" s="37"/>
      <c r="P1821" s="37"/>
      <c r="Q1821" s="37"/>
      <c r="R1821" s="39"/>
      <c r="S1821" s="37"/>
      <c r="T1821" s="38" t="s">
        <v>293</v>
      </c>
    </row>
    <row r="1822" ht="34.5">
      <c r="A1822" s="38" t="s">
        <v>1215</v>
      </c>
      <c r="B1822" s="38" t="s">
        <v>1216</v>
      </c>
      <c r="C1822" s="38" t="s">
        <v>614</v>
      </c>
      <c r="D1822" s="38" t="s">
        <v>288</v>
      </c>
      <c r="E1822" s="38" t="s">
        <v>587</v>
      </c>
      <c r="F1822" s="37" t="s">
        <v>588</v>
      </c>
      <c r="G1822" s="38" t="s">
        <v>70</v>
      </c>
      <c r="H1822" s="37"/>
      <c r="I1822" s="37"/>
      <c r="J1822" s="37" t="s">
        <v>1682</v>
      </c>
      <c r="K1822" s="40">
        <v>236684268</v>
      </c>
      <c r="L1822" s="38" t="s">
        <v>297</v>
      </c>
      <c r="M1822" s="38"/>
      <c r="N1822" s="37"/>
      <c r="O1822" s="37"/>
      <c r="P1822" s="37"/>
      <c r="Q1822" s="37"/>
      <c r="R1822" s="39"/>
      <c r="S1822" s="37"/>
      <c r="T1822" s="38" t="s">
        <v>293</v>
      </c>
    </row>
    <row r="1823" ht="34.5">
      <c r="A1823" s="38" t="s">
        <v>1215</v>
      </c>
      <c r="B1823" s="38" t="s">
        <v>1216</v>
      </c>
      <c r="C1823" s="38" t="s">
        <v>621</v>
      </c>
      <c r="D1823" s="38" t="s">
        <v>288</v>
      </c>
      <c r="E1823" s="38" t="s">
        <v>591</v>
      </c>
      <c r="F1823" s="37" t="s">
        <v>592</v>
      </c>
      <c r="G1823" s="38" t="s">
        <v>500</v>
      </c>
      <c r="H1823" s="37"/>
      <c r="I1823" s="37"/>
      <c r="J1823" s="37" t="s">
        <v>593</v>
      </c>
      <c r="K1823" s="40"/>
      <c r="L1823" s="38"/>
      <c r="M1823" s="38"/>
      <c r="N1823" s="37"/>
      <c r="O1823" s="37"/>
      <c r="P1823" s="37"/>
      <c r="Q1823" s="37"/>
      <c r="R1823" s="39"/>
      <c r="S1823" s="37"/>
      <c r="T1823" s="38" t="s">
        <v>293</v>
      </c>
    </row>
    <row r="1824" ht="34.5">
      <c r="A1824" s="38" t="s">
        <v>1215</v>
      </c>
      <c r="B1824" s="38" t="s">
        <v>1216</v>
      </c>
      <c r="C1824" s="38" t="s">
        <v>621</v>
      </c>
      <c r="D1824" s="38" t="s">
        <v>288</v>
      </c>
      <c r="E1824" s="38" t="s">
        <v>591</v>
      </c>
      <c r="F1824" s="37" t="s">
        <v>592</v>
      </c>
      <c r="G1824" s="38" t="s">
        <v>500</v>
      </c>
      <c r="H1824" s="37"/>
      <c r="I1824" s="37"/>
      <c r="J1824" s="37" t="s">
        <v>1683</v>
      </c>
      <c r="K1824" s="40">
        <v>124738718</v>
      </c>
      <c r="L1824" s="38" t="s">
        <v>297</v>
      </c>
      <c r="M1824" s="38"/>
      <c r="N1824" s="37"/>
      <c r="O1824" s="37"/>
      <c r="P1824" s="37"/>
      <c r="Q1824" s="37"/>
      <c r="R1824" s="39"/>
      <c r="S1824" s="37"/>
      <c r="T1824" s="38" t="s">
        <v>293</v>
      </c>
    </row>
    <row r="1825" ht="34.5">
      <c r="A1825" s="38" t="s">
        <v>1215</v>
      </c>
      <c r="B1825" s="38" t="s">
        <v>1216</v>
      </c>
      <c r="C1825" s="38" t="s">
        <v>621</v>
      </c>
      <c r="D1825" s="38" t="s">
        <v>595</v>
      </c>
      <c r="E1825" s="38" t="s">
        <v>591</v>
      </c>
      <c r="F1825" s="37" t="s">
        <v>592</v>
      </c>
      <c r="G1825" s="38" t="s">
        <v>500</v>
      </c>
      <c r="H1825" s="37"/>
      <c r="I1825" s="37"/>
      <c r="J1825" s="37" t="s">
        <v>596</v>
      </c>
      <c r="K1825" s="40"/>
      <c r="L1825" s="38"/>
      <c r="M1825" s="38"/>
      <c r="N1825" s="37"/>
      <c r="O1825" s="37"/>
      <c r="P1825" s="37"/>
      <c r="Q1825" s="37"/>
      <c r="R1825" s="39"/>
      <c r="S1825" s="37"/>
      <c r="T1825" s="38" t="s">
        <v>293</v>
      </c>
    </row>
    <row r="1826" ht="34.5">
      <c r="A1826" s="38" t="s">
        <v>1215</v>
      </c>
      <c r="B1826" s="38" t="s">
        <v>1216</v>
      </c>
      <c r="C1826" s="38" t="s">
        <v>621</v>
      </c>
      <c r="D1826" s="38" t="s">
        <v>288</v>
      </c>
      <c r="E1826" s="38" t="s">
        <v>591</v>
      </c>
      <c r="F1826" s="37" t="s">
        <v>592</v>
      </c>
      <c r="G1826" s="38" t="s">
        <v>500</v>
      </c>
      <c r="H1826" s="37"/>
      <c r="I1826" s="37"/>
      <c r="J1826" s="37" t="s">
        <v>598</v>
      </c>
      <c r="K1826" s="40"/>
      <c r="L1826" s="38"/>
      <c r="M1826" s="38"/>
      <c r="N1826" s="37"/>
      <c r="O1826" s="37"/>
      <c r="P1826" s="37"/>
      <c r="Q1826" s="37"/>
      <c r="R1826" s="39"/>
      <c r="S1826" s="37"/>
      <c r="T1826" s="38" t="s">
        <v>293</v>
      </c>
    </row>
    <row r="1827" ht="34.5">
      <c r="A1827" s="38" t="s">
        <v>1215</v>
      </c>
      <c r="B1827" s="38" t="s">
        <v>1216</v>
      </c>
      <c r="C1827" s="38" t="s">
        <v>621</v>
      </c>
      <c r="D1827" s="38" t="s">
        <v>599</v>
      </c>
      <c r="E1827" s="38" t="s">
        <v>591</v>
      </c>
      <c r="F1827" s="37" t="s">
        <v>592</v>
      </c>
      <c r="G1827" s="38" t="s">
        <v>500</v>
      </c>
      <c r="H1827" s="37"/>
      <c r="I1827" s="37"/>
      <c r="J1827" s="37" t="s">
        <v>600</v>
      </c>
      <c r="K1827" s="40"/>
      <c r="L1827" s="38"/>
      <c r="M1827" s="38"/>
      <c r="N1827" s="37"/>
      <c r="O1827" s="37"/>
      <c r="P1827" s="37"/>
      <c r="Q1827" s="37"/>
      <c r="R1827" s="39"/>
      <c r="S1827" s="37"/>
      <c r="T1827" s="38" t="s">
        <v>293</v>
      </c>
    </row>
    <row r="1828" ht="34.5">
      <c r="A1828" s="38" t="s">
        <v>1215</v>
      </c>
      <c r="B1828" s="38" t="s">
        <v>1216</v>
      </c>
      <c r="C1828" s="38" t="s">
        <v>624</v>
      </c>
      <c r="D1828" s="38" t="s">
        <v>288</v>
      </c>
      <c r="E1828" s="38" t="s">
        <v>973</v>
      </c>
      <c r="F1828" s="37" t="s">
        <v>974</v>
      </c>
      <c r="G1828" s="38" t="s">
        <v>975</v>
      </c>
      <c r="H1828" s="37"/>
      <c r="I1828" s="37"/>
      <c r="J1828" s="37" t="s">
        <v>602</v>
      </c>
      <c r="K1828" s="40"/>
      <c r="L1828" s="38"/>
      <c r="M1828" s="38"/>
      <c r="N1828" s="37"/>
      <c r="O1828" s="37"/>
      <c r="P1828" s="37"/>
      <c r="Q1828" s="37"/>
      <c r="R1828" s="39"/>
      <c r="S1828" s="37"/>
      <c r="T1828" s="38" t="s">
        <v>293</v>
      </c>
    </row>
    <row r="1829" ht="34.5">
      <c r="A1829" s="38" t="s">
        <v>1215</v>
      </c>
      <c r="B1829" s="38" t="s">
        <v>1216</v>
      </c>
      <c r="C1829" s="38" t="s">
        <v>624</v>
      </c>
      <c r="D1829" s="38" t="s">
        <v>603</v>
      </c>
      <c r="E1829" s="38" t="s">
        <v>973</v>
      </c>
      <c r="F1829" s="37" t="s">
        <v>974</v>
      </c>
      <c r="G1829" s="38" t="s">
        <v>975</v>
      </c>
      <c r="H1829" s="37"/>
      <c r="I1829" s="37"/>
      <c r="J1829" s="37" t="s">
        <v>604</v>
      </c>
      <c r="K1829" s="40"/>
      <c r="L1829" s="38"/>
      <c r="M1829" s="38"/>
      <c r="N1829" s="37"/>
      <c r="O1829" s="37"/>
      <c r="P1829" s="37"/>
      <c r="Q1829" s="37"/>
      <c r="R1829" s="39"/>
      <c r="S1829" s="37"/>
      <c r="T1829" s="38" t="s">
        <v>293</v>
      </c>
    </row>
    <row r="1830" ht="34.5">
      <c r="A1830" s="38" t="s">
        <v>1215</v>
      </c>
      <c r="B1830" s="38" t="s">
        <v>1216</v>
      </c>
      <c r="C1830" s="38" t="s">
        <v>624</v>
      </c>
      <c r="D1830" s="38" t="s">
        <v>288</v>
      </c>
      <c r="E1830" s="38" t="s">
        <v>973</v>
      </c>
      <c r="F1830" s="37" t="s">
        <v>974</v>
      </c>
      <c r="G1830" s="38" t="s">
        <v>975</v>
      </c>
      <c r="H1830" s="37"/>
      <c r="I1830" s="37"/>
      <c r="J1830" s="37" t="s">
        <v>1684</v>
      </c>
      <c r="K1830" s="40"/>
      <c r="L1830" s="38"/>
      <c r="M1830" s="38"/>
      <c r="N1830" s="37"/>
      <c r="O1830" s="37"/>
      <c r="P1830" s="37"/>
      <c r="Q1830" s="37"/>
      <c r="R1830" s="39"/>
      <c r="S1830" s="37"/>
      <c r="T1830" s="38" t="s">
        <v>293</v>
      </c>
    </row>
    <row r="1831" ht="34.5">
      <c r="A1831" s="38" t="s">
        <v>1215</v>
      </c>
      <c r="B1831" s="38" t="s">
        <v>1216</v>
      </c>
      <c r="C1831" s="38" t="s">
        <v>624</v>
      </c>
      <c r="D1831" s="38" t="s">
        <v>288</v>
      </c>
      <c r="E1831" s="38" t="s">
        <v>973</v>
      </c>
      <c r="F1831" s="37" t="s">
        <v>974</v>
      </c>
      <c r="G1831" s="38" t="s">
        <v>975</v>
      </c>
      <c r="H1831" s="37"/>
      <c r="I1831" s="37"/>
      <c r="J1831" s="37" t="s">
        <v>1685</v>
      </c>
      <c r="K1831" s="40">
        <v>25206847</v>
      </c>
      <c r="L1831" s="38" t="s">
        <v>297</v>
      </c>
      <c r="M1831" s="38"/>
      <c r="N1831" s="37"/>
      <c r="O1831" s="37"/>
      <c r="P1831" s="37"/>
      <c r="Q1831" s="37"/>
      <c r="R1831" s="39"/>
      <c r="S1831" s="37"/>
      <c r="T1831" s="38" t="s">
        <v>293</v>
      </c>
    </row>
    <row r="1832" ht="34.5">
      <c r="A1832" s="38" t="s">
        <v>1215</v>
      </c>
      <c r="B1832" s="38" t="s">
        <v>1216</v>
      </c>
      <c r="C1832" s="38" t="s">
        <v>624</v>
      </c>
      <c r="D1832" s="38" t="s">
        <v>288</v>
      </c>
      <c r="E1832" s="38" t="s">
        <v>973</v>
      </c>
      <c r="F1832" s="37" t="s">
        <v>974</v>
      </c>
      <c r="G1832" s="38" t="s">
        <v>975</v>
      </c>
      <c r="H1832" s="37"/>
      <c r="I1832" s="37"/>
      <c r="J1832" s="37" t="s">
        <v>607</v>
      </c>
      <c r="K1832" s="40"/>
      <c r="L1832" s="38"/>
      <c r="M1832" s="38"/>
      <c r="N1832" s="37"/>
      <c r="O1832" s="37"/>
      <c r="P1832" s="37"/>
      <c r="Q1832" s="37"/>
      <c r="R1832" s="39"/>
      <c r="S1832" s="37"/>
      <c r="T1832" s="38" t="s">
        <v>293</v>
      </c>
    </row>
    <row r="1833" ht="34.5">
      <c r="A1833" s="38" t="s">
        <v>1215</v>
      </c>
      <c r="B1833" s="38" t="s">
        <v>1216</v>
      </c>
      <c r="C1833" s="38" t="s">
        <v>637</v>
      </c>
      <c r="D1833" s="38" t="s">
        <v>288</v>
      </c>
      <c r="E1833" s="38" t="s">
        <v>615</v>
      </c>
      <c r="F1833" s="37" t="s">
        <v>616</v>
      </c>
      <c r="G1833" s="38" t="s">
        <v>70</v>
      </c>
      <c r="H1833" s="37"/>
      <c r="I1833" s="37"/>
      <c r="J1833" s="37" t="s">
        <v>617</v>
      </c>
      <c r="K1833" s="40"/>
      <c r="L1833" s="38"/>
      <c r="M1833" s="38"/>
      <c r="N1833" s="37"/>
      <c r="O1833" s="37"/>
      <c r="P1833" s="37"/>
      <c r="Q1833" s="37"/>
      <c r="R1833" s="39"/>
      <c r="S1833" s="37"/>
      <c r="T1833" s="38" t="s">
        <v>293</v>
      </c>
    </row>
    <row r="1834" ht="34.5">
      <c r="A1834" s="38" t="s">
        <v>1215</v>
      </c>
      <c r="B1834" s="38" t="s">
        <v>1216</v>
      </c>
      <c r="C1834" s="38" t="s">
        <v>637</v>
      </c>
      <c r="D1834" s="38" t="s">
        <v>288</v>
      </c>
      <c r="E1834" s="38" t="s">
        <v>615</v>
      </c>
      <c r="F1834" s="37" t="s">
        <v>616</v>
      </c>
      <c r="G1834" s="38" t="s">
        <v>70</v>
      </c>
      <c r="H1834" s="37"/>
      <c r="I1834" s="37"/>
      <c r="J1834" s="37" t="s">
        <v>618</v>
      </c>
      <c r="K1834" s="40"/>
      <c r="L1834" s="38"/>
      <c r="M1834" s="38"/>
      <c r="N1834" s="37"/>
      <c r="O1834" s="37"/>
      <c r="P1834" s="37"/>
      <c r="Q1834" s="37"/>
      <c r="R1834" s="39"/>
      <c r="S1834" s="37"/>
      <c r="T1834" s="38" t="s">
        <v>293</v>
      </c>
    </row>
    <row r="1835" ht="34.5">
      <c r="A1835" s="38" t="s">
        <v>1215</v>
      </c>
      <c r="B1835" s="38" t="s">
        <v>1216</v>
      </c>
      <c r="C1835" s="38" t="s">
        <v>637</v>
      </c>
      <c r="D1835" s="38" t="s">
        <v>619</v>
      </c>
      <c r="E1835" s="38" t="s">
        <v>615</v>
      </c>
      <c r="F1835" s="37" t="s">
        <v>616</v>
      </c>
      <c r="G1835" s="38" t="s">
        <v>70</v>
      </c>
      <c r="H1835" s="37"/>
      <c r="I1835" s="37"/>
      <c r="J1835" s="37" t="s">
        <v>620</v>
      </c>
      <c r="K1835" s="40"/>
      <c r="L1835" s="38"/>
      <c r="M1835" s="38"/>
      <c r="N1835" s="37"/>
      <c r="O1835" s="37"/>
      <c r="P1835" s="37"/>
      <c r="Q1835" s="37"/>
      <c r="R1835" s="39"/>
      <c r="S1835" s="37"/>
      <c r="T1835" s="38" t="s">
        <v>293</v>
      </c>
    </row>
    <row r="1836" ht="34.5">
      <c r="A1836" s="38" t="s">
        <v>1215</v>
      </c>
      <c r="B1836" s="38" t="s">
        <v>1216</v>
      </c>
      <c r="C1836" s="38" t="s">
        <v>641</v>
      </c>
      <c r="D1836" s="38" t="s">
        <v>622</v>
      </c>
      <c r="E1836" s="38" t="s">
        <v>615</v>
      </c>
      <c r="F1836" s="37" t="s">
        <v>616</v>
      </c>
      <c r="G1836" s="38" t="s">
        <v>70</v>
      </c>
      <c r="H1836" s="37"/>
      <c r="I1836" s="37"/>
      <c r="J1836" s="37" t="s">
        <v>623</v>
      </c>
      <c r="K1836" s="40"/>
      <c r="L1836" s="38"/>
      <c r="M1836" s="38"/>
      <c r="N1836" s="37"/>
      <c r="O1836" s="37"/>
      <c r="P1836" s="37"/>
      <c r="Q1836" s="37"/>
      <c r="R1836" s="39"/>
      <c r="S1836" s="37"/>
      <c r="T1836" s="38" t="s">
        <v>293</v>
      </c>
    </row>
    <row r="1837" ht="34.5">
      <c r="A1837" s="38" t="s">
        <v>1215</v>
      </c>
      <c r="B1837" s="38" t="s">
        <v>1216</v>
      </c>
      <c r="C1837" s="38" t="s">
        <v>651</v>
      </c>
      <c r="D1837" s="38" t="s">
        <v>288</v>
      </c>
      <c r="E1837" s="38" t="s">
        <v>615</v>
      </c>
      <c r="F1837" s="37" t="s">
        <v>616</v>
      </c>
      <c r="G1837" s="38" t="s">
        <v>70</v>
      </c>
      <c r="H1837" s="37"/>
      <c r="I1837" s="37"/>
      <c r="J1837" s="37" t="s">
        <v>625</v>
      </c>
      <c r="K1837" s="40"/>
      <c r="L1837" s="38"/>
      <c r="M1837" s="38"/>
      <c r="N1837" s="37"/>
      <c r="O1837" s="37"/>
      <c r="P1837" s="37"/>
      <c r="Q1837" s="37"/>
      <c r="R1837" s="39"/>
      <c r="S1837" s="37"/>
      <c r="T1837" s="38" t="s">
        <v>293</v>
      </c>
    </row>
    <row r="1838" ht="34.5">
      <c r="A1838" s="38" t="s">
        <v>1215</v>
      </c>
      <c r="B1838" s="38" t="s">
        <v>1216</v>
      </c>
      <c r="C1838" s="38" t="s">
        <v>651</v>
      </c>
      <c r="D1838" s="38" t="s">
        <v>288</v>
      </c>
      <c r="E1838" s="38" t="s">
        <v>615</v>
      </c>
      <c r="F1838" s="37" t="s">
        <v>616</v>
      </c>
      <c r="G1838" s="38" t="s">
        <v>70</v>
      </c>
      <c r="H1838" s="37"/>
      <c r="I1838" s="37"/>
      <c r="J1838" s="37" t="s">
        <v>626</v>
      </c>
      <c r="K1838" s="40"/>
      <c r="L1838" s="38"/>
      <c r="M1838" s="38"/>
      <c r="N1838" s="37"/>
      <c r="O1838" s="37"/>
      <c r="P1838" s="37"/>
      <c r="Q1838" s="37"/>
      <c r="R1838" s="39"/>
      <c r="S1838" s="37"/>
      <c r="T1838" s="38" t="s">
        <v>293</v>
      </c>
    </row>
    <row r="1839" ht="34.5">
      <c r="A1839" s="38" t="s">
        <v>1215</v>
      </c>
      <c r="B1839" s="38" t="s">
        <v>1216</v>
      </c>
      <c r="C1839" s="38" t="s">
        <v>651</v>
      </c>
      <c r="D1839" s="38" t="s">
        <v>288</v>
      </c>
      <c r="E1839" s="38" t="s">
        <v>615</v>
      </c>
      <c r="F1839" s="37" t="s">
        <v>616</v>
      </c>
      <c r="G1839" s="38" t="s">
        <v>70</v>
      </c>
      <c r="H1839" s="37"/>
      <c r="I1839" s="37"/>
      <c r="J1839" s="37" t="s">
        <v>627</v>
      </c>
      <c r="K1839" s="40"/>
      <c r="L1839" s="38"/>
      <c r="M1839" s="38"/>
      <c r="N1839" s="37"/>
      <c r="O1839" s="37"/>
      <c r="P1839" s="37"/>
      <c r="Q1839" s="37"/>
      <c r="R1839" s="39"/>
      <c r="S1839" s="37"/>
      <c r="T1839" s="38" t="s">
        <v>293</v>
      </c>
    </row>
    <row r="1840" ht="34.5">
      <c r="A1840" s="38" t="s">
        <v>1215</v>
      </c>
      <c r="B1840" s="38" t="s">
        <v>1216</v>
      </c>
      <c r="C1840" s="38" t="s">
        <v>651</v>
      </c>
      <c r="D1840" s="38" t="s">
        <v>288</v>
      </c>
      <c r="E1840" s="38" t="s">
        <v>615</v>
      </c>
      <c r="F1840" s="37" t="s">
        <v>616</v>
      </c>
      <c r="G1840" s="38" t="s">
        <v>70</v>
      </c>
      <c r="H1840" s="37"/>
      <c r="I1840" s="37"/>
      <c r="J1840" s="37" t="s">
        <v>1117</v>
      </c>
      <c r="K1840" s="40"/>
      <c r="L1840" s="38"/>
      <c r="M1840" s="38"/>
      <c r="N1840" s="37"/>
      <c r="O1840" s="37"/>
      <c r="P1840" s="37"/>
      <c r="Q1840" s="37"/>
      <c r="R1840" s="39"/>
      <c r="S1840" s="37"/>
      <c r="T1840" s="38" t="s">
        <v>293</v>
      </c>
    </row>
    <row r="1841" ht="34.5">
      <c r="A1841" s="38" t="s">
        <v>1215</v>
      </c>
      <c r="B1841" s="38" t="s">
        <v>1216</v>
      </c>
      <c r="C1841" s="38" t="s">
        <v>651</v>
      </c>
      <c r="D1841" s="38" t="s">
        <v>288</v>
      </c>
      <c r="E1841" s="38" t="s">
        <v>615</v>
      </c>
      <c r="F1841" s="37" t="s">
        <v>616</v>
      </c>
      <c r="G1841" s="38" t="s">
        <v>70</v>
      </c>
      <c r="H1841" s="37"/>
      <c r="I1841" s="37"/>
      <c r="J1841" s="37" t="s">
        <v>629</v>
      </c>
      <c r="K1841" s="40"/>
      <c r="L1841" s="38"/>
      <c r="M1841" s="38"/>
      <c r="N1841" s="37"/>
      <c r="O1841" s="37"/>
      <c r="P1841" s="37"/>
      <c r="Q1841" s="37"/>
      <c r="R1841" s="39"/>
      <c r="S1841" s="37"/>
      <c r="T1841" s="38" t="s">
        <v>293</v>
      </c>
    </row>
    <row r="1842" ht="34.5">
      <c r="A1842" s="38" t="s">
        <v>1215</v>
      </c>
      <c r="B1842" s="38" t="s">
        <v>1216</v>
      </c>
      <c r="C1842" s="38" t="s">
        <v>651</v>
      </c>
      <c r="D1842" s="38" t="s">
        <v>288</v>
      </c>
      <c r="E1842" s="38" t="s">
        <v>615</v>
      </c>
      <c r="F1842" s="37" t="s">
        <v>616</v>
      </c>
      <c r="G1842" s="38" t="s">
        <v>70</v>
      </c>
      <c r="H1842" s="37"/>
      <c r="I1842" s="37"/>
      <c r="J1842" s="37" t="s">
        <v>1118</v>
      </c>
      <c r="K1842" s="40"/>
      <c r="L1842" s="38"/>
      <c r="M1842" s="38"/>
      <c r="N1842" s="37"/>
      <c r="O1842" s="37"/>
      <c r="P1842" s="37"/>
      <c r="Q1842" s="37"/>
      <c r="R1842" s="39"/>
      <c r="S1842" s="37"/>
      <c r="T1842" s="38" t="s">
        <v>293</v>
      </c>
    </row>
    <row r="1843" ht="34.5">
      <c r="A1843" s="38" t="s">
        <v>1215</v>
      </c>
      <c r="B1843" s="38" t="s">
        <v>1216</v>
      </c>
      <c r="C1843" s="38" t="s">
        <v>651</v>
      </c>
      <c r="D1843" s="38" t="s">
        <v>288</v>
      </c>
      <c r="E1843" s="38" t="s">
        <v>615</v>
      </c>
      <c r="F1843" s="37" t="s">
        <v>616</v>
      </c>
      <c r="G1843" s="38" t="s">
        <v>70</v>
      </c>
      <c r="H1843" s="37"/>
      <c r="I1843" s="37"/>
      <c r="J1843" s="37" t="s">
        <v>631</v>
      </c>
      <c r="K1843" s="40"/>
      <c r="L1843" s="38"/>
      <c r="M1843" s="38"/>
      <c r="N1843" s="37"/>
      <c r="O1843" s="37"/>
      <c r="P1843" s="37"/>
      <c r="Q1843" s="37"/>
      <c r="R1843" s="39"/>
      <c r="S1843" s="37"/>
      <c r="T1843" s="38" t="s">
        <v>293</v>
      </c>
    </row>
    <row r="1844" ht="34.5">
      <c r="A1844" s="38" t="s">
        <v>1215</v>
      </c>
      <c r="B1844" s="38" t="s">
        <v>1216</v>
      </c>
      <c r="C1844" s="38" t="s">
        <v>651</v>
      </c>
      <c r="D1844" s="38" t="s">
        <v>288</v>
      </c>
      <c r="E1844" s="38" t="s">
        <v>615</v>
      </c>
      <c r="F1844" s="37" t="s">
        <v>616</v>
      </c>
      <c r="G1844" s="38" t="s">
        <v>70</v>
      </c>
      <c r="H1844" s="37"/>
      <c r="I1844" s="37"/>
      <c r="J1844" s="37" t="s">
        <v>632</v>
      </c>
      <c r="K1844" s="40"/>
      <c r="L1844" s="38"/>
      <c r="M1844" s="38"/>
      <c r="N1844" s="37"/>
      <c r="O1844" s="37"/>
      <c r="P1844" s="37"/>
      <c r="Q1844" s="37"/>
      <c r="R1844" s="39"/>
      <c r="S1844" s="37"/>
      <c r="T1844" s="38" t="s">
        <v>293</v>
      </c>
    </row>
    <row r="1845" ht="34.5">
      <c r="A1845" s="38" t="s">
        <v>1215</v>
      </c>
      <c r="B1845" s="38" t="s">
        <v>1216</v>
      </c>
      <c r="C1845" s="38" t="s">
        <v>651</v>
      </c>
      <c r="D1845" s="38" t="s">
        <v>288</v>
      </c>
      <c r="E1845" s="38" t="s">
        <v>615</v>
      </c>
      <c r="F1845" s="37" t="s">
        <v>616</v>
      </c>
      <c r="G1845" s="38" t="s">
        <v>70</v>
      </c>
      <c r="H1845" s="37"/>
      <c r="I1845" s="37"/>
      <c r="J1845" s="37" t="s">
        <v>633</v>
      </c>
      <c r="K1845" s="40"/>
      <c r="L1845" s="38"/>
      <c r="M1845" s="38"/>
      <c r="N1845" s="37"/>
      <c r="O1845" s="37"/>
      <c r="P1845" s="37"/>
      <c r="Q1845" s="37"/>
      <c r="R1845" s="39"/>
      <c r="S1845" s="37"/>
      <c r="T1845" s="38" t="s">
        <v>293</v>
      </c>
    </row>
    <row r="1846" ht="34.5">
      <c r="A1846" s="38" t="s">
        <v>1215</v>
      </c>
      <c r="B1846" s="38" t="s">
        <v>1216</v>
      </c>
      <c r="C1846" s="38" t="s">
        <v>651</v>
      </c>
      <c r="D1846" s="38" t="s">
        <v>288</v>
      </c>
      <c r="E1846" s="38" t="s">
        <v>615</v>
      </c>
      <c r="F1846" s="37" t="s">
        <v>616</v>
      </c>
      <c r="G1846" s="38" t="s">
        <v>70</v>
      </c>
      <c r="H1846" s="37"/>
      <c r="I1846" s="37"/>
      <c r="J1846" s="37" t="s">
        <v>634</v>
      </c>
      <c r="K1846" s="40"/>
      <c r="L1846" s="38"/>
      <c r="M1846" s="38"/>
      <c r="N1846" s="37"/>
      <c r="O1846" s="37"/>
      <c r="P1846" s="37"/>
      <c r="Q1846" s="37"/>
      <c r="R1846" s="39"/>
      <c r="S1846" s="37"/>
      <c r="T1846" s="38" t="s">
        <v>293</v>
      </c>
    </row>
    <row r="1847" ht="34.5">
      <c r="A1847" s="38" t="s">
        <v>1215</v>
      </c>
      <c r="B1847" s="38" t="s">
        <v>1216</v>
      </c>
      <c r="C1847" s="38" t="s">
        <v>651</v>
      </c>
      <c r="D1847" s="38" t="s">
        <v>288</v>
      </c>
      <c r="E1847" s="38" t="s">
        <v>615</v>
      </c>
      <c r="F1847" s="37" t="s">
        <v>616</v>
      </c>
      <c r="G1847" s="38" t="s">
        <v>70</v>
      </c>
      <c r="H1847" s="37"/>
      <c r="I1847" s="37"/>
      <c r="J1847" s="37" t="s">
        <v>635</v>
      </c>
      <c r="K1847" s="40"/>
      <c r="L1847" s="38"/>
      <c r="M1847" s="38"/>
      <c r="N1847" s="37"/>
      <c r="O1847" s="37"/>
      <c r="P1847" s="37"/>
      <c r="Q1847" s="37"/>
      <c r="R1847" s="39"/>
      <c r="S1847" s="37"/>
      <c r="T1847" s="38" t="s">
        <v>293</v>
      </c>
    </row>
    <row r="1848" ht="34.5">
      <c r="A1848" s="38" t="s">
        <v>1215</v>
      </c>
      <c r="B1848" s="38" t="s">
        <v>1216</v>
      </c>
      <c r="C1848" s="38" t="s">
        <v>651</v>
      </c>
      <c r="D1848" s="38" t="s">
        <v>288</v>
      </c>
      <c r="E1848" s="38" t="s">
        <v>615</v>
      </c>
      <c r="F1848" s="37" t="s">
        <v>616</v>
      </c>
      <c r="G1848" s="38" t="s">
        <v>70</v>
      </c>
      <c r="H1848" s="37"/>
      <c r="I1848" s="37"/>
      <c r="J1848" s="37" t="s">
        <v>636</v>
      </c>
      <c r="K1848" s="40"/>
      <c r="L1848" s="38"/>
      <c r="M1848" s="38"/>
      <c r="N1848" s="37"/>
      <c r="O1848" s="37"/>
      <c r="P1848" s="37"/>
      <c r="Q1848" s="37"/>
      <c r="R1848" s="39"/>
      <c r="S1848" s="37"/>
      <c r="T1848" s="38" t="s">
        <v>293</v>
      </c>
    </row>
    <row r="1849" ht="34.5">
      <c r="A1849" s="38" t="s">
        <v>1215</v>
      </c>
      <c r="B1849" s="38" t="s">
        <v>1216</v>
      </c>
      <c r="C1849" s="38" t="s">
        <v>657</v>
      </c>
      <c r="D1849" s="38" t="s">
        <v>288</v>
      </c>
      <c r="E1849" s="38" t="s">
        <v>615</v>
      </c>
      <c r="F1849" s="37" t="s">
        <v>616</v>
      </c>
      <c r="G1849" s="38" t="s">
        <v>70</v>
      </c>
      <c r="H1849" s="37"/>
      <c r="I1849" s="37"/>
      <c r="J1849" s="37" t="s">
        <v>1686</v>
      </c>
      <c r="K1849" s="40"/>
      <c r="L1849" s="38"/>
      <c r="M1849" s="38"/>
      <c r="N1849" s="37"/>
      <c r="O1849" s="37"/>
      <c r="P1849" s="37"/>
      <c r="Q1849" s="37"/>
      <c r="R1849" s="39"/>
      <c r="S1849" s="37"/>
      <c r="T1849" s="38" t="s">
        <v>293</v>
      </c>
    </row>
    <row r="1850" ht="34.5">
      <c r="A1850" s="38" t="s">
        <v>1215</v>
      </c>
      <c r="B1850" s="38" t="s">
        <v>1216</v>
      </c>
      <c r="C1850" s="38" t="s">
        <v>657</v>
      </c>
      <c r="D1850" s="38" t="s">
        <v>288</v>
      </c>
      <c r="E1850" s="38" t="s">
        <v>615</v>
      </c>
      <c r="F1850" s="37" t="s">
        <v>616</v>
      </c>
      <c r="G1850" s="38" t="s">
        <v>70</v>
      </c>
      <c r="H1850" s="37"/>
      <c r="I1850" s="37"/>
      <c r="J1850" s="37" t="s">
        <v>1687</v>
      </c>
      <c r="K1850" s="40">
        <v>12541842</v>
      </c>
      <c r="L1850" s="38" t="s">
        <v>297</v>
      </c>
      <c r="M1850" s="38"/>
      <c r="N1850" s="37"/>
      <c r="O1850" s="37"/>
      <c r="P1850" s="37"/>
      <c r="Q1850" s="37"/>
      <c r="R1850" s="39"/>
      <c r="S1850" s="37"/>
      <c r="T1850" s="38" t="s">
        <v>293</v>
      </c>
    </row>
    <row r="1851" ht="34.5">
      <c r="A1851" s="38" t="s">
        <v>1215</v>
      </c>
      <c r="B1851" s="38" t="s">
        <v>1216</v>
      </c>
      <c r="C1851" s="38" t="s">
        <v>657</v>
      </c>
      <c r="D1851" s="38" t="s">
        <v>288</v>
      </c>
      <c r="E1851" s="38" t="s">
        <v>615</v>
      </c>
      <c r="F1851" s="37" t="s">
        <v>616</v>
      </c>
      <c r="G1851" s="38" t="s">
        <v>70</v>
      </c>
      <c r="H1851" s="37"/>
      <c r="I1851" s="37"/>
      <c r="J1851" s="37" t="s">
        <v>978</v>
      </c>
      <c r="K1851" s="40"/>
      <c r="L1851" s="38"/>
      <c r="M1851" s="38"/>
      <c r="N1851" s="37"/>
      <c r="O1851" s="37"/>
      <c r="P1851" s="37"/>
      <c r="Q1851" s="37"/>
      <c r="R1851" s="39"/>
      <c r="S1851" s="37"/>
      <c r="T1851" s="38" t="s">
        <v>293</v>
      </c>
    </row>
    <row r="1852" ht="34.5">
      <c r="A1852" s="38" t="s">
        <v>1215</v>
      </c>
      <c r="B1852" s="38" t="s">
        <v>1216</v>
      </c>
      <c r="C1852" s="38" t="s">
        <v>657</v>
      </c>
      <c r="D1852" s="38" t="s">
        <v>288</v>
      </c>
      <c r="E1852" s="38" t="s">
        <v>615</v>
      </c>
      <c r="F1852" s="37" t="s">
        <v>616</v>
      </c>
      <c r="G1852" s="38" t="s">
        <v>70</v>
      </c>
      <c r="H1852" s="37"/>
      <c r="I1852" s="37"/>
      <c r="J1852" s="37" t="s">
        <v>1688</v>
      </c>
      <c r="K1852" s="40"/>
      <c r="L1852" s="38"/>
      <c r="M1852" s="38"/>
      <c r="N1852" s="37"/>
      <c r="O1852" s="37"/>
      <c r="P1852" s="37"/>
      <c r="Q1852" s="37"/>
      <c r="R1852" s="39"/>
      <c r="S1852" s="37"/>
      <c r="T1852" s="38" t="s">
        <v>293</v>
      </c>
    </row>
    <row r="1853" ht="34.5">
      <c r="A1853" s="38" t="s">
        <v>1215</v>
      </c>
      <c r="B1853" s="38" t="s">
        <v>1216</v>
      </c>
      <c r="C1853" s="38" t="s">
        <v>657</v>
      </c>
      <c r="D1853" s="38" t="s">
        <v>288</v>
      </c>
      <c r="E1853" s="38" t="s">
        <v>615</v>
      </c>
      <c r="F1853" s="37" t="s">
        <v>616</v>
      </c>
      <c r="G1853" s="38" t="s">
        <v>70</v>
      </c>
      <c r="H1853" s="37"/>
      <c r="I1853" s="37"/>
      <c r="J1853" s="37" t="s">
        <v>980</v>
      </c>
      <c r="K1853" s="40"/>
      <c r="L1853" s="38"/>
      <c r="M1853" s="38"/>
      <c r="N1853" s="37"/>
      <c r="O1853" s="37"/>
      <c r="P1853" s="37"/>
      <c r="Q1853" s="37"/>
      <c r="R1853" s="39"/>
      <c r="S1853" s="37"/>
      <c r="T1853" s="38" t="s">
        <v>293</v>
      </c>
    </row>
    <row r="1854" ht="34.5">
      <c r="A1854" s="38" t="s">
        <v>1215</v>
      </c>
      <c r="B1854" s="38" t="s">
        <v>1216</v>
      </c>
      <c r="C1854" s="38" t="s">
        <v>657</v>
      </c>
      <c r="D1854" s="38" t="s">
        <v>639</v>
      </c>
      <c r="E1854" s="38" t="s">
        <v>615</v>
      </c>
      <c r="F1854" s="37" t="s">
        <v>616</v>
      </c>
      <c r="G1854" s="38" t="s">
        <v>70</v>
      </c>
      <c r="H1854" s="37"/>
      <c r="I1854" s="37"/>
      <c r="J1854" s="37" t="s">
        <v>640</v>
      </c>
      <c r="K1854" s="40"/>
      <c r="L1854" s="38"/>
      <c r="M1854" s="38"/>
      <c r="N1854" s="37"/>
      <c r="O1854" s="37"/>
      <c r="P1854" s="37"/>
      <c r="Q1854" s="37"/>
      <c r="R1854" s="39"/>
      <c r="S1854" s="37"/>
      <c r="T1854" s="38" t="s">
        <v>293</v>
      </c>
    </row>
    <row r="1855" ht="34.5">
      <c r="A1855" s="38" t="s">
        <v>1215</v>
      </c>
      <c r="B1855" s="38" t="s">
        <v>1216</v>
      </c>
      <c r="C1855" s="38" t="s">
        <v>657</v>
      </c>
      <c r="D1855" s="38" t="s">
        <v>288</v>
      </c>
      <c r="E1855" s="38" t="s">
        <v>615</v>
      </c>
      <c r="F1855" s="37" t="s">
        <v>616</v>
      </c>
      <c r="G1855" s="38" t="s">
        <v>70</v>
      </c>
      <c r="H1855" s="37"/>
      <c r="I1855" s="37"/>
      <c r="J1855" s="37" t="s">
        <v>1689</v>
      </c>
      <c r="K1855" s="40"/>
      <c r="L1855" s="38"/>
      <c r="M1855" s="38"/>
      <c r="N1855" s="37"/>
      <c r="O1855" s="37"/>
      <c r="P1855" s="37"/>
      <c r="Q1855" s="37"/>
      <c r="R1855" s="39"/>
      <c r="S1855" s="37"/>
      <c r="T1855" s="38" t="s">
        <v>293</v>
      </c>
    </row>
    <row r="1856" ht="34.5">
      <c r="A1856" s="38" t="s">
        <v>1215</v>
      </c>
      <c r="B1856" s="38" t="s">
        <v>1216</v>
      </c>
      <c r="C1856" s="38" t="s">
        <v>665</v>
      </c>
      <c r="D1856" s="38" t="s">
        <v>288</v>
      </c>
      <c r="E1856" s="38" t="s">
        <v>615</v>
      </c>
      <c r="F1856" s="37" t="s">
        <v>616</v>
      </c>
      <c r="G1856" s="38" t="s">
        <v>70</v>
      </c>
      <c r="H1856" s="37"/>
      <c r="I1856" s="37"/>
      <c r="J1856" s="37" t="s">
        <v>1690</v>
      </c>
      <c r="K1856" s="40"/>
      <c r="L1856" s="38"/>
      <c r="M1856" s="38"/>
      <c r="N1856" s="37"/>
      <c r="O1856" s="37"/>
      <c r="P1856" s="37"/>
      <c r="Q1856" s="37"/>
      <c r="R1856" s="39"/>
      <c r="S1856" s="37"/>
      <c r="T1856" s="38" t="s">
        <v>293</v>
      </c>
    </row>
    <row r="1857" ht="34.5">
      <c r="A1857" s="38" t="s">
        <v>1215</v>
      </c>
      <c r="B1857" s="38" t="s">
        <v>1216</v>
      </c>
      <c r="C1857" s="38" t="s">
        <v>665</v>
      </c>
      <c r="D1857" s="38" t="s">
        <v>644</v>
      </c>
      <c r="E1857" s="38" t="s">
        <v>615</v>
      </c>
      <c r="F1857" s="37" t="s">
        <v>616</v>
      </c>
      <c r="G1857" s="38" t="s">
        <v>70</v>
      </c>
      <c r="H1857" s="37"/>
      <c r="I1857" s="37"/>
      <c r="J1857" s="37" t="s">
        <v>645</v>
      </c>
      <c r="K1857" s="40"/>
      <c r="L1857" s="38"/>
      <c r="M1857" s="38"/>
      <c r="N1857" s="37"/>
      <c r="O1857" s="37"/>
      <c r="P1857" s="37"/>
      <c r="Q1857" s="37"/>
      <c r="R1857" s="39"/>
      <c r="S1857" s="37"/>
      <c r="T1857" s="38" t="s">
        <v>293</v>
      </c>
    </row>
    <row r="1858" ht="34.5">
      <c r="A1858" s="38" t="s">
        <v>1215</v>
      </c>
      <c r="B1858" s="38" t="s">
        <v>1216</v>
      </c>
      <c r="C1858" s="38" t="s">
        <v>676</v>
      </c>
      <c r="D1858" s="38" t="s">
        <v>288</v>
      </c>
      <c r="E1858" s="38" t="s">
        <v>615</v>
      </c>
      <c r="F1858" s="37" t="s">
        <v>616</v>
      </c>
      <c r="G1858" s="38" t="s">
        <v>70</v>
      </c>
      <c r="H1858" s="37"/>
      <c r="I1858" s="37"/>
      <c r="J1858" s="37" t="s">
        <v>1691</v>
      </c>
      <c r="K1858" s="40"/>
      <c r="L1858" s="38"/>
      <c r="M1858" s="38"/>
      <c r="N1858" s="37"/>
      <c r="O1858" s="37"/>
      <c r="P1858" s="37"/>
      <c r="Q1858" s="37"/>
      <c r="R1858" s="39"/>
      <c r="S1858" s="37"/>
      <c r="T1858" s="38" t="s">
        <v>293</v>
      </c>
    </row>
    <row r="1859" ht="34.5">
      <c r="A1859" s="38" t="s">
        <v>1215</v>
      </c>
      <c r="B1859" s="38" t="s">
        <v>1216</v>
      </c>
      <c r="C1859" s="38" t="s">
        <v>676</v>
      </c>
      <c r="D1859" s="38" t="s">
        <v>288</v>
      </c>
      <c r="E1859" s="38" t="s">
        <v>615</v>
      </c>
      <c r="F1859" s="37" t="s">
        <v>616</v>
      </c>
      <c r="G1859" s="38" t="s">
        <v>70</v>
      </c>
      <c r="H1859" s="37"/>
      <c r="I1859" s="37"/>
      <c r="J1859" s="37" t="s">
        <v>1692</v>
      </c>
      <c r="K1859" s="40"/>
      <c r="L1859" s="38"/>
      <c r="M1859" s="38"/>
      <c r="N1859" s="37"/>
      <c r="O1859" s="37"/>
      <c r="P1859" s="37"/>
      <c r="Q1859" s="37"/>
      <c r="R1859" s="39"/>
      <c r="S1859" s="37"/>
      <c r="T1859" s="38" t="s">
        <v>293</v>
      </c>
    </row>
    <row r="1860" ht="34.5">
      <c r="A1860" s="38" t="s">
        <v>1215</v>
      </c>
      <c r="B1860" s="38" t="s">
        <v>1216</v>
      </c>
      <c r="C1860" s="38" t="s">
        <v>676</v>
      </c>
      <c r="D1860" s="38" t="s">
        <v>655</v>
      </c>
      <c r="E1860" s="38" t="s">
        <v>615</v>
      </c>
      <c r="F1860" s="37" t="s">
        <v>616</v>
      </c>
      <c r="G1860" s="38" t="s">
        <v>70</v>
      </c>
      <c r="H1860" s="37"/>
      <c r="I1860" s="37"/>
      <c r="J1860" s="37" t="s">
        <v>656</v>
      </c>
      <c r="K1860" s="40"/>
      <c r="L1860" s="38"/>
      <c r="M1860" s="38"/>
      <c r="N1860" s="37"/>
      <c r="O1860" s="37"/>
      <c r="P1860" s="37"/>
      <c r="Q1860" s="37"/>
      <c r="R1860" s="39"/>
      <c r="S1860" s="37"/>
      <c r="T1860" s="38" t="s">
        <v>293</v>
      </c>
    </row>
    <row r="1861" ht="34.5">
      <c r="A1861" s="38" t="s">
        <v>1215</v>
      </c>
      <c r="B1861" s="38" t="s">
        <v>1216</v>
      </c>
      <c r="C1861" s="38" t="s">
        <v>676</v>
      </c>
      <c r="D1861" s="38" t="s">
        <v>288</v>
      </c>
      <c r="E1861" s="38" t="s">
        <v>615</v>
      </c>
      <c r="F1861" s="37" t="s">
        <v>616</v>
      </c>
      <c r="G1861" s="38" t="s">
        <v>70</v>
      </c>
      <c r="H1861" s="37"/>
      <c r="I1861" s="37"/>
      <c r="J1861" s="37" t="s">
        <v>646</v>
      </c>
      <c r="K1861" s="40"/>
      <c r="L1861" s="38"/>
      <c r="M1861" s="38"/>
      <c r="N1861" s="37"/>
      <c r="O1861" s="37"/>
      <c r="P1861" s="37"/>
      <c r="Q1861" s="37"/>
      <c r="R1861" s="39"/>
      <c r="S1861" s="37"/>
      <c r="T1861" s="38" t="s">
        <v>293</v>
      </c>
    </row>
    <row r="1862" ht="34.5">
      <c r="A1862" s="38" t="s">
        <v>1215</v>
      </c>
      <c r="B1862" s="38" t="s">
        <v>1216</v>
      </c>
      <c r="C1862" s="38" t="s">
        <v>676</v>
      </c>
      <c r="D1862" s="38" t="s">
        <v>288</v>
      </c>
      <c r="E1862" s="38" t="s">
        <v>615</v>
      </c>
      <c r="F1862" s="37" t="s">
        <v>616</v>
      </c>
      <c r="G1862" s="38" t="s">
        <v>70</v>
      </c>
      <c r="H1862" s="37"/>
      <c r="I1862" s="37"/>
      <c r="J1862" s="37" t="s">
        <v>647</v>
      </c>
      <c r="K1862" s="40"/>
      <c r="L1862" s="38"/>
      <c r="M1862" s="38"/>
      <c r="N1862" s="37"/>
      <c r="O1862" s="37"/>
      <c r="P1862" s="37"/>
      <c r="Q1862" s="37"/>
      <c r="R1862" s="39"/>
      <c r="S1862" s="37"/>
      <c r="T1862" s="38" t="s">
        <v>293</v>
      </c>
    </row>
    <row r="1863" ht="34.5">
      <c r="A1863" s="38" t="s">
        <v>1215</v>
      </c>
      <c r="B1863" s="38" t="s">
        <v>1216</v>
      </c>
      <c r="C1863" s="38" t="s">
        <v>676</v>
      </c>
      <c r="D1863" s="38" t="s">
        <v>288</v>
      </c>
      <c r="E1863" s="38" t="s">
        <v>615</v>
      </c>
      <c r="F1863" s="37" t="s">
        <v>616</v>
      </c>
      <c r="G1863" s="38" t="s">
        <v>70</v>
      </c>
      <c r="H1863" s="37"/>
      <c r="I1863" s="37"/>
      <c r="J1863" s="37" t="s">
        <v>1120</v>
      </c>
      <c r="K1863" s="40"/>
      <c r="L1863" s="38"/>
      <c r="M1863" s="38"/>
      <c r="N1863" s="37"/>
      <c r="O1863" s="37"/>
      <c r="P1863" s="37"/>
      <c r="Q1863" s="37"/>
      <c r="R1863" s="39"/>
      <c r="S1863" s="37"/>
      <c r="T1863" s="38" t="s">
        <v>293</v>
      </c>
    </row>
    <row r="1864" ht="34.5">
      <c r="A1864" s="38" t="s">
        <v>1215</v>
      </c>
      <c r="B1864" s="38" t="s">
        <v>1216</v>
      </c>
      <c r="C1864" s="38" t="s">
        <v>676</v>
      </c>
      <c r="D1864" s="38" t="s">
        <v>288</v>
      </c>
      <c r="E1864" s="38" t="s">
        <v>615</v>
      </c>
      <c r="F1864" s="37" t="s">
        <v>616</v>
      </c>
      <c r="G1864" s="38" t="s">
        <v>70</v>
      </c>
      <c r="H1864" s="37"/>
      <c r="I1864" s="37"/>
      <c r="J1864" s="37" t="s">
        <v>1693</v>
      </c>
      <c r="K1864" s="40"/>
      <c r="L1864" s="38"/>
      <c r="M1864" s="38"/>
      <c r="N1864" s="37"/>
      <c r="O1864" s="37"/>
      <c r="P1864" s="37"/>
      <c r="Q1864" s="37"/>
      <c r="R1864" s="39"/>
      <c r="S1864" s="37"/>
      <c r="T1864" s="38" t="s">
        <v>293</v>
      </c>
    </row>
    <row r="1865" ht="34.5">
      <c r="A1865" s="38" t="s">
        <v>1215</v>
      </c>
      <c r="B1865" s="38" t="s">
        <v>1216</v>
      </c>
      <c r="C1865" s="38" t="s">
        <v>676</v>
      </c>
      <c r="D1865" s="38" t="s">
        <v>288</v>
      </c>
      <c r="E1865" s="38" t="s">
        <v>615</v>
      </c>
      <c r="F1865" s="37" t="s">
        <v>616</v>
      </c>
      <c r="G1865" s="38" t="s">
        <v>70</v>
      </c>
      <c r="H1865" s="37"/>
      <c r="I1865" s="37"/>
      <c r="J1865" s="37" t="s">
        <v>650</v>
      </c>
      <c r="K1865" s="40"/>
      <c r="L1865" s="38"/>
      <c r="M1865" s="38"/>
      <c r="N1865" s="37"/>
      <c r="O1865" s="37"/>
      <c r="P1865" s="37"/>
      <c r="Q1865" s="37"/>
      <c r="R1865" s="39"/>
      <c r="S1865" s="37"/>
      <c r="T1865" s="38" t="s">
        <v>293</v>
      </c>
    </row>
    <row r="1866" ht="34.5">
      <c r="A1866" s="38" t="s">
        <v>1215</v>
      </c>
      <c r="B1866" s="38" t="s">
        <v>1216</v>
      </c>
      <c r="C1866" s="38" t="s">
        <v>681</v>
      </c>
      <c r="D1866" s="38" t="s">
        <v>288</v>
      </c>
      <c r="E1866" s="38" t="s">
        <v>615</v>
      </c>
      <c r="F1866" s="37" t="s">
        <v>616</v>
      </c>
      <c r="G1866" s="38" t="s">
        <v>70</v>
      </c>
      <c r="H1866" s="37"/>
      <c r="I1866" s="37"/>
      <c r="J1866" s="37" t="s">
        <v>652</v>
      </c>
      <c r="K1866" s="40"/>
      <c r="L1866" s="38"/>
      <c r="M1866" s="38"/>
      <c r="N1866" s="37"/>
      <c r="O1866" s="37"/>
      <c r="P1866" s="37"/>
      <c r="Q1866" s="37"/>
      <c r="R1866" s="39"/>
      <c r="S1866" s="37"/>
      <c r="T1866" s="38" t="s">
        <v>293</v>
      </c>
    </row>
    <row r="1867" ht="34.5">
      <c r="A1867" s="38" t="s">
        <v>1215</v>
      </c>
      <c r="B1867" s="38" t="s">
        <v>1216</v>
      </c>
      <c r="C1867" s="38" t="s">
        <v>681</v>
      </c>
      <c r="D1867" s="38" t="s">
        <v>288</v>
      </c>
      <c r="E1867" s="38" t="s">
        <v>615</v>
      </c>
      <c r="F1867" s="37" t="s">
        <v>616</v>
      </c>
      <c r="G1867" s="38" t="s">
        <v>70</v>
      </c>
      <c r="H1867" s="37"/>
      <c r="I1867" s="37"/>
      <c r="J1867" s="37" t="s">
        <v>653</v>
      </c>
      <c r="K1867" s="40"/>
      <c r="L1867" s="38"/>
      <c r="M1867" s="38"/>
      <c r="N1867" s="37"/>
      <c r="O1867" s="37"/>
      <c r="P1867" s="37"/>
      <c r="Q1867" s="37"/>
      <c r="R1867" s="39"/>
      <c r="S1867" s="37"/>
      <c r="T1867" s="38" t="s">
        <v>293</v>
      </c>
    </row>
    <row r="1868" ht="34.5">
      <c r="A1868" s="38" t="s">
        <v>1215</v>
      </c>
      <c r="B1868" s="38" t="s">
        <v>1216</v>
      </c>
      <c r="C1868" s="38" t="s">
        <v>681</v>
      </c>
      <c r="D1868" s="38" t="s">
        <v>288</v>
      </c>
      <c r="E1868" s="38" t="s">
        <v>615</v>
      </c>
      <c r="F1868" s="37" t="s">
        <v>616</v>
      </c>
      <c r="G1868" s="38" t="s">
        <v>70</v>
      </c>
      <c r="H1868" s="37"/>
      <c r="I1868" s="37"/>
      <c r="J1868" s="37" t="s">
        <v>654</v>
      </c>
      <c r="K1868" s="40"/>
      <c r="L1868" s="38"/>
      <c r="M1868" s="38"/>
      <c r="N1868" s="37"/>
      <c r="O1868" s="37"/>
      <c r="P1868" s="37"/>
      <c r="Q1868" s="37"/>
      <c r="R1868" s="39"/>
      <c r="S1868" s="37"/>
      <c r="T1868" s="38" t="s">
        <v>293</v>
      </c>
    </row>
    <row r="1869" ht="34.5">
      <c r="A1869" s="38" t="s">
        <v>1215</v>
      </c>
      <c r="B1869" s="38" t="s">
        <v>1216</v>
      </c>
      <c r="C1869" s="38" t="s">
        <v>681</v>
      </c>
      <c r="D1869" s="38" t="s">
        <v>667</v>
      </c>
      <c r="E1869" s="38" t="s">
        <v>615</v>
      </c>
      <c r="F1869" s="37" t="s">
        <v>616</v>
      </c>
      <c r="G1869" s="38" t="s">
        <v>70</v>
      </c>
      <c r="H1869" s="37"/>
      <c r="I1869" s="37"/>
      <c r="J1869" s="37" t="s">
        <v>668</v>
      </c>
      <c r="K1869" s="40"/>
      <c r="L1869" s="38"/>
      <c r="M1869" s="38"/>
      <c r="N1869" s="37"/>
      <c r="O1869" s="37"/>
      <c r="P1869" s="37"/>
      <c r="Q1869" s="37"/>
      <c r="R1869" s="39"/>
      <c r="S1869" s="37"/>
      <c r="T1869" s="38" t="s">
        <v>293</v>
      </c>
    </row>
    <row r="1870" ht="34.5">
      <c r="A1870" s="38" t="s">
        <v>1215</v>
      </c>
      <c r="B1870" s="38" t="s">
        <v>1216</v>
      </c>
      <c r="C1870" s="38" t="s">
        <v>690</v>
      </c>
      <c r="D1870" s="38" t="s">
        <v>288</v>
      </c>
      <c r="E1870" s="38" t="s">
        <v>615</v>
      </c>
      <c r="F1870" s="37" t="s">
        <v>616</v>
      </c>
      <c r="G1870" s="38" t="s">
        <v>70</v>
      </c>
      <c r="H1870" s="37"/>
      <c r="I1870" s="37"/>
      <c r="J1870" s="37" t="s">
        <v>1694</v>
      </c>
      <c r="K1870" s="40"/>
      <c r="L1870" s="38"/>
      <c r="M1870" s="38"/>
      <c r="N1870" s="37"/>
      <c r="O1870" s="37"/>
      <c r="P1870" s="37"/>
      <c r="Q1870" s="37"/>
      <c r="R1870" s="39"/>
      <c r="S1870" s="37"/>
      <c r="T1870" s="38" t="s">
        <v>293</v>
      </c>
    </row>
    <row r="1871" ht="34.5">
      <c r="A1871" s="38" t="s">
        <v>1215</v>
      </c>
      <c r="B1871" s="38" t="s">
        <v>1216</v>
      </c>
      <c r="C1871" s="38" t="s">
        <v>690</v>
      </c>
      <c r="D1871" s="38" t="s">
        <v>288</v>
      </c>
      <c r="E1871" s="38" t="s">
        <v>615</v>
      </c>
      <c r="F1871" s="37" t="s">
        <v>616</v>
      </c>
      <c r="G1871" s="38" t="s">
        <v>70</v>
      </c>
      <c r="H1871" s="37"/>
      <c r="I1871" s="37"/>
      <c r="J1871" s="37" t="s">
        <v>1695</v>
      </c>
      <c r="K1871" s="40"/>
      <c r="L1871" s="38"/>
      <c r="M1871" s="38"/>
      <c r="N1871" s="37"/>
      <c r="O1871" s="37"/>
      <c r="P1871" s="37"/>
      <c r="Q1871" s="37"/>
      <c r="R1871" s="39"/>
      <c r="S1871" s="37"/>
      <c r="T1871" s="38" t="s">
        <v>293</v>
      </c>
    </row>
    <row r="1872" ht="34.5">
      <c r="A1872" s="38" t="s">
        <v>1215</v>
      </c>
      <c r="B1872" s="38" t="s">
        <v>1216</v>
      </c>
      <c r="C1872" s="38" t="s">
        <v>690</v>
      </c>
      <c r="D1872" s="38" t="s">
        <v>288</v>
      </c>
      <c r="E1872" s="38" t="s">
        <v>615</v>
      </c>
      <c r="F1872" s="37" t="s">
        <v>616</v>
      </c>
      <c r="G1872" s="38" t="s">
        <v>70</v>
      </c>
      <c r="H1872" s="37"/>
      <c r="I1872" s="37"/>
      <c r="J1872" s="37" t="s">
        <v>1696</v>
      </c>
      <c r="K1872" s="40"/>
      <c r="L1872" s="38"/>
      <c r="M1872" s="38"/>
      <c r="N1872" s="37"/>
      <c r="O1872" s="37"/>
      <c r="P1872" s="37"/>
      <c r="Q1872" s="37"/>
      <c r="R1872" s="39"/>
      <c r="S1872" s="37"/>
      <c r="T1872" s="38" t="s">
        <v>293</v>
      </c>
    </row>
    <row r="1873" ht="34.5">
      <c r="A1873" s="38" t="s">
        <v>1215</v>
      </c>
      <c r="B1873" s="38" t="s">
        <v>1216</v>
      </c>
      <c r="C1873" s="38" t="s">
        <v>690</v>
      </c>
      <c r="D1873" s="38" t="s">
        <v>288</v>
      </c>
      <c r="E1873" s="38" t="s">
        <v>615</v>
      </c>
      <c r="F1873" s="37" t="s">
        <v>616</v>
      </c>
      <c r="G1873" s="38" t="s">
        <v>70</v>
      </c>
      <c r="H1873" s="37"/>
      <c r="I1873" s="37"/>
      <c r="J1873" s="37" t="s">
        <v>1697</v>
      </c>
      <c r="K1873" s="40"/>
      <c r="L1873" s="38"/>
      <c r="M1873" s="38"/>
      <c r="N1873" s="37"/>
      <c r="O1873" s="37"/>
      <c r="P1873" s="37"/>
      <c r="Q1873" s="37"/>
      <c r="R1873" s="39"/>
      <c r="S1873" s="37"/>
      <c r="T1873" s="38" t="s">
        <v>293</v>
      </c>
    </row>
    <row r="1874" ht="34.5">
      <c r="A1874" s="38" t="s">
        <v>1215</v>
      </c>
      <c r="B1874" s="38" t="s">
        <v>1216</v>
      </c>
      <c r="C1874" s="38" t="s">
        <v>690</v>
      </c>
      <c r="D1874" s="38" t="s">
        <v>288</v>
      </c>
      <c r="E1874" s="38" t="s">
        <v>615</v>
      </c>
      <c r="F1874" s="37" t="s">
        <v>616</v>
      </c>
      <c r="G1874" s="38" t="s">
        <v>70</v>
      </c>
      <c r="H1874" s="37"/>
      <c r="I1874" s="37"/>
      <c r="J1874" s="37" t="s">
        <v>1698</v>
      </c>
      <c r="K1874" s="40"/>
      <c r="L1874" s="38"/>
      <c r="M1874" s="38"/>
      <c r="N1874" s="37"/>
      <c r="O1874" s="37"/>
      <c r="P1874" s="37"/>
      <c r="Q1874" s="37"/>
      <c r="R1874" s="39"/>
      <c r="S1874" s="37"/>
      <c r="T1874" s="38" t="s">
        <v>293</v>
      </c>
    </row>
    <row r="1875" ht="34.5">
      <c r="A1875" s="38" t="s">
        <v>1215</v>
      </c>
      <c r="B1875" s="38" t="s">
        <v>1216</v>
      </c>
      <c r="C1875" s="38" t="s">
        <v>690</v>
      </c>
      <c r="D1875" s="38" t="s">
        <v>288</v>
      </c>
      <c r="E1875" s="38" t="s">
        <v>615</v>
      </c>
      <c r="F1875" s="37" t="s">
        <v>616</v>
      </c>
      <c r="G1875" s="38" t="s">
        <v>70</v>
      </c>
      <c r="H1875" s="37"/>
      <c r="I1875" s="37"/>
      <c r="J1875" s="37" t="s">
        <v>1124</v>
      </c>
      <c r="K1875" s="40"/>
      <c r="L1875" s="38"/>
      <c r="M1875" s="38"/>
      <c r="N1875" s="37"/>
      <c r="O1875" s="37"/>
      <c r="P1875" s="37"/>
      <c r="Q1875" s="37"/>
      <c r="R1875" s="39"/>
      <c r="S1875" s="37"/>
      <c r="T1875" s="38" t="s">
        <v>293</v>
      </c>
    </row>
    <row r="1876" ht="34.5">
      <c r="A1876" s="38" t="s">
        <v>1215</v>
      </c>
      <c r="B1876" s="38" t="s">
        <v>1216</v>
      </c>
      <c r="C1876" s="38" t="s">
        <v>690</v>
      </c>
      <c r="D1876" s="38" t="s">
        <v>288</v>
      </c>
      <c r="E1876" s="38" t="s">
        <v>615</v>
      </c>
      <c r="F1876" s="37" t="s">
        <v>616</v>
      </c>
      <c r="G1876" s="38" t="s">
        <v>70</v>
      </c>
      <c r="H1876" s="37"/>
      <c r="I1876" s="37"/>
      <c r="J1876" s="37" t="s">
        <v>1125</v>
      </c>
      <c r="K1876" s="40"/>
      <c r="L1876" s="38"/>
      <c r="M1876" s="38"/>
      <c r="N1876" s="37"/>
      <c r="O1876" s="37"/>
      <c r="P1876" s="37"/>
      <c r="Q1876" s="37"/>
      <c r="R1876" s="39"/>
      <c r="S1876" s="37"/>
      <c r="T1876" s="38" t="s">
        <v>293</v>
      </c>
    </row>
    <row r="1877" ht="34.5">
      <c r="A1877" s="38" t="s">
        <v>1215</v>
      </c>
      <c r="B1877" s="38" t="s">
        <v>1216</v>
      </c>
      <c r="C1877" s="38" t="s">
        <v>690</v>
      </c>
      <c r="D1877" s="38" t="s">
        <v>288</v>
      </c>
      <c r="E1877" s="38" t="s">
        <v>615</v>
      </c>
      <c r="F1877" s="37" t="s">
        <v>616</v>
      </c>
      <c r="G1877" s="38" t="s">
        <v>70</v>
      </c>
      <c r="H1877" s="37"/>
      <c r="I1877" s="37"/>
      <c r="J1877" s="37" t="s">
        <v>664</v>
      </c>
      <c r="K1877" s="40"/>
      <c r="L1877" s="38"/>
      <c r="M1877" s="38"/>
      <c r="N1877" s="37"/>
      <c r="O1877" s="37"/>
      <c r="P1877" s="37"/>
      <c r="Q1877" s="37"/>
      <c r="R1877" s="39"/>
      <c r="S1877" s="37"/>
      <c r="T1877" s="38" t="s">
        <v>293</v>
      </c>
    </row>
    <row r="1878" ht="34.5">
      <c r="A1878" s="38" t="s">
        <v>1215</v>
      </c>
      <c r="B1878" s="38" t="s">
        <v>1216</v>
      </c>
      <c r="C1878" s="38" t="s">
        <v>696</v>
      </c>
      <c r="D1878" s="38" t="s">
        <v>288</v>
      </c>
      <c r="E1878" s="38" t="s">
        <v>615</v>
      </c>
      <c r="F1878" s="37" t="s">
        <v>616</v>
      </c>
      <c r="G1878" s="38" t="s">
        <v>70</v>
      </c>
      <c r="H1878" s="37"/>
      <c r="I1878" s="37"/>
      <c r="J1878" s="37" t="s">
        <v>666</v>
      </c>
      <c r="K1878" s="40"/>
      <c r="L1878" s="38"/>
      <c r="M1878" s="38"/>
      <c r="N1878" s="37"/>
      <c r="O1878" s="37"/>
      <c r="P1878" s="37"/>
      <c r="Q1878" s="37"/>
      <c r="R1878" s="39"/>
      <c r="S1878" s="37"/>
      <c r="T1878" s="38" t="s">
        <v>293</v>
      </c>
    </row>
    <row r="1879" ht="34.5">
      <c r="A1879" s="38" t="s">
        <v>1215</v>
      </c>
      <c r="B1879" s="38" t="s">
        <v>1216</v>
      </c>
      <c r="C1879" s="38" t="s">
        <v>696</v>
      </c>
      <c r="D1879" s="38" t="s">
        <v>678</v>
      </c>
      <c r="E1879" s="38" t="s">
        <v>615</v>
      </c>
      <c r="F1879" s="37" t="s">
        <v>616</v>
      </c>
      <c r="G1879" s="38" t="s">
        <v>70</v>
      </c>
      <c r="H1879" s="37"/>
      <c r="I1879" s="37"/>
      <c r="J1879" s="37" t="s">
        <v>679</v>
      </c>
      <c r="K1879" s="40"/>
      <c r="L1879" s="38"/>
      <c r="M1879" s="38"/>
      <c r="N1879" s="37"/>
      <c r="O1879" s="37"/>
      <c r="P1879" s="37"/>
      <c r="Q1879" s="37"/>
      <c r="R1879" s="39"/>
      <c r="S1879" s="37"/>
      <c r="T1879" s="38" t="s">
        <v>293</v>
      </c>
    </row>
    <row r="1880" ht="34.5">
      <c r="A1880" s="38" t="s">
        <v>1215</v>
      </c>
      <c r="B1880" s="38" t="s">
        <v>1216</v>
      </c>
      <c r="C1880" s="38" t="s">
        <v>696</v>
      </c>
      <c r="D1880" s="38" t="s">
        <v>288</v>
      </c>
      <c r="E1880" s="38" t="s">
        <v>615</v>
      </c>
      <c r="F1880" s="37" t="s">
        <v>616</v>
      </c>
      <c r="G1880" s="38" t="s">
        <v>70</v>
      </c>
      <c r="H1880" s="37"/>
      <c r="I1880" s="37"/>
      <c r="J1880" s="37" t="s">
        <v>669</v>
      </c>
      <c r="K1880" s="40"/>
      <c r="L1880" s="38"/>
      <c r="M1880" s="38"/>
      <c r="N1880" s="37"/>
      <c r="O1880" s="37"/>
      <c r="P1880" s="37"/>
      <c r="Q1880" s="37"/>
      <c r="R1880" s="39"/>
      <c r="S1880" s="37"/>
      <c r="T1880" s="38" t="s">
        <v>293</v>
      </c>
    </row>
    <row r="1881" ht="34.5">
      <c r="A1881" s="38" t="s">
        <v>1215</v>
      </c>
      <c r="B1881" s="38" t="s">
        <v>1216</v>
      </c>
      <c r="C1881" s="38" t="s">
        <v>696</v>
      </c>
      <c r="D1881" s="38" t="s">
        <v>288</v>
      </c>
      <c r="E1881" s="38" t="s">
        <v>615</v>
      </c>
      <c r="F1881" s="37" t="s">
        <v>616</v>
      </c>
      <c r="G1881" s="38" t="s">
        <v>70</v>
      </c>
      <c r="H1881" s="37"/>
      <c r="I1881" s="37"/>
      <c r="J1881" s="37" t="s">
        <v>985</v>
      </c>
      <c r="K1881" s="40"/>
      <c r="L1881" s="38"/>
      <c r="M1881" s="38"/>
      <c r="N1881" s="37"/>
      <c r="O1881" s="37"/>
      <c r="P1881" s="37"/>
      <c r="Q1881" s="37"/>
      <c r="R1881" s="39"/>
      <c r="S1881" s="37"/>
      <c r="T1881" s="38" t="s">
        <v>293</v>
      </c>
    </row>
    <row r="1882" ht="34.5">
      <c r="A1882" s="38" t="s">
        <v>1215</v>
      </c>
      <c r="B1882" s="38" t="s">
        <v>1216</v>
      </c>
      <c r="C1882" s="38" t="s">
        <v>696</v>
      </c>
      <c r="D1882" s="38" t="s">
        <v>288</v>
      </c>
      <c r="E1882" s="38" t="s">
        <v>615</v>
      </c>
      <c r="F1882" s="37" t="s">
        <v>616</v>
      </c>
      <c r="G1882" s="38" t="s">
        <v>70</v>
      </c>
      <c r="H1882" s="37"/>
      <c r="I1882" s="37"/>
      <c r="J1882" s="37" t="s">
        <v>1699</v>
      </c>
      <c r="K1882" s="40"/>
      <c r="L1882" s="38"/>
      <c r="M1882" s="38"/>
      <c r="N1882" s="37"/>
      <c r="O1882" s="37"/>
      <c r="P1882" s="37"/>
      <c r="Q1882" s="37"/>
      <c r="R1882" s="39"/>
      <c r="S1882" s="37"/>
      <c r="T1882" s="38" t="s">
        <v>293</v>
      </c>
    </row>
    <row r="1883" ht="34.5">
      <c r="A1883" s="38" t="s">
        <v>1215</v>
      </c>
      <c r="B1883" s="38" t="s">
        <v>1216</v>
      </c>
      <c r="C1883" s="38" t="s">
        <v>696</v>
      </c>
      <c r="D1883" s="38" t="s">
        <v>288</v>
      </c>
      <c r="E1883" s="38" t="s">
        <v>615</v>
      </c>
      <c r="F1883" s="37" t="s">
        <v>616</v>
      </c>
      <c r="G1883" s="38" t="s">
        <v>70</v>
      </c>
      <c r="H1883" s="37"/>
      <c r="I1883" s="37"/>
      <c r="J1883" s="37" t="s">
        <v>987</v>
      </c>
      <c r="K1883" s="40"/>
      <c r="L1883" s="38"/>
      <c r="M1883" s="38"/>
      <c r="N1883" s="37"/>
      <c r="O1883" s="37"/>
      <c r="P1883" s="37"/>
      <c r="Q1883" s="37"/>
      <c r="R1883" s="39"/>
      <c r="S1883" s="37"/>
      <c r="T1883" s="38" t="s">
        <v>293</v>
      </c>
    </row>
    <row r="1884" ht="34.5">
      <c r="A1884" s="38" t="s">
        <v>1215</v>
      </c>
      <c r="B1884" s="38" t="s">
        <v>1216</v>
      </c>
      <c r="C1884" s="38" t="s">
        <v>696</v>
      </c>
      <c r="D1884" s="38" t="s">
        <v>288</v>
      </c>
      <c r="E1884" s="38" t="s">
        <v>615</v>
      </c>
      <c r="F1884" s="37" t="s">
        <v>616</v>
      </c>
      <c r="G1884" s="38" t="s">
        <v>70</v>
      </c>
      <c r="H1884" s="37"/>
      <c r="I1884" s="37"/>
      <c r="J1884" s="37" t="s">
        <v>988</v>
      </c>
      <c r="K1884" s="40"/>
      <c r="L1884" s="38"/>
      <c r="M1884" s="38"/>
      <c r="N1884" s="37"/>
      <c r="O1884" s="37"/>
      <c r="P1884" s="37"/>
      <c r="Q1884" s="37"/>
      <c r="R1884" s="39"/>
      <c r="S1884" s="37"/>
      <c r="T1884" s="38" t="s">
        <v>293</v>
      </c>
    </row>
    <row r="1885" ht="34.5">
      <c r="A1885" s="38" t="s">
        <v>1215</v>
      </c>
      <c r="B1885" s="38" t="s">
        <v>1216</v>
      </c>
      <c r="C1885" s="38" t="s">
        <v>704</v>
      </c>
      <c r="D1885" s="38" t="s">
        <v>288</v>
      </c>
      <c r="E1885" s="38" t="s">
        <v>615</v>
      </c>
      <c r="F1885" s="37" t="s">
        <v>616</v>
      </c>
      <c r="G1885" s="38" t="s">
        <v>70</v>
      </c>
      <c r="H1885" s="37"/>
      <c r="I1885" s="37"/>
      <c r="J1885" s="37" t="s">
        <v>989</v>
      </c>
      <c r="K1885" s="40"/>
      <c r="L1885" s="38"/>
      <c r="M1885" s="38"/>
      <c r="N1885" s="37"/>
      <c r="O1885" s="37"/>
      <c r="P1885" s="37"/>
      <c r="Q1885" s="37"/>
      <c r="R1885" s="39"/>
      <c r="S1885" s="37"/>
      <c r="T1885" s="38" t="s">
        <v>293</v>
      </c>
    </row>
    <row r="1886" ht="34.5">
      <c r="A1886" s="38" t="s">
        <v>1215</v>
      </c>
      <c r="B1886" s="38" t="s">
        <v>1216</v>
      </c>
      <c r="C1886" s="38" t="s">
        <v>704</v>
      </c>
      <c r="D1886" s="38" t="s">
        <v>288</v>
      </c>
      <c r="E1886" s="38" t="s">
        <v>615</v>
      </c>
      <c r="F1886" s="37" t="s">
        <v>616</v>
      </c>
      <c r="G1886" s="38" t="s">
        <v>70</v>
      </c>
      <c r="H1886" s="37"/>
      <c r="I1886" s="37"/>
      <c r="J1886" s="37" t="s">
        <v>990</v>
      </c>
      <c r="K1886" s="40"/>
      <c r="L1886" s="38"/>
      <c r="M1886" s="38"/>
      <c r="N1886" s="37"/>
      <c r="O1886" s="37"/>
      <c r="P1886" s="37"/>
      <c r="Q1886" s="37"/>
      <c r="R1886" s="39"/>
      <c r="S1886" s="37"/>
      <c r="T1886" s="38" t="s">
        <v>293</v>
      </c>
    </row>
    <row r="1887" ht="34.5">
      <c r="A1887" s="38" t="s">
        <v>1215</v>
      </c>
      <c r="B1887" s="38" t="s">
        <v>1216</v>
      </c>
      <c r="C1887" s="38" t="s">
        <v>704</v>
      </c>
      <c r="D1887" s="38" t="s">
        <v>288</v>
      </c>
      <c r="E1887" s="38" t="s">
        <v>615</v>
      </c>
      <c r="F1887" s="37" t="s">
        <v>616</v>
      </c>
      <c r="G1887" s="38" t="s">
        <v>70</v>
      </c>
      <c r="H1887" s="37"/>
      <c r="I1887" s="37"/>
      <c r="J1887" s="37" t="s">
        <v>1700</v>
      </c>
      <c r="K1887" s="40"/>
      <c r="L1887" s="38"/>
      <c r="M1887" s="38"/>
      <c r="N1887" s="37"/>
      <c r="O1887" s="37"/>
      <c r="P1887" s="37"/>
      <c r="Q1887" s="37"/>
      <c r="R1887" s="39"/>
      <c r="S1887" s="37"/>
      <c r="T1887" s="38" t="s">
        <v>293</v>
      </c>
    </row>
    <row r="1888" ht="34.5">
      <c r="A1888" s="38" t="s">
        <v>1215</v>
      </c>
      <c r="B1888" s="38" t="s">
        <v>1216</v>
      </c>
      <c r="C1888" s="38" t="s">
        <v>704</v>
      </c>
      <c r="D1888" s="38" t="s">
        <v>692</v>
      </c>
      <c r="E1888" s="38" t="s">
        <v>615</v>
      </c>
      <c r="F1888" s="37" t="s">
        <v>616</v>
      </c>
      <c r="G1888" s="38" t="s">
        <v>70</v>
      </c>
      <c r="H1888" s="37"/>
      <c r="I1888" s="37"/>
      <c r="J1888" s="37" t="s">
        <v>693</v>
      </c>
      <c r="K1888" s="40"/>
      <c r="L1888" s="38"/>
      <c r="M1888" s="38"/>
      <c r="N1888" s="37"/>
      <c r="O1888" s="37"/>
      <c r="P1888" s="37"/>
      <c r="Q1888" s="37"/>
      <c r="R1888" s="39"/>
      <c r="S1888" s="37"/>
      <c r="T1888" s="38" t="s">
        <v>293</v>
      </c>
    </row>
    <row r="1889" ht="34.5">
      <c r="A1889" s="38" t="s">
        <v>1215</v>
      </c>
      <c r="B1889" s="38" t="s">
        <v>1216</v>
      </c>
      <c r="C1889" s="38" t="s">
        <v>717</v>
      </c>
      <c r="D1889" s="38" t="s">
        <v>288</v>
      </c>
      <c r="E1889" s="38" t="s">
        <v>615</v>
      </c>
      <c r="F1889" s="37" t="s">
        <v>616</v>
      </c>
      <c r="G1889" s="38" t="s">
        <v>70</v>
      </c>
      <c r="H1889" s="37"/>
      <c r="I1889" s="37"/>
      <c r="J1889" s="37" t="s">
        <v>1701</v>
      </c>
      <c r="K1889" s="40"/>
      <c r="L1889" s="38"/>
      <c r="M1889" s="38"/>
      <c r="N1889" s="37"/>
      <c r="O1889" s="37"/>
      <c r="P1889" s="37"/>
      <c r="Q1889" s="37"/>
      <c r="R1889" s="39"/>
      <c r="S1889" s="37"/>
      <c r="T1889" s="38" t="s">
        <v>293</v>
      </c>
    </row>
    <row r="1890" ht="34.5">
      <c r="A1890" s="38" t="s">
        <v>1215</v>
      </c>
      <c r="B1890" s="38" t="s">
        <v>1216</v>
      </c>
      <c r="C1890" s="38" t="s">
        <v>717</v>
      </c>
      <c r="D1890" s="38" t="s">
        <v>288</v>
      </c>
      <c r="E1890" s="38" t="s">
        <v>615</v>
      </c>
      <c r="F1890" s="37" t="s">
        <v>616</v>
      </c>
      <c r="G1890" s="38" t="s">
        <v>70</v>
      </c>
      <c r="H1890" s="37"/>
      <c r="I1890" s="37"/>
      <c r="J1890" s="37" t="s">
        <v>1702</v>
      </c>
      <c r="K1890" s="40"/>
      <c r="L1890" s="38"/>
      <c r="M1890" s="38"/>
      <c r="N1890" s="37"/>
      <c r="O1890" s="37"/>
      <c r="P1890" s="37"/>
      <c r="Q1890" s="37"/>
      <c r="R1890" s="39"/>
      <c r="S1890" s="37"/>
      <c r="T1890" s="38" t="s">
        <v>293</v>
      </c>
    </row>
    <row r="1891" ht="34.5">
      <c r="A1891" s="38" t="s">
        <v>1215</v>
      </c>
      <c r="B1891" s="38" t="s">
        <v>1216</v>
      </c>
      <c r="C1891" s="38" t="s">
        <v>717</v>
      </c>
      <c r="D1891" s="38" t="s">
        <v>699</v>
      </c>
      <c r="E1891" s="38" t="s">
        <v>615</v>
      </c>
      <c r="F1891" s="37" t="s">
        <v>616</v>
      </c>
      <c r="G1891" s="38" t="s">
        <v>70</v>
      </c>
      <c r="H1891" s="37"/>
      <c r="I1891" s="37"/>
      <c r="J1891" s="37" t="s">
        <v>700</v>
      </c>
      <c r="K1891" s="40"/>
      <c r="L1891" s="38"/>
      <c r="M1891" s="38"/>
      <c r="N1891" s="37"/>
      <c r="O1891" s="37"/>
      <c r="P1891" s="37"/>
      <c r="Q1891" s="37"/>
      <c r="R1891" s="39"/>
      <c r="S1891" s="37"/>
      <c r="T1891" s="38" t="s">
        <v>293</v>
      </c>
    </row>
    <row r="1892" ht="34.5">
      <c r="A1892" s="38" t="s">
        <v>1215</v>
      </c>
      <c r="B1892" s="38" t="s">
        <v>1216</v>
      </c>
      <c r="C1892" s="38" t="s">
        <v>717</v>
      </c>
      <c r="D1892" s="38" t="s">
        <v>288</v>
      </c>
      <c r="E1892" s="38" t="s">
        <v>615</v>
      </c>
      <c r="F1892" s="37" t="s">
        <v>616</v>
      </c>
      <c r="G1892" s="38" t="s">
        <v>70</v>
      </c>
      <c r="H1892" s="37"/>
      <c r="I1892" s="37"/>
      <c r="J1892" s="37" t="s">
        <v>997</v>
      </c>
      <c r="K1892" s="40"/>
      <c r="L1892" s="38"/>
      <c r="M1892" s="38"/>
      <c r="N1892" s="37"/>
      <c r="O1892" s="37"/>
      <c r="P1892" s="37"/>
      <c r="Q1892" s="37"/>
      <c r="R1892" s="39"/>
      <c r="S1892" s="37"/>
      <c r="T1892" s="38" t="s">
        <v>293</v>
      </c>
    </row>
    <row r="1893" ht="34.5">
      <c r="A1893" s="38" t="s">
        <v>1215</v>
      </c>
      <c r="B1893" s="38" t="s">
        <v>1216</v>
      </c>
      <c r="C1893" s="38" t="s">
        <v>717</v>
      </c>
      <c r="D1893" s="38" t="s">
        <v>288</v>
      </c>
      <c r="E1893" s="38" t="s">
        <v>615</v>
      </c>
      <c r="F1893" s="37" t="s">
        <v>616</v>
      </c>
      <c r="G1893" s="38" t="s">
        <v>70</v>
      </c>
      <c r="H1893" s="37"/>
      <c r="I1893" s="37"/>
      <c r="J1893" s="37" t="s">
        <v>1128</v>
      </c>
      <c r="K1893" s="40"/>
      <c r="L1893" s="38"/>
      <c r="M1893" s="38"/>
      <c r="N1893" s="37"/>
      <c r="O1893" s="37"/>
      <c r="P1893" s="37"/>
      <c r="Q1893" s="37"/>
      <c r="R1893" s="39"/>
      <c r="S1893" s="37"/>
      <c r="T1893" s="38" t="s">
        <v>293</v>
      </c>
    </row>
    <row r="1894" ht="34.5">
      <c r="A1894" s="38" t="s">
        <v>1215</v>
      </c>
      <c r="B1894" s="38" t="s">
        <v>1216</v>
      </c>
      <c r="C1894" s="38" t="s">
        <v>717</v>
      </c>
      <c r="D1894" s="38" t="s">
        <v>288</v>
      </c>
      <c r="E1894" s="38" t="s">
        <v>615</v>
      </c>
      <c r="F1894" s="37" t="s">
        <v>616</v>
      </c>
      <c r="G1894" s="38" t="s">
        <v>70</v>
      </c>
      <c r="H1894" s="37"/>
      <c r="I1894" s="37"/>
      <c r="J1894" s="37" t="s">
        <v>998</v>
      </c>
      <c r="K1894" s="40"/>
      <c r="L1894" s="38"/>
      <c r="M1894" s="38"/>
      <c r="N1894" s="37"/>
      <c r="O1894" s="37"/>
      <c r="P1894" s="37"/>
      <c r="Q1894" s="37"/>
      <c r="R1894" s="39"/>
      <c r="S1894" s="37"/>
      <c r="T1894" s="38" t="s">
        <v>293</v>
      </c>
    </row>
    <row r="1895" ht="34.5">
      <c r="A1895" s="38" t="s">
        <v>1215</v>
      </c>
      <c r="B1895" s="38" t="s">
        <v>1216</v>
      </c>
      <c r="C1895" s="38" t="s">
        <v>717</v>
      </c>
      <c r="D1895" s="38" t="s">
        <v>288</v>
      </c>
      <c r="E1895" s="38" t="s">
        <v>615</v>
      </c>
      <c r="F1895" s="37" t="s">
        <v>616</v>
      </c>
      <c r="G1895" s="38" t="s">
        <v>70</v>
      </c>
      <c r="H1895" s="37"/>
      <c r="I1895" s="37"/>
      <c r="J1895" s="37" t="s">
        <v>673</v>
      </c>
      <c r="K1895" s="40"/>
      <c r="L1895" s="38"/>
      <c r="M1895" s="38"/>
      <c r="N1895" s="37"/>
      <c r="O1895" s="37"/>
      <c r="P1895" s="37"/>
      <c r="Q1895" s="37"/>
      <c r="R1895" s="39"/>
      <c r="S1895" s="37"/>
      <c r="T1895" s="38" t="s">
        <v>293</v>
      </c>
    </row>
    <row r="1896" ht="34.5">
      <c r="A1896" s="38" t="s">
        <v>1215</v>
      </c>
      <c r="B1896" s="38" t="s">
        <v>1216</v>
      </c>
      <c r="C1896" s="38" t="s">
        <v>717</v>
      </c>
      <c r="D1896" s="38" t="s">
        <v>288</v>
      </c>
      <c r="E1896" s="38" t="s">
        <v>615</v>
      </c>
      <c r="F1896" s="37" t="s">
        <v>616</v>
      </c>
      <c r="G1896" s="38" t="s">
        <v>70</v>
      </c>
      <c r="H1896" s="37"/>
      <c r="I1896" s="37"/>
      <c r="J1896" s="37" t="s">
        <v>674</v>
      </c>
      <c r="K1896" s="40"/>
      <c r="L1896" s="38"/>
      <c r="M1896" s="38"/>
      <c r="N1896" s="37"/>
      <c r="O1896" s="37"/>
      <c r="P1896" s="37"/>
      <c r="Q1896" s="37"/>
      <c r="R1896" s="39"/>
      <c r="S1896" s="37"/>
      <c r="T1896" s="38" t="s">
        <v>293</v>
      </c>
    </row>
    <row r="1897" ht="34.5">
      <c r="A1897" s="38" t="s">
        <v>1215</v>
      </c>
      <c r="B1897" s="38" t="s">
        <v>1216</v>
      </c>
      <c r="C1897" s="38" t="s">
        <v>717</v>
      </c>
      <c r="D1897" s="38" t="s">
        <v>288</v>
      </c>
      <c r="E1897" s="38" t="s">
        <v>615</v>
      </c>
      <c r="F1897" s="37" t="s">
        <v>616</v>
      </c>
      <c r="G1897" s="38" t="s">
        <v>70</v>
      </c>
      <c r="H1897" s="37"/>
      <c r="I1897" s="37"/>
      <c r="J1897" s="37" t="s">
        <v>1129</v>
      </c>
      <c r="K1897" s="40"/>
      <c r="L1897" s="38"/>
      <c r="M1897" s="38"/>
      <c r="N1897" s="37"/>
      <c r="O1897" s="37"/>
      <c r="P1897" s="37"/>
      <c r="Q1897" s="37"/>
      <c r="R1897" s="39"/>
      <c r="S1897" s="37"/>
      <c r="T1897" s="38" t="s">
        <v>293</v>
      </c>
    </row>
    <row r="1898" ht="34.5">
      <c r="A1898" s="38" t="s">
        <v>1215</v>
      </c>
      <c r="B1898" s="38" t="s">
        <v>1216</v>
      </c>
      <c r="C1898" s="38" t="s">
        <v>731</v>
      </c>
      <c r="D1898" s="38" t="s">
        <v>288</v>
      </c>
      <c r="E1898" s="38" t="s">
        <v>615</v>
      </c>
      <c r="F1898" s="37" t="s">
        <v>616</v>
      </c>
      <c r="G1898" s="38" t="s">
        <v>70</v>
      </c>
      <c r="H1898" s="37"/>
      <c r="I1898" s="37"/>
      <c r="J1898" s="37" t="s">
        <v>1130</v>
      </c>
      <c r="K1898" s="40"/>
      <c r="L1898" s="38"/>
      <c r="M1898" s="38"/>
      <c r="N1898" s="37"/>
      <c r="O1898" s="37"/>
      <c r="P1898" s="37"/>
      <c r="Q1898" s="37"/>
      <c r="R1898" s="39"/>
      <c r="S1898" s="37"/>
      <c r="T1898" s="38" t="s">
        <v>293</v>
      </c>
    </row>
    <row r="1899" ht="34.5">
      <c r="A1899" s="38" t="s">
        <v>1215</v>
      </c>
      <c r="B1899" s="38" t="s">
        <v>1216</v>
      </c>
      <c r="C1899" s="38" t="s">
        <v>731</v>
      </c>
      <c r="D1899" s="38" t="s">
        <v>765</v>
      </c>
      <c r="E1899" s="38" t="s">
        <v>615</v>
      </c>
      <c r="F1899" s="37" t="s">
        <v>616</v>
      </c>
      <c r="G1899" s="38" t="s">
        <v>70</v>
      </c>
      <c r="H1899" s="37"/>
      <c r="I1899" s="37"/>
      <c r="J1899" s="37" t="s">
        <v>766</v>
      </c>
      <c r="K1899" s="40"/>
      <c r="L1899" s="38"/>
      <c r="M1899" s="38"/>
      <c r="N1899" s="37"/>
      <c r="O1899" s="37"/>
      <c r="P1899" s="37"/>
      <c r="Q1899" s="37"/>
      <c r="R1899" s="39"/>
      <c r="S1899" s="37"/>
      <c r="T1899" s="38" t="s">
        <v>293</v>
      </c>
    </row>
    <row r="1900" ht="34.5">
      <c r="A1900" s="38" t="s">
        <v>1215</v>
      </c>
      <c r="B1900" s="38" t="s">
        <v>1216</v>
      </c>
      <c r="C1900" s="38" t="s">
        <v>731</v>
      </c>
      <c r="D1900" s="38" t="s">
        <v>288</v>
      </c>
      <c r="E1900" s="38" t="s">
        <v>615</v>
      </c>
      <c r="F1900" s="37" t="s">
        <v>616</v>
      </c>
      <c r="G1900" s="38" t="s">
        <v>70</v>
      </c>
      <c r="H1900" s="37"/>
      <c r="I1900" s="37"/>
      <c r="J1900" s="37" t="s">
        <v>1131</v>
      </c>
      <c r="K1900" s="40"/>
      <c r="L1900" s="38"/>
      <c r="M1900" s="38"/>
      <c r="N1900" s="37"/>
      <c r="O1900" s="37"/>
      <c r="P1900" s="37"/>
      <c r="Q1900" s="37"/>
      <c r="R1900" s="39"/>
      <c r="S1900" s="37"/>
      <c r="T1900" s="38" t="s">
        <v>293</v>
      </c>
    </row>
    <row r="1901" ht="34.5">
      <c r="A1901" s="38" t="s">
        <v>1215</v>
      </c>
      <c r="B1901" s="38" t="s">
        <v>1216</v>
      </c>
      <c r="C1901" s="38" t="s">
        <v>731</v>
      </c>
      <c r="D1901" s="38" t="s">
        <v>288</v>
      </c>
      <c r="E1901" s="38" t="s">
        <v>615</v>
      </c>
      <c r="F1901" s="37" t="s">
        <v>616</v>
      </c>
      <c r="G1901" s="38" t="s">
        <v>70</v>
      </c>
      <c r="H1901" s="37"/>
      <c r="I1901" s="37"/>
      <c r="J1901" s="37" t="s">
        <v>680</v>
      </c>
      <c r="K1901" s="40"/>
      <c r="L1901" s="38"/>
      <c r="M1901" s="38"/>
      <c r="N1901" s="37"/>
      <c r="O1901" s="37"/>
      <c r="P1901" s="37"/>
      <c r="Q1901" s="37"/>
      <c r="R1901" s="39"/>
      <c r="S1901" s="37"/>
      <c r="T1901" s="38" t="s">
        <v>293</v>
      </c>
    </row>
    <row r="1902" ht="34.5">
      <c r="A1902" s="38" t="s">
        <v>1215</v>
      </c>
      <c r="B1902" s="38" t="s">
        <v>1216</v>
      </c>
      <c r="C1902" s="38" t="s">
        <v>744</v>
      </c>
      <c r="D1902" s="38" t="s">
        <v>288</v>
      </c>
      <c r="E1902" s="38" t="s">
        <v>615</v>
      </c>
      <c r="F1902" s="37" t="s">
        <v>616</v>
      </c>
      <c r="G1902" s="38" t="s">
        <v>70</v>
      </c>
      <c r="H1902" s="37"/>
      <c r="I1902" s="37"/>
      <c r="J1902" s="37" t="s">
        <v>1132</v>
      </c>
      <c r="K1902" s="40"/>
      <c r="L1902" s="38"/>
      <c r="M1902" s="38"/>
      <c r="N1902" s="37"/>
      <c r="O1902" s="37"/>
      <c r="P1902" s="37"/>
      <c r="Q1902" s="37"/>
      <c r="R1902" s="39"/>
      <c r="S1902" s="37"/>
      <c r="T1902" s="38" t="s">
        <v>293</v>
      </c>
    </row>
    <row r="1903" ht="34.5">
      <c r="A1903" s="38" t="s">
        <v>1215</v>
      </c>
      <c r="B1903" s="38" t="s">
        <v>1216</v>
      </c>
      <c r="C1903" s="38" t="s">
        <v>744</v>
      </c>
      <c r="D1903" s="38" t="s">
        <v>288</v>
      </c>
      <c r="E1903" s="38" t="s">
        <v>615</v>
      </c>
      <c r="F1903" s="37" t="s">
        <v>616</v>
      </c>
      <c r="G1903" s="38" t="s">
        <v>70</v>
      </c>
      <c r="H1903" s="37"/>
      <c r="I1903" s="37"/>
      <c r="J1903" s="37" t="s">
        <v>683</v>
      </c>
      <c r="K1903" s="40"/>
      <c r="L1903" s="38"/>
      <c r="M1903" s="38"/>
      <c r="N1903" s="37"/>
      <c r="O1903" s="37"/>
      <c r="P1903" s="37"/>
      <c r="Q1903" s="37"/>
      <c r="R1903" s="39"/>
      <c r="S1903" s="37"/>
      <c r="T1903" s="38" t="s">
        <v>293</v>
      </c>
    </row>
    <row r="1904" ht="34.5">
      <c r="A1904" s="38" t="s">
        <v>1215</v>
      </c>
      <c r="B1904" s="38" t="s">
        <v>1216</v>
      </c>
      <c r="C1904" s="38" t="s">
        <v>744</v>
      </c>
      <c r="D1904" s="38" t="s">
        <v>288</v>
      </c>
      <c r="E1904" s="38" t="s">
        <v>615</v>
      </c>
      <c r="F1904" s="37" t="s">
        <v>616</v>
      </c>
      <c r="G1904" s="38" t="s">
        <v>70</v>
      </c>
      <c r="H1904" s="37"/>
      <c r="I1904" s="37"/>
      <c r="J1904" s="37" t="s">
        <v>684</v>
      </c>
      <c r="K1904" s="40"/>
      <c r="L1904" s="38"/>
      <c r="M1904" s="38"/>
      <c r="N1904" s="37"/>
      <c r="O1904" s="37"/>
      <c r="P1904" s="37"/>
      <c r="Q1904" s="37"/>
      <c r="R1904" s="39"/>
      <c r="S1904" s="37"/>
      <c r="T1904" s="38" t="s">
        <v>293</v>
      </c>
    </row>
    <row r="1905" ht="34.5">
      <c r="A1905" s="38" t="s">
        <v>1215</v>
      </c>
      <c r="B1905" s="38" t="s">
        <v>1216</v>
      </c>
      <c r="C1905" s="38" t="s">
        <v>744</v>
      </c>
      <c r="D1905" s="38" t="s">
        <v>288</v>
      </c>
      <c r="E1905" s="38" t="s">
        <v>615</v>
      </c>
      <c r="F1905" s="37" t="s">
        <v>616</v>
      </c>
      <c r="G1905" s="38" t="s">
        <v>70</v>
      </c>
      <c r="H1905" s="37"/>
      <c r="I1905" s="37"/>
      <c r="J1905" s="37" t="s">
        <v>1133</v>
      </c>
      <c r="K1905" s="40">
        <v>3000000</v>
      </c>
      <c r="L1905" s="38" t="s">
        <v>297</v>
      </c>
      <c r="M1905" s="38"/>
      <c r="N1905" s="37"/>
      <c r="O1905" s="37"/>
      <c r="P1905" s="37"/>
      <c r="Q1905" s="37"/>
      <c r="R1905" s="39"/>
      <c r="S1905" s="37"/>
      <c r="T1905" s="38" t="s">
        <v>293</v>
      </c>
    </row>
    <row r="1906" ht="34.5">
      <c r="A1906" s="38" t="s">
        <v>1215</v>
      </c>
      <c r="B1906" s="38" t="s">
        <v>1216</v>
      </c>
      <c r="C1906" s="38" t="s">
        <v>744</v>
      </c>
      <c r="D1906" s="38" t="s">
        <v>288</v>
      </c>
      <c r="E1906" s="38" t="s">
        <v>615</v>
      </c>
      <c r="F1906" s="37" t="s">
        <v>616</v>
      </c>
      <c r="G1906" s="38" t="s">
        <v>70</v>
      </c>
      <c r="H1906" s="37"/>
      <c r="I1906" s="37"/>
      <c r="J1906" s="37" t="s">
        <v>686</v>
      </c>
      <c r="K1906" s="40"/>
      <c r="L1906" s="38"/>
      <c r="M1906" s="38"/>
      <c r="N1906" s="37"/>
      <c r="O1906" s="37"/>
      <c r="P1906" s="37"/>
      <c r="Q1906" s="37"/>
      <c r="R1906" s="39"/>
      <c r="S1906" s="37"/>
      <c r="T1906" s="38" t="s">
        <v>293</v>
      </c>
    </row>
    <row r="1907" ht="34.5">
      <c r="A1907" s="38" t="s">
        <v>1215</v>
      </c>
      <c r="B1907" s="38" t="s">
        <v>1216</v>
      </c>
      <c r="C1907" s="38" t="s">
        <v>744</v>
      </c>
      <c r="D1907" s="38" t="s">
        <v>288</v>
      </c>
      <c r="E1907" s="38" t="s">
        <v>615</v>
      </c>
      <c r="F1907" s="37" t="s">
        <v>616</v>
      </c>
      <c r="G1907" s="38" t="s">
        <v>70</v>
      </c>
      <c r="H1907" s="37"/>
      <c r="I1907" s="37"/>
      <c r="J1907" s="37" t="s">
        <v>1134</v>
      </c>
      <c r="K1907" s="40"/>
      <c r="L1907" s="38"/>
      <c r="M1907" s="38"/>
      <c r="N1907" s="37"/>
      <c r="O1907" s="37"/>
      <c r="P1907" s="37"/>
      <c r="Q1907" s="37"/>
      <c r="R1907" s="39"/>
      <c r="S1907" s="37"/>
      <c r="T1907" s="38" t="s">
        <v>293</v>
      </c>
    </row>
    <row r="1908" ht="34.5">
      <c r="A1908" s="38" t="s">
        <v>1215</v>
      </c>
      <c r="B1908" s="38" t="s">
        <v>1216</v>
      </c>
      <c r="C1908" s="38" t="s">
        <v>744</v>
      </c>
      <c r="D1908" s="38" t="s">
        <v>288</v>
      </c>
      <c r="E1908" s="38" t="s">
        <v>615</v>
      </c>
      <c r="F1908" s="37" t="s">
        <v>616</v>
      </c>
      <c r="G1908" s="38" t="s">
        <v>70</v>
      </c>
      <c r="H1908" s="37"/>
      <c r="I1908" s="37"/>
      <c r="J1908" s="37" t="s">
        <v>688</v>
      </c>
      <c r="K1908" s="40"/>
      <c r="L1908" s="38"/>
      <c r="M1908" s="38"/>
      <c r="N1908" s="37"/>
      <c r="O1908" s="37"/>
      <c r="P1908" s="37"/>
      <c r="Q1908" s="37"/>
      <c r="R1908" s="39"/>
      <c r="S1908" s="37"/>
      <c r="T1908" s="38" t="s">
        <v>293</v>
      </c>
    </row>
    <row r="1909" ht="34.5">
      <c r="A1909" s="38" t="s">
        <v>1215</v>
      </c>
      <c r="B1909" s="38" t="s">
        <v>1216</v>
      </c>
      <c r="C1909" s="38" t="s">
        <v>744</v>
      </c>
      <c r="D1909" s="38" t="s">
        <v>288</v>
      </c>
      <c r="E1909" s="38" t="s">
        <v>615</v>
      </c>
      <c r="F1909" s="37" t="s">
        <v>616</v>
      </c>
      <c r="G1909" s="38" t="s">
        <v>70</v>
      </c>
      <c r="H1909" s="37"/>
      <c r="I1909" s="37"/>
      <c r="J1909" s="37" t="s">
        <v>689</v>
      </c>
      <c r="K1909" s="40"/>
      <c r="L1909" s="38"/>
      <c r="M1909" s="38"/>
      <c r="N1909" s="37"/>
      <c r="O1909" s="37"/>
      <c r="P1909" s="37"/>
      <c r="Q1909" s="37"/>
      <c r="R1909" s="39"/>
      <c r="S1909" s="37"/>
      <c r="T1909" s="38" t="s">
        <v>293</v>
      </c>
    </row>
    <row r="1910" ht="34.5">
      <c r="A1910" s="38" t="s">
        <v>1215</v>
      </c>
      <c r="B1910" s="38" t="s">
        <v>1216</v>
      </c>
      <c r="C1910" s="38" t="s">
        <v>754</v>
      </c>
      <c r="D1910" s="38" t="s">
        <v>288</v>
      </c>
      <c r="E1910" s="38" t="s">
        <v>615</v>
      </c>
      <c r="F1910" s="37" t="s">
        <v>616</v>
      </c>
      <c r="G1910" s="38" t="s">
        <v>70</v>
      </c>
      <c r="H1910" s="37"/>
      <c r="I1910" s="37"/>
      <c r="J1910" s="37" t="s">
        <v>1003</v>
      </c>
      <c r="K1910" s="40"/>
      <c r="L1910" s="38"/>
      <c r="M1910" s="38"/>
      <c r="N1910" s="37"/>
      <c r="O1910" s="37"/>
      <c r="P1910" s="37"/>
      <c r="Q1910" s="37"/>
      <c r="R1910" s="39"/>
      <c r="S1910" s="37"/>
      <c r="T1910" s="38" t="s">
        <v>293</v>
      </c>
    </row>
    <row r="1911" ht="34.5">
      <c r="A1911" s="38" t="s">
        <v>1215</v>
      </c>
      <c r="B1911" s="38" t="s">
        <v>1216</v>
      </c>
      <c r="C1911" s="38" t="s">
        <v>754</v>
      </c>
      <c r="D1911" s="38" t="s">
        <v>869</v>
      </c>
      <c r="E1911" s="38" t="s">
        <v>615</v>
      </c>
      <c r="F1911" s="37" t="s">
        <v>616</v>
      </c>
      <c r="G1911" s="38" t="s">
        <v>70</v>
      </c>
      <c r="H1911" s="37"/>
      <c r="I1911" s="37"/>
      <c r="J1911" s="37" t="s">
        <v>870</v>
      </c>
      <c r="K1911" s="40"/>
      <c r="L1911" s="38"/>
      <c r="M1911" s="38"/>
      <c r="N1911" s="37"/>
      <c r="O1911" s="37"/>
      <c r="P1911" s="37"/>
      <c r="Q1911" s="37"/>
      <c r="R1911" s="39"/>
      <c r="S1911" s="37"/>
      <c r="T1911" s="38" t="s">
        <v>293</v>
      </c>
    </row>
    <row r="1912" ht="34.5">
      <c r="A1912" s="38" t="s">
        <v>1215</v>
      </c>
      <c r="B1912" s="38" t="s">
        <v>1216</v>
      </c>
      <c r="C1912" s="38" t="s">
        <v>763</v>
      </c>
      <c r="D1912" s="38" t="s">
        <v>288</v>
      </c>
      <c r="E1912" s="38" t="s">
        <v>615</v>
      </c>
      <c r="F1912" s="37" t="s">
        <v>616</v>
      </c>
      <c r="G1912" s="38" t="s">
        <v>70</v>
      </c>
      <c r="H1912" s="37"/>
      <c r="I1912" s="37"/>
      <c r="J1912" s="37" t="s">
        <v>1006</v>
      </c>
      <c r="K1912" s="40"/>
      <c r="L1912" s="38"/>
      <c r="M1912" s="38"/>
      <c r="N1912" s="37"/>
      <c r="O1912" s="37"/>
      <c r="P1912" s="37"/>
      <c r="Q1912" s="37"/>
      <c r="R1912" s="39"/>
      <c r="S1912" s="37"/>
      <c r="T1912" s="38" t="s">
        <v>293</v>
      </c>
    </row>
    <row r="1913" ht="34.5">
      <c r="A1913" s="38" t="s">
        <v>1215</v>
      </c>
      <c r="B1913" s="38" t="s">
        <v>1216</v>
      </c>
      <c r="C1913" s="38" t="s">
        <v>763</v>
      </c>
      <c r="D1913" s="38" t="s">
        <v>288</v>
      </c>
      <c r="E1913" s="38" t="s">
        <v>615</v>
      </c>
      <c r="F1913" s="37" t="s">
        <v>616</v>
      </c>
      <c r="G1913" s="38" t="s">
        <v>70</v>
      </c>
      <c r="H1913" s="37"/>
      <c r="I1913" s="37"/>
      <c r="J1913" s="37" t="s">
        <v>1703</v>
      </c>
      <c r="K1913" s="40"/>
      <c r="L1913" s="38"/>
      <c r="M1913" s="38"/>
      <c r="N1913" s="37"/>
      <c r="O1913" s="37"/>
      <c r="P1913" s="37"/>
      <c r="Q1913" s="37"/>
      <c r="R1913" s="39"/>
      <c r="S1913" s="37"/>
      <c r="T1913" s="38" t="s">
        <v>293</v>
      </c>
    </row>
    <row r="1914" ht="34.5">
      <c r="A1914" s="38" t="s">
        <v>1215</v>
      </c>
      <c r="B1914" s="38" t="s">
        <v>1216</v>
      </c>
      <c r="C1914" s="38" t="s">
        <v>763</v>
      </c>
      <c r="D1914" s="38" t="s">
        <v>875</v>
      </c>
      <c r="E1914" s="38" t="s">
        <v>615</v>
      </c>
      <c r="F1914" s="37" t="s">
        <v>616</v>
      </c>
      <c r="G1914" s="38" t="s">
        <v>70</v>
      </c>
      <c r="H1914" s="37"/>
      <c r="I1914" s="37"/>
      <c r="J1914" s="37" t="s">
        <v>876</v>
      </c>
      <c r="K1914" s="40"/>
      <c r="L1914" s="38"/>
      <c r="M1914" s="38"/>
      <c r="N1914" s="37"/>
      <c r="O1914" s="37"/>
      <c r="P1914" s="37"/>
      <c r="Q1914" s="37"/>
      <c r="R1914" s="39"/>
      <c r="S1914" s="37"/>
      <c r="T1914" s="38" t="s">
        <v>293</v>
      </c>
    </row>
    <row r="1915" ht="34.5">
      <c r="A1915" s="38" t="s">
        <v>1215</v>
      </c>
      <c r="B1915" s="38" t="s">
        <v>1216</v>
      </c>
      <c r="C1915" s="38" t="s">
        <v>773</v>
      </c>
      <c r="D1915" s="38" t="s">
        <v>288</v>
      </c>
      <c r="E1915" s="38" t="s">
        <v>615</v>
      </c>
      <c r="F1915" s="37" t="s">
        <v>616</v>
      </c>
      <c r="G1915" s="38" t="s">
        <v>70</v>
      </c>
      <c r="H1915" s="37"/>
      <c r="I1915" s="37"/>
      <c r="J1915" s="37" t="s">
        <v>1136</v>
      </c>
      <c r="K1915" s="40"/>
      <c r="L1915" s="38"/>
      <c r="M1915" s="38"/>
      <c r="N1915" s="37"/>
      <c r="O1915" s="37"/>
      <c r="P1915" s="37"/>
      <c r="Q1915" s="37"/>
      <c r="R1915" s="39"/>
      <c r="S1915" s="37"/>
      <c r="T1915" s="38" t="s">
        <v>293</v>
      </c>
    </row>
    <row r="1916" ht="34.5">
      <c r="A1916" s="38" t="s">
        <v>1215</v>
      </c>
      <c r="B1916" s="38" t="s">
        <v>1216</v>
      </c>
      <c r="C1916" s="38" t="s">
        <v>773</v>
      </c>
      <c r="D1916" s="38" t="s">
        <v>288</v>
      </c>
      <c r="E1916" s="38" t="s">
        <v>615</v>
      </c>
      <c r="F1916" s="37" t="s">
        <v>616</v>
      </c>
      <c r="G1916" s="38" t="s">
        <v>70</v>
      </c>
      <c r="H1916" s="37"/>
      <c r="I1916" s="37"/>
      <c r="J1916" s="37" t="s">
        <v>1704</v>
      </c>
      <c r="K1916" s="40"/>
      <c r="L1916" s="38"/>
      <c r="M1916" s="38"/>
      <c r="N1916" s="37"/>
      <c r="O1916" s="37"/>
      <c r="P1916" s="37"/>
      <c r="Q1916" s="37"/>
      <c r="R1916" s="39"/>
      <c r="S1916" s="37"/>
      <c r="T1916" s="38" t="s">
        <v>293</v>
      </c>
    </row>
    <row r="1917" ht="34.5">
      <c r="A1917" s="38" t="s">
        <v>1215</v>
      </c>
      <c r="B1917" s="38" t="s">
        <v>1216</v>
      </c>
      <c r="C1917" s="38" t="s">
        <v>773</v>
      </c>
      <c r="D1917" s="38" t="s">
        <v>881</v>
      </c>
      <c r="E1917" s="38" t="s">
        <v>615</v>
      </c>
      <c r="F1917" s="37" t="s">
        <v>616</v>
      </c>
      <c r="G1917" s="38" t="s">
        <v>70</v>
      </c>
      <c r="H1917" s="37"/>
      <c r="I1917" s="37"/>
      <c r="J1917" s="37" t="s">
        <v>882</v>
      </c>
      <c r="K1917" s="40"/>
      <c r="L1917" s="38"/>
      <c r="M1917" s="38"/>
      <c r="N1917" s="37"/>
      <c r="O1917" s="37"/>
      <c r="P1917" s="37"/>
      <c r="Q1917" s="37"/>
      <c r="R1917" s="39"/>
      <c r="S1917" s="37"/>
      <c r="T1917" s="38" t="s">
        <v>293</v>
      </c>
    </row>
    <row r="1918" ht="34.5">
      <c r="A1918" s="38" t="s">
        <v>1215</v>
      </c>
      <c r="B1918" s="38" t="s">
        <v>1216</v>
      </c>
      <c r="C1918" s="38" t="s">
        <v>773</v>
      </c>
      <c r="D1918" s="38" t="s">
        <v>288</v>
      </c>
      <c r="E1918" s="38" t="s">
        <v>615</v>
      </c>
      <c r="F1918" s="37" t="s">
        <v>616</v>
      </c>
      <c r="G1918" s="38" t="s">
        <v>70</v>
      </c>
      <c r="H1918" s="37"/>
      <c r="I1918" s="37"/>
      <c r="J1918" s="37" t="s">
        <v>1137</v>
      </c>
      <c r="K1918" s="40"/>
      <c r="L1918" s="38"/>
      <c r="M1918" s="38"/>
      <c r="N1918" s="37"/>
      <c r="O1918" s="37"/>
      <c r="P1918" s="37"/>
      <c r="Q1918" s="37"/>
      <c r="R1918" s="39"/>
      <c r="S1918" s="37"/>
      <c r="T1918" s="38" t="s">
        <v>293</v>
      </c>
    </row>
    <row r="1919" ht="34.5">
      <c r="A1919" s="38" t="s">
        <v>1215</v>
      </c>
      <c r="B1919" s="38" t="s">
        <v>1216</v>
      </c>
      <c r="C1919" s="38" t="s">
        <v>773</v>
      </c>
      <c r="D1919" s="38" t="s">
        <v>288</v>
      </c>
      <c r="E1919" s="38" t="s">
        <v>615</v>
      </c>
      <c r="F1919" s="37" t="s">
        <v>616</v>
      </c>
      <c r="G1919" s="38" t="s">
        <v>70</v>
      </c>
      <c r="H1919" s="37"/>
      <c r="I1919" s="37"/>
      <c r="J1919" s="37" t="s">
        <v>1138</v>
      </c>
      <c r="K1919" s="40"/>
      <c r="L1919" s="38"/>
      <c r="M1919" s="38"/>
      <c r="N1919" s="37"/>
      <c r="O1919" s="37"/>
      <c r="P1919" s="37"/>
      <c r="Q1919" s="37"/>
      <c r="R1919" s="39"/>
      <c r="S1919" s="37"/>
      <c r="T1919" s="38" t="s">
        <v>293</v>
      </c>
    </row>
    <row r="1920" ht="34.5">
      <c r="A1920" s="38" t="s">
        <v>1215</v>
      </c>
      <c r="B1920" s="38" t="s">
        <v>1216</v>
      </c>
      <c r="C1920" s="38" t="s">
        <v>773</v>
      </c>
      <c r="D1920" s="38" t="s">
        <v>288</v>
      </c>
      <c r="E1920" s="38" t="s">
        <v>615</v>
      </c>
      <c r="F1920" s="37" t="s">
        <v>616</v>
      </c>
      <c r="G1920" s="38" t="s">
        <v>70</v>
      </c>
      <c r="H1920" s="37"/>
      <c r="I1920" s="37"/>
      <c r="J1920" s="37" t="s">
        <v>705</v>
      </c>
      <c r="K1920" s="40"/>
      <c r="L1920" s="38"/>
      <c r="M1920" s="38"/>
      <c r="N1920" s="37"/>
      <c r="O1920" s="37"/>
      <c r="P1920" s="37"/>
      <c r="Q1920" s="37"/>
      <c r="R1920" s="39"/>
      <c r="S1920" s="37"/>
      <c r="T1920" s="38" t="s">
        <v>293</v>
      </c>
    </row>
    <row r="1921" ht="34.5">
      <c r="A1921" s="38" t="s">
        <v>1215</v>
      </c>
      <c r="B1921" s="38" t="s">
        <v>1216</v>
      </c>
      <c r="C1921" s="38" t="s">
        <v>773</v>
      </c>
      <c r="D1921" s="38" t="s">
        <v>288</v>
      </c>
      <c r="E1921" s="38" t="s">
        <v>706</v>
      </c>
      <c r="F1921" s="37" t="s">
        <v>707</v>
      </c>
      <c r="G1921" s="38" t="s">
        <v>708</v>
      </c>
      <c r="H1921" s="37"/>
      <c r="I1921" s="37"/>
      <c r="J1921" s="37" t="s">
        <v>709</v>
      </c>
      <c r="K1921" s="40"/>
      <c r="L1921" s="38"/>
      <c r="M1921" s="38"/>
      <c r="N1921" s="37"/>
      <c r="O1921" s="37"/>
      <c r="P1921" s="37"/>
      <c r="Q1921" s="37"/>
      <c r="R1921" s="39"/>
      <c r="S1921" s="37"/>
      <c r="T1921" s="38" t="s">
        <v>293</v>
      </c>
    </row>
    <row r="1922" ht="34.5">
      <c r="A1922" s="38" t="s">
        <v>1215</v>
      </c>
      <c r="B1922" s="38" t="s">
        <v>1216</v>
      </c>
      <c r="C1922" s="38" t="s">
        <v>783</v>
      </c>
      <c r="D1922" s="38" t="s">
        <v>288</v>
      </c>
      <c r="E1922" s="38" t="s">
        <v>706</v>
      </c>
      <c r="F1922" s="37" t="s">
        <v>707</v>
      </c>
      <c r="G1922" s="38" t="s">
        <v>708</v>
      </c>
      <c r="H1922" s="37"/>
      <c r="I1922" s="37"/>
      <c r="J1922" s="37" t="s">
        <v>1019</v>
      </c>
      <c r="K1922" s="40"/>
      <c r="L1922" s="38"/>
      <c r="M1922" s="38"/>
      <c r="N1922" s="37"/>
      <c r="O1922" s="37"/>
      <c r="P1922" s="37"/>
      <c r="Q1922" s="37"/>
      <c r="R1922" s="39"/>
      <c r="S1922" s="37"/>
      <c r="T1922" s="38" t="s">
        <v>293</v>
      </c>
    </row>
    <row r="1923" ht="34.5">
      <c r="A1923" s="38" t="s">
        <v>1215</v>
      </c>
      <c r="B1923" s="38" t="s">
        <v>1216</v>
      </c>
      <c r="C1923" s="38" t="s">
        <v>783</v>
      </c>
      <c r="D1923" s="38" t="s">
        <v>288</v>
      </c>
      <c r="E1923" s="38" t="s">
        <v>706</v>
      </c>
      <c r="F1923" s="37" t="s">
        <v>707</v>
      </c>
      <c r="G1923" s="38" t="s">
        <v>708</v>
      </c>
      <c r="H1923" s="37"/>
      <c r="I1923" s="37"/>
      <c r="J1923" s="37" t="s">
        <v>711</v>
      </c>
      <c r="K1923" s="40"/>
      <c r="L1923" s="38"/>
      <c r="M1923" s="38"/>
      <c r="N1923" s="37"/>
      <c r="O1923" s="37"/>
      <c r="P1923" s="37"/>
      <c r="Q1923" s="37"/>
      <c r="R1923" s="39"/>
      <c r="S1923" s="37"/>
      <c r="T1923" s="38" t="s">
        <v>293</v>
      </c>
    </row>
    <row r="1924" ht="34.5">
      <c r="A1924" s="38" t="s">
        <v>1215</v>
      </c>
      <c r="B1924" s="38" t="s">
        <v>1216</v>
      </c>
      <c r="C1924" s="38" t="s">
        <v>783</v>
      </c>
      <c r="D1924" s="38" t="s">
        <v>288</v>
      </c>
      <c r="E1924" s="38" t="s">
        <v>706</v>
      </c>
      <c r="F1924" s="37" t="s">
        <v>707</v>
      </c>
      <c r="G1924" s="38" t="s">
        <v>708</v>
      </c>
      <c r="H1924" s="37"/>
      <c r="I1924" s="37"/>
      <c r="J1924" s="37" t="s">
        <v>1020</v>
      </c>
      <c r="K1924" s="40"/>
      <c r="L1924" s="38"/>
      <c r="M1924" s="38"/>
      <c r="N1924" s="37"/>
      <c r="O1924" s="37"/>
      <c r="P1924" s="37"/>
      <c r="Q1924" s="37"/>
      <c r="R1924" s="39"/>
      <c r="S1924" s="37"/>
      <c r="T1924" s="38" t="s">
        <v>293</v>
      </c>
    </row>
    <row r="1925" ht="34.5">
      <c r="A1925" s="38" t="s">
        <v>1215</v>
      </c>
      <c r="B1925" s="38" t="s">
        <v>1216</v>
      </c>
      <c r="C1925" s="38" t="s">
        <v>783</v>
      </c>
      <c r="D1925" s="38" t="s">
        <v>288</v>
      </c>
      <c r="E1925" s="38" t="s">
        <v>706</v>
      </c>
      <c r="F1925" s="37" t="s">
        <v>707</v>
      </c>
      <c r="G1925" s="38" t="s">
        <v>708</v>
      </c>
      <c r="H1925" s="37"/>
      <c r="I1925" s="37"/>
      <c r="J1925" s="37" t="s">
        <v>1705</v>
      </c>
      <c r="K1925" s="40"/>
      <c r="L1925" s="38"/>
      <c r="M1925" s="38"/>
      <c r="N1925" s="37"/>
      <c r="O1925" s="37"/>
      <c r="P1925" s="37"/>
      <c r="Q1925" s="37"/>
      <c r="R1925" s="39"/>
      <c r="S1925" s="37"/>
      <c r="T1925" s="38" t="s">
        <v>293</v>
      </c>
    </row>
    <row r="1926" ht="34.5">
      <c r="A1926" s="38" t="s">
        <v>1215</v>
      </c>
      <c r="B1926" s="38" t="s">
        <v>1216</v>
      </c>
      <c r="C1926" s="38" t="s">
        <v>783</v>
      </c>
      <c r="D1926" s="38" t="s">
        <v>288</v>
      </c>
      <c r="E1926" s="38" t="s">
        <v>706</v>
      </c>
      <c r="F1926" s="37" t="s">
        <v>707</v>
      </c>
      <c r="G1926" s="38" t="s">
        <v>708</v>
      </c>
      <c r="H1926" s="37"/>
      <c r="I1926" s="37"/>
      <c r="J1926" s="37" t="s">
        <v>714</v>
      </c>
      <c r="K1926" s="40"/>
      <c r="L1926" s="38"/>
      <c r="M1926" s="38"/>
      <c r="N1926" s="37"/>
      <c r="O1926" s="37"/>
      <c r="P1926" s="37"/>
      <c r="Q1926" s="37"/>
      <c r="R1926" s="39"/>
      <c r="S1926" s="37"/>
      <c r="T1926" s="38" t="s">
        <v>293</v>
      </c>
    </row>
    <row r="1927" ht="34.5">
      <c r="A1927" s="38" t="s">
        <v>1215</v>
      </c>
      <c r="B1927" s="38" t="s">
        <v>1216</v>
      </c>
      <c r="C1927" s="38" t="s">
        <v>783</v>
      </c>
      <c r="D1927" s="38" t="s">
        <v>288</v>
      </c>
      <c r="E1927" s="38" t="s">
        <v>706</v>
      </c>
      <c r="F1927" s="37" t="s">
        <v>707</v>
      </c>
      <c r="G1927" s="38" t="s">
        <v>708</v>
      </c>
      <c r="H1927" s="37"/>
      <c r="I1927" s="37"/>
      <c r="J1927" s="37" t="s">
        <v>1021</v>
      </c>
      <c r="K1927" s="40"/>
      <c r="L1927" s="38"/>
      <c r="M1927" s="38"/>
      <c r="N1927" s="37"/>
      <c r="O1927" s="37"/>
      <c r="P1927" s="37"/>
      <c r="Q1927" s="37"/>
      <c r="R1927" s="39"/>
      <c r="S1927" s="37"/>
      <c r="T1927" s="38" t="s">
        <v>293</v>
      </c>
    </row>
    <row r="1928" ht="34.5">
      <c r="A1928" s="38" t="s">
        <v>1215</v>
      </c>
      <c r="B1928" s="38" t="s">
        <v>1216</v>
      </c>
      <c r="C1928" s="38" t="s">
        <v>783</v>
      </c>
      <c r="D1928" s="38" t="s">
        <v>288</v>
      </c>
      <c r="E1928" s="38" t="s">
        <v>706</v>
      </c>
      <c r="F1928" s="37" t="s">
        <v>707</v>
      </c>
      <c r="G1928" s="38" t="s">
        <v>708</v>
      </c>
      <c r="H1928" s="37"/>
      <c r="I1928" s="37"/>
      <c r="J1928" s="37" t="s">
        <v>1139</v>
      </c>
      <c r="K1928" s="40"/>
      <c r="L1928" s="38"/>
      <c r="M1928" s="38"/>
      <c r="N1928" s="37"/>
      <c r="O1928" s="37"/>
      <c r="P1928" s="37"/>
      <c r="Q1928" s="37"/>
      <c r="R1928" s="39"/>
      <c r="S1928" s="37"/>
      <c r="T1928" s="38" t="s">
        <v>293</v>
      </c>
    </row>
    <row r="1929" ht="34.5">
      <c r="A1929" s="38" t="s">
        <v>1215</v>
      </c>
      <c r="B1929" s="38" t="s">
        <v>1216</v>
      </c>
      <c r="C1929" s="38" t="s">
        <v>783</v>
      </c>
      <c r="D1929" s="38" t="s">
        <v>288</v>
      </c>
      <c r="E1929" s="38" t="s">
        <v>706</v>
      </c>
      <c r="F1929" s="37" t="s">
        <v>707</v>
      </c>
      <c r="G1929" s="38" t="s">
        <v>708</v>
      </c>
      <c r="H1929" s="37"/>
      <c r="I1929" s="37"/>
      <c r="J1929" s="37" t="s">
        <v>718</v>
      </c>
      <c r="K1929" s="40"/>
      <c r="L1929" s="38"/>
      <c r="M1929" s="38"/>
      <c r="N1929" s="37"/>
      <c r="O1929" s="37"/>
      <c r="P1929" s="37"/>
      <c r="Q1929" s="37"/>
      <c r="R1929" s="39"/>
      <c r="S1929" s="37"/>
      <c r="T1929" s="38" t="s">
        <v>293</v>
      </c>
    </row>
    <row r="1930" ht="34.5">
      <c r="A1930" s="38" t="s">
        <v>1215</v>
      </c>
      <c r="B1930" s="38" t="s">
        <v>1216</v>
      </c>
      <c r="C1930" s="38" t="s">
        <v>783</v>
      </c>
      <c r="D1930" s="38" t="s">
        <v>288</v>
      </c>
      <c r="E1930" s="38" t="s">
        <v>706</v>
      </c>
      <c r="F1930" s="37" t="s">
        <v>707</v>
      </c>
      <c r="G1930" s="38" t="s">
        <v>708</v>
      </c>
      <c r="H1930" s="37"/>
      <c r="I1930" s="37"/>
      <c r="J1930" s="37" t="s">
        <v>719</v>
      </c>
      <c r="K1930" s="40"/>
      <c r="L1930" s="38"/>
      <c r="M1930" s="38"/>
      <c r="N1930" s="37"/>
      <c r="O1930" s="37"/>
      <c r="P1930" s="37"/>
      <c r="Q1930" s="37"/>
      <c r="R1930" s="39"/>
      <c r="S1930" s="37"/>
      <c r="T1930" s="38" t="s">
        <v>293</v>
      </c>
    </row>
    <row r="1931" ht="34.5">
      <c r="A1931" s="38" t="s">
        <v>1215</v>
      </c>
      <c r="B1931" s="38" t="s">
        <v>1216</v>
      </c>
      <c r="C1931" s="38" t="s">
        <v>783</v>
      </c>
      <c r="D1931" s="38" t="s">
        <v>288</v>
      </c>
      <c r="E1931" s="38" t="s">
        <v>706</v>
      </c>
      <c r="F1931" s="37" t="s">
        <v>707</v>
      </c>
      <c r="G1931" s="38" t="s">
        <v>708</v>
      </c>
      <c r="H1931" s="37"/>
      <c r="I1931" s="37"/>
      <c r="J1931" s="37" t="s">
        <v>720</v>
      </c>
      <c r="K1931" s="40"/>
      <c r="L1931" s="38"/>
      <c r="M1931" s="38"/>
      <c r="N1931" s="37"/>
      <c r="O1931" s="37"/>
      <c r="P1931" s="37"/>
      <c r="Q1931" s="37"/>
      <c r="R1931" s="39"/>
      <c r="S1931" s="37"/>
      <c r="T1931" s="38" t="s">
        <v>293</v>
      </c>
    </row>
    <row r="1932" ht="34.5">
      <c r="A1932" s="38" t="s">
        <v>1215</v>
      </c>
      <c r="B1932" s="38" t="s">
        <v>1216</v>
      </c>
      <c r="C1932" s="38" t="s">
        <v>783</v>
      </c>
      <c r="D1932" s="38" t="s">
        <v>288</v>
      </c>
      <c r="E1932" s="38" t="s">
        <v>706</v>
      </c>
      <c r="F1932" s="37" t="s">
        <v>707</v>
      </c>
      <c r="G1932" s="38" t="s">
        <v>708</v>
      </c>
      <c r="H1932" s="37"/>
      <c r="I1932" s="37"/>
      <c r="J1932" s="37" t="s">
        <v>721</v>
      </c>
      <c r="K1932" s="40"/>
      <c r="L1932" s="38"/>
      <c r="M1932" s="38"/>
      <c r="N1932" s="37"/>
      <c r="O1932" s="37"/>
      <c r="P1932" s="37"/>
      <c r="Q1932" s="37"/>
      <c r="R1932" s="39"/>
      <c r="S1932" s="37"/>
      <c r="T1932" s="38" t="s">
        <v>293</v>
      </c>
    </row>
    <row r="1933" ht="34.5">
      <c r="A1933" s="38" t="s">
        <v>1215</v>
      </c>
      <c r="B1933" s="38" t="s">
        <v>1216</v>
      </c>
      <c r="C1933" s="38" t="s">
        <v>793</v>
      </c>
      <c r="D1933" s="38" t="s">
        <v>288</v>
      </c>
      <c r="E1933" s="38" t="s">
        <v>706</v>
      </c>
      <c r="F1933" s="37" t="s">
        <v>707</v>
      </c>
      <c r="G1933" s="38" t="s">
        <v>708</v>
      </c>
      <c r="H1933" s="37"/>
      <c r="I1933" s="37"/>
      <c r="J1933" s="37" t="s">
        <v>722</v>
      </c>
      <c r="K1933" s="40"/>
      <c r="L1933" s="38"/>
      <c r="M1933" s="38"/>
      <c r="N1933" s="37"/>
      <c r="O1933" s="37"/>
      <c r="P1933" s="37"/>
      <c r="Q1933" s="37"/>
      <c r="R1933" s="39"/>
      <c r="S1933" s="37"/>
      <c r="T1933" s="38" t="s">
        <v>293</v>
      </c>
    </row>
    <row r="1934" ht="34.5">
      <c r="A1934" s="38" t="s">
        <v>1215</v>
      </c>
      <c r="B1934" s="38" t="s">
        <v>1216</v>
      </c>
      <c r="C1934" s="38" t="s">
        <v>793</v>
      </c>
      <c r="D1934" s="38" t="s">
        <v>288</v>
      </c>
      <c r="E1934" s="38" t="s">
        <v>706</v>
      </c>
      <c r="F1934" s="37" t="s">
        <v>707</v>
      </c>
      <c r="G1934" s="38" t="s">
        <v>708</v>
      </c>
      <c r="H1934" s="37"/>
      <c r="I1934" s="37"/>
      <c r="J1934" s="37" t="s">
        <v>723</v>
      </c>
      <c r="K1934" s="40"/>
      <c r="L1934" s="38"/>
      <c r="M1934" s="38"/>
      <c r="N1934" s="37"/>
      <c r="O1934" s="37"/>
      <c r="P1934" s="37"/>
      <c r="Q1934" s="37"/>
      <c r="R1934" s="39"/>
      <c r="S1934" s="37"/>
      <c r="T1934" s="38" t="s">
        <v>293</v>
      </c>
    </row>
    <row r="1935" ht="34.5">
      <c r="A1935" s="38" t="s">
        <v>1215</v>
      </c>
      <c r="B1935" s="38" t="s">
        <v>1216</v>
      </c>
      <c r="C1935" s="38" t="s">
        <v>793</v>
      </c>
      <c r="D1935" s="38" t="s">
        <v>288</v>
      </c>
      <c r="E1935" s="38" t="s">
        <v>706</v>
      </c>
      <c r="F1935" s="37" t="s">
        <v>707</v>
      </c>
      <c r="G1935" s="38" t="s">
        <v>708</v>
      </c>
      <c r="H1935" s="37"/>
      <c r="I1935" s="37"/>
      <c r="J1935" s="37" t="s">
        <v>724</v>
      </c>
      <c r="K1935" s="40"/>
      <c r="L1935" s="38"/>
      <c r="M1935" s="38"/>
      <c r="N1935" s="37"/>
      <c r="O1935" s="37"/>
      <c r="P1935" s="37"/>
      <c r="Q1935" s="37"/>
      <c r="R1935" s="39"/>
      <c r="S1935" s="37"/>
      <c r="T1935" s="38" t="s">
        <v>293</v>
      </c>
    </row>
    <row r="1936" ht="34.5">
      <c r="A1936" s="38" t="s">
        <v>1215</v>
      </c>
      <c r="B1936" s="38" t="s">
        <v>1216</v>
      </c>
      <c r="C1936" s="38" t="s">
        <v>793</v>
      </c>
      <c r="D1936" s="38" t="s">
        <v>288</v>
      </c>
      <c r="E1936" s="38" t="s">
        <v>706</v>
      </c>
      <c r="F1936" s="37" t="s">
        <v>707</v>
      </c>
      <c r="G1936" s="38" t="s">
        <v>708</v>
      </c>
      <c r="H1936" s="37"/>
      <c r="I1936" s="37"/>
      <c r="J1936" s="37" t="s">
        <v>1706</v>
      </c>
      <c r="K1936" s="40"/>
      <c r="L1936" s="38"/>
      <c r="M1936" s="38"/>
      <c r="N1936" s="37"/>
      <c r="O1936" s="37"/>
      <c r="P1936" s="37"/>
      <c r="Q1936" s="37"/>
      <c r="R1936" s="39"/>
      <c r="S1936" s="37"/>
      <c r="T1936" s="38" t="s">
        <v>293</v>
      </c>
    </row>
    <row r="1937" ht="34.5">
      <c r="A1937" s="38" t="s">
        <v>1215</v>
      </c>
      <c r="B1937" s="38" t="s">
        <v>1216</v>
      </c>
      <c r="C1937" s="38" t="s">
        <v>793</v>
      </c>
      <c r="D1937" s="38" t="s">
        <v>288</v>
      </c>
      <c r="E1937" s="38" t="s">
        <v>706</v>
      </c>
      <c r="F1937" s="37" t="s">
        <v>707</v>
      </c>
      <c r="G1937" s="38" t="s">
        <v>708</v>
      </c>
      <c r="H1937" s="37"/>
      <c r="I1937" s="37"/>
      <c r="J1937" s="37" t="s">
        <v>726</v>
      </c>
      <c r="K1937" s="40"/>
      <c r="L1937" s="38"/>
      <c r="M1937" s="38"/>
      <c r="N1937" s="37"/>
      <c r="O1937" s="37"/>
      <c r="P1937" s="37"/>
      <c r="Q1937" s="37"/>
      <c r="R1937" s="39"/>
      <c r="S1937" s="37"/>
      <c r="T1937" s="38" t="s">
        <v>293</v>
      </c>
    </row>
    <row r="1938" ht="34.5">
      <c r="A1938" s="38" t="s">
        <v>1215</v>
      </c>
      <c r="B1938" s="38" t="s">
        <v>1216</v>
      </c>
      <c r="C1938" s="38" t="s">
        <v>793</v>
      </c>
      <c r="D1938" s="38" t="s">
        <v>288</v>
      </c>
      <c r="E1938" s="38" t="s">
        <v>706</v>
      </c>
      <c r="F1938" s="37" t="s">
        <v>707</v>
      </c>
      <c r="G1938" s="38" t="s">
        <v>708</v>
      </c>
      <c r="H1938" s="37"/>
      <c r="I1938" s="37"/>
      <c r="J1938" s="37" t="s">
        <v>727</v>
      </c>
      <c r="K1938" s="40"/>
      <c r="L1938" s="38"/>
      <c r="M1938" s="38"/>
      <c r="N1938" s="37"/>
      <c r="O1938" s="37"/>
      <c r="P1938" s="37"/>
      <c r="Q1938" s="37"/>
      <c r="R1938" s="39"/>
      <c r="S1938" s="37"/>
      <c r="T1938" s="38" t="s">
        <v>293</v>
      </c>
    </row>
    <row r="1939" ht="34.5">
      <c r="A1939" s="38" t="s">
        <v>1215</v>
      </c>
      <c r="B1939" s="38" t="s">
        <v>1216</v>
      </c>
      <c r="C1939" s="38" t="s">
        <v>793</v>
      </c>
      <c r="D1939" s="38" t="s">
        <v>288</v>
      </c>
      <c r="E1939" s="38" t="s">
        <v>706</v>
      </c>
      <c r="F1939" s="37" t="s">
        <v>707</v>
      </c>
      <c r="G1939" s="38" t="s">
        <v>708</v>
      </c>
      <c r="H1939" s="37"/>
      <c r="I1939" s="37"/>
      <c r="J1939" s="37" t="s">
        <v>728</v>
      </c>
      <c r="K1939" s="40"/>
      <c r="L1939" s="38"/>
      <c r="M1939" s="38"/>
      <c r="N1939" s="37"/>
      <c r="O1939" s="37"/>
      <c r="P1939" s="37"/>
      <c r="Q1939" s="37"/>
      <c r="R1939" s="39"/>
      <c r="S1939" s="37"/>
      <c r="T1939" s="38" t="s">
        <v>293</v>
      </c>
    </row>
    <row r="1940" ht="34.5">
      <c r="A1940" s="38" t="s">
        <v>1215</v>
      </c>
      <c r="B1940" s="38" t="s">
        <v>1216</v>
      </c>
      <c r="C1940" s="38" t="s">
        <v>793</v>
      </c>
      <c r="D1940" s="38" t="s">
        <v>288</v>
      </c>
      <c r="E1940" s="38" t="s">
        <v>706</v>
      </c>
      <c r="F1940" s="37" t="s">
        <v>707</v>
      </c>
      <c r="G1940" s="38" t="s">
        <v>708</v>
      </c>
      <c r="H1940" s="37"/>
      <c r="I1940" s="37"/>
      <c r="J1940" s="37" t="s">
        <v>729</v>
      </c>
      <c r="K1940" s="40"/>
      <c r="L1940" s="38"/>
      <c r="M1940" s="38"/>
      <c r="N1940" s="37"/>
      <c r="O1940" s="37"/>
      <c r="P1940" s="37"/>
      <c r="Q1940" s="37"/>
      <c r="R1940" s="39"/>
      <c r="S1940" s="37"/>
      <c r="T1940" s="38" t="s">
        <v>293</v>
      </c>
    </row>
    <row r="1941" ht="34.5">
      <c r="A1941" s="38" t="s">
        <v>1215</v>
      </c>
      <c r="B1941" s="38" t="s">
        <v>1216</v>
      </c>
      <c r="C1941" s="38" t="s">
        <v>793</v>
      </c>
      <c r="D1941" s="38" t="s">
        <v>288</v>
      </c>
      <c r="E1941" s="38" t="s">
        <v>706</v>
      </c>
      <c r="F1941" s="37" t="s">
        <v>707</v>
      </c>
      <c r="G1941" s="38" t="s">
        <v>708</v>
      </c>
      <c r="H1941" s="37"/>
      <c r="I1941" s="37"/>
      <c r="J1941" s="37" t="s">
        <v>730</v>
      </c>
      <c r="K1941" s="40"/>
      <c r="L1941" s="38"/>
      <c r="M1941" s="38"/>
      <c r="N1941" s="37"/>
      <c r="O1941" s="37"/>
      <c r="P1941" s="37"/>
      <c r="Q1941" s="37"/>
      <c r="R1941" s="39"/>
      <c r="S1941" s="37"/>
      <c r="T1941" s="38" t="s">
        <v>293</v>
      </c>
    </row>
    <row r="1942" ht="34.5">
      <c r="A1942" s="38" t="s">
        <v>1215</v>
      </c>
      <c r="B1942" s="38" t="s">
        <v>1216</v>
      </c>
      <c r="C1942" s="38" t="s">
        <v>793</v>
      </c>
      <c r="D1942" s="38" t="s">
        <v>288</v>
      </c>
      <c r="E1942" s="38" t="s">
        <v>706</v>
      </c>
      <c r="F1942" s="37" t="s">
        <v>707</v>
      </c>
      <c r="G1942" s="38" t="s">
        <v>708</v>
      </c>
      <c r="H1942" s="37"/>
      <c r="I1942" s="37"/>
      <c r="J1942" s="37" t="s">
        <v>732</v>
      </c>
      <c r="K1942" s="40"/>
      <c r="L1942" s="38"/>
      <c r="M1942" s="38"/>
      <c r="N1942" s="37"/>
      <c r="O1942" s="37"/>
      <c r="P1942" s="37"/>
      <c r="Q1942" s="37"/>
      <c r="R1942" s="39"/>
      <c r="S1942" s="37"/>
      <c r="T1942" s="38" t="s">
        <v>293</v>
      </c>
    </row>
    <row r="1943" ht="34.5">
      <c r="A1943" s="38" t="s">
        <v>1215</v>
      </c>
      <c r="B1943" s="38" t="s">
        <v>1216</v>
      </c>
      <c r="C1943" s="38" t="s">
        <v>793</v>
      </c>
      <c r="D1943" s="38" t="s">
        <v>288</v>
      </c>
      <c r="E1943" s="38" t="s">
        <v>706</v>
      </c>
      <c r="F1943" s="37" t="s">
        <v>707</v>
      </c>
      <c r="G1943" s="38" t="s">
        <v>708</v>
      </c>
      <c r="H1943" s="37"/>
      <c r="I1943" s="37"/>
      <c r="J1943" s="37" t="s">
        <v>733</v>
      </c>
      <c r="K1943" s="40"/>
      <c r="L1943" s="38"/>
      <c r="M1943" s="38"/>
      <c r="N1943" s="37"/>
      <c r="O1943" s="37"/>
      <c r="P1943" s="37"/>
      <c r="Q1943" s="37"/>
      <c r="R1943" s="39"/>
      <c r="S1943" s="37"/>
      <c r="T1943" s="38" t="s">
        <v>293</v>
      </c>
    </row>
    <row r="1944" ht="34.5">
      <c r="A1944" s="38" t="s">
        <v>1215</v>
      </c>
      <c r="B1944" s="38" t="s">
        <v>1216</v>
      </c>
      <c r="C1944" s="38" t="s">
        <v>793</v>
      </c>
      <c r="D1944" s="38" t="s">
        <v>288</v>
      </c>
      <c r="E1944" s="38" t="s">
        <v>706</v>
      </c>
      <c r="F1944" s="37" t="s">
        <v>707</v>
      </c>
      <c r="G1944" s="38" t="s">
        <v>708</v>
      </c>
      <c r="H1944" s="37"/>
      <c r="I1944" s="37"/>
      <c r="J1944" s="37" t="s">
        <v>734</v>
      </c>
      <c r="K1944" s="40"/>
      <c r="L1944" s="38"/>
      <c r="M1944" s="38"/>
      <c r="N1944" s="37"/>
      <c r="O1944" s="37"/>
      <c r="P1944" s="37"/>
      <c r="Q1944" s="37"/>
      <c r="R1944" s="39"/>
      <c r="S1944" s="37"/>
      <c r="T1944" s="38" t="s">
        <v>293</v>
      </c>
    </row>
    <row r="1945" ht="34.5">
      <c r="A1945" s="38" t="s">
        <v>1215</v>
      </c>
      <c r="B1945" s="38" t="s">
        <v>1216</v>
      </c>
      <c r="C1945" s="38" t="s">
        <v>803</v>
      </c>
      <c r="D1945" s="38" t="s">
        <v>288</v>
      </c>
      <c r="E1945" s="38" t="s">
        <v>706</v>
      </c>
      <c r="F1945" s="37" t="s">
        <v>707</v>
      </c>
      <c r="G1945" s="38" t="s">
        <v>708</v>
      </c>
      <c r="H1945" s="37"/>
      <c r="I1945" s="37"/>
      <c r="J1945" s="37" t="s">
        <v>735</v>
      </c>
      <c r="K1945" s="40"/>
      <c r="L1945" s="38"/>
      <c r="M1945" s="38"/>
      <c r="N1945" s="37"/>
      <c r="O1945" s="37"/>
      <c r="P1945" s="37"/>
      <c r="Q1945" s="37"/>
      <c r="R1945" s="39"/>
      <c r="S1945" s="37"/>
      <c r="T1945" s="38" t="s">
        <v>293</v>
      </c>
    </row>
    <row r="1946" ht="34.5">
      <c r="A1946" s="38" t="s">
        <v>1215</v>
      </c>
      <c r="B1946" s="38" t="s">
        <v>1216</v>
      </c>
      <c r="C1946" s="38" t="s">
        <v>803</v>
      </c>
      <c r="D1946" s="38" t="s">
        <v>288</v>
      </c>
      <c r="E1946" s="38" t="s">
        <v>706</v>
      </c>
      <c r="F1946" s="37" t="s">
        <v>707</v>
      </c>
      <c r="G1946" s="38" t="s">
        <v>708</v>
      </c>
      <c r="H1946" s="37"/>
      <c r="I1946" s="37"/>
      <c r="J1946" s="37" t="s">
        <v>1141</v>
      </c>
      <c r="K1946" s="40"/>
      <c r="L1946" s="38"/>
      <c r="M1946" s="38"/>
      <c r="N1946" s="37"/>
      <c r="O1946" s="37"/>
      <c r="P1946" s="37"/>
      <c r="Q1946" s="37"/>
      <c r="R1946" s="39"/>
      <c r="S1946" s="37"/>
      <c r="T1946" s="38" t="s">
        <v>293</v>
      </c>
    </row>
    <row r="1947" ht="34.5">
      <c r="A1947" s="38" t="s">
        <v>1215</v>
      </c>
      <c r="B1947" s="38" t="s">
        <v>1216</v>
      </c>
      <c r="C1947" s="38" t="s">
        <v>803</v>
      </c>
      <c r="D1947" s="38" t="s">
        <v>288</v>
      </c>
      <c r="E1947" s="38" t="s">
        <v>706</v>
      </c>
      <c r="F1947" s="37" t="s">
        <v>707</v>
      </c>
      <c r="G1947" s="38" t="s">
        <v>708</v>
      </c>
      <c r="H1947" s="37"/>
      <c r="I1947" s="37"/>
      <c r="J1947" s="37" t="s">
        <v>737</v>
      </c>
      <c r="K1947" s="40"/>
      <c r="L1947" s="38"/>
      <c r="M1947" s="38"/>
      <c r="N1947" s="37"/>
      <c r="O1947" s="37"/>
      <c r="P1947" s="37"/>
      <c r="Q1947" s="37"/>
      <c r="R1947" s="39"/>
      <c r="S1947" s="37"/>
      <c r="T1947" s="38" t="s">
        <v>293</v>
      </c>
    </row>
    <row r="1948" ht="34.5">
      <c r="A1948" s="38" t="s">
        <v>1215</v>
      </c>
      <c r="B1948" s="38" t="s">
        <v>1216</v>
      </c>
      <c r="C1948" s="38" t="s">
        <v>803</v>
      </c>
      <c r="D1948" s="38" t="s">
        <v>288</v>
      </c>
      <c r="E1948" s="38" t="s">
        <v>706</v>
      </c>
      <c r="F1948" s="37" t="s">
        <v>707</v>
      </c>
      <c r="G1948" s="38" t="s">
        <v>708</v>
      </c>
      <c r="H1948" s="37"/>
      <c r="I1948" s="37"/>
      <c r="J1948" s="37" t="s">
        <v>1022</v>
      </c>
      <c r="K1948" s="40"/>
      <c r="L1948" s="38"/>
      <c r="M1948" s="38"/>
      <c r="N1948" s="37"/>
      <c r="O1948" s="37"/>
      <c r="P1948" s="37"/>
      <c r="Q1948" s="37"/>
      <c r="R1948" s="39"/>
      <c r="S1948" s="37"/>
      <c r="T1948" s="38" t="s">
        <v>293</v>
      </c>
    </row>
    <row r="1949" ht="34.5">
      <c r="A1949" s="38" t="s">
        <v>1215</v>
      </c>
      <c r="B1949" s="38" t="s">
        <v>1216</v>
      </c>
      <c r="C1949" s="38" t="s">
        <v>803</v>
      </c>
      <c r="D1949" s="38" t="s">
        <v>288</v>
      </c>
      <c r="E1949" s="38" t="s">
        <v>706</v>
      </c>
      <c r="F1949" s="37" t="s">
        <v>707</v>
      </c>
      <c r="G1949" s="38" t="s">
        <v>708</v>
      </c>
      <c r="H1949" s="37"/>
      <c r="I1949" s="37"/>
      <c r="J1949" s="37" t="s">
        <v>1707</v>
      </c>
      <c r="K1949" s="40"/>
      <c r="L1949" s="38"/>
      <c r="M1949" s="38"/>
      <c r="N1949" s="37"/>
      <c r="O1949" s="37"/>
      <c r="P1949" s="37"/>
      <c r="Q1949" s="37"/>
      <c r="R1949" s="39"/>
      <c r="S1949" s="37"/>
      <c r="T1949" s="38" t="s">
        <v>293</v>
      </c>
    </row>
    <row r="1950" ht="34.5">
      <c r="A1950" s="38" t="s">
        <v>1215</v>
      </c>
      <c r="B1950" s="38" t="s">
        <v>1216</v>
      </c>
      <c r="C1950" s="38" t="s">
        <v>803</v>
      </c>
      <c r="D1950" s="38" t="s">
        <v>288</v>
      </c>
      <c r="E1950" s="38" t="s">
        <v>706</v>
      </c>
      <c r="F1950" s="37" t="s">
        <v>707</v>
      </c>
      <c r="G1950" s="38" t="s">
        <v>708</v>
      </c>
      <c r="H1950" s="37"/>
      <c r="I1950" s="37"/>
      <c r="J1950" s="37" t="s">
        <v>1142</v>
      </c>
      <c r="K1950" s="40"/>
      <c r="L1950" s="38"/>
      <c r="M1950" s="38"/>
      <c r="N1950" s="37"/>
      <c r="O1950" s="37"/>
      <c r="P1950" s="37"/>
      <c r="Q1950" s="37"/>
      <c r="R1950" s="39"/>
      <c r="S1950" s="37"/>
      <c r="T1950" s="38" t="s">
        <v>293</v>
      </c>
    </row>
    <row r="1951" ht="34.5">
      <c r="A1951" s="38" t="s">
        <v>1215</v>
      </c>
      <c r="B1951" s="38" t="s">
        <v>1216</v>
      </c>
      <c r="C1951" s="38" t="s">
        <v>803</v>
      </c>
      <c r="D1951" s="38" t="s">
        <v>288</v>
      </c>
      <c r="E1951" s="38" t="s">
        <v>706</v>
      </c>
      <c r="F1951" s="37" t="s">
        <v>707</v>
      </c>
      <c r="G1951" s="38" t="s">
        <v>708</v>
      </c>
      <c r="H1951" s="37"/>
      <c r="I1951" s="37"/>
      <c r="J1951" s="37" t="s">
        <v>741</v>
      </c>
      <c r="K1951" s="40"/>
      <c r="L1951" s="38"/>
      <c r="M1951" s="38"/>
      <c r="N1951" s="37"/>
      <c r="O1951" s="37"/>
      <c r="P1951" s="37"/>
      <c r="Q1951" s="37"/>
      <c r="R1951" s="39"/>
      <c r="S1951" s="37"/>
      <c r="T1951" s="38" t="s">
        <v>293</v>
      </c>
    </row>
    <row r="1952" ht="34.5">
      <c r="A1952" s="38" t="s">
        <v>1215</v>
      </c>
      <c r="B1952" s="38" t="s">
        <v>1216</v>
      </c>
      <c r="C1952" s="38" t="s">
        <v>803</v>
      </c>
      <c r="D1952" s="38" t="s">
        <v>288</v>
      </c>
      <c r="E1952" s="38" t="s">
        <v>706</v>
      </c>
      <c r="F1952" s="37" t="s">
        <v>707</v>
      </c>
      <c r="G1952" s="38" t="s">
        <v>708</v>
      </c>
      <c r="H1952" s="37"/>
      <c r="I1952" s="37"/>
      <c r="J1952" s="37" t="s">
        <v>1023</v>
      </c>
      <c r="K1952" s="40"/>
      <c r="L1952" s="38"/>
      <c r="M1952" s="38"/>
      <c r="N1952" s="37"/>
      <c r="O1952" s="37"/>
      <c r="P1952" s="37"/>
      <c r="Q1952" s="37"/>
      <c r="R1952" s="39"/>
      <c r="S1952" s="37"/>
      <c r="T1952" s="38" t="s">
        <v>293</v>
      </c>
    </row>
    <row r="1953" ht="34.5">
      <c r="A1953" s="38" t="s">
        <v>1215</v>
      </c>
      <c r="B1953" s="38" t="s">
        <v>1216</v>
      </c>
      <c r="C1953" s="38" t="s">
        <v>803</v>
      </c>
      <c r="D1953" s="38" t="s">
        <v>288</v>
      </c>
      <c r="E1953" s="38" t="s">
        <v>706</v>
      </c>
      <c r="F1953" s="37" t="s">
        <v>707</v>
      </c>
      <c r="G1953" s="38" t="s">
        <v>708</v>
      </c>
      <c r="H1953" s="37"/>
      <c r="I1953" s="37"/>
      <c r="J1953" s="37" t="s">
        <v>743</v>
      </c>
      <c r="K1953" s="40"/>
      <c r="L1953" s="38"/>
      <c r="M1953" s="38"/>
      <c r="N1953" s="37"/>
      <c r="O1953" s="37"/>
      <c r="P1953" s="37"/>
      <c r="Q1953" s="37"/>
      <c r="R1953" s="39"/>
      <c r="S1953" s="37"/>
      <c r="T1953" s="38" t="s">
        <v>293</v>
      </c>
    </row>
    <row r="1954" ht="34.5">
      <c r="A1954" s="38" t="s">
        <v>1215</v>
      </c>
      <c r="B1954" s="38" t="s">
        <v>1216</v>
      </c>
      <c r="C1954" s="38" t="s">
        <v>803</v>
      </c>
      <c r="D1954" s="38" t="s">
        <v>288</v>
      </c>
      <c r="E1954" s="38" t="s">
        <v>706</v>
      </c>
      <c r="F1954" s="37" t="s">
        <v>707</v>
      </c>
      <c r="G1954" s="38" t="s">
        <v>708</v>
      </c>
      <c r="H1954" s="37"/>
      <c r="I1954" s="37"/>
      <c r="J1954" s="37" t="s">
        <v>1143</v>
      </c>
      <c r="K1954" s="40"/>
      <c r="L1954" s="38"/>
      <c r="M1954" s="38"/>
      <c r="N1954" s="37"/>
      <c r="O1954" s="37"/>
      <c r="P1954" s="37"/>
      <c r="Q1954" s="37"/>
      <c r="R1954" s="39"/>
      <c r="S1954" s="37"/>
      <c r="T1954" s="38" t="s">
        <v>293</v>
      </c>
    </row>
    <row r="1955" ht="34.5">
      <c r="A1955" s="38" t="s">
        <v>1215</v>
      </c>
      <c r="B1955" s="38" t="s">
        <v>1216</v>
      </c>
      <c r="C1955" s="38" t="s">
        <v>803</v>
      </c>
      <c r="D1955" s="38" t="s">
        <v>288</v>
      </c>
      <c r="E1955" s="38" t="s">
        <v>706</v>
      </c>
      <c r="F1955" s="37" t="s">
        <v>707</v>
      </c>
      <c r="G1955" s="38" t="s">
        <v>708</v>
      </c>
      <c r="H1955" s="37"/>
      <c r="I1955" s="37"/>
      <c r="J1955" s="37" t="s">
        <v>746</v>
      </c>
      <c r="K1955" s="40"/>
      <c r="L1955" s="38"/>
      <c r="M1955" s="38"/>
      <c r="N1955" s="37"/>
      <c r="O1955" s="37"/>
      <c r="P1955" s="37"/>
      <c r="Q1955" s="37"/>
      <c r="R1955" s="39"/>
      <c r="S1955" s="37"/>
      <c r="T1955" s="38" t="s">
        <v>293</v>
      </c>
    </row>
    <row r="1956" ht="34.5">
      <c r="A1956" s="38" t="s">
        <v>1215</v>
      </c>
      <c r="B1956" s="38" t="s">
        <v>1216</v>
      </c>
      <c r="C1956" s="38" t="s">
        <v>803</v>
      </c>
      <c r="D1956" s="38" t="s">
        <v>288</v>
      </c>
      <c r="E1956" s="38" t="s">
        <v>706</v>
      </c>
      <c r="F1956" s="37" t="s">
        <v>707</v>
      </c>
      <c r="G1956" s="38" t="s">
        <v>708</v>
      </c>
      <c r="H1956" s="37"/>
      <c r="I1956" s="37"/>
      <c r="J1956" s="37" t="s">
        <v>747</v>
      </c>
      <c r="K1956" s="40"/>
      <c r="L1956" s="38"/>
      <c r="M1956" s="38"/>
      <c r="N1956" s="37"/>
      <c r="O1956" s="37"/>
      <c r="P1956" s="37"/>
      <c r="Q1956" s="37"/>
      <c r="R1956" s="39"/>
      <c r="S1956" s="37"/>
      <c r="T1956" s="38" t="s">
        <v>293</v>
      </c>
    </row>
    <row r="1957" ht="34.5">
      <c r="A1957" s="38" t="s">
        <v>1215</v>
      </c>
      <c r="B1957" s="38" t="s">
        <v>1216</v>
      </c>
      <c r="C1957" s="38" t="s">
        <v>803</v>
      </c>
      <c r="D1957" s="38" t="s">
        <v>288</v>
      </c>
      <c r="E1957" s="38" t="s">
        <v>706</v>
      </c>
      <c r="F1957" s="37" t="s">
        <v>707</v>
      </c>
      <c r="G1957" s="38" t="s">
        <v>708</v>
      </c>
      <c r="H1957" s="37"/>
      <c r="I1957" s="37"/>
      <c r="J1957" s="37" t="s">
        <v>1708</v>
      </c>
      <c r="K1957" s="40"/>
      <c r="L1957" s="38"/>
      <c r="M1957" s="38"/>
      <c r="N1957" s="37"/>
      <c r="O1957" s="37"/>
      <c r="P1957" s="37"/>
      <c r="Q1957" s="37"/>
      <c r="R1957" s="39"/>
      <c r="S1957" s="37"/>
      <c r="T1957" s="38" t="s">
        <v>293</v>
      </c>
    </row>
    <row r="1958" ht="34.5">
      <c r="A1958" s="38" t="s">
        <v>1215</v>
      </c>
      <c r="B1958" s="38" t="s">
        <v>1216</v>
      </c>
      <c r="C1958" s="38" t="s">
        <v>815</v>
      </c>
      <c r="D1958" s="38" t="s">
        <v>288</v>
      </c>
      <c r="E1958" s="38" t="s">
        <v>706</v>
      </c>
      <c r="F1958" s="37" t="s">
        <v>707</v>
      </c>
      <c r="G1958" s="38" t="s">
        <v>708</v>
      </c>
      <c r="H1958" s="37"/>
      <c r="I1958" s="37"/>
      <c r="J1958" s="37" t="s">
        <v>1709</v>
      </c>
      <c r="K1958" s="40"/>
      <c r="L1958" s="38"/>
      <c r="M1958" s="38"/>
      <c r="N1958" s="37"/>
      <c r="O1958" s="37"/>
      <c r="P1958" s="37"/>
      <c r="Q1958" s="37"/>
      <c r="R1958" s="39"/>
      <c r="S1958" s="37"/>
      <c r="T1958" s="38" t="s">
        <v>293</v>
      </c>
    </row>
    <row r="1959" ht="34.5">
      <c r="A1959" s="38" t="s">
        <v>1215</v>
      </c>
      <c r="B1959" s="38" t="s">
        <v>1216</v>
      </c>
      <c r="C1959" s="38" t="s">
        <v>815</v>
      </c>
      <c r="D1959" s="38" t="s">
        <v>288</v>
      </c>
      <c r="E1959" s="38" t="s">
        <v>706</v>
      </c>
      <c r="F1959" s="37" t="s">
        <v>707</v>
      </c>
      <c r="G1959" s="38" t="s">
        <v>708</v>
      </c>
      <c r="H1959" s="37"/>
      <c r="I1959" s="37"/>
      <c r="J1959" s="37" t="s">
        <v>749</v>
      </c>
      <c r="K1959" s="40"/>
      <c r="L1959" s="38"/>
      <c r="M1959" s="38"/>
      <c r="N1959" s="37"/>
      <c r="O1959" s="37"/>
      <c r="P1959" s="37"/>
      <c r="Q1959" s="37"/>
      <c r="R1959" s="39"/>
      <c r="S1959" s="37"/>
      <c r="T1959" s="38" t="s">
        <v>293</v>
      </c>
    </row>
    <row r="1960" ht="34.5">
      <c r="A1960" s="38" t="s">
        <v>1215</v>
      </c>
      <c r="B1960" s="38" t="s">
        <v>1216</v>
      </c>
      <c r="C1960" s="38" t="s">
        <v>815</v>
      </c>
      <c r="D1960" s="38" t="s">
        <v>288</v>
      </c>
      <c r="E1960" s="38" t="s">
        <v>706</v>
      </c>
      <c r="F1960" s="37" t="s">
        <v>707</v>
      </c>
      <c r="G1960" s="38" t="s">
        <v>708</v>
      </c>
      <c r="H1960" s="37"/>
      <c r="I1960" s="37"/>
      <c r="J1960" s="37" t="s">
        <v>750</v>
      </c>
      <c r="K1960" s="40"/>
      <c r="L1960" s="38"/>
      <c r="M1960" s="38"/>
      <c r="N1960" s="37"/>
      <c r="O1960" s="37"/>
      <c r="P1960" s="37"/>
      <c r="Q1960" s="37"/>
      <c r="R1960" s="39"/>
      <c r="S1960" s="37"/>
      <c r="T1960" s="38" t="s">
        <v>293</v>
      </c>
    </row>
    <row r="1961" ht="34.5">
      <c r="A1961" s="38" t="s">
        <v>1215</v>
      </c>
      <c r="B1961" s="38" t="s">
        <v>1216</v>
      </c>
      <c r="C1961" s="38" t="s">
        <v>815</v>
      </c>
      <c r="D1961" s="38" t="s">
        <v>288</v>
      </c>
      <c r="E1961" s="38" t="s">
        <v>706</v>
      </c>
      <c r="F1961" s="37" t="s">
        <v>707</v>
      </c>
      <c r="G1961" s="38" t="s">
        <v>708</v>
      </c>
      <c r="H1961" s="37"/>
      <c r="I1961" s="37"/>
      <c r="J1961" s="37" t="s">
        <v>751</v>
      </c>
      <c r="K1961" s="40"/>
      <c r="L1961" s="38"/>
      <c r="M1961" s="38"/>
      <c r="N1961" s="37"/>
      <c r="O1961" s="37"/>
      <c r="P1961" s="37"/>
      <c r="Q1961" s="37"/>
      <c r="R1961" s="39"/>
      <c r="S1961" s="37"/>
      <c r="T1961" s="38" t="s">
        <v>293</v>
      </c>
    </row>
    <row r="1962" ht="34.5">
      <c r="A1962" s="38" t="s">
        <v>1215</v>
      </c>
      <c r="B1962" s="38" t="s">
        <v>1216</v>
      </c>
      <c r="C1962" s="38" t="s">
        <v>815</v>
      </c>
      <c r="D1962" s="38" t="s">
        <v>288</v>
      </c>
      <c r="E1962" s="38" t="s">
        <v>706</v>
      </c>
      <c r="F1962" s="37" t="s">
        <v>707</v>
      </c>
      <c r="G1962" s="38" t="s">
        <v>708</v>
      </c>
      <c r="H1962" s="37"/>
      <c r="I1962" s="37"/>
      <c r="J1962" s="37" t="s">
        <v>752</v>
      </c>
      <c r="K1962" s="40"/>
      <c r="L1962" s="38"/>
      <c r="M1962" s="38"/>
      <c r="N1962" s="37"/>
      <c r="O1962" s="37"/>
      <c r="P1962" s="37"/>
      <c r="Q1962" s="37"/>
      <c r="R1962" s="39"/>
      <c r="S1962" s="37"/>
      <c r="T1962" s="38" t="s">
        <v>293</v>
      </c>
    </row>
    <row r="1963" ht="34.5">
      <c r="A1963" s="38" t="s">
        <v>1215</v>
      </c>
      <c r="B1963" s="38" t="s">
        <v>1216</v>
      </c>
      <c r="C1963" s="38" t="s">
        <v>815</v>
      </c>
      <c r="D1963" s="38" t="s">
        <v>288</v>
      </c>
      <c r="E1963" s="38" t="s">
        <v>706</v>
      </c>
      <c r="F1963" s="37" t="s">
        <v>707</v>
      </c>
      <c r="G1963" s="38" t="s">
        <v>708</v>
      </c>
      <c r="H1963" s="37"/>
      <c r="I1963" s="37"/>
      <c r="J1963" s="37" t="s">
        <v>1710</v>
      </c>
      <c r="K1963" s="40"/>
      <c r="L1963" s="38"/>
      <c r="M1963" s="38"/>
      <c r="N1963" s="37"/>
      <c r="O1963" s="37"/>
      <c r="P1963" s="37"/>
      <c r="Q1963" s="37"/>
      <c r="R1963" s="39"/>
      <c r="S1963" s="37"/>
      <c r="T1963" s="38" t="s">
        <v>293</v>
      </c>
    </row>
    <row r="1964" ht="34.5">
      <c r="A1964" s="38" t="s">
        <v>1215</v>
      </c>
      <c r="B1964" s="38" t="s">
        <v>1216</v>
      </c>
      <c r="C1964" s="38" t="s">
        <v>815</v>
      </c>
      <c r="D1964" s="38" t="s">
        <v>288</v>
      </c>
      <c r="E1964" s="38" t="s">
        <v>706</v>
      </c>
      <c r="F1964" s="37" t="s">
        <v>707</v>
      </c>
      <c r="G1964" s="38" t="s">
        <v>708</v>
      </c>
      <c r="H1964" s="37"/>
      <c r="I1964" s="37"/>
      <c r="J1964" s="37" t="s">
        <v>755</v>
      </c>
      <c r="K1964" s="40"/>
      <c r="L1964" s="38"/>
      <c r="M1964" s="38"/>
      <c r="N1964" s="37"/>
      <c r="O1964" s="37"/>
      <c r="P1964" s="37"/>
      <c r="Q1964" s="37"/>
      <c r="R1964" s="39"/>
      <c r="S1964" s="37"/>
      <c r="T1964" s="38" t="s">
        <v>293</v>
      </c>
    </row>
    <row r="1965" ht="34.5">
      <c r="A1965" s="38" t="s">
        <v>1215</v>
      </c>
      <c r="B1965" s="38" t="s">
        <v>1216</v>
      </c>
      <c r="C1965" s="38" t="s">
        <v>815</v>
      </c>
      <c r="D1965" s="38" t="s">
        <v>288</v>
      </c>
      <c r="E1965" s="38" t="s">
        <v>706</v>
      </c>
      <c r="F1965" s="37" t="s">
        <v>707</v>
      </c>
      <c r="G1965" s="38" t="s">
        <v>708</v>
      </c>
      <c r="H1965" s="37"/>
      <c r="I1965" s="37"/>
      <c r="J1965" s="37" t="s">
        <v>756</v>
      </c>
      <c r="K1965" s="40"/>
      <c r="L1965" s="38"/>
      <c r="M1965" s="38"/>
      <c r="N1965" s="37"/>
      <c r="O1965" s="37"/>
      <c r="P1965" s="37"/>
      <c r="Q1965" s="37"/>
      <c r="R1965" s="39"/>
      <c r="S1965" s="37"/>
      <c r="T1965" s="38" t="s">
        <v>293</v>
      </c>
    </row>
    <row r="1966" ht="34.5">
      <c r="A1966" s="38" t="s">
        <v>1215</v>
      </c>
      <c r="B1966" s="38" t="s">
        <v>1216</v>
      </c>
      <c r="C1966" s="38" t="s">
        <v>815</v>
      </c>
      <c r="D1966" s="38" t="s">
        <v>288</v>
      </c>
      <c r="E1966" s="38" t="s">
        <v>706</v>
      </c>
      <c r="F1966" s="37" t="s">
        <v>707</v>
      </c>
      <c r="G1966" s="38" t="s">
        <v>708</v>
      </c>
      <c r="H1966" s="37"/>
      <c r="I1966" s="37"/>
      <c r="J1966" s="37" t="s">
        <v>1145</v>
      </c>
      <c r="K1966" s="40"/>
      <c r="L1966" s="38"/>
      <c r="M1966" s="38"/>
      <c r="N1966" s="37"/>
      <c r="O1966" s="37"/>
      <c r="P1966" s="37"/>
      <c r="Q1966" s="37"/>
      <c r="R1966" s="39"/>
      <c r="S1966" s="37"/>
      <c r="T1966" s="38" t="s">
        <v>293</v>
      </c>
    </row>
    <row r="1967" ht="34.5">
      <c r="A1967" s="38" t="s">
        <v>1215</v>
      </c>
      <c r="B1967" s="38" t="s">
        <v>1216</v>
      </c>
      <c r="C1967" s="38" t="s">
        <v>828</v>
      </c>
      <c r="D1967" s="38" t="s">
        <v>288</v>
      </c>
      <c r="E1967" s="38" t="s">
        <v>706</v>
      </c>
      <c r="F1967" s="37" t="s">
        <v>707</v>
      </c>
      <c r="G1967" s="38" t="s">
        <v>708</v>
      </c>
      <c r="H1967" s="37"/>
      <c r="I1967" s="37"/>
      <c r="J1967" s="37" t="s">
        <v>1711</v>
      </c>
      <c r="K1967" s="40"/>
      <c r="L1967" s="38"/>
      <c r="M1967" s="38"/>
      <c r="N1967" s="37"/>
      <c r="O1967" s="37"/>
      <c r="P1967" s="37"/>
      <c r="Q1967" s="37"/>
      <c r="R1967" s="39"/>
      <c r="S1967" s="37"/>
      <c r="T1967" s="38" t="s">
        <v>293</v>
      </c>
    </row>
    <row r="1968" ht="34.5">
      <c r="A1968" s="38" t="s">
        <v>1215</v>
      </c>
      <c r="B1968" s="38" t="s">
        <v>1216</v>
      </c>
      <c r="C1968" s="38" t="s">
        <v>828</v>
      </c>
      <c r="D1968" s="38" t="s">
        <v>288</v>
      </c>
      <c r="E1968" s="38" t="s">
        <v>706</v>
      </c>
      <c r="F1968" s="37" t="s">
        <v>707</v>
      </c>
      <c r="G1968" s="38" t="s">
        <v>708</v>
      </c>
      <c r="H1968" s="37"/>
      <c r="I1968" s="37"/>
      <c r="J1968" s="37" t="s">
        <v>759</v>
      </c>
      <c r="K1968" s="40"/>
      <c r="L1968" s="38"/>
      <c r="M1968" s="38"/>
      <c r="N1968" s="37"/>
      <c r="O1968" s="37"/>
      <c r="P1968" s="37"/>
      <c r="Q1968" s="37"/>
      <c r="R1968" s="39"/>
      <c r="S1968" s="37"/>
      <c r="T1968" s="38" t="s">
        <v>293</v>
      </c>
    </row>
    <row r="1969" ht="34.5">
      <c r="A1969" s="38" t="s">
        <v>1215</v>
      </c>
      <c r="B1969" s="38" t="s">
        <v>1216</v>
      </c>
      <c r="C1969" s="38" t="s">
        <v>828</v>
      </c>
      <c r="D1969" s="38" t="s">
        <v>288</v>
      </c>
      <c r="E1969" s="38" t="s">
        <v>706</v>
      </c>
      <c r="F1969" s="37" t="s">
        <v>707</v>
      </c>
      <c r="G1969" s="38" t="s">
        <v>708</v>
      </c>
      <c r="H1969" s="37"/>
      <c r="I1969" s="37"/>
      <c r="J1969" s="37" t="s">
        <v>1712</v>
      </c>
      <c r="K1969" s="40"/>
      <c r="L1969" s="38"/>
      <c r="M1969" s="38"/>
      <c r="N1969" s="37"/>
      <c r="O1969" s="37"/>
      <c r="P1969" s="37"/>
      <c r="Q1969" s="37"/>
      <c r="R1969" s="39"/>
      <c r="S1969" s="37"/>
      <c r="T1969" s="38" t="s">
        <v>293</v>
      </c>
    </row>
    <row r="1970" ht="34.5">
      <c r="A1970" s="38" t="s">
        <v>1215</v>
      </c>
      <c r="B1970" s="38" t="s">
        <v>1216</v>
      </c>
      <c r="C1970" s="38" t="s">
        <v>828</v>
      </c>
      <c r="D1970" s="38" t="s">
        <v>288</v>
      </c>
      <c r="E1970" s="38" t="s">
        <v>706</v>
      </c>
      <c r="F1970" s="37" t="s">
        <v>707</v>
      </c>
      <c r="G1970" s="38" t="s">
        <v>708</v>
      </c>
      <c r="H1970" s="37"/>
      <c r="I1970" s="37"/>
      <c r="J1970" s="37" t="s">
        <v>761</v>
      </c>
      <c r="K1970" s="40"/>
      <c r="L1970" s="38"/>
      <c r="M1970" s="38"/>
      <c r="N1970" s="37"/>
      <c r="O1970" s="37"/>
      <c r="P1970" s="37"/>
      <c r="Q1970" s="37"/>
      <c r="R1970" s="39"/>
      <c r="S1970" s="37"/>
      <c r="T1970" s="38" t="s">
        <v>293</v>
      </c>
    </row>
    <row r="1971" ht="34.5">
      <c r="A1971" s="38" t="s">
        <v>1215</v>
      </c>
      <c r="B1971" s="38" t="s">
        <v>1216</v>
      </c>
      <c r="C1971" s="38" t="s">
        <v>828</v>
      </c>
      <c r="D1971" s="38" t="s">
        <v>288</v>
      </c>
      <c r="E1971" s="38" t="s">
        <v>706</v>
      </c>
      <c r="F1971" s="37" t="s">
        <v>707</v>
      </c>
      <c r="G1971" s="38" t="s">
        <v>708</v>
      </c>
      <c r="H1971" s="37"/>
      <c r="I1971" s="37"/>
      <c r="J1971" s="37" t="s">
        <v>762</v>
      </c>
      <c r="K1971" s="40"/>
      <c r="L1971" s="38"/>
      <c r="M1971" s="38"/>
      <c r="N1971" s="37"/>
      <c r="O1971" s="37"/>
      <c r="P1971" s="37"/>
      <c r="Q1971" s="37"/>
      <c r="R1971" s="39"/>
      <c r="S1971" s="37"/>
      <c r="T1971" s="38" t="s">
        <v>293</v>
      </c>
    </row>
    <row r="1972" ht="34.5">
      <c r="A1972" s="38" t="s">
        <v>1215</v>
      </c>
      <c r="B1972" s="38" t="s">
        <v>1216</v>
      </c>
      <c r="C1972" s="38" t="s">
        <v>828</v>
      </c>
      <c r="D1972" s="38" t="s">
        <v>288</v>
      </c>
      <c r="E1972" s="38" t="s">
        <v>706</v>
      </c>
      <c r="F1972" s="37" t="s">
        <v>707</v>
      </c>
      <c r="G1972" s="38" t="s">
        <v>708</v>
      </c>
      <c r="H1972" s="37"/>
      <c r="I1972" s="37"/>
      <c r="J1972" s="37" t="s">
        <v>764</v>
      </c>
      <c r="K1972" s="40"/>
      <c r="L1972" s="38"/>
      <c r="M1972" s="38"/>
      <c r="N1972" s="37"/>
      <c r="O1972" s="37"/>
      <c r="P1972" s="37"/>
      <c r="Q1972" s="37"/>
      <c r="R1972" s="39"/>
      <c r="S1972" s="37"/>
      <c r="T1972" s="38" t="s">
        <v>293</v>
      </c>
    </row>
    <row r="1973" ht="34.5">
      <c r="A1973" s="38" t="s">
        <v>1215</v>
      </c>
      <c r="B1973" s="38" t="s">
        <v>1216</v>
      </c>
      <c r="C1973" s="38" t="s">
        <v>828</v>
      </c>
      <c r="D1973" s="38" t="s">
        <v>991</v>
      </c>
      <c r="E1973" s="38" t="s">
        <v>706</v>
      </c>
      <c r="F1973" s="37" t="s">
        <v>707</v>
      </c>
      <c r="G1973" s="38" t="s">
        <v>708</v>
      </c>
      <c r="H1973" s="37"/>
      <c r="I1973" s="37"/>
      <c r="J1973" s="37" t="s">
        <v>992</v>
      </c>
      <c r="K1973" s="40"/>
      <c r="L1973" s="38"/>
      <c r="M1973" s="38"/>
      <c r="N1973" s="37"/>
      <c r="O1973" s="37"/>
      <c r="P1973" s="37"/>
      <c r="Q1973" s="37"/>
      <c r="R1973" s="39"/>
      <c r="S1973" s="37"/>
      <c r="T1973" s="38" t="s">
        <v>293</v>
      </c>
    </row>
    <row r="1974" ht="34.5">
      <c r="A1974" s="38" t="s">
        <v>1215</v>
      </c>
      <c r="B1974" s="38" t="s">
        <v>1216</v>
      </c>
      <c r="C1974" s="38" t="s">
        <v>832</v>
      </c>
      <c r="D1974" s="38" t="s">
        <v>288</v>
      </c>
      <c r="E1974" s="38" t="s">
        <v>706</v>
      </c>
      <c r="F1974" s="37" t="s">
        <v>707</v>
      </c>
      <c r="G1974" s="38" t="s">
        <v>708</v>
      </c>
      <c r="H1974" s="37"/>
      <c r="I1974" s="37"/>
      <c r="J1974" s="37" t="s">
        <v>1713</v>
      </c>
      <c r="K1974" s="40">
        <v>63252812</v>
      </c>
      <c r="L1974" s="38" t="s">
        <v>297</v>
      </c>
      <c r="M1974" s="38"/>
      <c r="N1974" s="37"/>
      <c r="O1974" s="37"/>
      <c r="P1974" s="37"/>
      <c r="Q1974" s="37"/>
      <c r="R1974" s="39"/>
      <c r="S1974" s="37"/>
      <c r="T1974" s="38" t="s">
        <v>293</v>
      </c>
    </row>
    <row r="1975" ht="34.5">
      <c r="A1975" s="38" t="s">
        <v>1215</v>
      </c>
      <c r="B1975" s="38" t="s">
        <v>1216</v>
      </c>
      <c r="C1975" s="38" t="s">
        <v>832</v>
      </c>
      <c r="D1975" s="38" t="s">
        <v>288</v>
      </c>
      <c r="E1975" s="38" t="s">
        <v>768</v>
      </c>
      <c r="F1975" s="37" t="s">
        <v>769</v>
      </c>
      <c r="G1975" s="38" t="s">
        <v>70</v>
      </c>
      <c r="H1975" s="37"/>
      <c r="I1975" s="37"/>
      <c r="J1975" s="37" t="s">
        <v>770</v>
      </c>
      <c r="K1975" s="40"/>
      <c r="L1975" s="38"/>
      <c r="M1975" s="38"/>
      <c r="N1975" s="37"/>
      <c r="O1975" s="37"/>
      <c r="P1975" s="37"/>
      <c r="Q1975" s="37"/>
      <c r="R1975" s="39"/>
      <c r="S1975" s="37"/>
      <c r="T1975" s="38" t="s">
        <v>293</v>
      </c>
    </row>
    <row r="1976" ht="34.5">
      <c r="A1976" s="38" t="s">
        <v>1215</v>
      </c>
      <c r="B1976" s="38" t="s">
        <v>1216</v>
      </c>
      <c r="C1976" s="38" t="s">
        <v>832</v>
      </c>
      <c r="D1976" s="38" t="s">
        <v>288</v>
      </c>
      <c r="E1976" s="38" t="s">
        <v>768</v>
      </c>
      <c r="F1976" s="37" t="s">
        <v>769</v>
      </c>
      <c r="G1976" s="38" t="s">
        <v>70</v>
      </c>
      <c r="H1976" s="37"/>
      <c r="I1976" s="37"/>
      <c r="J1976" s="37" t="s">
        <v>771</v>
      </c>
      <c r="K1976" s="40"/>
      <c r="L1976" s="38"/>
      <c r="M1976" s="38"/>
      <c r="N1976" s="37"/>
      <c r="O1976" s="37"/>
      <c r="P1976" s="37"/>
      <c r="Q1976" s="37"/>
      <c r="R1976" s="39"/>
      <c r="S1976" s="37"/>
      <c r="T1976" s="38" t="s">
        <v>293</v>
      </c>
    </row>
    <row r="1977" ht="34.5">
      <c r="A1977" s="38" t="s">
        <v>1215</v>
      </c>
      <c r="B1977" s="38" t="s">
        <v>1216</v>
      </c>
      <c r="C1977" s="38" t="s">
        <v>832</v>
      </c>
      <c r="D1977" s="38" t="s">
        <v>288</v>
      </c>
      <c r="E1977" s="38" t="s">
        <v>768</v>
      </c>
      <c r="F1977" s="37" t="s">
        <v>769</v>
      </c>
      <c r="G1977" s="38" t="s">
        <v>70</v>
      </c>
      <c r="H1977" s="37"/>
      <c r="I1977" s="37"/>
      <c r="J1977" s="37" t="s">
        <v>1149</v>
      </c>
      <c r="K1977" s="40"/>
      <c r="L1977" s="38"/>
      <c r="M1977" s="38"/>
      <c r="N1977" s="37"/>
      <c r="O1977" s="37"/>
      <c r="P1977" s="37"/>
      <c r="Q1977" s="37"/>
      <c r="R1977" s="39"/>
      <c r="S1977" s="37"/>
      <c r="T1977" s="38" t="s">
        <v>293</v>
      </c>
    </row>
    <row r="1978" ht="34.5">
      <c r="A1978" s="38" t="s">
        <v>1215</v>
      </c>
      <c r="B1978" s="38" t="s">
        <v>1216</v>
      </c>
      <c r="C1978" s="38" t="s">
        <v>832</v>
      </c>
      <c r="D1978" s="38" t="s">
        <v>288</v>
      </c>
      <c r="E1978" s="38" t="s">
        <v>768</v>
      </c>
      <c r="F1978" s="37" t="s">
        <v>769</v>
      </c>
      <c r="G1978" s="38" t="s">
        <v>70</v>
      </c>
      <c r="H1978" s="37"/>
      <c r="I1978" s="37"/>
      <c r="J1978" s="37" t="s">
        <v>1714</v>
      </c>
      <c r="K1978" s="40"/>
      <c r="L1978" s="38"/>
      <c r="M1978" s="38"/>
      <c r="N1978" s="37"/>
      <c r="O1978" s="37"/>
      <c r="P1978" s="37"/>
      <c r="Q1978" s="37"/>
      <c r="R1978" s="39"/>
      <c r="S1978" s="37"/>
      <c r="T1978" s="38" t="s">
        <v>293</v>
      </c>
    </row>
    <row r="1979" ht="34.5">
      <c r="A1979" s="38" t="s">
        <v>1215</v>
      </c>
      <c r="B1979" s="38" t="s">
        <v>1216</v>
      </c>
      <c r="C1979" s="38" t="s">
        <v>832</v>
      </c>
      <c r="D1979" s="38" t="s">
        <v>288</v>
      </c>
      <c r="E1979" s="38" t="s">
        <v>768</v>
      </c>
      <c r="F1979" s="37" t="s">
        <v>769</v>
      </c>
      <c r="G1979" s="38" t="s">
        <v>70</v>
      </c>
      <c r="H1979" s="37"/>
      <c r="I1979" s="37"/>
      <c r="J1979" s="37" t="s">
        <v>1715</v>
      </c>
      <c r="K1979" s="40"/>
      <c r="L1979" s="38"/>
      <c r="M1979" s="38"/>
      <c r="N1979" s="37"/>
      <c r="O1979" s="37"/>
      <c r="P1979" s="37"/>
      <c r="Q1979" s="37"/>
      <c r="R1979" s="39"/>
      <c r="S1979" s="37"/>
      <c r="T1979" s="38" t="s">
        <v>293</v>
      </c>
    </row>
    <row r="1980" ht="34.5">
      <c r="A1980" s="38" t="s">
        <v>1215</v>
      </c>
      <c r="B1980" s="38" t="s">
        <v>1216</v>
      </c>
      <c r="C1980" s="38" t="s">
        <v>832</v>
      </c>
      <c r="D1980" s="38" t="s">
        <v>288</v>
      </c>
      <c r="E1980" s="38" t="s">
        <v>768</v>
      </c>
      <c r="F1980" s="37" t="s">
        <v>769</v>
      </c>
      <c r="G1980" s="38" t="s">
        <v>70</v>
      </c>
      <c r="H1980" s="37"/>
      <c r="I1980" s="37"/>
      <c r="J1980" s="37" t="s">
        <v>775</v>
      </c>
      <c r="K1980" s="40"/>
      <c r="L1980" s="38"/>
      <c r="M1980" s="38"/>
      <c r="N1980" s="37"/>
      <c r="O1980" s="37"/>
      <c r="P1980" s="37"/>
      <c r="Q1980" s="37"/>
      <c r="R1980" s="39"/>
      <c r="S1980" s="37"/>
      <c r="T1980" s="38" t="s">
        <v>293</v>
      </c>
    </row>
    <row r="1981" ht="34.5">
      <c r="A1981" s="38" t="s">
        <v>1215</v>
      </c>
      <c r="B1981" s="38" t="s">
        <v>1216</v>
      </c>
      <c r="C1981" s="38" t="s">
        <v>832</v>
      </c>
      <c r="D1981" s="38" t="s">
        <v>288</v>
      </c>
      <c r="E1981" s="38" t="s">
        <v>768</v>
      </c>
      <c r="F1981" s="37" t="s">
        <v>769</v>
      </c>
      <c r="G1981" s="38" t="s">
        <v>70</v>
      </c>
      <c r="H1981" s="37"/>
      <c r="I1981" s="37"/>
      <c r="J1981" s="37" t="s">
        <v>776</v>
      </c>
      <c r="K1981" s="40"/>
      <c r="L1981" s="38"/>
      <c r="M1981" s="38"/>
      <c r="N1981" s="37"/>
      <c r="O1981" s="37"/>
      <c r="P1981" s="37"/>
      <c r="Q1981" s="37"/>
      <c r="R1981" s="39"/>
      <c r="S1981" s="37"/>
      <c r="T1981" s="38" t="s">
        <v>293</v>
      </c>
    </row>
    <row r="1982" ht="34.5">
      <c r="A1982" s="38" t="s">
        <v>1215</v>
      </c>
      <c r="B1982" s="38" t="s">
        <v>1216</v>
      </c>
      <c r="C1982" s="38" t="s">
        <v>832</v>
      </c>
      <c r="D1982" s="38" t="s">
        <v>288</v>
      </c>
      <c r="E1982" s="38" t="s">
        <v>768</v>
      </c>
      <c r="F1982" s="37" t="s">
        <v>769</v>
      </c>
      <c r="G1982" s="38" t="s">
        <v>70</v>
      </c>
      <c r="H1982" s="37"/>
      <c r="I1982" s="37"/>
      <c r="J1982" s="37" t="s">
        <v>1716</v>
      </c>
      <c r="K1982" s="40">
        <v>16558513</v>
      </c>
      <c r="L1982" s="38" t="s">
        <v>297</v>
      </c>
      <c r="M1982" s="38"/>
      <c r="N1982" s="37"/>
      <c r="O1982" s="37"/>
      <c r="P1982" s="37"/>
      <c r="Q1982" s="37"/>
      <c r="R1982" s="39"/>
      <c r="S1982" s="37"/>
      <c r="T1982" s="38" t="s">
        <v>293</v>
      </c>
    </row>
    <row r="1983" ht="34.5">
      <c r="A1983" s="38" t="s">
        <v>1215</v>
      </c>
      <c r="B1983" s="38" t="s">
        <v>1216</v>
      </c>
      <c r="C1983" s="38" t="s">
        <v>832</v>
      </c>
      <c r="D1983" s="38" t="s">
        <v>288</v>
      </c>
      <c r="E1983" s="38" t="s">
        <v>768</v>
      </c>
      <c r="F1983" s="37" t="s">
        <v>769</v>
      </c>
      <c r="G1983" s="38" t="s">
        <v>70</v>
      </c>
      <c r="H1983" s="37"/>
      <c r="I1983" s="37"/>
      <c r="J1983" s="37" t="s">
        <v>1717</v>
      </c>
      <c r="K1983" s="40">
        <v>24330424</v>
      </c>
      <c r="L1983" s="38" t="s">
        <v>297</v>
      </c>
      <c r="M1983" s="38"/>
      <c r="N1983" s="37"/>
      <c r="O1983" s="37"/>
      <c r="P1983" s="37"/>
      <c r="Q1983" s="37"/>
      <c r="R1983" s="39"/>
      <c r="S1983" s="37"/>
      <c r="T1983" s="38" t="s">
        <v>293</v>
      </c>
    </row>
    <row r="1984" ht="34.5">
      <c r="A1984" s="38" t="s">
        <v>1215</v>
      </c>
      <c r="B1984" s="38" t="s">
        <v>1216</v>
      </c>
      <c r="C1984" s="38" t="s">
        <v>844</v>
      </c>
      <c r="D1984" s="38" t="s">
        <v>288</v>
      </c>
      <c r="E1984" s="38" t="s">
        <v>768</v>
      </c>
      <c r="F1984" s="37" t="s">
        <v>769</v>
      </c>
      <c r="G1984" s="38" t="s">
        <v>70</v>
      </c>
      <c r="H1984" s="37"/>
      <c r="I1984" s="37"/>
      <c r="J1984" s="37" t="s">
        <v>1718</v>
      </c>
      <c r="K1984" s="40">
        <v>7668365</v>
      </c>
      <c r="L1984" s="38" t="s">
        <v>297</v>
      </c>
      <c r="M1984" s="38"/>
      <c r="N1984" s="37"/>
      <c r="O1984" s="37"/>
      <c r="P1984" s="37"/>
      <c r="Q1984" s="37"/>
      <c r="R1984" s="39"/>
      <c r="S1984" s="37"/>
      <c r="T1984" s="38" t="s">
        <v>293</v>
      </c>
    </row>
    <row r="1985" ht="34.5">
      <c r="A1985" s="38" t="s">
        <v>1215</v>
      </c>
      <c r="B1985" s="38" t="s">
        <v>1216</v>
      </c>
      <c r="C1985" s="38" t="s">
        <v>844</v>
      </c>
      <c r="D1985" s="38" t="s">
        <v>288</v>
      </c>
      <c r="E1985" s="38" t="s">
        <v>768</v>
      </c>
      <c r="F1985" s="37" t="s">
        <v>769</v>
      </c>
      <c r="G1985" s="38" t="s">
        <v>70</v>
      </c>
      <c r="H1985" s="37"/>
      <c r="I1985" s="37"/>
      <c r="J1985" s="37" t="s">
        <v>1719</v>
      </c>
      <c r="K1985" s="40"/>
      <c r="L1985" s="38"/>
      <c r="M1985" s="38"/>
      <c r="N1985" s="37"/>
      <c r="O1985" s="37"/>
      <c r="P1985" s="37"/>
      <c r="Q1985" s="37"/>
      <c r="R1985" s="39"/>
      <c r="S1985" s="37"/>
      <c r="T1985" s="38" t="s">
        <v>293</v>
      </c>
    </row>
    <row r="1986" ht="34.5">
      <c r="A1986" s="38" t="s">
        <v>1215</v>
      </c>
      <c r="B1986" s="38" t="s">
        <v>1216</v>
      </c>
      <c r="C1986" s="38" t="s">
        <v>844</v>
      </c>
      <c r="D1986" s="38" t="s">
        <v>288</v>
      </c>
      <c r="E1986" s="38" t="s">
        <v>768</v>
      </c>
      <c r="F1986" s="37" t="s">
        <v>769</v>
      </c>
      <c r="G1986" s="38" t="s">
        <v>70</v>
      </c>
      <c r="H1986" s="37"/>
      <c r="I1986" s="37"/>
      <c r="J1986" s="37" t="s">
        <v>1720</v>
      </c>
      <c r="K1986" s="40"/>
      <c r="L1986" s="38"/>
      <c r="M1986" s="38"/>
      <c r="N1986" s="37"/>
      <c r="O1986" s="37"/>
      <c r="P1986" s="37"/>
      <c r="Q1986" s="37"/>
      <c r="R1986" s="39"/>
      <c r="S1986" s="37"/>
      <c r="T1986" s="38" t="s">
        <v>293</v>
      </c>
    </row>
    <row r="1987" ht="34.5">
      <c r="A1987" s="38" t="s">
        <v>1215</v>
      </c>
      <c r="B1987" s="38" t="s">
        <v>1216</v>
      </c>
      <c r="C1987" s="38" t="s">
        <v>844</v>
      </c>
      <c r="D1987" s="38" t="s">
        <v>288</v>
      </c>
      <c r="E1987" s="38" t="s">
        <v>768</v>
      </c>
      <c r="F1987" s="37" t="s">
        <v>769</v>
      </c>
      <c r="G1987" s="38" t="s">
        <v>70</v>
      </c>
      <c r="H1987" s="37"/>
      <c r="I1987" s="37"/>
      <c r="J1987" s="37" t="s">
        <v>1721</v>
      </c>
      <c r="K1987" s="40"/>
      <c r="L1987" s="38"/>
      <c r="M1987" s="38"/>
      <c r="N1987" s="37"/>
      <c r="O1987" s="37"/>
      <c r="P1987" s="37"/>
      <c r="Q1987" s="37"/>
      <c r="R1987" s="39"/>
      <c r="S1987" s="37"/>
      <c r="T1987" s="38" t="s">
        <v>293</v>
      </c>
    </row>
    <row r="1988" ht="34.5">
      <c r="A1988" s="38" t="s">
        <v>1215</v>
      </c>
      <c r="B1988" s="38" t="s">
        <v>1216</v>
      </c>
      <c r="C1988" s="38" t="s">
        <v>844</v>
      </c>
      <c r="D1988" s="38" t="s">
        <v>288</v>
      </c>
      <c r="E1988" s="38" t="s">
        <v>768</v>
      </c>
      <c r="F1988" s="37" t="s">
        <v>769</v>
      </c>
      <c r="G1988" s="38" t="s">
        <v>70</v>
      </c>
      <c r="H1988" s="37"/>
      <c r="I1988" s="37"/>
      <c r="J1988" s="37" t="s">
        <v>1722</v>
      </c>
      <c r="K1988" s="40"/>
      <c r="L1988" s="38"/>
      <c r="M1988" s="38"/>
      <c r="N1988" s="37"/>
      <c r="O1988" s="37"/>
      <c r="P1988" s="37"/>
      <c r="Q1988" s="37"/>
      <c r="R1988" s="39"/>
      <c r="S1988" s="37"/>
      <c r="T1988" s="38" t="s">
        <v>293</v>
      </c>
    </row>
    <row r="1989" ht="34.5">
      <c r="A1989" s="38" t="s">
        <v>1215</v>
      </c>
      <c r="B1989" s="38" t="s">
        <v>1216</v>
      </c>
      <c r="C1989" s="38" t="s">
        <v>844</v>
      </c>
      <c r="D1989" s="38" t="s">
        <v>288</v>
      </c>
      <c r="E1989" s="38" t="s">
        <v>768</v>
      </c>
      <c r="F1989" s="37" t="s">
        <v>769</v>
      </c>
      <c r="G1989" s="38" t="s">
        <v>70</v>
      </c>
      <c r="H1989" s="37"/>
      <c r="I1989" s="37"/>
      <c r="J1989" s="37" t="s">
        <v>788</v>
      </c>
      <c r="K1989" s="40"/>
      <c r="L1989" s="38"/>
      <c r="M1989" s="38"/>
      <c r="N1989" s="37"/>
      <c r="O1989" s="37"/>
      <c r="P1989" s="37"/>
      <c r="Q1989" s="37"/>
      <c r="R1989" s="39"/>
      <c r="S1989" s="37"/>
      <c r="T1989" s="38" t="s">
        <v>293</v>
      </c>
    </row>
    <row r="1990" ht="34.5">
      <c r="A1990" s="38" t="s">
        <v>1215</v>
      </c>
      <c r="B1990" s="38" t="s">
        <v>1216</v>
      </c>
      <c r="C1990" s="38" t="s">
        <v>844</v>
      </c>
      <c r="D1990" s="38" t="s">
        <v>288</v>
      </c>
      <c r="E1990" s="38" t="s">
        <v>768</v>
      </c>
      <c r="F1990" s="37" t="s">
        <v>769</v>
      </c>
      <c r="G1990" s="38" t="s">
        <v>70</v>
      </c>
      <c r="H1990" s="37"/>
      <c r="I1990" s="37"/>
      <c r="J1990" s="37" t="s">
        <v>1723</v>
      </c>
      <c r="K1990" s="40"/>
      <c r="L1990" s="38"/>
      <c r="M1990" s="38"/>
      <c r="N1990" s="37"/>
      <c r="O1990" s="37"/>
      <c r="P1990" s="37"/>
      <c r="Q1990" s="37"/>
      <c r="R1990" s="39"/>
      <c r="S1990" s="37"/>
      <c r="T1990" s="38" t="s">
        <v>293</v>
      </c>
    </row>
    <row r="1991" ht="34.5">
      <c r="A1991" s="38" t="s">
        <v>1215</v>
      </c>
      <c r="B1991" s="38" t="s">
        <v>1216</v>
      </c>
      <c r="C1991" s="38" t="s">
        <v>858</v>
      </c>
      <c r="D1991" s="38" t="s">
        <v>288</v>
      </c>
      <c r="E1991" s="38" t="s">
        <v>768</v>
      </c>
      <c r="F1991" s="37" t="s">
        <v>769</v>
      </c>
      <c r="G1991" s="38" t="s">
        <v>70</v>
      </c>
      <c r="H1991" s="37"/>
      <c r="I1991" s="37"/>
      <c r="J1991" s="37" t="s">
        <v>790</v>
      </c>
      <c r="K1991" s="40"/>
      <c r="L1991" s="38"/>
      <c r="M1991" s="38"/>
      <c r="N1991" s="37"/>
      <c r="O1991" s="37"/>
      <c r="P1991" s="37"/>
      <c r="Q1991" s="37"/>
      <c r="R1991" s="39"/>
      <c r="S1991" s="37"/>
      <c r="T1991" s="38" t="s">
        <v>293</v>
      </c>
    </row>
    <row r="1992" ht="34.5">
      <c r="A1992" s="38" t="s">
        <v>1215</v>
      </c>
      <c r="B1992" s="38" t="s">
        <v>1216</v>
      </c>
      <c r="C1992" s="38" t="s">
        <v>858</v>
      </c>
      <c r="D1992" s="38" t="s">
        <v>288</v>
      </c>
      <c r="E1992" s="38" t="s">
        <v>768</v>
      </c>
      <c r="F1992" s="37" t="s">
        <v>769</v>
      </c>
      <c r="G1992" s="38" t="s">
        <v>70</v>
      </c>
      <c r="H1992" s="37"/>
      <c r="I1992" s="37"/>
      <c r="J1992" s="37" t="s">
        <v>791</v>
      </c>
      <c r="K1992" s="40"/>
      <c r="L1992" s="38"/>
      <c r="M1992" s="38"/>
      <c r="N1992" s="37"/>
      <c r="O1992" s="37"/>
      <c r="P1992" s="37"/>
      <c r="Q1992" s="37"/>
      <c r="R1992" s="39"/>
      <c r="S1992" s="37"/>
      <c r="T1992" s="38" t="s">
        <v>293</v>
      </c>
    </row>
    <row r="1993" ht="34.5">
      <c r="A1993" s="38" t="s">
        <v>1215</v>
      </c>
      <c r="B1993" s="38" t="s">
        <v>1216</v>
      </c>
      <c r="C1993" s="38" t="s">
        <v>858</v>
      </c>
      <c r="D1993" s="38" t="s">
        <v>288</v>
      </c>
      <c r="E1993" s="38" t="s">
        <v>768</v>
      </c>
      <c r="F1993" s="37" t="s">
        <v>769</v>
      </c>
      <c r="G1993" s="38" t="s">
        <v>70</v>
      </c>
      <c r="H1993" s="37"/>
      <c r="I1993" s="37"/>
      <c r="J1993" s="37" t="s">
        <v>792</v>
      </c>
      <c r="K1993" s="40"/>
      <c r="L1993" s="38"/>
      <c r="M1993" s="38"/>
      <c r="N1993" s="37"/>
      <c r="O1993" s="37"/>
      <c r="P1993" s="37"/>
      <c r="Q1993" s="37"/>
      <c r="R1993" s="39"/>
      <c r="S1993" s="37"/>
      <c r="T1993" s="38" t="s">
        <v>293</v>
      </c>
    </row>
    <row r="1994" ht="34.5">
      <c r="A1994" s="38" t="s">
        <v>1215</v>
      </c>
      <c r="B1994" s="38" t="s">
        <v>1216</v>
      </c>
      <c r="C1994" s="38" t="s">
        <v>858</v>
      </c>
      <c r="D1994" s="38" t="s">
        <v>288</v>
      </c>
      <c r="E1994" s="38" t="s">
        <v>768</v>
      </c>
      <c r="F1994" s="37" t="s">
        <v>769</v>
      </c>
      <c r="G1994" s="38" t="s">
        <v>70</v>
      </c>
      <c r="H1994" s="37"/>
      <c r="I1994" s="37"/>
      <c r="J1994" s="37" t="s">
        <v>794</v>
      </c>
      <c r="K1994" s="40"/>
      <c r="L1994" s="38"/>
      <c r="M1994" s="38"/>
      <c r="N1994" s="37"/>
      <c r="O1994" s="37"/>
      <c r="P1994" s="37"/>
      <c r="Q1994" s="37"/>
      <c r="R1994" s="39"/>
      <c r="S1994" s="37"/>
      <c r="T1994" s="38" t="s">
        <v>293</v>
      </c>
    </row>
    <row r="1995" ht="34.5">
      <c r="A1995" s="38" t="s">
        <v>1215</v>
      </c>
      <c r="B1995" s="38" t="s">
        <v>1216</v>
      </c>
      <c r="C1995" s="38" t="s">
        <v>858</v>
      </c>
      <c r="D1995" s="38" t="s">
        <v>288</v>
      </c>
      <c r="E1995" s="38" t="s">
        <v>768</v>
      </c>
      <c r="F1995" s="37" t="s">
        <v>769</v>
      </c>
      <c r="G1995" s="38" t="s">
        <v>70</v>
      </c>
      <c r="H1995" s="37"/>
      <c r="I1995" s="37"/>
      <c r="J1995" s="37" t="s">
        <v>795</v>
      </c>
      <c r="K1995" s="40"/>
      <c r="L1995" s="38"/>
      <c r="M1995" s="38"/>
      <c r="N1995" s="37"/>
      <c r="O1995" s="37"/>
      <c r="P1995" s="37"/>
      <c r="Q1995" s="37"/>
      <c r="R1995" s="39"/>
      <c r="S1995" s="37"/>
      <c r="T1995" s="38" t="s">
        <v>293</v>
      </c>
    </row>
    <row r="1996" ht="34.5">
      <c r="A1996" s="38" t="s">
        <v>1215</v>
      </c>
      <c r="B1996" s="38" t="s">
        <v>1216</v>
      </c>
      <c r="C1996" s="38" t="s">
        <v>858</v>
      </c>
      <c r="D1996" s="38" t="s">
        <v>288</v>
      </c>
      <c r="E1996" s="38" t="s">
        <v>768</v>
      </c>
      <c r="F1996" s="37" t="s">
        <v>769</v>
      </c>
      <c r="G1996" s="38" t="s">
        <v>70</v>
      </c>
      <c r="H1996" s="37"/>
      <c r="I1996" s="37"/>
      <c r="J1996" s="37" t="s">
        <v>1158</v>
      </c>
      <c r="K1996" s="40"/>
      <c r="L1996" s="38"/>
      <c r="M1996" s="38"/>
      <c r="N1996" s="37"/>
      <c r="O1996" s="37"/>
      <c r="P1996" s="37"/>
      <c r="Q1996" s="37"/>
      <c r="R1996" s="39"/>
      <c r="S1996" s="37"/>
      <c r="T1996" s="38" t="s">
        <v>293</v>
      </c>
    </row>
    <row r="1997" ht="34.5">
      <c r="A1997" s="38" t="s">
        <v>1215</v>
      </c>
      <c r="B1997" s="38" t="s">
        <v>1216</v>
      </c>
      <c r="C1997" s="38" t="s">
        <v>858</v>
      </c>
      <c r="D1997" s="38" t="s">
        <v>288</v>
      </c>
      <c r="E1997" s="38" t="s">
        <v>768</v>
      </c>
      <c r="F1997" s="37" t="s">
        <v>769</v>
      </c>
      <c r="G1997" s="38" t="s">
        <v>70</v>
      </c>
      <c r="H1997" s="37"/>
      <c r="I1997" s="37"/>
      <c r="J1997" s="37" t="s">
        <v>1159</v>
      </c>
      <c r="K1997" s="40"/>
      <c r="L1997" s="38"/>
      <c r="M1997" s="38"/>
      <c r="N1997" s="37"/>
      <c r="O1997" s="37"/>
      <c r="P1997" s="37"/>
      <c r="Q1997" s="37"/>
      <c r="R1997" s="39"/>
      <c r="S1997" s="37"/>
      <c r="T1997" s="38" t="s">
        <v>293</v>
      </c>
    </row>
    <row r="1998" ht="34.5">
      <c r="A1998" s="38" t="s">
        <v>1215</v>
      </c>
      <c r="B1998" s="38" t="s">
        <v>1216</v>
      </c>
      <c r="C1998" s="38" t="s">
        <v>858</v>
      </c>
      <c r="D1998" s="38" t="s">
        <v>288</v>
      </c>
      <c r="E1998" s="38" t="s">
        <v>768</v>
      </c>
      <c r="F1998" s="37" t="s">
        <v>769</v>
      </c>
      <c r="G1998" s="38" t="s">
        <v>70</v>
      </c>
      <c r="H1998" s="37"/>
      <c r="I1998" s="37"/>
      <c r="J1998" s="37" t="s">
        <v>1160</v>
      </c>
      <c r="K1998" s="40"/>
      <c r="L1998" s="38"/>
      <c r="M1998" s="38"/>
      <c r="N1998" s="37"/>
      <c r="O1998" s="37"/>
      <c r="P1998" s="37"/>
      <c r="Q1998" s="37"/>
      <c r="R1998" s="39"/>
      <c r="S1998" s="37"/>
      <c r="T1998" s="38" t="s">
        <v>293</v>
      </c>
    </row>
    <row r="1999" ht="34.5">
      <c r="A1999" s="38" t="s">
        <v>1215</v>
      </c>
      <c r="B1999" s="38" t="s">
        <v>1216</v>
      </c>
      <c r="C1999" s="38" t="s">
        <v>858</v>
      </c>
      <c r="D1999" s="38" t="s">
        <v>288</v>
      </c>
      <c r="E1999" s="38" t="s">
        <v>768</v>
      </c>
      <c r="F1999" s="37" t="s">
        <v>769</v>
      </c>
      <c r="G1999" s="38" t="s">
        <v>70</v>
      </c>
      <c r="H1999" s="37"/>
      <c r="I1999" s="37"/>
      <c r="J1999" s="37" t="s">
        <v>1161</v>
      </c>
      <c r="K1999" s="40"/>
      <c r="L1999" s="38"/>
      <c r="M1999" s="38"/>
      <c r="N1999" s="37"/>
      <c r="O1999" s="37"/>
      <c r="P1999" s="37"/>
      <c r="Q1999" s="37"/>
      <c r="R1999" s="39"/>
      <c r="S1999" s="37"/>
      <c r="T1999" s="38" t="s">
        <v>293</v>
      </c>
    </row>
    <row r="2000" ht="34.5">
      <c r="A2000" s="38" t="s">
        <v>1215</v>
      </c>
      <c r="B2000" s="38" t="s">
        <v>1216</v>
      </c>
      <c r="C2000" s="38" t="s">
        <v>858</v>
      </c>
      <c r="D2000" s="38" t="s">
        <v>288</v>
      </c>
      <c r="E2000" s="38" t="s">
        <v>768</v>
      </c>
      <c r="F2000" s="37" t="s">
        <v>769</v>
      </c>
      <c r="G2000" s="38" t="s">
        <v>70</v>
      </c>
      <c r="H2000" s="37"/>
      <c r="I2000" s="37"/>
      <c r="J2000" s="37" t="s">
        <v>798</v>
      </c>
      <c r="K2000" s="40"/>
      <c r="L2000" s="38"/>
      <c r="M2000" s="38"/>
      <c r="N2000" s="37"/>
      <c r="O2000" s="37"/>
      <c r="P2000" s="37"/>
      <c r="Q2000" s="37"/>
      <c r="R2000" s="39"/>
      <c r="S2000" s="37"/>
      <c r="T2000" s="38" t="s">
        <v>293</v>
      </c>
    </row>
    <row r="2001" ht="34.5">
      <c r="A2001" s="38" t="s">
        <v>1215</v>
      </c>
      <c r="B2001" s="38" t="s">
        <v>1216</v>
      </c>
      <c r="C2001" s="38" t="s">
        <v>858</v>
      </c>
      <c r="D2001" s="38" t="s">
        <v>288</v>
      </c>
      <c r="E2001" s="38" t="s">
        <v>768</v>
      </c>
      <c r="F2001" s="37" t="s">
        <v>769</v>
      </c>
      <c r="G2001" s="38" t="s">
        <v>70</v>
      </c>
      <c r="H2001" s="37"/>
      <c r="I2001" s="37"/>
      <c r="J2001" s="37" t="s">
        <v>1162</v>
      </c>
      <c r="K2001" s="40"/>
      <c r="L2001" s="38"/>
      <c r="M2001" s="38"/>
      <c r="N2001" s="37"/>
      <c r="O2001" s="37"/>
      <c r="P2001" s="37"/>
      <c r="Q2001" s="37"/>
      <c r="R2001" s="39"/>
      <c r="S2001" s="37"/>
      <c r="T2001" s="38" t="s">
        <v>293</v>
      </c>
    </row>
    <row r="2002" ht="34.5">
      <c r="A2002" s="38" t="s">
        <v>1215</v>
      </c>
      <c r="B2002" s="38" t="s">
        <v>1216</v>
      </c>
      <c r="C2002" s="38" t="s">
        <v>858</v>
      </c>
      <c r="D2002" s="38" t="s">
        <v>288</v>
      </c>
      <c r="E2002" s="38" t="s">
        <v>768</v>
      </c>
      <c r="F2002" s="37" t="s">
        <v>769</v>
      </c>
      <c r="G2002" s="38" t="s">
        <v>70</v>
      </c>
      <c r="H2002" s="37"/>
      <c r="I2002" s="37"/>
      <c r="J2002" s="37" t="s">
        <v>1163</v>
      </c>
      <c r="K2002" s="40"/>
      <c r="L2002" s="38"/>
      <c r="M2002" s="38"/>
      <c r="N2002" s="37"/>
      <c r="O2002" s="37"/>
      <c r="P2002" s="37"/>
      <c r="Q2002" s="37"/>
      <c r="R2002" s="39"/>
      <c r="S2002" s="37"/>
      <c r="T2002" s="38" t="s">
        <v>293</v>
      </c>
    </row>
    <row r="2003" ht="34.5">
      <c r="A2003" s="38" t="s">
        <v>1215</v>
      </c>
      <c r="B2003" s="38" t="s">
        <v>1216</v>
      </c>
      <c r="C2003" s="38" t="s">
        <v>865</v>
      </c>
      <c r="D2003" s="38" t="s">
        <v>288</v>
      </c>
      <c r="E2003" s="38" t="s">
        <v>768</v>
      </c>
      <c r="F2003" s="37" t="s">
        <v>769</v>
      </c>
      <c r="G2003" s="38" t="s">
        <v>70</v>
      </c>
      <c r="H2003" s="37"/>
      <c r="I2003" s="37"/>
      <c r="J2003" s="37" t="s">
        <v>1724</v>
      </c>
      <c r="K2003" s="40"/>
      <c r="L2003" s="38"/>
      <c r="M2003" s="38"/>
      <c r="N2003" s="37"/>
      <c r="O2003" s="37"/>
      <c r="P2003" s="37"/>
      <c r="Q2003" s="37"/>
      <c r="R2003" s="39"/>
      <c r="S2003" s="37"/>
      <c r="T2003" s="38" t="s">
        <v>293</v>
      </c>
    </row>
    <row r="2004" ht="34.5">
      <c r="A2004" s="38" t="s">
        <v>1215</v>
      </c>
      <c r="B2004" s="38" t="s">
        <v>1216</v>
      </c>
      <c r="C2004" s="38" t="s">
        <v>865</v>
      </c>
      <c r="D2004" s="38" t="s">
        <v>288</v>
      </c>
      <c r="E2004" s="38" t="s">
        <v>768</v>
      </c>
      <c r="F2004" s="37" t="s">
        <v>769</v>
      </c>
      <c r="G2004" s="38" t="s">
        <v>70</v>
      </c>
      <c r="H2004" s="37"/>
      <c r="I2004" s="37"/>
      <c r="J2004" s="37" t="s">
        <v>1725</v>
      </c>
      <c r="K2004" s="40"/>
      <c r="L2004" s="38"/>
      <c r="M2004" s="38"/>
      <c r="N2004" s="37"/>
      <c r="O2004" s="37"/>
      <c r="P2004" s="37"/>
      <c r="Q2004" s="37"/>
      <c r="R2004" s="39"/>
      <c r="S2004" s="37"/>
      <c r="T2004" s="38" t="s">
        <v>293</v>
      </c>
    </row>
    <row r="2005" ht="34.5">
      <c r="A2005" s="38" t="s">
        <v>1215</v>
      </c>
      <c r="B2005" s="38" t="s">
        <v>1216</v>
      </c>
      <c r="C2005" s="38" t="s">
        <v>865</v>
      </c>
      <c r="D2005" s="38" t="s">
        <v>288</v>
      </c>
      <c r="E2005" s="38" t="s">
        <v>768</v>
      </c>
      <c r="F2005" s="37" t="s">
        <v>769</v>
      </c>
      <c r="G2005" s="38" t="s">
        <v>70</v>
      </c>
      <c r="H2005" s="37"/>
      <c r="I2005" s="37"/>
      <c r="J2005" s="37" t="s">
        <v>1726</v>
      </c>
      <c r="K2005" s="40"/>
      <c r="L2005" s="38"/>
      <c r="M2005" s="38"/>
      <c r="N2005" s="37"/>
      <c r="O2005" s="37"/>
      <c r="P2005" s="37"/>
      <c r="Q2005" s="37"/>
      <c r="R2005" s="39"/>
      <c r="S2005" s="37"/>
      <c r="T2005" s="38" t="s">
        <v>293</v>
      </c>
    </row>
    <row r="2006" ht="34.5">
      <c r="A2006" s="38" t="s">
        <v>1215</v>
      </c>
      <c r="B2006" s="38" t="s">
        <v>1216</v>
      </c>
      <c r="C2006" s="38" t="s">
        <v>865</v>
      </c>
      <c r="D2006" s="38" t="s">
        <v>288</v>
      </c>
      <c r="E2006" s="38" t="s">
        <v>768</v>
      </c>
      <c r="F2006" s="37" t="s">
        <v>769</v>
      </c>
      <c r="G2006" s="38" t="s">
        <v>70</v>
      </c>
      <c r="H2006" s="37"/>
      <c r="I2006" s="37"/>
      <c r="J2006" s="37" t="s">
        <v>1727</v>
      </c>
      <c r="K2006" s="40"/>
      <c r="L2006" s="38"/>
      <c r="M2006" s="38"/>
      <c r="N2006" s="37"/>
      <c r="O2006" s="37"/>
      <c r="P2006" s="37"/>
      <c r="Q2006" s="37"/>
      <c r="R2006" s="39"/>
      <c r="S2006" s="37"/>
      <c r="T2006" s="38" t="s">
        <v>293</v>
      </c>
    </row>
    <row r="2007" ht="34.5">
      <c r="A2007" s="38" t="s">
        <v>1215</v>
      </c>
      <c r="B2007" s="38" t="s">
        <v>1216</v>
      </c>
      <c r="C2007" s="38" t="s">
        <v>865</v>
      </c>
      <c r="D2007" s="38" t="s">
        <v>288</v>
      </c>
      <c r="E2007" s="38" t="s">
        <v>768</v>
      </c>
      <c r="F2007" s="37" t="s">
        <v>769</v>
      </c>
      <c r="G2007" s="38" t="s">
        <v>70</v>
      </c>
      <c r="H2007" s="37"/>
      <c r="I2007" s="37"/>
      <c r="J2007" s="37" t="s">
        <v>1170</v>
      </c>
      <c r="K2007" s="40"/>
      <c r="L2007" s="38"/>
      <c r="M2007" s="38"/>
      <c r="N2007" s="37"/>
      <c r="O2007" s="37"/>
      <c r="P2007" s="37"/>
      <c r="Q2007" s="37"/>
      <c r="R2007" s="39"/>
      <c r="S2007" s="37"/>
      <c r="T2007" s="38" t="s">
        <v>293</v>
      </c>
    </row>
    <row r="2008" ht="34.5">
      <c r="A2008" s="38" t="s">
        <v>1215</v>
      </c>
      <c r="B2008" s="38" t="s">
        <v>1216</v>
      </c>
      <c r="C2008" s="38" t="s">
        <v>865</v>
      </c>
      <c r="D2008" s="38" t="s">
        <v>288</v>
      </c>
      <c r="E2008" s="38" t="s">
        <v>768</v>
      </c>
      <c r="F2008" s="37" t="s">
        <v>769</v>
      </c>
      <c r="G2008" s="38" t="s">
        <v>70</v>
      </c>
      <c r="H2008" s="37"/>
      <c r="I2008" s="37"/>
      <c r="J2008" s="37" t="s">
        <v>1171</v>
      </c>
      <c r="K2008" s="40"/>
      <c r="L2008" s="38"/>
      <c r="M2008" s="38"/>
      <c r="N2008" s="37"/>
      <c r="O2008" s="37"/>
      <c r="P2008" s="37"/>
      <c r="Q2008" s="37"/>
      <c r="R2008" s="39"/>
      <c r="S2008" s="37"/>
      <c r="T2008" s="38" t="s">
        <v>293</v>
      </c>
    </row>
    <row r="2009" ht="34.5">
      <c r="A2009" s="38" t="s">
        <v>1215</v>
      </c>
      <c r="B2009" s="38" t="s">
        <v>1216</v>
      </c>
      <c r="C2009" s="38" t="s">
        <v>871</v>
      </c>
      <c r="D2009" s="38" t="s">
        <v>288</v>
      </c>
      <c r="E2009" s="38" t="s">
        <v>768</v>
      </c>
      <c r="F2009" s="37" t="s">
        <v>769</v>
      </c>
      <c r="G2009" s="38" t="s">
        <v>70</v>
      </c>
      <c r="H2009" s="37"/>
      <c r="I2009" s="37"/>
      <c r="J2009" s="37" t="s">
        <v>1728</v>
      </c>
      <c r="K2009" s="40"/>
      <c r="L2009" s="38"/>
      <c r="M2009" s="38"/>
      <c r="N2009" s="37"/>
      <c r="O2009" s="37"/>
      <c r="P2009" s="37"/>
      <c r="Q2009" s="37"/>
      <c r="R2009" s="39"/>
      <c r="S2009" s="37"/>
      <c r="T2009" s="38" t="s">
        <v>293</v>
      </c>
    </row>
    <row r="2010" ht="34.5">
      <c r="A2010" s="38" t="s">
        <v>1215</v>
      </c>
      <c r="B2010" s="38" t="s">
        <v>1216</v>
      </c>
      <c r="C2010" s="38" t="s">
        <v>871</v>
      </c>
      <c r="D2010" s="38" t="s">
        <v>288</v>
      </c>
      <c r="E2010" s="38" t="s">
        <v>768</v>
      </c>
      <c r="F2010" s="37" t="s">
        <v>769</v>
      </c>
      <c r="G2010" s="38" t="s">
        <v>70</v>
      </c>
      <c r="H2010" s="37"/>
      <c r="I2010" s="37"/>
      <c r="J2010" s="37" t="s">
        <v>1729</v>
      </c>
      <c r="K2010" s="40"/>
      <c r="L2010" s="38"/>
      <c r="M2010" s="38"/>
      <c r="N2010" s="37"/>
      <c r="O2010" s="37"/>
      <c r="P2010" s="37"/>
      <c r="Q2010" s="37"/>
      <c r="R2010" s="39"/>
      <c r="S2010" s="37"/>
      <c r="T2010" s="38" t="s">
        <v>293</v>
      </c>
    </row>
    <row r="2011" ht="34.5">
      <c r="A2011" s="38" t="s">
        <v>1215</v>
      </c>
      <c r="B2011" s="38" t="s">
        <v>1216</v>
      </c>
      <c r="C2011" s="38" t="s">
        <v>871</v>
      </c>
      <c r="D2011" s="38" t="s">
        <v>288</v>
      </c>
      <c r="E2011" s="38" t="s">
        <v>768</v>
      </c>
      <c r="F2011" s="37" t="s">
        <v>769</v>
      </c>
      <c r="G2011" s="38" t="s">
        <v>70</v>
      </c>
      <c r="H2011" s="37"/>
      <c r="I2011" s="37"/>
      <c r="J2011" s="37" t="s">
        <v>1730</v>
      </c>
      <c r="K2011" s="40"/>
      <c r="L2011" s="38"/>
      <c r="M2011" s="38"/>
      <c r="N2011" s="37"/>
      <c r="O2011" s="37"/>
      <c r="P2011" s="37"/>
      <c r="Q2011" s="37"/>
      <c r="R2011" s="39"/>
      <c r="S2011" s="37"/>
      <c r="T2011" s="38" t="s">
        <v>293</v>
      </c>
    </row>
    <row r="2012" ht="34.5">
      <c r="A2012" s="38" t="s">
        <v>1215</v>
      </c>
      <c r="B2012" s="38" t="s">
        <v>1216</v>
      </c>
      <c r="C2012" s="38" t="s">
        <v>871</v>
      </c>
      <c r="D2012" s="38" t="s">
        <v>288</v>
      </c>
      <c r="E2012" s="38" t="s">
        <v>768</v>
      </c>
      <c r="F2012" s="37" t="s">
        <v>769</v>
      </c>
      <c r="G2012" s="38" t="s">
        <v>70</v>
      </c>
      <c r="H2012" s="37"/>
      <c r="I2012" s="37"/>
      <c r="J2012" s="37" t="s">
        <v>808</v>
      </c>
      <c r="K2012" s="40">
        <v>-571429</v>
      </c>
      <c r="L2012" s="38" t="s">
        <v>297</v>
      </c>
      <c r="M2012" s="38"/>
      <c r="N2012" s="37"/>
      <c r="O2012" s="37"/>
      <c r="P2012" s="37"/>
      <c r="Q2012" s="37"/>
      <c r="R2012" s="39"/>
      <c r="S2012" s="37"/>
      <c r="T2012" s="38" t="s">
        <v>293</v>
      </c>
    </row>
    <row r="2013" ht="34.5">
      <c r="A2013" s="38" t="s">
        <v>1215</v>
      </c>
      <c r="B2013" s="38" t="s">
        <v>1216</v>
      </c>
      <c r="C2013" s="38" t="s">
        <v>871</v>
      </c>
      <c r="D2013" s="38" t="s">
        <v>288</v>
      </c>
      <c r="E2013" s="38" t="s">
        <v>768</v>
      </c>
      <c r="F2013" s="37" t="s">
        <v>769</v>
      </c>
      <c r="G2013" s="38" t="s">
        <v>70</v>
      </c>
      <c r="H2013" s="37"/>
      <c r="I2013" s="37"/>
      <c r="J2013" s="37" t="s">
        <v>809</v>
      </c>
      <c r="K2013" s="40"/>
      <c r="L2013" s="38"/>
      <c r="M2013" s="38"/>
      <c r="N2013" s="37"/>
      <c r="O2013" s="37"/>
      <c r="P2013" s="37"/>
      <c r="Q2013" s="37"/>
      <c r="R2013" s="39"/>
      <c r="S2013" s="37"/>
      <c r="T2013" s="38" t="s">
        <v>293</v>
      </c>
    </row>
    <row r="2014" ht="34.5">
      <c r="A2014" s="38" t="s">
        <v>1215</v>
      </c>
      <c r="B2014" s="38" t="s">
        <v>1216</v>
      </c>
      <c r="C2014" s="38" t="s">
        <v>871</v>
      </c>
      <c r="D2014" s="38" t="s">
        <v>288</v>
      </c>
      <c r="E2014" s="38" t="s">
        <v>768</v>
      </c>
      <c r="F2014" s="37" t="s">
        <v>769</v>
      </c>
      <c r="G2014" s="38" t="s">
        <v>70</v>
      </c>
      <c r="H2014" s="37"/>
      <c r="I2014" s="37"/>
      <c r="J2014" s="37" t="s">
        <v>810</v>
      </c>
      <c r="K2014" s="40"/>
      <c r="L2014" s="38"/>
      <c r="M2014" s="38"/>
      <c r="N2014" s="37"/>
      <c r="O2014" s="37"/>
      <c r="P2014" s="37"/>
      <c r="Q2014" s="37"/>
      <c r="R2014" s="39"/>
      <c r="S2014" s="37"/>
      <c r="T2014" s="38" t="s">
        <v>293</v>
      </c>
    </row>
    <row r="2015" ht="34.5">
      <c r="A2015" s="38" t="s">
        <v>1215</v>
      </c>
      <c r="B2015" s="38" t="s">
        <v>1216</v>
      </c>
      <c r="C2015" s="38" t="s">
        <v>871</v>
      </c>
      <c r="D2015" s="38" t="s">
        <v>288</v>
      </c>
      <c r="E2015" s="38" t="s">
        <v>768</v>
      </c>
      <c r="F2015" s="37" t="s">
        <v>769</v>
      </c>
      <c r="G2015" s="38" t="s">
        <v>70</v>
      </c>
      <c r="H2015" s="37"/>
      <c r="I2015" s="37"/>
      <c r="J2015" s="37" t="s">
        <v>811</v>
      </c>
      <c r="K2015" s="40"/>
      <c r="L2015" s="38"/>
      <c r="M2015" s="38"/>
      <c r="N2015" s="37"/>
      <c r="O2015" s="37"/>
      <c r="P2015" s="37"/>
      <c r="Q2015" s="37"/>
      <c r="R2015" s="39"/>
      <c r="S2015" s="37"/>
      <c r="T2015" s="38" t="s">
        <v>293</v>
      </c>
    </row>
    <row r="2016" ht="34.5">
      <c r="A2016" s="38" t="s">
        <v>1215</v>
      </c>
      <c r="B2016" s="38" t="s">
        <v>1216</v>
      </c>
      <c r="C2016" s="38" t="s">
        <v>871</v>
      </c>
      <c r="D2016" s="38" t="s">
        <v>288</v>
      </c>
      <c r="E2016" s="38" t="s">
        <v>768</v>
      </c>
      <c r="F2016" s="37" t="s">
        <v>769</v>
      </c>
      <c r="G2016" s="38" t="s">
        <v>70</v>
      </c>
      <c r="H2016" s="37"/>
      <c r="I2016" s="37"/>
      <c r="J2016" s="37" t="s">
        <v>812</v>
      </c>
      <c r="K2016" s="40"/>
      <c r="L2016" s="38"/>
      <c r="M2016" s="38"/>
      <c r="N2016" s="37"/>
      <c r="O2016" s="37"/>
      <c r="P2016" s="37"/>
      <c r="Q2016" s="37"/>
      <c r="R2016" s="39"/>
      <c r="S2016" s="37"/>
      <c r="T2016" s="38" t="s">
        <v>293</v>
      </c>
    </row>
    <row r="2017" ht="34.5">
      <c r="A2017" s="38" t="s">
        <v>1215</v>
      </c>
      <c r="B2017" s="38" t="s">
        <v>1216</v>
      </c>
      <c r="C2017" s="38" t="s">
        <v>871</v>
      </c>
      <c r="D2017" s="38" t="s">
        <v>288</v>
      </c>
      <c r="E2017" s="38" t="s">
        <v>768</v>
      </c>
      <c r="F2017" s="37" t="s">
        <v>769</v>
      </c>
      <c r="G2017" s="38" t="s">
        <v>70</v>
      </c>
      <c r="H2017" s="37"/>
      <c r="I2017" s="37"/>
      <c r="J2017" s="37" t="s">
        <v>813</v>
      </c>
      <c r="K2017" s="40"/>
      <c r="L2017" s="38"/>
      <c r="M2017" s="38"/>
      <c r="N2017" s="37"/>
      <c r="O2017" s="37"/>
      <c r="P2017" s="37"/>
      <c r="Q2017" s="37"/>
      <c r="R2017" s="39"/>
      <c r="S2017" s="37"/>
      <c r="T2017" s="38" t="s">
        <v>293</v>
      </c>
    </row>
    <row r="2018" ht="34.5">
      <c r="A2018" s="38" t="s">
        <v>1215</v>
      </c>
      <c r="B2018" s="38" t="s">
        <v>1216</v>
      </c>
      <c r="C2018" s="38" t="s">
        <v>871</v>
      </c>
      <c r="D2018" s="38" t="s">
        <v>288</v>
      </c>
      <c r="E2018" s="38" t="s">
        <v>768</v>
      </c>
      <c r="F2018" s="37" t="s">
        <v>769</v>
      </c>
      <c r="G2018" s="38" t="s">
        <v>70</v>
      </c>
      <c r="H2018" s="37"/>
      <c r="I2018" s="37"/>
      <c r="J2018" s="37" t="s">
        <v>814</v>
      </c>
      <c r="K2018" s="40"/>
      <c r="L2018" s="38"/>
      <c r="M2018" s="38"/>
      <c r="N2018" s="37"/>
      <c r="O2018" s="37"/>
      <c r="P2018" s="37"/>
      <c r="Q2018" s="37"/>
      <c r="R2018" s="39"/>
      <c r="S2018" s="37"/>
      <c r="T2018" s="38" t="s">
        <v>293</v>
      </c>
    </row>
    <row r="2019" ht="34.5">
      <c r="A2019" s="38" t="s">
        <v>1215</v>
      </c>
      <c r="B2019" s="38" t="s">
        <v>1216</v>
      </c>
      <c r="C2019" s="38" t="s">
        <v>877</v>
      </c>
      <c r="D2019" s="38" t="s">
        <v>288</v>
      </c>
      <c r="E2019" s="38" t="s">
        <v>768</v>
      </c>
      <c r="F2019" s="37" t="s">
        <v>769</v>
      </c>
      <c r="G2019" s="38" t="s">
        <v>70</v>
      </c>
      <c r="H2019" s="37"/>
      <c r="I2019" s="37"/>
      <c r="J2019" s="37" t="s">
        <v>816</v>
      </c>
      <c r="K2019" s="40"/>
      <c r="L2019" s="38"/>
      <c r="M2019" s="38"/>
      <c r="N2019" s="37"/>
      <c r="O2019" s="37"/>
      <c r="P2019" s="37"/>
      <c r="Q2019" s="37"/>
      <c r="R2019" s="39"/>
      <c r="S2019" s="37"/>
      <c r="T2019" s="38" t="s">
        <v>293</v>
      </c>
    </row>
    <row r="2020" ht="34.5">
      <c r="A2020" s="38" t="s">
        <v>1215</v>
      </c>
      <c r="B2020" s="38" t="s">
        <v>1216</v>
      </c>
      <c r="C2020" s="38" t="s">
        <v>877</v>
      </c>
      <c r="D2020" s="38" t="s">
        <v>288</v>
      </c>
      <c r="E2020" s="38" t="s">
        <v>768</v>
      </c>
      <c r="F2020" s="37" t="s">
        <v>769</v>
      </c>
      <c r="G2020" s="38" t="s">
        <v>70</v>
      </c>
      <c r="H2020" s="37"/>
      <c r="I2020" s="37"/>
      <c r="J2020" s="37" t="s">
        <v>817</v>
      </c>
      <c r="K2020" s="40"/>
      <c r="L2020" s="38"/>
      <c r="M2020" s="38"/>
      <c r="N2020" s="37"/>
      <c r="O2020" s="37"/>
      <c r="P2020" s="37"/>
      <c r="Q2020" s="37"/>
      <c r="R2020" s="39"/>
      <c r="S2020" s="37"/>
      <c r="T2020" s="38" t="s">
        <v>293</v>
      </c>
    </row>
    <row r="2021" ht="34.5">
      <c r="A2021" s="38" t="s">
        <v>1215</v>
      </c>
      <c r="B2021" s="38" t="s">
        <v>1216</v>
      </c>
      <c r="C2021" s="38" t="s">
        <v>877</v>
      </c>
      <c r="D2021" s="38" t="s">
        <v>288</v>
      </c>
      <c r="E2021" s="38" t="s">
        <v>768</v>
      </c>
      <c r="F2021" s="37" t="s">
        <v>769</v>
      </c>
      <c r="G2021" s="38" t="s">
        <v>70</v>
      </c>
      <c r="H2021" s="37"/>
      <c r="I2021" s="37"/>
      <c r="J2021" s="37" t="s">
        <v>818</v>
      </c>
      <c r="K2021" s="40"/>
      <c r="L2021" s="38"/>
      <c r="M2021" s="38"/>
      <c r="N2021" s="37"/>
      <c r="O2021" s="37"/>
      <c r="P2021" s="37"/>
      <c r="Q2021" s="37"/>
      <c r="R2021" s="39"/>
      <c r="S2021" s="37"/>
      <c r="T2021" s="38" t="s">
        <v>293</v>
      </c>
    </row>
    <row r="2022" ht="34.5">
      <c r="A2022" s="38" t="s">
        <v>1215</v>
      </c>
      <c r="B2022" s="38" t="s">
        <v>1216</v>
      </c>
      <c r="C2022" s="38" t="s">
        <v>877</v>
      </c>
      <c r="D2022" s="38" t="s">
        <v>288</v>
      </c>
      <c r="E2022" s="38" t="s">
        <v>768</v>
      </c>
      <c r="F2022" s="37" t="s">
        <v>769</v>
      </c>
      <c r="G2022" s="38" t="s">
        <v>70</v>
      </c>
      <c r="H2022" s="37"/>
      <c r="I2022" s="37"/>
      <c r="J2022" s="37" t="s">
        <v>1038</v>
      </c>
      <c r="K2022" s="40"/>
      <c r="L2022" s="38"/>
      <c r="M2022" s="38"/>
      <c r="N2022" s="37"/>
      <c r="O2022" s="37"/>
      <c r="P2022" s="37"/>
      <c r="Q2022" s="37"/>
      <c r="R2022" s="39"/>
      <c r="S2022" s="37"/>
      <c r="T2022" s="38" t="s">
        <v>293</v>
      </c>
    </row>
    <row r="2023" ht="34.5">
      <c r="A2023" s="38" t="s">
        <v>1215</v>
      </c>
      <c r="B2023" s="38" t="s">
        <v>1216</v>
      </c>
      <c r="C2023" s="38" t="s">
        <v>877</v>
      </c>
      <c r="D2023" s="38" t="s">
        <v>288</v>
      </c>
      <c r="E2023" s="38" t="s">
        <v>768</v>
      </c>
      <c r="F2023" s="37" t="s">
        <v>769</v>
      </c>
      <c r="G2023" s="38" t="s">
        <v>70</v>
      </c>
      <c r="H2023" s="37"/>
      <c r="I2023" s="37"/>
      <c r="J2023" s="37" t="s">
        <v>819</v>
      </c>
      <c r="K2023" s="40"/>
      <c r="L2023" s="38"/>
      <c r="M2023" s="38"/>
      <c r="N2023" s="37"/>
      <c r="O2023" s="37"/>
      <c r="P2023" s="37"/>
      <c r="Q2023" s="37"/>
      <c r="R2023" s="39"/>
      <c r="S2023" s="37"/>
      <c r="T2023" s="38" t="s">
        <v>293</v>
      </c>
    </row>
    <row r="2024" ht="34.5">
      <c r="A2024" s="38" t="s">
        <v>1215</v>
      </c>
      <c r="B2024" s="38" t="s">
        <v>1216</v>
      </c>
      <c r="C2024" s="38" t="s">
        <v>877</v>
      </c>
      <c r="D2024" s="38" t="s">
        <v>288</v>
      </c>
      <c r="E2024" s="38" t="s">
        <v>768</v>
      </c>
      <c r="F2024" s="37" t="s">
        <v>769</v>
      </c>
      <c r="G2024" s="38" t="s">
        <v>70</v>
      </c>
      <c r="H2024" s="37"/>
      <c r="I2024" s="37"/>
      <c r="J2024" s="37" t="s">
        <v>820</v>
      </c>
      <c r="K2024" s="40"/>
      <c r="L2024" s="38"/>
      <c r="M2024" s="38"/>
      <c r="N2024" s="37"/>
      <c r="O2024" s="37"/>
      <c r="P2024" s="37"/>
      <c r="Q2024" s="37"/>
      <c r="R2024" s="39"/>
      <c r="S2024" s="37"/>
      <c r="T2024" s="38" t="s">
        <v>293</v>
      </c>
    </row>
    <row r="2025" ht="34.5">
      <c r="A2025" s="38" t="s">
        <v>1215</v>
      </c>
      <c r="B2025" s="38" t="s">
        <v>1216</v>
      </c>
      <c r="C2025" s="38" t="s">
        <v>877</v>
      </c>
      <c r="D2025" s="38" t="s">
        <v>288</v>
      </c>
      <c r="E2025" s="38" t="s">
        <v>768</v>
      </c>
      <c r="F2025" s="37" t="s">
        <v>769</v>
      </c>
      <c r="G2025" s="38" t="s">
        <v>70</v>
      </c>
      <c r="H2025" s="37"/>
      <c r="I2025" s="37"/>
      <c r="J2025" s="37" t="s">
        <v>821</v>
      </c>
      <c r="K2025" s="40"/>
      <c r="L2025" s="38"/>
      <c r="M2025" s="38"/>
      <c r="N2025" s="37"/>
      <c r="O2025" s="37"/>
      <c r="P2025" s="37"/>
      <c r="Q2025" s="37"/>
      <c r="R2025" s="39"/>
      <c r="S2025" s="37"/>
      <c r="T2025" s="38" t="s">
        <v>293</v>
      </c>
    </row>
    <row r="2026" ht="34.5">
      <c r="A2026" s="38" t="s">
        <v>1215</v>
      </c>
      <c r="B2026" s="38" t="s">
        <v>1216</v>
      </c>
      <c r="C2026" s="38" t="s">
        <v>877</v>
      </c>
      <c r="D2026" s="38" t="s">
        <v>288</v>
      </c>
      <c r="E2026" s="38" t="s">
        <v>768</v>
      </c>
      <c r="F2026" s="37" t="s">
        <v>769</v>
      </c>
      <c r="G2026" s="38" t="s">
        <v>70</v>
      </c>
      <c r="H2026" s="37"/>
      <c r="I2026" s="37"/>
      <c r="J2026" s="37" t="s">
        <v>822</v>
      </c>
      <c r="K2026" s="40"/>
      <c r="L2026" s="38"/>
      <c r="M2026" s="38"/>
      <c r="N2026" s="37"/>
      <c r="O2026" s="37"/>
      <c r="P2026" s="37"/>
      <c r="Q2026" s="37"/>
      <c r="R2026" s="39"/>
      <c r="S2026" s="37"/>
      <c r="T2026" s="38" t="s">
        <v>293</v>
      </c>
    </row>
    <row r="2027" ht="34.5">
      <c r="A2027" s="38" t="s">
        <v>1215</v>
      </c>
      <c r="B2027" s="38" t="s">
        <v>1216</v>
      </c>
      <c r="C2027" s="38" t="s">
        <v>877</v>
      </c>
      <c r="D2027" s="38" t="s">
        <v>288</v>
      </c>
      <c r="E2027" s="38" t="s">
        <v>768</v>
      </c>
      <c r="F2027" s="37" t="s">
        <v>769</v>
      </c>
      <c r="G2027" s="38" t="s">
        <v>70</v>
      </c>
      <c r="H2027" s="37"/>
      <c r="I2027" s="37"/>
      <c r="J2027" s="37" t="s">
        <v>823</v>
      </c>
      <c r="K2027" s="40"/>
      <c r="L2027" s="38"/>
      <c r="M2027" s="38"/>
      <c r="N2027" s="37"/>
      <c r="O2027" s="37"/>
      <c r="P2027" s="37"/>
      <c r="Q2027" s="37"/>
      <c r="R2027" s="39"/>
      <c r="S2027" s="37"/>
      <c r="T2027" s="38" t="s">
        <v>293</v>
      </c>
    </row>
    <row r="2028" ht="34.5">
      <c r="A2028" s="38" t="s">
        <v>1215</v>
      </c>
      <c r="B2028" s="38" t="s">
        <v>1216</v>
      </c>
      <c r="C2028" s="38" t="s">
        <v>877</v>
      </c>
      <c r="D2028" s="38" t="s">
        <v>288</v>
      </c>
      <c r="E2028" s="38" t="s">
        <v>768</v>
      </c>
      <c r="F2028" s="37" t="s">
        <v>769</v>
      </c>
      <c r="G2028" s="38" t="s">
        <v>70</v>
      </c>
      <c r="H2028" s="37"/>
      <c r="I2028" s="37"/>
      <c r="J2028" s="37" t="s">
        <v>824</v>
      </c>
      <c r="K2028" s="40"/>
      <c r="L2028" s="38"/>
      <c r="M2028" s="38"/>
      <c r="N2028" s="37"/>
      <c r="O2028" s="37"/>
      <c r="P2028" s="37"/>
      <c r="Q2028" s="37"/>
      <c r="R2028" s="39"/>
      <c r="S2028" s="37"/>
      <c r="T2028" s="38" t="s">
        <v>293</v>
      </c>
    </row>
    <row r="2029" ht="34.5">
      <c r="A2029" s="38" t="s">
        <v>1215</v>
      </c>
      <c r="B2029" s="38" t="s">
        <v>1216</v>
      </c>
      <c r="C2029" s="38" t="s">
        <v>877</v>
      </c>
      <c r="D2029" s="38" t="s">
        <v>288</v>
      </c>
      <c r="E2029" s="38" t="s">
        <v>768</v>
      </c>
      <c r="F2029" s="37" t="s">
        <v>769</v>
      </c>
      <c r="G2029" s="38" t="s">
        <v>70</v>
      </c>
      <c r="H2029" s="37"/>
      <c r="I2029" s="37"/>
      <c r="J2029" s="37" t="s">
        <v>1174</v>
      </c>
      <c r="K2029" s="40"/>
      <c r="L2029" s="38"/>
      <c r="M2029" s="38"/>
      <c r="N2029" s="37"/>
      <c r="O2029" s="37"/>
      <c r="P2029" s="37"/>
      <c r="Q2029" s="37"/>
      <c r="R2029" s="39"/>
      <c r="S2029" s="37"/>
      <c r="T2029" s="38" t="s">
        <v>293</v>
      </c>
    </row>
    <row r="2030" ht="34.5">
      <c r="A2030" s="38" t="s">
        <v>1215</v>
      </c>
      <c r="B2030" s="38" t="s">
        <v>1216</v>
      </c>
      <c r="C2030" s="38" t="s">
        <v>1049</v>
      </c>
      <c r="D2030" s="38" t="s">
        <v>288</v>
      </c>
      <c r="E2030" s="38" t="s">
        <v>768</v>
      </c>
      <c r="F2030" s="37" t="s">
        <v>769</v>
      </c>
      <c r="G2030" s="38" t="s">
        <v>70</v>
      </c>
      <c r="H2030" s="37"/>
      <c r="I2030" s="37"/>
      <c r="J2030" s="37" t="s">
        <v>1175</v>
      </c>
      <c r="K2030" s="40"/>
      <c r="L2030" s="38"/>
      <c r="M2030" s="38"/>
      <c r="N2030" s="37"/>
      <c r="O2030" s="37"/>
      <c r="P2030" s="37"/>
      <c r="Q2030" s="37"/>
      <c r="R2030" s="39"/>
      <c r="S2030" s="37"/>
      <c r="T2030" s="38" t="s">
        <v>293</v>
      </c>
    </row>
    <row r="2031" ht="34.5">
      <c r="A2031" s="38" t="s">
        <v>1215</v>
      </c>
      <c r="B2031" s="38" t="s">
        <v>1216</v>
      </c>
      <c r="C2031" s="38" t="s">
        <v>1049</v>
      </c>
      <c r="D2031" s="38" t="s">
        <v>288</v>
      </c>
      <c r="E2031" s="38" t="s">
        <v>768</v>
      </c>
      <c r="F2031" s="37" t="s">
        <v>769</v>
      </c>
      <c r="G2031" s="38" t="s">
        <v>70</v>
      </c>
      <c r="H2031" s="37"/>
      <c r="I2031" s="37"/>
      <c r="J2031" s="37" t="s">
        <v>830</v>
      </c>
      <c r="K2031" s="40"/>
      <c r="L2031" s="38"/>
      <c r="M2031" s="38"/>
      <c r="N2031" s="37"/>
      <c r="O2031" s="37"/>
      <c r="P2031" s="37"/>
      <c r="Q2031" s="37"/>
      <c r="R2031" s="39"/>
      <c r="S2031" s="37"/>
      <c r="T2031" s="38" t="s">
        <v>293</v>
      </c>
    </row>
    <row r="2032" ht="34.5">
      <c r="A2032" s="38" t="s">
        <v>1215</v>
      </c>
      <c r="B2032" s="38" t="s">
        <v>1216</v>
      </c>
      <c r="C2032" s="38" t="s">
        <v>1049</v>
      </c>
      <c r="D2032" s="38" t="s">
        <v>288</v>
      </c>
      <c r="E2032" s="38" t="s">
        <v>768</v>
      </c>
      <c r="F2032" s="37" t="s">
        <v>769</v>
      </c>
      <c r="G2032" s="38" t="s">
        <v>70</v>
      </c>
      <c r="H2032" s="37"/>
      <c r="I2032" s="37"/>
      <c r="J2032" s="37" t="s">
        <v>831</v>
      </c>
      <c r="K2032" s="40"/>
      <c r="L2032" s="38"/>
      <c r="M2032" s="38"/>
      <c r="N2032" s="37"/>
      <c r="O2032" s="37"/>
      <c r="P2032" s="37"/>
      <c r="Q2032" s="37"/>
      <c r="R2032" s="39"/>
      <c r="S2032" s="37"/>
      <c r="T2032" s="38" t="s">
        <v>293</v>
      </c>
    </row>
    <row r="2033" ht="34.5">
      <c r="A2033" s="38" t="s">
        <v>1215</v>
      </c>
      <c r="B2033" s="38" t="s">
        <v>1216</v>
      </c>
      <c r="C2033" s="38" t="s">
        <v>1049</v>
      </c>
      <c r="D2033" s="38" t="s">
        <v>288</v>
      </c>
      <c r="E2033" s="38" t="s">
        <v>768</v>
      </c>
      <c r="F2033" s="37" t="s">
        <v>769</v>
      </c>
      <c r="G2033" s="38" t="s">
        <v>70</v>
      </c>
      <c r="H2033" s="37"/>
      <c r="I2033" s="37"/>
      <c r="J2033" s="37" t="s">
        <v>836</v>
      </c>
      <c r="K2033" s="40"/>
      <c r="L2033" s="38"/>
      <c r="M2033" s="38"/>
      <c r="N2033" s="37"/>
      <c r="O2033" s="37"/>
      <c r="P2033" s="37"/>
      <c r="Q2033" s="37"/>
      <c r="R2033" s="39"/>
      <c r="S2033" s="37"/>
      <c r="T2033" s="38" t="s">
        <v>293</v>
      </c>
    </row>
    <row r="2034" ht="34.5">
      <c r="A2034" s="38" t="s">
        <v>1215</v>
      </c>
      <c r="B2034" s="38" t="s">
        <v>1216</v>
      </c>
      <c r="C2034" s="38" t="s">
        <v>1049</v>
      </c>
      <c r="D2034" s="38" t="s">
        <v>288</v>
      </c>
      <c r="E2034" s="38" t="s">
        <v>768</v>
      </c>
      <c r="F2034" s="37" t="s">
        <v>769</v>
      </c>
      <c r="G2034" s="38" t="s">
        <v>70</v>
      </c>
      <c r="H2034" s="37"/>
      <c r="I2034" s="37"/>
      <c r="J2034" s="37" t="s">
        <v>1176</v>
      </c>
      <c r="K2034" s="40"/>
      <c r="L2034" s="38"/>
      <c r="M2034" s="38"/>
      <c r="N2034" s="37"/>
      <c r="O2034" s="37"/>
      <c r="P2034" s="37"/>
      <c r="Q2034" s="37"/>
      <c r="R2034" s="39"/>
      <c r="S2034" s="37"/>
      <c r="T2034" s="38" t="s">
        <v>293</v>
      </c>
    </row>
    <row r="2035" ht="34.5">
      <c r="A2035" s="38" t="s">
        <v>1215</v>
      </c>
      <c r="B2035" s="38" t="s">
        <v>1216</v>
      </c>
      <c r="C2035" s="38" t="s">
        <v>1057</v>
      </c>
      <c r="D2035" s="38" t="s">
        <v>288</v>
      </c>
      <c r="E2035" s="38" t="s">
        <v>768</v>
      </c>
      <c r="F2035" s="37" t="s">
        <v>769</v>
      </c>
      <c r="G2035" s="38" t="s">
        <v>70</v>
      </c>
      <c r="H2035" s="37"/>
      <c r="I2035" s="37"/>
      <c r="J2035" s="37" t="s">
        <v>840</v>
      </c>
      <c r="K2035" s="40"/>
      <c r="L2035" s="38"/>
      <c r="M2035" s="38"/>
      <c r="N2035" s="37"/>
      <c r="O2035" s="37"/>
      <c r="P2035" s="37"/>
      <c r="Q2035" s="37"/>
      <c r="R2035" s="39"/>
      <c r="S2035" s="37"/>
      <c r="T2035" s="38" t="s">
        <v>293</v>
      </c>
    </row>
    <row r="2036" ht="34.5">
      <c r="A2036" s="38" t="s">
        <v>1215</v>
      </c>
      <c r="B2036" s="38" t="s">
        <v>1216</v>
      </c>
      <c r="C2036" s="38" t="s">
        <v>1057</v>
      </c>
      <c r="D2036" s="38" t="s">
        <v>288</v>
      </c>
      <c r="E2036" s="38" t="s">
        <v>768</v>
      </c>
      <c r="F2036" s="37" t="s">
        <v>769</v>
      </c>
      <c r="G2036" s="38" t="s">
        <v>70</v>
      </c>
      <c r="H2036" s="37"/>
      <c r="I2036" s="37"/>
      <c r="J2036" s="37" t="s">
        <v>841</v>
      </c>
      <c r="K2036" s="40"/>
      <c r="L2036" s="38"/>
      <c r="M2036" s="38"/>
      <c r="N2036" s="37"/>
      <c r="O2036" s="37"/>
      <c r="P2036" s="37"/>
      <c r="Q2036" s="37"/>
      <c r="R2036" s="39"/>
      <c r="S2036" s="37"/>
      <c r="T2036" s="38" t="s">
        <v>293</v>
      </c>
    </row>
    <row r="2037" ht="34.5">
      <c r="A2037" s="38" t="s">
        <v>1215</v>
      </c>
      <c r="B2037" s="38" t="s">
        <v>1216</v>
      </c>
      <c r="C2037" s="38" t="s">
        <v>1057</v>
      </c>
      <c r="D2037" s="38" t="s">
        <v>288</v>
      </c>
      <c r="E2037" s="38" t="s">
        <v>768</v>
      </c>
      <c r="F2037" s="37" t="s">
        <v>769</v>
      </c>
      <c r="G2037" s="38" t="s">
        <v>70</v>
      </c>
      <c r="H2037" s="37"/>
      <c r="I2037" s="37"/>
      <c r="J2037" s="37" t="s">
        <v>842</v>
      </c>
      <c r="K2037" s="40"/>
      <c r="L2037" s="38"/>
      <c r="M2037" s="38"/>
      <c r="N2037" s="37"/>
      <c r="O2037" s="37"/>
      <c r="P2037" s="37"/>
      <c r="Q2037" s="37"/>
      <c r="R2037" s="39"/>
      <c r="S2037" s="37"/>
      <c r="T2037" s="38" t="s">
        <v>293</v>
      </c>
    </row>
    <row r="2038" ht="34.5">
      <c r="A2038" s="38" t="s">
        <v>1215</v>
      </c>
      <c r="B2038" s="38" t="s">
        <v>1216</v>
      </c>
      <c r="C2038" s="38" t="s">
        <v>1057</v>
      </c>
      <c r="D2038" s="38" t="s">
        <v>288</v>
      </c>
      <c r="E2038" s="38" t="s">
        <v>768</v>
      </c>
      <c r="F2038" s="37" t="s">
        <v>769</v>
      </c>
      <c r="G2038" s="38" t="s">
        <v>70</v>
      </c>
      <c r="H2038" s="37"/>
      <c r="I2038" s="37"/>
      <c r="J2038" s="37" t="s">
        <v>843</v>
      </c>
      <c r="K2038" s="40"/>
      <c r="L2038" s="38"/>
      <c r="M2038" s="38"/>
      <c r="N2038" s="37"/>
      <c r="O2038" s="37"/>
      <c r="P2038" s="37"/>
      <c r="Q2038" s="37"/>
      <c r="R2038" s="39"/>
      <c r="S2038" s="37"/>
      <c r="T2038" s="38" t="s">
        <v>293</v>
      </c>
    </row>
    <row r="2039" ht="34.5">
      <c r="A2039" s="38" t="s">
        <v>1215</v>
      </c>
      <c r="B2039" s="38" t="s">
        <v>1216</v>
      </c>
      <c r="C2039" s="38" t="s">
        <v>1057</v>
      </c>
      <c r="D2039" s="38" t="s">
        <v>288</v>
      </c>
      <c r="E2039" s="38" t="s">
        <v>768</v>
      </c>
      <c r="F2039" s="37" t="s">
        <v>769</v>
      </c>
      <c r="G2039" s="38" t="s">
        <v>70</v>
      </c>
      <c r="H2039" s="37"/>
      <c r="I2039" s="37"/>
      <c r="J2039" s="37" t="s">
        <v>1050</v>
      </c>
      <c r="K2039" s="40"/>
      <c r="L2039" s="38"/>
      <c r="M2039" s="38"/>
      <c r="N2039" s="37"/>
      <c r="O2039" s="37"/>
      <c r="P2039" s="37"/>
      <c r="Q2039" s="37"/>
      <c r="R2039" s="39"/>
      <c r="S2039" s="37"/>
      <c r="T2039" s="38" t="s">
        <v>293</v>
      </c>
    </row>
    <row r="2040" ht="34.5">
      <c r="A2040" s="38" t="s">
        <v>1215</v>
      </c>
      <c r="B2040" s="38" t="s">
        <v>1216</v>
      </c>
      <c r="C2040" s="38" t="s">
        <v>1057</v>
      </c>
      <c r="D2040" s="38" t="s">
        <v>288</v>
      </c>
      <c r="E2040" s="38" t="s">
        <v>768</v>
      </c>
      <c r="F2040" s="37" t="s">
        <v>769</v>
      </c>
      <c r="G2040" s="38" t="s">
        <v>70</v>
      </c>
      <c r="H2040" s="37"/>
      <c r="I2040" s="37"/>
      <c r="J2040" s="37" t="s">
        <v>1731</v>
      </c>
      <c r="K2040" s="40">
        <v>1.25</v>
      </c>
      <c r="L2040" s="38" t="s">
        <v>297</v>
      </c>
      <c r="M2040" s="38"/>
      <c r="N2040" s="37"/>
      <c r="O2040" s="37"/>
      <c r="P2040" s="37"/>
      <c r="Q2040" s="37"/>
      <c r="R2040" s="39"/>
      <c r="S2040" s="37"/>
      <c r="T2040" s="38" t="s">
        <v>293</v>
      </c>
    </row>
    <row r="2041" ht="34.5">
      <c r="A2041" s="38" t="s">
        <v>1215</v>
      </c>
      <c r="B2041" s="38" t="s">
        <v>1216</v>
      </c>
      <c r="C2041" s="38" t="s">
        <v>1057</v>
      </c>
      <c r="D2041" s="38" t="s">
        <v>288</v>
      </c>
      <c r="E2041" s="38" t="s">
        <v>768</v>
      </c>
      <c r="F2041" s="37" t="s">
        <v>769</v>
      </c>
      <c r="G2041" s="38" t="s">
        <v>70</v>
      </c>
      <c r="H2041" s="37"/>
      <c r="I2041" s="37"/>
      <c r="J2041" s="37" t="s">
        <v>1732</v>
      </c>
      <c r="K2041" s="40"/>
      <c r="L2041" s="38"/>
      <c r="M2041" s="38"/>
      <c r="N2041" s="37"/>
      <c r="O2041" s="37"/>
      <c r="P2041" s="37"/>
      <c r="Q2041" s="37"/>
      <c r="R2041" s="39"/>
      <c r="S2041" s="37"/>
      <c r="T2041" s="38" t="s">
        <v>293</v>
      </c>
    </row>
    <row r="2042" ht="34.5">
      <c r="A2042" s="38" t="s">
        <v>1215</v>
      </c>
      <c r="B2042" s="38" t="s">
        <v>1216</v>
      </c>
      <c r="C2042" s="38" t="s">
        <v>1057</v>
      </c>
      <c r="D2042" s="38" t="s">
        <v>288</v>
      </c>
      <c r="E2042" s="38" t="s">
        <v>768</v>
      </c>
      <c r="F2042" s="37" t="s">
        <v>769</v>
      </c>
      <c r="G2042" s="38" t="s">
        <v>70</v>
      </c>
      <c r="H2042" s="37"/>
      <c r="I2042" s="37"/>
      <c r="J2042" s="37" t="s">
        <v>1733</v>
      </c>
      <c r="K2042" s="40"/>
      <c r="L2042" s="38"/>
      <c r="M2042" s="38"/>
      <c r="N2042" s="37"/>
      <c r="O2042" s="37"/>
      <c r="P2042" s="37"/>
      <c r="Q2042" s="37"/>
      <c r="R2042" s="39"/>
      <c r="S2042" s="37"/>
      <c r="T2042" s="38" t="s">
        <v>293</v>
      </c>
    </row>
    <row r="2043" ht="34.5">
      <c r="A2043" s="38" t="s">
        <v>1215</v>
      </c>
      <c r="B2043" s="38" t="s">
        <v>1216</v>
      </c>
      <c r="C2043" s="38" t="s">
        <v>1057</v>
      </c>
      <c r="D2043" s="38" t="s">
        <v>288</v>
      </c>
      <c r="E2043" s="38" t="s">
        <v>768</v>
      </c>
      <c r="F2043" s="37" t="s">
        <v>769</v>
      </c>
      <c r="G2043" s="38" t="s">
        <v>70</v>
      </c>
      <c r="H2043" s="37"/>
      <c r="I2043" s="37"/>
      <c r="J2043" s="37" t="s">
        <v>1734</v>
      </c>
      <c r="K2043" s="40"/>
      <c r="L2043" s="38"/>
      <c r="M2043" s="38"/>
      <c r="N2043" s="37"/>
      <c r="O2043" s="37"/>
      <c r="P2043" s="37"/>
      <c r="Q2043" s="37"/>
      <c r="R2043" s="39"/>
      <c r="S2043" s="37"/>
      <c r="T2043" s="38" t="s">
        <v>293</v>
      </c>
    </row>
    <row r="2044" ht="34.5">
      <c r="A2044" s="38" t="s">
        <v>1215</v>
      </c>
      <c r="B2044" s="38" t="s">
        <v>1216</v>
      </c>
      <c r="C2044" s="38" t="s">
        <v>1057</v>
      </c>
      <c r="D2044" s="38" t="s">
        <v>288</v>
      </c>
      <c r="E2044" s="38" t="s">
        <v>768</v>
      </c>
      <c r="F2044" s="37" t="s">
        <v>769</v>
      </c>
      <c r="G2044" s="38" t="s">
        <v>70</v>
      </c>
      <c r="H2044" s="37"/>
      <c r="I2044" s="37"/>
      <c r="J2044" s="37" t="s">
        <v>1735</v>
      </c>
      <c r="K2044" s="40"/>
      <c r="L2044" s="38"/>
      <c r="M2044" s="38"/>
      <c r="N2044" s="37"/>
      <c r="O2044" s="37"/>
      <c r="P2044" s="37"/>
      <c r="Q2044" s="37"/>
      <c r="R2044" s="39"/>
      <c r="S2044" s="37"/>
      <c r="T2044" s="38" t="s">
        <v>293</v>
      </c>
    </row>
    <row r="2045" ht="34.5">
      <c r="A2045" s="38" t="s">
        <v>1215</v>
      </c>
      <c r="B2045" s="38" t="s">
        <v>1216</v>
      </c>
      <c r="C2045" s="38" t="s">
        <v>1057</v>
      </c>
      <c r="D2045" s="38" t="s">
        <v>288</v>
      </c>
      <c r="E2045" s="38" t="s">
        <v>768</v>
      </c>
      <c r="F2045" s="37" t="s">
        <v>769</v>
      </c>
      <c r="G2045" s="38" t="s">
        <v>70</v>
      </c>
      <c r="H2045" s="37"/>
      <c r="I2045" s="37"/>
      <c r="J2045" s="37" t="s">
        <v>1736</v>
      </c>
      <c r="K2045" s="40"/>
      <c r="L2045" s="38"/>
      <c r="M2045" s="38"/>
      <c r="N2045" s="37"/>
      <c r="O2045" s="37"/>
      <c r="P2045" s="37"/>
      <c r="Q2045" s="37"/>
      <c r="R2045" s="39"/>
      <c r="S2045" s="37"/>
      <c r="T2045" s="38" t="s">
        <v>293</v>
      </c>
    </row>
    <row r="2046" ht="34.5">
      <c r="A2046" s="38" t="s">
        <v>1215</v>
      </c>
      <c r="B2046" s="38" t="s">
        <v>1216</v>
      </c>
      <c r="C2046" s="38" t="s">
        <v>1064</v>
      </c>
      <c r="D2046" s="38" t="s">
        <v>288</v>
      </c>
      <c r="E2046" s="38" t="s">
        <v>768</v>
      </c>
      <c r="F2046" s="37" t="s">
        <v>769</v>
      </c>
      <c r="G2046" s="38" t="s">
        <v>70</v>
      </c>
      <c r="H2046" s="37"/>
      <c r="I2046" s="37"/>
      <c r="J2046" s="37" t="s">
        <v>1737</v>
      </c>
      <c r="K2046" s="40"/>
      <c r="L2046" s="38"/>
      <c r="M2046" s="38"/>
      <c r="N2046" s="37"/>
      <c r="O2046" s="37"/>
      <c r="P2046" s="37"/>
      <c r="Q2046" s="37"/>
      <c r="R2046" s="39"/>
      <c r="S2046" s="37"/>
      <c r="T2046" s="38" t="s">
        <v>293</v>
      </c>
    </row>
    <row r="2047" ht="34.5">
      <c r="A2047" s="38" t="s">
        <v>1215</v>
      </c>
      <c r="B2047" s="38" t="s">
        <v>1216</v>
      </c>
      <c r="C2047" s="38" t="s">
        <v>1064</v>
      </c>
      <c r="D2047" s="38" t="s">
        <v>995</v>
      </c>
      <c r="E2047" s="38" t="s">
        <v>768</v>
      </c>
      <c r="F2047" s="37" t="s">
        <v>769</v>
      </c>
      <c r="G2047" s="38" t="s">
        <v>70</v>
      </c>
      <c r="H2047" s="37"/>
      <c r="I2047" s="37"/>
      <c r="J2047" s="37" t="s">
        <v>996</v>
      </c>
      <c r="K2047" s="40"/>
      <c r="L2047" s="38"/>
      <c r="M2047" s="38"/>
      <c r="N2047" s="37"/>
      <c r="O2047" s="37"/>
      <c r="P2047" s="37"/>
      <c r="Q2047" s="37"/>
      <c r="R2047" s="39"/>
      <c r="S2047" s="37"/>
      <c r="T2047" s="38" t="s">
        <v>293</v>
      </c>
    </row>
    <row r="2048" ht="34.5">
      <c r="A2048" s="38" t="s">
        <v>1215</v>
      </c>
      <c r="B2048" s="38" t="s">
        <v>1216</v>
      </c>
      <c r="C2048" s="38" t="s">
        <v>1192</v>
      </c>
      <c r="D2048" s="38" t="s">
        <v>1000</v>
      </c>
      <c r="E2048" s="38" t="s">
        <v>768</v>
      </c>
      <c r="F2048" s="37" t="s">
        <v>769</v>
      </c>
      <c r="G2048" s="38" t="s">
        <v>70</v>
      </c>
      <c r="H2048" s="37"/>
      <c r="I2048" s="37"/>
      <c r="J2048" s="37" t="s">
        <v>1001</v>
      </c>
      <c r="K2048" s="40"/>
      <c r="L2048" s="38"/>
      <c r="M2048" s="38"/>
      <c r="N2048" s="37"/>
      <c r="O2048" s="37"/>
      <c r="P2048" s="37"/>
      <c r="Q2048" s="37"/>
      <c r="R2048" s="39"/>
      <c r="S2048" s="37"/>
      <c r="T2048" s="38" t="s">
        <v>293</v>
      </c>
    </row>
    <row r="2049" ht="34.5">
      <c r="A2049" s="38" t="s">
        <v>1215</v>
      </c>
      <c r="B2049" s="38" t="s">
        <v>1216</v>
      </c>
      <c r="C2049" s="38" t="s">
        <v>1192</v>
      </c>
      <c r="D2049" s="38" t="s">
        <v>288</v>
      </c>
      <c r="E2049" s="38" t="s">
        <v>768</v>
      </c>
      <c r="F2049" s="37" t="s">
        <v>769</v>
      </c>
      <c r="G2049" s="38" t="s">
        <v>70</v>
      </c>
      <c r="H2049" s="37"/>
      <c r="I2049" s="37"/>
      <c r="J2049" s="37" t="s">
        <v>1738</v>
      </c>
      <c r="K2049" s="40"/>
      <c r="L2049" s="38"/>
      <c r="M2049" s="38"/>
      <c r="N2049" s="37"/>
      <c r="O2049" s="37"/>
      <c r="P2049" s="37"/>
      <c r="Q2049" s="37"/>
      <c r="R2049" s="39"/>
      <c r="S2049" s="37"/>
      <c r="T2049" s="38" t="s">
        <v>293</v>
      </c>
    </row>
    <row r="2050" ht="34.5">
      <c r="A2050" s="38" t="s">
        <v>1215</v>
      </c>
      <c r="B2050" s="38" t="s">
        <v>1216</v>
      </c>
      <c r="C2050" s="38" t="s">
        <v>1192</v>
      </c>
      <c r="D2050" s="38" t="s">
        <v>288</v>
      </c>
      <c r="E2050" s="38" t="s">
        <v>768</v>
      </c>
      <c r="F2050" s="37" t="s">
        <v>769</v>
      </c>
      <c r="G2050" s="38" t="s">
        <v>70</v>
      </c>
      <c r="H2050" s="37"/>
      <c r="I2050" s="37"/>
      <c r="J2050" s="37" t="s">
        <v>1739</v>
      </c>
      <c r="K2050" s="40"/>
      <c r="L2050" s="38"/>
      <c r="M2050" s="38"/>
      <c r="N2050" s="37"/>
      <c r="O2050" s="37"/>
      <c r="P2050" s="37"/>
      <c r="Q2050" s="37"/>
      <c r="R2050" s="39"/>
      <c r="S2050" s="37"/>
      <c r="T2050" s="38" t="s">
        <v>293</v>
      </c>
    </row>
    <row r="2051" ht="34.5">
      <c r="A2051" s="38" t="s">
        <v>1215</v>
      </c>
      <c r="B2051" s="38" t="s">
        <v>1216</v>
      </c>
      <c r="C2051" s="38" t="s">
        <v>1196</v>
      </c>
      <c r="D2051" s="38" t="s">
        <v>288</v>
      </c>
      <c r="E2051" s="38" t="s">
        <v>768</v>
      </c>
      <c r="F2051" s="37" t="s">
        <v>769</v>
      </c>
      <c r="G2051" s="38" t="s">
        <v>70</v>
      </c>
      <c r="H2051" s="37"/>
      <c r="I2051" s="37"/>
      <c r="J2051" s="37" t="s">
        <v>1740</v>
      </c>
      <c r="K2051" s="40"/>
      <c r="L2051" s="38"/>
      <c r="M2051" s="38"/>
      <c r="N2051" s="37"/>
      <c r="O2051" s="37"/>
      <c r="P2051" s="37"/>
      <c r="Q2051" s="37"/>
      <c r="R2051" s="39"/>
      <c r="S2051" s="37"/>
      <c r="T2051" s="38" t="s">
        <v>293</v>
      </c>
    </row>
    <row r="2052" ht="34.5">
      <c r="A2052" s="38" t="s">
        <v>1215</v>
      </c>
      <c r="B2052" s="38" t="s">
        <v>1216</v>
      </c>
      <c r="C2052" s="38" t="s">
        <v>1196</v>
      </c>
      <c r="D2052" s="38" t="s">
        <v>1004</v>
      </c>
      <c r="E2052" s="38" t="s">
        <v>768</v>
      </c>
      <c r="F2052" s="37" t="s">
        <v>769</v>
      </c>
      <c r="G2052" s="38" t="s">
        <v>70</v>
      </c>
      <c r="H2052" s="37"/>
      <c r="I2052" s="37"/>
      <c r="J2052" s="37" t="s">
        <v>1005</v>
      </c>
      <c r="K2052" s="40"/>
      <c r="L2052" s="38"/>
      <c r="M2052" s="38"/>
      <c r="N2052" s="37"/>
      <c r="O2052" s="37"/>
      <c r="P2052" s="37"/>
      <c r="Q2052" s="37"/>
      <c r="R2052" s="39"/>
      <c r="S2052" s="37"/>
      <c r="T2052" s="38" t="s">
        <v>293</v>
      </c>
    </row>
    <row r="2053" ht="34.5">
      <c r="A2053" s="38" t="s">
        <v>1215</v>
      </c>
      <c r="B2053" s="38" t="s">
        <v>1216</v>
      </c>
      <c r="C2053" s="38" t="s">
        <v>1200</v>
      </c>
      <c r="D2053" s="38" t="s">
        <v>288</v>
      </c>
      <c r="E2053" s="38" t="s">
        <v>768</v>
      </c>
      <c r="F2053" s="37" t="s">
        <v>769</v>
      </c>
      <c r="G2053" s="38" t="s">
        <v>70</v>
      </c>
      <c r="H2053" s="37"/>
      <c r="I2053" s="37"/>
      <c r="J2053" s="37" t="s">
        <v>1741</v>
      </c>
      <c r="K2053" s="40"/>
      <c r="L2053" s="38"/>
      <c r="M2053" s="38"/>
      <c r="N2053" s="37"/>
      <c r="O2053" s="37"/>
      <c r="P2053" s="37"/>
      <c r="Q2053" s="37"/>
      <c r="R2053" s="39"/>
      <c r="S2053" s="37"/>
      <c r="T2053" s="38" t="s">
        <v>293</v>
      </c>
    </row>
    <row r="2054" ht="34.5">
      <c r="A2054" s="38" t="s">
        <v>1215</v>
      </c>
      <c r="B2054" s="38" t="s">
        <v>1216</v>
      </c>
      <c r="C2054" s="38" t="s">
        <v>1200</v>
      </c>
      <c r="D2054" s="38" t="s">
        <v>288</v>
      </c>
      <c r="E2054" s="38" t="s">
        <v>768</v>
      </c>
      <c r="F2054" s="37" t="s">
        <v>769</v>
      </c>
      <c r="G2054" s="38" t="s">
        <v>70</v>
      </c>
      <c r="H2054" s="37"/>
      <c r="I2054" s="37"/>
      <c r="J2054" s="37" t="s">
        <v>1742</v>
      </c>
      <c r="K2054" s="40"/>
      <c r="L2054" s="38"/>
      <c r="M2054" s="38"/>
      <c r="N2054" s="37"/>
      <c r="O2054" s="37"/>
      <c r="P2054" s="37"/>
      <c r="Q2054" s="37"/>
      <c r="R2054" s="39"/>
      <c r="S2054" s="37"/>
      <c r="T2054" s="38" t="s">
        <v>293</v>
      </c>
    </row>
    <row r="2055" ht="34.5">
      <c r="A2055" s="38" t="s">
        <v>1215</v>
      </c>
      <c r="B2055" s="38" t="s">
        <v>1216</v>
      </c>
      <c r="C2055" s="38" t="s">
        <v>1200</v>
      </c>
      <c r="D2055" s="38" t="s">
        <v>1008</v>
      </c>
      <c r="E2055" s="38" t="s">
        <v>768</v>
      </c>
      <c r="F2055" s="37" t="s">
        <v>769</v>
      </c>
      <c r="G2055" s="38" t="s">
        <v>70</v>
      </c>
      <c r="H2055" s="37"/>
      <c r="I2055" s="37"/>
      <c r="J2055" s="37" t="s">
        <v>1009</v>
      </c>
      <c r="K2055" s="40"/>
      <c r="L2055" s="38"/>
      <c r="M2055" s="38"/>
      <c r="N2055" s="37"/>
      <c r="O2055" s="37"/>
      <c r="P2055" s="37"/>
      <c r="Q2055" s="37"/>
      <c r="R2055" s="39"/>
      <c r="S2055" s="37"/>
      <c r="T2055" s="38" t="s">
        <v>293</v>
      </c>
    </row>
    <row r="2056" ht="34.5">
      <c r="A2056" s="38" t="s">
        <v>1215</v>
      </c>
      <c r="B2056" s="38" t="s">
        <v>1216</v>
      </c>
      <c r="C2056" s="38" t="s">
        <v>1205</v>
      </c>
      <c r="D2056" s="38" t="s">
        <v>1012</v>
      </c>
      <c r="E2056" s="38" t="s">
        <v>768</v>
      </c>
      <c r="F2056" s="37" t="s">
        <v>769</v>
      </c>
      <c r="G2056" s="38" t="s">
        <v>70</v>
      </c>
      <c r="H2056" s="37"/>
      <c r="I2056" s="37"/>
      <c r="J2056" s="37" t="s">
        <v>1013</v>
      </c>
      <c r="K2056" s="40"/>
      <c r="L2056" s="38"/>
      <c r="M2056" s="38"/>
      <c r="N2056" s="37"/>
      <c r="O2056" s="37"/>
      <c r="P2056" s="37"/>
      <c r="Q2056" s="37"/>
      <c r="R2056" s="39"/>
      <c r="S2056" s="37"/>
      <c r="T2056" s="38" t="s">
        <v>293</v>
      </c>
    </row>
    <row r="2057" ht="34.5">
      <c r="A2057" s="38" t="s">
        <v>1215</v>
      </c>
      <c r="B2057" s="38" t="s">
        <v>1216</v>
      </c>
      <c r="C2057" s="38" t="s">
        <v>1205</v>
      </c>
      <c r="D2057" s="38" t="s">
        <v>288</v>
      </c>
      <c r="E2057" s="38" t="s">
        <v>768</v>
      </c>
      <c r="F2057" s="37" t="s">
        <v>769</v>
      </c>
      <c r="G2057" s="38" t="s">
        <v>70</v>
      </c>
      <c r="H2057" s="37"/>
      <c r="I2057" s="37"/>
      <c r="J2057" s="37" t="s">
        <v>1743</v>
      </c>
      <c r="K2057" s="40"/>
      <c r="L2057" s="38"/>
      <c r="M2057" s="38"/>
      <c r="N2057" s="37"/>
      <c r="O2057" s="37"/>
      <c r="P2057" s="37"/>
      <c r="Q2057" s="37"/>
      <c r="R2057" s="39"/>
      <c r="S2057" s="37"/>
      <c r="T2057" s="38" t="s">
        <v>293</v>
      </c>
    </row>
    <row r="2058" ht="34.5">
      <c r="A2058" s="38" t="s">
        <v>1215</v>
      </c>
      <c r="B2058" s="38" t="s">
        <v>1216</v>
      </c>
      <c r="C2058" s="38" t="s">
        <v>1205</v>
      </c>
      <c r="D2058" s="38" t="s">
        <v>1015</v>
      </c>
      <c r="E2058" s="38" t="s">
        <v>768</v>
      </c>
      <c r="F2058" s="37" t="s">
        <v>769</v>
      </c>
      <c r="G2058" s="38" t="s">
        <v>70</v>
      </c>
      <c r="H2058" s="37"/>
      <c r="I2058" s="37"/>
      <c r="J2058" s="37" t="s">
        <v>1016</v>
      </c>
      <c r="K2058" s="40"/>
      <c r="L2058" s="38"/>
      <c r="M2058" s="38"/>
      <c r="N2058" s="37"/>
      <c r="O2058" s="37"/>
      <c r="P2058" s="37"/>
      <c r="Q2058" s="37"/>
      <c r="R2058" s="39"/>
      <c r="S2058" s="37"/>
      <c r="T2058" s="38" t="s">
        <v>293</v>
      </c>
    </row>
    <row r="2059" ht="34.5">
      <c r="A2059" s="38" t="s">
        <v>1215</v>
      </c>
      <c r="B2059" s="38" t="s">
        <v>1216</v>
      </c>
      <c r="C2059" s="38" t="s">
        <v>1205</v>
      </c>
      <c r="D2059" s="38" t="s">
        <v>288</v>
      </c>
      <c r="E2059" s="38" t="s">
        <v>768</v>
      </c>
      <c r="F2059" s="37" t="s">
        <v>769</v>
      </c>
      <c r="G2059" s="38" t="s">
        <v>70</v>
      </c>
      <c r="H2059" s="37"/>
      <c r="I2059" s="37"/>
      <c r="J2059" s="37" t="s">
        <v>1744</v>
      </c>
      <c r="K2059" s="40"/>
      <c r="L2059" s="38"/>
      <c r="M2059" s="38"/>
      <c r="N2059" s="37"/>
      <c r="O2059" s="37"/>
      <c r="P2059" s="37"/>
      <c r="Q2059" s="37"/>
      <c r="R2059" s="39"/>
      <c r="S2059" s="37"/>
      <c r="T2059" s="38" t="s">
        <v>293</v>
      </c>
    </row>
    <row r="2060" ht="34.5">
      <c r="A2060" s="38" t="s">
        <v>1215</v>
      </c>
      <c r="B2060" s="38" t="s">
        <v>1216</v>
      </c>
      <c r="C2060" s="38" t="s">
        <v>1205</v>
      </c>
      <c r="D2060" s="38" t="s">
        <v>288</v>
      </c>
      <c r="E2060" s="38" t="s">
        <v>768</v>
      </c>
      <c r="F2060" s="37" t="s">
        <v>769</v>
      </c>
      <c r="G2060" s="38" t="s">
        <v>70</v>
      </c>
      <c r="H2060" s="37"/>
      <c r="I2060" s="37"/>
      <c r="J2060" s="37" t="s">
        <v>1745</v>
      </c>
      <c r="K2060" s="40">
        <v>235332096</v>
      </c>
      <c r="L2060" s="38" t="s">
        <v>297</v>
      </c>
      <c r="M2060" s="38"/>
      <c r="N2060" s="37"/>
      <c r="O2060" s="37"/>
      <c r="P2060" s="37"/>
      <c r="Q2060" s="37"/>
      <c r="R2060" s="39"/>
      <c r="S2060" s="37"/>
      <c r="T2060" s="38" t="s">
        <v>293</v>
      </c>
    </row>
    <row r="2061" ht="34.5">
      <c r="A2061" s="38" t="s">
        <v>1215</v>
      </c>
      <c r="B2061" s="38" t="s">
        <v>1216</v>
      </c>
      <c r="C2061" s="38" t="s">
        <v>1205</v>
      </c>
      <c r="D2061" s="38" t="s">
        <v>288</v>
      </c>
      <c r="E2061" s="38" t="s">
        <v>768</v>
      </c>
      <c r="F2061" s="37" t="s">
        <v>769</v>
      </c>
      <c r="G2061" s="38" t="s">
        <v>70</v>
      </c>
      <c r="H2061" s="37"/>
      <c r="I2061" s="37"/>
      <c r="J2061" s="37" t="s">
        <v>1746</v>
      </c>
      <c r="K2061" s="40">
        <v>38487363</v>
      </c>
      <c r="L2061" s="38" t="s">
        <v>297</v>
      </c>
      <c r="M2061" s="38"/>
      <c r="N2061" s="37"/>
      <c r="O2061" s="37"/>
      <c r="P2061" s="37"/>
      <c r="Q2061" s="37"/>
      <c r="R2061" s="39"/>
      <c r="S2061" s="37"/>
      <c r="T2061" s="38" t="s">
        <v>293</v>
      </c>
    </row>
    <row r="2062" ht="34.5">
      <c r="A2062" s="38" t="s">
        <v>1215</v>
      </c>
      <c r="B2062" s="38" t="s">
        <v>1216</v>
      </c>
      <c r="C2062" s="38" t="s">
        <v>1205</v>
      </c>
      <c r="D2062" s="38" t="s">
        <v>1024</v>
      </c>
      <c r="E2062" s="38" t="s">
        <v>768</v>
      </c>
      <c r="F2062" s="37" t="s">
        <v>769</v>
      </c>
      <c r="G2062" s="38" t="s">
        <v>70</v>
      </c>
      <c r="H2062" s="37"/>
      <c r="I2062" s="37"/>
      <c r="J2062" s="37" t="s">
        <v>1025</v>
      </c>
      <c r="K2062" s="40"/>
      <c r="L2062" s="38"/>
      <c r="M2062" s="38"/>
      <c r="N2062" s="37"/>
      <c r="O2062" s="37"/>
      <c r="P2062" s="37"/>
      <c r="Q2062" s="37"/>
      <c r="R2062" s="39"/>
      <c r="S2062" s="37"/>
      <c r="T2062" s="38" t="s">
        <v>293</v>
      </c>
    </row>
    <row r="2063" ht="34.5">
      <c r="A2063" s="38" t="s">
        <v>1215</v>
      </c>
      <c r="B2063" s="38" t="s">
        <v>1216</v>
      </c>
      <c r="C2063" s="38" t="s">
        <v>1747</v>
      </c>
      <c r="D2063" s="38" t="s">
        <v>288</v>
      </c>
      <c r="E2063" s="38" t="s">
        <v>768</v>
      </c>
      <c r="F2063" s="37" t="s">
        <v>769</v>
      </c>
      <c r="G2063" s="38" t="s">
        <v>70</v>
      </c>
      <c r="H2063" s="37"/>
      <c r="I2063" s="37"/>
      <c r="J2063" s="37" t="s">
        <v>1748</v>
      </c>
      <c r="K2063" s="40"/>
      <c r="L2063" s="38"/>
      <c r="M2063" s="38"/>
      <c r="N2063" s="37"/>
      <c r="O2063" s="37"/>
      <c r="P2063" s="37"/>
      <c r="Q2063" s="37"/>
      <c r="R2063" s="39"/>
      <c r="S2063" s="37"/>
      <c r="T2063" s="38" t="s">
        <v>293</v>
      </c>
    </row>
    <row r="2064" ht="34.5">
      <c r="A2064" s="38" t="s">
        <v>1215</v>
      </c>
      <c r="B2064" s="38" t="s">
        <v>1216</v>
      </c>
      <c r="C2064" s="38" t="s">
        <v>1747</v>
      </c>
      <c r="D2064" s="38" t="s">
        <v>1062</v>
      </c>
      <c r="E2064" s="38" t="s">
        <v>768</v>
      </c>
      <c r="F2064" s="37" t="s">
        <v>769</v>
      </c>
      <c r="G2064" s="38" t="s">
        <v>70</v>
      </c>
      <c r="H2064" s="37"/>
      <c r="I2064" s="37"/>
      <c r="J2064" s="37" t="s">
        <v>1063</v>
      </c>
      <c r="K2064" s="40"/>
      <c r="L2064" s="38"/>
      <c r="M2064" s="38"/>
      <c r="N2064" s="37"/>
      <c r="O2064" s="37"/>
      <c r="P2064" s="37"/>
      <c r="Q2064" s="37"/>
      <c r="R2064" s="39"/>
      <c r="S2064" s="37"/>
      <c r="T2064" s="38" t="s">
        <v>293</v>
      </c>
    </row>
    <row r="2065" ht="34.5">
      <c r="A2065" s="38" t="s">
        <v>1215</v>
      </c>
      <c r="B2065" s="38" t="s">
        <v>1216</v>
      </c>
      <c r="C2065" s="38" t="s">
        <v>1747</v>
      </c>
      <c r="D2065" s="38" t="s">
        <v>288</v>
      </c>
      <c r="E2065" s="38" t="s">
        <v>768</v>
      </c>
      <c r="F2065" s="37" t="s">
        <v>769</v>
      </c>
      <c r="G2065" s="38" t="s">
        <v>70</v>
      </c>
      <c r="H2065" s="37"/>
      <c r="I2065" s="37"/>
      <c r="J2065" s="37" t="s">
        <v>1749</v>
      </c>
      <c r="K2065" s="40"/>
      <c r="L2065" s="38"/>
      <c r="M2065" s="38"/>
      <c r="N2065" s="37"/>
      <c r="O2065" s="37"/>
      <c r="P2065" s="37"/>
      <c r="Q2065" s="37"/>
      <c r="R2065" s="39"/>
      <c r="S2065" s="37"/>
      <c r="T2065" s="38" t="s">
        <v>293</v>
      </c>
    </row>
    <row r="2066" ht="34.5">
      <c r="A2066" s="38" t="s">
        <v>1215</v>
      </c>
      <c r="B2066" s="38" t="s">
        <v>1216</v>
      </c>
      <c r="C2066" s="38" t="s">
        <v>1747</v>
      </c>
      <c r="D2066" s="38" t="s">
        <v>1066</v>
      </c>
      <c r="E2066" s="38" t="s">
        <v>768</v>
      </c>
      <c r="F2066" s="37" t="s">
        <v>769</v>
      </c>
      <c r="G2066" s="38" t="s">
        <v>70</v>
      </c>
      <c r="H2066" s="37"/>
      <c r="I2066" s="37"/>
      <c r="J2066" s="37" t="s">
        <v>1067</v>
      </c>
      <c r="K2066" s="40"/>
      <c r="L2066" s="38"/>
      <c r="M2066" s="38"/>
      <c r="N2066" s="37"/>
      <c r="O2066" s="37"/>
      <c r="P2066" s="37"/>
      <c r="Q2066" s="37"/>
      <c r="R2066" s="39"/>
      <c r="S2066" s="37"/>
      <c r="T2066" s="38" t="s">
        <v>293</v>
      </c>
    </row>
    <row r="2067" ht="34.5">
      <c r="A2067" s="38" t="s">
        <v>1215</v>
      </c>
      <c r="B2067" s="38" t="s">
        <v>1216</v>
      </c>
      <c r="C2067" s="38" t="s">
        <v>1750</v>
      </c>
      <c r="D2067" s="38" t="s">
        <v>288</v>
      </c>
      <c r="E2067" s="38" t="s">
        <v>768</v>
      </c>
      <c r="F2067" s="37" t="s">
        <v>769</v>
      </c>
      <c r="G2067" s="38" t="s">
        <v>70</v>
      </c>
      <c r="H2067" s="37"/>
      <c r="I2067" s="37"/>
      <c r="J2067" s="37" t="s">
        <v>994</v>
      </c>
      <c r="K2067" s="40"/>
      <c r="L2067" s="38"/>
      <c r="M2067" s="38"/>
      <c r="N2067" s="37"/>
      <c r="O2067" s="37"/>
      <c r="P2067" s="37"/>
      <c r="Q2067" s="37"/>
      <c r="R2067" s="39"/>
      <c r="S2067" s="37"/>
      <c r="T2067" s="38" t="s">
        <v>293</v>
      </c>
    </row>
    <row r="2068" ht="34.5">
      <c r="A2068" s="38" t="s">
        <v>1215</v>
      </c>
      <c r="B2068" s="38" t="s">
        <v>1216</v>
      </c>
      <c r="C2068" s="38" t="s">
        <v>1750</v>
      </c>
      <c r="D2068" s="38" t="s">
        <v>1751</v>
      </c>
      <c r="E2068" s="38" t="s">
        <v>768</v>
      </c>
      <c r="F2068" s="37" t="s">
        <v>769</v>
      </c>
      <c r="G2068" s="38" t="s">
        <v>70</v>
      </c>
      <c r="H2068" s="37"/>
      <c r="I2068" s="37"/>
      <c r="J2068" s="37" t="s">
        <v>1752</v>
      </c>
      <c r="K2068" s="40"/>
      <c r="L2068" s="38"/>
      <c r="M2068" s="38"/>
      <c r="N2068" s="37"/>
      <c r="O2068" s="37"/>
      <c r="P2068" s="37"/>
      <c r="Q2068" s="37"/>
      <c r="R2068" s="39"/>
      <c r="S2068" s="37"/>
      <c r="T2068" s="38" t="s">
        <v>293</v>
      </c>
    </row>
    <row r="2069" ht="34.5">
      <c r="A2069" s="38" t="s">
        <v>1215</v>
      </c>
      <c r="B2069" s="38" t="s">
        <v>1216</v>
      </c>
      <c r="C2069" s="38" t="s">
        <v>1750</v>
      </c>
      <c r="D2069" s="38" t="s">
        <v>288</v>
      </c>
      <c r="E2069" s="38" t="s">
        <v>768</v>
      </c>
      <c r="F2069" s="37" t="s">
        <v>769</v>
      </c>
      <c r="G2069" s="38" t="s">
        <v>70</v>
      </c>
      <c r="H2069" s="37"/>
      <c r="I2069" s="37"/>
      <c r="J2069" s="37" t="s">
        <v>997</v>
      </c>
      <c r="K2069" s="40"/>
      <c r="L2069" s="38"/>
      <c r="M2069" s="38"/>
      <c r="N2069" s="37"/>
      <c r="O2069" s="37"/>
      <c r="P2069" s="37"/>
      <c r="Q2069" s="37"/>
      <c r="R2069" s="39"/>
      <c r="S2069" s="37"/>
      <c r="T2069" s="38" t="s">
        <v>293</v>
      </c>
    </row>
    <row r="2070" ht="34.5">
      <c r="A2070" s="38" t="s">
        <v>1215</v>
      </c>
      <c r="B2070" s="38" t="s">
        <v>1216</v>
      </c>
      <c r="C2070" s="38" t="s">
        <v>1750</v>
      </c>
      <c r="D2070" s="38" t="s">
        <v>1753</v>
      </c>
      <c r="E2070" s="38" t="s">
        <v>768</v>
      </c>
      <c r="F2070" s="37" t="s">
        <v>769</v>
      </c>
      <c r="G2070" s="38" t="s">
        <v>70</v>
      </c>
      <c r="H2070" s="37"/>
      <c r="I2070" s="37"/>
      <c r="J2070" s="37" t="s">
        <v>1754</v>
      </c>
      <c r="K2070" s="40"/>
      <c r="L2070" s="38"/>
      <c r="M2070" s="38"/>
      <c r="N2070" s="37"/>
      <c r="O2070" s="37"/>
      <c r="P2070" s="37"/>
      <c r="Q2070" s="37"/>
      <c r="R2070" s="39"/>
      <c r="S2070" s="37"/>
      <c r="T2070" s="38" t="s">
        <v>293</v>
      </c>
    </row>
    <row r="2071" ht="34.5">
      <c r="A2071" s="38" t="s">
        <v>1215</v>
      </c>
      <c r="B2071" s="38" t="s">
        <v>1216</v>
      </c>
      <c r="C2071" s="38" t="s">
        <v>1755</v>
      </c>
      <c r="D2071" s="38" t="s">
        <v>1756</v>
      </c>
      <c r="E2071" s="38" t="s">
        <v>768</v>
      </c>
      <c r="F2071" s="37" t="s">
        <v>769</v>
      </c>
      <c r="G2071" s="38" t="s">
        <v>70</v>
      </c>
      <c r="H2071" s="37"/>
      <c r="I2071" s="37"/>
      <c r="J2071" s="37" t="s">
        <v>1757</v>
      </c>
      <c r="K2071" s="40"/>
      <c r="L2071" s="38"/>
      <c r="M2071" s="38"/>
      <c r="N2071" s="37"/>
      <c r="O2071" s="37"/>
      <c r="P2071" s="37"/>
      <c r="Q2071" s="37"/>
      <c r="R2071" s="39"/>
      <c r="S2071" s="37"/>
      <c r="T2071" s="38" t="s">
        <v>293</v>
      </c>
    </row>
    <row r="2072" ht="34.5">
      <c r="A2072" s="38" t="s">
        <v>1215</v>
      </c>
      <c r="B2072" s="38" t="s">
        <v>1216</v>
      </c>
      <c r="C2072" s="38" t="s">
        <v>1755</v>
      </c>
      <c r="D2072" s="38" t="s">
        <v>288</v>
      </c>
      <c r="E2072" s="38" t="s">
        <v>768</v>
      </c>
      <c r="F2072" s="37" t="s">
        <v>769</v>
      </c>
      <c r="G2072" s="38" t="s">
        <v>70</v>
      </c>
      <c r="H2072" s="37"/>
      <c r="I2072" s="37"/>
      <c r="J2072" s="37" t="s">
        <v>1006</v>
      </c>
      <c r="K2072" s="40"/>
      <c r="L2072" s="38"/>
      <c r="M2072" s="38"/>
      <c r="N2072" s="37"/>
      <c r="O2072" s="37"/>
      <c r="P2072" s="37"/>
      <c r="Q2072" s="37"/>
      <c r="R2072" s="39"/>
      <c r="S2072" s="37"/>
      <c r="T2072" s="38" t="s">
        <v>293</v>
      </c>
    </row>
    <row r="2073" ht="34.5">
      <c r="A2073" s="38" t="s">
        <v>1215</v>
      </c>
      <c r="B2073" s="38" t="s">
        <v>1216</v>
      </c>
      <c r="C2073" s="38" t="s">
        <v>1755</v>
      </c>
      <c r="D2073" s="38" t="s">
        <v>1758</v>
      </c>
      <c r="E2073" s="38" t="s">
        <v>768</v>
      </c>
      <c r="F2073" s="37" t="s">
        <v>769</v>
      </c>
      <c r="G2073" s="38" t="s">
        <v>70</v>
      </c>
      <c r="H2073" s="37"/>
      <c r="I2073" s="37"/>
      <c r="J2073" s="37" t="s">
        <v>1759</v>
      </c>
      <c r="K2073" s="40"/>
      <c r="L2073" s="38"/>
      <c r="M2073" s="38"/>
      <c r="N2073" s="37"/>
      <c r="O2073" s="37"/>
      <c r="P2073" s="37"/>
      <c r="Q2073" s="37"/>
      <c r="R2073" s="39"/>
      <c r="S2073" s="37"/>
      <c r="T2073" s="38" t="s">
        <v>293</v>
      </c>
    </row>
    <row r="2074" ht="34.5">
      <c r="A2074" s="38" t="s">
        <v>1215</v>
      </c>
      <c r="B2074" s="38" t="s">
        <v>1216</v>
      </c>
      <c r="C2074" s="38" t="s">
        <v>1760</v>
      </c>
      <c r="D2074" s="38" t="s">
        <v>288</v>
      </c>
      <c r="E2074" s="38" t="s">
        <v>768</v>
      </c>
      <c r="F2074" s="37" t="s">
        <v>769</v>
      </c>
      <c r="G2074" s="38" t="s">
        <v>70</v>
      </c>
      <c r="H2074" s="37"/>
      <c r="I2074" s="37"/>
      <c r="J2074" s="37" t="s">
        <v>878</v>
      </c>
      <c r="K2074" s="40"/>
      <c r="L2074" s="38"/>
      <c r="M2074" s="38"/>
      <c r="N2074" s="37"/>
      <c r="O2074" s="37"/>
      <c r="P2074" s="37"/>
      <c r="Q2074" s="37"/>
      <c r="R2074" s="39"/>
      <c r="S2074" s="37"/>
      <c r="T2074" s="38" t="s">
        <v>293</v>
      </c>
    </row>
    <row r="2075" ht="34.5">
      <c r="A2075" s="38" t="s">
        <v>1215</v>
      </c>
      <c r="B2075" s="38" t="s">
        <v>1216</v>
      </c>
      <c r="C2075" s="38" t="s">
        <v>1760</v>
      </c>
      <c r="D2075" s="38" t="s">
        <v>288</v>
      </c>
      <c r="E2075" s="38" t="s">
        <v>768</v>
      </c>
      <c r="F2075" s="37" t="s">
        <v>769</v>
      </c>
      <c r="G2075" s="38" t="s">
        <v>70</v>
      </c>
      <c r="H2075" s="37"/>
      <c r="I2075" s="37"/>
      <c r="J2075" s="37" t="s">
        <v>1761</v>
      </c>
      <c r="K2075" s="40"/>
      <c r="L2075" s="38"/>
      <c r="M2075" s="38"/>
      <c r="N2075" s="37"/>
      <c r="O2075" s="37"/>
      <c r="P2075" s="37"/>
      <c r="Q2075" s="37"/>
      <c r="R2075" s="39"/>
      <c r="S2075" s="37"/>
      <c r="T2075" s="38" t="s">
        <v>293</v>
      </c>
    </row>
    <row r="2076" ht="34.5">
      <c r="A2076" s="38" t="s">
        <v>1215</v>
      </c>
      <c r="B2076" s="38" t="s">
        <v>1216</v>
      </c>
      <c r="C2076" s="38" t="s">
        <v>1760</v>
      </c>
      <c r="D2076" s="38" t="s">
        <v>288</v>
      </c>
      <c r="E2076" s="38" t="s">
        <v>768</v>
      </c>
      <c r="F2076" s="37" t="s">
        <v>769</v>
      </c>
      <c r="G2076" s="38" t="s">
        <v>70</v>
      </c>
      <c r="H2076" s="37"/>
      <c r="I2076" s="37"/>
      <c r="J2076" s="37" t="s">
        <v>880</v>
      </c>
      <c r="K2076" s="40"/>
      <c r="L2076" s="38"/>
      <c r="M2076" s="38"/>
      <c r="N2076" s="37"/>
      <c r="O2076" s="37"/>
      <c r="P2076" s="37"/>
      <c r="Q2076" s="37"/>
      <c r="R2076" s="39"/>
      <c r="S2076" s="37"/>
      <c r="T2076" s="38" t="s">
        <v>293</v>
      </c>
    </row>
    <row r="2077" ht="34.5">
      <c r="A2077" s="38" t="s">
        <v>1215</v>
      </c>
      <c r="B2077" s="38" t="s">
        <v>1216</v>
      </c>
      <c r="C2077" s="38" t="s">
        <v>1760</v>
      </c>
      <c r="D2077" s="38" t="s">
        <v>1762</v>
      </c>
      <c r="E2077" s="38" t="s">
        <v>768</v>
      </c>
      <c r="F2077" s="37" t="s">
        <v>769</v>
      </c>
      <c r="G2077" s="38" t="s">
        <v>70</v>
      </c>
      <c r="H2077" s="37"/>
      <c r="I2077" s="37"/>
      <c r="J2077" s="37" t="s">
        <v>1763</v>
      </c>
      <c r="K2077" s="40"/>
      <c r="L2077" s="38"/>
      <c r="M2077" s="38"/>
      <c r="N2077" s="37"/>
      <c r="O2077" s="37"/>
      <c r="P2077" s="37"/>
      <c r="Q2077" s="37"/>
      <c r="R2077" s="39"/>
      <c r="S2077" s="37"/>
      <c r="T2077" s="38" t="s">
        <v>293</v>
      </c>
    </row>
    <row r="2078" ht="34.5">
      <c r="A2078" s="38" t="s">
        <v>1215</v>
      </c>
      <c r="B2078" s="38" t="s">
        <v>1216</v>
      </c>
      <c r="C2078" s="38" t="s">
        <v>1764</v>
      </c>
      <c r="D2078" s="38" t="s">
        <v>1765</v>
      </c>
      <c r="E2078" s="38" t="s">
        <v>768</v>
      </c>
      <c r="F2078" s="37" t="s">
        <v>769</v>
      </c>
      <c r="G2078" s="38" t="s">
        <v>70</v>
      </c>
      <c r="H2078" s="37"/>
      <c r="I2078" s="37"/>
      <c r="J2078" s="37" t="s">
        <v>1766</v>
      </c>
      <c r="K2078" s="40"/>
      <c r="L2078" s="38"/>
      <c r="M2078" s="38"/>
      <c r="N2078" s="37"/>
      <c r="O2078" s="37"/>
      <c r="P2078" s="37"/>
      <c r="Q2078" s="37"/>
      <c r="R2078" s="39"/>
      <c r="S2078" s="37"/>
      <c r="T2078" s="38" t="s">
        <v>293</v>
      </c>
    </row>
    <row r="2079" ht="34.5">
      <c r="A2079" s="38" t="s">
        <v>1215</v>
      </c>
      <c r="B2079" s="38" t="s">
        <v>1216</v>
      </c>
      <c r="C2079" s="38" t="s">
        <v>1767</v>
      </c>
      <c r="D2079" s="38" t="s">
        <v>288</v>
      </c>
      <c r="E2079" s="38" t="s">
        <v>768</v>
      </c>
      <c r="F2079" s="37" t="s">
        <v>769</v>
      </c>
      <c r="G2079" s="38" t="s">
        <v>70</v>
      </c>
      <c r="H2079" s="37"/>
      <c r="I2079" s="37"/>
      <c r="J2079" s="37" t="s">
        <v>1190</v>
      </c>
      <c r="K2079" s="40"/>
      <c r="L2079" s="38"/>
      <c r="M2079" s="38"/>
      <c r="N2079" s="37"/>
      <c r="O2079" s="37"/>
      <c r="P2079" s="37"/>
      <c r="Q2079" s="37"/>
      <c r="R2079" s="39"/>
      <c r="S2079" s="37"/>
      <c r="T2079" s="38" t="s">
        <v>293</v>
      </c>
    </row>
    <row r="2080" ht="34.5">
      <c r="A2080" s="38" t="s">
        <v>1215</v>
      </c>
      <c r="B2080" s="38" t="s">
        <v>1216</v>
      </c>
      <c r="C2080" s="38" t="s">
        <v>1767</v>
      </c>
      <c r="D2080" s="38" t="s">
        <v>288</v>
      </c>
      <c r="E2080" s="38" t="s">
        <v>768</v>
      </c>
      <c r="F2080" s="37" t="s">
        <v>769</v>
      </c>
      <c r="G2080" s="38" t="s">
        <v>70</v>
      </c>
      <c r="H2080" s="37"/>
      <c r="I2080" s="37"/>
      <c r="J2080" s="37" t="s">
        <v>1768</v>
      </c>
      <c r="K2080" s="40"/>
      <c r="L2080" s="38"/>
      <c r="M2080" s="38"/>
      <c r="N2080" s="37"/>
      <c r="O2080" s="37"/>
      <c r="P2080" s="37"/>
      <c r="Q2080" s="37"/>
      <c r="R2080" s="39"/>
      <c r="S2080" s="37"/>
      <c r="T2080" s="38" t="s">
        <v>293</v>
      </c>
    </row>
    <row r="2081" ht="34.5">
      <c r="A2081" s="38" t="s">
        <v>1215</v>
      </c>
      <c r="B2081" s="38" t="s">
        <v>1216</v>
      </c>
      <c r="C2081" s="38" t="s">
        <v>1767</v>
      </c>
      <c r="D2081" s="38" t="s">
        <v>1769</v>
      </c>
      <c r="E2081" s="38" t="s">
        <v>768</v>
      </c>
      <c r="F2081" s="37" t="s">
        <v>769</v>
      </c>
      <c r="G2081" s="38" t="s">
        <v>70</v>
      </c>
      <c r="H2081" s="37"/>
      <c r="I2081" s="37"/>
      <c r="J2081" s="37" t="s">
        <v>1770</v>
      </c>
      <c r="K2081" s="40"/>
      <c r="L2081" s="38"/>
      <c r="M2081" s="38"/>
      <c r="N2081" s="37"/>
      <c r="O2081" s="37"/>
      <c r="P2081" s="37"/>
      <c r="Q2081" s="37"/>
      <c r="R2081" s="39"/>
      <c r="S2081" s="37"/>
      <c r="T2081" s="38" t="s">
        <v>293</v>
      </c>
    </row>
    <row r="2082" ht="34.5">
      <c r="A2082" s="38" t="s">
        <v>1215</v>
      </c>
      <c r="B2082" s="38" t="s">
        <v>1216</v>
      </c>
      <c r="C2082" s="38" t="s">
        <v>1767</v>
      </c>
      <c r="D2082" s="38" t="s">
        <v>288</v>
      </c>
      <c r="E2082" s="38" t="s">
        <v>768</v>
      </c>
      <c r="F2082" s="37" t="s">
        <v>769</v>
      </c>
      <c r="G2082" s="38" t="s">
        <v>70</v>
      </c>
      <c r="H2082" s="37"/>
      <c r="I2082" s="37"/>
      <c r="J2082" s="37" t="s">
        <v>883</v>
      </c>
      <c r="K2082" s="40"/>
      <c r="L2082" s="38"/>
      <c r="M2082" s="38"/>
      <c r="N2082" s="37"/>
      <c r="O2082" s="37"/>
      <c r="P2082" s="37"/>
      <c r="Q2082" s="37"/>
      <c r="R2082" s="39"/>
      <c r="S2082" s="37"/>
      <c r="T2082" s="38" t="s">
        <v>293</v>
      </c>
    </row>
    <row r="2083" ht="34.5">
      <c r="A2083" s="38" t="s">
        <v>1215</v>
      </c>
      <c r="B2083" s="38" t="s">
        <v>1216</v>
      </c>
      <c r="C2083" s="38" t="s">
        <v>1771</v>
      </c>
      <c r="D2083" s="38" t="s">
        <v>288</v>
      </c>
      <c r="E2083" s="38" t="s">
        <v>768</v>
      </c>
      <c r="F2083" s="37" t="s">
        <v>769</v>
      </c>
      <c r="G2083" s="38" t="s">
        <v>70</v>
      </c>
      <c r="H2083" s="37"/>
      <c r="I2083" s="37"/>
      <c r="J2083" s="37" t="s">
        <v>1193</v>
      </c>
      <c r="K2083" s="40"/>
      <c r="L2083" s="38"/>
      <c r="M2083" s="38"/>
      <c r="N2083" s="37"/>
      <c r="O2083" s="37"/>
      <c r="P2083" s="37"/>
      <c r="Q2083" s="37"/>
      <c r="R2083" s="39"/>
      <c r="S2083" s="37"/>
      <c r="T2083" s="38" t="s">
        <v>293</v>
      </c>
    </row>
    <row r="2084" ht="34.5">
      <c r="A2084" s="38" t="s">
        <v>1215</v>
      </c>
      <c r="B2084" s="38" t="s">
        <v>1216</v>
      </c>
      <c r="C2084" s="38" t="s">
        <v>1771</v>
      </c>
      <c r="D2084" s="38" t="s">
        <v>288</v>
      </c>
      <c r="E2084" s="38" t="s">
        <v>768</v>
      </c>
      <c r="F2084" s="37" t="s">
        <v>769</v>
      </c>
      <c r="G2084" s="38" t="s">
        <v>70</v>
      </c>
      <c r="H2084" s="37"/>
      <c r="I2084" s="37"/>
      <c r="J2084" s="37" t="s">
        <v>1772</v>
      </c>
      <c r="K2084" s="40"/>
      <c r="L2084" s="38"/>
      <c r="M2084" s="38"/>
      <c r="N2084" s="37"/>
      <c r="O2084" s="37"/>
      <c r="P2084" s="37"/>
      <c r="Q2084" s="37"/>
      <c r="R2084" s="39"/>
      <c r="S2084" s="37"/>
      <c r="T2084" s="38" t="s">
        <v>293</v>
      </c>
    </row>
    <row r="2085" ht="34.5">
      <c r="A2085" s="38" t="s">
        <v>1215</v>
      </c>
      <c r="B2085" s="38" t="s">
        <v>1216</v>
      </c>
      <c r="C2085" s="38" t="s">
        <v>1771</v>
      </c>
      <c r="D2085" s="38" t="s">
        <v>288</v>
      </c>
      <c r="E2085" s="38" t="s">
        <v>768</v>
      </c>
      <c r="F2085" s="37" t="s">
        <v>769</v>
      </c>
      <c r="G2085" s="38" t="s">
        <v>70</v>
      </c>
      <c r="H2085" s="37"/>
      <c r="I2085" s="37"/>
      <c r="J2085" s="37" t="s">
        <v>1195</v>
      </c>
      <c r="K2085" s="40"/>
      <c r="L2085" s="38"/>
      <c r="M2085" s="38"/>
      <c r="N2085" s="37"/>
      <c r="O2085" s="37"/>
      <c r="P2085" s="37"/>
      <c r="Q2085" s="37"/>
      <c r="R2085" s="39"/>
      <c r="S2085" s="37"/>
      <c r="T2085" s="38" t="s">
        <v>293</v>
      </c>
    </row>
    <row r="2086" ht="34.5">
      <c r="A2086" s="38" t="s">
        <v>1215</v>
      </c>
      <c r="B2086" s="38" t="s">
        <v>1216</v>
      </c>
      <c r="C2086" s="38" t="s">
        <v>1773</v>
      </c>
      <c r="D2086" s="38" t="s">
        <v>288</v>
      </c>
      <c r="E2086" s="38" t="s">
        <v>768</v>
      </c>
      <c r="F2086" s="37" t="s">
        <v>769</v>
      </c>
      <c r="G2086" s="38" t="s">
        <v>70</v>
      </c>
      <c r="H2086" s="37"/>
      <c r="I2086" s="37"/>
      <c r="J2086" s="37" t="s">
        <v>1774</v>
      </c>
      <c r="K2086" s="40"/>
      <c r="L2086" s="38"/>
      <c r="M2086" s="38"/>
      <c r="N2086" s="37"/>
      <c r="O2086" s="37"/>
      <c r="P2086" s="37"/>
      <c r="Q2086" s="37"/>
      <c r="R2086" s="39"/>
      <c r="S2086" s="37"/>
      <c r="T2086" s="38" t="s">
        <v>293</v>
      </c>
    </row>
    <row r="2087" ht="34.5">
      <c r="A2087" s="38" t="s">
        <v>1215</v>
      </c>
      <c r="B2087" s="38" t="s">
        <v>1216</v>
      </c>
      <c r="C2087" s="38" t="s">
        <v>1773</v>
      </c>
      <c r="D2087" s="38" t="s">
        <v>288</v>
      </c>
      <c r="E2087" s="38" t="s">
        <v>768</v>
      </c>
      <c r="F2087" s="37" t="s">
        <v>769</v>
      </c>
      <c r="G2087" s="38" t="s">
        <v>70</v>
      </c>
      <c r="H2087" s="37"/>
      <c r="I2087" s="37"/>
      <c r="J2087" s="37" t="s">
        <v>1775</v>
      </c>
      <c r="K2087" s="40"/>
      <c r="L2087" s="38"/>
      <c r="M2087" s="38"/>
      <c r="N2087" s="37"/>
      <c r="O2087" s="37"/>
      <c r="P2087" s="37"/>
      <c r="Q2087" s="37"/>
      <c r="R2087" s="39"/>
      <c r="S2087" s="37"/>
      <c r="T2087" s="38" t="s">
        <v>293</v>
      </c>
    </row>
    <row r="2088" ht="34.5">
      <c r="A2088" s="38" t="s">
        <v>1215</v>
      </c>
      <c r="B2088" s="38" t="s">
        <v>1216</v>
      </c>
      <c r="C2088" s="38" t="s">
        <v>1773</v>
      </c>
      <c r="D2088" s="38" t="s">
        <v>288</v>
      </c>
      <c r="E2088" s="38" t="s">
        <v>768</v>
      </c>
      <c r="F2088" s="37" t="s">
        <v>769</v>
      </c>
      <c r="G2088" s="38" t="s">
        <v>70</v>
      </c>
      <c r="H2088" s="37"/>
      <c r="I2088" s="37"/>
      <c r="J2088" s="37" t="s">
        <v>1776</v>
      </c>
      <c r="K2088" s="40"/>
      <c r="L2088" s="38"/>
      <c r="M2088" s="38"/>
      <c r="N2088" s="37"/>
      <c r="O2088" s="37"/>
      <c r="P2088" s="37"/>
      <c r="Q2088" s="37"/>
      <c r="R2088" s="39"/>
      <c r="S2088" s="37"/>
      <c r="T2088" s="38" t="s">
        <v>293</v>
      </c>
    </row>
    <row r="2089" ht="34.5">
      <c r="A2089" s="38" t="s">
        <v>1215</v>
      </c>
      <c r="B2089" s="38" t="s">
        <v>1216</v>
      </c>
      <c r="C2089" s="38" t="s">
        <v>1773</v>
      </c>
      <c r="D2089" s="38" t="s">
        <v>288</v>
      </c>
      <c r="E2089" s="38" t="s">
        <v>768</v>
      </c>
      <c r="F2089" s="37" t="s">
        <v>769</v>
      </c>
      <c r="G2089" s="38" t="s">
        <v>70</v>
      </c>
      <c r="H2089" s="37"/>
      <c r="I2089" s="37"/>
      <c r="J2089" s="37" t="s">
        <v>1777</v>
      </c>
      <c r="K2089" s="40"/>
      <c r="L2089" s="38"/>
      <c r="M2089" s="38"/>
      <c r="N2089" s="37"/>
      <c r="O2089" s="37"/>
      <c r="P2089" s="37"/>
      <c r="Q2089" s="37"/>
      <c r="R2089" s="39"/>
      <c r="S2089" s="37"/>
      <c r="T2089" s="38" t="s">
        <v>293</v>
      </c>
    </row>
    <row r="2090" ht="34.5">
      <c r="A2090" s="38" t="s">
        <v>1215</v>
      </c>
      <c r="B2090" s="38" t="s">
        <v>1216</v>
      </c>
      <c r="C2090" s="38" t="s">
        <v>1778</v>
      </c>
      <c r="D2090" s="38" t="s">
        <v>288</v>
      </c>
      <c r="E2090" s="38" t="s">
        <v>768</v>
      </c>
      <c r="F2090" s="37" t="s">
        <v>769</v>
      </c>
      <c r="G2090" s="38" t="s">
        <v>70</v>
      </c>
      <c r="H2090" s="37"/>
      <c r="I2090" s="37"/>
      <c r="J2090" s="37" t="s">
        <v>1779</v>
      </c>
      <c r="K2090" s="40"/>
      <c r="L2090" s="38"/>
      <c r="M2090" s="38"/>
      <c r="N2090" s="37"/>
      <c r="O2090" s="37"/>
      <c r="P2090" s="37"/>
      <c r="Q2090" s="37"/>
      <c r="R2090" s="39"/>
      <c r="S2090" s="37"/>
      <c r="T2090" s="38" t="s">
        <v>293</v>
      </c>
    </row>
    <row r="2091" ht="34.5">
      <c r="A2091" s="38" t="s">
        <v>1215</v>
      </c>
      <c r="B2091" s="38" t="s">
        <v>1216</v>
      </c>
      <c r="C2091" s="38" t="s">
        <v>1778</v>
      </c>
      <c r="D2091" s="38" t="s">
        <v>288</v>
      </c>
      <c r="E2091" s="38" t="s">
        <v>768</v>
      </c>
      <c r="F2091" s="37" t="s">
        <v>769</v>
      </c>
      <c r="G2091" s="38" t="s">
        <v>70</v>
      </c>
      <c r="H2091" s="37"/>
      <c r="I2091" s="37"/>
      <c r="J2091" s="37" t="s">
        <v>1780</v>
      </c>
      <c r="K2091" s="40"/>
      <c r="L2091" s="38"/>
      <c r="M2091" s="38"/>
      <c r="N2091" s="37"/>
      <c r="O2091" s="37"/>
      <c r="P2091" s="37"/>
      <c r="Q2091" s="37"/>
      <c r="R2091" s="39"/>
      <c r="S2091" s="37"/>
      <c r="T2091" s="38" t="s">
        <v>293</v>
      </c>
    </row>
    <row r="2092" ht="34.5">
      <c r="A2092" s="38" t="s">
        <v>1215</v>
      </c>
      <c r="B2092" s="38" t="s">
        <v>1216</v>
      </c>
      <c r="C2092" s="38" t="s">
        <v>1778</v>
      </c>
      <c r="D2092" s="38" t="s">
        <v>288</v>
      </c>
      <c r="E2092" s="38" t="s">
        <v>768</v>
      </c>
      <c r="F2092" s="37" t="s">
        <v>769</v>
      </c>
      <c r="G2092" s="38" t="s">
        <v>70</v>
      </c>
      <c r="H2092" s="37"/>
      <c r="I2092" s="37"/>
      <c r="J2092" s="37" t="s">
        <v>1781</v>
      </c>
      <c r="K2092" s="40"/>
      <c r="L2092" s="38"/>
      <c r="M2092" s="38"/>
      <c r="N2092" s="37"/>
      <c r="O2092" s="37"/>
      <c r="P2092" s="37"/>
      <c r="Q2092" s="37"/>
      <c r="R2092" s="39"/>
      <c r="S2092" s="37"/>
      <c r="T2092" s="38" t="s">
        <v>293</v>
      </c>
    </row>
    <row r="2093" ht="34.5">
      <c r="A2093" s="38" t="s">
        <v>1215</v>
      </c>
      <c r="B2093" s="38" t="s">
        <v>1216</v>
      </c>
      <c r="C2093" s="38" t="s">
        <v>1778</v>
      </c>
      <c r="D2093" s="38" t="s">
        <v>288</v>
      </c>
      <c r="E2093" s="38" t="s">
        <v>768</v>
      </c>
      <c r="F2093" s="37" t="s">
        <v>769</v>
      </c>
      <c r="G2093" s="38" t="s">
        <v>70</v>
      </c>
      <c r="H2093" s="37"/>
      <c r="I2093" s="37"/>
      <c r="J2093" s="37" t="s">
        <v>1782</v>
      </c>
      <c r="K2093" s="40"/>
      <c r="L2093" s="38"/>
      <c r="M2093" s="38"/>
      <c r="N2093" s="37"/>
      <c r="O2093" s="37"/>
      <c r="P2093" s="37"/>
      <c r="Q2093" s="37"/>
      <c r="R2093" s="39"/>
      <c r="S2093" s="37"/>
      <c r="T2093" s="38" t="s">
        <v>293</v>
      </c>
    </row>
    <row r="2094" ht="34.5">
      <c r="A2094" s="38" t="s">
        <v>1215</v>
      </c>
      <c r="B2094" s="38" t="s">
        <v>1216</v>
      </c>
      <c r="C2094" s="38" t="s">
        <v>1778</v>
      </c>
      <c r="D2094" s="38" t="s">
        <v>288</v>
      </c>
      <c r="E2094" s="38" t="s">
        <v>768</v>
      </c>
      <c r="F2094" s="37" t="s">
        <v>769</v>
      </c>
      <c r="G2094" s="38" t="s">
        <v>70</v>
      </c>
      <c r="H2094" s="37"/>
      <c r="I2094" s="37"/>
      <c r="J2094" s="37" t="s">
        <v>1783</v>
      </c>
      <c r="K2094" s="40"/>
      <c r="L2094" s="38"/>
      <c r="M2094" s="38"/>
      <c r="N2094" s="37"/>
      <c r="O2094" s="37"/>
      <c r="P2094" s="37"/>
      <c r="Q2094" s="37"/>
      <c r="R2094" s="39"/>
      <c r="S2094" s="37"/>
      <c r="T2094" s="38" t="s">
        <v>293</v>
      </c>
    </row>
    <row r="2095" ht="34.5">
      <c r="A2095" s="38" t="s">
        <v>1215</v>
      </c>
      <c r="B2095" s="38" t="s">
        <v>1216</v>
      </c>
      <c r="C2095" s="38" t="s">
        <v>1778</v>
      </c>
      <c r="D2095" s="38" t="s">
        <v>288</v>
      </c>
      <c r="E2095" s="38" t="s">
        <v>768</v>
      </c>
      <c r="F2095" s="37" t="s">
        <v>769</v>
      </c>
      <c r="G2095" s="38" t="s">
        <v>70</v>
      </c>
      <c r="H2095" s="37"/>
      <c r="I2095" s="37"/>
      <c r="J2095" s="37" t="s">
        <v>1784</v>
      </c>
      <c r="K2095" s="40"/>
      <c r="L2095" s="38"/>
      <c r="M2095" s="38"/>
      <c r="N2095" s="37"/>
      <c r="O2095" s="37"/>
      <c r="P2095" s="37"/>
      <c r="Q2095" s="37"/>
      <c r="R2095" s="39"/>
      <c r="S2095" s="37"/>
      <c r="T2095" s="38" t="s">
        <v>293</v>
      </c>
    </row>
    <row r="2096" ht="34.5">
      <c r="A2096" s="38" t="s">
        <v>1215</v>
      </c>
      <c r="B2096" s="38" t="s">
        <v>1216</v>
      </c>
      <c r="C2096" s="38" t="s">
        <v>1778</v>
      </c>
      <c r="D2096" s="38" t="s">
        <v>288</v>
      </c>
      <c r="E2096" s="38" t="s">
        <v>768</v>
      </c>
      <c r="F2096" s="37" t="s">
        <v>769</v>
      </c>
      <c r="G2096" s="38" t="s">
        <v>70</v>
      </c>
      <c r="H2096" s="37"/>
      <c r="I2096" s="37"/>
      <c r="J2096" s="37" t="s">
        <v>1785</v>
      </c>
      <c r="K2096" s="40"/>
      <c r="L2096" s="38"/>
      <c r="M2096" s="38"/>
      <c r="N2096" s="37"/>
      <c r="O2096" s="37"/>
      <c r="P2096" s="37"/>
      <c r="Q2096" s="37"/>
      <c r="R2096" s="39"/>
      <c r="S2096" s="37"/>
      <c r="T2096" s="38" t="s">
        <v>293</v>
      </c>
    </row>
    <row r="2097" ht="34.5">
      <c r="A2097" s="38" t="s">
        <v>1215</v>
      </c>
      <c r="B2097" s="38" t="s">
        <v>1216</v>
      </c>
      <c r="C2097" s="38" t="s">
        <v>1778</v>
      </c>
      <c r="D2097" s="38" t="s">
        <v>288</v>
      </c>
      <c r="E2097" s="38" t="s">
        <v>768</v>
      </c>
      <c r="F2097" s="37" t="s">
        <v>769</v>
      </c>
      <c r="G2097" s="38" t="s">
        <v>70</v>
      </c>
      <c r="H2097" s="37"/>
      <c r="I2097" s="37"/>
      <c r="J2097" s="37" t="s">
        <v>1786</v>
      </c>
      <c r="K2097" s="40"/>
      <c r="L2097" s="38"/>
      <c r="M2097" s="38"/>
      <c r="N2097" s="37"/>
      <c r="O2097" s="37"/>
      <c r="P2097" s="37"/>
      <c r="Q2097" s="37"/>
      <c r="R2097" s="39"/>
      <c r="S2097" s="37"/>
      <c r="T2097" s="38" t="s">
        <v>293</v>
      </c>
    </row>
    <row r="2098" ht="34.5">
      <c r="A2098" s="38" t="s">
        <v>1215</v>
      </c>
      <c r="B2098" s="38" t="s">
        <v>1216</v>
      </c>
      <c r="C2098" s="38" t="s">
        <v>1778</v>
      </c>
      <c r="D2098" s="38" t="s">
        <v>288</v>
      </c>
      <c r="E2098" s="38" t="s">
        <v>768</v>
      </c>
      <c r="F2098" s="37" t="s">
        <v>769</v>
      </c>
      <c r="G2098" s="38" t="s">
        <v>70</v>
      </c>
      <c r="H2098" s="37"/>
      <c r="I2098" s="37"/>
      <c r="J2098" s="37" t="s">
        <v>1787</v>
      </c>
      <c r="K2098" s="40"/>
      <c r="L2098" s="38"/>
      <c r="M2098" s="38"/>
      <c r="N2098" s="37"/>
      <c r="O2098" s="37"/>
      <c r="P2098" s="37"/>
      <c r="Q2098" s="37"/>
      <c r="R2098" s="39"/>
      <c r="S2098" s="37"/>
      <c r="T2098" s="38" t="s">
        <v>293</v>
      </c>
    </row>
    <row r="2099" ht="34.5">
      <c r="A2099" s="38" t="s">
        <v>1215</v>
      </c>
      <c r="B2099" s="38" t="s">
        <v>1216</v>
      </c>
      <c r="C2099" s="38" t="s">
        <v>1778</v>
      </c>
      <c r="D2099" s="38" t="s">
        <v>288</v>
      </c>
      <c r="E2099" s="38" t="s">
        <v>768</v>
      </c>
      <c r="F2099" s="37" t="s">
        <v>769</v>
      </c>
      <c r="G2099" s="38" t="s">
        <v>70</v>
      </c>
      <c r="H2099" s="37"/>
      <c r="I2099" s="37"/>
      <c r="J2099" s="37" t="s">
        <v>1788</v>
      </c>
      <c r="K2099" s="40"/>
      <c r="L2099" s="38"/>
      <c r="M2099" s="38"/>
      <c r="N2099" s="37"/>
      <c r="O2099" s="37"/>
      <c r="P2099" s="37"/>
      <c r="Q2099" s="37"/>
      <c r="R2099" s="39"/>
      <c r="S2099" s="37"/>
      <c r="T2099" s="38" t="s">
        <v>293</v>
      </c>
    </row>
    <row r="2100" ht="34.5">
      <c r="A2100" s="38" t="s">
        <v>1215</v>
      </c>
      <c r="B2100" s="38" t="s">
        <v>1216</v>
      </c>
      <c r="C2100" s="38" t="s">
        <v>1778</v>
      </c>
      <c r="D2100" s="38" t="s">
        <v>288</v>
      </c>
      <c r="E2100" s="38" t="s">
        <v>768</v>
      </c>
      <c r="F2100" s="37" t="s">
        <v>769</v>
      </c>
      <c r="G2100" s="38" t="s">
        <v>70</v>
      </c>
      <c r="H2100" s="37"/>
      <c r="I2100" s="37"/>
      <c r="J2100" s="37" t="s">
        <v>1789</v>
      </c>
      <c r="K2100" s="40"/>
      <c r="L2100" s="38"/>
      <c r="M2100" s="38"/>
      <c r="N2100" s="37"/>
      <c r="O2100" s="37"/>
      <c r="P2100" s="37"/>
      <c r="Q2100" s="37"/>
      <c r="R2100" s="39"/>
      <c r="S2100" s="37"/>
      <c r="T2100" s="38" t="s">
        <v>293</v>
      </c>
    </row>
    <row r="2101" ht="34.5">
      <c r="A2101" s="38" t="s">
        <v>1215</v>
      </c>
      <c r="B2101" s="38" t="s">
        <v>1216</v>
      </c>
      <c r="C2101" s="38" t="s">
        <v>1778</v>
      </c>
      <c r="D2101" s="38" t="s">
        <v>288</v>
      </c>
      <c r="E2101" s="38" t="s">
        <v>768</v>
      </c>
      <c r="F2101" s="37" t="s">
        <v>769</v>
      </c>
      <c r="G2101" s="38" t="s">
        <v>70</v>
      </c>
      <c r="H2101" s="37"/>
      <c r="I2101" s="37"/>
      <c r="J2101" s="37" t="s">
        <v>1790</v>
      </c>
      <c r="K2101" s="40"/>
      <c r="L2101" s="38"/>
      <c r="M2101" s="38"/>
      <c r="N2101" s="37"/>
      <c r="O2101" s="37"/>
      <c r="P2101" s="37"/>
      <c r="Q2101" s="37"/>
      <c r="R2101" s="39"/>
      <c r="S2101" s="37"/>
      <c r="T2101" s="38" t="s">
        <v>293</v>
      </c>
    </row>
    <row r="2102" ht="34.5">
      <c r="A2102" s="38" t="s">
        <v>1215</v>
      </c>
      <c r="B2102" s="38" t="s">
        <v>1216</v>
      </c>
      <c r="C2102" s="38" t="s">
        <v>1791</v>
      </c>
      <c r="D2102" s="38" t="s">
        <v>288</v>
      </c>
      <c r="E2102" s="38" t="s">
        <v>768</v>
      </c>
      <c r="F2102" s="37" t="s">
        <v>769</v>
      </c>
      <c r="G2102" s="38" t="s">
        <v>70</v>
      </c>
      <c r="H2102" s="37"/>
      <c r="I2102" s="37"/>
      <c r="J2102" s="37" t="s">
        <v>1792</v>
      </c>
      <c r="K2102" s="40"/>
      <c r="L2102" s="38"/>
      <c r="M2102" s="38"/>
      <c r="N2102" s="37"/>
      <c r="O2102" s="37"/>
      <c r="P2102" s="37"/>
      <c r="Q2102" s="37"/>
      <c r="R2102" s="39"/>
      <c r="S2102" s="37"/>
      <c r="T2102" s="38" t="s">
        <v>293</v>
      </c>
    </row>
    <row r="2103" ht="34.5">
      <c r="A2103" s="38" t="s">
        <v>1215</v>
      </c>
      <c r="B2103" s="38" t="s">
        <v>1216</v>
      </c>
      <c r="C2103" s="38" t="s">
        <v>1791</v>
      </c>
      <c r="D2103" s="38" t="s">
        <v>288</v>
      </c>
      <c r="E2103" s="38" t="s">
        <v>768</v>
      </c>
      <c r="F2103" s="37" t="s">
        <v>769</v>
      </c>
      <c r="G2103" s="38" t="s">
        <v>70</v>
      </c>
      <c r="H2103" s="37"/>
      <c r="I2103" s="37"/>
      <c r="J2103" s="37" t="s">
        <v>1793</v>
      </c>
      <c r="K2103" s="40"/>
      <c r="L2103" s="38"/>
      <c r="M2103" s="38"/>
      <c r="N2103" s="37"/>
      <c r="O2103" s="37"/>
      <c r="P2103" s="37"/>
      <c r="Q2103" s="37"/>
      <c r="R2103" s="39"/>
      <c r="S2103" s="37"/>
      <c r="T2103" s="38" t="s">
        <v>293</v>
      </c>
    </row>
    <row r="2104" ht="34.5">
      <c r="A2104" s="38" t="s">
        <v>1215</v>
      </c>
      <c r="B2104" s="38" t="s">
        <v>1216</v>
      </c>
      <c r="C2104" s="38" t="s">
        <v>1791</v>
      </c>
      <c r="D2104" s="38" t="s">
        <v>288</v>
      </c>
      <c r="E2104" s="38" t="s">
        <v>768</v>
      </c>
      <c r="F2104" s="37" t="s">
        <v>769</v>
      </c>
      <c r="G2104" s="38" t="s">
        <v>70</v>
      </c>
      <c r="H2104" s="37"/>
      <c r="I2104" s="37"/>
      <c r="J2104" s="37" t="s">
        <v>1794</v>
      </c>
      <c r="K2104" s="40"/>
      <c r="L2104" s="38"/>
      <c r="M2104" s="38"/>
      <c r="N2104" s="37"/>
      <c r="O2104" s="37"/>
      <c r="P2104" s="37"/>
      <c r="Q2104" s="37"/>
      <c r="R2104" s="39"/>
      <c r="S2104" s="37"/>
      <c r="T2104" s="38" t="s">
        <v>293</v>
      </c>
    </row>
    <row r="2105" ht="34.5">
      <c r="A2105" s="38" t="s">
        <v>1215</v>
      </c>
      <c r="B2105" s="38" t="s">
        <v>1216</v>
      </c>
      <c r="C2105" s="38" t="s">
        <v>1791</v>
      </c>
      <c r="D2105" s="38" t="s">
        <v>288</v>
      </c>
      <c r="E2105" s="38" t="s">
        <v>768</v>
      </c>
      <c r="F2105" s="37" t="s">
        <v>769</v>
      </c>
      <c r="G2105" s="38" t="s">
        <v>70</v>
      </c>
      <c r="H2105" s="37"/>
      <c r="I2105" s="37"/>
      <c r="J2105" s="37" t="s">
        <v>1795</v>
      </c>
      <c r="K2105" s="40"/>
      <c r="L2105" s="38"/>
      <c r="M2105" s="38"/>
      <c r="N2105" s="37"/>
      <c r="O2105" s="37"/>
      <c r="P2105" s="37"/>
      <c r="Q2105" s="37"/>
      <c r="R2105" s="39"/>
      <c r="S2105" s="37"/>
      <c r="T2105" s="38" t="s">
        <v>293</v>
      </c>
    </row>
    <row r="2106" ht="34.5">
      <c r="A2106" s="38" t="s">
        <v>1215</v>
      </c>
      <c r="B2106" s="38" t="s">
        <v>1216</v>
      </c>
      <c r="C2106" s="38" t="s">
        <v>1791</v>
      </c>
      <c r="D2106" s="38" t="s">
        <v>288</v>
      </c>
      <c r="E2106" s="38" t="s">
        <v>768</v>
      </c>
      <c r="F2106" s="37" t="s">
        <v>769</v>
      </c>
      <c r="G2106" s="38" t="s">
        <v>70</v>
      </c>
      <c r="H2106" s="37"/>
      <c r="I2106" s="37"/>
      <c r="J2106" s="37" t="s">
        <v>1796</v>
      </c>
      <c r="K2106" s="40"/>
      <c r="L2106" s="38"/>
      <c r="M2106" s="38"/>
      <c r="N2106" s="37"/>
      <c r="O2106" s="37"/>
      <c r="P2106" s="37"/>
      <c r="Q2106" s="37"/>
      <c r="R2106" s="39"/>
      <c r="S2106" s="37"/>
      <c r="T2106" s="38" t="s">
        <v>293</v>
      </c>
    </row>
    <row r="2107" ht="34.5">
      <c r="A2107" s="38" t="s">
        <v>1215</v>
      </c>
      <c r="B2107" s="38" t="s">
        <v>1216</v>
      </c>
      <c r="C2107" s="38" t="s">
        <v>1791</v>
      </c>
      <c r="D2107" s="38" t="s">
        <v>288</v>
      </c>
      <c r="E2107" s="38" t="s">
        <v>768</v>
      </c>
      <c r="F2107" s="37" t="s">
        <v>769</v>
      </c>
      <c r="G2107" s="38" t="s">
        <v>70</v>
      </c>
      <c r="H2107" s="37"/>
      <c r="I2107" s="37"/>
      <c r="J2107" s="37" t="s">
        <v>1213</v>
      </c>
      <c r="K2107" s="40"/>
      <c r="L2107" s="38"/>
      <c r="M2107" s="38"/>
      <c r="N2107" s="37"/>
      <c r="O2107" s="37"/>
      <c r="P2107" s="37"/>
      <c r="Q2107" s="37"/>
      <c r="R2107" s="39"/>
      <c r="S2107" s="37"/>
      <c r="T2107" s="38" t="s">
        <v>293</v>
      </c>
    </row>
    <row r="2108" ht="34.5">
      <c r="A2108" s="38" t="s">
        <v>1215</v>
      </c>
      <c r="B2108" s="38" t="s">
        <v>1216</v>
      </c>
      <c r="C2108" s="38" t="s">
        <v>1791</v>
      </c>
      <c r="D2108" s="38" t="s">
        <v>288</v>
      </c>
      <c r="E2108" s="38" t="s">
        <v>768</v>
      </c>
      <c r="F2108" s="37" t="s">
        <v>769</v>
      </c>
      <c r="G2108" s="38" t="s">
        <v>70</v>
      </c>
      <c r="H2108" s="37"/>
      <c r="I2108" s="37"/>
      <c r="J2108" s="37" t="s">
        <v>1214</v>
      </c>
      <c r="K2108" s="40"/>
      <c r="L2108" s="38"/>
      <c r="M2108" s="38"/>
      <c r="N2108" s="37"/>
      <c r="O2108" s="37"/>
      <c r="P2108" s="37"/>
      <c r="Q2108" s="37"/>
      <c r="R2108" s="39"/>
      <c r="S2108" s="37"/>
      <c r="T2108" s="38" t="s">
        <v>293</v>
      </c>
    </row>
    <row r="2109" ht="34.5">
      <c r="A2109" s="38" t="s">
        <v>1797</v>
      </c>
      <c r="B2109" s="38" t="s">
        <v>1798</v>
      </c>
      <c r="C2109" s="38" t="s">
        <v>1495</v>
      </c>
      <c r="D2109" s="38" t="s">
        <v>288</v>
      </c>
      <c r="E2109" s="38" t="s">
        <v>1799</v>
      </c>
      <c r="F2109" s="37" t="s">
        <v>1800</v>
      </c>
      <c r="G2109" s="38" t="s">
        <v>536</v>
      </c>
      <c r="H2109" s="37"/>
      <c r="I2109" s="37"/>
      <c r="J2109" s="37" t="s">
        <v>1330</v>
      </c>
      <c r="K2109" s="40"/>
      <c r="L2109" s="38"/>
      <c r="M2109" s="38"/>
      <c r="N2109" s="37"/>
      <c r="O2109" s="37"/>
      <c r="P2109" s="37"/>
      <c r="Q2109" s="37"/>
      <c r="R2109" s="39"/>
      <c r="S2109" s="37"/>
      <c r="T2109" s="38" t="s">
        <v>293</v>
      </c>
    </row>
    <row r="2110" ht="34.5">
      <c r="A2110" s="38" t="s">
        <v>1797</v>
      </c>
      <c r="B2110" s="38" t="s">
        <v>1798</v>
      </c>
      <c r="C2110" s="38" t="s">
        <v>1495</v>
      </c>
      <c r="D2110" s="38" t="s">
        <v>288</v>
      </c>
      <c r="E2110" s="38" t="s">
        <v>1799</v>
      </c>
      <c r="F2110" s="37" t="s">
        <v>1800</v>
      </c>
      <c r="G2110" s="38" t="s">
        <v>536</v>
      </c>
      <c r="H2110" s="37"/>
      <c r="I2110" s="37"/>
      <c r="J2110" s="37" t="s">
        <v>1801</v>
      </c>
      <c r="K2110" s="40"/>
      <c r="L2110" s="38"/>
      <c r="M2110" s="38"/>
      <c r="N2110" s="37"/>
      <c r="O2110" s="37"/>
      <c r="P2110" s="37"/>
      <c r="Q2110" s="37"/>
      <c r="R2110" s="39"/>
      <c r="S2110" s="37"/>
      <c r="T2110" s="38" t="s">
        <v>293</v>
      </c>
    </row>
    <row r="2111" ht="34.5">
      <c r="A2111" s="38" t="s">
        <v>1797</v>
      </c>
      <c r="B2111" s="38" t="s">
        <v>1798</v>
      </c>
      <c r="C2111" s="38" t="s">
        <v>1495</v>
      </c>
      <c r="D2111" s="38" t="s">
        <v>288</v>
      </c>
      <c r="E2111" s="38" t="s">
        <v>1799</v>
      </c>
      <c r="F2111" s="37" t="s">
        <v>1800</v>
      </c>
      <c r="G2111" s="38" t="s">
        <v>536</v>
      </c>
      <c r="H2111" s="37"/>
      <c r="I2111" s="37"/>
      <c r="J2111" s="37" t="s">
        <v>1802</v>
      </c>
      <c r="K2111" s="40"/>
      <c r="L2111" s="38"/>
      <c r="M2111" s="38"/>
      <c r="N2111" s="37"/>
      <c r="O2111" s="37"/>
      <c r="P2111" s="37"/>
      <c r="Q2111" s="37"/>
      <c r="R2111" s="39"/>
      <c r="S2111" s="37"/>
      <c r="T2111" s="38" t="s">
        <v>293</v>
      </c>
    </row>
    <row r="2112" ht="34.5">
      <c r="A2112" s="38" t="s">
        <v>1797</v>
      </c>
      <c r="B2112" s="38" t="s">
        <v>1798</v>
      </c>
      <c r="C2112" s="38" t="s">
        <v>1495</v>
      </c>
      <c r="D2112" s="38" t="s">
        <v>288</v>
      </c>
      <c r="E2112" s="38" t="s">
        <v>1799</v>
      </c>
      <c r="F2112" s="37" t="s">
        <v>1800</v>
      </c>
      <c r="G2112" s="38" t="s">
        <v>536</v>
      </c>
      <c r="H2112" s="37"/>
      <c r="I2112" s="37"/>
      <c r="J2112" s="37" t="s">
        <v>1331</v>
      </c>
      <c r="K2112" s="40"/>
      <c r="L2112" s="38"/>
      <c r="M2112" s="38"/>
      <c r="N2112" s="37"/>
      <c r="O2112" s="37"/>
      <c r="P2112" s="37"/>
      <c r="Q2112" s="37"/>
      <c r="R2112" s="39"/>
      <c r="S2112" s="37"/>
      <c r="T2112" s="38" t="s">
        <v>293</v>
      </c>
    </row>
    <row r="2113" ht="34.5">
      <c r="A2113" s="38" t="s">
        <v>1797</v>
      </c>
      <c r="B2113" s="38" t="s">
        <v>1798</v>
      </c>
      <c r="C2113" s="38" t="s">
        <v>1495</v>
      </c>
      <c r="D2113" s="38" t="s">
        <v>288</v>
      </c>
      <c r="E2113" s="38" t="s">
        <v>1799</v>
      </c>
      <c r="F2113" s="37" t="s">
        <v>1800</v>
      </c>
      <c r="G2113" s="38" t="s">
        <v>536</v>
      </c>
      <c r="H2113" s="37"/>
      <c r="I2113" s="37"/>
      <c r="J2113" s="37" t="s">
        <v>1333</v>
      </c>
      <c r="K2113" s="40"/>
      <c r="L2113" s="38"/>
      <c r="M2113" s="38"/>
      <c r="N2113" s="37"/>
      <c r="O2113" s="37"/>
      <c r="P2113" s="37"/>
      <c r="Q2113" s="37"/>
      <c r="R2113" s="39"/>
      <c r="S2113" s="37"/>
      <c r="T2113" s="38" t="s">
        <v>293</v>
      </c>
    </row>
    <row r="2114" ht="34.5">
      <c r="A2114" s="38" t="s">
        <v>1797</v>
      </c>
      <c r="B2114" s="38" t="s">
        <v>1798</v>
      </c>
      <c r="C2114" s="38" t="s">
        <v>1495</v>
      </c>
      <c r="D2114" s="38" t="s">
        <v>288</v>
      </c>
      <c r="E2114" s="38" t="s">
        <v>1799</v>
      </c>
      <c r="F2114" s="37" t="s">
        <v>1800</v>
      </c>
      <c r="G2114" s="38" t="s">
        <v>536</v>
      </c>
      <c r="H2114" s="37"/>
      <c r="I2114" s="37"/>
      <c r="J2114" s="37" t="s">
        <v>1803</v>
      </c>
      <c r="K2114" s="40"/>
      <c r="L2114" s="38"/>
      <c r="M2114" s="38"/>
      <c r="N2114" s="37"/>
      <c r="O2114" s="37"/>
      <c r="P2114" s="37"/>
      <c r="Q2114" s="37"/>
      <c r="R2114" s="39"/>
      <c r="S2114" s="37"/>
      <c r="T2114" s="38" t="s">
        <v>293</v>
      </c>
    </row>
    <row r="2115" ht="34.5">
      <c r="A2115" s="38" t="s">
        <v>1797</v>
      </c>
      <c r="B2115" s="38" t="s">
        <v>1798</v>
      </c>
      <c r="C2115" s="38" t="s">
        <v>1495</v>
      </c>
      <c r="D2115" s="38" t="s">
        <v>288</v>
      </c>
      <c r="E2115" s="38" t="s">
        <v>1799</v>
      </c>
      <c r="F2115" s="37" t="s">
        <v>1800</v>
      </c>
      <c r="G2115" s="38" t="s">
        <v>536</v>
      </c>
      <c r="H2115" s="37"/>
      <c r="I2115" s="37"/>
      <c r="J2115" s="37" t="s">
        <v>1335</v>
      </c>
      <c r="K2115" s="40"/>
      <c r="L2115" s="38"/>
      <c r="M2115" s="38"/>
      <c r="N2115" s="37"/>
      <c r="O2115" s="37"/>
      <c r="P2115" s="37"/>
      <c r="Q2115" s="37"/>
      <c r="R2115" s="39"/>
      <c r="S2115" s="37"/>
      <c r="T2115" s="38" t="s">
        <v>293</v>
      </c>
    </row>
    <row r="2116" ht="34.5">
      <c r="A2116" s="38" t="s">
        <v>1797</v>
      </c>
      <c r="B2116" s="38" t="s">
        <v>1798</v>
      </c>
      <c r="C2116" s="38" t="s">
        <v>1495</v>
      </c>
      <c r="D2116" s="38" t="s">
        <v>288</v>
      </c>
      <c r="E2116" s="38" t="s">
        <v>1799</v>
      </c>
      <c r="F2116" s="37" t="s">
        <v>1800</v>
      </c>
      <c r="G2116" s="38" t="s">
        <v>536</v>
      </c>
      <c r="H2116" s="37"/>
      <c r="I2116" s="37"/>
      <c r="J2116" s="37" t="s">
        <v>1336</v>
      </c>
      <c r="K2116" s="40"/>
      <c r="L2116" s="38"/>
      <c r="M2116" s="38"/>
      <c r="N2116" s="37"/>
      <c r="O2116" s="37"/>
      <c r="P2116" s="37"/>
      <c r="Q2116" s="37"/>
      <c r="R2116" s="39"/>
      <c r="S2116" s="37"/>
      <c r="T2116" s="38" t="s">
        <v>293</v>
      </c>
    </row>
    <row r="2117" ht="34.5">
      <c r="A2117" s="38" t="s">
        <v>1797</v>
      </c>
      <c r="B2117" s="38" t="s">
        <v>1798</v>
      </c>
      <c r="C2117" s="38" t="s">
        <v>1505</v>
      </c>
      <c r="D2117" s="38" t="s">
        <v>288</v>
      </c>
      <c r="E2117" s="38" t="s">
        <v>1799</v>
      </c>
      <c r="F2117" s="37" t="s">
        <v>1800</v>
      </c>
      <c r="G2117" s="38" t="s">
        <v>536</v>
      </c>
      <c r="H2117" s="37"/>
      <c r="I2117" s="37"/>
      <c r="J2117" s="37" t="s">
        <v>1337</v>
      </c>
      <c r="K2117" s="40"/>
      <c r="L2117" s="38"/>
      <c r="M2117" s="38"/>
      <c r="N2117" s="37"/>
      <c r="O2117" s="37"/>
      <c r="P2117" s="37"/>
      <c r="Q2117" s="37"/>
      <c r="R2117" s="39"/>
      <c r="S2117" s="37"/>
      <c r="T2117" s="38" t="s">
        <v>293</v>
      </c>
    </row>
    <row r="2118" ht="34.5">
      <c r="A2118" s="38" t="s">
        <v>1797</v>
      </c>
      <c r="B2118" s="38" t="s">
        <v>1798</v>
      </c>
      <c r="C2118" s="38" t="s">
        <v>1505</v>
      </c>
      <c r="D2118" s="38" t="s">
        <v>288</v>
      </c>
      <c r="E2118" s="38" t="s">
        <v>1799</v>
      </c>
      <c r="F2118" s="37" t="s">
        <v>1800</v>
      </c>
      <c r="G2118" s="38" t="s">
        <v>536</v>
      </c>
      <c r="H2118" s="37"/>
      <c r="I2118" s="37"/>
      <c r="J2118" s="37" t="s">
        <v>1804</v>
      </c>
      <c r="K2118" s="40"/>
      <c r="L2118" s="38"/>
      <c r="M2118" s="38"/>
      <c r="N2118" s="37"/>
      <c r="O2118" s="37"/>
      <c r="P2118" s="37"/>
      <c r="Q2118" s="37"/>
      <c r="R2118" s="39"/>
      <c r="S2118" s="37"/>
      <c r="T2118" s="38" t="s">
        <v>293</v>
      </c>
    </row>
    <row r="2119" ht="34.5">
      <c r="A2119" s="38" t="s">
        <v>1797</v>
      </c>
      <c r="B2119" s="38" t="s">
        <v>1798</v>
      </c>
      <c r="C2119" s="38" t="s">
        <v>1505</v>
      </c>
      <c r="D2119" s="38" t="s">
        <v>288</v>
      </c>
      <c r="E2119" s="38" t="s">
        <v>1799</v>
      </c>
      <c r="F2119" s="37" t="s">
        <v>1800</v>
      </c>
      <c r="G2119" s="38" t="s">
        <v>536</v>
      </c>
      <c r="H2119" s="37"/>
      <c r="I2119" s="37"/>
      <c r="J2119" s="37" t="s">
        <v>1805</v>
      </c>
      <c r="K2119" s="40"/>
      <c r="L2119" s="38"/>
      <c r="M2119" s="38"/>
      <c r="N2119" s="37"/>
      <c r="O2119" s="37"/>
      <c r="P2119" s="37"/>
      <c r="Q2119" s="37"/>
      <c r="R2119" s="39"/>
      <c r="S2119" s="37"/>
      <c r="T2119" s="38" t="s">
        <v>293</v>
      </c>
    </row>
    <row r="2120" ht="34.5">
      <c r="A2120" s="38" t="s">
        <v>1797</v>
      </c>
      <c r="B2120" s="38" t="s">
        <v>1798</v>
      </c>
      <c r="C2120" s="38" t="s">
        <v>1505</v>
      </c>
      <c r="D2120" s="38" t="s">
        <v>288</v>
      </c>
      <c r="E2120" s="38" t="s">
        <v>1799</v>
      </c>
      <c r="F2120" s="37" t="s">
        <v>1800</v>
      </c>
      <c r="G2120" s="38" t="s">
        <v>536</v>
      </c>
      <c r="H2120" s="37"/>
      <c r="I2120" s="37"/>
      <c r="J2120" s="37" t="s">
        <v>1806</v>
      </c>
      <c r="K2120" s="40"/>
      <c r="L2120" s="38"/>
      <c r="M2120" s="38"/>
      <c r="N2120" s="37"/>
      <c r="O2120" s="37"/>
      <c r="P2120" s="37"/>
      <c r="Q2120" s="37"/>
      <c r="R2120" s="39"/>
      <c r="S2120" s="37"/>
      <c r="T2120" s="38" t="s">
        <v>293</v>
      </c>
    </row>
    <row r="2121" ht="34.5">
      <c r="A2121" s="38" t="s">
        <v>1797</v>
      </c>
      <c r="B2121" s="38" t="s">
        <v>1798</v>
      </c>
      <c r="C2121" s="38" t="s">
        <v>1505</v>
      </c>
      <c r="D2121" s="38" t="s">
        <v>288</v>
      </c>
      <c r="E2121" s="38" t="s">
        <v>1799</v>
      </c>
      <c r="F2121" s="37" t="s">
        <v>1800</v>
      </c>
      <c r="G2121" s="38" t="s">
        <v>536</v>
      </c>
      <c r="H2121" s="37"/>
      <c r="I2121" s="37"/>
      <c r="J2121" s="37" t="s">
        <v>1807</v>
      </c>
      <c r="K2121" s="40"/>
      <c r="L2121" s="38"/>
      <c r="M2121" s="38"/>
      <c r="N2121" s="37"/>
      <c r="O2121" s="37"/>
      <c r="P2121" s="37"/>
      <c r="Q2121" s="37"/>
      <c r="R2121" s="39"/>
      <c r="S2121" s="37"/>
      <c r="T2121" s="38" t="s">
        <v>293</v>
      </c>
    </row>
    <row r="2122" ht="34.5">
      <c r="A2122" s="38" t="s">
        <v>1797</v>
      </c>
      <c r="B2122" s="38" t="s">
        <v>1798</v>
      </c>
      <c r="C2122" s="38" t="s">
        <v>1505</v>
      </c>
      <c r="D2122" s="38" t="s">
        <v>288</v>
      </c>
      <c r="E2122" s="38" t="s">
        <v>1799</v>
      </c>
      <c r="F2122" s="37" t="s">
        <v>1800</v>
      </c>
      <c r="G2122" s="38" t="s">
        <v>536</v>
      </c>
      <c r="H2122" s="37"/>
      <c r="I2122" s="37"/>
      <c r="J2122" s="37" t="s">
        <v>1808</v>
      </c>
      <c r="K2122" s="40"/>
      <c r="L2122" s="38"/>
      <c r="M2122" s="38"/>
      <c r="N2122" s="37"/>
      <c r="O2122" s="37"/>
      <c r="P2122" s="37"/>
      <c r="Q2122" s="37"/>
      <c r="R2122" s="39"/>
      <c r="S2122" s="37"/>
      <c r="T2122" s="38" t="s">
        <v>293</v>
      </c>
    </row>
    <row r="2123" ht="34.5">
      <c r="A2123" s="38" t="s">
        <v>1797</v>
      </c>
      <c r="B2123" s="38" t="s">
        <v>1798</v>
      </c>
      <c r="C2123" s="38" t="s">
        <v>1505</v>
      </c>
      <c r="D2123" s="38" t="s">
        <v>288</v>
      </c>
      <c r="E2123" s="38" t="s">
        <v>1799</v>
      </c>
      <c r="F2123" s="37" t="s">
        <v>1800</v>
      </c>
      <c r="G2123" s="38" t="s">
        <v>536</v>
      </c>
      <c r="H2123" s="37"/>
      <c r="I2123" s="37"/>
      <c r="J2123" s="37" t="s">
        <v>1346</v>
      </c>
      <c r="K2123" s="40"/>
      <c r="L2123" s="38"/>
      <c r="M2123" s="38"/>
      <c r="N2123" s="37"/>
      <c r="O2123" s="37"/>
      <c r="P2123" s="37"/>
      <c r="Q2123" s="37"/>
      <c r="R2123" s="39"/>
      <c r="S2123" s="37"/>
      <c r="T2123" s="38" t="s">
        <v>293</v>
      </c>
    </row>
    <row r="2124" ht="34.5">
      <c r="A2124" s="38" t="s">
        <v>1797</v>
      </c>
      <c r="B2124" s="38" t="s">
        <v>1798</v>
      </c>
      <c r="C2124" s="38" t="s">
        <v>1505</v>
      </c>
      <c r="D2124" s="38" t="s">
        <v>288</v>
      </c>
      <c r="E2124" s="38" t="s">
        <v>1799</v>
      </c>
      <c r="F2124" s="37" t="s">
        <v>1800</v>
      </c>
      <c r="G2124" s="38" t="s">
        <v>536</v>
      </c>
      <c r="H2124" s="37"/>
      <c r="I2124" s="37"/>
      <c r="J2124" s="37" t="s">
        <v>1347</v>
      </c>
      <c r="K2124" s="40"/>
      <c r="L2124" s="38"/>
      <c r="M2124" s="38"/>
      <c r="N2124" s="37"/>
      <c r="O2124" s="37"/>
      <c r="P2124" s="37"/>
      <c r="Q2124" s="37"/>
      <c r="R2124" s="39"/>
      <c r="S2124" s="37"/>
      <c r="T2124" s="38" t="s">
        <v>293</v>
      </c>
    </row>
    <row r="2125" ht="34.5">
      <c r="A2125" s="38" t="s">
        <v>1797</v>
      </c>
      <c r="B2125" s="38" t="s">
        <v>1798</v>
      </c>
      <c r="C2125" s="38" t="s">
        <v>1505</v>
      </c>
      <c r="D2125" s="38" t="s">
        <v>288</v>
      </c>
      <c r="E2125" s="38" t="s">
        <v>1799</v>
      </c>
      <c r="F2125" s="37" t="s">
        <v>1800</v>
      </c>
      <c r="G2125" s="38" t="s">
        <v>536</v>
      </c>
      <c r="H2125" s="37"/>
      <c r="I2125" s="37"/>
      <c r="J2125" s="37" t="s">
        <v>1348</v>
      </c>
      <c r="K2125" s="40"/>
      <c r="L2125" s="38"/>
      <c r="M2125" s="38"/>
      <c r="N2125" s="37"/>
      <c r="O2125" s="37"/>
      <c r="P2125" s="37"/>
      <c r="Q2125" s="37"/>
      <c r="R2125" s="39"/>
      <c r="S2125" s="37"/>
      <c r="T2125" s="38" t="s">
        <v>293</v>
      </c>
    </row>
    <row r="2126" ht="34.5">
      <c r="A2126" s="38" t="s">
        <v>1797</v>
      </c>
      <c r="B2126" s="38" t="s">
        <v>1798</v>
      </c>
      <c r="C2126" s="38" t="s">
        <v>1519</v>
      </c>
      <c r="D2126" s="38" t="s">
        <v>288</v>
      </c>
      <c r="E2126" s="38" t="s">
        <v>1799</v>
      </c>
      <c r="F2126" s="37" t="s">
        <v>1800</v>
      </c>
      <c r="G2126" s="38" t="s">
        <v>536</v>
      </c>
      <c r="H2126" s="37"/>
      <c r="I2126" s="37"/>
      <c r="J2126" s="37" t="s">
        <v>1809</v>
      </c>
      <c r="K2126" s="40"/>
      <c r="L2126" s="38"/>
      <c r="M2126" s="38"/>
      <c r="N2126" s="37"/>
      <c r="O2126" s="37"/>
      <c r="P2126" s="37"/>
      <c r="Q2126" s="37"/>
      <c r="R2126" s="39"/>
      <c r="S2126" s="37"/>
      <c r="T2126" s="38" t="s">
        <v>293</v>
      </c>
    </row>
    <row r="2127" ht="34.5">
      <c r="A2127" s="38" t="s">
        <v>1797</v>
      </c>
      <c r="B2127" s="38" t="s">
        <v>1798</v>
      </c>
      <c r="C2127" s="38" t="s">
        <v>1519</v>
      </c>
      <c r="D2127" s="38" t="s">
        <v>288</v>
      </c>
      <c r="E2127" s="38" t="s">
        <v>1799</v>
      </c>
      <c r="F2127" s="37" t="s">
        <v>1800</v>
      </c>
      <c r="G2127" s="38" t="s">
        <v>536</v>
      </c>
      <c r="H2127" s="37"/>
      <c r="I2127" s="37"/>
      <c r="J2127" s="37" t="s">
        <v>1810</v>
      </c>
      <c r="K2127" s="40"/>
      <c r="L2127" s="38"/>
      <c r="M2127" s="38"/>
      <c r="N2127" s="37"/>
      <c r="O2127" s="37"/>
      <c r="P2127" s="37"/>
      <c r="Q2127" s="37"/>
      <c r="R2127" s="39"/>
      <c r="S2127" s="37"/>
      <c r="T2127" s="38" t="s">
        <v>293</v>
      </c>
    </row>
    <row r="2128" ht="34.5">
      <c r="A2128" s="38" t="s">
        <v>1797</v>
      </c>
      <c r="B2128" s="38" t="s">
        <v>1798</v>
      </c>
      <c r="C2128" s="38" t="s">
        <v>1519</v>
      </c>
      <c r="D2128" s="38" t="s">
        <v>288</v>
      </c>
      <c r="E2128" s="38" t="s">
        <v>1799</v>
      </c>
      <c r="F2128" s="37" t="s">
        <v>1800</v>
      </c>
      <c r="G2128" s="38" t="s">
        <v>536</v>
      </c>
      <c r="H2128" s="37"/>
      <c r="I2128" s="37"/>
      <c r="J2128" s="37" t="s">
        <v>1811</v>
      </c>
      <c r="K2128" s="40"/>
      <c r="L2128" s="38"/>
      <c r="M2128" s="38"/>
      <c r="N2128" s="37"/>
      <c r="O2128" s="37"/>
      <c r="P2128" s="37"/>
      <c r="Q2128" s="37"/>
      <c r="R2128" s="39"/>
      <c r="S2128" s="37"/>
      <c r="T2128" s="38" t="s">
        <v>293</v>
      </c>
    </row>
    <row r="2129" ht="34.5">
      <c r="A2129" s="38" t="s">
        <v>1797</v>
      </c>
      <c r="B2129" s="38" t="s">
        <v>1798</v>
      </c>
      <c r="C2129" s="38" t="s">
        <v>1519</v>
      </c>
      <c r="D2129" s="38" t="s">
        <v>288</v>
      </c>
      <c r="E2129" s="38" t="s">
        <v>1799</v>
      </c>
      <c r="F2129" s="37" t="s">
        <v>1800</v>
      </c>
      <c r="G2129" s="38" t="s">
        <v>536</v>
      </c>
      <c r="H2129" s="37"/>
      <c r="I2129" s="37"/>
      <c r="J2129" s="37" t="s">
        <v>1363</v>
      </c>
      <c r="K2129" s="40"/>
      <c r="L2129" s="38"/>
      <c r="M2129" s="38"/>
      <c r="N2129" s="37"/>
      <c r="O2129" s="37"/>
      <c r="P2129" s="37"/>
      <c r="Q2129" s="37"/>
      <c r="R2129" s="39"/>
      <c r="S2129" s="37"/>
      <c r="T2129" s="38" t="s">
        <v>293</v>
      </c>
    </row>
    <row r="2130" ht="34.5">
      <c r="A2130" s="38" t="s">
        <v>1797</v>
      </c>
      <c r="B2130" s="38" t="s">
        <v>1798</v>
      </c>
      <c r="C2130" s="38" t="s">
        <v>1519</v>
      </c>
      <c r="D2130" s="38" t="s">
        <v>288</v>
      </c>
      <c r="E2130" s="38" t="s">
        <v>1799</v>
      </c>
      <c r="F2130" s="37" t="s">
        <v>1800</v>
      </c>
      <c r="G2130" s="38" t="s">
        <v>536</v>
      </c>
      <c r="H2130" s="37"/>
      <c r="I2130" s="37"/>
      <c r="J2130" s="37" t="s">
        <v>1812</v>
      </c>
      <c r="K2130" s="40"/>
      <c r="L2130" s="38"/>
      <c r="M2130" s="38"/>
      <c r="N2130" s="37"/>
      <c r="O2130" s="37"/>
      <c r="P2130" s="37"/>
      <c r="Q2130" s="37"/>
      <c r="R2130" s="39"/>
      <c r="S2130" s="37"/>
      <c r="T2130" s="38" t="s">
        <v>293</v>
      </c>
    </row>
    <row r="2131" ht="34.5">
      <c r="A2131" s="38" t="s">
        <v>1797</v>
      </c>
      <c r="B2131" s="38" t="s">
        <v>1798</v>
      </c>
      <c r="C2131" s="38" t="s">
        <v>1519</v>
      </c>
      <c r="D2131" s="38" t="s">
        <v>288</v>
      </c>
      <c r="E2131" s="38" t="s">
        <v>1799</v>
      </c>
      <c r="F2131" s="37" t="s">
        <v>1800</v>
      </c>
      <c r="G2131" s="38" t="s">
        <v>536</v>
      </c>
      <c r="H2131" s="37"/>
      <c r="I2131" s="37"/>
      <c r="J2131" s="37" t="s">
        <v>1365</v>
      </c>
      <c r="K2131" s="40"/>
      <c r="L2131" s="38"/>
      <c r="M2131" s="38"/>
      <c r="N2131" s="37"/>
      <c r="O2131" s="37"/>
      <c r="P2131" s="37"/>
      <c r="Q2131" s="37"/>
      <c r="R2131" s="39"/>
      <c r="S2131" s="37"/>
      <c r="T2131" s="38" t="s">
        <v>293</v>
      </c>
    </row>
    <row r="2132" ht="34.5">
      <c r="A2132" s="38" t="s">
        <v>1797</v>
      </c>
      <c r="B2132" s="38" t="s">
        <v>1798</v>
      </c>
      <c r="C2132" s="38" t="s">
        <v>1519</v>
      </c>
      <c r="D2132" s="38" t="s">
        <v>288</v>
      </c>
      <c r="E2132" s="38" t="s">
        <v>1799</v>
      </c>
      <c r="F2132" s="37" t="s">
        <v>1800</v>
      </c>
      <c r="G2132" s="38" t="s">
        <v>536</v>
      </c>
      <c r="H2132" s="37"/>
      <c r="I2132" s="37"/>
      <c r="J2132" s="37" t="s">
        <v>1813</v>
      </c>
      <c r="K2132" s="40"/>
      <c r="L2132" s="38"/>
      <c r="M2132" s="38"/>
      <c r="N2132" s="37"/>
      <c r="O2132" s="37"/>
      <c r="P2132" s="37"/>
      <c r="Q2132" s="37"/>
      <c r="R2132" s="39"/>
      <c r="S2132" s="37"/>
      <c r="T2132" s="38" t="s">
        <v>293</v>
      </c>
    </row>
    <row r="2133" ht="34.5">
      <c r="A2133" s="38" t="s">
        <v>1797</v>
      </c>
      <c r="B2133" s="38" t="s">
        <v>1798</v>
      </c>
      <c r="C2133" s="38" t="s">
        <v>1530</v>
      </c>
      <c r="D2133" s="38" t="s">
        <v>288</v>
      </c>
      <c r="E2133" s="38" t="s">
        <v>1799</v>
      </c>
      <c r="F2133" s="37" t="s">
        <v>1800</v>
      </c>
      <c r="G2133" s="38" t="s">
        <v>536</v>
      </c>
      <c r="H2133" s="37"/>
      <c r="I2133" s="37"/>
      <c r="J2133" s="37" t="s">
        <v>1814</v>
      </c>
      <c r="K2133" s="40"/>
      <c r="L2133" s="38"/>
      <c r="M2133" s="38"/>
      <c r="N2133" s="37"/>
      <c r="O2133" s="37"/>
      <c r="P2133" s="37"/>
      <c r="Q2133" s="37"/>
      <c r="R2133" s="39"/>
      <c r="S2133" s="37"/>
      <c r="T2133" s="38" t="s">
        <v>293</v>
      </c>
    </row>
    <row r="2134" ht="34.5">
      <c r="A2134" s="38" t="s">
        <v>1797</v>
      </c>
      <c r="B2134" s="38" t="s">
        <v>1798</v>
      </c>
      <c r="C2134" s="38" t="s">
        <v>1530</v>
      </c>
      <c r="D2134" s="38" t="s">
        <v>288</v>
      </c>
      <c r="E2134" s="38" t="s">
        <v>1799</v>
      </c>
      <c r="F2134" s="37" t="s">
        <v>1800</v>
      </c>
      <c r="G2134" s="38" t="s">
        <v>536</v>
      </c>
      <c r="H2134" s="37"/>
      <c r="I2134" s="37"/>
      <c r="J2134" s="37" t="s">
        <v>1368</v>
      </c>
      <c r="K2134" s="40"/>
      <c r="L2134" s="38"/>
      <c r="M2134" s="38"/>
      <c r="N2134" s="37"/>
      <c r="O2134" s="37"/>
      <c r="P2134" s="37"/>
      <c r="Q2134" s="37"/>
      <c r="R2134" s="39"/>
      <c r="S2134" s="37"/>
      <c r="T2134" s="38" t="s">
        <v>293</v>
      </c>
    </row>
    <row r="2135" ht="34.5">
      <c r="A2135" s="38" t="s">
        <v>1797</v>
      </c>
      <c r="B2135" s="38" t="s">
        <v>1798</v>
      </c>
      <c r="C2135" s="38" t="s">
        <v>1530</v>
      </c>
      <c r="D2135" s="38" t="s">
        <v>288</v>
      </c>
      <c r="E2135" s="38" t="s">
        <v>1799</v>
      </c>
      <c r="F2135" s="37" t="s">
        <v>1800</v>
      </c>
      <c r="G2135" s="38" t="s">
        <v>536</v>
      </c>
      <c r="H2135" s="37"/>
      <c r="I2135" s="37"/>
      <c r="J2135" s="37" t="s">
        <v>1815</v>
      </c>
      <c r="K2135" s="40"/>
      <c r="L2135" s="38"/>
      <c r="M2135" s="38"/>
      <c r="N2135" s="37"/>
      <c r="O2135" s="37"/>
      <c r="P2135" s="37"/>
      <c r="Q2135" s="37"/>
      <c r="R2135" s="39"/>
      <c r="S2135" s="37"/>
      <c r="T2135" s="38" t="s">
        <v>293</v>
      </c>
    </row>
    <row r="2136" ht="34.5">
      <c r="A2136" s="38" t="s">
        <v>1797</v>
      </c>
      <c r="B2136" s="38" t="s">
        <v>1798</v>
      </c>
      <c r="C2136" s="38" t="s">
        <v>1530</v>
      </c>
      <c r="D2136" s="38" t="s">
        <v>288</v>
      </c>
      <c r="E2136" s="38" t="s">
        <v>1799</v>
      </c>
      <c r="F2136" s="37" t="s">
        <v>1800</v>
      </c>
      <c r="G2136" s="38" t="s">
        <v>536</v>
      </c>
      <c r="H2136" s="37"/>
      <c r="I2136" s="37"/>
      <c r="J2136" s="37" t="s">
        <v>1370</v>
      </c>
      <c r="K2136" s="40"/>
      <c r="L2136" s="38"/>
      <c r="M2136" s="38"/>
      <c r="N2136" s="37"/>
      <c r="O2136" s="37"/>
      <c r="P2136" s="37"/>
      <c r="Q2136" s="37"/>
      <c r="R2136" s="39"/>
      <c r="S2136" s="37"/>
      <c r="T2136" s="38" t="s">
        <v>293</v>
      </c>
    </row>
    <row r="2137" ht="34.5">
      <c r="A2137" s="38" t="s">
        <v>1797</v>
      </c>
      <c r="B2137" s="38" t="s">
        <v>1798</v>
      </c>
      <c r="C2137" s="38" t="s">
        <v>1530</v>
      </c>
      <c r="D2137" s="38" t="s">
        <v>288</v>
      </c>
      <c r="E2137" s="38" t="s">
        <v>1799</v>
      </c>
      <c r="F2137" s="37" t="s">
        <v>1800</v>
      </c>
      <c r="G2137" s="38" t="s">
        <v>536</v>
      </c>
      <c r="H2137" s="37"/>
      <c r="I2137" s="37"/>
      <c r="J2137" s="37" t="s">
        <v>1816</v>
      </c>
      <c r="K2137" s="40"/>
      <c r="L2137" s="38"/>
      <c r="M2137" s="38"/>
      <c r="N2137" s="37"/>
      <c r="O2137" s="37"/>
      <c r="P2137" s="37"/>
      <c r="Q2137" s="37"/>
      <c r="R2137" s="39"/>
      <c r="S2137" s="37"/>
      <c r="T2137" s="38" t="s">
        <v>293</v>
      </c>
    </row>
    <row r="2138" ht="34.5">
      <c r="A2138" s="38" t="s">
        <v>1797</v>
      </c>
      <c r="B2138" s="38" t="s">
        <v>1798</v>
      </c>
      <c r="C2138" s="38" t="s">
        <v>1530</v>
      </c>
      <c r="D2138" s="38" t="s">
        <v>288</v>
      </c>
      <c r="E2138" s="38" t="s">
        <v>1799</v>
      </c>
      <c r="F2138" s="37" t="s">
        <v>1800</v>
      </c>
      <c r="G2138" s="38" t="s">
        <v>536</v>
      </c>
      <c r="H2138" s="37"/>
      <c r="I2138" s="37"/>
      <c r="J2138" s="37" t="s">
        <v>1374</v>
      </c>
      <c r="K2138" s="40"/>
      <c r="L2138" s="38"/>
      <c r="M2138" s="38"/>
      <c r="N2138" s="37"/>
      <c r="O2138" s="37"/>
      <c r="P2138" s="37"/>
      <c r="Q2138" s="37"/>
      <c r="R2138" s="39"/>
      <c r="S2138" s="37"/>
      <c r="T2138" s="38" t="s">
        <v>293</v>
      </c>
    </row>
    <row r="2139" ht="34.5">
      <c r="A2139" s="38" t="s">
        <v>1797</v>
      </c>
      <c r="B2139" s="38" t="s">
        <v>1798</v>
      </c>
      <c r="C2139" s="38" t="s">
        <v>1530</v>
      </c>
      <c r="D2139" s="38" t="s">
        <v>288</v>
      </c>
      <c r="E2139" s="38" t="s">
        <v>1799</v>
      </c>
      <c r="F2139" s="37" t="s">
        <v>1800</v>
      </c>
      <c r="G2139" s="38" t="s">
        <v>536</v>
      </c>
      <c r="H2139" s="37"/>
      <c r="I2139" s="37"/>
      <c r="J2139" s="37" t="s">
        <v>1375</v>
      </c>
      <c r="K2139" s="40"/>
      <c r="L2139" s="38"/>
      <c r="M2139" s="38"/>
      <c r="N2139" s="37"/>
      <c r="O2139" s="37"/>
      <c r="P2139" s="37"/>
      <c r="Q2139" s="37"/>
      <c r="R2139" s="39"/>
      <c r="S2139" s="37"/>
      <c r="T2139" s="38" t="s">
        <v>293</v>
      </c>
    </row>
    <row r="2140" ht="34.5">
      <c r="A2140" s="38" t="s">
        <v>1797</v>
      </c>
      <c r="B2140" s="38" t="s">
        <v>1798</v>
      </c>
      <c r="C2140" s="38" t="s">
        <v>1530</v>
      </c>
      <c r="D2140" s="38" t="s">
        <v>288</v>
      </c>
      <c r="E2140" s="38" t="s">
        <v>1799</v>
      </c>
      <c r="F2140" s="37" t="s">
        <v>1800</v>
      </c>
      <c r="G2140" s="38" t="s">
        <v>536</v>
      </c>
      <c r="H2140" s="37"/>
      <c r="I2140" s="37"/>
      <c r="J2140" s="37" t="s">
        <v>1376</v>
      </c>
      <c r="K2140" s="40"/>
      <c r="L2140" s="38"/>
      <c r="M2140" s="38"/>
      <c r="N2140" s="37"/>
      <c r="O2140" s="37"/>
      <c r="P2140" s="37"/>
      <c r="Q2140" s="37"/>
      <c r="R2140" s="39"/>
      <c r="S2140" s="37"/>
      <c r="T2140" s="38" t="s">
        <v>293</v>
      </c>
    </row>
    <row r="2141" ht="34.5">
      <c r="A2141" s="38" t="s">
        <v>1797</v>
      </c>
      <c r="B2141" s="38" t="s">
        <v>1798</v>
      </c>
      <c r="C2141" s="38" t="s">
        <v>1530</v>
      </c>
      <c r="D2141" s="38" t="s">
        <v>288</v>
      </c>
      <c r="E2141" s="38" t="s">
        <v>1799</v>
      </c>
      <c r="F2141" s="37" t="s">
        <v>1800</v>
      </c>
      <c r="G2141" s="38" t="s">
        <v>536</v>
      </c>
      <c r="H2141" s="37"/>
      <c r="I2141" s="37"/>
      <c r="J2141" s="37" t="s">
        <v>1817</v>
      </c>
      <c r="K2141" s="40"/>
      <c r="L2141" s="38"/>
      <c r="M2141" s="38"/>
      <c r="N2141" s="37"/>
      <c r="O2141" s="37"/>
      <c r="P2141" s="37"/>
      <c r="Q2141" s="37"/>
      <c r="R2141" s="39"/>
      <c r="S2141" s="37"/>
      <c r="T2141" s="38" t="s">
        <v>293</v>
      </c>
    </row>
    <row r="2142" ht="34.5">
      <c r="A2142" s="38" t="s">
        <v>1797</v>
      </c>
      <c r="B2142" s="38" t="s">
        <v>1798</v>
      </c>
      <c r="C2142" s="38" t="s">
        <v>1530</v>
      </c>
      <c r="D2142" s="38" t="s">
        <v>288</v>
      </c>
      <c r="E2142" s="38" t="s">
        <v>1799</v>
      </c>
      <c r="F2142" s="37" t="s">
        <v>1800</v>
      </c>
      <c r="G2142" s="38" t="s">
        <v>536</v>
      </c>
      <c r="H2142" s="37"/>
      <c r="I2142" s="37"/>
      <c r="J2142" s="37" t="s">
        <v>1818</v>
      </c>
      <c r="K2142" s="40"/>
      <c r="L2142" s="38"/>
      <c r="M2142" s="38"/>
      <c r="N2142" s="37"/>
      <c r="O2142" s="37"/>
      <c r="P2142" s="37"/>
      <c r="Q2142" s="37"/>
      <c r="R2142" s="39"/>
      <c r="S2142" s="37"/>
      <c r="T2142" s="38" t="s">
        <v>293</v>
      </c>
    </row>
    <row r="2143" ht="34.5">
      <c r="A2143" s="38" t="s">
        <v>1797</v>
      </c>
      <c r="B2143" s="38" t="s">
        <v>1798</v>
      </c>
      <c r="C2143" s="38" t="s">
        <v>1530</v>
      </c>
      <c r="D2143" s="38" t="s">
        <v>288</v>
      </c>
      <c r="E2143" s="38" t="s">
        <v>1799</v>
      </c>
      <c r="F2143" s="37" t="s">
        <v>1800</v>
      </c>
      <c r="G2143" s="38" t="s">
        <v>536</v>
      </c>
      <c r="H2143" s="37"/>
      <c r="I2143" s="37"/>
      <c r="J2143" s="37" t="s">
        <v>1819</v>
      </c>
      <c r="K2143" s="40"/>
      <c r="L2143" s="38"/>
      <c r="M2143" s="38"/>
      <c r="N2143" s="37"/>
      <c r="O2143" s="37"/>
      <c r="P2143" s="37"/>
      <c r="Q2143" s="37"/>
      <c r="R2143" s="39"/>
      <c r="S2143" s="37"/>
      <c r="T2143" s="38" t="s">
        <v>293</v>
      </c>
    </row>
    <row r="2144" ht="34.5">
      <c r="A2144" s="38" t="s">
        <v>1797</v>
      </c>
      <c r="B2144" s="38" t="s">
        <v>1798</v>
      </c>
      <c r="C2144" s="38" t="s">
        <v>1530</v>
      </c>
      <c r="D2144" s="38" t="s">
        <v>288</v>
      </c>
      <c r="E2144" s="38" t="s">
        <v>1799</v>
      </c>
      <c r="F2144" s="37" t="s">
        <v>1800</v>
      </c>
      <c r="G2144" s="38" t="s">
        <v>536</v>
      </c>
      <c r="H2144" s="37"/>
      <c r="I2144" s="37"/>
      <c r="J2144" s="37" t="s">
        <v>1820</v>
      </c>
      <c r="K2144" s="40"/>
      <c r="L2144" s="38"/>
      <c r="M2144" s="38"/>
      <c r="N2144" s="37"/>
      <c r="O2144" s="37"/>
      <c r="P2144" s="37"/>
      <c r="Q2144" s="37"/>
      <c r="R2144" s="39"/>
      <c r="S2144" s="37"/>
      <c r="T2144" s="38" t="s">
        <v>293</v>
      </c>
    </row>
    <row r="2145" ht="34.5">
      <c r="A2145" s="38" t="s">
        <v>1797</v>
      </c>
      <c r="B2145" s="38" t="s">
        <v>1798</v>
      </c>
      <c r="C2145" s="38" t="s">
        <v>1541</v>
      </c>
      <c r="D2145" s="38" t="s">
        <v>288</v>
      </c>
      <c r="E2145" s="38" t="s">
        <v>1799</v>
      </c>
      <c r="F2145" s="37" t="s">
        <v>1800</v>
      </c>
      <c r="G2145" s="38" t="s">
        <v>536</v>
      </c>
      <c r="H2145" s="37"/>
      <c r="I2145" s="37"/>
      <c r="J2145" s="37" t="s">
        <v>1389</v>
      </c>
      <c r="K2145" s="40"/>
      <c r="L2145" s="38"/>
      <c r="M2145" s="38"/>
      <c r="N2145" s="37"/>
      <c r="O2145" s="37"/>
      <c r="P2145" s="37"/>
      <c r="Q2145" s="37"/>
      <c r="R2145" s="39"/>
      <c r="S2145" s="37"/>
      <c r="T2145" s="38" t="s">
        <v>293</v>
      </c>
    </row>
    <row r="2146" ht="34.5">
      <c r="A2146" s="38" t="s">
        <v>1797</v>
      </c>
      <c r="B2146" s="38" t="s">
        <v>1798</v>
      </c>
      <c r="C2146" s="38" t="s">
        <v>1541</v>
      </c>
      <c r="D2146" s="38" t="s">
        <v>288</v>
      </c>
      <c r="E2146" s="38" t="s">
        <v>1799</v>
      </c>
      <c r="F2146" s="37" t="s">
        <v>1800</v>
      </c>
      <c r="G2146" s="38" t="s">
        <v>536</v>
      </c>
      <c r="H2146" s="37"/>
      <c r="I2146" s="37"/>
      <c r="J2146" s="37" t="s">
        <v>1821</v>
      </c>
      <c r="K2146" s="40"/>
      <c r="L2146" s="38"/>
      <c r="M2146" s="38"/>
      <c r="N2146" s="37"/>
      <c r="O2146" s="37"/>
      <c r="P2146" s="37"/>
      <c r="Q2146" s="37"/>
      <c r="R2146" s="39"/>
      <c r="S2146" s="37"/>
      <c r="T2146" s="38" t="s">
        <v>293</v>
      </c>
    </row>
    <row r="2147" ht="34.5">
      <c r="A2147" s="38" t="s">
        <v>1797</v>
      </c>
      <c r="B2147" s="38" t="s">
        <v>1798</v>
      </c>
      <c r="C2147" s="38" t="s">
        <v>1541</v>
      </c>
      <c r="D2147" s="38" t="s">
        <v>288</v>
      </c>
      <c r="E2147" s="38" t="s">
        <v>1799</v>
      </c>
      <c r="F2147" s="37" t="s">
        <v>1800</v>
      </c>
      <c r="G2147" s="38" t="s">
        <v>536</v>
      </c>
      <c r="H2147" s="37"/>
      <c r="I2147" s="37"/>
      <c r="J2147" s="37" t="s">
        <v>1822</v>
      </c>
      <c r="K2147" s="40"/>
      <c r="L2147" s="38"/>
      <c r="M2147" s="38"/>
      <c r="N2147" s="37"/>
      <c r="O2147" s="37"/>
      <c r="P2147" s="37"/>
      <c r="Q2147" s="37"/>
      <c r="R2147" s="39"/>
      <c r="S2147" s="37"/>
      <c r="T2147" s="38" t="s">
        <v>293</v>
      </c>
    </row>
    <row r="2148" ht="34.5">
      <c r="A2148" s="38" t="s">
        <v>1797</v>
      </c>
      <c r="B2148" s="38" t="s">
        <v>1798</v>
      </c>
      <c r="C2148" s="38" t="s">
        <v>1541</v>
      </c>
      <c r="D2148" s="38" t="s">
        <v>288</v>
      </c>
      <c r="E2148" s="38" t="s">
        <v>1799</v>
      </c>
      <c r="F2148" s="37" t="s">
        <v>1800</v>
      </c>
      <c r="G2148" s="38" t="s">
        <v>536</v>
      </c>
      <c r="H2148" s="37"/>
      <c r="I2148" s="37"/>
      <c r="J2148" s="37" t="s">
        <v>1823</v>
      </c>
      <c r="K2148" s="40"/>
      <c r="L2148" s="38"/>
      <c r="M2148" s="38"/>
      <c r="N2148" s="37"/>
      <c r="O2148" s="37"/>
      <c r="P2148" s="37"/>
      <c r="Q2148" s="37"/>
      <c r="R2148" s="39"/>
      <c r="S2148" s="37"/>
      <c r="T2148" s="38" t="s">
        <v>293</v>
      </c>
    </row>
    <row r="2149" ht="34.5">
      <c r="A2149" s="38" t="s">
        <v>1797</v>
      </c>
      <c r="B2149" s="38" t="s">
        <v>1798</v>
      </c>
      <c r="C2149" s="38" t="s">
        <v>1541</v>
      </c>
      <c r="D2149" s="38" t="s">
        <v>288</v>
      </c>
      <c r="E2149" s="38" t="s">
        <v>1799</v>
      </c>
      <c r="F2149" s="37" t="s">
        <v>1800</v>
      </c>
      <c r="G2149" s="38" t="s">
        <v>536</v>
      </c>
      <c r="H2149" s="37"/>
      <c r="I2149" s="37"/>
      <c r="J2149" s="37" t="s">
        <v>1824</v>
      </c>
      <c r="K2149" s="40"/>
      <c r="L2149" s="38"/>
      <c r="M2149" s="38"/>
      <c r="N2149" s="37"/>
      <c r="O2149" s="37"/>
      <c r="P2149" s="37"/>
      <c r="Q2149" s="37"/>
      <c r="R2149" s="39"/>
      <c r="S2149" s="37"/>
      <c r="T2149" s="38" t="s">
        <v>293</v>
      </c>
    </row>
    <row r="2150" ht="34.5">
      <c r="A2150" s="38" t="s">
        <v>1797</v>
      </c>
      <c r="B2150" s="38" t="s">
        <v>1798</v>
      </c>
      <c r="C2150" s="38" t="s">
        <v>1541</v>
      </c>
      <c r="D2150" s="38" t="s">
        <v>288</v>
      </c>
      <c r="E2150" s="38" t="s">
        <v>1799</v>
      </c>
      <c r="F2150" s="37" t="s">
        <v>1800</v>
      </c>
      <c r="G2150" s="38" t="s">
        <v>536</v>
      </c>
      <c r="H2150" s="37"/>
      <c r="I2150" s="37"/>
      <c r="J2150" s="37" t="s">
        <v>1399</v>
      </c>
      <c r="K2150" s="40"/>
      <c r="L2150" s="38"/>
      <c r="M2150" s="38"/>
      <c r="N2150" s="37"/>
      <c r="O2150" s="37"/>
      <c r="P2150" s="37"/>
      <c r="Q2150" s="37"/>
      <c r="R2150" s="39"/>
      <c r="S2150" s="37"/>
      <c r="T2150" s="38" t="s">
        <v>293</v>
      </c>
    </row>
    <row r="2151" ht="34.5">
      <c r="A2151" s="38" t="s">
        <v>1797</v>
      </c>
      <c r="B2151" s="38" t="s">
        <v>1798</v>
      </c>
      <c r="C2151" s="38" t="s">
        <v>1541</v>
      </c>
      <c r="D2151" s="38" t="s">
        <v>288</v>
      </c>
      <c r="E2151" s="38" t="s">
        <v>1799</v>
      </c>
      <c r="F2151" s="37" t="s">
        <v>1800</v>
      </c>
      <c r="G2151" s="38" t="s">
        <v>536</v>
      </c>
      <c r="H2151" s="37"/>
      <c r="I2151" s="37"/>
      <c r="J2151" s="37" t="s">
        <v>1825</v>
      </c>
      <c r="K2151" s="40"/>
      <c r="L2151" s="38"/>
      <c r="M2151" s="38"/>
      <c r="N2151" s="37"/>
      <c r="O2151" s="37"/>
      <c r="P2151" s="37"/>
      <c r="Q2151" s="37"/>
      <c r="R2151" s="39"/>
      <c r="S2151" s="37"/>
      <c r="T2151" s="38" t="s">
        <v>293</v>
      </c>
    </row>
    <row r="2152" ht="34.5">
      <c r="A2152" s="38" t="s">
        <v>1797</v>
      </c>
      <c r="B2152" s="38" t="s">
        <v>1798</v>
      </c>
      <c r="C2152" s="38" t="s">
        <v>1550</v>
      </c>
      <c r="D2152" s="38" t="s">
        <v>288</v>
      </c>
      <c r="E2152" s="38" t="s">
        <v>1799</v>
      </c>
      <c r="F2152" s="37" t="s">
        <v>1800</v>
      </c>
      <c r="G2152" s="38" t="s">
        <v>536</v>
      </c>
      <c r="H2152" s="37"/>
      <c r="I2152" s="37"/>
      <c r="J2152" s="37" t="s">
        <v>1407</v>
      </c>
      <c r="K2152" s="40"/>
      <c r="L2152" s="38"/>
      <c r="M2152" s="38"/>
      <c r="N2152" s="37"/>
      <c r="O2152" s="37"/>
      <c r="P2152" s="37"/>
      <c r="Q2152" s="37"/>
      <c r="R2152" s="39"/>
      <c r="S2152" s="37"/>
      <c r="T2152" s="38" t="s">
        <v>293</v>
      </c>
    </row>
    <row r="2153" ht="34.5">
      <c r="A2153" s="38" t="s">
        <v>1797</v>
      </c>
      <c r="B2153" s="38" t="s">
        <v>1798</v>
      </c>
      <c r="C2153" s="38" t="s">
        <v>1550</v>
      </c>
      <c r="D2153" s="38" t="s">
        <v>288</v>
      </c>
      <c r="E2153" s="38" t="s">
        <v>1799</v>
      </c>
      <c r="F2153" s="37" t="s">
        <v>1800</v>
      </c>
      <c r="G2153" s="38" t="s">
        <v>536</v>
      </c>
      <c r="H2153" s="37"/>
      <c r="I2153" s="37"/>
      <c r="J2153" s="37" t="s">
        <v>1826</v>
      </c>
      <c r="K2153" s="40"/>
      <c r="L2153" s="38"/>
      <c r="M2153" s="38"/>
      <c r="N2153" s="37"/>
      <c r="O2153" s="37"/>
      <c r="P2153" s="37"/>
      <c r="Q2153" s="37"/>
      <c r="R2153" s="39"/>
      <c r="S2153" s="37"/>
      <c r="T2153" s="38" t="s">
        <v>293</v>
      </c>
    </row>
    <row r="2154" ht="34.5">
      <c r="A2154" s="38" t="s">
        <v>1797</v>
      </c>
      <c r="B2154" s="38" t="s">
        <v>1798</v>
      </c>
      <c r="C2154" s="38" t="s">
        <v>1550</v>
      </c>
      <c r="D2154" s="38" t="s">
        <v>288</v>
      </c>
      <c r="E2154" s="38" t="s">
        <v>1799</v>
      </c>
      <c r="F2154" s="37" t="s">
        <v>1800</v>
      </c>
      <c r="G2154" s="38" t="s">
        <v>536</v>
      </c>
      <c r="H2154" s="37"/>
      <c r="I2154" s="37"/>
      <c r="J2154" s="37" t="s">
        <v>1827</v>
      </c>
      <c r="K2154" s="40"/>
      <c r="L2154" s="38"/>
      <c r="M2154" s="38"/>
      <c r="N2154" s="37"/>
      <c r="O2154" s="37"/>
      <c r="P2154" s="37"/>
      <c r="Q2154" s="37"/>
      <c r="R2154" s="39"/>
      <c r="S2154" s="37"/>
      <c r="T2154" s="38" t="s">
        <v>293</v>
      </c>
    </row>
    <row r="2155" ht="34.5">
      <c r="A2155" s="38" t="s">
        <v>1797</v>
      </c>
      <c r="B2155" s="38" t="s">
        <v>1798</v>
      </c>
      <c r="C2155" s="38" t="s">
        <v>1550</v>
      </c>
      <c r="D2155" s="38" t="s">
        <v>288</v>
      </c>
      <c r="E2155" s="38" t="s">
        <v>1799</v>
      </c>
      <c r="F2155" s="37" t="s">
        <v>1800</v>
      </c>
      <c r="G2155" s="38" t="s">
        <v>536</v>
      </c>
      <c r="H2155" s="37"/>
      <c r="I2155" s="37"/>
      <c r="J2155" s="37" t="s">
        <v>1828</v>
      </c>
      <c r="K2155" s="40"/>
      <c r="L2155" s="38"/>
      <c r="M2155" s="38"/>
      <c r="N2155" s="37"/>
      <c r="O2155" s="37"/>
      <c r="P2155" s="37"/>
      <c r="Q2155" s="37"/>
      <c r="R2155" s="39"/>
      <c r="S2155" s="37"/>
      <c r="T2155" s="38" t="s">
        <v>293</v>
      </c>
    </row>
    <row r="2156" ht="34.5">
      <c r="A2156" s="38" t="s">
        <v>1797</v>
      </c>
      <c r="B2156" s="38" t="s">
        <v>1798</v>
      </c>
      <c r="C2156" s="38" t="s">
        <v>1550</v>
      </c>
      <c r="D2156" s="38" t="s">
        <v>288</v>
      </c>
      <c r="E2156" s="38" t="s">
        <v>1799</v>
      </c>
      <c r="F2156" s="37" t="s">
        <v>1800</v>
      </c>
      <c r="G2156" s="38" t="s">
        <v>536</v>
      </c>
      <c r="H2156" s="37"/>
      <c r="I2156" s="37"/>
      <c r="J2156" s="37" t="s">
        <v>1829</v>
      </c>
      <c r="K2156" s="40"/>
      <c r="L2156" s="38"/>
      <c r="M2156" s="38"/>
      <c r="N2156" s="37"/>
      <c r="O2156" s="37"/>
      <c r="P2156" s="37"/>
      <c r="Q2156" s="37"/>
      <c r="R2156" s="39"/>
      <c r="S2156" s="37"/>
      <c r="T2156" s="38" t="s">
        <v>293</v>
      </c>
    </row>
    <row r="2157" ht="34.5">
      <c r="A2157" s="38" t="s">
        <v>1797</v>
      </c>
      <c r="B2157" s="38" t="s">
        <v>1798</v>
      </c>
      <c r="C2157" s="38" t="s">
        <v>1550</v>
      </c>
      <c r="D2157" s="38" t="s">
        <v>288</v>
      </c>
      <c r="E2157" s="38" t="s">
        <v>1799</v>
      </c>
      <c r="F2157" s="37" t="s">
        <v>1800</v>
      </c>
      <c r="G2157" s="38" t="s">
        <v>536</v>
      </c>
      <c r="H2157" s="37"/>
      <c r="I2157" s="37"/>
      <c r="J2157" s="37" t="s">
        <v>1830</v>
      </c>
      <c r="K2157" s="40"/>
      <c r="L2157" s="38"/>
      <c r="M2157" s="38"/>
      <c r="N2157" s="37"/>
      <c r="O2157" s="37"/>
      <c r="P2157" s="37"/>
      <c r="Q2157" s="37"/>
      <c r="R2157" s="39"/>
      <c r="S2157" s="37"/>
      <c r="T2157" s="38" t="s">
        <v>293</v>
      </c>
    </row>
    <row r="2158" ht="34.5">
      <c r="A2158" s="38" t="s">
        <v>1797</v>
      </c>
      <c r="B2158" s="38" t="s">
        <v>1798</v>
      </c>
      <c r="C2158" s="38" t="s">
        <v>1550</v>
      </c>
      <c r="D2158" s="38" t="s">
        <v>288</v>
      </c>
      <c r="E2158" s="38" t="s">
        <v>1799</v>
      </c>
      <c r="F2158" s="37" t="s">
        <v>1800</v>
      </c>
      <c r="G2158" s="38" t="s">
        <v>536</v>
      </c>
      <c r="H2158" s="37"/>
      <c r="I2158" s="37"/>
      <c r="J2158" s="37" t="s">
        <v>1831</v>
      </c>
      <c r="K2158" s="40"/>
      <c r="L2158" s="38"/>
      <c r="M2158" s="38"/>
      <c r="N2158" s="37"/>
      <c r="O2158" s="37"/>
      <c r="P2158" s="37"/>
      <c r="Q2158" s="37"/>
      <c r="R2158" s="39"/>
      <c r="S2158" s="37"/>
      <c r="T2158" s="38" t="s">
        <v>293</v>
      </c>
    </row>
    <row r="2159" ht="34.5">
      <c r="A2159" s="38" t="s">
        <v>1797</v>
      </c>
      <c r="B2159" s="38" t="s">
        <v>1798</v>
      </c>
      <c r="C2159" s="38" t="s">
        <v>1550</v>
      </c>
      <c r="D2159" s="38" t="s">
        <v>288</v>
      </c>
      <c r="E2159" s="38" t="s">
        <v>1799</v>
      </c>
      <c r="F2159" s="37" t="s">
        <v>1800</v>
      </c>
      <c r="G2159" s="38" t="s">
        <v>536</v>
      </c>
      <c r="H2159" s="37"/>
      <c r="I2159" s="37"/>
      <c r="J2159" s="37" t="s">
        <v>1832</v>
      </c>
      <c r="K2159" s="40"/>
      <c r="L2159" s="38"/>
      <c r="M2159" s="38"/>
      <c r="N2159" s="37"/>
      <c r="O2159" s="37"/>
      <c r="P2159" s="37"/>
      <c r="Q2159" s="37"/>
      <c r="R2159" s="39"/>
      <c r="S2159" s="37"/>
      <c r="T2159" s="38" t="s">
        <v>293</v>
      </c>
    </row>
    <row r="2160" ht="34.5">
      <c r="A2160" s="38" t="s">
        <v>1797</v>
      </c>
      <c r="B2160" s="38" t="s">
        <v>1798</v>
      </c>
      <c r="C2160" s="38" t="s">
        <v>1550</v>
      </c>
      <c r="D2160" s="38" t="s">
        <v>288</v>
      </c>
      <c r="E2160" s="38" t="s">
        <v>1799</v>
      </c>
      <c r="F2160" s="37" t="s">
        <v>1800</v>
      </c>
      <c r="G2160" s="38" t="s">
        <v>536</v>
      </c>
      <c r="H2160" s="37"/>
      <c r="I2160" s="37"/>
      <c r="J2160" s="37" t="s">
        <v>1833</v>
      </c>
      <c r="K2160" s="40"/>
      <c r="L2160" s="38"/>
      <c r="M2160" s="38"/>
      <c r="N2160" s="37"/>
      <c r="O2160" s="37"/>
      <c r="P2160" s="37"/>
      <c r="Q2160" s="37"/>
      <c r="R2160" s="39"/>
      <c r="S2160" s="37"/>
      <c r="T2160" s="38" t="s">
        <v>293</v>
      </c>
    </row>
    <row r="2161" ht="34.5">
      <c r="A2161" s="38" t="s">
        <v>1797</v>
      </c>
      <c r="B2161" s="38" t="s">
        <v>1798</v>
      </c>
      <c r="C2161" s="38" t="s">
        <v>1550</v>
      </c>
      <c r="D2161" s="38" t="s">
        <v>288</v>
      </c>
      <c r="E2161" s="38" t="s">
        <v>1799</v>
      </c>
      <c r="F2161" s="37" t="s">
        <v>1800</v>
      </c>
      <c r="G2161" s="38" t="s">
        <v>536</v>
      </c>
      <c r="H2161" s="37"/>
      <c r="I2161" s="37"/>
      <c r="J2161" s="37" t="s">
        <v>1605</v>
      </c>
      <c r="K2161" s="40"/>
      <c r="L2161" s="38"/>
      <c r="M2161" s="38"/>
      <c r="N2161" s="37"/>
      <c r="O2161" s="37"/>
      <c r="P2161" s="37"/>
      <c r="Q2161" s="37"/>
      <c r="R2161" s="39"/>
      <c r="S2161" s="37"/>
      <c r="T2161" s="38" t="s">
        <v>293</v>
      </c>
    </row>
    <row r="2162" ht="34.5">
      <c r="A2162" s="38" t="s">
        <v>1797</v>
      </c>
      <c r="B2162" s="38" t="s">
        <v>1798</v>
      </c>
      <c r="C2162" s="38" t="s">
        <v>1550</v>
      </c>
      <c r="D2162" s="38" t="s">
        <v>288</v>
      </c>
      <c r="E2162" s="38" t="s">
        <v>1799</v>
      </c>
      <c r="F2162" s="37" t="s">
        <v>1800</v>
      </c>
      <c r="G2162" s="38" t="s">
        <v>536</v>
      </c>
      <c r="H2162" s="37"/>
      <c r="I2162" s="37"/>
      <c r="J2162" s="37" t="s">
        <v>1834</v>
      </c>
      <c r="K2162" s="40"/>
      <c r="L2162" s="38"/>
      <c r="M2162" s="38"/>
      <c r="N2162" s="37"/>
      <c r="O2162" s="37"/>
      <c r="P2162" s="37"/>
      <c r="Q2162" s="37"/>
      <c r="R2162" s="39"/>
      <c r="S2162" s="37"/>
      <c r="T2162" s="38" t="s">
        <v>293</v>
      </c>
    </row>
    <row r="2163" ht="34.5">
      <c r="A2163" s="38" t="s">
        <v>1797</v>
      </c>
      <c r="B2163" s="38" t="s">
        <v>1798</v>
      </c>
      <c r="C2163" s="38" t="s">
        <v>1550</v>
      </c>
      <c r="D2163" s="38" t="s">
        <v>288</v>
      </c>
      <c r="E2163" s="38" t="s">
        <v>1799</v>
      </c>
      <c r="F2163" s="37" t="s">
        <v>1800</v>
      </c>
      <c r="G2163" s="38" t="s">
        <v>536</v>
      </c>
      <c r="H2163" s="37"/>
      <c r="I2163" s="37"/>
      <c r="J2163" s="37" t="s">
        <v>1835</v>
      </c>
      <c r="K2163" s="40"/>
      <c r="L2163" s="38"/>
      <c r="M2163" s="38"/>
      <c r="N2163" s="37"/>
      <c r="O2163" s="37"/>
      <c r="P2163" s="37"/>
      <c r="Q2163" s="37"/>
      <c r="R2163" s="39"/>
      <c r="S2163" s="37"/>
      <c r="T2163" s="38" t="s">
        <v>293</v>
      </c>
    </row>
    <row r="2164" ht="34.5">
      <c r="A2164" s="38" t="s">
        <v>1797</v>
      </c>
      <c r="B2164" s="38" t="s">
        <v>1798</v>
      </c>
      <c r="C2164" s="38" t="s">
        <v>1550</v>
      </c>
      <c r="D2164" s="38" t="s">
        <v>288</v>
      </c>
      <c r="E2164" s="38" t="s">
        <v>1799</v>
      </c>
      <c r="F2164" s="37" t="s">
        <v>1800</v>
      </c>
      <c r="G2164" s="38" t="s">
        <v>536</v>
      </c>
      <c r="H2164" s="37"/>
      <c r="I2164" s="37"/>
      <c r="J2164" s="37" t="s">
        <v>1836</v>
      </c>
      <c r="K2164" s="40"/>
      <c r="L2164" s="38"/>
      <c r="M2164" s="38"/>
      <c r="N2164" s="37"/>
      <c r="O2164" s="37"/>
      <c r="P2164" s="37"/>
      <c r="Q2164" s="37"/>
      <c r="R2164" s="39"/>
      <c r="S2164" s="37"/>
      <c r="T2164" s="38" t="s">
        <v>293</v>
      </c>
    </row>
    <row r="2165" ht="34.5">
      <c r="A2165" s="38" t="s">
        <v>1797</v>
      </c>
      <c r="B2165" s="38" t="s">
        <v>1798</v>
      </c>
      <c r="C2165" s="38" t="s">
        <v>1561</v>
      </c>
      <c r="D2165" s="38" t="s">
        <v>288</v>
      </c>
      <c r="E2165" s="38" t="s">
        <v>1799</v>
      </c>
      <c r="F2165" s="37" t="s">
        <v>1800</v>
      </c>
      <c r="G2165" s="38" t="s">
        <v>536</v>
      </c>
      <c r="H2165" s="37"/>
      <c r="I2165" s="37"/>
      <c r="J2165" s="37" t="s">
        <v>1837</v>
      </c>
      <c r="K2165" s="40"/>
      <c r="L2165" s="38"/>
      <c r="M2165" s="38"/>
      <c r="N2165" s="37"/>
      <c r="O2165" s="37"/>
      <c r="P2165" s="37"/>
      <c r="Q2165" s="37"/>
      <c r="R2165" s="39"/>
      <c r="S2165" s="37"/>
      <c r="T2165" s="38" t="s">
        <v>293</v>
      </c>
    </row>
    <row r="2166" ht="34.5">
      <c r="A2166" s="38" t="s">
        <v>1797</v>
      </c>
      <c r="B2166" s="38" t="s">
        <v>1798</v>
      </c>
      <c r="C2166" s="38" t="s">
        <v>1561</v>
      </c>
      <c r="D2166" s="38" t="s">
        <v>288</v>
      </c>
      <c r="E2166" s="38" t="s">
        <v>1799</v>
      </c>
      <c r="F2166" s="37" t="s">
        <v>1800</v>
      </c>
      <c r="G2166" s="38" t="s">
        <v>536</v>
      </c>
      <c r="H2166" s="37"/>
      <c r="I2166" s="37"/>
      <c r="J2166" s="37" t="s">
        <v>1838</v>
      </c>
      <c r="K2166" s="40"/>
      <c r="L2166" s="38"/>
      <c r="M2166" s="38"/>
      <c r="N2166" s="37"/>
      <c r="O2166" s="37"/>
      <c r="P2166" s="37"/>
      <c r="Q2166" s="37"/>
      <c r="R2166" s="39"/>
      <c r="S2166" s="37"/>
      <c r="T2166" s="38" t="s">
        <v>293</v>
      </c>
    </row>
    <row r="2167" ht="34.5">
      <c r="A2167" s="38" t="s">
        <v>1797</v>
      </c>
      <c r="B2167" s="38" t="s">
        <v>1798</v>
      </c>
      <c r="C2167" s="38" t="s">
        <v>1561</v>
      </c>
      <c r="D2167" s="38" t="s">
        <v>288</v>
      </c>
      <c r="E2167" s="38" t="s">
        <v>1799</v>
      </c>
      <c r="F2167" s="37" t="s">
        <v>1800</v>
      </c>
      <c r="G2167" s="38" t="s">
        <v>536</v>
      </c>
      <c r="H2167" s="37"/>
      <c r="I2167" s="37"/>
      <c r="J2167" s="37" t="s">
        <v>1437</v>
      </c>
      <c r="K2167" s="40"/>
      <c r="L2167" s="38"/>
      <c r="M2167" s="38"/>
      <c r="N2167" s="37"/>
      <c r="O2167" s="37"/>
      <c r="P2167" s="37"/>
      <c r="Q2167" s="37"/>
      <c r="R2167" s="39"/>
      <c r="S2167" s="37"/>
      <c r="T2167" s="38" t="s">
        <v>293</v>
      </c>
    </row>
    <row r="2168" ht="34.5">
      <c r="A2168" s="38" t="s">
        <v>1797</v>
      </c>
      <c r="B2168" s="38" t="s">
        <v>1798</v>
      </c>
      <c r="C2168" s="38" t="s">
        <v>1561</v>
      </c>
      <c r="D2168" s="38" t="s">
        <v>288</v>
      </c>
      <c r="E2168" s="38" t="s">
        <v>1799</v>
      </c>
      <c r="F2168" s="37" t="s">
        <v>1800</v>
      </c>
      <c r="G2168" s="38" t="s">
        <v>536</v>
      </c>
      <c r="H2168" s="37"/>
      <c r="I2168" s="37"/>
      <c r="J2168" s="37" t="s">
        <v>1438</v>
      </c>
      <c r="K2168" s="40"/>
      <c r="L2168" s="38"/>
      <c r="M2168" s="38"/>
      <c r="N2168" s="37"/>
      <c r="O2168" s="37"/>
      <c r="P2168" s="37"/>
      <c r="Q2168" s="37"/>
      <c r="R2168" s="39"/>
      <c r="S2168" s="37"/>
      <c r="T2168" s="38" t="s">
        <v>293</v>
      </c>
    </row>
    <row r="2169" ht="34.5">
      <c r="A2169" s="38" t="s">
        <v>1797</v>
      </c>
      <c r="B2169" s="38" t="s">
        <v>1798</v>
      </c>
      <c r="C2169" s="38" t="s">
        <v>1561</v>
      </c>
      <c r="D2169" s="38" t="s">
        <v>288</v>
      </c>
      <c r="E2169" s="38" t="s">
        <v>1799</v>
      </c>
      <c r="F2169" s="37" t="s">
        <v>1800</v>
      </c>
      <c r="G2169" s="38" t="s">
        <v>536</v>
      </c>
      <c r="H2169" s="37"/>
      <c r="I2169" s="37"/>
      <c r="J2169" s="37" t="s">
        <v>1839</v>
      </c>
      <c r="K2169" s="40"/>
      <c r="L2169" s="38"/>
      <c r="M2169" s="38"/>
      <c r="N2169" s="37"/>
      <c r="O2169" s="37"/>
      <c r="P2169" s="37"/>
      <c r="Q2169" s="37"/>
      <c r="R2169" s="39"/>
      <c r="S2169" s="37"/>
      <c r="T2169" s="38" t="s">
        <v>293</v>
      </c>
    </row>
    <row r="2170" ht="34.5">
      <c r="A2170" s="38" t="s">
        <v>1797</v>
      </c>
      <c r="B2170" s="38" t="s">
        <v>1798</v>
      </c>
      <c r="C2170" s="38" t="s">
        <v>1561</v>
      </c>
      <c r="D2170" s="38" t="s">
        <v>288</v>
      </c>
      <c r="E2170" s="38" t="s">
        <v>1799</v>
      </c>
      <c r="F2170" s="37" t="s">
        <v>1800</v>
      </c>
      <c r="G2170" s="38" t="s">
        <v>536</v>
      </c>
      <c r="H2170" s="37"/>
      <c r="I2170" s="37"/>
      <c r="J2170" s="37" t="s">
        <v>1441</v>
      </c>
      <c r="K2170" s="40"/>
      <c r="L2170" s="38"/>
      <c r="M2170" s="38"/>
      <c r="N2170" s="37"/>
      <c r="O2170" s="37"/>
      <c r="P2170" s="37"/>
      <c r="Q2170" s="37"/>
      <c r="R2170" s="39"/>
      <c r="S2170" s="37"/>
      <c r="T2170" s="38" t="s">
        <v>293</v>
      </c>
    </row>
    <row r="2171" ht="34.5">
      <c r="A2171" s="38" t="s">
        <v>1797</v>
      </c>
      <c r="B2171" s="38" t="s">
        <v>1798</v>
      </c>
      <c r="C2171" s="38" t="s">
        <v>1561</v>
      </c>
      <c r="D2171" s="38" t="s">
        <v>1637</v>
      </c>
      <c r="E2171" s="38" t="s">
        <v>1799</v>
      </c>
      <c r="F2171" s="37" t="s">
        <v>1800</v>
      </c>
      <c r="G2171" s="38" t="s">
        <v>536</v>
      </c>
      <c r="H2171" s="37"/>
      <c r="I2171" s="37"/>
      <c r="J2171" s="37" t="s">
        <v>1638</v>
      </c>
      <c r="K2171" s="40"/>
      <c r="L2171" s="38"/>
      <c r="M2171" s="38"/>
      <c r="N2171" s="37"/>
      <c r="O2171" s="37"/>
      <c r="P2171" s="37"/>
      <c r="Q2171" s="37"/>
      <c r="R2171" s="39"/>
      <c r="S2171" s="37"/>
      <c r="T2171" s="38" t="s">
        <v>293</v>
      </c>
    </row>
    <row r="2172" ht="34.5">
      <c r="A2172" s="38" t="s">
        <v>1797</v>
      </c>
      <c r="B2172" s="38" t="s">
        <v>1798</v>
      </c>
      <c r="C2172" s="38" t="s">
        <v>1561</v>
      </c>
      <c r="D2172" s="38" t="s">
        <v>288</v>
      </c>
      <c r="E2172" s="38" t="s">
        <v>1799</v>
      </c>
      <c r="F2172" s="37" t="s">
        <v>1800</v>
      </c>
      <c r="G2172" s="38" t="s">
        <v>536</v>
      </c>
      <c r="H2172" s="37"/>
      <c r="I2172" s="37"/>
      <c r="J2172" s="37" t="s">
        <v>1840</v>
      </c>
      <c r="K2172" s="40"/>
      <c r="L2172" s="38"/>
      <c r="M2172" s="38"/>
      <c r="N2172" s="37"/>
      <c r="O2172" s="37"/>
      <c r="P2172" s="37"/>
      <c r="Q2172" s="37"/>
      <c r="R2172" s="39"/>
      <c r="S2172" s="37"/>
      <c r="T2172" s="38" t="s">
        <v>293</v>
      </c>
    </row>
    <row r="2173" ht="34.5">
      <c r="A2173" s="38" t="s">
        <v>1797</v>
      </c>
      <c r="B2173" s="38" t="s">
        <v>1798</v>
      </c>
      <c r="C2173" s="38" t="s">
        <v>1561</v>
      </c>
      <c r="D2173" s="38" t="s">
        <v>288</v>
      </c>
      <c r="E2173" s="38" t="s">
        <v>1799</v>
      </c>
      <c r="F2173" s="37" t="s">
        <v>1800</v>
      </c>
      <c r="G2173" s="38" t="s">
        <v>536</v>
      </c>
      <c r="H2173" s="37"/>
      <c r="I2173" s="37"/>
      <c r="J2173" s="37" t="s">
        <v>1841</v>
      </c>
      <c r="K2173" s="40"/>
      <c r="L2173" s="38"/>
      <c r="M2173" s="38"/>
      <c r="N2173" s="37"/>
      <c r="O2173" s="37"/>
      <c r="P2173" s="37"/>
      <c r="Q2173" s="37"/>
      <c r="R2173" s="39"/>
      <c r="S2173" s="37"/>
      <c r="T2173" s="38" t="s">
        <v>293</v>
      </c>
    </row>
    <row r="2174" ht="34.5">
      <c r="A2174" s="38" t="s">
        <v>1797</v>
      </c>
      <c r="B2174" s="38" t="s">
        <v>1798</v>
      </c>
      <c r="C2174" s="38" t="s">
        <v>1561</v>
      </c>
      <c r="D2174" s="38" t="s">
        <v>288</v>
      </c>
      <c r="E2174" s="38" t="s">
        <v>1799</v>
      </c>
      <c r="F2174" s="37" t="s">
        <v>1800</v>
      </c>
      <c r="G2174" s="38" t="s">
        <v>536</v>
      </c>
      <c r="H2174" s="37"/>
      <c r="I2174" s="37"/>
      <c r="J2174" s="37" t="s">
        <v>1463</v>
      </c>
      <c r="K2174" s="40"/>
      <c r="L2174" s="38"/>
      <c r="M2174" s="38"/>
      <c r="N2174" s="37"/>
      <c r="O2174" s="37"/>
      <c r="P2174" s="37"/>
      <c r="Q2174" s="37"/>
      <c r="R2174" s="39"/>
      <c r="S2174" s="37"/>
      <c r="T2174" s="38" t="s">
        <v>293</v>
      </c>
    </row>
    <row r="2175" ht="34.5">
      <c r="A2175" s="38" t="s">
        <v>1797</v>
      </c>
      <c r="B2175" s="38" t="s">
        <v>1798</v>
      </c>
      <c r="C2175" s="38" t="s">
        <v>1561</v>
      </c>
      <c r="D2175" s="38" t="s">
        <v>288</v>
      </c>
      <c r="E2175" s="38" t="s">
        <v>1799</v>
      </c>
      <c r="F2175" s="37" t="s">
        <v>1800</v>
      </c>
      <c r="G2175" s="38" t="s">
        <v>536</v>
      </c>
      <c r="H2175" s="37"/>
      <c r="I2175" s="37"/>
      <c r="J2175" s="37" t="s">
        <v>1464</v>
      </c>
      <c r="K2175" s="40"/>
      <c r="L2175" s="38"/>
      <c r="M2175" s="38"/>
      <c r="N2175" s="37"/>
      <c r="O2175" s="37"/>
      <c r="P2175" s="37"/>
      <c r="Q2175" s="37"/>
      <c r="R2175" s="39"/>
      <c r="S2175" s="37"/>
      <c r="T2175" s="38" t="s">
        <v>293</v>
      </c>
    </row>
    <row r="2176" ht="34.5">
      <c r="A2176" s="38" t="s">
        <v>1797</v>
      </c>
      <c r="B2176" s="38" t="s">
        <v>1798</v>
      </c>
      <c r="C2176" s="38" t="s">
        <v>1561</v>
      </c>
      <c r="D2176" s="38" t="s">
        <v>288</v>
      </c>
      <c r="E2176" s="38" t="s">
        <v>1799</v>
      </c>
      <c r="F2176" s="37" t="s">
        <v>1800</v>
      </c>
      <c r="G2176" s="38" t="s">
        <v>536</v>
      </c>
      <c r="H2176" s="37"/>
      <c r="I2176" s="37"/>
      <c r="J2176" s="37" t="s">
        <v>1842</v>
      </c>
      <c r="K2176" s="40"/>
      <c r="L2176" s="38"/>
      <c r="M2176" s="38"/>
      <c r="N2176" s="37"/>
      <c r="O2176" s="37"/>
      <c r="P2176" s="37"/>
      <c r="Q2176" s="37"/>
      <c r="R2176" s="39"/>
      <c r="S2176" s="37"/>
      <c r="T2176" s="38" t="s">
        <v>293</v>
      </c>
    </row>
    <row r="2177" ht="34.5">
      <c r="A2177" s="38" t="s">
        <v>1797</v>
      </c>
      <c r="B2177" s="38" t="s">
        <v>1798</v>
      </c>
      <c r="C2177" s="38" t="s">
        <v>1569</v>
      </c>
      <c r="D2177" s="38" t="s">
        <v>288</v>
      </c>
      <c r="E2177" s="38" t="s">
        <v>1799</v>
      </c>
      <c r="F2177" s="37" t="s">
        <v>1800</v>
      </c>
      <c r="G2177" s="38" t="s">
        <v>536</v>
      </c>
      <c r="H2177" s="37"/>
      <c r="I2177" s="37"/>
      <c r="J2177" s="37" t="s">
        <v>1470</v>
      </c>
      <c r="K2177" s="40"/>
      <c r="L2177" s="38"/>
      <c r="M2177" s="38"/>
      <c r="N2177" s="37"/>
      <c r="O2177" s="37"/>
      <c r="P2177" s="37"/>
      <c r="Q2177" s="37"/>
      <c r="R2177" s="39"/>
      <c r="S2177" s="37"/>
      <c r="T2177" s="38" t="s">
        <v>293</v>
      </c>
    </row>
    <row r="2178" ht="34.5">
      <c r="A2178" s="38" t="s">
        <v>1797</v>
      </c>
      <c r="B2178" s="38" t="s">
        <v>1798</v>
      </c>
      <c r="C2178" s="38" t="s">
        <v>1569</v>
      </c>
      <c r="D2178" s="38" t="s">
        <v>288</v>
      </c>
      <c r="E2178" s="38" t="s">
        <v>1799</v>
      </c>
      <c r="F2178" s="37" t="s">
        <v>1800</v>
      </c>
      <c r="G2178" s="38" t="s">
        <v>536</v>
      </c>
      <c r="H2178" s="37"/>
      <c r="I2178" s="37"/>
      <c r="J2178" s="37" t="s">
        <v>1843</v>
      </c>
      <c r="K2178" s="40"/>
      <c r="L2178" s="38"/>
      <c r="M2178" s="38"/>
      <c r="N2178" s="37"/>
      <c r="O2178" s="37"/>
      <c r="P2178" s="37"/>
      <c r="Q2178" s="37"/>
      <c r="R2178" s="39"/>
      <c r="S2178" s="37"/>
      <c r="T2178" s="38" t="s">
        <v>293</v>
      </c>
    </row>
    <row r="2179" ht="34.5">
      <c r="A2179" s="38" t="s">
        <v>1797</v>
      </c>
      <c r="B2179" s="38" t="s">
        <v>1798</v>
      </c>
      <c r="C2179" s="38" t="s">
        <v>1569</v>
      </c>
      <c r="D2179" s="38" t="s">
        <v>288</v>
      </c>
      <c r="E2179" s="38" t="s">
        <v>1799</v>
      </c>
      <c r="F2179" s="37" t="s">
        <v>1800</v>
      </c>
      <c r="G2179" s="38" t="s">
        <v>536</v>
      </c>
      <c r="H2179" s="37"/>
      <c r="I2179" s="37"/>
      <c r="J2179" s="37" t="s">
        <v>1844</v>
      </c>
      <c r="K2179" s="40"/>
      <c r="L2179" s="38"/>
      <c r="M2179" s="38"/>
      <c r="N2179" s="37"/>
      <c r="O2179" s="37"/>
      <c r="P2179" s="37"/>
      <c r="Q2179" s="37"/>
      <c r="R2179" s="39"/>
      <c r="S2179" s="37"/>
      <c r="T2179" s="38" t="s">
        <v>293</v>
      </c>
    </row>
    <row r="2180" ht="34.5">
      <c r="A2180" s="38" t="s">
        <v>1797</v>
      </c>
      <c r="B2180" s="38" t="s">
        <v>1798</v>
      </c>
      <c r="C2180" s="38" t="s">
        <v>1569</v>
      </c>
      <c r="D2180" s="38" t="s">
        <v>288</v>
      </c>
      <c r="E2180" s="38" t="s">
        <v>1799</v>
      </c>
      <c r="F2180" s="37" t="s">
        <v>1800</v>
      </c>
      <c r="G2180" s="38" t="s">
        <v>536</v>
      </c>
      <c r="H2180" s="37"/>
      <c r="I2180" s="37"/>
      <c r="J2180" s="37" t="s">
        <v>1845</v>
      </c>
      <c r="K2180" s="40"/>
      <c r="L2180" s="38"/>
      <c r="M2180" s="38"/>
      <c r="N2180" s="37"/>
      <c r="O2180" s="37"/>
      <c r="P2180" s="37"/>
      <c r="Q2180" s="37"/>
      <c r="R2180" s="39"/>
      <c r="S2180" s="37"/>
      <c r="T2180" s="38" t="s">
        <v>293</v>
      </c>
    </row>
    <row r="2181" ht="34.5">
      <c r="A2181" s="38" t="s">
        <v>1797</v>
      </c>
      <c r="B2181" s="38" t="s">
        <v>1798</v>
      </c>
      <c r="C2181" s="38" t="s">
        <v>1569</v>
      </c>
      <c r="D2181" s="38" t="s">
        <v>288</v>
      </c>
      <c r="E2181" s="38" t="s">
        <v>1799</v>
      </c>
      <c r="F2181" s="37" t="s">
        <v>1800</v>
      </c>
      <c r="G2181" s="38" t="s">
        <v>536</v>
      </c>
      <c r="H2181" s="37"/>
      <c r="I2181" s="37"/>
      <c r="J2181" s="37" t="s">
        <v>1846</v>
      </c>
      <c r="K2181" s="40"/>
      <c r="L2181" s="38"/>
      <c r="M2181" s="38"/>
      <c r="N2181" s="37"/>
      <c r="O2181" s="37"/>
      <c r="P2181" s="37"/>
      <c r="Q2181" s="37"/>
      <c r="R2181" s="39"/>
      <c r="S2181" s="37"/>
      <c r="T2181" s="38" t="s">
        <v>293</v>
      </c>
    </row>
    <row r="2182" ht="34.5">
      <c r="A2182" s="38" t="s">
        <v>1797</v>
      </c>
      <c r="B2182" s="38" t="s">
        <v>1798</v>
      </c>
      <c r="C2182" s="38" t="s">
        <v>1569</v>
      </c>
      <c r="D2182" s="38" t="s">
        <v>288</v>
      </c>
      <c r="E2182" s="38" t="s">
        <v>1799</v>
      </c>
      <c r="F2182" s="37" t="s">
        <v>1800</v>
      </c>
      <c r="G2182" s="38" t="s">
        <v>536</v>
      </c>
      <c r="H2182" s="37"/>
      <c r="I2182" s="37"/>
      <c r="J2182" s="37" t="s">
        <v>1847</v>
      </c>
      <c r="K2182" s="40"/>
      <c r="L2182" s="38"/>
      <c r="M2182" s="38"/>
      <c r="N2182" s="37"/>
      <c r="O2182" s="37"/>
      <c r="P2182" s="37"/>
      <c r="Q2182" s="37"/>
      <c r="R2182" s="39"/>
      <c r="S2182" s="37"/>
      <c r="T2182" s="38" t="s">
        <v>293</v>
      </c>
    </row>
    <row r="2183" ht="34.5">
      <c r="A2183" s="38" t="s">
        <v>1797</v>
      </c>
      <c r="B2183" s="38" t="s">
        <v>1798</v>
      </c>
      <c r="C2183" s="38" t="s">
        <v>1569</v>
      </c>
      <c r="D2183" s="38" t="s">
        <v>288</v>
      </c>
      <c r="E2183" s="38" t="s">
        <v>1799</v>
      </c>
      <c r="F2183" s="37" t="s">
        <v>1800</v>
      </c>
      <c r="G2183" s="38" t="s">
        <v>536</v>
      </c>
      <c r="H2183" s="37"/>
      <c r="I2183" s="37"/>
      <c r="J2183" s="37" t="s">
        <v>1411</v>
      </c>
      <c r="K2183" s="40"/>
      <c r="L2183" s="38"/>
      <c r="M2183" s="38"/>
      <c r="N2183" s="37"/>
      <c r="O2183" s="37"/>
      <c r="P2183" s="37"/>
      <c r="Q2183" s="37"/>
      <c r="R2183" s="39"/>
      <c r="S2183" s="37"/>
      <c r="T2183" s="38" t="s">
        <v>293</v>
      </c>
    </row>
    <row r="2184" ht="34.5">
      <c r="A2184" s="38" t="s">
        <v>1797</v>
      </c>
      <c r="B2184" s="38" t="s">
        <v>1798</v>
      </c>
      <c r="C2184" s="38" t="s">
        <v>1569</v>
      </c>
      <c r="D2184" s="38" t="s">
        <v>288</v>
      </c>
      <c r="E2184" s="38" t="s">
        <v>1799</v>
      </c>
      <c r="F2184" s="37" t="s">
        <v>1800</v>
      </c>
      <c r="G2184" s="38" t="s">
        <v>536</v>
      </c>
      <c r="H2184" s="37"/>
      <c r="I2184" s="37"/>
      <c r="J2184" s="37" t="s">
        <v>1412</v>
      </c>
      <c r="K2184" s="40"/>
      <c r="L2184" s="38"/>
      <c r="M2184" s="38"/>
      <c r="N2184" s="37"/>
      <c r="O2184" s="37"/>
      <c r="P2184" s="37"/>
      <c r="Q2184" s="37"/>
      <c r="R2184" s="39"/>
      <c r="S2184" s="37"/>
      <c r="T2184" s="38" t="s">
        <v>293</v>
      </c>
    </row>
    <row r="2185" ht="34.5">
      <c r="A2185" s="38" t="s">
        <v>1797</v>
      </c>
      <c r="B2185" s="38" t="s">
        <v>1798</v>
      </c>
      <c r="C2185" s="38" t="s">
        <v>1569</v>
      </c>
      <c r="D2185" s="38" t="s">
        <v>288</v>
      </c>
      <c r="E2185" s="38" t="s">
        <v>1799</v>
      </c>
      <c r="F2185" s="37" t="s">
        <v>1800</v>
      </c>
      <c r="G2185" s="38" t="s">
        <v>536</v>
      </c>
      <c r="H2185" s="37"/>
      <c r="I2185" s="37"/>
      <c r="J2185" s="37" t="s">
        <v>1848</v>
      </c>
      <c r="K2185" s="40"/>
      <c r="L2185" s="38"/>
      <c r="M2185" s="38"/>
      <c r="N2185" s="37"/>
      <c r="O2185" s="37"/>
      <c r="P2185" s="37"/>
      <c r="Q2185" s="37"/>
      <c r="R2185" s="39"/>
      <c r="S2185" s="37"/>
      <c r="T2185" s="38" t="s">
        <v>293</v>
      </c>
    </row>
    <row r="2186" ht="34.5">
      <c r="A2186" s="38" t="s">
        <v>1797</v>
      </c>
      <c r="B2186" s="38" t="s">
        <v>1798</v>
      </c>
      <c r="C2186" s="38" t="s">
        <v>1569</v>
      </c>
      <c r="D2186" s="38" t="s">
        <v>288</v>
      </c>
      <c r="E2186" s="38" t="s">
        <v>1799</v>
      </c>
      <c r="F2186" s="37" t="s">
        <v>1800</v>
      </c>
      <c r="G2186" s="38" t="s">
        <v>536</v>
      </c>
      <c r="H2186" s="37"/>
      <c r="I2186" s="37"/>
      <c r="J2186" s="37" t="s">
        <v>1849</v>
      </c>
      <c r="K2186" s="40"/>
      <c r="L2186" s="38"/>
      <c r="M2186" s="38"/>
      <c r="N2186" s="37"/>
      <c r="O2186" s="37"/>
      <c r="P2186" s="37"/>
      <c r="Q2186" s="37"/>
      <c r="R2186" s="39"/>
      <c r="S2186" s="37"/>
      <c r="T2186" s="38" t="s">
        <v>293</v>
      </c>
    </row>
    <row r="2187" ht="34.5">
      <c r="A2187" s="38" t="s">
        <v>1797</v>
      </c>
      <c r="B2187" s="38" t="s">
        <v>1798</v>
      </c>
      <c r="C2187" s="38" t="s">
        <v>1582</v>
      </c>
      <c r="D2187" s="38" t="s">
        <v>288</v>
      </c>
      <c r="E2187" s="38" t="s">
        <v>1799</v>
      </c>
      <c r="F2187" s="37" t="s">
        <v>1800</v>
      </c>
      <c r="G2187" s="38" t="s">
        <v>536</v>
      </c>
      <c r="H2187" s="37"/>
      <c r="I2187" s="37"/>
      <c r="J2187" s="37" t="s">
        <v>1850</v>
      </c>
      <c r="K2187" s="40"/>
      <c r="L2187" s="38"/>
      <c r="M2187" s="38"/>
      <c r="N2187" s="37"/>
      <c r="O2187" s="37"/>
      <c r="P2187" s="37"/>
      <c r="Q2187" s="37"/>
      <c r="R2187" s="39"/>
      <c r="S2187" s="37"/>
      <c r="T2187" s="38" t="s">
        <v>293</v>
      </c>
    </row>
    <row r="2188" ht="34.5">
      <c r="A2188" s="38" t="s">
        <v>1797</v>
      </c>
      <c r="B2188" s="38" t="s">
        <v>1798</v>
      </c>
      <c r="C2188" s="38" t="s">
        <v>1582</v>
      </c>
      <c r="D2188" s="38" t="s">
        <v>288</v>
      </c>
      <c r="E2188" s="38" t="s">
        <v>1799</v>
      </c>
      <c r="F2188" s="37" t="s">
        <v>1800</v>
      </c>
      <c r="G2188" s="38" t="s">
        <v>536</v>
      </c>
      <c r="H2188" s="37"/>
      <c r="I2188" s="37"/>
      <c r="J2188" s="37" t="s">
        <v>1851</v>
      </c>
      <c r="K2188" s="40"/>
      <c r="L2188" s="38"/>
      <c r="M2188" s="38"/>
      <c r="N2188" s="37"/>
      <c r="O2188" s="37"/>
      <c r="P2188" s="37"/>
      <c r="Q2188" s="37"/>
      <c r="R2188" s="39"/>
      <c r="S2188" s="37"/>
      <c r="T2188" s="38" t="s">
        <v>293</v>
      </c>
    </row>
    <row r="2189" ht="34.5">
      <c r="A2189" s="38" t="s">
        <v>1797</v>
      </c>
      <c r="B2189" s="38" t="s">
        <v>1798</v>
      </c>
      <c r="C2189" s="38" t="s">
        <v>1582</v>
      </c>
      <c r="D2189" s="38" t="s">
        <v>288</v>
      </c>
      <c r="E2189" s="38" t="s">
        <v>1799</v>
      </c>
      <c r="F2189" s="37" t="s">
        <v>1800</v>
      </c>
      <c r="G2189" s="38" t="s">
        <v>536</v>
      </c>
      <c r="H2189" s="37"/>
      <c r="I2189" s="37"/>
      <c r="J2189" s="37" t="s">
        <v>1415</v>
      </c>
      <c r="K2189" s="40"/>
      <c r="L2189" s="38"/>
      <c r="M2189" s="38"/>
      <c r="N2189" s="37"/>
      <c r="O2189" s="37"/>
      <c r="P2189" s="37"/>
      <c r="Q2189" s="37"/>
      <c r="R2189" s="39"/>
      <c r="S2189" s="37"/>
      <c r="T2189" s="38" t="s">
        <v>293</v>
      </c>
    </row>
    <row r="2190" ht="34.5">
      <c r="A2190" s="38" t="s">
        <v>1797</v>
      </c>
      <c r="B2190" s="38" t="s">
        <v>1798</v>
      </c>
      <c r="C2190" s="38" t="s">
        <v>1582</v>
      </c>
      <c r="D2190" s="38" t="s">
        <v>288</v>
      </c>
      <c r="E2190" s="38" t="s">
        <v>1799</v>
      </c>
      <c r="F2190" s="37" t="s">
        <v>1800</v>
      </c>
      <c r="G2190" s="38" t="s">
        <v>536</v>
      </c>
      <c r="H2190" s="37"/>
      <c r="I2190" s="37"/>
      <c r="J2190" s="37" t="s">
        <v>1852</v>
      </c>
      <c r="K2190" s="40"/>
      <c r="L2190" s="38"/>
      <c r="M2190" s="38"/>
      <c r="N2190" s="37"/>
      <c r="O2190" s="37"/>
      <c r="P2190" s="37"/>
      <c r="Q2190" s="37"/>
      <c r="R2190" s="39"/>
      <c r="S2190" s="37"/>
      <c r="T2190" s="38" t="s">
        <v>293</v>
      </c>
    </row>
    <row r="2191" ht="34.5">
      <c r="A2191" s="38" t="s">
        <v>1797</v>
      </c>
      <c r="B2191" s="38" t="s">
        <v>1798</v>
      </c>
      <c r="C2191" s="38" t="s">
        <v>1582</v>
      </c>
      <c r="D2191" s="38" t="s">
        <v>288</v>
      </c>
      <c r="E2191" s="38" t="s">
        <v>1799</v>
      </c>
      <c r="F2191" s="37" t="s">
        <v>1800</v>
      </c>
      <c r="G2191" s="38" t="s">
        <v>536</v>
      </c>
      <c r="H2191" s="37"/>
      <c r="I2191" s="37"/>
      <c r="J2191" s="37" t="s">
        <v>1576</v>
      </c>
      <c r="K2191" s="40"/>
      <c r="L2191" s="38"/>
      <c r="M2191" s="38"/>
      <c r="N2191" s="37"/>
      <c r="O2191" s="37"/>
      <c r="P2191" s="37"/>
      <c r="Q2191" s="37"/>
      <c r="R2191" s="39"/>
      <c r="S2191" s="37"/>
      <c r="T2191" s="38" t="s">
        <v>293</v>
      </c>
    </row>
    <row r="2192" ht="34.5">
      <c r="A2192" s="38" t="s">
        <v>1797</v>
      </c>
      <c r="B2192" s="38" t="s">
        <v>1798</v>
      </c>
      <c r="C2192" s="38" t="s">
        <v>1582</v>
      </c>
      <c r="D2192" s="38" t="s">
        <v>288</v>
      </c>
      <c r="E2192" s="38" t="s">
        <v>1799</v>
      </c>
      <c r="F2192" s="37" t="s">
        <v>1800</v>
      </c>
      <c r="G2192" s="38" t="s">
        <v>536</v>
      </c>
      <c r="H2192" s="37"/>
      <c r="I2192" s="37"/>
      <c r="J2192" s="37" t="s">
        <v>1853</v>
      </c>
      <c r="K2192" s="40"/>
      <c r="L2192" s="38"/>
      <c r="M2192" s="38"/>
      <c r="N2192" s="37"/>
      <c r="O2192" s="37"/>
      <c r="P2192" s="37"/>
      <c r="Q2192" s="37"/>
      <c r="R2192" s="39"/>
      <c r="S2192" s="37"/>
      <c r="T2192" s="38" t="s">
        <v>293</v>
      </c>
    </row>
    <row r="2193" ht="34.5">
      <c r="A2193" s="38" t="s">
        <v>1797</v>
      </c>
      <c r="B2193" s="38" t="s">
        <v>1798</v>
      </c>
      <c r="C2193" s="38" t="s">
        <v>1582</v>
      </c>
      <c r="D2193" s="38" t="s">
        <v>288</v>
      </c>
      <c r="E2193" s="38" t="s">
        <v>1799</v>
      </c>
      <c r="F2193" s="37" t="s">
        <v>1800</v>
      </c>
      <c r="G2193" s="38" t="s">
        <v>536</v>
      </c>
      <c r="H2193" s="37"/>
      <c r="I2193" s="37"/>
      <c r="J2193" s="37" t="s">
        <v>1854</v>
      </c>
      <c r="K2193" s="40"/>
      <c r="L2193" s="38"/>
      <c r="M2193" s="38"/>
      <c r="N2193" s="37"/>
      <c r="O2193" s="37"/>
      <c r="P2193" s="37"/>
      <c r="Q2193" s="37"/>
      <c r="R2193" s="39"/>
      <c r="S2193" s="37"/>
      <c r="T2193" s="38" t="s">
        <v>293</v>
      </c>
    </row>
    <row r="2194" ht="34.5">
      <c r="A2194" s="38" t="s">
        <v>1797</v>
      </c>
      <c r="B2194" s="38" t="s">
        <v>1798</v>
      </c>
      <c r="C2194" s="38" t="s">
        <v>1582</v>
      </c>
      <c r="D2194" s="38" t="s">
        <v>288</v>
      </c>
      <c r="E2194" s="38" t="s">
        <v>1799</v>
      </c>
      <c r="F2194" s="37" t="s">
        <v>1800</v>
      </c>
      <c r="G2194" s="38" t="s">
        <v>536</v>
      </c>
      <c r="H2194" s="37"/>
      <c r="I2194" s="37"/>
      <c r="J2194" s="37" t="s">
        <v>1855</v>
      </c>
      <c r="K2194" s="40"/>
      <c r="L2194" s="38"/>
      <c r="M2194" s="38"/>
      <c r="N2194" s="37"/>
      <c r="O2194" s="37"/>
      <c r="P2194" s="37"/>
      <c r="Q2194" s="37"/>
      <c r="R2194" s="39"/>
      <c r="S2194" s="37"/>
      <c r="T2194" s="38" t="s">
        <v>293</v>
      </c>
    </row>
    <row r="2195" ht="34.5">
      <c r="A2195" s="38" t="s">
        <v>1797</v>
      </c>
      <c r="B2195" s="38" t="s">
        <v>1798</v>
      </c>
      <c r="C2195" s="38" t="s">
        <v>1582</v>
      </c>
      <c r="D2195" s="38" t="s">
        <v>288</v>
      </c>
      <c r="E2195" s="38" t="s">
        <v>1799</v>
      </c>
      <c r="F2195" s="37" t="s">
        <v>1800</v>
      </c>
      <c r="G2195" s="38" t="s">
        <v>536</v>
      </c>
      <c r="H2195" s="37"/>
      <c r="I2195" s="37"/>
      <c r="J2195" s="37" t="s">
        <v>1856</v>
      </c>
      <c r="K2195" s="40"/>
      <c r="L2195" s="38"/>
      <c r="M2195" s="38"/>
      <c r="N2195" s="37"/>
      <c r="O2195" s="37"/>
      <c r="P2195" s="37"/>
      <c r="Q2195" s="37"/>
      <c r="R2195" s="39"/>
      <c r="S2195" s="37"/>
      <c r="T2195" s="38" t="s">
        <v>293</v>
      </c>
    </row>
    <row r="2196" ht="34.5">
      <c r="A2196" s="38" t="s">
        <v>1797</v>
      </c>
      <c r="B2196" s="38" t="s">
        <v>1798</v>
      </c>
      <c r="C2196" s="38" t="s">
        <v>1582</v>
      </c>
      <c r="D2196" s="38" t="s">
        <v>288</v>
      </c>
      <c r="E2196" s="38" t="s">
        <v>1799</v>
      </c>
      <c r="F2196" s="37" t="s">
        <v>1800</v>
      </c>
      <c r="G2196" s="38" t="s">
        <v>536</v>
      </c>
      <c r="H2196" s="37"/>
      <c r="I2196" s="37"/>
      <c r="J2196" s="37" t="s">
        <v>1574</v>
      </c>
      <c r="K2196" s="40"/>
      <c r="L2196" s="38"/>
      <c r="M2196" s="38"/>
      <c r="N2196" s="37"/>
      <c r="O2196" s="37"/>
      <c r="P2196" s="37"/>
      <c r="Q2196" s="37"/>
      <c r="R2196" s="39"/>
      <c r="S2196" s="37"/>
      <c r="T2196" s="38" t="s">
        <v>293</v>
      </c>
    </row>
    <row r="2197" ht="34.5">
      <c r="A2197" s="38" t="s">
        <v>1797</v>
      </c>
      <c r="B2197" s="38" t="s">
        <v>1798</v>
      </c>
      <c r="C2197" s="38" t="s">
        <v>1589</v>
      </c>
      <c r="D2197" s="38" t="s">
        <v>288</v>
      </c>
      <c r="E2197" s="38" t="s">
        <v>1799</v>
      </c>
      <c r="F2197" s="37" t="s">
        <v>1800</v>
      </c>
      <c r="G2197" s="38" t="s">
        <v>536</v>
      </c>
      <c r="H2197" s="37"/>
      <c r="I2197" s="37"/>
      <c r="J2197" s="37" t="s">
        <v>1857</v>
      </c>
      <c r="K2197" s="40"/>
      <c r="L2197" s="38"/>
      <c r="M2197" s="38"/>
      <c r="N2197" s="37"/>
      <c r="O2197" s="37"/>
      <c r="P2197" s="37"/>
      <c r="Q2197" s="37"/>
      <c r="R2197" s="39"/>
      <c r="S2197" s="37"/>
      <c r="T2197" s="38" t="s">
        <v>293</v>
      </c>
    </row>
    <row r="2198" ht="34.5">
      <c r="A2198" s="38" t="s">
        <v>1797</v>
      </c>
      <c r="B2198" s="38" t="s">
        <v>1798</v>
      </c>
      <c r="C2198" s="38" t="s">
        <v>1589</v>
      </c>
      <c r="D2198" s="38" t="s">
        <v>288</v>
      </c>
      <c r="E2198" s="38" t="s">
        <v>1799</v>
      </c>
      <c r="F2198" s="37" t="s">
        <v>1800</v>
      </c>
      <c r="G2198" s="38" t="s">
        <v>536</v>
      </c>
      <c r="H2198" s="37"/>
      <c r="I2198" s="37"/>
      <c r="J2198" s="37" t="s">
        <v>1535</v>
      </c>
      <c r="K2198" s="40"/>
      <c r="L2198" s="38"/>
      <c r="M2198" s="38"/>
      <c r="N2198" s="37"/>
      <c r="O2198" s="37"/>
      <c r="P2198" s="37"/>
      <c r="Q2198" s="37"/>
      <c r="R2198" s="39"/>
      <c r="S2198" s="37"/>
      <c r="T2198" s="38" t="s">
        <v>293</v>
      </c>
    </row>
    <row r="2199" ht="34.5">
      <c r="A2199" s="38" t="s">
        <v>1797</v>
      </c>
      <c r="B2199" s="38" t="s">
        <v>1798</v>
      </c>
      <c r="C2199" s="38" t="s">
        <v>1589</v>
      </c>
      <c r="D2199" s="38" t="s">
        <v>288</v>
      </c>
      <c r="E2199" s="38" t="s">
        <v>1799</v>
      </c>
      <c r="F2199" s="37" t="s">
        <v>1800</v>
      </c>
      <c r="G2199" s="38" t="s">
        <v>536</v>
      </c>
      <c r="H2199" s="37"/>
      <c r="I2199" s="37"/>
      <c r="J2199" s="37" t="s">
        <v>1858</v>
      </c>
      <c r="K2199" s="40"/>
      <c r="L2199" s="38"/>
      <c r="M2199" s="38"/>
      <c r="N2199" s="37"/>
      <c r="O2199" s="37"/>
      <c r="P2199" s="37"/>
      <c r="Q2199" s="37"/>
      <c r="R2199" s="39"/>
      <c r="S2199" s="37"/>
      <c r="T2199" s="38" t="s">
        <v>293</v>
      </c>
    </row>
    <row r="2200" ht="34.5">
      <c r="A2200" s="38" t="s">
        <v>1797</v>
      </c>
      <c r="B2200" s="38" t="s">
        <v>1798</v>
      </c>
      <c r="C2200" s="38" t="s">
        <v>1589</v>
      </c>
      <c r="D2200" s="38" t="s">
        <v>288</v>
      </c>
      <c r="E2200" s="38" t="s">
        <v>1799</v>
      </c>
      <c r="F2200" s="37" t="s">
        <v>1800</v>
      </c>
      <c r="G2200" s="38" t="s">
        <v>536</v>
      </c>
      <c r="H2200" s="37"/>
      <c r="I2200" s="37"/>
      <c r="J2200" s="37" t="s">
        <v>1859</v>
      </c>
      <c r="K2200" s="40"/>
      <c r="L2200" s="38"/>
      <c r="M2200" s="38"/>
      <c r="N2200" s="37"/>
      <c r="O2200" s="37"/>
      <c r="P2200" s="37"/>
      <c r="Q2200" s="37"/>
      <c r="R2200" s="39"/>
      <c r="S2200" s="37"/>
      <c r="T2200" s="38" t="s">
        <v>293</v>
      </c>
    </row>
    <row r="2201" ht="34.5">
      <c r="A2201" s="38" t="s">
        <v>1797</v>
      </c>
      <c r="B2201" s="38" t="s">
        <v>1798</v>
      </c>
      <c r="C2201" s="38" t="s">
        <v>1589</v>
      </c>
      <c r="D2201" s="38" t="s">
        <v>288</v>
      </c>
      <c r="E2201" s="38" t="s">
        <v>1799</v>
      </c>
      <c r="F2201" s="37" t="s">
        <v>1800</v>
      </c>
      <c r="G2201" s="38" t="s">
        <v>536</v>
      </c>
      <c r="H2201" s="37"/>
      <c r="I2201" s="37"/>
      <c r="J2201" s="37" t="s">
        <v>1560</v>
      </c>
      <c r="K2201" s="40"/>
      <c r="L2201" s="38"/>
      <c r="M2201" s="38"/>
      <c r="N2201" s="37"/>
      <c r="O2201" s="37"/>
      <c r="P2201" s="37"/>
      <c r="Q2201" s="37"/>
      <c r="R2201" s="39"/>
      <c r="S2201" s="37"/>
      <c r="T2201" s="38" t="s">
        <v>293</v>
      </c>
    </row>
    <row r="2202" ht="34.5">
      <c r="A2202" s="38" t="s">
        <v>1797</v>
      </c>
      <c r="B2202" s="38" t="s">
        <v>1798</v>
      </c>
      <c r="C2202" s="38" t="s">
        <v>1589</v>
      </c>
      <c r="D2202" s="38" t="s">
        <v>288</v>
      </c>
      <c r="E2202" s="38" t="s">
        <v>1799</v>
      </c>
      <c r="F2202" s="37" t="s">
        <v>1800</v>
      </c>
      <c r="G2202" s="38" t="s">
        <v>536</v>
      </c>
      <c r="H2202" s="37"/>
      <c r="I2202" s="37"/>
      <c r="J2202" s="37" t="s">
        <v>1860</v>
      </c>
      <c r="K2202" s="40"/>
      <c r="L2202" s="38"/>
      <c r="M2202" s="38"/>
      <c r="N2202" s="37"/>
      <c r="O2202" s="37"/>
      <c r="P2202" s="37"/>
      <c r="Q2202" s="37"/>
      <c r="R2202" s="39"/>
      <c r="S2202" s="37"/>
      <c r="T2202" s="38" t="s">
        <v>293</v>
      </c>
    </row>
    <row r="2203" ht="34.5">
      <c r="A2203" s="38" t="s">
        <v>1797</v>
      </c>
      <c r="B2203" s="38" t="s">
        <v>1798</v>
      </c>
      <c r="C2203" s="38" t="s">
        <v>1589</v>
      </c>
      <c r="D2203" s="38" t="s">
        <v>288</v>
      </c>
      <c r="E2203" s="38" t="s">
        <v>1799</v>
      </c>
      <c r="F2203" s="37" t="s">
        <v>1800</v>
      </c>
      <c r="G2203" s="38" t="s">
        <v>536</v>
      </c>
      <c r="H2203" s="37"/>
      <c r="I2203" s="37"/>
      <c r="J2203" s="37" t="s">
        <v>1861</v>
      </c>
      <c r="K2203" s="40"/>
      <c r="L2203" s="38"/>
      <c r="M2203" s="38"/>
      <c r="N2203" s="37"/>
      <c r="O2203" s="37"/>
      <c r="P2203" s="37"/>
      <c r="Q2203" s="37"/>
      <c r="R2203" s="39"/>
      <c r="S2203" s="37"/>
      <c r="T2203" s="38" t="s">
        <v>293</v>
      </c>
    </row>
    <row r="2204" ht="34.5">
      <c r="A2204" s="38" t="s">
        <v>1797</v>
      </c>
      <c r="B2204" s="38" t="s">
        <v>1798</v>
      </c>
      <c r="C2204" s="38" t="s">
        <v>1589</v>
      </c>
      <c r="D2204" s="38" t="s">
        <v>288</v>
      </c>
      <c r="E2204" s="38" t="s">
        <v>1799</v>
      </c>
      <c r="F2204" s="37" t="s">
        <v>1800</v>
      </c>
      <c r="G2204" s="38" t="s">
        <v>536</v>
      </c>
      <c r="H2204" s="37"/>
      <c r="I2204" s="37"/>
      <c r="J2204" s="37" t="s">
        <v>1862</v>
      </c>
      <c r="K2204" s="40"/>
      <c r="L2204" s="38"/>
      <c r="M2204" s="38"/>
      <c r="N2204" s="37"/>
      <c r="O2204" s="37"/>
      <c r="P2204" s="37"/>
      <c r="Q2204" s="37"/>
      <c r="R2204" s="39"/>
      <c r="S2204" s="37"/>
      <c r="T2204" s="38" t="s">
        <v>293</v>
      </c>
    </row>
    <row r="2205" ht="34.5">
      <c r="A2205" s="38" t="s">
        <v>1797</v>
      </c>
      <c r="B2205" s="38" t="s">
        <v>1798</v>
      </c>
      <c r="C2205" s="38" t="s">
        <v>1589</v>
      </c>
      <c r="D2205" s="38" t="s">
        <v>288</v>
      </c>
      <c r="E2205" s="38" t="s">
        <v>1799</v>
      </c>
      <c r="F2205" s="37" t="s">
        <v>1800</v>
      </c>
      <c r="G2205" s="38" t="s">
        <v>536</v>
      </c>
      <c r="H2205" s="37"/>
      <c r="I2205" s="37"/>
      <c r="J2205" s="37" t="s">
        <v>1566</v>
      </c>
      <c r="K2205" s="40"/>
      <c r="L2205" s="38"/>
      <c r="M2205" s="38"/>
      <c r="N2205" s="37"/>
      <c r="O2205" s="37"/>
      <c r="P2205" s="37"/>
      <c r="Q2205" s="37"/>
      <c r="R2205" s="39"/>
      <c r="S2205" s="37"/>
      <c r="T2205" s="38" t="s">
        <v>293</v>
      </c>
    </row>
    <row r="2206" ht="34.5">
      <c r="A2206" s="38" t="s">
        <v>1797</v>
      </c>
      <c r="B2206" s="38" t="s">
        <v>1798</v>
      </c>
      <c r="C2206" s="38" t="s">
        <v>1600</v>
      </c>
      <c r="D2206" s="38" t="s">
        <v>288</v>
      </c>
      <c r="E2206" s="38" t="s">
        <v>1799</v>
      </c>
      <c r="F2206" s="37" t="s">
        <v>1800</v>
      </c>
      <c r="G2206" s="38" t="s">
        <v>536</v>
      </c>
      <c r="H2206" s="37"/>
      <c r="I2206" s="37"/>
      <c r="J2206" s="37" t="s">
        <v>1863</v>
      </c>
      <c r="K2206" s="40"/>
      <c r="L2206" s="38"/>
      <c r="M2206" s="38"/>
      <c r="N2206" s="37"/>
      <c r="O2206" s="37"/>
      <c r="P2206" s="37"/>
      <c r="Q2206" s="37"/>
      <c r="R2206" s="39"/>
      <c r="S2206" s="37"/>
      <c r="T2206" s="38" t="s">
        <v>293</v>
      </c>
    </row>
    <row r="2207" ht="34.5">
      <c r="A2207" s="38" t="s">
        <v>1797</v>
      </c>
      <c r="B2207" s="38" t="s">
        <v>1798</v>
      </c>
      <c r="C2207" s="38" t="s">
        <v>1600</v>
      </c>
      <c r="D2207" s="38" t="s">
        <v>288</v>
      </c>
      <c r="E2207" s="38" t="s">
        <v>1799</v>
      </c>
      <c r="F2207" s="37" t="s">
        <v>1800</v>
      </c>
      <c r="G2207" s="38" t="s">
        <v>536</v>
      </c>
      <c r="H2207" s="37"/>
      <c r="I2207" s="37"/>
      <c r="J2207" s="37" t="s">
        <v>1864</v>
      </c>
      <c r="K2207" s="40"/>
      <c r="L2207" s="38"/>
      <c r="M2207" s="38"/>
      <c r="N2207" s="37"/>
      <c r="O2207" s="37"/>
      <c r="P2207" s="37"/>
      <c r="Q2207" s="37"/>
      <c r="R2207" s="39"/>
      <c r="S2207" s="37"/>
      <c r="T2207" s="38" t="s">
        <v>293</v>
      </c>
    </row>
    <row r="2208" ht="34.5">
      <c r="A2208" s="38" t="s">
        <v>1797</v>
      </c>
      <c r="B2208" s="38" t="s">
        <v>1798</v>
      </c>
      <c r="C2208" s="38" t="s">
        <v>1600</v>
      </c>
      <c r="D2208" s="38" t="s">
        <v>288</v>
      </c>
      <c r="E2208" s="38" t="s">
        <v>1799</v>
      </c>
      <c r="F2208" s="37" t="s">
        <v>1800</v>
      </c>
      <c r="G2208" s="38" t="s">
        <v>536</v>
      </c>
      <c r="H2208" s="37"/>
      <c r="I2208" s="37"/>
      <c r="J2208" s="37" t="s">
        <v>1865</v>
      </c>
      <c r="K2208" s="40"/>
      <c r="L2208" s="38"/>
      <c r="M2208" s="38"/>
      <c r="N2208" s="37"/>
      <c r="O2208" s="37"/>
      <c r="P2208" s="37"/>
      <c r="Q2208" s="37"/>
      <c r="R2208" s="39"/>
      <c r="S2208" s="37"/>
      <c r="T2208" s="38" t="s">
        <v>293</v>
      </c>
    </row>
    <row r="2209" ht="34.5">
      <c r="A2209" s="38" t="s">
        <v>1797</v>
      </c>
      <c r="B2209" s="38" t="s">
        <v>1798</v>
      </c>
      <c r="C2209" s="38" t="s">
        <v>1600</v>
      </c>
      <c r="D2209" s="38" t="s">
        <v>288</v>
      </c>
      <c r="E2209" s="38" t="s">
        <v>1799</v>
      </c>
      <c r="F2209" s="37" t="s">
        <v>1800</v>
      </c>
      <c r="G2209" s="38" t="s">
        <v>536</v>
      </c>
      <c r="H2209" s="37"/>
      <c r="I2209" s="37"/>
      <c r="J2209" s="37" t="s">
        <v>1598</v>
      </c>
      <c r="K2209" s="40"/>
      <c r="L2209" s="38"/>
      <c r="M2209" s="38"/>
      <c r="N2209" s="37"/>
      <c r="O2209" s="37"/>
      <c r="P2209" s="37"/>
      <c r="Q2209" s="37"/>
      <c r="R2209" s="39"/>
      <c r="S2209" s="37"/>
      <c r="T2209" s="38" t="s">
        <v>293</v>
      </c>
    </row>
    <row r="2210" ht="34.5">
      <c r="A2210" s="38" t="s">
        <v>1797</v>
      </c>
      <c r="B2210" s="38" t="s">
        <v>1798</v>
      </c>
      <c r="C2210" s="38" t="s">
        <v>1600</v>
      </c>
      <c r="D2210" s="38" t="s">
        <v>288</v>
      </c>
      <c r="E2210" s="38" t="s">
        <v>1799</v>
      </c>
      <c r="F2210" s="37" t="s">
        <v>1800</v>
      </c>
      <c r="G2210" s="38" t="s">
        <v>536</v>
      </c>
      <c r="H2210" s="37"/>
      <c r="I2210" s="37"/>
      <c r="J2210" s="37" t="s">
        <v>1866</v>
      </c>
      <c r="K2210" s="40"/>
      <c r="L2210" s="38"/>
      <c r="M2210" s="38"/>
      <c r="N2210" s="37"/>
      <c r="O2210" s="37"/>
      <c r="P2210" s="37"/>
      <c r="Q2210" s="37"/>
      <c r="R2210" s="39"/>
      <c r="S2210" s="37"/>
      <c r="T2210" s="38" t="s">
        <v>293</v>
      </c>
    </row>
    <row r="2211" ht="34.5">
      <c r="A2211" s="38" t="s">
        <v>1797</v>
      </c>
      <c r="B2211" s="38" t="s">
        <v>1798</v>
      </c>
      <c r="C2211" s="38" t="s">
        <v>1600</v>
      </c>
      <c r="D2211" s="38" t="s">
        <v>288</v>
      </c>
      <c r="E2211" s="38" t="s">
        <v>1799</v>
      </c>
      <c r="F2211" s="37" t="s">
        <v>1800</v>
      </c>
      <c r="G2211" s="38" t="s">
        <v>536</v>
      </c>
      <c r="H2211" s="37"/>
      <c r="I2211" s="37"/>
      <c r="J2211" s="37" t="s">
        <v>1867</v>
      </c>
      <c r="K2211" s="40"/>
      <c r="L2211" s="38"/>
      <c r="M2211" s="38"/>
      <c r="N2211" s="37"/>
      <c r="O2211" s="37"/>
      <c r="P2211" s="37"/>
      <c r="Q2211" s="37"/>
      <c r="R2211" s="39"/>
      <c r="S2211" s="37"/>
      <c r="T2211" s="38" t="s">
        <v>293</v>
      </c>
    </row>
    <row r="2212" ht="34.5">
      <c r="A2212" s="38" t="s">
        <v>1797</v>
      </c>
      <c r="B2212" s="38" t="s">
        <v>1798</v>
      </c>
      <c r="C2212" s="38" t="s">
        <v>1600</v>
      </c>
      <c r="D2212" s="38" t="s">
        <v>288</v>
      </c>
      <c r="E2212" s="38" t="s">
        <v>1799</v>
      </c>
      <c r="F2212" s="37" t="s">
        <v>1800</v>
      </c>
      <c r="G2212" s="38" t="s">
        <v>536</v>
      </c>
      <c r="H2212" s="37"/>
      <c r="I2212" s="37"/>
      <c r="J2212" s="37" t="s">
        <v>1868</v>
      </c>
      <c r="K2212" s="40"/>
      <c r="L2212" s="38"/>
      <c r="M2212" s="38"/>
      <c r="N2212" s="37"/>
      <c r="O2212" s="37"/>
      <c r="P2212" s="37"/>
      <c r="Q2212" s="37"/>
      <c r="R2212" s="39"/>
      <c r="S2212" s="37"/>
      <c r="T2212" s="38" t="s">
        <v>293</v>
      </c>
    </row>
    <row r="2213" ht="34.5">
      <c r="A2213" s="38" t="s">
        <v>1797</v>
      </c>
      <c r="B2213" s="38" t="s">
        <v>1798</v>
      </c>
      <c r="C2213" s="38" t="s">
        <v>1600</v>
      </c>
      <c r="D2213" s="38" t="s">
        <v>288</v>
      </c>
      <c r="E2213" s="38" t="s">
        <v>1799</v>
      </c>
      <c r="F2213" s="37" t="s">
        <v>1800</v>
      </c>
      <c r="G2213" s="38" t="s">
        <v>536</v>
      </c>
      <c r="H2213" s="37"/>
      <c r="I2213" s="37"/>
      <c r="J2213" s="37" t="s">
        <v>1869</v>
      </c>
      <c r="K2213" s="40"/>
      <c r="L2213" s="38"/>
      <c r="M2213" s="38"/>
      <c r="N2213" s="37"/>
      <c r="O2213" s="37"/>
      <c r="P2213" s="37"/>
      <c r="Q2213" s="37"/>
      <c r="R2213" s="39"/>
      <c r="S2213" s="37"/>
      <c r="T2213" s="38" t="s">
        <v>293</v>
      </c>
    </row>
    <row r="2214" ht="34.5">
      <c r="A2214" s="38" t="s">
        <v>1797</v>
      </c>
      <c r="B2214" s="38" t="s">
        <v>1798</v>
      </c>
      <c r="C2214" s="38" t="s">
        <v>1600</v>
      </c>
      <c r="D2214" s="38" t="s">
        <v>288</v>
      </c>
      <c r="E2214" s="38" t="s">
        <v>1799</v>
      </c>
      <c r="F2214" s="37" t="s">
        <v>1800</v>
      </c>
      <c r="G2214" s="38" t="s">
        <v>536</v>
      </c>
      <c r="H2214" s="37"/>
      <c r="I2214" s="37"/>
      <c r="J2214" s="37" t="s">
        <v>1633</v>
      </c>
      <c r="K2214" s="40"/>
      <c r="L2214" s="38"/>
      <c r="M2214" s="38"/>
      <c r="N2214" s="37"/>
      <c r="O2214" s="37"/>
      <c r="P2214" s="37"/>
      <c r="Q2214" s="37"/>
      <c r="R2214" s="39"/>
      <c r="S2214" s="37"/>
      <c r="T2214" s="38" t="s">
        <v>293</v>
      </c>
    </row>
    <row r="2215" ht="34.5">
      <c r="A2215" s="38" t="s">
        <v>1797</v>
      </c>
      <c r="B2215" s="38" t="s">
        <v>1798</v>
      </c>
      <c r="C2215" s="38" t="s">
        <v>886</v>
      </c>
      <c r="D2215" s="38" t="s">
        <v>288</v>
      </c>
      <c r="E2215" s="38" t="s">
        <v>1799</v>
      </c>
      <c r="F2215" s="37" t="s">
        <v>1800</v>
      </c>
      <c r="G2215" s="38" t="s">
        <v>536</v>
      </c>
      <c r="H2215" s="37"/>
      <c r="I2215" s="37"/>
      <c r="J2215" s="37" t="s">
        <v>1870</v>
      </c>
      <c r="K2215" s="40"/>
      <c r="L2215" s="38"/>
      <c r="M2215" s="38"/>
      <c r="N2215" s="37"/>
      <c r="O2215" s="37"/>
      <c r="P2215" s="37"/>
      <c r="Q2215" s="37"/>
      <c r="R2215" s="39"/>
      <c r="S2215" s="37"/>
      <c r="T2215" s="38" t="s">
        <v>293</v>
      </c>
    </row>
    <row r="2216" ht="34.5">
      <c r="A2216" s="38" t="s">
        <v>1797</v>
      </c>
      <c r="B2216" s="38" t="s">
        <v>1798</v>
      </c>
      <c r="C2216" s="38" t="s">
        <v>886</v>
      </c>
      <c r="D2216" s="38" t="s">
        <v>288</v>
      </c>
      <c r="E2216" s="38" t="s">
        <v>1799</v>
      </c>
      <c r="F2216" s="37" t="s">
        <v>1800</v>
      </c>
      <c r="G2216" s="38" t="s">
        <v>536</v>
      </c>
      <c r="H2216" s="37"/>
      <c r="I2216" s="37"/>
      <c r="J2216" s="37" t="s">
        <v>1871</v>
      </c>
      <c r="K2216" s="40"/>
      <c r="L2216" s="38"/>
      <c r="M2216" s="38"/>
      <c r="N2216" s="37"/>
      <c r="O2216" s="37"/>
      <c r="P2216" s="37"/>
      <c r="Q2216" s="37"/>
      <c r="R2216" s="39"/>
      <c r="S2216" s="37"/>
      <c r="T2216" s="38" t="s">
        <v>293</v>
      </c>
    </row>
    <row r="2217" ht="34.5">
      <c r="A2217" s="38" t="s">
        <v>1797</v>
      </c>
      <c r="B2217" s="38" t="s">
        <v>1798</v>
      </c>
      <c r="C2217" s="38" t="s">
        <v>886</v>
      </c>
      <c r="D2217" s="38" t="s">
        <v>288</v>
      </c>
      <c r="E2217" s="38" t="s">
        <v>1799</v>
      </c>
      <c r="F2217" s="37" t="s">
        <v>1800</v>
      </c>
      <c r="G2217" s="38" t="s">
        <v>536</v>
      </c>
      <c r="H2217" s="37"/>
      <c r="I2217" s="37"/>
      <c r="J2217" s="37" t="s">
        <v>1872</v>
      </c>
      <c r="K2217" s="40"/>
      <c r="L2217" s="38"/>
      <c r="M2217" s="38"/>
      <c r="N2217" s="37"/>
      <c r="O2217" s="37"/>
      <c r="P2217" s="37"/>
      <c r="Q2217" s="37"/>
      <c r="R2217" s="39"/>
      <c r="S2217" s="37"/>
      <c r="T2217" s="38" t="s">
        <v>293</v>
      </c>
    </row>
    <row r="2218" ht="34.5">
      <c r="A2218" s="38" t="s">
        <v>1797</v>
      </c>
      <c r="B2218" s="38" t="s">
        <v>1798</v>
      </c>
      <c r="C2218" s="38" t="s">
        <v>886</v>
      </c>
      <c r="D2218" s="38" t="s">
        <v>288</v>
      </c>
      <c r="E2218" s="38" t="s">
        <v>1799</v>
      </c>
      <c r="F2218" s="37" t="s">
        <v>1800</v>
      </c>
      <c r="G2218" s="38" t="s">
        <v>536</v>
      </c>
      <c r="H2218" s="37"/>
      <c r="I2218" s="37"/>
      <c r="J2218" s="37" t="s">
        <v>1873</v>
      </c>
      <c r="K2218" s="40"/>
      <c r="L2218" s="38"/>
      <c r="M2218" s="38"/>
      <c r="N2218" s="37"/>
      <c r="O2218" s="37"/>
      <c r="P2218" s="37"/>
      <c r="Q2218" s="37"/>
      <c r="R2218" s="39"/>
      <c r="S2218" s="37"/>
      <c r="T2218" s="38" t="s">
        <v>293</v>
      </c>
    </row>
    <row r="2219" ht="34.5">
      <c r="A2219" s="38" t="s">
        <v>1797</v>
      </c>
      <c r="B2219" s="38" t="s">
        <v>1798</v>
      </c>
      <c r="C2219" s="38" t="s">
        <v>886</v>
      </c>
      <c r="D2219" s="38" t="s">
        <v>288</v>
      </c>
      <c r="E2219" s="38" t="s">
        <v>1799</v>
      </c>
      <c r="F2219" s="37" t="s">
        <v>1800</v>
      </c>
      <c r="G2219" s="38" t="s">
        <v>536</v>
      </c>
      <c r="H2219" s="37"/>
      <c r="I2219" s="37"/>
      <c r="J2219" s="37" t="s">
        <v>1874</v>
      </c>
      <c r="K2219" s="40"/>
      <c r="L2219" s="38"/>
      <c r="M2219" s="38"/>
      <c r="N2219" s="37"/>
      <c r="O2219" s="37"/>
      <c r="P2219" s="37"/>
      <c r="Q2219" s="37"/>
      <c r="R2219" s="39"/>
      <c r="S2219" s="37"/>
      <c r="T2219" s="38" t="s">
        <v>293</v>
      </c>
    </row>
    <row r="2220" ht="34.5">
      <c r="A2220" s="38" t="s">
        <v>1797</v>
      </c>
      <c r="B2220" s="38" t="s">
        <v>1798</v>
      </c>
      <c r="C2220" s="38" t="s">
        <v>886</v>
      </c>
      <c r="D2220" s="38" t="s">
        <v>288</v>
      </c>
      <c r="E2220" s="38" t="s">
        <v>1799</v>
      </c>
      <c r="F2220" s="37" t="s">
        <v>1800</v>
      </c>
      <c r="G2220" s="38" t="s">
        <v>536</v>
      </c>
      <c r="H2220" s="37"/>
      <c r="I2220" s="37"/>
      <c r="J2220" s="37" t="s">
        <v>1875</v>
      </c>
      <c r="K2220" s="40"/>
      <c r="L2220" s="38"/>
      <c r="M2220" s="38"/>
      <c r="N2220" s="37"/>
      <c r="O2220" s="37"/>
      <c r="P2220" s="37"/>
      <c r="Q2220" s="37"/>
      <c r="R2220" s="39"/>
      <c r="S2220" s="37"/>
      <c r="T2220" s="38" t="s">
        <v>293</v>
      </c>
    </row>
    <row r="2221" ht="34.5">
      <c r="A2221" s="38" t="s">
        <v>1797</v>
      </c>
      <c r="B2221" s="38" t="s">
        <v>1798</v>
      </c>
      <c r="C2221" s="38" t="s">
        <v>886</v>
      </c>
      <c r="D2221" s="38" t="s">
        <v>288</v>
      </c>
      <c r="E2221" s="38" t="s">
        <v>1799</v>
      </c>
      <c r="F2221" s="37" t="s">
        <v>1800</v>
      </c>
      <c r="G2221" s="38" t="s">
        <v>536</v>
      </c>
      <c r="H2221" s="37"/>
      <c r="I2221" s="37"/>
      <c r="J2221" s="37" t="s">
        <v>1626</v>
      </c>
      <c r="K2221" s="40"/>
      <c r="L2221" s="38"/>
      <c r="M2221" s="38"/>
      <c r="N2221" s="37"/>
      <c r="O2221" s="37"/>
      <c r="P2221" s="37"/>
      <c r="Q2221" s="37"/>
      <c r="R2221" s="39"/>
      <c r="S2221" s="37"/>
      <c r="T2221" s="38" t="s">
        <v>293</v>
      </c>
    </row>
    <row r="2222" ht="34.5">
      <c r="A2222" s="38" t="s">
        <v>1797</v>
      </c>
      <c r="B2222" s="38" t="s">
        <v>1798</v>
      </c>
      <c r="C2222" s="38" t="s">
        <v>886</v>
      </c>
      <c r="D2222" s="38" t="s">
        <v>288</v>
      </c>
      <c r="E2222" s="38" t="s">
        <v>1799</v>
      </c>
      <c r="F2222" s="37" t="s">
        <v>1800</v>
      </c>
      <c r="G2222" s="38" t="s">
        <v>536</v>
      </c>
      <c r="H2222" s="37"/>
      <c r="I2222" s="37"/>
      <c r="J2222" s="37" t="s">
        <v>1876</v>
      </c>
      <c r="K2222" s="40"/>
      <c r="L2222" s="38"/>
      <c r="M2222" s="38"/>
      <c r="N2222" s="37"/>
      <c r="O2222" s="37"/>
      <c r="P2222" s="37"/>
      <c r="Q2222" s="37"/>
      <c r="R2222" s="39"/>
      <c r="S2222" s="37"/>
      <c r="T2222" s="38" t="s">
        <v>293</v>
      </c>
    </row>
    <row r="2223" ht="34.5">
      <c r="A2223" s="38" t="s">
        <v>1797</v>
      </c>
      <c r="B2223" s="38" t="s">
        <v>1798</v>
      </c>
      <c r="C2223" s="38" t="s">
        <v>886</v>
      </c>
      <c r="D2223" s="38" t="s">
        <v>288</v>
      </c>
      <c r="E2223" s="38" t="s">
        <v>1799</v>
      </c>
      <c r="F2223" s="37" t="s">
        <v>1800</v>
      </c>
      <c r="G2223" s="38" t="s">
        <v>536</v>
      </c>
      <c r="H2223" s="37"/>
      <c r="I2223" s="37"/>
      <c r="J2223" s="37" t="s">
        <v>1877</v>
      </c>
      <c r="K2223" s="40"/>
      <c r="L2223" s="38"/>
      <c r="M2223" s="38"/>
      <c r="N2223" s="37"/>
      <c r="O2223" s="37"/>
      <c r="P2223" s="37"/>
      <c r="Q2223" s="37"/>
      <c r="R2223" s="39"/>
      <c r="S2223" s="37"/>
      <c r="T2223" s="38" t="s">
        <v>293</v>
      </c>
    </row>
    <row r="2224" ht="34.5">
      <c r="A2224" s="38" t="s">
        <v>1797</v>
      </c>
      <c r="B2224" s="38" t="s">
        <v>1798</v>
      </c>
      <c r="C2224" s="38" t="s">
        <v>886</v>
      </c>
      <c r="D2224" s="38" t="s">
        <v>288</v>
      </c>
      <c r="E2224" s="38" t="s">
        <v>1799</v>
      </c>
      <c r="F2224" s="37" t="s">
        <v>1800</v>
      </c>
      <c r="G2224" s="38" t="s">
        <v>536</v>
      </c>
      <c r="H2224" s="37"/>
      <c r="I2224" s="37"/>
      <c r="J2224" s="37" t="s">
        <v>1878</v>
      </c>
      <c r="K2224" s="40"/>
      <c r="L2224" s="38"/>
      <c r="M2224" s="38"/>
      <c r="N2224" s="37"/>
      <c r="O2224" s="37"/>
      <c r="P2224" s="37"/>
      <c r="Q2224" s="37"/>
      <c r="R2224" s="39"/>
      <c r="S2224" s="37"/>
      <c r="T2224" s="38" t="s">
        <v>293</v>
      </c>
    </row>
    <row r="2225" ht="34.5">
      <c r="A2225" s="38" t="s">
        <v>1797</v>
      </c>
      <c r="B2225" s="38" t="s">
        <v>1798</v>
      </c>
      <c r="C2225" s="38" t="s">
        <v>886</v>
      </c>
      <c r="D2225" s="38" t="s">
        <v>288</v>
      </c>
      <c r="E2225" s="38" t="s">
        <v>1799</v>
      </c>
      <c r="F2225" s="37" t="s">
        <v>1800</v>
      </c>
      <c r="G2225" s="38" t="s">
        <v>536</v>
      </c>
      <c r="H2225" s="37"/>
      <c r="I2225" s="37"/>
      <c r="J2225" s="37" t="s">
        <v>1879</v>
      </c>
      <c r="K2225" s="40"/>
      <c r="L2225" s="38"/>
      <c r="M2225" s="38"/>
      <c r="N2225" s="37"/>
      <c r="O2225" s="37"/>
      <c r="P2225" s="37"/>
      <c r="Q2225" s="37"/>
      <c r="R2225" s="39"/>
      <c r="S2225" s="37"/>
      <c r="T2225" s="38" t="s">
        <v>293</v>
      </c>
    </row>
    <row r="2226" ht="34.5">
      <c r="A2226" s="38" t="s">
        <v>1797</v>
      </c>
      <c r="B2226" s="38" t="s">
        <v>1798</v>
      </c>
      <c r="C2226" s="38" t="s">
        <v>897</v>
      </c>
      <c r="D2226" s="38" t="s">
        <v>288</v>
      </c>
      <c r="E2226" s="38" t="s">
        <v>915</v>
      </c>
      <c r="F2226" s="37" t="s">
        <v>1880</v>
      </c>
      <c r="G2226" s="38" t="s">
        <v>70</v>
      </c>
      <c r="H2226" s="37"/>
      <c r="I2226" s="37"/>
      <c r="J2226" s="37" t="s">
        <v>1881</v>
      </c>
      <c r="K2226" s="40"/>
      <c r="L2226" s="38"/>
      <c r="M2226" s="38"/>
      <c r="N2226" s="37"/>
      <c r="O2226" s="37"/>
      <c r="P2226" s="37"/>
      <c r="Q2226" s="37"/>
      <c r="R2226" s="39"/>
      <c r="S2226" s="37"/>
      <c r="T2226" s="38" t="s">
        <v>293</v>
      </c>
    </row>
    <row r="2227" ht="34.5">
      <c r="A2227" s="38" t="s">
        <v>1797</v>
      </c>
      <c r="B2227" s="38" t="s">
        <v>1798</v>
      </c>
      <c r="C2227" s="38" t="s">
        <v>897</v>
      </c>
      <c r="D2227" s="38" t="s">
        <v>288</v>
      </c>
      <c r="E2227" s="38" t="s">
        <v>915</v>
      </c>
      <c r="F2227" s="37" t="s">
        <v>1880</v>
      </c>
      <c r="G2227" s="38" t="s">
        <v>70</v>
      </c>
      <c r="H2227" s="37"/>
      <c r="I2227" s="37"/>
      <c r="J2227" s="37" t="s">
        <v>1882</v>
      </c>
      <c r="K2227" s="40"/>
      <c r="L2227" s="38"/>
      <c r="M2227" s="38"/>
      <c r="N2227" s="37"/>
      <c r="O2227" s="37"/>
      <c r="P2227" s="37"/>
      <c r="Q2227" s="37"/>
      <c r="R2227" s="39"/>
      <c r="S2227" s="37"/>
      <c r="T2227" s="38" t="s">
        <v>293</v>
      </c>
    </row>
    <row r="2228" ht="34.5">
      <c r="A2228" s="38" t="s">
        <v>1797</v>
      </c>
      <c r="B2228" s="38" t="s">
        <v>1798</v>
      </c>
      <c r="C2228" s="38" t="s">
        <v>897</v>
      </c>
      <c r="D2228" s="38" t="s">
        <v>288</v>
      </c>
      <c r="E2228" s="38" t="s">
        <v>915</v>
      </c>
      <c r="F2228" s="37" t="s">
        <v>1880</v>
      </c>
      <c r="G2228" s="38" t="s">
        <v>70</v>
      </c>
      <c r="H2228" s="37"/>
      <c r="I2228" s="37"/>
      <c r="J2228" s="37" t="s">
        <v>1883</v>
      </c>
      <c r="K2228" s="40"/>
      <c r="L2228" s="38"/>
      <c r="M2228" s="38"/>
      <c r="N2228" s="37"/>
      <c r="O2228" s="37"/>
      <c r="P2228" s="37"/>
      <c r="Q2228" s="37"/>
      <c r="R2228" s="39"/>
      <c r="S2228" s="37"/>
      <c r="T2228" s="38" t="s">
        <v>293</v>
      </c>
    </row>
    <row r="2229" ht="34.5">
      <c r="A2229" s="38" t="s">
        <v>1797</v>
      </c>
      <c r="B2229" s="38" t="s">
        <v>1798</v>
      </c>
      <c r="C2229" s="38" t="s">
        <v>897</v>
      </c>
      <c r="D2229" s="38" t="s">
        <v>288</v>
      </c>
      <c r="E2229" s="38" t="s">
        <v>915</v>
      </c>
      <c r="F2229" s="37" t="s">
        <v>1880</v>
      </c>
      <c r="G2229" s="38" t="s">
        <v>70</v>
      </c>
      <c r="H2229" s="37"/>
      <c r="I2229" s="37"/>
      <c r="J2229" s="37" t="s">
        <v>1884</v>
      </c>
      <c r="K2229" s="40"/>
      <c r="L2229" s="38"/>
      <c r="M2229" s="38"/>
      <c r="N2229" s="37"/>
      <c r="O2229" s="37"/>
      <c r="P2229" s="37"/>
      <c r="Q2229" s="37"/>
      <c r="R2229" s="39"/>
      <c r="S2229" s="37"/>
      <c r="T2229" s="38" t="s">
        <v>293</v>
      </c>
    </row>
    <row r="2230" ht="34.5">
      <c r="A2230" s="38" t="s">
        <v>1797</v>
      </c>
      <c r="B2230" s="38" t="s">
        <v>1798</v>
      </c>
      <c r="C2230" s="38" t="s">
        <v>897</v>
      </c>
      <c r="D2230" s="38" t="s">
        <v>1640</v>
      </c>
      <c r="E2230" s="38" t="s">
        <v>915</v>
      </c>
      <c r="F2230" s="37" t="s">
        <v>1880</v>
      </c>
      <c r="G2230" s="38" t="s">
        <v>70</v>
      </c>
      <c r="H2230" s="37"/>
      <c r="I2230" s="37"/>
      <c r="J2230" s="37" t="s">
        <v>1641</v>
      </c>
      <c r="K2230" s="40"/>
      <c r="L2230" s="38"/>
      <c r="M2230" s="38"/>
      <c r="N2230" s="37"/>
      <c r="O2230" s="37"/>
      <c r="P2230" s="37"/>
      <c r="Q2230" s="37"/>
      <c r="R2230" s="39"/>
      <c r="S2230" s="37"/>
      <c r="T2230" s="38" t="s">
        <v>293</v>
      </c>
    </row>
    <row r="2231" ht="34.5">
      <c r="A2231" s="38" t="s">
        <v>1797</v>
      </c>
      <c r="B2231" s="38" t="s">
        <v>1798</v>
      </c>
      <c r="C2231" s="38" t="s">
        <v>897</v>
      </c>
      <c r="D2231" s="38" t="s">
        <v>288</v>
      </c>
      <c r="E2231" s="38" t="s">
        <v>915</v>
      </c>
      <c r="F2231" s="37" t="s">
        <v>1880</v>
      </c>
      <c r="G2231" s="38" t="s">
        <v>70</v>
      </c>
      <c r="H2231" s="37"/>
      <c r="I2231" s="37"/>
      <c r="J2231" s="37" t="s">
        <v>1885</v>
      </c>
      <c r="K2231" s="40"/>
      <c r="L2231" s="38"/>
      <c r="M2231" s="38"/>
      <c r="N2231" s="37"/>
      <c r="O2231" s="37"/>
      <c r="P2231" s="37"/>
      <c r="Q2231" s="37"/>
      <c r="R2231" s="39"/>
      <c r="S2231" s="37"/>
      <c r="T2231" s="38" t="s">
        <v>293</v>
      </c>
    </row>
    <row r="2232" ht="34.5">
      <c r="A2232" s="38" t="s">
        <v>1797</v>
      </c>
      <c r="B2232" s="38" t="s">
        <v>1798</v>
      </c>
      <c r="C2232" s="38" t="s">
        <v>897</v>
      </c>
      <c r="D2232" s="38" t="s">
        <v>288</v>
      </c>
      <c r="E2232" s="38" t="s">
        <v>915</v>
      </c>
      <c r="F2232" s="37" t="s">
        <v>1880</v>
      </c>
      <c r="G2232" s="38" t="s">
        <v>70</v>
      </c>
      <c r="H2232" s="37"/>
      <c r="I2232" s="37"/>
      <c r="J2232" s="37" t="s">
        <v>1886</v>
      </c>
      <c r="K2232" s="40"/>
      <c r="L2232" s="38"/>
      <c r="M2232" s="38"/>
      <c r="N2232" s="37"/>
      <c r="O2232" s="37"/>
      <c r="P2232" s="37"/>
      <c r="Q2232" s="37"/>
      <c r="R2232" s="39"/>
      <c r="S2232" s="37"/>
      <c r="T2232" s="38" t="s">
        <v>293</v>
      </c>
    </row>
    <row r="2233" ht="34.5">
      <c r="A2233" s="38" t="s">
        <v>1797</v>
      </c>
      <c r="B2233" s="38" t="s">
        <v>1798</v>
      </c>
      <c r="C2233" s="38" t="s">
        <v>897</v>
      </c>
      <c r="D2233" s="38" t="s">
        <v>1642</v>
      </c>
      <c r="E2233" s="38" t="s">
        <v>915</v>
      </c>
      <c r="F2233" s="37" t="s">
        <v>1880</v>
      </c>
      <c r="G2233" s="38" t="s">
        <v>70</v>
      </c>
      <c r="H2233" s="37"/>
      <c r="I2233" s="37"/>
      <c r="J2233" s="37" t="s">
        <v>1643</v>
      </c>
      <c r="K2233" s="40"/>
      <c r="L2233" s="38"/>
      <c r="M2233" s="38"/>
      <c r="N2233" s="37"/>
      <c r="O2233" s="37"/>
      <c r="P2233" s="37"/>
      <c r="Q2233" s="37"/>
      <c r="R2233" s="39"/>
      <c r="S2233" s="37"/>
      <c r="T2233" s="38" t="s">
        <v>293</v>
      </c>
    </row>
    <row r="2234" ht="34.5">
      <c r="A2234" s="38" t="s">
        <v>1797</v>
      </c>
      <c r="B2234" s="38" t="s">
        <v>1798</v>
      </c>
      <c r="C2234" s="38" t="s">
        <v>901</v>
      </c>
      <c r="D2234" s="38" t="s">
        <v>288</v>
      </c>
      <c r="E2234" s="38" t="s">
        <v>915</v>
      </c>
      <c r="F2234" s="37" t="s">
        <v>1880</v>
      </c>
      <c r="G2234" s="38" t="s">
        <v>70</v>
      </c>
      <c r="H2234" s="37"/>
      <c r="I2234" s="37"/>
      <c r="J2234" s="37" t="s">
        <v>1887</v>
      </c>
      <c r="K2234" s="40"/>
      <c r="L2234" s="38"/>
      <c r="M2234" s="38"/>
      <c r="N2234" s="37"/>
      <c r="O2234" s="37"/>
      <c r="P2234" s="37"/>
      <c r="Q2234" s="37"/>
      <c r="R2234" s="39"/>
      <c r="S2234" s="37"/>
      <c r="T2234" s="38" t="s">
        <v>293</v>
      </c>
    </row>
    <row r="2235" ht="34.5">
      <c r="A2235" s="38" t="s">
        <v>1797</v>
      </c>
      <c r="B2235" s="38" t="s">
        <v>1798</v>
      </c>
      <c r="C2235" s="38" t="s">
        <v>901</v>
      </c>
      <c r="D2235" s="38" t="s">
        <v>288</v>
      </c>
      <c r="E2235" s="38" t="s">
        <v>915</v>
      </c>
      <c r="F2235" s="37" t="s">
        <v>1880</v>
      </c>
      <c r="G2235" s="38" t="s">
        <v>70</v>
      </c>
      <c r="H2235" s="37"/>
      <c r="I2235" s="37"/>
      <c r="J2235" s="37" t="s">
        <v>1888</v>
      </c>
      <c r="K2235" s="40"/>
      <c r="L2235" s="38"/>
      <c r="M2235" s="38"/>
      <c r="N2235" s="37"/>
      <c r="O2235" s="37"/>
      <c r="P2235" s="37"/>
      <c r="Q2235" s="37"/>
      <c r="R2235" s="39"/>
      <c r="S2235" s="37"/>
      <c r="T2235" s="38" t="s">
        <v>293</v>
      </c>
    </row>
    <row r="2236" ht="34.5">
      <c r="A2236" s="38" t="s">
        <v>1797</v>
      </c>
      <c r="B2236" s="38" t="s">
        <v>1798</v>
      </c>
      <c r="C2236" s="38" t="s">
        <v>901</v>
      </c>
      <c r="D2236" s="38" t="s">
        <v>288</v>
      </c>
      <c r="E2236" s="38" t="s">
        <v>915</v>
      </c>
      <c r="F2236" s="37" t="s">
        <v>1880</v>
      </c>
      <c r="G2236" s="38" t="s">
        <v>70</v>
      </c>
      <c r="H2236" s="37"/>
      <c r="I2236" s="37"/>
      <c r="J2236" s="37" t="s">
        <v>1889</v>
      </c>
      <c r="K2236" s="40"/>
      <c r="L2236" s="38"/>
      <c r="M2236" s="38"/>
      <c r="N2236" s="37"/>
      <c r="O2236" s="37"/>
      <c r="P2236" s="37"/>
      <c r="Q2236" s="37"/>
      <c r="R2236" s="39"/>
      <c r="S2236" s="37"/>
      <c r="T2236" s="38" t="s">
        <v>293</v>
      </c>
    </row>
    <row r="2237" ht="34.5">
      <c r="A2237" s="38" t="s">
        <v>1797</v>
      </c>
      <c r="B2237" s="38" t="s">
        <v>1798</v>
      </c>
      <c r="C2237" s="38" t="s">
        <v>901</v>
      </c>
      <c r="D2237" s="38" t="s">
        <v>288</v>
      </c>
      <c r="E2237" s="38" t="s">
        <v>915</v>
      </c>
      <c r="F2237" s="37" t="s">
        <v>1880</v>
      </c>
      <c r="G2237" s="38" t="s">
        <v>70</v>
      </c>
      <c r="H2237" s="37"/>
      <c r="I2237" s="37"/>
      <c r="J2237" s="37" t="s">
        <v>1890</v>
      </c>
      <c r="K2237" s="40"/>
      <c r="L2237" s="38"/>
      <c r="M2237" s="38"/>
      <c r="N2237" s="37"/>
      <c r="O2237" s="37"/>
      <c r="P2237" s="37"/>
      <c r="Q2237" s="37"/>
      <c r="R2237" s="39"/>
      <c r="S2237" s="37"/>
      <c r="T2237" s="38" t="s">
        <v>293</v>
      </c>
    </row>
    <row r="2238" ht="34.5">
      <c r="A2238" s="38" t="s">
        <v>1797</v>
      </c>
      <c r="B2238" s="38" t="s">
        <v>1798</v>
      </c>
      <c r="C2238" s="38" t="s">
        <v>901</v>
      </c>
      <c r="D2238" s="38" t="s">
        <v>892</v>
      </c>
      <c r="E2238" s="38" t="s">
        <v>915</v>
      </c>
      <c r="F2238" s="37" t="s">
        <v>1880</v>
      </c>
      <c r="G2238" s="38" t="s">
        <v>70</v>
      </c>
      <c r="H2238" s="37"/>
      <c r="I2238" s="37"/>
      <c r="J2238" s="37" t="s">
        <v>893</v>
      </c>
      <c r="K2238" s="40"/>
      <c r="L2238" s="38"/>
      <c r="M2238" s="38"/>
      <c r="N2238" s="37"/>
      <c r="O2238" s="37"/>
      <c r="P2238" s="37"/>
      <c r="Q2238" s="37"/>
      <c r="R2238" s="39"/>
      <c r="S2238" s="37"/>
      <c r="T2238" s="38" t="s">
        <v>293</v>
      </c>
    </row>
    <row r="2239" ht="34.5">
      <c r="A2239" s="38" t="s">
        <v>1797</v>
      </c>
      <c r="B2239" s="38" t="s">
        <v>1798</v>
      </c>
      <c r="C2239" s="38" t="s">
        <v>901</v>
      </c>
      <c r="D2239" s="38" t="s">
        <v>288</v>
      </c>
      <c r="E2239" s="38" t="s">
        <v>915</v>
      </c>
      <c r="F2239" s="37" t="s">
        <v>1880</v>
      </c>
      <c r="G2239" s="38" t="s">
        <v>70</v>
      </c>
      <c r="H2239" s="37"/>
      <c r="I2239" s="37"/>
      <c r="J2239" s="37" t="s">
        <v>520</v>
      </c>
      <c r="K2239" s="40"/>
      <c r="L2239" s="38"/>
      <c r="M2239" s="38"/>
      <c r="N2239" s="37"/>
      <c r="O2239" s="37"/>
      <c r="P2239" s="37"/>
      <c r="Q2239" s="37"/>
      <c r="R2239" s="39"/>
      <c r="S2239" s="37"/>
      <c r="T2239" s="38" t="s">
        <v>293</v>
      </c>
    </row>
    <row r="2240" ht="34.5">
      <c r="A2240" s="38" t="s">
        <v>1797</v>
      </c>
      <c r="B2240" s="38" t="s">
        <v>1798</v>
      </c>
      <c r="C2240" s="38" t="s">
        <v>901</v>
      </c>
      <c r="D2240" s="38" t="s">
        <v>899</v>
      </c>
      <c r="E2240" s="38" t="s">
        <v>915</v>
      </c>
      <c r="F2240" s="37" t="s">
        <v>1880</v>
      </c>
      <c r="G2240" s="38" t="s">
        <v>70</v>
      </c>
      <c r="H2240" s="37"/>
      <c r="I2240" s="37"/>
      <c r="J2240" s="37" t="s">
        <v>900</v>
      </c>
      <c r="K2240" s="40"/>
      <c r="L2240" s="38"/>
      <c r="M2240" s="38"/>
      <c r="N2240" s="37"/>
      <c r="O2240" s="37"/>
      <c r="P2240" s="37"/>
      <c r="Q2240" s="37"/>
      <c r="R2240" s="39"/>
      <c r="S2240" s="37"/>
      <c r="T2240" s="38" t="s">
        <v>293</v>
      </c>
    </row>
    <row r="2241" ht="34.5">
      <c r="A2241" s="38" t="s">
        <v>1797</v>
      </c>
      <c r="B2241" s="38" t="s">
        <v>1798</v>
      </c>
      <c r="C2241" s="38" t="s">
        <v>907</v>
      </c>
      <c r="D2241" s="38" t="s">
        <v>288</v>
      </c>
      <c r="E2241" s="38" t="s">
        <v>921</v>
      </c>
      <c r="F2241" s="37" t="s">
        <v>1891</v>
      </c>
      <c r="G2241" s="38" t="s">
        <v>889</v>
      </c>
      <c r="H2241" s="37"/>
      <c r="I2241" s="37"/>
      <c r="J2241" s="37" t="s">
        <v>1892</v>
      </c>
      <c r="K2241" s="40"/>
      <c r="L2241" s="38"/>
      <c r="M2241" s="38"/>
      <c r="N2241" s="37"/>
      <c r="O2241" s="37"/>
      <c r="P2241" s="37"/>
      <c r="Q2241" s="37"/>
      <c r="R2241" s="39"/>
      <c r="S2241" s="37"/>
      <c r="T2241" s="38" t="s">
        <v>293</v>
      </c>
    </row>
    <row r="2242" ht="34.5">
      <c r="A2242" s="38" t="s">
        <v>1797</v>
      </c>
      <c r="B2242" s="38" t="s">
        <v>1798</v>
      </c>
      <c r="C2242" s="38" t="s">
        <v>907</v>
      </c>
      <c r="D2242" s="38" t="s">
        <v>288</v>
      </c>
      <c r="E2242" s="38" t="s">
        <v>921</v>
      </c>
      <c r="F2242" s="37" t="s">
        <v>1891</v>
      </c>
      <c r="G2242" s="38" t="s">
        <v>889</v>
      </c>
      <c r="H2242" s="37"/>
      <c r="I2242" s="37"/>
      <c r="J2242" s="37" t="s">
        <v>1893</v>
      </c>
      <c r="K2242" s="40"/>
      <c r="L2242" s="38"/>
      <c r="M2242" s="38"/>
      <c r="N2242" s="37"/>
      <c r="O2242" s="37"/>
      <c r="P2242" s="37"/>
      <c r="Q2242" s="37"/>
      <c r="R2242" s="39"/>
      <c r="S2242" s="37"/>
      <c r="T2242" s="38" t="s">
        <v>293</v>
      </c>
    </row>
    <row r="2243" ht="34.5">
      <c r="A2243" s="38" t="s">
        <v>1797</v>
      </c>
      <c r="B2243" s="38" t="s">
        <v>1798</v>
      </c>
      <c r="C2243" s="38" t="s">
        <v>907</v>
      </c>
      <c r="D2243" s="38" t="s">
        <v>288</v>
      </c>
      <c r="E2243" s="38" t="s">
        <v>921</v>
      </c>
      <c r="F2243" s="37" t="s">
        <v>1891</v>
      </c>
      <c r="G2243" s="38" t="s">
        <v>889</v>
      </c>
      <c r="H2243" s="37"/>
      <c r="I2243" s="37"/>
      <c r="J2243" s="37" t="s">
        <v>891</v>
      </c>
      <c r="K2243" s="40"/>
      <c r="L2243" s="38"/>
      <c r="M2243" s="38"/>
      <c r="N2243" s="37"/>
      <c r="O2243" s="37"/>
      <c r="P2243" s="37"/>
      <c r="Q2243" s="37"/>
      <c r="R2243" s="39"/>
      <c r="S2243" s="37"/>
      <c r="T2243" s="38" t="s">
        <v>293</v>
      </c>
    </row>
    <row r="2244" ht="34.5">
      <c r="A2244" s="38" t="s">
        <v>1797</v>
      </c>
      <c r="B2244" s="38" t="s">
        <v>1798</v>
      </c>
      <c r="C2244" s="38" t="s">
        <v>907</v>
      </c>
      <c r="D2244" s="38" t="s">
        <v>905</v>
      </c>
      <c r="E2244" s="38" t="s">
        <v>921</v>
      </c>
      <c r="F2244" s="37" t="s">
        <v>1891</v>
      </c>
      <c r="G2244" s="38" t="s">
        <v>889</v>
      </c>
      <c r="H2244" s="37"/>
      <c r="I2244" s="37"/>
      <c r="J2244" s="37" t="s">
        <v>906</v>
      </c>
      <c r="K2244" s="40"/>
      <c r="L2244" s="38"/>
      <c r="M2244" s="38"/>
      <c r="N2244" s="37"/>
      <c r="O2244" s="37"/>
      <c r="P2244" s="37"/>
      <c r="Q2244" s="37"/>
      <c r="R2244" s="39"/>
      <c r="S2244" s="37"/>
      <c r="T2244" s="38" t="s">
        <v>293</v>
      </c>
    </row>
    <row r="2245" ht="34.5">
      <c r="A2245" s="38" t="s">
        <v>1797</v>
      </c>
      <c r="B2245" s="38" t="s">
        <v>1798</v>
      </c>
      <c r="C2245" s="38" t="s">
        <v>907</v>
      </c>
      <c r="D2245" s="38" t="s">
        <v>288</v>
      </c>
      <c r="E2245" s="38" t="s">
        <v>921</v>
      </c>
      <c r="F2245" s="37" t="s">
        <v>1891</v>
      </c>
      <c r="G2245" s="38" t="s">
        <v>889</v>
      </c>
      <c r="H2245" s="37"/>
      <c r="I2245" s="37"/>
      <c r="J2245" s="37" t="s">
        <v>894</v>
      </c>
      <c r="K2245" s="40"/>
      <c r="L2245" s="38"/>
      <c r="M2245" s="38"/>
      <c r="N2245" s="37"/>
      <c r="O2245" s="37"/>
      <c r="P2245" s="37"/>
      <c r="Q2245" s="37"/>
      <c r="R2245" s="39"/>
      <c r="S2245" s="37"/>
      <c r="T2245" s="38" t="s">
        <v>293</v>
      </c>
    </row>
    <row r="2246" ht="34.5">
      <c r="A2246" s="38" t="s">
        <v>1797</v>
      </c>
      <c r="B2246" s="38" t="s">
        <v>1798</v>
      </c>
      <c r="C2246" s="38" t="s">
        <v>907</v>
      </c>
      <c r="D2246" s="38" t="s">
        <v>288</v>
      </c>
      <c r="E2246" s="38" t="s">
        <v>921</v>
      </c>
      <c r="F2246" s="37" t="s">
        <v>1891</v>
      </c>
      <c r="G2246" s="38" t="s">
        <v>889</v>
      </c>
      <c r="H2246" s="37"/>
      <c r="I2246" s="37"/>
      <c r="J2246" s="37" t="s">
        <v>895</v>
      </c>
      <c r="K2246" s="40"/>
      <c r="L2246" s="38"/>
      <c r="M2246" s="38"/>
      <c r="N2246" s="37"/>
      <c r="O2246" s="37"/>
      <c r="P2246" s="37"/>
      <c r="Q2246" s="37"/>
      <c r="R2246" s="39"/>
      <c r="S2246" s="37"/>
      <c r="T2246" s="38" t="s">
        <v>293</v>
      </c>
    </row>
    <row r="2247" ht="34.5">
      <c r="A2247" s="38" t="s">
        <v>1797</v>
      </c>
      <c r="B2247" s="38" t="s">
        <v>1798</v>
      </c>
      <c r="C2247" s="38" t="s">
        <v>907</v>
      </c>
      <c r="D2247" s="38" t="s">
        <v>288</v>
      </c>
      <c r="E2247" s="38" t="s">
        <v>921</v>
      </c>
      <c r="F2247" s="37" t="s">
        <v>1891</v>
      </c>
      <c r="G2247" s="38" t="s">
        <v>889</v>
      </c>
      <c r="H2247" s="37"/>
      <c r="I2247" s="37"/>
      <c r="J2247" s="37" t="s">
        <v>896</v>
      </c>
      <c r="K2247" s="40"/>
      <c r="L2247" s="38"/>
      <c r="M2247" s="38"/>
      <c r="N2247" s="37"/>
      <c r="O2247" s="37"/>
      <c r="P2247" s="37"/>
      <c r="Q2247" s="37"/>
      <c r="R2247" s="39"/>
      <c r="S2247" s="37"/>
      <c r="T2247" s="38" t="s">
        <v>293</v>
      </c>
    </row>
    <row r="2248" ht="34.5">
      <c r="A2248" s="38" t="s">
        <v>1797</v>
      </c>
      <c r="B2248" s="38" t="s">
        <v>1798</v>
      </c>
      <c r="C2248" s="38" t="s">
        <v>907</v>
      </c>
      <c r="D2248" s="38" t="s">
        <v>288</v>
      </c>
      <c r="E2248" s="38" t="s">
        <v>921</v>
      </c>
      <c r="F2248" s="37" t="s">
        <v>1891</v>
      </c>
      <c r="G2248" s="38" t="s">
        <v>889</v>
      </c>
      <c r="H2248" s="37"/>
      <c r="I2248" s="37"/>
      <c r="J2248" s="37" t="s">
        <v>1894</v>
      </c>
      <c r="K2248" s="40"/>
      <c r="L2248" s="38"/>
      <c r="M2248" s="38"/>
      <c r="N2248" s="37"/>
      <c r="O2248" s="37"/>
      <c r="P2248" s="37"/>
      <c r="Q2248" s="37"/>
      <c r="R2248" s="39"/>
      <c r="S2248" s="37"/>
      <c r="T2248" s="38" t="s">
        <v>293</v>
      </c>
    </row>
    <row r="2249" ht="34.5">
      <c r="A2249" s="38" t="s">
        <v>1797</v>
      </c>
      <c r="B2249" s="38" t="s">
        <v>1798</v>
      </c>
      <c r="C2249" s="38" t="s">
        <v>907</v>
      </c>
      <c r="D2249" s="38" t="s">
        <v>288</v>
      </c>
      <c r="E2249" s="38" t="s">
        <v>921</v>
      </c>
      <c r="F2249" s="37" t="s">
        <v>1891</v>
      </c>
      <c r="G2249" s="38" t="s">
        <v>889</v>
      </c>
      <c r="H2249" s="37"/>
      <c r="I2249" s="37"/>
      <c r="J2249" s="37" t="s">
        <v>1895</v>
      </c>
      <c r="K2249" s="40"/>
      <c r="L2249" s="38"/>
      <c r="M2249" s="38"/>
      <c r="N2249" s="37"/>
      <c r="O2249" s="37"/>
      <c r="P2249" s="37"/>
      <c r="Q2249" s="37"/>
      <c r="R2249" s="39"/>
      <c r="S2249" s="37"/>
      <c r="T2249" s="38" t="s">
        <v>293</v>
      </c>
    </row>
    <row r="2250" ht="34.5">
      <c r="A2250" s="38" t="s">
        <v>1797</v>
      </c>
      <c r="B2250" s="38" t="s">
        <v>1798</v>
      </c>
      <c r="C2250" s="38" t="s">
        <v>907</v>
      </c>
      <c r="D2250" s="38" t="s">
        <v>310</v>
      </c>
      <c r="E2250" s="38" t="s">
        <v>921</v>
      </c>
      <c r="F2250" s="37" t="s">
        <v>1891</v>
      </c>
      <c r="G2250" s="38" t="s">
        <v>889</v>
      </c>
      <c r="H2250" s="37"/>
      <c r="I2250" s="37"/>
      <c r="J2250" s="37" t="s">
        <v>311</v>
      </c>
      <c r="K2250" s="40"/>
      <c r="L2250" s="38"/>
      <c r="M2250" s="38"/>
      <c r="N2250" s="37"/>
      <c r="O2250" s="37"/>
      <c r="P2250" s="37"/>
      <c r="Q2250" s="37"/>
      <c r="R2250" s="39"/>
      <c r="S2250" s="37"/>
      <c r="T2250" s="38" t="s">
        <v>293</v>
      </c>
    </row>
    <row r="2251" ht="34.5">
      <c r="A2251" s="38" t="s">
        <v>1797</v>
      </c>
      <c r="B2251" s="38" t="s">
        <v>1798</v>
      </c>
      <c r="C2251" s="38" t="s">
        <v>287</v>
      </c>
      <c r="D2251" s="38" t="s">
        <v>319</v>
      </c>
      <c r="E2251" s="38" t="s">
        <v>921</v>
      </c>
      <c r="F2251" s="37" t="s">
        <v>1891</v>
      </c>
      <c r="G2251" s="38" t="s">
        <v>889</v>
      </c>
      <c r="H2251" s="37"/>
      <c r="I2251" s="37"/>
      <c r="J2251" s="37" t="s">
        <v>320</v>
      </c>
      <c r="K2251" s="40"/>
      <c r="L2251" s="38"/>
      <c r="M2251" s="38"/>
      <c r="N2251" s="37"/>
      <c r="O2251" s="37"/>
      <c r="P2251" s="37"/>
      <c r="Q2251" s="37"/>
      <c r="R2251" s="39"/>
      <c r="S2251" s="37"/>
      <c r="T2251" s="38" t="s">
        <v>293</v>
      </c>
    </row>
    <row r="2252" ht="34.5">
      <c r="A2252" s="38" t="s">
        <v>1797</v>
      </c>
      <c r="B2252" s="38" t="s">
        <v>1798</v>
      </c>
      <c r="C2252" s="38" t="s">
        <v>287</v>
      </c>
      <c r="D2252" s="38" t="s">
        <v>288</v>
      </c>
      <c r="E2252" s="38" t="s">
        <v>921</v>
      </c>
      <c r="F2252" s="37" t="s">
        <v>1891</v>
      </c>
      <c r="G2252" s="38" t="s">
        <v>889</v>
      </c>
      <c r="H2252" s="37"/>
      <c r="I2252" s="37"/>
      <c r="J2252" s="37" t="s">
        <v>1896</v>
      </c>
      <c r="K2252" s="40"/>
      <c r="L2252" s="38"/>
      <c r="M2252" s="38"/>
      <c r="N2252" s="37"/>
      <c r="O2252" s="37"/>
      <c r="P2252" s="37"/>
      <c r="Q2252" s="37"/>
      <c r="R2252" s="39"/>
      <c r="S2252" s="37"/>
      <c r="T2252" s="38" t="s">
        <v>293</v>
      </c>
    </row>
    <row r="2253" ht="34.5">
      <c r="A2253" s="38" t="s">
        <v>1797</v>
      </c>
      <c r="B2253" s="38" t="s">
        <v>1798</v>
      </c>
      <c r="C2253" s="38" t="s">
        <v>287</v>
      </c>
      <c r="D2253" s="38" t="s">
        <v>326</v>
      </c>
      <c r="E2253" s="38" t="s">
        <v>921</v>
      </c>
      <c r="F2253" s="37" t="s">
        <v>1891</v>
      </c>
      <c r="G2253" s="38" t="s">
        <v>889</v>
      </c>
      <c r="H2253" s="37"/>
      <c r="I2253" s="37"/>
      <c r="J2253" s="37" t="s">
        <v>327</v>
      </c>
      <c r="K2253" s="40"/>
      <c r="L2253" s="38"/>
      <c r="M2253" s="38"/>
      <c r="N2253" s="37"/>
      <c r="O2253" s="37"/>
      <c r="P2253" s="37"/>
      <c r="Q2253" s="37"/>
      <c r="R2253" s="39"/>
      <c r="S2253" s="37"/>
      <c r="T2253" s="38" t="s">
        <v>293</v>
      </c>
    </row>
    <row r="2254" ht="34.5">
      <c r="A2254" s="38" t="s">
        <v>1797</v>
      </c>
      <c r="B2254" s="38" t="s">
        <v>1798</v>
      </c>
      <c r="C2254" s="38" t="s">
        <v>301</v>
      </c>
      <c r="D2254" s="38" t="s">
        <v>288</v>
      </c>
      <c r="E2254" s="38" t="s">
        <v>921</v>
      </c>
      <c r="F2254" s="37" t="s">
        <v>1891</v>
      </c>
      <c r="G2254" s="38" t="s">
        <v>889</v>
      </c>
      <c r="H2254" s="37"/>
      <c r="I2254" s="37"/>
      <c r="J2254" s="37" t="s">
        <v>1897</v>
      </c>
      <c r="K2254" s="40"/>
      <c r="L2254" s="38"/>
      <c r="M2254" s="38"/>
      <c r="N2254" s="37"/>
      <c r="O2254" s="37"/>
      <c r="P2254" s="37"/>
      <c r="Q2254" s="37"/>
      <c r="R2254" s="39"/>
      <c r="S2254" s="37"/>
      <c r="T2254" s="38" t="s">
        <v>293</v>
      </c>
    </row>
    <row r="2255" ht="34.5">
      <c r="A2255" s="38" t="s">
        <v>1797</v>
      </c>
      <c r="B2255" s="38" t="s">
        <v>1798</v>
      </c>
      <c r="C2255" s="38" t="s">
        <v>301</v>
      </c>
      <c r="D2255" s="38" t="s">
        <v>288</v>
      </c>
      <c r="E2255" s="38" t="s">
        <v>921</v>
      </c>
      <c r="F2255" s="37" t="s">
        <v>1891</v>
      </c>
      <c r="G2255" s="38" t="s">
        <v>889</v>
      </c>
      <c r="H2255" s="37"/>
      <c r="I2255" s="37"/>
      <c r="J2255" s="37" t="s">
        <v>902</v>
      </c>
      <c r="K2255" s="40"/>
      <c r="L2255" s="38"/>
      <c r="M2255" s="38"/>
      <c r="N2255" s="37"/>
      <c r="O2255" s="37"/>
      <c r="P2255" s="37"/>
      <c r="Q2255" s="37"/>
      <c r="R2255" s="39"/>
      <c r="S2255" s="37"/>
      <c r="T2255" s="38" t="s">
        <v>293</v>
      </c>
    </row>
    <row r="2256" ht="34.5">
      <c r="A2256" s="38" t="s">
        <v>1797</v>
      </c>
      <c r="B2256" s="38" t="s">
        <v>1798</v>
      </c>
      <c r="C2256" s="38" t="s">
        <v>301</v>
      </c>
      <c r="D2256" s="38" t="s">
        <v>288</v>
      </c>
      <c r="E2256" s="38" t="s">
        <v>921</v>
      </c>
      <c r="F2256" s="37" t="s">
        <v>1891</v>
      </c>
      <c r="G2256" s="38" t="s">
        <v>889</v>
      </c>
      <c r="H2256" s="37"/>
      <c r="I2256" s="37"/>
      <c r="J2256" s="37" t="s">
        <v>903</v>
      </c>
      <c r="K2256" s="40"/>
      <c r="L2256" s="38"/>
      <c r="M2256" s="38"/>
      <c r="N2256" s="37"/>
      <c r="O2256" s="37"/>
      <c r="P2256" s="37"/>
      <c r="Q2256" s="37"/>
      <c r="R2256" s="39"/>
      <c r="S2256" s="37"/>
      <c r="T2256" s="38" t="s">
        <v>293</v>
      </c>
    </row>
    <row r="2257" ht="34.5">
      <c r="A2257" s="38" t="s">
        <v>1797</v>
      </c>
      <c r="B2257" s="38" t="s">
        <v>1798</v>
      </c>
      <c r="C2257" s="38" t="s">
        <v>301</v>
      </c>
      <c r="D2257" s="38" t="s">
        <v>288</v>
      </c>
      <c r="E2257" s="38" t="s">
        <v>921</v>
      </c>
      <c r="F2257" s="37" t="s">
        <v>1891</v>
      </c>
      <c r="G2257" s="38" t="s">
        <v>889</v>
      </c>
      <c r="H2257" s="37"/>
      <c r="I2257" s="37"/>
      <c r="J2257" s="37" t="s">
        <v>1898</v>
      </c>
      <c r="K2257" s="40"/>
      <c r="L2257" s="38"/>
      <c r="M2257" s="38"/>
      <c r="N2257" s="37"/>
      <c r="O2257" s="37"/>
      <c r="P2257" s="37"/>
      <c r="Q2257" s="37"/>
      <c r="R2257" s="39"/>
      <c r="S2257" s="37"/>
      <c r="T2257" s="38" t="s">
        <v>293</v>
      </c>
    </row>
    <row r="2258" ht="34.5">
      <c r="A2258" s="38" t="s">
        <v>1797</v>
      </c>
      <c r="B2258" s="38" t="s">
        <v>1798</v>
      </c>
      <c r="C2258" s="38" t="s">
        <v>301</v>
      </c>
      <c r="D2258" s="38" t="s">
        <v>331</v>
      </c>
      <c r="E2258" s="38" t="s">
        <v>921</v>
      </c>
      <c r="F2258" s="37" t="s">
        <v>1891</v>
      </c>
      <c r="G2258" s="38" t="s">
        <v>889</v>
      </c>
      <c r="H2258" s="37"/>
      <c r="I2258" s="37"/>
      <c r="J2258" s="37" t="s">
        <v>332</v>
      </c>
      <c r="K2258" s="40"/>
      <c r="L2258" s="38"/>
      <c r="M2258" s="38"/>
      <c r="N2258" s="37"/>
      <c r="O2258" s="37"/>
      <c r="P2258" s="37"/>
      <c r="Q2258" s="37"/>
      <c r="R2258" s="39"/>
      <c r="S2258" s="37"/>
      <c r="T2258" s="38" t="s">
        <v>293</v>
      </c>
    </row>
    <row r="2259" ht="34.5">
      <c r="A2259" s="38" t="s">
        <v>1797</v>
      </c>
      <c r="B2259" s="38" t="s">
        <v>1798</v>
      </c>
      <c r="C2259" s="38" t="s">
        <v>301</v>
      </c>
      <c r="D2259" s="38" t="s">
        <v>288</v>
      </c>
      <c r="E2259" s="38" t="s">
        <v>365</v>
      </c>
      <c r="F2259" s="37" t="s">
        <v>1899</v>
      </c>
      <c r="G2259" s="38" t="s">
        <v>1900</v>
      </c>
      <c r="H2259" s="37"/>
      <c r="I2259" s="37"/>
      <c r="J2259" s="37" t="s">
        <v>1901</v>
      </c>
      <c r="K2259" s="40"/>
      <c r="L2259" s="38"/>
      <c r="M2259" s="38"/>
      <c r="N2259" s="37"/>
      <c r="O2259" s="37"/>
      <c r="P2259" s="37"/>
      <c r="Q2259" s="37"/>
      <c r="R2259" s="39"/>
      <c r="S2259" s="37"/>
      <c r="T2259" s="38" t="s">
        <v>293</v>
      </c>
    </row>
    <row r="2260" ht="34.5">
      <c r="A2260" s="38" t="s">
        <v>1797</v>
      </c>
      <c r="B2260" s="38" t="s">
        <v>1798</v>
      </c>
      <c r="C2260" s="38" t="s">
        <v>301</v>
      </c>
      <c r="D2260" s="38" t="s">
        <v>288</v>
      </c>
      <c r="E2260" s="38" t="s">
        <v>365</v>
      </c>
      <c r="F2260" s="37" t="s">
        <v>1899</v>
      </c>
      <c r="G2260" s="38" t="s">
        <v>1900</v>
      </c>
      <c r="H2260" s="37"/>
      <c r="I2260" s="37"/>
      <c r="J2260" s="37" t="s">
        <v>1902</v>
      </c>
      <c r="K2260" s="40"/>
      <c r="L2260" s="38"/>
      <c r="M2260" s="38"/>
      <c r="N2260" s="37"/>
      <c r="O2260" s="37"/>
      <c r="P2260" s="37"/>
      <c r="Q2260" s="37"/>
      <c r="R2260" s="39"/>
      <c r="S2260" s="37"/>
      <c r="T2260" s="38" t="s">
        <v>293</v>
      </c>
    </row>
    <row r="2261" ht="34.5">
      <c r="A2261" s="38" t="s">
        <v>1797</v>
      </c>
      <c r="B2261" s="38" t="s">
        <v>1798</v>
      </c>
      <c r="C2261" s="38" t="s">
        <v>301</v>
      </c>
      <c r="D2261" s="38" t="s">
        <v>288</v>
      </c>
      <c r="E2261" s="38" t="s">
        <v>365</v>
      </c>
      <c r="F2261" s="37" t="s">
        <v>1899</v>
      </c>
      <c r="G2261" s="38" t="s">
        <v>1900</v>
      </c>
      <c r="H2261" s="37"/>
      <c r="I2261" s="37"/>
      <c r="J2261" s="37" t="s">
        <v>1903</v>
      </c>
      <c r="K2261" s="40"/>
      <c r="L2261" s="38"/>
      <c r="M2261" s="38"/>
      <c r="N2261" s="37"/>
      <c r="O2261" s="37"/>
      <c r="P2261" s="37"/>
      <c r="Q2261" s="37"/>
      <c r="R2261" s="39"/>
      <c r="S2261" s="37"/>
      <c r="T2261" s="38" t="s">
        <v>293</v>
      </c>
    </row>
    <row r="2262" ht="34.5">
      <c r="A2262" s="38" t="s">
        <v>1797</v>
      </c>
      <c r="B2262" s="38" t="s">
        <v>1798</v>
      </c>
      <c r="C2262" s="38" t="s">
        <v>301</v>
      </c>
      <c r="D2262" s="38" t="s">
        <v>288</v>
      </c>
      <c r="E2262" s="38" t="s">
        <v>365</v>
      </c>
      <c r="F2262" s="37" t="s">
        <v>1899</v>
      </c>
      <c r="G2262" s="38" t="s">
        <v>1900</v>
      </c>
      <c r="H2262" s="37"/>
      <c r="I2262" s="37"/>
      <c r="J2262" s="37" t="s">
        <v>1904</v>
      </c>
      <c r="K2262" s="40"/>
      <c r="L2262" s="38"/>
      <c r="M2262" s="38"/>
      <c r="N2262" s="37"/>
      <c r="O2262" s="37"/>
      <c r="P2262" s="37"/>
      <c r="Q2262" s="37"/>
      <c r="R2262" s="39"/>
      <c r="S2262" s="37"/>
      <c r="T2262" s="38" t="s">
        <v>293</v>
      </c>
    </row>
    <row r="2263" ht="34.5">
      <c r="A2263" s="38" t="s">
        <v>1797</v>
      </c>
      <c r="B2263" s="38" t="s">
        <v>1798</v>
      </c>
      <c r="C2263" s="38" t="s">
        <v>301</v>
      </c>
      <c r="D2263" s="38" t="s">
        <v>288</v>
      </c>
      <c r="E2263" s="38" t="s">
        <v>365</v>
      </c>
      <c r="F2263" s="37" t="s">
        <v>1899</v>
      </c>
      <c r="G2263" s="38" t="s">
        <v>1900</v>
      </c>
      <c r="H2263" s="37"/>
      <c r="I2263" s="37"/>
      <c r="J2263" s="37" t="s">
        <v>1905</v>
      </c>
      <c r="K2263" s="40"/>
      <c r="L2263" s="38"/>
      <c r="M2263" s="38"/>
      <c r="N2263" s="37"/>
      <c r="O2263" s="37"/>
      <c r="P2263" s="37"/>
      <c r="Q2263" s="37"/>
      <c r="R2263" s="39"/>
      <c r="S2263" s="37"/>
      <c r="T2263" s="38" t="s">
        <v>293</v>
      </c>
    </row>
    <row r="2264" ht="34.5">
      <c r="A2264" s="38" t="s">
        <v>1797</v>
      </c>
      <c r="B2264" s="38" t="s">
        <v>1798</v>
      </c>
      <c r="C2264" s="38" t="s">
        <v>301</v>
      </c>
      <c r="D2264" s="38" t="s">
        <v>288</v>
      </c>
      <c r="E2264" s="38" t="s">
        <v>365</v>
      </c>
      <c r="F2264" s="37" t="s">
        <v>1899</v>
      </c>
      <c r="G2264" s="38" t="s">
        <v>1900</v>
      </c>
      <c r="H2264" s="37"/>
      <c r="I2264" s="37"/>
      <c r="J2264" s="37" t="s">
        <v>1906</v>
      </c>
      <c r="K2264" s="40"/>
      <c r="L2264" s="38"/>
      <c r="M2264" s="38"/>
      <c r="N2264" s="37"/>
      <c r="O2264" s="37"/>
      <c r="P2264" s="37"/>
      <c r="Q2264" s="37"/>
      <c r="R2264" s="39"/>
      <c r="S2264" s="37"/>
      <c r="T2264" s="38" t="s">
        <v>293</v>
      </c>
    </row>
    <row r="2265" ht="34.5">
      <c r="A2265" s="38" t="s">
        <v>1797</v>
      </c>
      <c r="B2265" s="38" t="s">
        <v>1798</v>
      </c>
      <c r="C2265" s="38" t="s">
        <v>308</v>
      </c>
      <c r="D2265" s="38" t="s">
        <v>288</v>
      </c>
      <c r="E2265" s="38" t="s">
        <v>365</v>
      </c>
      <c r="F2265" s="37" t="s">
        <v>1899</v>
      </c>
      <c r="G2265" s="38" t="s">
        <v>1900</v>
      </c>
      <c r="H2265" s="37"/>
      <c r="I2265" s="37"/>
      <c r="J2265" s="37" t="s">
        <v>1907</v>
      </c>
      <c r="K2265" s="40"/>
      <c r="L2265" s="38"/>
      <c r="M2265" s="38"/>
      <c r="N2265" s="37"/>
      <c r="O2265" s="37"/>
      <c r="P2265" s="37"/>
      <c r="Q2265" s="37"/>
      <c r="R2265" s="39"/>
      <c r="S2265" s="37"/>
      <c r="T2265" s="38" t="s">
        <v>293</v>
      </c>
    </row>
    <row r="2266" ht="34.5">
      <c r="A2266" s="38" t="s">
        <v>1797</v>
      </c>
      <c r="B2266" s="38" t="s">
        <v>1798</v>
      </c>
      <c r="C2266" s="38" t="s">
        <v>308</v>
      </c>
      <c r="D2266" s="38" t="s">
        <v>288</v>
      </c>
      <c r="E2266" s="38" t="s">
        <v>365</v>
      </c>
      <c r="F2266" s="37" t="s">
        <v>1899</v>
      </c>
      <c r="G2266" s="38" t="s">
        <v>1900</v>
      </c>
      <c r="H2266" s="37"/>
      <c r="I2266" s="37"/>
      <c r="J2266" s="37" t="s">
        <v>1908</v>
      </c>
      <c r="K2266" s="40"/>
      <c r="L2266" s="38"/>
      <c r="M2266" s="38"/>
      <c r="N2266" s="37"/>
      <c r="O2266" s="37"/>
      <c r="P2266" s="37"/>
      <c r="Q2266" s="37"/>
      <c r="R2266" s="39"/>
      <c r="S2266" s="37"/>
      <c r="T2266" s="38" t="s">
        <v>293</v>
      </c>
    </row>
    <row r="2267" ht="34.5">
      <c r="A2267" s="38" t="s">
        <v>1797</v>
      </c>
      <c r="B2267" s="38" t="s">
        <v>1798</v>
      </c>
      <c r="C2267" s="38" t="s">
        <v>308</v>
      </c>
      <c r="D2267" s="38" t="s">
        <v>288</v>
      </c>
      <c r="E2267" s="38" t="s">
        <v>365</v>
      </c>
      <c r="F2267" s="37" t="s">
        <v>1899</v>
      </c>
      <c r="G2267" s="38" t="s">
        <v>1900</v>
      </c>
      <c r="H2267" s="37"/>
      <c r="I2267" s="37"/>
      <c r="J2267" s="37" t="s">
        <v>1909</v>
      </c>
      <c r="K2267" s="40"/>
      <c r="L2267" s="38"/>
      <c r="M2267" s="38"/>
      <c r="N2267" s="37"/>
      <c r="O2267" s="37"/>
      <c r="P2267" s="37"/>
      <c r="Q2267" s="37"/>
      <c r="R2267" s="39"/>
      <c r="S2267" s="37"/>
      <c r="T2267" s="38" t="s">
        <v>293</v>
      </c>
    </row>
    <row r="2268" ht="34.5">
      <c r="A2268" s="38" t="s">
        <v>1797</v>
      </c>
      <c r="B2268" s="38" t="s">
        <v>1798</v>
      </c>
      <c r="C2268" s="38" t="s">
        <v>308</v>
      </c>
      <c r="D2268" s="38" t="s">
        <v>288</v>
      </c>
      <c r="E2268" s="38" t="s">
        <v>365</v>
      </c>
      <c r="F2268" s="37" t="s">
        <v>1899</v>
      </c>
      <c r="G2268" s="38" t="s">
        <v>1900</v>
      </c>
      <c r="H2268" s="37"/>
      <c r="I2268" s="37"/>
      <c r="J2268" s="37" t="s">
        <v>1910</v>
      </c>
      <c r="K2268" s="40"/>
      <c r="L2268" s="38"/>
      <c r="M2268" s="38"/>
      <c r="N2268" s="37"/>
      <c r="O2268" s="37"/>
      <c r="P2268" s="37"/>
      <c r="Q2268" s="37"/>
      <c r="R2268" s="39"/>
      <c r="S2268" s="37"/>
      <c r="T2268" s="38" t="s">
        <v>293</v>
      </c>
    </row>
    <row r="2269" ht="34.5">
      <c r="A2269" s="38" t="s">
        <v>1797</v>
      </c>
      <c r="B2269" s="38" t="s">
        <v>1798</v>
      </c>
      <c r="C2269" s="38" t="s">
        <v>308</v>
      </c>
      <c r="D2269" s="38" t="s">
        <v>288</v>
      </c>
      <c r="E2269" s="38" t="s">
        <v>365</v>
      </c>
      <c r="F2269" s="37" t="s">
        <v>1899</v>
      </c>
      <c r="G2269" s="38" t="s">
        <v>1900</v>
      </c>
      <c r="H2269" s="37"/>
      <c r="I2269" s="37"/>
      <c r="J2269" s="37" t="s">
        <v>1911</v>
      </c>
      <c r="K2269" s="40"/>
      <c r="L2269" s="38"/>
      <c r="M2269" s="38"/>
      <c r="N2269" s="37"/>
      <c r="O2269" s="37"/>
      <c r="P2269" s="37"/>
      <c r="Q2269" s="37"/>
      <c r="R2269" s="39"/>
      <c r="S2269" s="37"/>
      <c r="T2269" s="38" t="s">
        <v>293</v>
      </c>
    </row>
    <row r="2270" ht="34.5">
      <c r="A2270" s="38" t="s">
        <v>1797</v>
      </c>
      <c r="B2270" s="38" t="s">
        <v>1798</v>
      </c>
      <c r="C2270" s="38" t="s">
        <v>308</v>
      </c>
      <c r="D2270" s="38" t="s">
        <v>288</v>
      </c>
      <c r="E2270" s="38" t="s">
        <v>365</v>
      </c>
      <c r="F2270" s="37" t="s">
        <v>1899</v>
      </c>
      <c r="G2270" s="38" t="s">
        <v>1900</v>
      </c>
      <c r="H2270" s="37"/>
      <c r="I2270" s="37"/>
      <c r="J2270" s="37" t="s">
        <v>1912</v>
      </c>
      <c r="K2270" s="40"/>
      <c r="L2270" s="38"/>
      <c r="M2270" s="38"/>
      <c r="N2270" s="37"/>
      <c r="O2270" s="37"/>
      <c r="P2270" s="37"/>
      <c r="Q2270" s="37"/>
      <c r="R2270" s="39"/>
      <c r="S2270" s="37"/>
      <c r="T2270" s="38" t="s">
        <v>293</v>
      </c>
    </row>
    <row r="2271" ht="34.5">
      <c r="A2271" s="38" t="s">
        <v>1797</v>
      </c>
      <c r="B2271" s="38" t="s">
        <v>1798</v>
      </c>
      <c r="C2271" s="38" t="s">
        <v>308</v>
      </c>
      <c r="D2271" s="38" t="s">
        <v>335</v>
      </c>
      <c r="E2271" s="38" t="s">
        <v>365</v>
      </c>
      <c r="F2271" s="37" t="s">
        <v>1899</v>
      </c>
      <c r="G2271" s="38" t="s">
        <v>1900</v>
      </c>
      <c r="H2271" s="37"/>
      <c r="I2271" s="37"/>
      <c r="J2271" s="37" t="s">
        <v>336</v>
      </c>
      <c r="K2271" s="40"/>
      <c r="L2271" s="38"/>
      <c r="M2271" s="38"/>
      <c r="N2271" s="37"/>
      <c r="O2271" s="37"/>
      <c r="P2271" s="37"/>
      <c r="Q2271" s="37"/>
      <c r="R2271" s="39"/>
      <c r="S2271" s="37"/>
      <c r="T2271" s="38" t="s">
        <v>293</v>
      </c>
    </row>
    <row r="2272" ht="34.5">
      <c r="A2272" s="38" t="s">
        <v>1797</v>
      </c>
      <c r="B2272" s="38" t="s">
        <v>1798</v>
      </c>
      <c r="C2272" s="38" t="s">
        <v>314</v>
      </c>
      <c r="D2272" s="38" t="s">
        <v>288</v>
      </c>
      <c r="E2272" s="38" t="s">
        <v>365</v>
      </c>
      <c r="F2272" s="37" t="s">
        <v>1899</v>
      </c>
      <c r="G2272" s="38" t="s">
        <v>1900</v>
      </c>
      <c r="H2272" s="37"/>
      <c r="I2272" s="37"/>
      <c r="J2272" s="37" t="s">
        <v>1913</v>
      </c>
      <c r="K2272" s="40"/>
      <c r="L2272" s="38"/>
      <c r="M2272" s="38"/>
      <c r="N2272" s="37"/>
      <c r="O2272" s="37"/>
      <c r="P2272" s="37"/>
      <c r="Q2272" s="37"/>
      <c r="R2272" s="39"/>
      <c r="S2272" s="37"/>
      <c r="T2272" s="38" t="s">
        <v>293</v>
      </c>
    </row>
    <row r="2273" ht="34.5">
      <c r="A2273" s="38" t="s">
        <v>1797</v>
      </c>
      <c r="B2273" s="38" t="s">
        <v>1798</v>
      </c>
      <c r="C2273" s="38" t="s">
        <v>314</v>
      </c>
      <c r="D2273" s="38" t="s">
        <v>288</v>
      </c>
      <c r="E2273" s="38" t="s">
        <v>365</v>
      </c>
      <c r="F2273" s="37" t="s">
        <v>1899</v>
      </c>
      <c r="G2273" s="38" t="s">
        <v>1900</v>
      </c>
      <c r="H2273" s="37"/>
      <c r="I2273" s="37"/>
      <c r="J2273" s="37" t="s">
        <v>1914</v>
      </c>
      <c r="K2273" s="40"/>
      <c r="L2273" s="38"/>
      <c r="M2273" s="38"/>
      <c r="N2273" s="37"/>
      <c r="O2273" s="37"/>
      <c r="P2273" s="37"/>
      <c r="Q2273" s="37"/>
      <c r="R2273" s="39"/>
      <c r="S2273" s="37"/>
      <c r="T2273" s="38" t="s">
        <v>293</v>
      </c>
    </row>
    <row r="2274" ht="34.5">
      <c r="A2274" s="38" t="s">
        <v>1797</v>
      </c>
      <c r="B2274" s="38" t="s">
        <v>1798</v>
      </c>
      <c r="C2274" s="38" t="s">
        <v>314</v>
      </c>
      <c r="D2274" s="38" t="s">
        <v>288</v>
      </c>
      <c r="E2274" s="38" t="s">
        <v>365</v>
      </c>
      <c r="F2274" s="37" t="s">
        <v>1899</v>
      </c>
      <c r="G2274" s="38" t="s">
        <v>1900</v>
      </c>
      <c r="H2274" s="37"/>
      <c r="I2274" s="37"/>
      <c r="J2274" s="37" t="s">
        <v>1915</v>
      </c>
      <c r="K2274" s="40"/>
      <c r="L2274" s="38"/>
      <c r="M2274" s="38"/>
      <c r="N2274" s="37"/>
      <c r="O2274" s="37"/>
      <c r="P2274" s="37"/>
      <c r="Q2274" s="37"/>
      <c r="R2274" s="39"/>
      <c r="S2274" s="37"/>
      <c r="T2274" s="38" t="s">
        <v>293</v>
      </c>
    </row>
    <row r="2275" ht="34.5">
      <c r="A2275" s="38" t="s">
        <v>1797</v>
      </c>
      <c r="B2275" s="38" t="s">
        <v>1798</v>
      </c>
      <c r="C2275" s="38" t="s">
        <v>314</v>
      </c>
      <c r="D2275" s="38" t="s">
        <v>288</v>
      </c>
      <c r="E2275" s="38" t="s">
        <v>365</v>
      </c>
      <c r="F2275" s="37" t="s">
        <v>1899</v>
      </c>
      <c r="G2275" s="38" t="s">
        <v>1900</v>
      </c>
      <c r="H2275" s="37"/>
      <c r="I2275" s="37"/>
      <c r="J2275" s="37" t="s">
        <v>1916</v>
      </c>
      <c r="K2275" s="40"/>
      <c r="L2275" s="38"/>
      <c r="M2275" s="38"/>
      <c r="N2275" s="37"/>
      <c r="O2275" s="37"/>
      <c r="P2275" s="37"/>
      <c r="Q2275" s="37"/>
      <c r="R2275" s="39"/>
      <c r="S2275" s="37"/>
      <c r="T2275" s="38" t="s">
        <v>293</v>
      </c>
    </row>
    <row r="2276" ht="34.5">
      <c r="A2276" s="38" t="s">
        <v>1797</v>
      </c>
      <c r="B2276" s="38" t="s">
        <v>1798</v>
      </c>
      <c r="C2276" s="38" t="s">
        <v>314</v>
      </c>
      <c r="D2276" s="38" t="s">
        <v>288</v>
      </c>
      <c r="E2276" s="38" t="s">
        <v>365</v>
      </c>
      <c r="F2276" s="37" t="s">
        <v>1899</v>
      </c>
      <c r="G2276" s="38" t="s">
        <v>1900</v>
      </c>
      <c r="H2276" s="37"/>
      <c r="I2276" s="37"/>
      <c r="J2276" s="37" t="s">
        <v>1917</v>
      </c>
      <c r="K2276" s="40"/>
      <c r="L2276" s="38"/>
      <c r="M2276" s="38"/>
      <c r="N2276" s="37"/>
      <c r="O2276" s="37"/>
      <c r="P2276" s="37"/>
      <c r="Q2276" s="37"/>
      <c r="R2276" s="39"/>
      <c r="S2276" s="37"/>
      <c r="T2276" s="38" t="s">
        <v>293</v>
      </c>
    </row>
    <row r="2277" ht="34.5">
      <c r="A2277" s="38" t="s">
        <v>1797</v>
      </c>
      <c r="B2277" s="38" t="s">
        <v>1798</v>
      </c>
      <c r="C2277" s="38" t="s">
        <v>314</v>
      </c>
      <c r="D2277" s="38" t="s">
        <v>288</v>
      </c>
      <c r="E2277" s="38" t="s">
        <v>365</v>
      </c>
      <c r="F2277" s="37" t="s">
        <v>1899</v>
      </c>
      <c r="G2277" s="38" t="s">
        <v>1900</v>
      </c>
      <c r="H2277" s="37"/>
      <c r="I2277" s="37"/>
      <c r="J2277" s="37" t="s">
        <v>1918</v>
      </c>
      <c r="K2277" s="40"/>
      <c r="L2277" s="38"/>
      <c r="M2277" s="38"/>
      <c r="N2277" s="37"/>
      <c r="O2277" s="37"/>
      <c r="P2277" s="37"/>
      <c r="Q2277" s="37"/>
      <c r="R2277" s="39"/>
      <c r="S2277" s="37"/>
      <c r="T2277" s="38" t="s">
        <v>293</v>
      </c>
    </row>
    <row r="2278" ht="34.5">
      <c r="A2278" s="38" t="s">
        <v>1797</v>
      </c>
      <c r="B2278" s="38" t="s">
        <v>1798</v>
      </c>
      <c r="C2278" s="38" t="s">
        <v>314</v>
      </c>
      <c r="D2278" s="38" t="s">
        <v>288</v>
      </c>
      <c r="E2278" s="38" t="s">
        <v>365</v>
      </c>
      <c r="F2278" s="37" t="s">
        <v>1899</v>
      </c>
      <c r="G2278" s="38" t="s">
        <v>1900</v>
      </c>
      <c r="H2278" s="37"/>
      <c r="I2278" s="37"/>
      <c r="J2278" s="37" t="s">
        <v>1919</v>
      </c>
      <c r="K2278" s="40"/>
      <c r="L2278" s="38"/>
      <c r="M2278" s="38"/>
      <c r="N2278" s="37"/>
      <c r="O2278" s="37"/>
      <c r="P2278" s="37"/>
      <c r="Q2278" s="37"/>
      <c r="R2278" s="39"/>
      <c r="S2278" s="37"/>
      <c r="T2278" s="38" t="s">
        <v>293</v>
      </c>
    </row>
    <row r="2279" ht="34.5">
      <c r="A2279" s="38" t="s">
        <v>1797</v>
      </c>
      <c r="B2279" s="38" t="s">
        <v>1798</v>
      </c>
      <c r="C2279" s="38" t="s">
        <v>314</v>
      </c>
      <c r="D2279" s="38" t="s">
        <v>288</v>
      </c>
      <c r="E2279" s="38" t="s">
        <v>365</v>
      </c>
      <c r="F2279" s="37" t="s">
        <v>1899</v>
      </c>
      <c r="G2279" s="38" t="s">
        <v>1900</v>
      </c>
      <c r="H2279" s="37"/>
      <c r="I2279" s="37"/>
      <c r="J2279" s="37" t="s">
        <v>1920</v>
      </c>
      <c r="K2279" s="40"/>
      <c r="L2279" s="38"/>
      <c r="M2279" s="38"/>
      <c r="N2279" s="37"/>
      <c r="O2279" s="37"/>
      <c r="P2279" s="37"/>
      <c r="Q2279" s="37"/>
      <c r="R2279" s="39"/>
      <c r="S2279" s="37"/>
      <c r="T2279" s="38" t="s">
        <v>293</v>
      </c>
    </row>
    <row r="2280" ht="34.5">
      <c r="A2280" s="38" t="s">
        <v>1797</v>
      </c>
      <c r="B2280" s="38" t="s">
        <v>1798</v>
      </c>
      <c r="C2280" s="38" t="s">
        <v>314</v>
      </c>
      <c r="D2280" s="38" t="s">
        <v>288</v>
      </c>
      <c r="E2280" s="38" t="s">
        <v>365</v>
      </c>
      <c r="F2280" s="37" t="s">
        <v>1899</v>
      </c>
      <c r="G2280" s="38" t="s">
        <v>1900</v>
      </c>
      <c r="H2280" s="37"/>
      <c r="I2280" s="37"/>
      <c r="J2280" s="37" t="s">
        <v>1921</v>
      </c>
      <c r="K2280" s="40"/>
      <c r="L2280" s="38"/>
      <c r="M2280" s="38"/>
      <c r="N2280" s="37"/>
      <c r="O2280" s="37"/>
      <c r="P2280" s="37"/>
      <c r="Q2280" s="37"/>
      <c r="R2280" s="39"/>
      <c r="S2280" s="37"/>
      <c r="T2280" s="38" t="s">
        <v>293</v>
      </c>
    </row>
    <row r="2281" ht="34.5">
      <c r="A2281" s="38" t="s">
        <v>1797</v>
      </c>
      <c r="B2281" s="38" t="s">
        <v>1798</v>
      </c>
      <c r="C2281" s="38" t="s">
        <v>314</v>
      </c>
      <c r="D2281" s="38" t="s">
        <v>288</v>
      </c>
      <c r="E2281" s="38" t="s">
        <v>365</v>
      </c>
      <c r="F2281" s="37" t="s">
        <v>1899</v>
      </c>
      <c r="G2281" s="38" t="s">
        <v>1900</v>
      </c>
      <c r="H2281" s="37"/>
      <c r="I2281" s="37"/>
      <c r="J2281" s="37" t="s">
        <v>1922</v>
      </c>
      <c r="K2281" s="40"/>
      <c r="L2281" s="38"/>
      <c r="M2281" s="38"/>
      <c r="N2281" s="37"/>
      <c r="O2281" s="37"/>
      <c r="P2281" s="37"/>
      <c r="Q2281" s="37"/>
      <c r="R2281" s="39"/>
      <c r="S2281" s="37"/>
      <c r="T2281" s="38" t="s">
        <v>293</v>
      </c>
    </row>
    <row r="2282" ht="34.5">
      <c r="A2282" s="38" t="s">
        <v>1797</v>
      </c>
      <c r="B2282" s="38" t="s">
        <v>1798</v>
      </c>
      <c r="C2282" s="38" t="s">
        <v>329</v>
      </c>
      <c r="D2282" s="38" t="s">
        <v>288</v>
      </c>
      <c r="E2282" s="38" t="s">
        <v>365</v>
      </c>
      <c r="F2282" s="37" t="s">
        <v>1899</v>
      </c>
      <c r="G2282" s="38" t="s">
        <v>1900</v>
      </c>
      <c r="H2282" s="37"/>
      <c r="I2282" s="37"/>
      <c r="J2282" s="37" t="s">
        <v>1923</v>
      </c>
      <c r="K2282" s="40"/>
      <c r="L2282" s="38"/>
      <c r="M2282" s="38"/>
      <c r="N2282" s="37"/>
      <c r="O2282" s="37"/>
      <c r="P2282" s="37"/>
      <c r="Q2282" s="37"/>
      <c r="R2282" s="39"/>
      <c r="S2282" s="37"/>
      <c r="T2282" s="38" t="s">
        <v>293</v>
      </c>
    </row>
    <row r="2283" ht="34.5">
      <c r="A2283" s="38" t="s">
        <v>1797</v>
      </c>
      <c r="B2283" s="38" t="s">
        <v>1798</v>
      </c>
      <c r="C2283" s="38" t="s">
        <v>329</v>
      </c>
      <c r="D2283" s="38" t="s">
        <v>288</v>
      </c>
      <c r="E2283" s="38" t="s">
        <v>365</v>
      </c>
      <c r="F2283" s="37" t="s">
        <v>1899</v>
      </c>
      <c r="G2283" s="38" t="s">
        <v>1900</v>
      </c>
      <c r="H2283" s="37"/>
      <c r="I2283" s="37"/>
      <c r="J2283" s="37" t="s">
        <v>1924</v>
      </c>
      <c r="K2283" s="40"/>
      <c r="L2283" s="38"/>
      <c r="M2283" s="38"/>
      <c r="N2283" s="37"/>
      <c r="O2283" s="37"/>
      <c r="P2283" s="37"/>
      <c r="Q2283" s="37"/>
      <c r="R2283" s="39"/>
      <c r="S2283" s="37"/>
      <c r="T2283" s="38" t="s">
        <v>293</v>
      </c>
    </row>
    <row r="2284" ht="34.5">
      <c r="A2284" s="38" t="s">
        <v>1797</v>
      </c>
      <c r="B2284" s="38" t="s">
        <v>1798</v>
      </c>
      <c r="C2284" s="38" t="s">
        <v>329</v>
      </c>
      <c r="D2284" s="38" t="s">
        <v>288</v>
      </c>
      <c r="E2284" s="38" t="s">
        <v>365</v>
      </c>
      <c r="F2284" s="37" t="s">
        <v>1899</v>
      </c>
      <c r="G2284" s="38" t="s">
        <v>1900</v>
      </c>
      <c r="H2284" s="37"/>
      <c r="I2284" s="37"/>
      <c r="J2284" s="37" t="s">
        <v>1925</v>
      </c>
      <c r="K2284" s="40"/>
      <c r="L2284" s="38"/>
      <c r="M2284" s="38"/>
      <c r="N2284" s="37"/>
      <c r="O2284" s="37"/>
      <c r="P2284" s="37"/>
      <c r="Q2284" s="37"/>
      <c r="R2284" s="39"/>
      <c r="S2284" s="37"/>
      <c r="T2284" s="38" t="s">
        <v>293</v>
      </c>
    </row>
    <row r="2285" ht="34.5">
      <c r="A2285" s="38" t="s">
        <v>1797</v>
      </c>
      <c r="B2285" s="38" t="s">
        <v>1798</v>
      </c>
      <c r="C2285" s="38" t="s">
        <v>329</v>
      </c>
      <c r="D2285" s="38" t="s">
        <v>288</v>
      </c>
      <c r="E2285" s="38" t="s">
        <v>365</v>
      </c>
      <c r="F2285" s="37" t="s">
        <v>1899</v>
      </c>
      <c r="G2285" s="38" t="s">
        <v>1900</v>
      </c>
      <c r="H2285" s="37"/>
      <c r="I2285" s="37"/>
      <c r="J2285" s="37" t="s">
        <v>1926</v>
      </c>
      <c r="K2285" s="40"/>
      <c r="L2285" s="38"/>
      <c r="M2285" s="38"/>
      <c r="N2285" s="37"/>
      <c r="O2285" s="37"/>
      <c r="P2285" s="37"/>
      <c r="Q2285" s="37"/>
      <c r="R2285" s="39"/>
      <c r="S2285" s="37"/>
      <c r="T2285" s="38" t="s">
        <v>293</v>
      </c>
    </row>
    <row r="2286" ht="34.5">
      <c r="A2286" s="38" t="s">
        <v>1797</v>
      </c>
      <c r="B2286" s="38" t="s">
        <v>1798</v>
      </c>
      <c r="C2286" s="38" t="s">
        <v>329</v>
      </c>
      <c r="D2286" s="38" t="s">
        <v>342</v>
      </c>
      <c r="E2286" s="38" t="s">
        <v>365</v>
      </c>
      <c r="F2286" s="37" t="s">
        <v>1899</v>
      </c>
      <c r="G2286" s="38" t="s">
        <v>1900</v>
      </c>
      <c r="H2286" s="37"/>
      <c r="I2286" s="37"/>
      <c r="J2286" s="37" t="s">
        <v>343</v>
      </c>
      <c r="K2286" s="40"/>
      <c r="L2286" s="38"/>
      <c r="M2286" s="38"/>
      <c r="N2286" s="37"/>
      <c r="O2286" s="37"/>
      <c r="P2286" s="37"/>
      <c r="Q2286" s="37"/>
      <c r="R2286" s="39"/>
      <c r="S2286" s="37"/>
      <c r="T2286" s="38" t="s">
        <v>293</v>
      </c>
    </row>
    <row r="2287" ht="34.5">
      <c r="A2287" s="38" t="s">
        <v>1797</v>
      </c>
      <c r="B2287" s="38" t="s">
        <v>1798</v>
      </c>
      <c r="C2287" s="38" t="s">
        <v>329</v>
      </c>
      <c r="D2287" s="38" t="s">
        <v>288</v>
      </c>
      <c r="E2287" s="38" t="s">
        <v>365</v>
      </c>
      <c r="F2287" s="37" t="s">
        <v>1899</v>
      </c>
      <c r="G2287" s="38" t="s">
        <v>1900</v>
      </c>
      <c r="H2287" s="37"/>
      <c r="I2287" s="37"/>
      <c r="J2287" s="37" t="s">
        <v>1927</v>
      </c>
      <c r="K2287" s="40"/>
      <c r="L2287" s="38"/>
      <c r="M2287" s="38"/>
      <c r="N2287" s="37"/>
      <c r="O2287" s="37"/>
      <c r="P2287" s="37"/>
      <c r="Q2287" s="37"/>
      <c r="R2287" s="39"/>
      <c r="S2287" s="37"/>
      <c r="T2287" s="38" t="s">
        <v>293</v>
      </c>
    </row>
    <row r="2288" ht="34.5">
      <c r="A2288" s="38" t="s">
        <v>1797</v>
      </c>
      <c r="B2288" s="38" t="s">
        <v>1798</v>
      </c>
      <c r="C2288" s="38" t="s">
        <v>329</v>
      </c>
      <c r="D2288" s="38" t="s">
        <v>288</v>
      </c>
      <c r="E2288" s="38" t="s">
        <v>365</v>
      </c>
      <c r="F2288" s="37" t="s">
        <v>1899</v>
      </c>
      <c r="G2288" s="38" t="s">
        <v>1900</v>
      </c>
      <c r="H2288" s="37"/>
      <c r="I2288" s="37"/>
      <c r="J2288" s="37" t="s">
        <v>1928</v>
      </c>
      <c r="K2288" s="40"/>
      <c r="L2288" s="38"/>
      <c r="M2288" s="38"/>
      <c r="N2288" s="37"/>
      <c r="O2288" s="37"/>
      <c r="P2288" s="37"/>
      <c r="Q2288" s="37"/>
      <c r="R2288" s="39"/>
      <c r="S2288" s="37"/>
      <c r="T2288" s="38" t="s">
        <v>293</v>
      </c>
    </row>
    <row r="2289" ht="34.5">
      <c r="A2289" s="38" t="s">
        <v>1797</v>
      </c>
      <c r="B2289" s="38" t="s">
        <v>1798</v>
      </c>
      <c r="C2289" s="38" t="s">
        <v>329</v>
      </c>
      <c r="D2289" s="38" t="s">
        <v>288</v>
      </c>
      <c r="E2289" s="38" t="s">
        <v>365</v>
      </c>
      <c r="F2289" s="37" t="s">
        <v>1899</v>
      </c>
      <c r="G2289" s="38" t="s">
        <v>1900</v>
      </c>
      <c r="H2289" s="37"/>
      <c r="I2289" s="37"/>
      <c r="J2289" s="37" t="s">
        <v>1929</v>
      </c>
      <c r="K2289" s="40"/>
      <c r="L2289" s="38"/>
      <c r="M2289" s="38"/>
      <c r="N2289" s="37"/>
      <c r="O2289" s="37"/>
      <c r="P2289" s="37"/>
      <c r="Q2289" s="37"/>
      <c r="R2289" s="39"/>
      <c r="S2289" s="37"/>
      <c r="T2289" s="38" t="s">
        <v>293</v>
      </c>
    </row>
    <row r="2290" ht="34.5">
      <c r="A2290" s="38" t="s">
        <v>1797</v>
      </c>
      <c r="B2290" s="38" t="s">
        <v>1798</v>
      </c>
      <c r="C2290" s="38" t="s">
        <v>339</v>
      </c>
      <c r="D2290" s="38" t="s">
        <v>288</v>
      </c>
      <c r="E2290" s="38" t="s">
        <v>365</v>
      </c>
      <c r="F2290" s="37" t="s">
        <v>1899</v>
      </c>
      <c r="G2290" s="38" t="s">
        <v>1900</v>
      </c>
      <c r="H2290" s="37"/>
      <c r="I2290" s="37"/>
      <c r="J2290" s="37" t="s">
        <v>1930</v>
      </c>
      <c r="K2290" s="40"/>
      <c r="L2290" s="38"/>
      <c r="M2290" s="38"/>
      <c r="N2290" s="37"/>
      <c r="O2290" s="37"/>
      <c r="P2290" s="37"/>
      <c r="Q2290" s="37"/>
      <c r="R2290" s="39"/>
      <c r="S2290" s="37"/>
      <c r="T2290" s="38" t="s">
        <v>293</v>
      </c>
    </row>
    <row r="2291" ht="34.5">
      <c r="A2291" s="38" t="s">
        <v>1797</v>
      </c>
      <c r="B2291" s="38" t="s">
        <v>1798</v>
      </c>
      <c r="C2291" s="38" t="s">
        <v>339</v>
      </c>
      <c r="D2291" s="38" t="s">
        <v>288</v>
      </c>
      <c r="E2291" s="38" t="s">
        <v>365</v>
      </c>
      <c r="F2291" s="37" t="s">
        <v>1899</v>
      </c>
      <c r="G2291" s="38" t="s">
        <v>1900</v>
      </c>
      <c r="H2291" s="37"/>
      <c r="I2291" s="37"/>
      <c r="J2291" s="37" t="s">
        <v>1931</v>
      </c>
      <c r="K2291" s="40"/>
      <c r="L2291" s="38"/>
      <c r="M2291" s="38"/>
      <c r="N2291" s="37"/>
      <c r="O2291" s="37"/>
      <c r="P2291" s="37"/>
      <c r="Q2291" s="37"/>
      <c r="R2291" s="39"/>
      <c r="S2291" s="37"/>
      <c r="T2291" s="38" t="s">
        <v>293</v>
      </c>
    </row>
    <row r="2292" ht="34.5">
      <c r="A2292" s="38" t="s">
        <v>1797</v>
      </c>
      <c r="B2292" s="38" t="s">
        <v>1798</v>
      </c>
      <c r="C2292" s="38" t="s">
        <v>339</v>
      </c>
      <c r="D2292" s="38" t="s">
        <v>288</v>
      </c>
      <c r="E2292" s="38" t="s">
        <v>365</v>
      </c>
      <c r="F2292" s="37" t="s">
        <v>1899</v>
      </c>
      <c r="G2292" s="38" t="s">
        <v>1900</v>
      </c>
      <c r="H2292" s="37"/>
      <c r="I2292" s="37"/>
      <c r="J2292" s="37" t="s">
        <v>1932</v>
      </c>
      <c r="K2292" s="40"/>
      <c r="L2292" s="38"/>
      <c r="M2292" s="38"/>
      <c r="N2292" s="37"/>
      <c r="O2292" s="37"/>
      <c r="P2292" s="37"/>
      <c r="Q2292" s="37"/>
      <c r="R2292" s="39"/>
      <c r="S2292" s="37"/>
      <c r="T2292" s="38" t="s">
        <v>293</v>
      </c>
    </row>
    <row r="2293" ht="34.5">
      <c r="A2293" s="38" t="s">
        <v>1797</v>
      </c>
      <c r="B2293" s="38" t="s">
        <v>1798</v>
      </c>
      <c r="C2293" s="38" t="s">
        <v>339</v>
      </c>
      <c r="D2293" s="38" t="s">
        <v>288</v>
      </c>
      <c r="E2293" s="38" t="s">
        <v>365</v>
      </c>
      <c r="F2293" s="37" t="s">
        <v>1899</v>
      </c>
      <c r="G2293" s="38" t="s">
        <v>1900</v>
      </c>
      <c r="H2293" s="37"/>
      <c r="I2293" s="37"/>
      <c r="J2293" s="37" t="s">
        <v>1933</v>
      </c>
      <c r="K2293" s="40"/>
      <c r="L2293" s="38"/>
      <c r="M2293" s="38"/>
      <c r="N2293" s="37"/>
      <c r="O2293" s="37"/>
      <c r="P2293" s="37"/>
      <c r="Q2293" s="37"/>
      <c r="R2293" s="39"/>
      <c r="S2293" s="37"/>
      <c r="T2293" s="38" t="s">
        <v>293</v>
      </c>
    </row>
    <row r="2294" ht="34.5">
      <c r="A2294" s="38" t="s">
        <v>1797</v>
      </c>
      <c r="B2294" s="38" t="s">
        <v>1798</v>
      </c>
      <c r="C2294" s="38" t="s">
        <v>339</v>
      </c>
      <c r="D2294" s="38" t="s">
        <v>288</v>
      </c>
      <c r="E2294" s="38" t="s">
        <v>365</v>
      </c>
      <c r="F2294" s="37" t="s">
        <v>1899</v>
      </c>
      <c r="G2294" s="38" t="s">
        <v>1900</v>
      </c>
      <c r="H2294" s="37"/>
      <c r="I2294" s="37"/>
      <c r="J2294" s="37" t="s">
        <v>1934</v>
      </c>
      <c r="K2294" s="40"/>
      <c r="L2294" s="38"/>
      <c r="M2294" s="38"/>
      <c r="N2294" s="37"/>
      <c r="O2294" s="37"/>
      <c r="P2294" s="37"/>
      <c r="Q2294" s="37"/>
      <c r="R2294" s="39"/>
      <c r="S2294" s="37"/>
      <c r="T2294" s="38" t="s">
        <v>293</v>
      </c>
    </row>
    <row r="2295" ht="34.5">
      <c r="A2295" s="38" t="s">
        <v>1797</v>
      </c>
      <c r="B2295" s="38" t="s">
        <v>1798</v>
      </c>
      <c r="C2295" s="38" t="s">
        <v>339</v>
      </c>
      <c r="D2295" s="38" t="s">
        <v>288</v>
      </c>
      <c r="E2295" s="38" t="s">
        <v>365</v>
      </c>
      <c r="F2295" s="37" t="s">
        <v>1899</v>
      </c>
      <c r="G2295" s="38" t="s">
        <v>1900</v>
      </c>
      <c r="H2295" s="37"/>
      <c r="I2295" s="37"/>
      <c r="J2295" s="37" t="s">
        <v>1935</v>
      </c>
      <c r="K2295" s="40"/>
      <c r="L2295" s="38"/>
      <c r="M2295" s="38"/>
      <c r="N2295" s="37"/>
      <c r="O2295" s="37"/>
      <c r="P2295" s="37"/>
      <c r="Q2295" s="37"/>
      <c r="R2295" s="39"/>
      <c r="S2295" s="37"/>
      <c r="T2295" s="38" t="s">
        <v>293</v>
      </c>
    </row>
    <row r="2296" ht="34.5">
      <c r="A2296" s="38" t="s">
        <v>1797</v>
      </c>
      <c r="B2296" s="38" t="s">
        <v>1798</v>
      </c>
      <c r="C2296" s="38" t="s">
        <v>339</v>
      </c>
      <c r="D2296" s="38" t="s">
        <v>288</v>
      </c>
      <c r="E2296" s="38" t="s">
        <v>365</v>
      </c>
      <c r="F2296" s="37" t="s">
        <v>1899</v>
      </c>
      <c r="G2296" s="38" t="s">
        <v>1900</v>
      </c>
      <c r="H2296" s="37"/>
      <c r="I2296" s="37"/>
      <c r="J2296" s="37" t="s">
        <v>1936</v>
      </c>
      <c r="K2296" s="40"/>
      <c r="L2296" s="38"/>
      <c r="M2296" s="38"/>
      <c r="N2296" s="37"/>
      <c r="O2296" s="37"/>
      <c r="P2296" s="37"/>
      <c r="Q2296" s="37"/>
      <c r="R2296" s="39"/>
      <c r="S2296" s="37"/>
      <c r="T2296" s="38" t="s">
        <v>293</v>
      </c>
    </row>
    <row r="2297" ht="34.5">
      <c r="A2297" s="38" t="s">
        <v>1797</v>
      </c>
      <c r="B2297" s="38" t="s">
        <v>1798</v>
      </c>
      <c r="C2297" s="38" t="s">
        <v>339</v>
      </c>
      <c r="D2297" s="38" t="s">
        <v>288</v>
      </c>
      <c r="E2297" s="38" t="s">
        <v>365</v>
      </c>
      <c r="F2297" s="37" t="s">
        <v>1899</v>
      </c>
      <c r="G2297" s="38" t="s">
        <v>1900</v>
      </c>
      <c r="H2297" s="37"/>
      <c r="I2297" s="37"/>
      <c r="J2297" s="37" t="s">
        <v>1937</v>
      </c>
      <c r="K2297" s="40"/>
      <c r="L2297" s="38"/>
      <c r="M2297" s="38"/>
      <c r="N2297" s="37"/>
      <c r="O2297" s="37"/>
      <c r="P2297" s="37"/>
      <c r="Q2297" s="37"/>
      <c r="R2297" s="39"/>
      <c r="S2297" s="37"/>
      <c r="T2297" s="38" t="s">
        <v>293</v>
      </c>
    </row>
    <row r="2298" ht="34.5">
      <c r="A2298" s="38" t="s">
        <v>1797</v>
      </c>
      <c r="B2298" s="38" t="s">
        <v>1798</v>
      </c>
      <c r="C2298" s="38" t="s">
        <v>339</v>
      </c>
      <c r="D2298" s="38" t="s">
        <v>288</v>
      </c>
      <c r="E2298" s="38" t="s">
        <v>365</v>
      </c>
      <c r="F2298" s="37" t="s">
        <v>1899</v>
      </c>
      <c r="G2298" s="38" t="s">
        <v>1900</v>
      </c>
      <c r="H2298" s="37"/>
      <c r="I2298" s="37"/>
      <c r="J2298" s="37" t="s">
        <v>1938</v>
      </c>
      <c r="K2298" s="40"/>
      <c r="L2298" s="38"/>
      <c r="M2298" s="38"/>
      <c r="N2298" s="37"/>
      <c r="O2298" s="37"/>
      <c r="P2298" s="37"/>
      <c r="Q2298" s="37"/>
      <c r="R2298" s="39"/>
      <c r="S2298" s="37"/>
      <c r="T2298" s="38" t="s">
        <v>293</v>
      </c>
    </row>
    <row r="2299" ht="34.5">
      <c r="A2299" s="38" t="s">
        <v>1797</v>
      </c>
      <c r="B2299" s="38" t="s">
        <v>1798</v>
      </c>
      <c r="C2299" s="38" t="s">
        <v>339</v>
      </c>
      <c r="D2299" s="38" t="s">
        <v>288</v>
      </c>
      <c r="E2299" s="38" t="s">
        <v>365</v>
      </c>
      <c r="F2299" s="37" t="s">
        <v>1899</v>
      </c>
      <c r="G2299" s="38" t="s">
        <v>1900</v>
      </c>
      <c r="H2299" s="37"/>
      <c r="I2299" s="37"/>
      <c r="J2299" s="37" t="s">
        <v>1939</v>
      </c>
      <c r="K2299" s="40"/>
      <c r="L2299" s="38"/>
      <c r="M2299" s="38"/>
      <c r="N2299" s="37"/>
      <c r="O2299" s="37"/>
      <c r="P2299" s="37"/>
      <c r="Q2299" s="37"/>
      <c r="R2299" s="39"/>
      <c r="S2299" s="37"/>
      <c r="T2299" s="38" t="s">
        <v>293</v>
      </c>
    </row>
    <row r="2300" ht="34.5">
      <c r="A2300" s="38" t="s">
        <v>1797</v>
      </c>
      <c r="B2300" s="38" t="s">
        <v>1798</v>
      </c>
      <c r="C2300" s="38" t="s">
        <v>350</v>
      </c>
      <c r="D2300" s="38" t="s">
        <v>288</v>
      </c>
      <c r="E2300" s="38" t="s">
        <v>365</v>
      </c>
      <c r="F2300" s="37" t="s">
        <v>1899</v>
      </c>
      <c r="G2300" s="38" t="s">
        <v>1900</v>
      </c>
      <c r="H2300" s="37"/>
      <c r="I2300" s="37"/>
      <c r="J2300" s="37" t="s">
        <v>1940</v>
      </c>
      <c r="K2300" s="40"/>
      <c r="L2300" s="38"/>
      <c r="M2300" s="38"/>
      <c r="N2300" s="37"/>
      <c r="O2300" s="37"/>
      <c r="P2300" s="37"/>
      <c r="Q2300" s="37"/>
      <c r="R2300" s="39"/>
      <c r="S2300" s="37"/>
      <c r="T2300" s="38" t="s">
        <v>293</v>
      </c>
    </row>
    <row r="2301" ht="34.5">
      <c r="A2301" s="38" t="s">
        <v>1797</v>
      </c>
      <c r="B2301" s="38" t="s">
        <v>1798</v>
      </c>
      <c r="C2301" s="38" t="s">
        <v>350</v>
      </c>
      <c r="D2301" s="38" t="s">
        <v>288</v>
      </c>
      <c r="E2301" s="38" t="s">
        <v>365</v>
      </c>
      <c r="F2301" s="37" t="s">
        <v>1899</v>
      </c>
      <c r="G2301" s="38" t="s">
        <v>1900</v>
      </c>
      <c r="H2301" s="37"/>
      <c r="I2301" s="37"/>
      <c r="J2301" s="37" t="s">
        <v>1941</v>
      </c>
      <c r="K2301" s="40"/>
      <c r="L2301" s="38"/>
      <c r="M2301" s="38"/>
      <c r="N2301" s="37"/>
      <c r="O2301" s="37"/>
      <c r="P2301" s="37"/>
      <c r="Q2301" s="37"/>
      <c r="R2301" s="39"/>
      <c r="S2301" s="37"/>
      <c r="T2301" s="38" t="s">
        <v>293</v>
      </c>
    </row>
    <row r="2302" ht="34.5">
      <c r="A2302" s="38" t="s">
        <v>1797</v>
      </c>
      <c r="B2302" s="38" t="s">
        <v>1798</v>
      </c>
      <c r="C2302" s="38" t="s">
        <v>350</v>
      </c>
      <c r="D2302" s="38" t="s">
        <v>288</v>
      </c>
      <c r="E2302" s="38" t="s">
        <v>365</v>
      </c>
      <c r="F2302" s="37" t="s">
        <v>1899</v>
      </c>
      <c r="G2302" s="38" t="s">
        <v>1900</v>
      </c>
      <c r="H2302" s="37"/>
      <c r="I2302" s="37"/>
      <c r="J2302" s="37" t="s">
        <v>1942</v>
      </c>
      <c r="K2302" s="40"/>
      <c r="L2302" s="38"/>
      <c r="M2302" s="38"/>
      <c r="N2302" s="37"/>
      <c r="O2302" s="37"/>
      <c r="P2302" s="37"/>
      <c r="Q2302" s="37"/>
      <c r="R2302" s="39"/>
      <c r="S2302" s="37"/>
      <c r="T2302" s="38" t="s">
        <v>293</v>
      </c>
    </row>
    <row r="2303" ht="34.5">
      <c r="A2303" s="38" t="s">
        <v>1797</v>
      </c>
      <c r="B2303" s="38" t="s">
        <v>1798</v>
      </c>
      <c r="C2303" s="38" t="s">
        <v>350</v>
      </c>
      <c r="D2303" s="38" t="s">
        <v>288</v>
      </c>
      <c r="E2303" s="38" t="s">
        <v>365</v>
      </c>
      <c r="F2303" s="37" t="s">
        <v>1899</v>
      </c>
      <c r="G2303" s="38" t="s">
        <v>1900</v>
      </c>
      <c r="H2303" s="37"/>
      <c r="I2303" s="37"/>
      <c r="J2303" s="37" t="s">
        <v>1943</v>
      </c>
      <c r="K2303" s="40"/>
      <c r="L2303" s="38"/>
      <c r="M2303" s="38"/>
      <c r="N2303" s="37"/>
      <c r="O2303" s="37"/>
      <c r="P2303" s="37"/>
      <c r="Q2303" s="37"/>
      <c r="R2303" s="39"/>
      <c r="S2303" s="37"/>
      <c r="T2303" s="38" t="s">
        <v>293</v>
      </c>
    </row>
    <row r="2304" ht="34.5">
      <c r="A2304" s="38" t="s">
        <v>1797</v>
      </c>
      <c r="B2304" s="38" t="s">
        <v>1798</v>
      </c>
      <c r="C2304" s="38" t="s">
        <v>350</v>
      </c>
      <c r="D2304" s="38" t="s">
        <v>288</v>
      </c>
      <c r="E2304" s="38" t="s">
        <v>365</v>
      </c>
      <c r="F2304" s="37" t="s">
        <v>1899</v>
      </c>
      <c r="G2304" s="38" t="s">
        <v>1900</v>
      </c>
      <c r="H2304" s="37"/>
      <c r="I2304" s="37"/>
      <c r="J2304" s="37" t="s">
        <v>1944</v>
      </c>
      <c r="K2304" s="40"/>
      <c r="L2304" s="38"/>
      <c r="M2304" s="38"/>
      <c r="N2304" s="37"/>
      <c r="O2304" s="37"/>
      <c r="P2304" s="37"/>
      <c r="Q2304" s="37"/>
      <c r="R2304" s="39"/>
      <c r="S2304" s="37"/>
      <c r="T2304" s="38" t="s">
        <v>293</v>
      </c>
    </row>
    <row r="2305" ht="34.5">
      <c r="A2305" s="38" t="s">
        <v>1797</v>
      </c>
      <c r="B2305" s="38" t="s">
        <v>1798</v>
      </c>
      <c r="C2305" s="38" t="s">
        <v>350</v>
      </c>
      <c r="D2305" s="38" t="s">
        <v>288</v>
      </c>
      <c r="E2305" s="38" t="s">
        <v>365</v>
      </c>
      <c r="F2305" s="37" t="s">
        <v>1899</v>
      </c>
      <c r="G2305" s="38" t="s">
        <v>1900</v>
      </c>
      <c r="H2305" s="37"/>
      <c r="I2305" s="37"/>
      <c r="J2305" s="37" t="s">
        <v>1945</v>
      </c>
      <c r="K2305" s="40"/>
      <c r="L2305" s="38"/>
      <c r="M2305" s="38"/>
      <c r="N2305" s="37"/>
      <c r="O2305" s="37"/>
      <c r="P2305" s="37"/>
      <c r="Q2305" s="37"/>
      <c r="R2305" s="39"/>
      <c r="S2305" s="37"/>
      <c r="T2305" s="38" t="s">
        <v>293</v>
      </c>
    </row>
    <row r="2306" ht="34.5">
      <c r="A2306" s="38" t="s">
        <v>1797</v>
      </c>
      <c r="B2306" s="38" t="s">
        <v>1798</v>
      </c>
      <c r="C2306" s="38" t="s">
        <v>350</v>
      </c>
      <c r="D2306" s="38" t="s">
        <v>288</v>
      </c>
      <c r="E2306" s="38" t="s">
        <v>365</v>
      </c>
      <c r="F2306" s="37" t="s">
        <v>1899</v>
      </c>
      <c r="G2306" s="38" t="s">
        <v>1900</v>
      </c>
      <c r="H2306" s="37"/>
      <c r="I2306" s="37"/>
      <c r="J2306" s="37" t="s">
        <v>1946</v>
      </c>
      <c r="K2306" s="40"/>
      <c r="L2306" s="38"/>
      <c r="M2306" s="38"/>
      <c r="N2306" s="37"/>
      <c r="O2306" s="37"/>
      <c r="P2306" s="37"/>
      <c r="Q2306" s="37"/>
      <c r="R2306" s="39"/>
      <c r="S2306" s="37"/>
      <c r="T2306" s="38" t="s">
        <v>293</v>
      </c>
    </row>
    <row r="2307" ht="34.5">
      <c r="A2307" s="38" t="s">
        <v>1797</v>
      </c>
      <c r="B2307" s="38" t="s">
        <v>1798</v>
      </c>
      <c r="C2307" s="38" t="s">
        <v>350</v>
      </c>
      <c r="D2307" s="38" t="s">
        <v>288</v>
      </c>
      <c r="E2307" s="38" t="s">
        <v>365</v>
      </c>
      <c r="F2307" s="37" t="s">
        <v>1899</v>
      </c>
      <c r="G2307" s="38" t="s">
        <v>1900</v>
      </c>
      <c r="H2307" s="37"/>
      <c r="I2307" s="37"/>
      <c r="J2307" s="37" t="s">
        <v>1947</v>
      </c>
      <c r="K2307" s="40"/>
      <c r="L2307" s="38"/>
      <c r="M2307" s="38"/>
      <c r="N2307" s="37"/>
      <c r="O2307" s="37"/>
      <c r="P2307" s="37"/>
      <c r="Q2307" s="37"/>
      <c r="R2307" s="39"/>
      <c r="S2307" s="37"/>
      <c r="T2307" s="38" t="s">
        <v>293</v>
      </c>
    </row>
    <row r="2308" ht="34.5">
      <c r="A2308" s="38" t="s">
        <v>1797</v>
      </c>
      <c r="B2308" s="38" t="s">
        <v>1798</v>
      </c>
      <c r="C2308" s="38" t="s">
        <v>360</v>
      </c>
      <c r="D2308" s="38" t="s">
        <v>288</v>
      </c>
      <c r="E2308" s="38" t="s">
        <v>365</v>
      </c>
      <c r="F2308" s="37" t="s">
        <v>1899</v>
      </c>
      <c r="G2308" s="38" t="s">
        <v>1900</v>
      </c>
      <c r="H2308" s="37"/>
      <c r="I2308" s="37"/>
      <c r="J2308" s="37" t="s">
        <v>1948</v>
      </c>
      <c r="K2308" s="40"/>
      <c r="L2308" s="38"/>
      <c r="M2308" s="38"/>
      <c r="N2308" s="37"/>
      <c r="O2308" s="37"/>
      <c r="P2308" s="37"/>
      <c r="Q2308" s="37"/>
      <c r="R2308" s="39"/>
      <c r="S2308" s="37"/>
      <c r="T2308" s="38" t="s">
        <v>293</v>
      </c>
    </row>
    <row r="2309" ht="34.5">
      <c r="A2309" s="38" t="s">
        <v>1797</v>
      </c>
      <c r="B2309" s="38" t="s">
        <v>1798</v>
      </c>
      <c r="C2309" s="38" t="s">
        <v>360</v>
      </c>
      <c r="D2309" s="38" t="s">
        <v>288</v>
      </c>
      <c r="E2309" s="38" t="s">
        <v>365</v>
      </c>
      <c r="F2309" s="37" t="s">
        <v>1899</v>
      </c>
      <c r="G2309" s="38" t="s">
        <v>1900</v>
      </c>
      <c r="H2309" s="37"/>
      <c r="I2309" s="37"/>
      <c r="J2309" s="37" t="s">
        <v>1949</v>
      </c>
      <c r="K2309" s="40"/>
      <c r="L2309" s="38"/>
      <c r="M2309" s="38"/>
      <c r="N2309" s="37"/>
      <c r="O2309" s="37"/>
      <c r="P2309" s="37"/>
      <c r="Q2309" s="37"/>
      <c r="R2309" s="39"/>
      <c r="S2309" s="37"/>
      <c r="T2309" s="38" t="s">
        <v>293</v>
      </c>
    </row>
    <row r="2310" ht="34.5">
      <c r="A2310" s="38" t="s">
        <v>1797</v>
      </c>
      <c r="B2310" s="38" t="s">
        <v>1798</v>
      </c>
      <c r="C2310" s="38" t="s">
        <v>360</v>
      </c>
      <c r="D2310" s="38" t="s">
        <v>288</v>
      </c>
      <c r="E2310" s="38" t="s">
        <v>365</v>
      </c>
      <c r="F2310" s="37" t="s">
        <v>1899</v>
      </c>
      <c r="G2310" s="38" t="s">
        <v>1900</v>
      </c>
      <c r="H2310" s="37"/>
      <c r="I2310" s="37"/>
      <c r="J2310" s="37" t="s">
        <v>1950</v>
      </c>
      <c r="K2310" s="40"/>
      <c r="L2310" s="38"/>
      <c r="M2310" s="38"/>
      <c r="N2310" s="37"/>
      <c r="O2310" s="37"/>
      <c r="P2310" s="37"/>
      <c r="Q2310" s="37"/>
      <c r="R2310" s="39"/>
      <c r="S2310" s="37"/>
      <c r="T2310" s="38" t="s">
        <v>293</v>
      </c>
    </row>
    <row r="2311" ht="34.5">
      <c r="A2311" s="38" t="s">
        <v>1797</v>
      </c>
      <c r="B2311" s="38" t="s">
        <v>1798</v>
      </c>
      <c r="C2311" s="38" t="s">
        <v>360</v>
      </c>
      <c r="D2311" s="38" t="s">
        <v>288</v>
      </c>
      <c r="E2311" s="38" t="s">
        <v>365</v>
      </c>
      <c r="F2311" s="37" t="s">
        <v>1899</v>
      </c>
      <c r="G2311" s="38" t="s">
        <v>1900</v>
      </c>
      <c r="H2311" s="37"/>
      <c r="I2311" s="37"/>
      <c r="J2311" s="37" t="s">
        <v>1951</v>
      </c>
      <c r="K2311" s="40"/>
      <c r="L2311" s="38"/>
      <c r="M2311" s="38"/>
      <c r="N2311" s="37"/>
      <c r="O2311" s="37"/>
      <c r="P2311" s="37"/>
      <c r="Q2311" s="37"/>
      <c r="R2311" s="39"/>
      <c r="S2311" s="37"/>
      <c r="T2311" s="38" t="s">
        <v>293</v>
      </c>
    </row>
    <row r="2312" ht="34.5">
      <c r="A2312" s="38" t="s">
        <v>1797</v>
      </c>
      <c r="B2312" s="38" t="s">
        <v>1798</v>
      </c>
      <c r="C2312" s="38" t="s">
        <v>360</v>
      </c>
      <c r="D2312" s="38" t="s">
        <v>288</v>
      </c>
      <c r="E2312" s="38" t="s">
        <v>365</v>
      </c>
      <c r="F2312" s="37" t="s">
        <v>1899</v>
      </c>
      <c r="G2312" s="38" t="s">
        <v>1900</v>
      </c>
      <c r="H2312" s="37"/>
      <c r="I2312" s="37"/>
      <c r="J2312" s="37" t="s">
        <v>1952</v>
      </c>
      <c r="K2312" s="40"/>
      <c r="L2312" s="38"/>
      <c r="M2312" s="38"/>
      <c r="N2312" s="37"/>
      <c r="O2312" s="37"/>
      <c r="P2312" s="37"/>
      <c r="Q2312" s="37"/>
      <c r="R2312" s="39"/>
      <c r="S2312" s="37"/>
      <c r="T2312" s="38" t="s">
        <v>293</v>
      </c>
    </row>
    <row r="2313" ht="34.5">
      <c r="A2313" s="38" t="s">
        <v>1797</v>
      </c>
      <c r="B2313" s="38" t="s">
        <v>1798</v>
      </c>
      <c r="C2313" s="38" t="s">
        <v>360</v>
      </c>
      <c r="D2313" s="38" t="s">
        <v>288</v>
      </c>
      <c r="E2313" s="38" t="s">
        <v>365</v>
      </c>
      <c r="F2313" s="37" t="s">
        <v>1899</v>
      </c>
      <c r="G2313" s="38" t="s">
        <v>1900</v>
      </c>
      <c r="H2313" s="37"/>
      <c r="I2313" s="37"/>
      <c r="J2313" s="37" t="s">
        <v>1953</v>
      </c>
      <c r="K2313" s="40"/>
      <c r="L2313" s="38"/>
      <c r="M2313" s="38"/>
      <c r="N2313" s="37"/>
      <c r="O2313" s="37"/>
      <c r="P2313" s="37"/>
      <c r="Q2313" s="37"/>
      <c r="R2313" s="39"/>
      <c r="S2313" s="37"/>
      <c r="T2313" s="38" t="s">
        <v>293</v>
      </c>
    </row>
    <row r="2314" ht="34.5">
      <c r="A2314" s="38" t="s">
        <v>1797</v>
      </c>
      <c r="B2314" s="38" t="s">
        <v>1798</v>
      </c>
      <c r="C2314" s="38" t="s">
        <v>360</v>
      </c>
      <c r="D2314" s="38" t="s">
        <v>348</v>
      </c>
      <c r="E2314" s="38" t="s">
        <v>365</v>
      </c>
      <c r="F2314" s="37" t="s">
        <v>1899</v>
      </c>
      <c r="G2314" s="38" t="s">
        <v>1900</v>
      </c>
      <c r="H2314" s="37"/>
      <c r="I2314" s="37"/>
      <c r="J2314" s="37" t="s">
        <v>349</v>
      </c>
      <c r="K2314" s="40"/>
      <c r="L2314" s="38"/>
      <c r="M2314" s="38"/>
      <c r="N2314" s="37"/>
      <c r="O2314" s="37"/>
      <c r="P2314" s="37"/>
      <c r="Q2314" s="37"/>
      <c r="R2314" s="39"/>
      <c r="S2314" s="37"/>
      <c r="T2314" s="38" t="s">
        <v>293</v>
      </c>
    </row>
    <row r="2315" ht="34.5">
      <c r="A2315" s="38" t="s">
        <v>1797</v>
      </c>
      <c r="B2315" s="38" t="s">
        <v>1798</v>
      </c>
      <c r="C2315" s="38" t="s">
        <v>364</v>
      </c>
      <c r="D2315" s="38" t="s">
        <v>288</v>
      </c>
      <c r="E2315" s="38" t="s">
        <v>365</v>
      </c>
      <c r="F2315" s="37" t="s">
        <v>1899</v>
      </c>
      <c r="G2315" s="38" t="s">
        <v>1900</v>
      </c>
      <c r="H2315" s="37"/>
      <c r="I2315" s="37"/>
      <c r="J2315" s="37" t="s">
        <v>1954</v>
      </c>
      <c r="K2315" s="40"/>
      <c r="L2315" s="38"/>
      <c r="M2315" s="38"/>
      <c r="N2315" s="37"/>
      <c r="O2315" s="37"/>
      <c r="P2315" s="37"/>
      <c r="Q2315" s="37"/>
      <c r="R2315" s="39"/>
      <c r="S2315" s="37"/>
      <c r="T2315" s="38" t="s">
        <v>293</v>
      </c>
    </row>
    <row r="2316" ht="34.5">
      <c r="A2316" s="38" t="s">
        <v>1797</v>
      </c>
      <c r="B2316" s="38" t="s">
        <v>1798</v>
      </c>
      <c r="C2316" s="38" t="s">
        <v>364</v>
      </c>
      <c r="D2316" s="38" t="s">
        <v>288</v>
      </c>
      <c r="E2316" s="38" t="s">
        <v>365</v>
      </c>
      <c r="F2316" s="37" t="s">
        <v>1899</v>
      </c>
      <c r="G2316" s="38" t="s">
        <v>1900</v>
      </c>
      <c r="H2316" s="37"/>
      <c r="I2316" s="37"/>
      <c r="J2316" s="37" t="s">
        <v>1955</v>
      </c>
      <c r="K2316" s="40"/>
      <c r="L2316" s="38"/>
      <c r="M2316" s="38"/>
      <c r="N2316" s="37"/>
      <c r="O2316" s="37"/>
      <c r="P2316" s="37"/>
      <c r="Q2316" s="37"/>
      <c r="R2316" s="39"/>
      <c r="S2316" s="37"/>
      <c r="T2316" s="38" t="s">
        <v>293</v>
      </c>
    </row>
    <row r="2317" ht="34.5">
      <c r="A2317" s="38" t="s">
        <v>1797</v>
      </c>
      <c r="B2317" s="38" t="s">
        <v>1798</v>
      </c>
      <c r="C2317" s="38" t="s">
        <v>364</v>
      </c>
      <c r="D2317" s="38" t="s">
        <v>352</v>
      </c>
      <c r="E2317" s="38" t="s">
        <v>365</v>
      </c>
      <c r="F2317" s="37" t="s">
        <v>1899</v>
      </c>
      <c r="G2317" s="38" t="s">
        <v>1900</v>
      </c>
      <c r="H2317" s="37"/>
      <c r="I2317" s="37"/>
      <c r="J2317" s="37" t="s">
        <v>1956</v>
      </c>
      <c r="K2317" s="40"/>
      <c r="L2317" s="38"/>
      <c r="M2317" s="38"/>
      <c r="N2317" s="37"/>
      <c r="O2317" s="37"/>
      <c r="P2317" s="37"/>
      <c r="Q2317" s="37"/>
      <c r="R2317" s="39"/>
      <c r="S2317" s="37"/>
      <c r="T2317" s="38" t="s">
        <v>293</v>
      </c>
    </row>
    <row r="2318" ht="34.5">
      <c r="A2318" s="38" t="s">
        <v>1797</v>
      </c>
      <c r="B2318" s="38" t="s">
        <v>1798</v>
      </c>
      <c r="C2318" s="38" t="s">
        <v>364</v>
      </c>
      <c r="D2318" s="38" t="s">
        <v>288</v>
      </c>
      <c r="E2318" s="38" t="s">
        <v>365</v>
      </c>
      <c r="F2318" s="37" t="s">
        <v>1899</v>
      </c>
      <c r="G2318" s="38" t="s">
        <v>1900</v>
      </c>
      <c r="H2318" s="37"/>
      <c r="I2318" s="37"/>
      <c r="J2318" s="37" t="s">
        <v>1957</v>
      </c>
      <c r="K2318" s="40"/>
      <c r="L2318" s="38"/>
      <c r="M2318" s="38"/>
      <c r="N2318" s="37"/>
      <c r="O2318" s="37"/>
      <c r="P2318" s="37"/>
      <c r="Q2318" s="37"/>
      <c r="R2318" s="39"/>
      <c r="S2318" s="37"/>
      <c r="T2318" s="38" t="s">
        <v>293</v>
      </c>
    </row>
    <row r="2319" ht="34.5">
      <c r="A2319" s="38" t="s">
        <v>1797</v>
      </c>
      <c r="B2319" s="38" t="s">
        <v>1798</v>
      </c>
      <c r="C2319" s="38" t="s">
        <v>364</v>
      </c>
      <c r="D2319" s="38" t="s">
        <v>369</v>
      </c>
      <c r="E2319" s="38" t="s">
        <v>365</v>
      </c>
      <c r="F2319" s="37" t="s">
        <v>1899</v>
      </c>
      <c r="G2319" s="38" t="s">
        <v>1900</v>
      </c>
      <c r="H2319" s="37"/>
      <c r="I2319" s="37"/>
      <c r="J2319" s="37" t="s">
        <v>923</v>
      </c>
      <c r="K2319" s="40"/>
      <c r="L2319" s="38"/>
      <c r="M2319" s="38"/>
      <c r="N2319" s="37"/>
      <c r="O2319" s="37"/>
      <c r="P2319" s="37"/>
      <c r="Q2319" s="37"/>
      <c r="R2319" s="39"/>
      <c r="S2319" s="37"/>
      <c r="T2319" s="38" t="s">
        <v>293</v>
      </c>
    </row>
    <row r="2320" ht="34.5">
      <c r="A2320" s="38" t="s">
        <v>1797</v>
      </c>
      <c r="B2320" s="38" t="s">
        <v>1798</v>
      </c>
      <c r="C2320" s="38" t="s">
        <v>372</v>
      </c>
      <c r="D2320" s="38" t="s">
        <v>288</v>
      </c>
      <c r="E2320" s="38" t="s">
        <v>365</v>
      </c>
      <c r="F2320" s="37" t="s">
        <v>1899</v>
      </c>
      <c r="G2320" s="38" t="s">
        <v>1900</v>
      </c>
      <c r="H2320" s="37"/>
      <c r="I2320" s="37"/>
      <c r="J2320" s="37" t="s">
        <v>1958</v>
      </c>
      <c r="K2320" s="40"/>
      <c r="L2320" s="38"/>
      <c r="M2320" s="38"/>
      <c r="N2320" s="37"/>
      <c r="O2320" s="37"/>
      <c r="P2320" s="37"/>
      <c r="Q2320" s="37"/>
      <c r="R2320" s="39"/>
      <c r="S2320" s="37"/>
      <c r="T2320" s="38" t="s">
        <v>293</v>
      </c>
    </row>
    <row r="2321" ht="34.5">
      <c r="A2321" s="38" t="s">
        <v>1797</v>
      </c>
      <c r="B2321" s="38" t="s">
        <v>1798</v>
      </c>
      <c r="C2321" s="38" t="s">
        <v>372</v>
      </c>
      <c r="D2321" s="38" t="s">
        <v>288</v>
      </c>
      <c r="E2321" s="38" t="s">
        <v>365</v>
      </c>
      <c r="F2321" s="37" t="s">
        <v>1899</v>
      </c>
      <c r="G2321" s="38" t="s">
        <v>1900</v>
      </c>
      <c r="H2321" s="37"/>
      <c r="I2321" s="37"/>
      <c r="J2321" s="37" t="s">
        <v>1959</v>
      </c>
      <c r="K2321" s="40"/>
      <c r="L2321" s="38"/>
      <c r="M2321" s="38"/>
      <c r="N2321" s="37"/>
      <c r="O2321" s="37"/>
      <c r="P2321" s="37"/>
      <c r="Q2321" s="37"/>
      <c r="R2321" s="39"/>
      <c r="S2321" s="37"/>
      <c r="T2321" s="38" t="s">
        <v>293</v>
      </c>
    </row>
    <row r="2322" ht="34.5">
      <c r="A2322" s="38" t="s">
        <v>1797</v>
      </c>
      <c r="B2322" s="38" t="s">
        <v>1798</v>
      </c>
      <c r="C2322" s="38" t="s">
        <v>372</v>
      </c>
      <c r="D2322" s="38" t="s">
        <v>288</v>
      </c>
      <c r="E2322" s="38" t="s">
        <v>365</v>
      </c>
      <c r="F2322" s="37" t="s">
        <v>1899</v>
      </c>
      <c r="G2322" s="38" t="s">
        <v>1900</v>
      </c>
      <c r="H2322" s="37"/>
      <c r="I2322" s="37"/>
      <c r="J2322" s="37" t="s">
        <v>1960</v>
      </c>
      <c r="K2322" s="40"/>
      <c r="L2322" s="38"/>
      <c r="M2322" s="38"/>
      <c r="N2322" s="37"/>
      <c r="O2322" s="37"/>
      <c r="P2322" s="37"/>
      <c r="Q2322" s="37"/>
      <c r="R2322" s="39"/>
      <c r="S2322" s="37"/>
      <c r="T2322" s="38" t="s">
        <v>293</v>
      </c>
    </row>
    <row r="2323" ht="34.5">
      <c r="A2323" s="38" t="s">
        <v>1797</v>
      </c>
      <c r="B2323" s="38" t="s">
        <v>1798</v>
      </c>
      <c r="C2323" s="38" t="s">
        <v>372</v>
      </c>
      <c r="D2323" s="38" t="s">
        <v>288</v>
      </c>
      <c r="E2323" s="38" t="s">
        <v>365</v>
      </c>
      <c r="F2323" s="37" t="s">
        <v>1899</v>
      </c>
      <c r="G2323" s="38" t="s">
        <v>1900</v>
      </c>
      <c r="H2323" s="37"/>
      <c r="I2323" s="37"/>
      <c r="J2323" s="37" t="s">
        <v>1961</v>
      </c>
      <c r="K2323" s="40"/>
      <c r="L2323" s="38"/>
      <c r="M2323" s="38"/>
      <c r="N2323" s="37"/>
      <c r="O2323" s="37"/>
      <c r="P2323" s="37"/>
      <c r="Q2323" s="37"/>
      <c r="R2323" s="39"/>
      <c r="S2323" s="37"/>
      <c r="T2323" s="38" t="s">
        <v>293</v>
      </c>
    </row>
    <row r="2324" ht="34.5">
      <c r="A2324" s="38" t="s">
        <v>1797</v>
      </c>
      <c r="B2324" s="38" t="s">
        <v>1798</v>
      </c>
      <c r="C2324" s="38" t="s">
        <v>372</v>
      </c>
      <c r="D2324" s="38" t="s">
        <v>288</v>
      </c>
      <c r="E2324" s="38" t="s">
        <v>365</v>
      </c>
      <c r="F2324" s="37" t="s">
        <v>1899</v>
      </c>
      <c r="G2324" s="38" t="s">
        <v>1900</v>
      </c>
      <c r="H2324" s="37"/>
      <c r="I2324" s="37"/>
      <c r="J2324" s="37" t="s">
        <v>1962</v>
      </c>
      <c r="K2324" s="40"/>
      <c r="L2324" s="38"/>
      <c r="M2324" s="38"/>
      <c r="N2324" s="37"/>
      <c r="O2324" s="37"/>
      <c r="P2324" s="37"/>
      <c r="Q2324" s="37"/>
      <c r="R2324" s="39"/>
      <c r="S2324" s="37"/>
      <c r="T2324" s="38" t="s">
        <v>293</v>
      </c>
    </row>
    <row r="2325" ht="34.5">
      <c r="A2325" s="38" t="s">
        <v>1797</v>
      </c>
      <c r="B2325" s="38" t="s">
        <v>1798</v>
      </c>
      <c r="C2325" s="38" t="s">
        <v>372</v>
      </c>
      <c r="D2325" s="38" t="s">
        <v>288</v>
      </c>
      <c r="E2325" s="38" t="s">
        <v>365</v>
      </c>
      <c r="F2325" s="37" t="s">
        <v>1899</v>
      </c>
      <c r="G2325" s="38" t="s">
        <v>1900</v>
      </c>
      <c r="H2325" s="37"/>
      <c r="I2325" s="37"/>
      <c r="J2325" s="37" t="s">
        <v>1963</v>
      </c>
      <c r="K2325" s="40"/>
      <c r="L2325" s="38"/>
      <c r="M2325" s="38"/>
      <c r="N2325" s="37"/>
      <c r="O2325" s="37"/>
      <c r="P2325" s="37"/>
      <c r="Q2325" s="37"/>
      <c r="R2325" s="39"/>
      <c r="S2325" s="37"/>
      <c r="T2325" s="38" t="s">
        <v>293</v>
      </c>
    </row>
    <row r="2326" ht="34.5">
      <c r="A2326" s="38" t="s">
        <v>1797</v>
      </c>
      <c r="B2326" s="38" t="s">
        <v>1798</v>
      </c>
      <c r="C2326" s="38" t="s">
        <v>372</v>
      </c>
      <c r="D2326" s="38" t="s">
        <v>288</v>
      </c>
      <c r="E2326" s="38" t="s">
        <v>365</v>
      </c>
      <c r="F2326" s="37" t="s">
        <v>1899</v>
      </c>
      <c r="G2326" s="38" t="s">
        <v>1900</v>
      </c>
      <c r="H2326" s="37"/>
      <c r="I2326" s="37"/>
      <c r="J2326" s="37" t="s">
        <v>1964</v>
      </c>
      <c r="K2326" s="40"/>
      <c r="L2326" s="38"/>
      <c r="M2326" s="38"/>
      <c r="N2326" s="37"/>
      <c r="O2326" s="37"/>
      <c r="P2326" s="37"/>
      <c r="Q2326" s="37"/>
      <c r="R2326" s="39"/>
      <c r="S2326" s="37"/>
      <c r="T2326" s="38" t="s">
        <v>293</v>
      </c>
    </row>
    <row r="2327" ht="34.5">
      <c r="A2327" s="38" t="s">
        <v>1797</v>
      </c>
      <c r="B2327" s="38" t="s">
        <v>1798</v>
      </c>
      <c r="C2327" s="38" t="s">
        <v>372</v>
      </c>
      <c r="D2327" s="38" t="s">
        <v>288</v>
      </c>
      <c r="E2327" s="38" t="s">
        <v>365</v>
      </c>
      <c r="F2327" s="37" t="s">
        <v>1899</v>
      </c>
      <c r="G2327" s="38" t="s">
        <v>1900</v>
      </c>
      <c r="H2327" s="37"/>
      <c r="I2327" s="37"/>
      <c r="J2327" s="37" t="s">
        <v>1965</v>
      </c>
      <c r="K2327" s="40"/>
      <c r="L2327" s="38"/>
      <c r="M2327" s="38"/>
      <c r="N2327" s="37"/>
      <c r="O2327" s="37"/>
      <c r="P2327" s="37"/>
      <c r="Q2327" s="37"/>
      <c r="R2327" s="39"/>
      <c r="S2327" s="37"/>
      <c r="T2327" s="38" t="s">
        <v>293</v>
      </c>
    </row>
    <row r="2328" ht="34.5">
      <c r="A2328" s="38" t="s">
        <v>1797</v>
      </c>
      <c r="B2328" s="38" t="s">
        <v>1798</v>
      </c>
      <c r="C2328" s="38" t="s">
        <v>372</v>
      </c>
      <c r="D2328" s="38" t="s">
        <v>288</v>
      </c>
      <c r="E2328" s="38" t="s">
        <v>365</v>
      </c>
      <c r="F2328" s="37" t="s">
        <v>1899</v>
      </c>
      <c r="G2328" s="38" t="s">
        <v>1900</v>
      </c>
      <c r="H2328" s="37"/>
      <c r="I2328" s="37"/>
      <c r="J2328" s="37" t="s">
        <v>1966</v>
      </c>
      <c r="K2328" s="40"/>
      <c r="L2328" s="38"/>
      <c r="M2328" s="38"/>
      <c r="N2328" s="37"/>
      <c r="O2328" s="37"/>
      <c r="P2328" s="37"/>
      <c r="Q2328" s="37"/>
      <c r="R2328" s="39"/>
      <c r="S2328" s="37"/>
      <c r="T2328" s="38" t="s">
        <v>293</v>
      </c>
    </row>
    <row r="2329" ht="34.5">
      <c r="A2329" s="38" t="s">
        <v>1797</v>
      </c>
      <c r="B2329" s="38" t="s">
        <v>1798</v>
      </c>
      <c r="C2329" s="38" t="s">
        <v>384</v>
      </c>
      <c r="D2329" s="38" t="s">
        <v>288</v>
      </c>
      <c r="E2329" s="38" t="s">
        <v>365</v>
      </c>
      <c r="F2329" s="37" t="s">
        <v>1899</v>
      </c>
      <c r="G2329" s="38" t="s">
        <v>1900</v>
      </c>
      <c r="H2329" s="37"/>
      <c r="I2329" s="37"/>
      <c r="J2329" s="37" t="s">
        <v>1967</v>
      </c>
      <c r="K2329" s="40"/>
      <c r="L2329" s="38"/>
      <c r="M2329" s="38"/>
      <c r="N2329" s="37"/>
      <c r="O2329" s="37"/>
      <c r="P2329" s="37"/>
      <c r="Q2329" s="37"/>
      <c r="R2329" s="39"/>
      <c r="S2329" s="37"/>
      <c r="T2329" s="38" t="s">
        <v>293</v>
      </c>
    </row>
    <row r="2330" ht="34.5">
      <c r="A2330" s="38" t="s">
        <v>1797</v>
      </c>
      <c r="B2330" s="38" t="s">
        <v>1798</v>
      </c>
      <c r="C2330" s="38" t="s">
        <v>384</v>
      </c>
      <c r="D2330" s="38" t="s">
        <v>288</v>
      </c>
      <c r="E2330" s="38" t="s">
        <v>365</v>
      </c>
      <c r="F2330" s="37" t="s">
        <v>1899</v>
      </c>
      <c r="G2330" s="38" t="s">
        <v>1900</v>
      </c>
      <c r="H2330" s="37"/>
      <c r="I2330" s="37"/>
      <c r="J2330" s="37" t="s">
        <v>1968</v>
      </c>
      <c r="K2330" s="40"/>
      <c r="L2330" s="38"/>
      <c r="M2330" s="38"/>
      <c r="N2330" s="37"/>
      <c r="O2330" s="37"/>
      <c r="P2330" s="37"/>
      <c r="Q2330" s="37"/>
      <c r="R2330" s="39"/>
      <c r="S2330" s="37"/>
      <c r="T2330" s="38" t="s">
        <v>293</v>
      </c>
    </row>
    <row r="2331" ht="34.5">
      <c r="A2331" s="38" t="s">
        <v>1797</v>
      </c>
      <c r="B2331" s="38" t="s">
        <v>1798</v>
      </c>
      <c r="C2331" s="38" t="s">
        <v>384</v>
      </c>
      <c r="D2331" s="38" t="s">
        <v>288</v>
      </c>
      <c r="E2331" s="38" t="s">
        <v>365</v>
      </c>
      <c r="F2331" s="37" t="s">
        <v>1899</v>
      </c>
      <c r="G2331" s="38" t="s">
        <v>1900</v>
      </c>
      <c r="H2331" s="37"/>
      <c r="I2331" s="37"/>
      <c r="J2331" s="37" t="s">
        <v>1969</v>
      </c>
      <c r="K2331" s="40"/>
      <c r="L2331" s="38"/>
      <c r="M2331" s="38"/>
      <c r="N2331" s="37"/>
      <c r="O2331" s="37"/>
      <c r="P2331" s="37"/>
      <c r="Q2331" s="37"/>
      <c r="R2331" s="39"/>
      <c r="S2331" s="37"/>
      <c r="T2331" s="38" t="s">
        <v>293</v>
      </c>
    </row>
    <row r="2332" ht="34.5">
      <c r="A2332" s="38" t="s">
        <v>1797</v>
      </c>
      <c r="B2332" s="38" t="s">
        <v>1798</v>
      </c>
      <c r="C2332" s="38" t="s">
        <v>384</v>
      </c>
      <c r="D2332" s="38" t="s">
        <v>288</v>
      </c>
      <c r="E2332" s="38" t="s">
        <v>365</v>
      </c>
      <c r="F2332" s="37" t="s">
        <v>1899</v>
      </c>
      <c r="G2332" s="38" t="s">
        <v>1900</v>
      </c>
      <c r="H2332" s="37"/>
      <c r="I2332" s="37"/>
      <c r="J2332" s="37" t="s">
        <v>1970</v>
      </c>
      <c r="K2332" s="40"/>
      <c r="L2332" s="38"/>
      <c r="M2332" s="38"/>
      <c r="N2332" s="37"/>
      <c r="O2332" s="37"/>
      <c r="P2332" s="37"/>
      <c r="Q2332" s="37"/>
      <c r="R2332" s="39"/>
      <c r="S2332" s="37"/>
      <c r="T2332" s="38" t="s">
        <v>293</v>
      </c>
    </row>
    <row r="2333" ht="34.5">
      <c r="A2333" s="38" t="s">
        <v>1797</v>
      </c>
      <c r="B2333" s="38" t="s">
        <v>1798</v>
      </c>
      <c r="C2333" s="38" t="s">
        <v>384</v>
      </c>
      <c r="D2333" s="38" t="s">
        <v>288</v>
      </c>
      <c r="E2333" s="38" t="s">
        <v>365</v>
      </c>
      <c r="F2333" s="37" t="s">
        <v>1899</v>
      </c>
      <c r="G2333" s="38" t="s">
        <v>1900</v>
      </c>
      <c r="H2333" s="37"/>
      <c r="I2333" s="37"/>
      <c r="J2333" s="37" t="s">
        <v>1971</v>
      </c>
      <c r="K2333" s="40"/>
      <c r="L2333" s="38"/>
      <c r="M2333" s="38"/>
      <c r="N2333" s="37"/>
      <c r="O2333" s="37"/>
      <c r="P2333" s="37"/>
      <c r="Q2333" s="37"/>
      <c r="R2333" s="39"/>
      <c r="S2333" s="37"/>
      <c r="T2333" s="38" t="s">
        <v>293</v>
      </c>
    </row>
    <row r="2334" ht="34.5">
      <c r="A2334" s="38" t="s">
        <v>1797</v>
      </c>
      <c r="B2334" s="38" t="s">
        <v>1798</v>
      </c>
      <c r="C2334" s="38" t="s">
        <v>384</v>
      </c>
      <c r="D2334" s="38" t="s">
        <v>928</v>
      </c>
      <c r="E2334" s="38" t="s">
        <v>365</v>
      </c>
      <c r="F2334" s="37" t="s">
        <v>1899</v>
      </c>
      <c r="G2334" s="38" t="s">
        <v>1900</v>
      </c>
      <c r="H2334" s="37"/>
      <c r="I2334" s="37"/>
      <c r="J2334" s="37" t="s">
        <v>929</v>
      </c>
      <c r="K2334" s="40"/>
      <c r="L2334" s="38"/>
      <c r="M2334" s="38"/>
      <c r="N2334" s="37"/>
      <c r="O2334" s="37"/>
      <c r="P2334" s="37"/>
      <c r="Q2334" s="37"/>
      <c r="R2334" s="39"/>
      <c r="S2334" s="37"/>
      <c r="T2334" s="38" t="s">
        <v>293</v>
      </c>
    </row>
    <row r="2335" ht="34.5">
      <c r="A2335" s="38" t="s">
        <v>1797</v>
      </c>
      <c r="B2335" s="38" t="s">
        <v>1798</v>
      </c>
      <c r="C2335" s="38" t="s">
        <v>384</v>
      </c>
      <c r="D2335" s="38" t="s">
        <v>288</v>
      </c>
      <c r="E2335" s="38" t="s">
        <v>365</v>
      </c>
      <c r="F2335" s="37" t="s">
        <v>1899</v>
      </c>
      <c r="G2335" s="38" t="s">
        <v>1900</v>
      </c>
      <c r="H2335" s="37"/>
      <c r="I2335" s="37"/>
      <c r="J2335" s="37" t="s">
        <v>1972</v>
      </c>
      <c r="K2335" s="40"/>
      <c r="L2335" s="38"/>
      <c r="M2335" s="38"/>
      <c r="N2335" s="37"/>
      <c r="O2335" s="37"/>
      <c r="P2335" s="37"/>
      <c r="Q2335" s="37"/>
      <c r="R2335" s="39"/>
      <c r="S2335" s="37"/>
      <c r="T2335" s="38" t="s">
        <v>293</v>
      </c>
    </row>
    <row r="2336" ht="34.5">
      <c r="A2336" s="38" t="s">
        <v>1797</v>
      </c>
      <c r="B2336" s="38" t="s">
        <v>1798</v>
      </c>
      <c r="C2336" s="38" t="s">
        <v>384</v>
      </c>
      <c r="D2336" s="38" t="s">
        <v>376</v>
      </c>
      <c r="E2336" s="38" t="s">
        <v>365</v>
      </c>
      <c r="F2336" s="37" t="s">
        <v>1899</v>
      </c>
      <c r="G2336" s="38" t="s">
        <v>1900</v>
      </c>
      <c r="H2336" s="37"/>
      <c r="I2336" s="37"/>
      <c r="J2336" s="37" t="s">
        <v>377</v>
      </c>
      <c r="K2336" s="40"/>
      <c r="L2336" s="38"/>
      <c r="M2336" s="38"/>
      <c r="N2336" s="37"/>
      <c r="O2336" s="37"/>
      <c r="P2336" s="37"/>
      <c r="Q2336" s="37"/>
      <c r="R2336" s="39"/>
      <c r="S2336" s="37"/>
      <c r="T2336" s="38" t="s">
        <v>293</v>
      </c>
    </row>
    <row r="2337" ht="34.5">
      <c r="A2337" s="38" t="s">
        <v>1797</v>
      </c>
      <c r="B2337" s="38" t="s">
        <v>1798</v>
      </c>
      <c r="C2337" s="38" t="s">
        <v>394</v>
      </c>
      <c r="D2337" s="38" t="s">
        <v>288</v>
      </c>
      <c r="E2337" s="38" t="s">
        <v>365</v>
      </c>
      <c r="F2337" s="37" t="s">
        <v>1899</v>
      </c>
      <c r="G2337" s="38" t="s">
        <v>1900</v>
      </c>
      <c r="H2337" s="37"/>
      <c r="I2337" s="37"/>
      <c r="J2337" s="37" t="s">
        <v>1973</v>
      </c>
      <c r="K2337" s="40"/>
      <c r="L2337" s="38"/>
      <c r="M2337" s="38"/>
      <c r="N2337" s="37"/>
      <c r="O2337" s="37"/>
      <c r="P2337" s="37"/>
      <c r="Q2337" s="37"/>
      <c r="R2337" s="39"/>
      <c r="S2337" s="37"/>
      <c r="T2337" s="38" t="s">
        <v>293</v>
      </c>
    </row>
    <row r="2338" ht="34.5">
      <c r="A2338" s="38" t="s">
        <v>1797</v>
      </c>
      <c r="B2338" s="38" t="s">
        <v>1798</v>
      </c>
      <c r="C2338" s="38" t="s">
        <v>394</v>
      </c>
      <c r="D2338" s="38" t="s">
        <v>288</v>
      </c>
      <c r="E2338" s="38" t="s">
        <v>365</v>
      </c>
      <c r="F2338" s="37" t="s">
        <v>1899</v>
      </c>
      <c r="G2338" s="38" t="s">
        <v>1900</v>
      </c>
      <c r="H2338" s="37"/>
      <c r="I2338" s="37"/>
      <c r="J2338" s="37" t="s">
        <v>1974</v>
      </c>
      <c r="K2338" s="40"/>
      <c r="L2338" s="38"/>
      <c r="M2338" s="38"/>
      <c r="N2338" s="37"/>
      <c r="O2338" s="37"/>
      <c r="P2338" s="37"/>
      <c r="Q2338" s="37"/>
      <c r="R2338" s="39"/>
      <c r="S2338" s="37"/>
      <c r="T2338" s="38" t="s">
        <v>293</v>
      </c>
    </row>
    <row r="2339" ht="34.5">
      <c r="A2339" s="38" t="s">
        <v>1797</v>
      </c>
      <c r="B2339" s="38" t="s">
        <v>1798</v>
      </c>
      <c r="C2339" s="38" t="s">
        <v>394</v>
      </c>
      <c r="D2339" s="38" t="s">
        <v>382</v>
      </c>
      <c r="E2339" s="38" t="s">
        <v>365</v>
      </c>
      <c r="F2339" s="37" t="s">
        <v>1899</v>
      </c>
      <c r="G2339" s="38" t="s">
        <v>1900</v>
      </c>
      <c r="H2339" s="37"/>
      <c r="I2339" s="37"/>
      <c r="J2339" s="37" t="s">
        <v>383</v>
      </c>
      <c r="K2339" s="40"/>
      <c r="L2339" s="38"/>
      <c r="M2339" s="38"/>
      <c r="N2339" s="37"/>
      <c r="O2339" s="37"/>
      <c r="P2339" s="37"/>
      <c r="Q2339" s="37"/>
      <c r="R2339" s="39"/>
      <c r="S2339" s="37"/>
      <c r="T2339" s="38" t="s">
        <v>293</v>
      </c>
    </row>
    <row r="2340" ht="34.5">
      <c r="A2340" s="38" t="s">
        <v>1797</v>
      </c>
      <c r="B2340" s="38" t="s">
        <v>1798</v>
      </c>
      <c r="C2340" s="38" t="s">
        <v>394</v>
      </c>
      <c r="D2340" s="38" t="s">
        <v>288</v>
      </c>
      <c r="E2340" s="38" t="s">
        <v>365</v>
      </c>
      <c r="F2340" s="37" t="s">
        <v>1899</v>
      </c>
      <c r="G2340" s="38" t="s">
        <v>1900</v>
      </c>
      <c r="H2340" s="37"/>
      <c r="I2340" s="37"/>
      <c r="J2340" s="37" t="s">
        <v>1975</v>
      </c>
      <c r="K2340" s="40"/>
      <c r="L2340" s="38"/>
      <c r="M2340" s="38"/>
      <c r="N2340" s="37"/>
      <c r="O2340" s="37"/>
      <c r="P2340" s="37"/>
      <c r="Q2340" s="37"/>
      <c r="R2340" s="39"/>
      <c r="S2340" s="37"/>
      <c r="T2340" s="38" t="s">
        <v>293</v>
      </c>
    </row>
    <row r="2341" ht="34.5">
      <c r="A2341" s="38" t="s">
        <v>1797</v>
      </c>
      <c r="B2341" s="38" t="s">
        <v>1798</v>
      </c>
      <c r="C2341" s="38" t="s">
        <v>394</v>
      </c>
      <c r="D2341" s="38" t="s">
        <v>288</v>
      </c>
      <c r="E2341" s="38" t="s">
        <v>365</v>
      </c>
      <c r="F2341" s="37" t="s">
        <v>1899</v>
      </c>
      <c r="G2341" s="38" t="s">
        <v>1900</v>
      </c>
      <c r="H2341" s="37"/>
      <c r="I2341" s="37"/>
      <c r="J2341" s="37" t="s">
        <v>1976</v>
      </c>
      <c r="K2341" s="40"/>
      <c r="L2341" s="38"/>
      <c r="M2341" s="38"/>
      <c r="N2341" s="37"/>
      <c r="O2341" s="37"/>
      <c r="P2341" s="37"/>
      <c r="Q2341" s="37"/>
      <c r="R2341" s="39"/>
      <c r="S2341" s="37"/>
      <c r="T2341" s="38" t="s">
        <v>293</v>
      </c>
    </row>
    <row r="2342" ht="34.5">
      <c r="A2342" s="38" t="s">
        <v>1797</v>
      </c>
      <c r="B2342" s="38" t="s">
        <v>1798</v>
      </c>
      <c r="C2342" s="38" t="s">
        <v>394</v>
      </c>
      <c r="D2342" s="38" t="s">
        <v>288</v>
      </c>
      <c r="E2342" s="38" t="s">
        <v>365</v>
      </c>
      <c r="F2342" s="37" t="s">
        <v>1899</v>
      </c>
      <c r="G2342" s="38" t="s">
        <v>1900</v>
      </c>
      <c r="H2342" s="37"/>
      <c r="I2342" s="37"/>
      <c r="J2342" s="37" t="s">
        <v>1977</v>
      </c>
      <c r="K2342" s="40"/>
      <c r="L2342" s="38"/>
      <c r="M2342" s="38"/>
      <c r="N2342" s="37"/>
      <c r="O2342" s="37"/>
      <c r="P2342" s="37"/>
      <c r="Q2342" s="37"/>
      <c r="R2342" s="39"/>
      <c r="S2342" s="37"/>
      <c r="T2342" s="38" t="s">
        <v>293</v>
      </c>
    </row>
    <row r="2343" ht="34.5">
      <c r="A2343" s="38" t="s">
        <v>1797</v>
      </c>
      <c r="B2343" s="38" t="s">
        <v>1798</v>
      </c>
      <c r="C2343" s="38" t="s">
        <v>394</v>
      </c>
      <c r="D2343" s="38" t="s">
        <v>288</v>
      </c>
      <c r="E2343" s="38" t="s">
        <v>365</v>
      </c>
      <c r="F2343" s="37" t="s">
        <v>1899</v>
      </c>
      <c r="G2343" s="38" t="s">
        <v>1900</v>
      </c>
      <c r="H2343" s="37"/>
      <c r="I2343" s="37"/>
      <c r="J2343" s="37" t="s">
        <v>1978</v>
      </c>
      <c r="K2343" s="40"/>
      <c r="L2343" s="38"/>
      <c r="M2343" s="38"/>
      <c r="N2343" s="37"/>
      <c r="O2343" s="37"/>
      <c r="P2343" s="37"/>
      <c r="Q2343" s="37"/>
      <c r="R2343" s="39"/>
      <c r="S2343" s="37"/>
      <c r="T2343" s="38" t="s">
        <v>293</v>
      </c>
    </row>
    <row r="2344" ht="34.5">
      <c r="A2344" s="38" t="s">
        <v>1797</v>
      </c>
      <c r="B2344" s="38" t="s">
        <v>1798</v>
      </c>
      <c r="C2344" s="38" t="s">
        <v>394</v>
      </c>
      <c r="D2344" s="38" t="s">
        <v>288</v>
      </c>
      <c r="E2344" s="38" t="s">
        <v>365</v>
      </c>
      <c r="F2344" s="37" t="s">
        <v>1899</v>
      </c>
      <c r="G2344" s="38" t="s">
        <v>1900</v>
      </c>
      <c r="H2344" s="37"/>
      <c r="I2344" s="37"/>
      <c r="J2344" s="37" t="s">
        <v>1979</v>
      </c>
      <c r="K2344" s="40"/>
      <c r="L2344" s="38"/>
      <c r="M2344" s="38"/>
      <c r="N2344" s="37"/>
      <c r="O2344" s="37"/>
      <c r="P2344" s="37"/>
      <c r="Q2344" s="37"/>
      <c r="R2344" s="39"/>
      <c r="S2344" s="37"/>
      <c r="T2344" s="38" t="s">
        <v>293</v>
      </c>
    </row>
    <row r="2345" ht="34.5">
      <c r="A2345" s="38" t="s">
        <v>1797</v>
      </c>
      <c r="B2345" s="38" t="s">
        <v>1798</v>
      </c>
      <c r="C2345" s="38" t="s">
        <v>394</v>
      </c>
      <c r="D2345" s="38" t="s">
        <v>288</v>
      </c>
      <c r="E2345" s="38" t="s">
        <v>365</v>
      </c>
      <c r="F2345" s="37" t="s">
        <v>1899</v>
      </c>
      <c r="G2345" s="38" t="s">
        <v>1900</v>
      </c>
      <c r="H2345" s="37"/>
      <c r="I2345" s="37"/>
      <c r="J2345" s="37" t="s">
        <v>1980</v>
      </c>
      <c r="K2345" s="40"/>
      <c r="L2345" s="38"/>
      <c r="M2345" s="38"/>
      <c r="N2345" s="37"/>
      <c r="O2345" s="37"/>
      <c r="P2345" s="37"/>
      <c r="Q2345" s="37"/>
      <c r="R2345" s="39"/>
      <c r="S2345" s="37"/>
      <c r="T2345" s="38" t="s">
        <v>293</v>
      </c>
    </row>
    <row r="2346" ht="34.5">
      <c r="A2346" s="38" t="s">
        <v>1797</v>
      </c>
      <c r="B2346" s="38" t="s">
        <v>1798</v>
      </c>
      <c r="C2346" s="38" t="s">
        <v>394</v>
      </c>
      <c r="D2346" s="38" t="s">
        <v>385</v>
      </c>
      <c r="E2346" s="38" t="s">
        <v>365</v>
      </c>
      <c r="F2346" s="37" t="s">
        <v>1899</v>
      </c>
      <c r="G2346" s="38" t="s">
        <v>1900</v>
      </c>
      <c r="H2346" s="37"/>
      <c r="I2346" s="37"/>
      <c r="J2346" s="37" t="s">
        <v>386</v>
      </c>
      <c r="K2346" s="40"/>
      <c r="L2346" s="38"/>
      <c r="M2346" s="38"/>
      <c r="N2346" s="37"/>
      <c r="O2346" s="37"/>
      <c r="P2346" s="37"/>
      <c r="Q2346" s="37"/>
      <c r="R2346" s="39"/>
      <c r="S2346" s="37"/>
      <c r="T2346" s="38" t="s">
        <v>293</v>
      </c>
    </row>
    <row r="2347" ht="34.5">
      <c r="A2347" s="38" t="s">
        <v>1797</v>
      </c>
      <c r="B2347" s="38" t="s">
        <v>1798</v>
      </c>
      <c r="C2347" s="38" t="s">
        <v>394</v>
      </c>
      <c r="D2347" s="38" t="s">
        <v>288</v>
      </c>
      <c r="E2347" s="38" t="s">
        <v>365</v>
      </c>
      <c r="F2347" s="37" t="s">
        <v>1899</v>
      </c>
      <c r="G2347" s="38" t="s">
        <v>1900</v>
      </c>
      <c r="H2347" s="37"/>
      <c r="I2347" s="37"/>
      <c r="J2347" s="37" t="s">
        <v>1981</v>
      </c>
      <c r="K2347" s="40"/>
      <c r="L2347" s="38"/>
      <c r="M2347" s="38"/>
      <c r="N2347" s="37"/>
      <c r="O2347" s="37"/>
      <c r="P2347" s="37"/>
      <c r="Q2347" s="37"/>
      <c r="R2347" s="39"/>
      <c r="S2347" s="37"/>
      <c r="T2347" s="38" t="s">
        <v>293</v>
      </c>
    </row>
    <row r="2348" ht="34.5">
      <c r="A2348" s="38" t="s">
        <v>1797</v>
      </c>
      <c r="B2348" s="38" t="s">
        <v>1798</v>
      </c>
      <c r="C2348" s="38" t="s">
        <v>407</v>
      </c>
      <c r="D2348" s="38" t="s">
        <v>288</v>
      </c>
      <c r="E2348" s="38" t="s">
        <v>365</v>
      </c>
      <c r="F2348" s="37" t="s">
        <v>1899</v>
      </c>
      <c r="G2348" s="38" t="s">
        <v>1900</v>
      </c>
      <c r="H2348" s="37"/>
      <c r="I2348" s="37"/>
      <c r="J2348" s="37" t="s">
        <v>1982</v>
      </c>
      <c r="K2348" s="40"/>
      <c r="L2348" s="38"/>
      <c r="M2348" s="38"/>
      <c r="N2348" s="37"/>
      <c r="O2348" s="37"/>
      <c r="P2348" s="37"/>
      <c r="Q2348" s="37"/>
      <c r="R2348" s="39"/>
      <c r="S2348" s="37"/>
      <c r="T2348" s="38" t="s">
        <v>293</v>
      </c>
    </row>
    <row r="2349" ht="34.5">
      <c r="A2349" s="38" t="s">
        <v>1797</v>
      </c>
      <c r="B2349" s="38" t="s">
        <v>1798</v>
      </c>
      <c r="C2349" s="38" t="s">
        <v>407</v>
      </c>
      <c r="D2349" s="38" t="s">
        <v>388</v>
      </c>
      <c r="E2349" s="38" t="s">
        <v>365</v>
      </c>
      <c r="F2349" s="37" t="s">
        <v>1899</v>
      </c>
      <c r="G2349" s="38" t="s">
        <v>1900</v>
      </c>
      <c r="H2349" s="37"/>
      <c r="I2349" s="37"/>
      <c r="J2349" s="37" t="s">
        <v>389</v>
      </c>
      <c r="K2349" s="40"/>
      <c r="L2349" s="38"/>
      <c r="M2349" s="38"/>
      <c r="N2349" s="37"/>
      <c r="O2349" s="37"/>
      <c r="P2349" s="37"/>
      <c r="Q2349" s="37"/>
      <c r="R2349" s="39"/>
      <c r="S2349" s="37"/>
      <c r="T2349" s="38" t="s">
        <v>293</v>
      </c>
    </row>
    <row r="2350" ht="34.5">
      <c r="A2350" s="38" t="s">
        <v>1797</v>
      </c>
      <c r="B2350" s="38" t="s">
        <v>1798</v>
      </c>
      <c r="C2350" s="38" t="s">
        <v>407</v>
      </c>
      <c r="D2350" s="38" t="s">
        <v>288</v>
      </c>
      <c r="E2350" s="38" t="s">
        <v>365</v>
      </c>
      <c r="F2350" s="37" t="s">
        <v>1899</v>
      </c>
      <c r="G2350" s="38" t="s">
        <v>1900</v>
      </c>
      <c r="H2350" s="37"/>
      <c r="I2350" s="37"/>
      <c r="J2350" s="37" t="s">
        <v>1983</v>
      </c>
      <c r="K2350" s="40"/>
      <c r="L2350" s="38"/>
      <c r="M2350" s="38"/>
      <c r="N2350" s="37"/>
      <c r="O2350" s="37"/>
      <c r="P2350" s="37"/>
      <c r="Q2350" s="37"/>
      <c r="R2350" s="39"/>
      <c r="S2350" s="37"/>
      <c r="T2350" s="38" t="s">
        <v>293</v>
      </c>
    </row>
    <row r="2351" ht="34.5">
      <c r="A2351" s="38" t="s">
        <v>1797</v>
      </c>
      <c r="B2351" s="38" t="s">
        <v>1798</v>
      </c>
      <c r="C2351" s="38" t="s">
        <v>407</v>
      </c>
      <c r="D2351" s="38" t="s">
        <v>288</v>
      </c>
      <c r="E2351" s="38" t="s">
        <v>365</v>
      </c>
      <c r="F2351" s="37" t="s">
        <v>1899</v>
      </c>
      <c r="G2351" s="38" t="s">
        <v>1900</v>
      </c>
      <c r="H2351" s="37"/>
      <c r="I2351" s="37"/>
      <c r="J2351" s="37" t="s">
        <v>1984</v>
      </c>
      <c r="K2351" s="40"/>
      <c r="L2351" s="38"/>
      <c r="M2351" s="38"/>
      <c r="N2351" s="37"/>
      <c r="O2351" s="37"/>
      <c r="P2351" s="37"/>
      <c r="Q2351" s="37"/>
      <c r="R2351" s="39"/>
      <c r="S2351" s="37"/>
      <c r="T2351" s="38" t="s">
        <v>293</v>
      </c>
    </row>
    <row r="2352" ht="34.5">
      <c r="A2352" s="38" t="s">
        <v>1797</v>
      </c>
      <c r="B2352" s="38" t="s">
        <v>1798</v>
      </c>
      <c r="C2352" s="38" t="s">
        <v>407</v>
      </c>
      <c r="D2352" s="38" t="s">
        <v>288</v>
      </c>
      <c r="E2352" s="38" t="s">
        <v>365</v>
      </c>
      <c r="F2352" s="37" t="s">
        <v>1899</v>
      </c>
      <c r="G2352" s="38" t="s">
        <v>1900</v>
      </c>
      <c r="H2352" s="37"/>
      <c r="I2352" s="37"/>
      <c r="J2352" s="37" t="s">
        <v>1985</v>
      </c>
      <c r="K2352" s="40"/>
      <c r="L2352" s="38"/>
      <c r="M2352" s="38"/>
      <c r="N2352" s="37"/>
      <c r="O2352" s="37"/>
      <c r="P2352" s="37"/>
      <c r="Q2352" s="37"/>
      <c r="R2352" s="39"/>
      <c r="S2352" s="37"/>
      <c r="T2352" s="38" t="s">
        <v>293</v>
      </c>
    </row>
    <row r="2353" ht="34.5">
      <c r="A2353" s="38" t="s">
        <v>1797</v>
      </c>
      <c r="B2353" s="38" t="s">
        <v>1798</v>
      </c>
      <c r="C2353" s="38" t="s">
        <v>407</v>
      </c>
      <c r="D2353" s="38" t="s">
        <v>288</v>
      </c>
      <c r="E2353" s="38" t="s">
        <v>365</v>
      </c>
      <c r="F2353" s="37" t="s">
        <v>1899</v>
      </c>
      <c r="G2353" s="38" t="s">
        <v>1900</v>
      </c>
      <c r="H2353" s="37"/>
      <c r="I2353" s="37"/>
      <c r="J2353" s="37" t="s">
        <v>1986</v>
      </c>
      <c r="K2353" s="40"/>
      <c r="L2353" s="38"/>
      <c r="M2353" s="38"/>
      <c r="N2353" s="37"/>
      <c r="O2353" s="37"/>
      <c r="P2353" s="37"/>
      <c r="Q2353" s="37"/>
      <c r="R2353" s="39"/>
      <c r="S2353" s="37"/>
      <c r="T2353" s="38" t="s">
        <v>293</v>
      </c>
    </row>
    <row r="2354" ht="34.5">
      <c r="A2354" s="38" t="s">
        <v>1797</v>
      </c>
      <c r="B2354" s="38" t="s">
        <v>1798</v>
      </c>
      <c r="C2354" s="38" t="s">
        <v>407</v>
      </c>
      <c r="D2354" s="38" t="s">
        <v>392</v>
      </c>
      <c r="E2354" s="38" t="s">
        <v>365</v>
      </c>
      <c r="F2354" s="37" t="s">
        <v>1899</v>
      </c>
      <c r="G2354" s="38" t="s">
        <v>1900</v>
      </c>
      <c r="H2354" s="37"/>
      <c r="I2354" s="37"/>
      <c r="J2354" s="37" t="s">
        <v>393</v>
      </c>
      <c r="K2354" s="40"/>
      <c r="L2354" s="38"/>
      <c r="M2354" s="38"/>
      <c r="N2354" s="37"/>
      <c r="O2354" s="37"/>
      <c r="P2354" s="37"/>
      <c r="Q2354" s="37"/>
      <c r="R2354" s="39"/>
      <c r="S2354" s="37"/>
      <c r="T2354" s="38" t="s">
        <v>293</v>
      </c>
    </row>
    <row r="2355" ht="34.5">
      <c r="A2355" s="38" t="s">
        <v>1797</v>
      </c>
      <c r="B2355" s="38" t="s">
        <v>1798</v>
      </c>
      <c r="C2355" s="38" t="s">
        <v>407</v>
      </c>
      <c r="D2355" s="38" t="s">
        <v>288</v>
      </c>
      <c r="E2355" s="38" t="s">
        <v>365</v>
      </c>
      <c r="F2355" s="37" t="s">
        <v>1899</v>
      </c>
      <c r="G2355" s="38" t="s">
        <v>1900</v>
      </c>
      <c r="H2355" s="37"/>
      <c r="I2355" s="37"/>
      <c r="J2355" s="37" t="s">
        <v>1987</v>
      </c>
      <c r="K2355" s="40"/>
      <c r="L2355" s="38"/>
      <c r="M2355" s="38"/>
      <c r="N2355" s="37"/>
      <c r="O2355" s="37"/>
      <c r="P2355" s="37"/>
      <c r="Q2355" s="37"/>
      <c r="R2355" s="39"/>
      <c r="S2355" s="37"/>
      <c r="T2355" s="38" t="s">
        <v>293</v>
      </c>
    </row>
    <row r="2356" ht="34.5">
      <c r="A2356" s="38" t="s">
        <v>1797</v>
      </c>
      <c r="B2356" s="38" t="s">
        <v>1798</v>
      </c>
      <c r="C2356" s="38" t="s">
        <v>418</v>
      </c>
      <c r="D2356" s="38" t="s">
        <v>288</v>
      </c>
      <c r="E2356" s="38" t="s">
        <v>365</v>
      </c>
      <c r="F2356" s="37" t="s">
        <v>1899</v>
      </c>
      <c r="G2356" s="38" t="s">
        <v>1900</v>
      </c>
      <c r="H2356" s="37"/>
      <c r="I2356" s="37"/>
      <c r="J2356" s="37" t="s">
        <v>1988</v>
      </c>
      <c r="K2356" s="40"/>
      <c r="L2356" s="38"/>
      <c r="M2356" s="38"/>
      <c r="N2356" s="37"/>
      <c r="O2356" s="37"/>
      <c r="P2356" s="37"/>
      <c r="Q2356" s="37"/>
      <c r="R2356" s="39"/>
      <c r="S2356" s="37"/>
      <c r="T2356" s="38" t="s">
        <v>293</v>
      </c>
    </row>
    <row r="2357" ht="34.5">
      <c r="A2357" s="38" t="s">
        <v>1797</v>
      </c>
      <c r="B2357" s="38" t="s">
        <v>1798</v>
      </c>
      <c r="C2357" s="38" t="s">
        <v>418</v>
      </c>
      <c r="D2357" s="38" t="s">
        <v>288</v>
      </c>
      <c r="E2357" s="38" t="s">
        <v>365</v>
      </c>
      <c r="F2357" s="37" t="s">
        <v>1899</v>
      </c>
      <c r="G2357" s="38" t="s">
        <v>1900</v>
      </c>
      <c r="H2357" s="37"/>
      <c r="I2357" s="37"/>
      <c r="J2357" s="37" t="s">
        <v>1989</v>
      </c>
      <c r="K2357" s="40"/>
      <c r="L2357" s="38"/>
      <c r="M2357" s="38"/>
      <c r="N2357" s="37"/>
      <c r="O2357" s="37"/>
      <c r="P2357" s="37"/>
      <c r="Q2357" s="37"/>
      <c r="R2357" s="39"/>
      <c r="S2357" s="37"/>
      <c r="T2357" s="38" t="s">
        <v>293</v>
      </c>
    </row>
    <row r="2358" ht="34.5">
      <c r="A2358" s="38" t="s">
        <v>1797</v>
      </c>
      <c r="B2358" s="38" t="s">
        <v>1798</v>
      </c>
      <c r="C2358" s="38" t="s">
        <v>418</v>
      </c>
      <c r="D2358" s="38" t="s">
        <v>288</v>
      </c>
      <c r="E2358" s="38" t="s">
        <v>365</v>
      </c>
      <c r="F2358" s="37" t="s">
        <v>1899</v>
      </c>
      <c r="G2358" s="38" t="s">
        <v>1900</v>
      </c>
      <c r="H2358" s="37"/>
      <c r="I2358" s="37"/>
      <c r="J2358" s="37" t="s">
        <v>1990</v>
      </c>
      <c r="K2358" s="40"/>
      <c r="L2358" s="38"/>
      <c r="M2358" s="38"/>
      <c r="N2358" s="37"/>
      <c r="O2358" s="37"/>
      <c r="P2358" s="37"/>
      <c r="Q2358" s="37"/>
      <c r="R2358" s="39"/>
      <c r="S2358" s="37"/>
      <c r="T2358" s="38" t="s">
        <v>293</v>
      </c>
    </row>
    <row r="2359" ht="34.5">
      <c r="A2359" s="38" t="s">
        <v>1797</v>
      </c>
      <c r="B2359" s="38" t="s">
        <v>1798</v>
      </c>
      <c r="C2359" s="38" t="s">
        <v>418</v>
      </c>
      <c r="D2359" s="38" t="s">
        <v>288</v>
      </c>
      <c r="E2359" s="38" t="s">
        <v>365</v>
      </c>
      <c r="F2359" s="37" t="s">
        <v>1899</v>
      </c>
      <c r="G2359" s="38" t="s">
        <v>1900</v>
      </c>
      <c r="H2359" s="37"/>
      <c r="I2359" s="37"/>
      <c r="J2359" s="37" t="s">
        <v>1991</v>
      </c>
      <c r="K2359" s="40"/>
      <c r="L2359" s="38"/>
      <c r="M2359" s="38"/>
      <c r="N2359" s="37"/>
      <c r="O2359" s="37"/>
      <c r="P2359" s="37"/>
      <c r="Q2359" s="37"/>
      <c r="R2359" s="39"/>
      <c r="S2359" s="37"/>
      <c r="T2359" s="38" t="s">
        <v>293</v>
      </c>
    </row>
    <row r="2360" ht="34.5">
      <c r="A2360" s="38" t="s">
        <v>1797</v>
      </c>
      <c r="B2360" s="38" t="s">
        <v>1798</v>
      </c>
      <c r="C2360" s="38" t="s">
        <v>418</v>
      </c>
      <c r="D2360" s="38" t="s">
        <v>288</v>
      </c>
      <c r="E2360" s="38" t="s">
        <v>365</v>
      </c>
      <c r="F2360" s="37" t="s">
        <v>1899</v>
      </c>
      <c r="G2360" s="38" t="s">
        <v>1900</v>
      </c>
      <c r="H2360" s="37"/>
      <c r="I2360" s="37"/>
      <c r="J2360" s="37" t="s">
        <v>1992</v>
      </c>
      <c r="K2360" s="40"/>
      <c r="L2360" s="38"/>
      <c r="M2360" s="38"/>
      <c r="N2360" s="37"/>
      <c r="O2360" s="37"/>
      <c r="P2360" s="37"/>
      <c r="Q2360" s="37"/>
      <c r="R2360" s="39"/>
      <c r="S2360" s="37"/>
      <c r="T2360" s="38" t="s">
        <v>293</v>
      </c>
    </row>
    <row r="2361" ht="34.5">
      <c r="A2361" s="38" t="s">
        <v>1797</v>
      </c>
      <c r="B2361" s="38" t="s">
        <v>1798</v>
      </c>
      <c r="C2361" s="38" t="s">
        <v>418</v>
      </c>
      <c r="D2361" s="38" t="s">
        <v>288</v>
      </c>
      <c r="E2361" s="38" t="s">
        <v>365</v>
      </c>
      <c r="F2361" s="37" t="s">
        <v>1899</v>
      </c>
      <c r="G2361" s="38" t="s">
        <v>1900</v>
      </c>
      <c r="H2361" s="37"/>
      <c r="I2361" s="37"/>
      <c r="J2361" s="37" t="s">
        <v>1993</v>
      </c>
      <c r="K2361" s="40"/>
      <c r="L2361" s="38"/>
      <c r="M2361" s="38"/>
      <c r="N2361" s="37"/>
      <c r="O2361" s="37"/>
      <c r="P2361" s="37"/>
      <c r="Q2361" s="37"/>
      <c r="R2361" s="39"/>
      <c r="S2361" s="37"/>
      <c r="T2361" s="38" t="s">
        <v>293</v>
      </c>
    </row>
    <row r="2362" ht="34.5">
      <c r="A2362" s="38" t="s">
        <v>1797</v>
      </c>
      <c r="B2362" s="38" t="s">
        <v>1798</v>
      </c>
      <c r="C2362" s="38" t="s">
        <v>428</v>
      </c>
      <c r="D2362" s="38" t="s">
        <v>288</v>
      </c>
      <c r="E2362" s="38" t="s">
        <v>365</v>
      </c>
      <c r="F2362" s="37" t="s">
        <v>1899</v>
      </c>
      <c r="G2362" s="38" t="s">
        <v>1900</v>
      </c>
      <c r="H2362" s="37"/>
      <c r="I2362" s="37"/>
      <c r="J2362" s="37" t="s">
        <v>1994</v>
      </c>
      <c r="K2362" s="40"/>
      <c r="L2362" s="38"/>
      <c r="M2362" s="38"/>
      <c r="N2362" s="37"/>
      <c r="O2362" s="37"/>
      <c r="P2362" s="37"/>
      <c r="Q2362" s="37"/>
      <c r="R2362" s="39"/>
      <c r="S2362" s="37"/>
      <c r="T2362" s="38" t="s">
        <v>293</v>
      </c>
    </row>
    <row r="2363" ht="34.5">
      <c r="A2363" s="38" t="s">
        <v>1797</v>
      </c>
      <c r="B2363" s="38" t="s">
        <v>1798</v>
      </c>
      <c r="C2363" s="38" t="s">
        <v>428</v>
      </c>
      <c r="D2363" s="38" t="s">
        <v>288</v>
      </c>
      <c r="E2363" s="38" t="s">
        <v>365</v>
      </c>
      <c r="F2363" s="37" t="s">
        <v>1899</v>
      </c>
      <c r="G2363" s="38" t="s">
        <v>1900</v>
      </c>
      <c r="H2363" s="37"/>
      <c r="I2363" s="37"/>
      <c r="J2363" s="37" t="s">
        <v>1995</v>
      </c>
      <c r="K2363" s="40"/>
      <c r="L2363" s="38"/>
      <c r="M2363" s="38"/>
      <c r="N2363" s="37"/>
      <c r="O2363" s="37"/>
      <c r="P2363" s="37"/>
      <c r="Q2363" s="37"/>
      <c r="R2363" s="39"/>
      <c r="S2363" s="37"/>
      <c r="T2363" s="38" t="s">
        <v>293</v>
      </c>
    </row>
    <row r="2364" ht="34.5">
      <c r="A2364" s="38" t="s">
        <v>1797</v>
      </c>
      <c r="B2364" s="38" t="s">
        <v>1798</v>
      </c>
      <c r="C2364" s="38" t="s">
        <v>428</v>
      </c>
      <c r="D2364" s="38" t="s">
        <v>402</v>
      </c>
      <c r="E2364" s="38" t="s">
        <v>365</v>
      </c>
      <c r="F2364" s="37" t="s">
        <v>1899</v>
      </c>
      <c r="G2364" s="38" t="s">
        <v>1900</v>
      </c>
      <c r="H2364" s="37"/>
      <c r="I2364" s="37"/>
      <c r="J2364" s="37" t="s">
        <v>403</v>
      </c>
      <c r="K2364" s="40"/>
      <c r="L2364" s="38"/>
      <c r="M2364" s="38"/>
      <c r="N2364" s="37"/>
      <c r="O2364" s="37"/>
      <c r="P2364" s="37"/>
      <c r="Q2364" s="37"/>
      <c r="R2364" s="39"/>
      <c r="S2364" s="37"/>
      <c r="T2364" s="38" t="s">
        <v>293</v>
      </c>
    </row>
    <row r="2365" ht="34.5">
      <c r="A2365" s="38" t="s">
        <v>1797</v>
      </c>
      <c r="B2365" s="38" t="s">
        <v>1798</v>
      </c>
      <c r="C2365" s="38" t="s">
        <v>428</v>
      </c>
      <c r="D2365" s="38" t="s">
        <v>288</v>
      </c>
      <c r="E2365" s="38" t="s">
        <v>365</v>
      </c>
      <c r="F2365" s="37" t="s">
        <v>1899</v>
      </c>
      <c r="G2365" s="38" t="s">
        <v>1900</v>
      </c>
      <c r="H2365" s="37"/>
      <c r="I2365" s="37"/>
      <c r="J2365" s="37" t="s">
        <v>1996</v>
      </c>
      <c r="K2365" s="40"/>
      <c r="L2365" s="38"/>
      <c r="M2365" s="38"/>
      <c r="N2365" s="37"/>
      <c r="O2365" s="37"/>
      <c r="P2365" s="37"/>
      <c r="Q2365" s="37"/>
      <c r="R2365" s="39"/>
      <c r="S2365" s="37"/>
      <c r="T2365" s="38" t="s">
        <v>293</v>
      </c>
    </row>
    <row r="2366" ht="34.5">
      <c r="A2366" s="38" t="s">
        <v>1797</v>
      </c>
      <c r="B2366" s="38" t="s">
        <v>1798</v>
      </c>
      <c r="C2366" s="38" t="s">
        <v>428</v>
      </c>
      <c r="D2366" s="38" t="s">
        <v>288</v>
      </c>
      <c r="E2366" s="38" t="s">
        <v>365</v>
      </c>
      <c r="F2366" s="37" t="s">
        <v>1899</v>
      </c>
      <c r="G2366" s="38" t="s">
        <v>1900</v>
      </c>
      <c r="H2366" s="37"/>
      <c r="I2366" s="37"/>
      <c r="J2366" s="37" t="s">
        <v>1997</v>
      </c>
      <c r="K2366" s="40"/>
      <c r="L2366" s="38"/>
      <c r="M2366" s="38"/>
      <c r="N2366" s="37"/>
      <c r="O2366" s="37"/>
      <c r="P2366" s="37"/>
      <c r="Q2366" s="37"/>
      <c r="R2366" s="39"/>
      <c r="S2366" s="37"/>
      <c r="T2366" s="38" t="s">
        <v>293</v>
      </c>
    </row>
    <row r="2367" ht="34.5">
      <c r="A2367" s="38" t="s">
        <v>1797</v>
      </c>
      <c r="B2367" s="38" t="s">
        <v>1798</v>
      </c>
      <c r="C2367" s="38" t="s">
        <v>428</v>
      </c>
      <c r="D2367" s="38" t="s">
        <v>288</v>
      </c>
      <c r="E2367" s="38" t="s">
        <v>365</v>
      </c>
      <c r="F2367" s="37" t="s">
        <v>1899</v>
      </c>
      <c r="G2367" s="38" t="s">
        <v>1900</v>
      </c>
      <c r="H2367" s="37"/>
      <c r="I2367" s="37"/>
      <c r="J2367" s="37" t="s">
        <v>1998</v>
      </c>
      <c r="K2367" s="40"/>
      <c r="L2367" s="38"/>
      <c r="M2367" s="38"/>
      <c r="N2367" s="37"/>
      <c r="O2367" s="37"/>
      <c r="P2367" s="37"/>
      <c r="Q2367" s="37"/>
      <c r="R2367" s="39"/>
      <c r="S2367" s="37"/>
      <c r="T2367" s="38" t="s">
        <v>293</v>
      </c>
    </row>
    <row r="2368" ht="34.5">
      <c r="A2368" s="38" t="s">
        <v>1797</v>
      </c>
      <c r="B2368" s="38" t="s">
        <v>1798</v>
      </c>
      <c r="C2368" s="38" t="s">
        <v>428</v>
      </c>
      <c r="D2368" s="38" t="s">
        <v>288</v>
      </c>
      <c r="E2368" s="38" t="s">
        <v>365</v>
      </c>
      <c r="F2368" s="37" t="s">
        <v>1899</v>
      </c>
      <c r="G2368" s="38" t="s">
        <v>1900</v>
      </c>
      <c r="H2368" s="37"/>
      <c r="I2368" s="37"/>
      <c r="J2368" s="37" t="s">
        <v>1999</v>
      </c>
      <c r="K2368" s="40"/>
      <c r="L2368" s="38"/>
      <c r="M2368" s="38"/>
      <c r="N2368" s="37"/>
      <c r="O2368" s="37"/>
      <c r="P2368" s="37"/>
      <c r="Q2368" s="37"/>
      <c r="R2368" s="39"/>
      <c r="S2368" s="37"/>
      <c r="T2368" s="38" t="s">
        <v>293</v>
      </c>
    </row>
    <row r="2369" ht="34.5">
      <c r="A2369" s="38" t="s">
        <v>1797</v>
      </c>
      <c r="B2369" s="38" t="s">
        <v>1798</v>
      </c>
      <c r="C2369" s="38" t="s">
        <v>438</v>
      </c>
      <c r="D2369" s="38" t="s">
        <v>288</v>
      </c>
      <c r="E2369" s="38" t="s">
        <v>365</v>
      </c>
      <c r="F2369" s="37" t="s">
        <v>1899</v>
      </c>
      <c r="G2369" s="38" t="s">
        <v>1900</v>
      </c>
      <c r="H2369" s="37"/>
      <c r="I2369" s="37"/>
      <c r="J2369" s="37" t="s">
        <v>2000</v>
      </c>
      <c r="K2369" s="40"/>
      <c r="L2369" s="38"/>
      <c r="M2369" s="38"/>
      <c r="N2369" s="37"/>
      <c r="O2369" s="37"/>
      <c r="P2369" s="37"/>
      <c r="Q2369" s="37"/>
      <c r="R2369" s="39"/>
      <c r="S2369" s="37"/>
      <c r="T2369" s="38" t="s">
        <v>293</v>
      </c>
    </row>
    <row r="2370" ht="34.5">
      <c r="A2370" s="38" t="s">
        <v>1797</v>
      </c>
      <c r="B2370" s="38" t="s">
        <v>1798</v>
      </c>
      <c r="C2370" s="38" t="s">
        <v>438</v>
      </c>
      <c r="D2370" s="38" t="s">
        <v>288</v>
      </c>
      <c r="E2370" s="38" t="s">
        <v>365</v>
      </c>
      <c r="F2370" s="37" t="s">
        <v>1899</v>
      </c>
      <c r="G2370" s="38" t="s">
        <v>1900</v>
      </c>
      <c r="H2370" s="37"/>
      <c r="I2370" s="37"/>
      <c r="J2370" s="37" t="s">
        <v>2001</v>
      </c>
      <c r="K2370" s="40"/>
      <c r="L2370" s="38"/>
      <c r="M2370" s="38"/>
      <c r="N2370" s="37"/>
      <c r="O2370" s="37"/>
      <c r="P2370" s="37"/>
      <c r="Q2370" s="37"/>
      <c r="R2370" s="39"/>
      <c r="S2370" s="37"/>
      <c r="T2370" s="38" t="s">
        <v>293</v>
      </c>
    </row>
    <row r="2371" ht="34.5">
      <c r="A2371" s="38" t="s">
        <v>1797</v>
      </c>
      <c r="B2371" s="38" t="s">
        <v>1798</v>
      </c>
      <c r="C2371" s="38" t="s">
        <v>438</v>
      </c>
      <c r="D2371" s="38" t="s">
        <v>288</v>
      </c>
      <c r="E2371" s="38" t="s">
        <v>365</v>
      </c>
      <c r="F2371" s="37" t="s">
        <v>1899</v>
      </c>
      <c r="G2371" s="38" t="s">
        <v>1900</v>
      </c>
      <c r="H2371" s="37"/>
      <c r="I2371" s="37"/>
      <c r="J2371" s="37" t="s">
        <v>2002</v>
      </c>
      <c r="K2371" s="40">
        <v>912999</v>
      </c>
      <c r="L2371" s="38" t="s">
        <v>297</v>
      </c>
      <c r="M2371" s="38"/>
      <c r="N2371" s="37"/>
      <c r="O2371" s="37"/>
      <c r="P2371" s="37"/>
      <c r="Q2371" s="37"/>
      <c r="R2371" s="39"/>
      <c r="S2371" s="37"/>
      <c r="T2371" s="38" t="s">
        <v>293</v>
      </c>
    </row>
    <row r="2372" ht="34.5">
      <c r="A2372" s="38" t="s">
        <v>1797</v>
      </c>
      <c r="B2372" s="38" t="s">
        <v>1798</v>
      </c>
      <c r="C2372" s="38" t="s">
        <v>438</v>
      </c>
      <c r="D2372" s="38" t="s">
        <v>288</v>
      </c>
      <c r="E2372" s="38" t="s">
        <v>365</v>
      </c>
      <c r="F2372" s="37" t="s">
        <v>1899</v>
      </c>
      <c r="G2372" s="38" t="s">
        <v>1900</v>
      </c>
      <c r="H2372" s="37"/>
      <c r="I2372" s="37"/>
      <c r="J2372" s="37" t="s">
        <v>2003</v>
      </c>
      <c r="K2372" s="40"/>
      <c r="L2372" s="38"/>
      <c r="M2372" s="38"/>
      <c r="N2372" s="37"/>
      <c r="O2372" s="37"/>
      <c r="P2372" s="37"/>
      <c r="Q2372" s="37"/>
      <c r="R2372" s="39"/>
      <c r="S2372" s="37"/>
      <c r="T2372" s="38" t="s">
        <v>293</v>
      </c>
    </row>
    <row r="2373" ht="34.5">
      <c r="A2373" s="38" t="s">
        <v>1797</v>
      </c>
      <c r="B2373" s="38" t="s">
        <v>1798</v>
      </c>
      <c r="C2373" s="38" t="s">
        <v>438</v>
      </c>
      <c r="D2373" s="38" t="s">
        <v>288</v>
      </c>
      <c r="E2373" s="38" t="s">
        <v>365</v>
      </c>
      <c r="F2373" s="37" t="s">
        <v>1899</v>
      </c>
      <c r="G2373" s="38" t="s">
        <v>1900</v>
      </c>
      <c r="H2373" s="37"/>
      <c r="I2373" s="37"/>
      <c r="J2373" s="37" t="s">
        <v>2004</v>
      </c>
      <c r="K2373" s="40"/>
      <c r="L2373" s="38"/>
      <c r="M2373" s="38"/>
      <c r="N2373" s="37"/>
      <c r="O2373" s="37"/>
      <c r="P2373" s="37"/>
      <c r="Q2373" s="37"/>
      <c r="R2373" s="39"/>
      <c r="S2373" s="37"/>
      <c r="T2373" s="38" t="s">
        <v>293</v>
      </c>
    </row>
    <row r="2374" ht="34.5">
      <c r="A2374" s="38" t="s">
        <v>1797</v>
      </c>
      <c r="B2374" s="38" t="s">
        <v>1798</v>
      </c>
      <c r="C2374" s="38" t="s">
        <v>438</v>
      </c>
      <c r="D2374" s="38" t="s">
        <v>288</v>
      </c>
      <c r="E2374" s="38" t="s">
        <v>365</v>
      </c>
      <c r="F2374" s="37" t="s">
        <v>1899</v>
      </c>
      <c r="G2374" s="38" t="s">
        <v>1900</v>
      </c>
      <c r="H2374" s="37"/>
      <c r="I2374" s="37"/>
      <c r="J2374" s="37" t="s">
        <v>2005</v>
      </c>
      <c r="K2374" s="40"/>
      <c r="L2374" s="38"/>
      <c r="M2374" s="38"/>
      <c r="N2374" s="37"/>
      <c r="O2374" s="37"/>
      <c r="P2374" s="37"/>
      <c r="Q2374" s="37"/>
      <c r="R2374" s="39"/>
      <c r="S2374" s="37"/>
      <c r="T2374" s="38" t="s">
        <v>293</v>
      </c>
    </row>
    <row r="2375" ht="34.5">
      <c r="A2375" s="38" t="s">
        <v>1797</v>
      </c>
      <c r="B2375" s="38" t="s">
        <v>1798</v>
      </c>
      <c r="C2375" s="38" t="s">
        <v>438</v>
      </c>
      <c r="D2375" s="38" t="s">
        <v>288</v>
      </c>
      <c r="E2375" s="38" t="s">
        <v>365</v>
      </c>
      <c r="F2375" s="37" t="s">
        <v>1899</v>
      </c>
      <c r="G2375" s="38" t="s">
        <v>1900</v>
      </c>
      <c r="H2375" s="37"/>
      <c r="I2375" s="37"/>
      <c r="J2375" s="37" t="s">
        <v>2006</v>
      </c>
      <c r="K2375" s="40"/>
      <c r="L2375" s="38"/>
      <c r="M2375" s="38"/>
      <c r="N2375" s="37"/>
      <c r="O2375" s="37"/>
      <c r="P2375" s="37"/>
      <c r="Q2375" s="37"/>
      <c r="R2375" s="39"/>
      <c r="S2375" s="37"/>
      <c r="T2375" s="38" t="s">
        <v>293</v>
      </c>
    </row>
    <row r="2376" ht="34.5">
      <c r="A2376" s="38" t="s">
        <v>1797</v>
      </c>
      <c r="B2376" s="38" t="s">
        <v>1798</v>
      </c>
      <c r="C2376" s="38" t="s">
        <v>438</v>
      </c>
      <c r="D2376" s="38" t="s">
        <v>288</v>
      </c>
      <c r="E2376" s="38" t="s">
        <v>365</v>
      </c>
      <c r="F2376" s="37" t="s">
        <v>1899</v>
      </c>
      <c r="G2376" s="38" t="s">
        <v>1900</v>
      </c>
      <c r="H2376" s="37"/>
      <c r="I2376" s="37"/>
      <c r="J2376" s="37" t="s">
        <v>2007</v>
      </c>
      <c r="K2376" s="40"/>
      <c r="L2376" s="38"/>
      <c r="M2376" s="38"/>
      <c r="N2376" s="37"/>
      <c r="O2376" s="37"/>
      <c r="P2376" s="37"/>
      <c r="Q2376" s="37"/>
      <c r="R2376" s="39"/>
      <c r="S2376" s="37"/>
      <c r="T2376" s="38" t="s">
        <v>293</v>
      </c>
    </row>
    <row r="2377" ht="34.5">
      <c r="A2377" s="38" t="s">
        <v>1797</v>
      </c>
      <c r="B2377" s="38" t="s">
        <v>1798</v>
      </c>
      <c r="C2377" s="38" t="s">
        <v>438</v>
      </c>
      <c r="D2377" s="38" t="s">
        <v>288</v>
      </c>
      <c r="E2377" s="38" t="s">
        <v>365</v>
      </c>
      <c r="F2377" s="37" t="s">
        <v>1899</v>
      </c>
      <c r="G2377" s="38" t="s">
        <v>1900</v>
      </c>
      <c r="H2377" s="37"/>
      <c r="I2377" s="37"/>
      <c r="J2377" s="37" t="s">
        <v>2008</v>
      </c>
      <c r="K2377" s="40"/>
      <c r="L2377" s="38"/>
      <c r="M2377" s="38"/>
      <c r="N2377" s="37"/>
      <c r="O2377" s="37"/>
      <c r="P2377" s="37"/>
      <c r="Q2377" s="37"/>
      <c r="R2377" s="39"/>
      <c r="S2377" s="37"/>
      <c r="T2377" s="38" t="s">
        <v>293</v>
      </c>
    </row>
    <row r="2378" ht="34.5">
      <c r="A2378" s="38" t="s">
        <v>1797</v>
      </c>
      <c r="B2378" s="38" t="s">
        <v>1798</v>
      </c>
      <c r="C2378" s="38" t="s">
        <v>438</v>
      </c>
      <c r="D2378" s="38" t="s">
        <v>288</v>
      </c>
      <c r="E2378" s="38" t="s">
        <v>365</v>
      </c>
      <c r="F2378" s="37" t="s">
        <v>1899</v>
      </c>
      <c r="G2378" s="38" t="s">
        <v>1900</v>
      </c>
      <c r="H2378" s="37"/>
      <c r="I2378" s="37"/>
      <c r="J2378" s="37" t="s">
        <v>2009</v>
      </c>
      <c r="K2378" s="40"/>
      <c r="L2378" s="38"/>
      <c r="M2378" s="38"/>
      <c r="N2378" s="37"/>
      <c r="O2378" s="37"/>
      <c r="P2378" s="37"/>
      <c r="Q2378" s="37"/>
      <c r="R2378" s="39"/>
      <c r="S2378" s="37"/>
      <c r="T2378" s="38" t="s">
        <v>293</v>
      </c>
    </row>
    <row r="2379" ht="34.5">
      <c r="A2379" s="38" t="s">
        <v>1797</v>
      </c>
      <c r="B2379" s="38" t="s">
        <v>1798</v>
      </c>
      <c r="C2379" s="38" t="s">
        <v>448</v>
      </c>
      <c r="D2379" s="38" t="s">
        <v>288</v>
      </c>
      <c r="E2379" s="38" t="s">
        <v>365</v>
      </c>
      <c r="F2379" s="37" t="s">
        <v>1899</v>
      </c>
      <c r="G2379" s="38" t="s">
        <v>1900</v>
      </c>
      <c r="H2379" s="37"/>
      <c r="I2379" s="37"/>
      <c r="J2379" s="37" t="s">
        <v>2010</v>
      </c>
      <c r="K2379" s="40"/>
      <c r="L2379" s="38"/>
      <c r="M2379" s="38"/>
      <c r="N2379" s="37"/>
      <c r="O2379" s="37"/>
      <c r="P2379" s="37"/>
      <c r="Q2379" s="37"/>
      <c r="R2379" s="39"/>
      <c r="S2379" s="37"/>
      <c r="T2379" s="38" t="s">
        <v>293</v>
      </c>
    </row>
    <row r="2380" ht="34.5">
      <c r="A2380" s="38" t="s">
        <v>1797</v>
      </c>
      <c r="B2380" s="38" t="s">
        <v>1798</v>
      </c>
      <c r="C2380" s="38" t="s">
        <v>448</v>
      </c>
      <c r="D2380" s="38" t="s">
        <v>288</v>
      </c>
      <c r="E2380" s="38" t="s">
        <v>365</v>
      </c>
      <c r="F2380" s="37" t="s">
        <v>1899</v>
      </c>
      <c r="G2380" s="38" t="s">
        <v>1900</v>
      </c>
      <c r="H2380" s="37"/>
      <c r="I2380" s="37"/>
      <c r="J2380" s="37" t="s">
        <v>2011</v>
      </c>
      <c r="K2380" s="40"/>
      <c r="L2380" s="38"/>
      <c r="M2380" s="38"/>
      <c r="N2380" s="37"/>
      <c r="O2380" s="37"/>
      <c r="P2380" s="37"/>
      <c r="Q2380" s="37"/>
      <c r="R2380" s="39"/>
      <c r="S2380" s="37"/>
      <c r="T2380" s="38" t="s">
        <v>293</v>
      </c>
    </row>
    <row r="2381" ht="34.5">
      <c r="A2381" s="38" t="s">
        <v>1797</v>
      </c>
      <c r="B2381" s="38" t="s">
        <v>1798</v>
      </c>
      <c r="C2381" s="38" t="s">
        <v>448</v>
      </c>
      <c r="D2381" s="38" t="s">
        <v>288</v>
      </c>
      <c r="E2381" s="38" t="s">
        <v>365</v>
      </c>
      <c r="F2381" s="37" t="s">
        <v>1899</v>
      </c>
      <c r="G2381" s="38" t="s">
        <v>1900</v>
      </c>
      <c r="H2381" s="37"/>
      <c r="I2381" s="37"/>
      <c r="J2381" s="37" t="s">
        <v>2012</v>
      </c>
      <c r="K2381" s="40"/>
      <c r="L2381" s="38"/>
      <c r="M2381" s="38"/>
      <c r="N2381" s="37"/>
      <c r="O2381" s="37"/>
      <c r="P2381" s="37"/>
      <c r="Q2381" s="37"/>
      <c r="R2381" s="39"/>
      <c r="S2381" s="37"/>
      <c r="T2381" s="38" t="s">
        <v>293</v>
      </c>
    </row>
    <row r="2382" ht="34.5">
      <c r="A2382" s="38" t="s">
        <v>1797</v>
      </c>
      <c r="B2382" s="38" t="s">
        <v>1798</v>
      </c>
      <c r="C2382" s="38" t="s">
        <v>448</v>
      </c>
      <c r="D2382" s="38" t="s">
        <v>288</v>
      </c>
      <c r="E2382" s="38" t="s">
        <v>365</v>
      </c>
      <c r="F2382" s="37" t="s">
        <v>1899</v>
      </c>
      <c r="G2382" s="38" t="s">
        <v>1900</v>
      </c>
      <c r="H2382" s="37"/>
      <c r="I2382" s="37"/>
      <c r="J2382" s="37" t="s">
        <v>2013</v>
      </c>
      <c r="K2382" s="40"/>
      <c r="L2382" s="38"/>
      <c r="M2382" s="38"/>
      <c r="N2382" s="37"/>
      <c r="O2382" s="37"/>
      <c r="P2382" s="37"/>
      <c r="Q2382" s="37"/>
      <c r="R2382" s="39"/>
      <c r="S2382" s="37"/>
      <c r="T2382" s="38" t="s">
        <v>293</v>
      </c>
    </row>
    <row r="2383" ht="34.5">
      <c r="A2383" s="38" t="s">
        <v>1797</v>
      </c>
      <c r="B2383" s="38" t="s">
        <v>1798</v>
      </c>
      <c r="C2383" s="38" t="s">
        <v>448</v>
      </c>
      <c r="D2383" s="38" t="s">
        <v>288</v>
      </c>
      <c r="E2383" s="38" t="s">
        <v>365</v>
      </c>
      <c r="F2383" s="37" t="s">
        <v>1899</v>
      </c>
      <c r="G2383" s="38" t="s">
        <v>1900</v>
      </c>
      <c r="H2383" s="37"/>
      <c r="I2383" s="37"/>
      <c r="J2383" s="37" t="s">
        <v>2014</v>
      </c>
      <c r="K2383" s="40"/>
      <c r="L2383" s="38"/>
      <c r="M2383" s="38"/>
      <c r="N2383" s="37"/>
      <c r="O2383" s="37"/>
      <c r="P2383" s="37"/>
      <c r="Q2383" s="37"/>
      <c r="R2383" s="39"/>
      <c r="S2383" s="37"/>
      <c r="T2383" s="38" t="s">
        <v>293</v>
      </c>
    </row>
    <row r="2384" ht="34.5">
      <c r="A2384" s="38" t="s">
        <v>1797</v>
      </c>
      <c r="B2384" s="38" t="s">
        <v>1798</v>
      </c>
      <c r="C2384" s="38" t="s">
        <v>448</v>
      </c>
      <c r="D2384" s="38" t="s">
        <v>288</v>
      </c>
      <c r="E2384" s="38" t="s">
        <v>365</v>
      </c>
      <c r="F2384" s="37" t="s">
        <v>1899</v>
      </c>
      <c r="G2384" s="38" t="s">
        <v>1900</v>
      </c>
      <c r="H2384" s="37"/>
      <c r="I2384" s="37"/>
      <c r="J2384" s="37" t="s">
        <v>2015</v>
      </c>
      <c r="K2384" s="40"/>
      <c r="L2384" s="38"/>
      <c r="M2384" s="38"/>
      <c r="N2384" s="37"/>
      <c r="O2384" s="37"/>
      <c r="P2384" s="37"/>
      <c r="Q2384" s="37"/>
      <c r="R2384" s="39"/>
      <c r="S2384" s="37"/>
      <c r="T2384" s="38" t="s">
        <v>293</v>
      </c>
    </row>
    <row r="2385" ht="34.5">
      <c r="A2385" s="38" t="s">
        <v>1797</v>
      </c>
      <c r="B2385" s="38" t="s">
        <v>1798</v>
      </c>
      <c r="C2385" s="38" t="s">
        <v>448</v>
      </c>
      <c r="D2385" s="38" t="s">
        <v>288</v>
      </c>
      <c r="E2385" s="38" t="s">
        <v>365</v>
      </c>
      <c r="F2385" s="37" t="s">
        <v>1899</v>
      </c>
      <c r="G2385" s="38" t="s">
        <v>1900</v>
      </c>
      <c r="H2385" s="37"/>
      <c r="I2385" s="37"/>
      <c r="J2385" s="37" t="s">
        <v>2016</v>
      </c>
      <c r="K2385" s="40"/>
      <c r="L2385" s="38"/>
      <c r="M2385" s="38"/>
      <c r="N2385" s="37"/>
      <c r="O2385" s="37"/>
      <c r="P2385" s="37"/>
      <c r="Q2385" s="37"/>
      <c r="R2385" s="39"/>
      <c r="S2385" s="37"/>
      <c r="T2385" s="38" t="s">
        <v>293</v>
      </c>
    </row>
    <row r="2386" ht="34.5">
      <c r="A2386" s="38" t="s">
        <v>1797</v>
      </c>
      <c r="B2386" s="38" t="s">
        <v>1798</v>
      </c>
      <c r="C2386" s="38" t="s">
        <v>448</v>
      </c>
      <c r="D2386" s="38" t="s">
        <v>288</v>
      </c>
      <c r="E2386" s="38" t="s">
        <v>365</v>
      </c>
      <c r="F2386" s="37" t="s">
        <v>1899</v>
      </c>
      <c r="G2386" s="38" t="s">
        <v>1900</v>
      </c>
      <c r="H2386" s="37"/>
      <c r="I2386" s="37"/>
      <c r="J2386" s="37" t="s">
        <v>2017</v>
      </c>
      <c r="K2386" s="40"/>
      <c r="L2386" s="38"/>
      <c r="M2386" s="38"/>
      <c r="N2386" s="37"/>
      <c r="O2386" s="37"/>
      <c r="P2386" s="37"/>
      <c r="Q2386" s="37"/>
      <c r="R2386" s="39"/>
      <c r="S2386" s="37"/>
      <c r="T2386" s="38" t="s">
        <v>293</v>
      </c>
    </row>
    <row r="2387" ht="34.5">
      <c r="A2387" s="38" t="s">
        <v>1797</v>
      </c>
      <c r="B2387" s="38" t="s">
        <v>1798</v>
      </c>
      <c r="C2387" s="38" t="s">
        <v>455</v>
      </c>
      <c r="D2387" s="38" t="s">
        <v>288</v>
      </c>
      <c r="E2387" s="38" t="s">
        <v>365</v>
      </c>
      <c r="F2387" s="37" t="s">
        <v>1899</v>
      </c>
      <c r="G2387" s="38" t="s">
        <v>1900</v>
      </c>
      <c r="H2387" s="37"/>
      <c r="I2387" s="37"/>
      <c r="J2387" s="37" t="s">
        <v>2018</v>
      </c>
      <c r="K2387" s="40"/>
      <c r="L2387" s="38"/>
      <c r="M2387" s="38"/>
      <c r="N2387" s="37"/>
      <c r="O2387" s="37"/>
      <c r="P2387" s="37"/>
      <c r="Q2387" s="37"/>
      <c r="R2387" s="39"/>
      <c r="S2387" s="37"/>
      <c r="T2387" s="38" t="s">
        <v>293</v>
      </c>
    </row>
    <row r="2388" ht="34.5">
      <c r="A2388" s="38" t="s">
        <v>1797</v>
      </c>
      <c r="B2388" s="38" t="s">
        <v>1798</v>
      </c>
      <c r="C2388" s="38" t="s">
        <v>455</v>
      </c>
      <c r="D2388" s="38" t="s">
        <v>288</v>
      </c>
      <c r="E2388" s="38" t="s">
        <v>365</v>
      </c>
      <c r="F2388" s="37" t="s">
        <v>1899</v>
      </c>
      <c r="G2388" s="38" t="s">
        <v>1900</v>
      </c>
      <c r="H2388" s="37"/>
      <c r="I2388" s="37"/>
      <c r="J2388" s="37" t="s">
        <v>2019</v>
      </c>
      <c r="K2388" s="40"/>
      <c r="L2388" s="38"/>
      <c r="M2388" s="38"/>
      <c r="N2388" s="37"/>
      <c r="O2388" s="37"/>
      <c r="P2388" s="37"/>
      <c r="Q2388" s="37"/>
      <c r="R2388" s="39"/>
      <c r="S2388" s="37"/>
      <c r="T2388" s="38" t="s">
        <v>293</v>
      </c>
    </row>
    <row r="2389" ht="34.5">
      <c r="A2389" s="38" t="s">
        <v>1797</v>
      </c>
      <c r="B2389" s="38" t="s">
        <v>1798</v>
      </c>
      <c r="C2389" s="38" t="s">
        <v>455</v>
      </c>
      <c r="D2389" s="38" t="s">
        <v>288</v>
      </c>
      <c r="E2389" s="38" t="s">
        <v>365</v>
      </c>
      <c r="F2389" s="37" t="s">
        <v>1899</v>
      </c>
      <c r="G2389" s="38" t="s">
        <v>1900</v>
      </c>
      <c r="H2389" s="37"/>
      <c r="I2389" s="37"/>
      <c r="J2389" s="37" t="s">
        <v>2020</v>
      </c>
      <c r="K2389" s="40"/>
      <c r="L2389" s="38"/>
      <c r="M2389" s="38"/>
      <c r="N2389" s="37"/>
      <c r="O2389" s="37"/>
      <c r="P2389" s="37"/>
      <c r="Q2389" s="37"/>
      <c r="R2389" s="39"/>
      <c r="S2389" s="37"/>
      <c r="T2389" s="38" t="s">
        <v>293</v>
      </c>
    </row>
    <row r="2390" ht="34.5">
      <c r="A2390" s="38" t="s">
        <v>1797</v>
      </c>
      <c r="B2390" s="38" t="s">
        <v>1798</v>
      </c>
      <c r="C2390" s="38" t="s">
        <v>455</v>
      </c>
      <c r="D2390" s="38" t="s">
        <v>288</v>
      </c>
      <c r="E2390" s="38" t="s">
        <v>365</v>
      </c>
      <c r="F2390" s="37" t="s">
        <v>1899</v>
      </c>
      <c r="G2390" s="38" t="s">
        <v>1900</v>
      </c>
      <c r="H2390" s="37"/>
      <c r="I2390" s="37"/>
      <c r="J2390" s="37" t="s">
        <v>2021</v>
      </c>
      <c r="K2390" s="40"/>
      <c r="L2390" s="38"/>
      <c r="M2390" s="38"/>
      <c r="N2390" s="37"/>
      <c r="O2390" s="37"/>
      <c r="P2390" s="37"/>
      <c r="Q2390" s="37"/>
      <c r="R2390" s="39"/>
      <c r="S2390" s="37"/>
      <c r="T2390" s="38" t="s">
        <v>293</v>
      </c>
    </row>
    <row r="2391" ht="34.5">
      <c r="A2391" s="38" t="s">
        <v>1797</v>
      </c>
      <c r="B2391" s="38" t="s">
        <v>1798</v>
      </c>
      <c r="C2391" s="38" t="s">
        <v>455</v>
      </c>
      <c r="D2391" s="38" t="s">
        <v>288</v>
      </c>
      <c r="E2391" s="38" t="s">
        <v>365</v>
      </c>
      <c r="F2391" s="37" t="s">
        <v>1899</v>
      </c>
      <c r="G2391" s="38" t="s">
        <v>1900</v>
      </c>
      <c r="H2391" s="37"/>
      <c r="I2391" s="37"/>
      <c r="J2391" s="37" t="s">
        <v>2022</v>
      </c>
      <c r="K2391" s="40"/>
      <c r="L2391" s="38"/>
      <c r="M2391" s="38"/>
      <c r="N2391" s="37"/>
      <c r="O2391" s="37"/>
      <c r="P2391" s="37"/>
      <c r="Q2391" s="37"/>
      <c r="R2391" s="39"/>
      <c r="S2391" s="37"/>
      <c r="T2391" s="38" t="s">
        <v>293</v>
      </c>
    </row>
    <row r="2392" ht="34.5">
      <c r="A2392" s="38" t="s">
        <v>1797</v>
      </c>
      <c r="B2392" s="38" t="s">
        <v>1798</v>
      </c>
      <c r="C2392" s="38" t="s">
        <v>455</v>
      </c>
      <c r="D2392" s="38" t="s">
        <v>288</v>
      </c>
      <c r="E2392" s="38" t="s">
        <v>365</v>
      </c>
      <c r="F2392" s="37" t="s">
        <v>1899</v>
      </c>
      <c r="G2392" s="38" t="s">
        <v>1900</v>
      </c>
      <c r="H2392" s="37"/>
      <c r="I2392" s="37"/>
      <c r="J2392" s="37" t="s">
        <v>2023</v>
      </c>
      <c r="K2392" s="40"/>
      <c r="L2392" s="38"/>
      <c r="M2392" s="38"/>
      <c r="N2392" s="37"/>
      <c r="O2392" s="37"/>
      <c r="P2392" s="37"/>
      <c r="Q2392" s="37"/>
      <c r="R2392" s="39"/>
      <c r="S2392" s="37"/>
      <c r="T2392" s="38" t="s">
        <v>293</v>
      </c>
    </row>
    <row r="2393" ht="34.5">
      <c r="A2393" s="38" t="s">
        <v>1797</v>
      </c>
      <c r="B2393" s="38" t="s">
        <v>1798</v>
      </c>
      <c r="C2393" s="38" t="s">
        <v>455</v>
      </c>
      <c r="D2393" s="38" t="s">
        <v>288</v>
      </c>
      <c r="E2393" s="38" t="s">
        <v>365</v>
      </c>
      <c r="F2393" s="37" t="s">
        <v>1899</v>
      </c>
      <c r="G2393" s="38" t="s">
        <v>1900</v>
      </c>
      <c r="H2393" s="37"/>
      <c r="I2393" s="37"/>
      <c r="J2393" s="37" t="s">
        <v>1814</v>
      </c>
      <c r="K2393" s="40"/>
      <c r="L2393" s="38"/>
      <c r="M2393" s="38"/>
      <c r="N2393" s="37"/>
      <c r="O2393" s="37"/>
      <c r="P2393" s="37"/>
      <c r="Q2393" s="37"/>
      <c r="R2393" s="39"/>
      <c r="S2393" s="37"/>
      <c r="T2393" s="38" t="s">
        <v>293</v>
      </c>
    </row>
    <row r="2394" ht="34.5">
      <c r="A2394" s="38" t="s">
        <v>1797</v>
      </c>
      <c r="B2394" s="38" t="s">
        <v>1798</v>
      </c>
      <c r="C2394" s="38" t="s">
        <v>455</v>
      </c>
      <c r="D2394" s="38" t="s">
        <v>288</v>
      </c>
      <c r="E2394" s="38" t="s">
        <v>365</v>
      </c>
      <c r="F2394" s="37" t="s">
        <v>1899</v>
      </c>
      <c r="G2394" s="38" t="s">
        <v>1900</v>
      </c>
      <c r="H2394" s="37"/>
      <c r="I2394" s="37"/>
      <c r="J2394" s="37" t="s">
        <v>2024</v>
      </c>
      <c r="K2394" s="40"/>
      <c r="L2394" s="38"/>
      <c r="M2394" s="38"/>
      <c r="N2394" s="37"/>
      <c r="O2394" s="37"/>
      <c r="P2394" s="37"/>
      <c r="Q2394" s="37"/>
      <c r="R2394" s="39"/>
      <c r="S2394" s="37"/>
      <c r="T2394" s="38" t="s">
        <v>293</v>
      </c>
    </row>
    <row r="2395" ht="34.5">
      <c r="A2395" s="38" t="s">
        <v>1797</v>
      </c>
      <c r="B2395" s="38" t="s">
        <v>1798</v>
      </c>
      <c r="C2395" s="38" t="s">
        <v>455</v>
      </c>
      <c r="D2395" s="38" t="s">
        <v>288</v>
      </c>
      <c r="E2395" s="38" t="s">
        <v>365</v>
      </c>
      <c r="F2395" s="37" t="s">
        <v>1899</v>
      </c>
      <c r="G2395" s="38" t="s">
        <v>1900</v>
      </c>
      <c r="H2395" s="37"/>
      <c r="I2395" s="37"/>
      <c r="J2395" s="37" t="s">
        <v>2025</v>
      </c>
      <c r="K2395" s="40"/>
      <c r="L2395" s="38"/>
      <c r="M2395" s="38"/>
      <c r="N2395" s="37"/>
      <c r="O2395" s="37"/>
      <c r="P2395" s="37"/>
      <c r="Q2395" s="37"/>
      <c r="R2395" s="39"/>
      <c r="S2395" s="37"/>
      <c r="T2395" s="38" t="s">
        <v>293</v>
      </c>
    </row>
    <row r="2396" ht="34.5">
      <c r="A2396" s="38" t="s">
        <v>1797</v>
      </c>
      <c r="B2396" s="38" t="s">
        <v>1798</v>
      </c>
      <c r="C2396" s="38" t="s">
        <v>455</v>
      </c>
      <c r="D2396" s="38" t="s">
        <v>288</v>
      </c>
      <c r="E2396" s="38" t="s">
        <v>365</v>
      </c>
      <c r="F2396" s="37" t="s">
        <v>1899</v>
      </c>
      <c r="G2396" s="38" t="s">
        <v>1900</v>
      </c>
      <c r="H2396" s="37"/>
      <c r="I2396" s="37"/>
      <c r="J2396" s="37" t="s">
        <v>2026</v>
      </c>
      <c r="K2396" s="40"/>
      <c r="L2396" s="38"/>
      <c r="M2396" s="38"/>
      <c r="N2396" s="37"/>
      <c r="O2396" s="37"/>
      <c r="P2396" s="37"/>
      <c r="Q2396" s="37"/>
      <c r="R2396" s="39"/>
      <c r="S2396" s="37"/>
      <c r="T2396" s="38" t="s">
        <v>293</v>
      </c>
    </row>
    <row r="2397" ht="34.5">
      <c r="A2397" s="38" t="s">
        <v>1797</v>
      </c>
      <c r="B2397" s="38" t="s">
        <v>1798</v>
      </c>
      <c r="C2397" s="38" t="s">
        <v>455</v>
      </c>
      <c r="D2397" s="38" t="s">
        <v>288</v>
      </c>
      <c r="E2397" s="38" t="s">
        <v>365</v>
      </c>
      <c r="F2397" s="37" t="s">
        <v>1899</v>
      </c>
      <c r="G2397" s="38" t="s">
        <v>1900</v>
      </c>
      <c r="H2397" s="37"/>
      <c r="I2397" s="37"/>
      <c r="J2397" s="37" t="s">
        <v>2027</v>
      </c>
      <c r="K2397" s="40"/>
      <c r="L2397" s="38"/>
      <c r="M2397" s="38"/>
      <c r="N2397" s="37"/>
      <c r="O2397" s="37"/>
      <c r="P2397" s="37"/>
      <c r="Q2397" s="37"/>
      <c r="R2397" s="39"/>
      <c r="S2397" s="37"/>
      <c r="T2397" s="38" t="s">
        <v>293</v>
      </c>
    </row>
    <row r="2398" ht="34.5">
      <c r="A2398" s="38" t="s">
        <v>1797</v>
      </c>
      <c r="B2398" s="38" t="s">
        <v>1798</v>
      </c>
      <c r="C2398" s="38" t="s">
        <v>455</v>
      </c>
      <c r="D2398" s="38" t="s">
        <v>288</v>
      </c>
      <c r="E2398" s="38" t="s">
        <v>365</v>
      </c>
      <c r="F2398" s="37" t="s">
        <v>1899</v>
      </c>
      <c r="G2398" s="38" t="s">
        <v>1900</v>
      </c>
      <c r="H2398" s="37"/>
      <c r="I2398" s="37"/>
      <c r="J2398" s="37" t="s">
        <v>2028</v>
      </c>
      <c r="K2398" s="40"/>
      <c r="L2398" s="38"/>
      <c r="M2398" s="38"/>
      <c r="N2398" s="37"/>
      <c r="O2398" s="37"/>
      <c r="P2398" s="37"/>
      <c r="Q2398" s="37"/>
      <c r="R2398" s="39"/>
      <c r="S2398" s="37"/>
      <c r="T2398" s="38" t="s">
        <v>293</v>
      </c>
    </row>
    <row r="2399" ht="34.5">
      <c r="A2399" s="38" t="s">
        <v>1797</v>
      </c>
      <c r="B2399" s="38" t="s">
        <v>1798</v>
      </c>
      <c r="C2399" s="38" t="s">
        <v>461</v>
      </c>
      <c r="D2399" s="38" t="s">
        <v>288</v>
      </c>
      <c r="E2399" s="38" t="s">
        <v>365</v>
      </c>
      <c r="F2399" s="37" t="s">
        <v>1899</v>
      </c>
      <c r="G2399" s="38" t="s">
        <v>1900</v>
      </c>
      <c r="H2399" s="37"/>
      <c r="I2399" s="37"/>
      <c r="J2399" s="37" t="s">
        <v>2029</v>
      </c>
      <c r="K2399" s="40"/>
      <c r="L2399" s="38"/>
      <c r="M2399" s="38"/>
      <c r="N2399" s="37"/>
      <c r="O2399" s="37"/>
      <c r="P2399" s="37"/>
      <c r="Q2399" s="37"/>
      <c r="R2399" s="39"/>
      <c r="S2399" s="37"/>
      <c r="T2399" s="38" t="s">
        <v>293</v>
      </c>
    </row>
    <row r="2400" ht="34.5">
      <c r="A2400" s="38" t="s">
        <v>1797</v>
      </c>
      <c r="B2400" s="38" t="s">
        <v>1798</v>
      </c>
      <c r="C2400" s="38" t="s">
        <v>461</v>
      </c>
      <c r="D2400" s="38" t="s">
        <v>288</v>
      </c>
      <c r="E2400" s="38" t="s">
        <v>365</v>
      </c>
      <c r="F2400" s="37" t="s">
        <v>1899</v>
      </c>
      <c r="G2400" s="38" t="s">
        <v>1900</v>
      </c>
      <c r="H2400" s="37"/>
      <c r="I2400" s="37"/>
      <c r="J2400" s="37" t="s">
        <v>2030</v>
      </c>
      <c r="K2400" s="40"/>
      <c r="L2400" s="38"/>
      <c r="M2400" s="38"/>
      <c r="N2400" s="37"/>
      <c r="O2400" s="37"/>
      <c r="P2400" s="37"/>
      <c r="Q2400" s="37"/>
      <c r="R2400" s="39"/>
      <c r="S2400" s="37"/>
      <c r="T2400" s="38" t="s">
        <v>293</v>
      </c>
    </row>
    <row r="2401" ht="34.5">
      <c r="A2401" s="38" t="s">
        <v>1797</v>
      </c>
      <c r="B2401" s="38" t="s">
        <v>1798</v>
      </c>
      <c r="C2401" s="38" t="s">
        <v>461</v>
      </c>
      <c r="D2401" s="38" t="s">
        <v>288</v>
      </c>
      <c r="E2401" s="38" t="s">
        <v>365</v>
      </c>
      <c r="F2401" s="37" t="s">
        <v>1899</v>
      </c>
      <c r="G2401" s="38" t="s">
        <v>1900</v>
      </c>
      <c r="H2401" s="37"/>
      <c r="I2401" s="37"/>
      <c r="J2401" s="37" t="s">
        <v>2031</v>
      </c>
      <c r="K2401" s="40"/>
      <c r="L2401" s="38"/>
      <c r="M2401" s="38"/>
      <c r="N2401" s="37"/>
      <c r="O2401" s="37"/>
      <c r="P2401" s="37"/>
      <c r="Q2401" s="37"/>
      <c r="R2401" s="39"/>
      <c r="S2401" s="37"/>
      <c r="T2401" s="38" t="s">
        <v>293</v>
      </c>
    </row>
    <row r="2402" ht="34.5">
      <c r="A2402" s="38" t="s">
        <v>1797</v>
      </c>
      <c r="B2402" s="38" t="s">
        <v>1798</v>
      </c>
      <c r="C2402" s="38" t="s">
        <v>461</v>
      </c>
      <c r="D2402" s="38" t="s">
        <v>288</v>
      </c>
      <c r="E2402" s="38" t="s">
        <v>365</v>
      </c>
      <c r="F2402" s="37" t="s">
        <v>1899</v>
      </c>
      <c r="G2402" s="38" t="s">
        <v>1900</v>
      </c>
      <c r="H2402" s="37"/>
      <c r="I2402" s="37"/>
      <c r="J2402" s="37" t="s">
        <v>2032</v>
      </c>
      <c r="K2402" s="40"/>
      <c r="L2402" s="38"/>
      <c r="M2402" s="38"/>
      <c r="N2402" s="37"/>
      <c r="O2402" s="37"/>
      <c r="P2402" s="37"/>
      <c r="Q2402" s="37"/>
      <c r="R2402" s="39"/>
      <c r="S2402" s="37"/>
      <c r="T2402" s="38" t="s">
        <v>293</v>
      </c>
    </row>
    <row r="2403" ht="34.5">
      <c r="A2403" s="38" t="s">
        <v>1797</v>
      </c>
      <c r="B2403" s="38" t="s">
        <v>1798</v>
      </c>
      <c r="C2403" s="38" t="s">
        <v>461</v>
      </c>
      <c r="D2403" s="38" t="s">
        <v>288</v>
      </c>
      <c r="E2403" s="38" t="s">
        <v>365</v>
      </c>
      <c r="F2403" s="37" t="s">
        <v>1899</v>
      </c>
      <c r="G2403" s="38" t="s">
        <v>1900</v>
      </c>
      <c r="H2403" s="37"/>
      <c r="I2403" s="37"/>
      <c r="J2403" s="37" t="s">
        <v>2033</v>
      </c>
      <c r="K2403" s="40"/>
      <c r="L2403" s="38"/>
      <c r="M2403" s="38"/>
      <c r="N2403" s="37"/>
      <c r="O2403" s="37"/>
      <c r="P2403" s="37"/>
      <c r="Q2403" s="37"/>
      <c r="R2403" s="39"/>
      <c r="S2403" s="37"/>
      <c r="T2403" s="38" t="s">
        <v>293</v>
      </c>
    </row>
    <row r="2404" ht="34.5">
      <c r="A2404" s="38" t="s">
        <v>1797</v>
      </c>
      <c r="B2404" s="38" t="s">
        <v>1798</v>
      </c>
      <c r="C2404" s="38" t="s">
        <v>461</v>
      </c>
      <c r="D2404" s="38" t="s">
        <v>288</v>
      </c>
      <c r="E2404" s="38" t="s">
        <v>365</v>
      </c>
      <c r="F2404" s="37" t="s">
        <v>1899</v>
      </c>
      <c r="G2404" s="38" t="s">
        <v>1900</v>
      </c>
      <c r="H2404" s="37"/>
      <c r="I2404" s="37"/>
      <c r="J2404" s="37" t="s">
        <v>2034</v>
      </c>
      <c r="K2404" s="40"/>
      <c r="L2404" s="38"/>
      <c r="M2404" s="38"/>
      <c r="N2404" s="37"/>
      <c r="O2404" s="37"/>
      <c r="P2404" s="37"/>
      <c r="Q2404" s="37"/>
      <c r="R2404" s="39"/>
      <c r="S2404" s="37"/>
      <c r="T2404" s="38" t="s">
        <v>293</v>
      </c>
    </row>
    <row r="2405" ht="34.5">
      <c r="A2405" s="38" t="s">
        <v>1797</v>
      </c>
      <c r="B2405" s="38" t="s">
        <v>1798</v>
      </c>
      <c r="C2405" s="38" t="s">
        <v>461</v>
      </c>
      <c r="D2405" s="38" t="s">
        <v>288</v>
      </c>
      <c r="E2405" s="38" t="s">
        <v>365</v>
      </c>
      <c r="F2405" s="37" t="s">
        <v>1899</v>
      </c>
      <c r="G2405" s="38" t="s">
        <v>1900</v>
      </c>
      <c r="H2405" s="37"/>
      <c r="I2405" s="37"/>
      <c r="J2405" s="37" t="s">
        <v>2035</v>
      </c>
      <c r="K2405" s="40"/>
      <c r="L2405" s="38"/>
      <c r="M2405" s="38"/>
      <c r="N2405" s="37"/>
      <c r="O2405" s="37"/>
      <c r="P2405" s="37"/>
      <c r="Q2405" s="37"/>
      <c r="R2405" s="39"/>
      <c r="S2405" s="37"/>
      <c r="T2405" s="38" t="s">
        <v>293</v>
      </c>
    </row>
    <row r="2406" ht="34.5">
      <c r="A2406" s="38" t="s">
        <v>1797</v>
      </c>
      <c r="B2406" s="38" t="s">
        <v>1798</v>
      </c>
      <c r="C2406" s="38" t="s">
        <v>461</v>
      </c>
      <c r="D2406" s="38" t="s">
        <v>405</v>
      </c>
      <c r="E2406" s="38" t="s">
        <v>365</v>
      </c>
      <c r="F2406" s="37" t="s">
        <v>1899</v>
      </c>
      <c r="G2406" s="38" t="s">
        <v>1900</v>
      </c>
      <c r="H2406" s="37"/>
      <c r="I2406" s="37"/>
      <c r="J2406" s="37" t="s">
        <v>406</v>
      </c>
      <c r="K2406" s="40"/>
      <c r="L2406" s="38"/>
      <c r="M2406" s="38"/>
      <c r="N2406" s="37"/>
      <c r="O2406" s="37"/>
      <c r="P2406" s="37"/>
      <c r="Q2406" s="37"/>
      <c r="R2406" s="39"/>
      <c r="S2406" s="37"/>
      <c r="T2406" s="38" t="s">
        <v>293</v>
      </c>
    </row>
    <row r="2407" ht="34.5">
      <c r="A2407" s="38" t="s">
        <v>1797</v>
      </c>
      <c r="B2407" s="38" t="s">
        <v>1798</v>
      </c>
      <c r="C2407" s="38" t="s">
        <v>471</v>
      </c>
      <c r="D2407" s="38" t="s">
        <v>288</v>
      </c>
      <c r="E2407" s="38" t="s">
        <v>365</v>
      </c>
      <c r="F2407" s="37" t="s">
        <v>1899</v>
      </c>
      <c r="G2407" s="38" t="s">
        <v>1900</v>
      </c>
      <c r="H2407" s="37"/>
      <c r="I2407" s="37"/>
      <c r="J2407" s="37" t="s">
        <v>2036</v>
      </c>
      <c r="K2407" s="40">
        <v>810037</v>
      </c>
      <c r="L2407" s="38" t="s">
        <v>297</v>
      </c>
      <c r="M2407" s="38"/>
      <c r="N2407" s="37"/>
      <c r="O2407" s="37"/>
      <c r="P2407" s="37"/>
      <c r="Q2407" s="37"/>
      <c r="R2407" s="39"/>
      <c r="S2407" s="37"/>
      <c r="T2407" s="38" t="s">
        <v>293</v>
      </c>
    </row>
    <row r="2408" ht="34.5">
      <c r="A2408" s="38" t="s">
        <v>1797</v>
      </c>
      <c r="B2408" s="38" t="s">
        <v>1798</v>
      </c>
      <c r="C2408" s="38" t="s">
        <v>471</v>
      </c>
      <c r="D2408" s="38" t="s">
        <v>288</v>
      </c>
      <c r="E2408" s="38" t="s">
        <v>365</v>
      </c>
      <c r="F2408" s="37" t="s">
        <v>1899</v>
      </c>
      <c r="G2408" s="38" t="s">
        <v>1900</v>
      </c>
      <c r="H2408" s="37"/>
      <c r="I2408" s="37"/>
      <c r="J2408" s="37" t="s">
        <v>2037</v>
      </c>
      <c r="K2408" s="40"/>
      <c r="L2408" s="38"/>
      <c r="M2408" s="38"/>
      <c r="N2408" s="37"/>
      <c r="O2408" s="37"/>
      <c r="P2408" s="37"/>
      <c r="Q2408" s="37"/>
      <c r="R2408" s="39"/>
      <c r="S2408" s="37"/>
      <c r="T2408" s="38" t="s">
        <v>293</v>
      </c>
    </row>
    <row r="2409" ht="34.5">
      <c r="A2409" s="38" t="s">
        <v>1797</v>
      </c>
      <c r="B2409" s="38" t="s">
        <v>1798</v>
      </c>
      <c r="C2409" s="38" t="s">
        <v>471</v>
      </c>
      <c r="D2409" s="38" t="s">
        <v>288</v>
      </c>
      <c r="E2409" s="38" t="s">
        <v>365</v>
      </c>
      <c r="F2409" s="37" t="s">
        <v>1899</v>
      </c>
      <c r="G2409" s="38" t="s">
        <v>1900</v>
      </c>
      <c r="H2409" s="37"/>
      <c r="I2409" s="37"/>
      <c r="J2409" s="37" t="s">
        <v>2038</v>
      </c>
      <c r="K2409" s="40"/>
      <c r="L2409" s="38"/>
      <c r="M2409" s="38"/>
      <c r="N2409" s="37"/>
      <c r="O2409" s="37"/>
      <c r="P2409" s="37"/>
      <c r="Q2409" s="37"/>
      <c r="R2409" s="39"/>
      <c r="S2409" s="37"/>
      <c r="T2409" s="38" t="s">
        <v>293</v>
      </c>
    </row>
    <row r="2410" ht="34.5">
      <c r="A2410" s="38" t="s">
        <v>1797</v>
      </c>
      <c r="B2410" s="38" t="s">
        <v>1798</v>
      </c>
      <c r="C2410" s="38" t="s">
        <v>471</v>
      </c>
      <c r="D2410" s="38" t="s">
        <v>288</v>
      </c>
      <c r="E2410" s="38" t="s">
        <v>365</v>
      </c>
      <c r="F2410" s="37" t="s">
        <v>1899</v>
      </c>
      <c r="G2410" s="38" t="s">
        <v>1900</v>
      </c>
      <c r="H2410" s="37"/>
      <c r="I2410" s="37"/>
      <c r="J2410" s="37" t="s">
        <v>2039</v>
      </c>
      <c r="K2410" s="40"/>
      <c r="L2410" s="38"/>
      <c r="M2410" s="38"/>
      <c r="N2410" s="37"/>
      <c r="O2410" s="37"/>
      <c r="P2410" s="37"/>
      <c r="Q2410" s="37"/>
      <c r="R2410" s="39"/>
      <c r="S2410" s="37"/>
      <c r="T2410" s="38" t="s">
        <v>293</v>
      </c>
    </row>
    <row r="2411" ht="34.5">
      <c r="A2411" s="38" t="s">
        <v>1797</v>
      </c>
      <c r="B2411" s="38" t="s">
        <v>1798</v>
      </c>
      <c r="C2411" s="38" t="s">
        <v>471</v>
      </c>
      <c r="D2411" s="38" t="s">
        <v>408</v>
      </c>
      <c r="E2411" s="38" t="s">
        <v>365</v>
      </c>
      <c r="F2411" s="37" t="s">
        <v>1899</v>
      </c>
      <c r="G2411" s="38" t="s">
        <v>1900</v>
      </c>
      <c r="H2411" s="37"/>
      <c r="I2411" s="37"/>
      <c r="J2411" s="37" t="s">
        <v>409</v>
      </c>
      <c r="K2411" s="40"/>
      <c r="L2411" s="38"/>
      <c r="M2411" s="38"/>
      <c r="N2411" s="37"/>
      <c r="O2411" s="37"/>
      <c r="P2411" s="37"/>
      <c r="Q2411" s="37"/>
      <c r="R2411" s="39"/>
      <c r="S2411" s="37"/>
      <c r="T2411" s="38" t="s">
        <v>293</v>
      </c>
    </row>
    <row r="2412" ht="34.5">
      <c r="A2412" s="38" t="s">
        <v>1797</v>
      </c>
      <c r="B2412" s="38" t="s">
        <v>1798</v>
      </c>
      <c r="C2412" s="38" t="s">
        <v>471</v>
      </c>
      <c r="D2412" s="38" t="s">
        <v>288</v>
      </c>
      <c r="E2412" s="38" t="s">
        <v>365</v>
      </c>
      <c r="F2412" s="37" t="s">
        <v>1899</v>
      </c>
      <c r="G2412" s="38" t="s">
        <v>1900</v>
      </c>
      <c r="H2412" s="37"/>
      <c r="I2412" s="37"/>
      <c r="J2412" s="37" t="s">
        <v>2040</v>
      </c>
      <c r="K2412" s="40"/>
      <c r="L2412" s="38"/>
      <c r="M2412" s="38"/>
      <c r="N2412" s="37"/>
      <c r="O2412" s="37"/>
      <c r="P2412" s="37"/>
      <c r="Q2412" s="37"/>
      <c r="R2412" s="39"/>
      <c r="S2412" s="37"/>
      <c r="T2412" s="38" t="s">
        <v>293</v>
      </c>
    </row>
    <row r="2413" ht="34.5">
      <c r="A2413" s="38" t="s">
        <v>1797</v>
      </c>
      <c r="B2413" s="38" t="s">
        <v>1798</v>
      </c>
      <c r="C2413" s="38" t="s">
        <v>471</v>
      </c>
      <c r="D2413" s="38" t="s">
        <v>288</v>
      </c>
      <c r="E2413" s="38" t="s">
        <v>365</v>
      </c>
      <c r="F2413" s="37" t="s">
        <v>1899</v>
      </c>
      <c r="G2413" s="38" t="s">
        <v>1900</v>
      </c>
      <c r="H2413" s="37"/>
      <c r="I2413" s="37"/>
      <c r="J2413" s="37" t="s">
        <v>2041</v>
      </c>
      <c r="K2413" s="40"/>
      <c r="L2413" s="38"/>
      <c r="M2413" s="38"/>
      <c r="N2413" s="37"/>
      <c r="O2413" s="37"/>
      <c r="P2413" s="37"/>
      <c r="Q2413" s="37"/>
      <c r="R2413" s="39"/>
      <c r="S2413" s="37"/>
      <c r="T2413" s="38" t="s">
        <v>293</v>
      </c>
    </row>
    <row r="2414" ht="34.5">
      <c r="A2414" s="38" t="s">
        <v>1797</v>
      </c>
      <c r="B2414" s="38" t="s">
        <v>1798</v>
      </c>
      <c r="C2414" s="38" t="s">
        <v>471</v>
      </c>
      <c r="D2414" s="38" t="s">
        <v>288</v>
      </c>
      <c r="E2414" s="38" t="s">
        <v>365</v>
      </c>
      <c r="F2414" s="37" t="s">
        <v>1899</v>
      </c>
      <c r="G2414" s="38" t="s">
        <v>1900</v>
      </c>
      <c r="H2414" s="37"/>
      <c r="I2414" s="37"/>
      <c r="J2414" s="37" t="s">
        <v>2042</v>
      </c>
      <c r="K2414" s="40"/>
      <c r="L2414" s="38"/>
      <c r="M2414" s="38"/>
      <c r="N2414" s="37"/>
      <c r="O2414" s="37"/>
      <c r="P2414" s="37"/>
      <c r="Q2414" s="37"/>
      <c r="R2414" s="39"/>
      <c r="S2414" s="37"/>
      <c r="T2414" s="38" t="s">
        <v>293</v>
      </c>
    </row>
    <row r="2415" ht="34.5">
      <c r="A2415" s="38" t="s">
        <v>1797</v>
      </c>
      <c r="B2415" s="38" t="s">
        <v>1798</v>
      </c>
      <c r="C2415" s="38" t="s">
        <v>471</v>
      </c>
      <c r="D2415" s="38" t="s">
        <v>288</v>
      </c>
      <c r="E2415" s="38" t="s">
        <v>365</v>
      </c>
      <c r="F2415" s="37" t="s">
        <v>1899</v>
      </c>
      <c r="G2415" s="38" t="s">
        <v>1900</v>
      </c>
      <c r="H2415" s="37"/>
      <c r="I2415" s="37"/>
      <c r="J2415" s="37" t="s">
        <v>2043</v>
      </c>
      <c r="K2415" s="40"/>
      <c r="L2415" s="38"/>
      <c r="M2415" s="38"/>
      <c r="N2415" s="37"/>
      <c r="O2415" s="37"/>
      <c r="P2415" s="37"/>
      <c r="Q2415" s="37"/>
      <c r="R2415" s="39"/>
      <c r="S2415" s="37"/>
      <c r="T2415" s="38" t="s">
        <v>293</v>
      </c>
    </row>
    <row r="2416" ht="34.5">
      <c r="A2416" s="38" t="s">
        <v>1797</v>
      </c>
      <c r="B2416" s="38" t="s">
        <v>1798</v>
      </c>
      <c r="C2416" s="38" t="s">
        <v>471</v>
      </c>
      <c r="D2416" s="38" t="s">
        <v>288</v>
      </c>
      <c r="E2416" s="38" t="s">
        <v>365</v>
      </c>
      <c r="F2416" s="37" t="s">
        <v>1899</v>
      </c>
      <c r="G2416" s="38" t="s">
        <v>1900</v>
      </c>
      <c r="H2416" s="37"/>
      <c r="I2416" s="37"/>
      <c r="J2416" s="37" t="s">
        <v>2044</v>
      </c>
      <c r="K2416" s="40"/>
      <c r="L2416" s="38"/>
      <c r="M2416" s="38"/>
      <c r="N2416" s="37"/>
      <c r="O2416" s="37"/>
      <c r="P2416" s="37"/>
      <c r="Q2416" s="37"/>
      <c r="R2416" s="39"/>
      <c r="S2416" s="37"/>
      <c r="T2416" s="38" t="s">
        <v>293</v>
      </c>
    </row>
    <row r="2417" ht="34.5">
      <c r="A2417" s="38" t="s">
        <v>1797</v>
      </c>
      <c r="B2417" s="38" t="s">
        <v>1798</v>
      </c>
      <c r="C2417" s="38" t="s">
        <v>483</v>
      </c>
      <c r="D2417" s="38" t="s">
        <v>288</v>
      </c>
      <c r="E2417" s="38" t="s">
        <v>365</v>
      </c>
      <c r="F2417" s="37" t="s">
        <v>1899</v>
      </c>
      <c r="G2417" s="38" t="s">
        <v>1900</v>
      </c>
      <c r="H2417" s="37"/>
      <c r="I2417" s="37"/>
      <c r="J2417" s="37" t="s">
        <v>2045</v>
      </c>
      <c r="K2417" s="40"/>
      <c r="L2417" s="38"/>
      <c r="M2417" s="38"/>
      <c r="N2417" s="37"/>
      <c r="O2417" s="37"/>
      <c r="P2417" s="37"/>
      <c r="Q2417" s="37"/>
      <c r="R2417" s="39"/>
      <c r="S2417" s="37"/>
      <c r="T2417" s="38" t="s">
        <v>293</v>
      </c>
    </row>
    <row r="2418" ht="34.5">
      <c r="A2418" s="38" t="s">
        <v>1797</v>
      </c>
      <c r="B2418" s="38" t="s">
        <v>1798</v>
      </c>
      <c r="C2418" s="38" t="s">
        <v>483</v>
      </c>
      <c r="D2418" s="38" t="s">
        <v>288</v>
      </c>
      <c r="E2418" s="38" t="s">
        <v>365</v>
      </c>
      <c r="F2418" s="37" t="s">
        <v>1899</v>
      </c>
      <c r="G2418" s="38" t="s">
        <v>1900</v>
      </c>
      <c r="H2418" s="37"/>
      <c r="I2418" s="37"/>
      <c r="J2418" s="37" t="s">
        <v>2046</v>
      </c>
      <c r="K2418" s="40"/>
      <c r="L2418" s="38"/>
      <c r="M2418" s="38"/>
      <c r="N2418" s="37"/>
      <c r="O2418" s="37"/>
      <c r="P2418" s="37"/>
      <c r="Q2418" s="37"/>
      <c r="R2418" s="39"/>
      <c r="S2418" s="37"/>
      <c r="T2418" s="38" t="s">
        <v>293</v>
      </c>
    </row>
    <row r="2419" ht="34.5">
      <c r="A2419" s="38" t="s">
        <v>1797</v>
      </c>
      <c r="B2419" s="38" t="s">
        <v>1798</v>
      </c>
      <c r="C2419" s="38" t="s">
        <v>483</v>
      </c>
      <c r="D2419" s="38" t="s">
        <v>288</v>
      </c>
      <c r="E2419" s="38" t="s">
        <v>365</v>
      </c>
      <c r="F2419" s="37" t="s">
        <v>1899</v>
      </c>
      <c r="G2419" s="38" t="s">
        <v>1900</v>
      </c>
      <c r="H2419" s="37"/>
      <c r="I2419" s="37"/>
      <c r="J2419" s="37" t="s">
        <v>2047</v>
      </c>
      <c r="K2419" s="40"/>
      <c r="L2419" s="38"/>
      <c r="M2419" s="38"/>
      <c r="N2419" s="37"/>
      <c r="O2419" s="37"/>
      <c r="P2419" s="37"/>
      <c r="Q2419" s="37"/>
      <c r="R2419" s="39"/>
      <c r="S2419" s="37"/>
      <c r="T2419" s="38" t="s">
        <v>293</v>
      </c>
    </row>
    <row r="2420" ht="34.5">
      <c r="A2420" s="38" t="s">
        <v>1797</v>
      </c>
      <c r="B2420" s="38" t="s">
        <v>1798</v>
      </c>
      <c r="C2420" s="38" t="s">
        <v>483</v>
      </c>
      <c r="D2420" s="38" t="s">
        <v>288</v>
      </c>
      <c r="E2420" s="38" t="s">
        <v>365</v>
      </c>
      <c r="F2420" s="37" t="s">
        <v>1899</v>
      </c>
      <c r="G2420" s="38" t="s">
        <v>1900</v>
      </c>
      <c r="H2420" s="37"/>
      <c r="I2420" s="37"/>
      <c r="J2420" s="37" t="s">
        <v>2048</v>
      </c>
      <c r="K2420" s="40"/>
      <c r="L2420" s="38"/>
      <c r="M2420" s="38"/>
      <c r="N2420" s="37"/>
      <c r="O2420" s="37"/>
      <c r="P2420" s="37"/>
      <c r="Q2420" s="37"/>
      <c r="R2420" s="39"/>
      <c r="S2420" s="37"/>
      <c r="T2420" s="38" t="s">
        <v>293</v>
      </c>
    </row>
    <row r="2421" ht="34.5">
      <c r="A2421" s="38" t="s">
        <v>1797</v>
      </c>
      <c r="B2421" s="38" t="s">
        <v>1798</v>
      </c>
      <c r="C2421" s="38" t="s">
        <v>483</v>
      </c>
      <c r="D2421" s="38" t="s">
        <v>288</v>
      </c>
      <c r="E2421" s="38" t="s">
        <v>365</v>
      </c>
      <c r="F2421" s="37" t="s">
        <v>1899</v>
      </c>
      <c r="G2421" s="38" t="s">
        <v>1900</v>
      </c>
      <c r="H2421" s="37"/>
      <c r="I2421" s="37"/>
      <c r="J2421" s="37" t="s">
        <v>2049</v>
      </c>
      <c r="K2421" s="40"/>
      <c r="L2421" s="38"/>
      <c r="M2421" s="38"/>
      <c r="N2421" s="37"/>
      <c r="O2421" s="37"/>
      <c r="P2421" s="37"/>
      <c r="Q2421" s="37"/>
      <c r="R2421" s="39"/>
      <c r="S2421" s="37"/>
      <c r="T2421" s="38" t="s">
        <v>293</v>
      </c>
    </row>
    <row r="2422" ht="34.5">
      <c r="A2422" s="38" t="s">
        <v>1797</v>
      </c>
      <c r="B2422" s="38" t="s">
        <v>1798</v>
      </c>
      <c r="C2422" s="38" t="s">
        <v>483</v>
      </c>
      <c r="D2422" s="38" t="s">
        <v>288</v>
      </c>
      <c r="E2422" s="38" t="s">
        <v>365</v>
      </c>
      <c r="F2422" s="37" t="s">
        <v>1899</v>
      </c>
      <c r="G2422" s="38" t="s">
        <v>1900</v>
      </c>
      <c r="H2422" s="37"/>
      <c r="I2422" s="37"/>
      <c r="J2422" s="37" t="s">
        <v>2050</v>
      </c>
      <c r="K2422" s="40"/>
      <c r="L2422" s="38"/>
      <c r="M2422" s="38"/>
      <c r="N2422" s="37"/>
      <c r="O2422" s="37"/>
      <c r="P2422" s="37"/>
      <c r="Q2422" s="37"/>
      <c r="R2422" s="39"/>
      <c r="S2422" s="37"/>
      <c r="T2422" s="38" t="s">
        <v>293</v>
      </c>
    </row>
    <row r="2423" ht="34.5">
      <c r="A2423" s="38" t="s">
        <v>1797</v>
      </c>
      <c r="B2423" s="38" t="s">
        <v>1798</v>
      </c>
      <c r="C2423" s="38" t="s">
        <v>483</v>
      </c>
      <c r="D2423" s="38" t="s">
        <v>288</v>
      </c>
      <c r="E2423" s="38" t="s">
        <v>365</v>
      </c>
      <c r="F2423" s="37" t="s">
        <v>1899</v>
      </c>
      <c r="G2423" s="38" t="s">
        <v>1900</v>
      </c>
      <c r="H2423" s="37"/>
      <c r="I2423" s="37"/>
      <c r="J2423" s="37" t="s">
        <v>2051</v>
      </c>
      <c r="K2423" s="40"/>
      <c r="L2423" s="38"/>
      <c r="M2423" s="38"/>
      <c r="N2423" s="37"/>
      <c r="O2423" s="37"/>
      <c r="P2423" s="37"/>
      <c r="Q2423" s="37"/>
      <c r="R2423" s="39"/>
      <c r="S2423" s="37"/>
      <c r="T2423" s="38" t="s">
        <v>293</v>
      </c>
    </row>
    <row r="2424" ht="34.5">
      <c r="A2424" s="38" t="s">
        <v>1797</v>
      </c>
      <c r="B2424" s="38" t="s">
        <v>1798</v>
      </c>
      <c r="C2424" s="38" t="s">
        <v>483</v>
      </c>
      <c r="D2424" s="38" t="s">
        <v>288</v>
      </c>
      <c r="E2424" s="38" t="s">
        <v>365</v>
      </c>
      <c r="F2424" s="37" t="s">
        <v>1899</v>
      </c>
      <c r="G2424" s="38" t="s">
        <v>1900</v>
      </c>
      <c r="H2424" s="37"/>
      <c r="I2424" s="37"/>
      <c r="J2424" s="37" t="s">
        <v>2052</v>
      </c>
      <c r="K2424" s="40"/>
      <c r="L2424" s="38"/>
      <c r="M2424" s="38"/>
      <c r="N2424" s="37"/>
      <c r="O2424" s="37"/>
      <c r="P2424" s="37"/>
      <c r="Q2424" s="37"/>
      <c r="R2424" s="39"/>
      <c r="S2424" s="37"/>
      <c r="T2424" s="38" t="s">
        <v>293</v>
      </c>
    </row>
    <row r="2425" ht="34.5">
      <c r="A2425" s="38" t="s">
        <v>1797</v>
      </c>
      <c r="B2425" s="38" t="s">
        <v>1798</v>
      </c>
      <c r="C2425" s="38" t="s">
        <v>497</v>
      </c>
      <c r="D2425" s="38" t="s">
        <v>288</v>
      </c>
      <c r="E2425" s="38" t="s">
        <v>365</v>
      </c>
      <c r="F2425" s="37" t="s">
        <v>1899</v>
      </c>
      <c r="G2425" s="38" t="s">
        <v>1900</v>
      </c>
      <c r="H2425" s="37"/>
      <c r="I2425" s="37"/>
      <c r="J2425" s="37" t="s">
        <v>2053</v>
      </c>
      <c r="K2425" s="40"/>
      <c r="L2425" s="38"/>
      <c r="M2425" s="38"/>
      <c r="N2425" s="37"/>
      <c r="O2425" s="37"/>
      <c r="P2425" s="37"/>
      <c r="Q2425" s="37"/>
      <c r="R2425" s="39"/>
      <c r="S2425" s="37"/>
      <c r="T2425" s="38" t="s">
        <v>293</v>
      </c>
    </row>
    <row r="2426" ht="34.5">
      <c r="A2426" s="38" t="s">
        <v>1797</v>
      </c>
      <c r="B2426" s="38" t="s">
        <v>1798</v>
      </c>
      <c r="C2426" s="38" t="s">
        <v>497</v>
      </c>
      <c r="D2426" s="38" t="s">
        <v>411</v>
      </c>
      <c r="E2426" s="38" t="s">
        <v>365</v>
      </c>
      <c r="F2426" s="37" t="s">
        <v>1899</v>
      </c>
      <c r="G2426" s="38" t="s">
        <v>1900</v>
      </c>
      <c r="H2426" s="37"/>
      <c r="I2426" s="37"/>
      <c r="J2426" s="37" t="s">
        <v>412</v>
      </c>
      <c r="K2426" s="40"/>
      <c r="L2426" s="38"/>
      <c r="M2426" s="38"/>
      <c r="N2426" s="37"/>
      <c r="O2426" s="37"/>
      <c r="P2426" s="37"/>
      <c r="Q2426" s="37"/>
      <c r="R2426" s="39"/>
      <c r="S2426" s="37"/>
      <c r="T2426" s="38" t="s">
        <v>293</v>
      </c>
    </row>
    <row r="2427" ht="34.5">
      <c r="A2427" s="38" t="s">
        <v>1797</v>
      </c>
      <c r="B2427" s="38" t="s">
        <v>1798</v>
      </c>
      <c r="C2427" s="38" t="s">
        <v>497</v>
      </c>
      <c r="D2427" s="38" t="s">
        <v>288</v>
      </c>
      <c r="E2427" s="38" t="s">
        <v>365</v>
      </c>
      <c r="F2427" s="37" t="s">
        <v>1899</v>
      </c>
      <c r="G2427" s="38" t="s">
        <v>1900</v>
      </c>
      <c r="H2427" s="37"/>
      <c r="I2427" s="37"/>
      <c r="J2427" s="37" t="s">
        <v>2054</v>
      </c>
      <c r="K2427" s="40"/>
      <c r="L2427" s="38"/>
      <c r="M2427" s="38"/>
      <c r="N2427" s="37"/>
      <c r="O2427" s="37"/>
      <c r="P2427" s="37"/>
      <c r="Q2427" s="37"/>
      <c r="R2427" s="39"/>
      <c r="S2427" s="37"/>
      <c r="T2427" s="38" t="s">
        <v>293</v>
      </c>
    </row>
    <row r="2428" ht="34.5">
      <c r="A2428" s="38" t="s">
        <v>1797</v>
      </c>
      <c r="B2428" s="38" t="s">
        <v>1798</v>
      </c>
      <c r="C2428" s="38" t="s">
        <v>497</v>
      </c>
      <c r="D2428" s="38" t="s">
        <v>421</v>
      </c>
      <c r="E2428" s="38" t="s">
        <v>365</v>
      </c>
      <c r="F2428" s="37" t="s">
        <v>1899</v>
      </c>
      <c r="G2428" s="38" t="s">
        <v>1900</v>
      </c>
      <c r="H2428" s="37"/>
      <c r="I2428" s="37"/>
      <c r="J2428" s="37" t="s">
        <v>422</v>
      </c>
      <c r="K2428" s="40"/>
      <c r="L2428" s="38"/>
      <c r="M2428" s="38"/>
      <c r="N2428" s="37"/>
      <c r="O2428" s="37"/>
      <c r="P2428" s="37"/>
      <c r="Q2428" s="37"/>
      <c r="R2428" s="39"/>
      <c r="S2428" s="37"/>
      <c r="T2428" s="38" t="s">
        <v>293</v>
      </c>
    </row>
    <row r="2429" ht="34.5">
      <c r="A2429" s="38" t="s">
        <v>1797</v>
      </c>
      <c r="B2429" s="38" t="s">
        <v>1798</v>
      </c>
      <c r="C2429" s="38" t="s">
        <v>497</v>
      </c>
      <c r="D2429" s="38" t="s">
        <v>288</v>
      </c>
      <c r="E2429" s="38" t="s">
        <v>365</v>
      </c>
      <c r="F2429" s="37" t="s">
        <v>1899</v>
      </c>
      <c r="G2429" s="38" t="s">
        <v>1900</v>
      </c>
      <c r="H2429" s="37"/>
      <c r="I2429" s="37"/>
      <c r="J2429" s="37" t="s">
        <v>2055</v>
      </c>
      <c r="K2429" s="40"/>
      <c r="L2429" s="38"/>
      <c r="M2429" s="38"/>
      <c r="N2429" s="37"/>
      <c r="O2429" s="37"/>
      <c r="P2429" s="37"/>
      <c r="Q2429" s="37"/>
      <c r="R2429" s="39"/>
      <c r="S2429" s="37"/>
      <c r="T2429" s="38" t="s">
        <v>293</v>
      </c>
    </row>
    <row r="2430" ht="34.5">
      <c r="A2430" s="38" t="s">
        <v>1797</v>
      </c>
      <c r="B2430" s="38" t="s">
        <v>1798</v>
      </c>
      <c r="C2430" s="38" t="s">
        <v>497</v>
      </c>
      <c r="D2430" s="38" t="s">
        <v>288</v>
      </c>
      <c r="E2430" s="38" t="s">
        <v>365</v>
      </c>
      <c r="F2430" s="37" t="s">
        <v>1899</v>
      </c>
      <c r="G2430" s="38" t="s">
        <v>1900</v>
      </c>
      <c r="H2430" s="37"/>
      <c r="I2430" s="37"/>
      <c r="J2430" s="37" t="s">
        <v>2056</v>
      </c>
      <c r="K2430" s="40"/>
      <c r="L2430" s="38"/>
      <c r="M2430" s="38"/>
      <c r="N2430" s="37"/>
      <c r="O2430" s="37"/>
      <c r="P2430" s="37"/>
      <c r="Q2430" s="37"/>
      <c r="R2430" s="39"/>
      <c r="S2430" s="37"/>
      <c r="T2430" s="38" t="s">
        <v>293</v>
      </c>
    </row>
    <row r="2431" ht="34.5">
      <c r="A2431" s="38" t="s">
        <v>1797</v>
      </c>
      <c r="B2431" s="38" t="s">
        <v>1798</v>
      </c>
      <c r="C2431" s="38" t="s">
        <v>497</v>
      </c>
      <c r="D2431" s="38" t="s">
        <v>430</v>
      </c>
      <c r="E2431" s="38" t="s">
        <v>365</v>
      </c>
      <c r="F2431" s="37" t="s">
        <v>1899</v>
      </c>
      <c r="G2431" s="38" t="s">
        <v>1900</v>
      </c>
      <c r="H2431" s="37"/>
      <c r="I2431" s="37"/>
      <c r="J2431" s="37" t="s">
        <v>431</v>
      </c>
      <c r="K2431" s="40"/>
      <c r="L2431" s="38"/>
      <c r="M2431" s="38"/>
      <c r="N2431" s="37"/>
      <c r="O2431" s="37"/>
      <c r="P2431" s="37"/>
      <c r="Q2431" s="37"/>
      <c r="R2431" s="39"/>
      <c r="S2431" s="37"/>
      <c r="T2431" s="38" t="s">
        <v>293</v>
      </c>
    </row>
    <row r="2432" ht="34.5">
      <c r="A2432" s="38" t="s">
        <v>1797</v>
      </c>
      <c r="B2432" s="38" t="s">
        <v>1798</v>
      </c>
      <c r="C2432" s="38" t="s">
        <v>508</v>
      </c>
      <c r="D2432" s="38" t="s">
        <v>288</v>
      </c>
      <c r="E2432" s="38" t="s">
        <v>365</v>
      </c>
      <c r="F2432" s="37" t="s">
        <v>1899</v>
      </c>
      <c r="G2432" s="38" t="s">
        <v>1900</v>
      </c>
      <c r="H2432" s="37"/>
      <c r="I2432" s="37"/>
      <c r="J2432" s="37" t="s">
        <v>2057</v>
      </c>
      <c r="K2432" s="40"/>
      <c r="L2432" s="38"/>
      <c r="M2432" s="38"/>
      <c r="N2432" s="37"/>
      <c r="O2432" s="37"/>
      <c r="P2432" s="37"/>
      <c r="Q2432" s="37"/>
      <c r="R2432" s="39"/>
      <c r="S2432" s="37"/>
      <c r="T2432" s="38" t="s">
        <v>293</v>
      </c>
    </row>
    <row r="2433" ht="34.5">
      <c r="A2433" s="38" t="s">
        <v>1797</v>
      </c>
      <c r="B2433" s="38" t="s">
        <v>1798</v>
      </c>
      <c r="C2433" s="38" t="s">
        <v>508</v>
      </c>
      <c r="D2433" s="38" t="s">
        <v>433</v>
      </c>
      <c r="E2433" s="38" t="s">
        <v>365</v>
      </c>
      <c r="F2433" s="37" t="s">
        <v>1899</v>
      </c>
      <c r="G2433" s="38" t="s">
        <v>1900</v>
      </c>
      <c r="H2433" s="37"/>
      <c r="I2433" s="37"/>
      <c r="J2433" s="37" t="s">
        <v>434</v>
      </c>
      <c r="K2433" s="40"/>
      <c r="L2433" s="38"/>
      <c r="M2433" s="38"/>
      <c r="N2433" s="37"/>
      <c r="O2433" s="37"/>
      <c r="P2433" s="37"/>
      <c r="Q2433" s="37"/>
      <c r="R2433" s="39"/>
      <c r="S2433" s="37"/>
      <c r="T2433" s="38" t="s">
        <v>293</v>
      </c>
    </row>
    <row r="2434" ht="34.5">
      <c r="A2434" s="38" t="s">
        <v>1797</v>
      </c>
      <c r="B2434" s="38" t="s">
        <v>1798</v>
      </c>
      <c r="C2434" s="38" t="s">
        <v>508</v>
      </c>
      <c r="D2434" s="38" t="s">
        <v>288</v>
      </c>
      <c r="E2434" s="38" t="s">
        <v>365</v>
      </c>
      <c r="F2434" s="37" t="s">
        <v>1899</v>
      </c>
      <c r="G2434" s="38" t="s">
        <v>1900</v>
      </c>
      <c r="H2434" s="37"/>
      <c r="I2434" s="37"/>
      <c r="J2434" s="37" t="s">
        <v>2058</v>
      </c>
      <c r="K2434" s="40"/>
      <c r="L2434" s="38"/>
      <c r="M2434" s="38"/>
      <c r="N2434" s="37"/>
      <c r="O2434" s="37"/>
      <c r="P2434" s="37"/>
      <c r="Q2434" s="37"/>
      <c r="R2434" s="39"/>
      <c r="S2434" s="37"/>
      <c r="T2434" s="38" t="s">
        <v>293</v>
      </c>
    </row>
    <row r="2435" ht="34.5">
      <c r="A2435" s="38" t="s">
        <v>1797</v>
      </c>
      <c r="B2435" s="38" t="s">
        <v>1798</v>
      </c>
      <c r="C2435" s="38" t="s">
        <v>508</v>
      </c>
      <c r="D2435" s="38" t="s">
        <v>288</v>
      </c>
      <c r="E2435" s="38" t="s">
        <v>365</v>
      </c>
      <c r="F2435" s="37" t="s">
        <v>1899</v>
      </c>
      <c r="G2435" s="38" t="s">
        <v>1900</v>
      </c>
      <c r="H2435" s="37"/>
      <c r="I2435" s="37"/>
      <c r="J2435" s="37" t="s">
        <v>2059</v>
      </c>
      <c r="K2435" s="40"/>
      <c r="L2435" s="38"/>
      <c r="M2435" s="38"/>
      <c r="N2435" s="37"/>
      <c r="O2435" s="37"/>
      <c r="P2435" s="37"/>
      <c r="Q2435" s="37"/>
      <c r="R2435" s="39"/>
      <c r="S2435" s="37"/>
      <c r="T2435" s="38" t="s">
        <v>293</v>
      </c>
    </row>
    <row r="2436" ht="34.5">
      <c r="A2436" s="38" t="s">
        <v>1797</v>
      </c>
      <c r="B2436" s="38" t="s">
        <v>1798</v>
      </c>
      <c r="C2436" s="38" t="s">
        <v>508</v>
      </c>
      <c r="D2436" s="38" t="s">
        <v>288</v>
      </c>
      <c r="E2436" s="38" t="s">
        <v>365</v>
      </c>
      <c r="F2436" s="37" t="s">
        <v>1899</v>
      </c>
      <c r="G2436" s="38" t="s">
        <v>1900</v>
      </c>
      <c r="H2436" s="37"/>
      <c r="I2436" s="37"/>
      <c r="J2436" s="37" t="s">
        <v>2060</v>
      </c>
      <c r="K2436" s="40"/>
      <c r="L2436" s="38"/>
      <c r="M2436" s="38"/>
      <c r="N2436" s="37"/>
      <c r="O2436" s="37"/>
      <c r="P2436" s="37"/>
      <c r="Q2436" s="37"/>
      <c r="R2436" s="39"/>
      <c r="S2436" s="37"/>
      <c r="T2436" s="38" t="s">
        <v>293</v>
      </c>
    </row>
    <row r="2437" ht="34.5">
      <c r="A2437" s="38" t="s">
        <v>1797</v>
      </c>
      <c r="B2437" s="38" t="s">
        <v>1798</v>
      </c>
      <c r="C2437" s="38" t="s">
        <v>508</v>
      </c>
      <c r="D2437" s="38" t="s">
        <v>288</v>
      </c>
      <c r="E2437" s="38" t="s">
        <v>365</v>
      </c>
      <c r="F2437" s="37" t="s">
        <v>1899</v>
      </c>
      <c r="G2437" s="38" t="s">
        <v>1900</v>
      </c>
      <c r="H2437" s="37"/>
      <c r="I2437" s="37"/>
      <c r="J2437" s="37" t="s">
        <v>2061</v>
      </c>
      <c r="K2437" s="40"/>
      <c r="L2437" s="38"/>
      <c r="M2437" s="38"/>
      <c r="N2437" s="37"/>
      <c r="O2437" s="37"/>
      <c r="P2437" s="37"/>
      <c r="Q2437" s="37"/>
      <c r="R2437" s="39"/>
      <c r="S2437" s="37"/>
      <c r="T2437" s="38" t="s">
        <v>293</v>
      </c>
    </row>
    <row r="2438" ht="34.5">
      <c r="A2438" s="38" t="s">
        <v>1797</v>
      </c>
      <c r="B2438" s="38" t="s">
        <v>1798</v>
      </c>
      <c r="C2438" s="38" t="s">
        <v>508</v>
      </c>
      <c r="D2438" s="38" t="s">
        <v>288</v>
      </c>
      <c r="E2438" s="38" t="s">
        <v>365</v>
      </c>
      <c r="F2438" s="37" t="s">
        <v>1899</v>
      </c>
      <c r="G2438" s="38" t="s">
        <v>1900</v>
      </c>
      <c r="H2438" s="37"/>
      <c r="I2438" s="37"/>
      <c r="J2438" s="37" t="s">
        <v>2062</v>
      </c>
      <c r="K2438" s="40"/>
      <c r="L2438" s="38"/>
      <c r="M2438" s="38"/>
      <c r="N2438" s="37"/>
      <c r="O2438" s="37"/>
      <c r="P2438" s="37"/>
      <c r="Q2438" s="37"/>
      <c r="R2438" s="39"/>
      <c r="S2438" s="37"/>
      <c r="T2438" s="38" t="s">
        <v>293</v>
      </c>
    </row>
    <row r="2439" ht="34.5">
      <c r="A2439" s="38" t="s">
        <v>1797</v>
      </c>
      <c r="B2439" s="38" t="s">
        <v>1798</v>
      </c>
      <c r="C2439" s="38" t="s">
        <v>519</v>
      </c>
      <c r="D2439" s="38" t="s">
        <v>288</v>
      </c>
      <c r="E2439" s="38" t="s">
        <v>365</v>
      </c>
      <c r="F2439" s="37" t="s">
        <v>1899</v>
      </c>
      <c r="G2439" s="38" t="s">
        <v>1900</v>
      </c>
      <c r="H2439" s="37"/>
      <c r="I2439" s="37"/>
      <c r="J2439" s="37" t="s">
        <v>2063</v>
      </c>
      <c r="K2439" s="40"/>
      <c r="L2439" s="38"/>
      <c r="M2439" s="38"/>
      <c r="N2439" s="37"/>
      <c r="O2439" s="37"/>
      <c r="P2439" s="37"/>
      <c r="Q2439" s="37"/>
      <c r="R2439" s="39"/>
      <c r="S2439" s="37"/>
      <c r="T2439" s="38" t="s">
        <v>293</v>
      </c>
    </row>
    <row r="2440" ht="34.5">
      <c r="A2440" s="38" t="s">
        <v>1797</v>
      </c>
      <c r="B2440" s="38" t="s">
        <v>1798</v>
      </c>
      <c r="C2440" s="38" t="s">
        <v>519</v>
      </c>
      <c r="D2440" s="38" t="s">
        <v>288</v>
      </c>
      <c r="E2440" s="38" t="s">
        <v>365</v>
      </c>
      <c r="F2440" s="37" t="s">
        <v>1899</v>
      </c>
      <c r="G2440" s="38" t="s">
        <v>1900</v>
      </c>
      <c r="H2440" s="37"/>
      <c r="I2440" s="37"/>
      <c r="J2440" s="37" t="s">
        <v>2064</v>
      </c>
      <c r="K2440" s="40"/>
      <c r="L2440" s="38"/>
      <c r="M2440" s="38"/>
      <c r="N2440" s="37"/>
      <c r="O2440" s="37"/>
      <c r="P2440" s="37"/>
      <c r="Q2440" s="37"/>
      <c r="R2440" s="39"/>
      <c r="S2440" s="37"/>
      <c r="T2440" s="38" t="s">
        <v>293</v>
      </c>
    </row>
    <row r="2441" ht="34.5">
      <c r="A2441" s="38" t="s">
        <v>1797</v>
      </c>
      <c r="B2441" s="38" t="s">
        <v>1798</v>
      </c>
      <c r="C2441" s="38" t="s">
        <v>519</v>
      </c>
      <c r="D2441" s="38" t="s">
        <v>288</v>
      </c>
      <c r="E2441" s="38" t="s">
        <v>365</v>
      </c>
      <c r="F2441" s="37" t="s">
        <v>1899</v>
      </c>
      <c r="G2441" s="38" t="s">
        <v>1900</v>
      </c>
      <c r="H2441" s="37"/>
      <c r="I2441" s="37"/>
      <c r="J2441" s="37" t="s">
        <v>2065</v>
      </c>
      <c r="K2441" s="40"/>
      <c r="L2441" s="38"/>
      <c r="M2441" s="38"/>
      <c r="N2441" s="37"/>
      <c r="O2441" s="37"/>
      <c r="P2441" s="37"/>
      <c r="Q2441" s="37"/>
      <c r="R2441" s="39"/>
      <c r="S2441" s="37"/>
      <c r="T2441" s="38" t="s">
        <v>293</v>
      </c>
    </row>
    <row r="2442" ht="34.5">
      <c r="A2442" s="38" t="s">
        <v>1797</v>
      </c>
      <c r="B2442" s="38" t="s">
        <v>1798</v>
      </c>
      <c r="C2442" s="38" t="s">
        <v>519</v>
      </c>
      <c r="D2442" s="38" t="s">
        <v>288</v>
      </c>
      <c r="E2442" s="38" t="s">
        <v>365</v>
      </c>
      <c r="F2442" s="37" t="s">
        <v>1899</v>
      </c>
      <c r="G2442" s="38" t="s">
        <v>1900</v>
      </c>
      <c r="H2442" s="37"/>
      <c r="I2442" s="37"/>
      <c r="J2442" s="37" t="s">
        <v>2066</v>
      </c>
      <c r="K2442" s="40"/>
      <c r="L2442" s="38"/>
      <c r="M2442" s="38"/>
      <c r="N2442" s="37"/>
      <c r="O2442" s="37"/>
      <c r="P2442" s="37"/>
      <c r="Q2442" s="37"/>
      <c r="R2442" s="39"/>
      <c r="S2442" s="37"/>
      <c r="T2442" s="38" t="s">
        <v>293</v>
      </c>
    </row>
    <row r="2443" ht="34.5">
      <c r="A2443" s="38" t="s">
        <v>1797</v>
      </c>
      <c r="B2443" s="38" t="s">
        <v>1798</v>
      </c>
      <c r="C2443" s="38" t="s">
        <v>519</v>
      </c>
      <c r="D2443" s="38" t="s">
        <v>288</v>
      </c>
      <c r="E2443" s="38" t="s">
        <v>365</v>
      </c>
      <c r="F2443" s="37" t="s">
        <v>1899</v>
      </c>
      <c r="G2443" s="38" t="s">
        <v>1900</v>
      </c>
      <c r="H2443" s="37"/>
      <c r="I2443" s="37"/>
      <c r="J2443" s="37" t="s">
        <v>2067</v>
      </c>
      <c r="K2443" s="40"/>
      <c r="L2443" s="38"/>
      <c r="M2443" s="38"/>
      <c r="N2443" s="37"/>
      <c r="O2443" s="37"/>
      <c r="P2443" s="37"/>
      <c r="Q2443" s="37"/>
      <c r="R2443" s="39"/>
      <c r="S2443" s="37"/>
      <c r="T2443" s="38" t="s">
        <v>293</v>
      </c>
    </row>
    <row r="2444" ht="34.5">
      <c r="A2444" s="38" t="s">
        <v>1797</v>
      </c>
      <c r="B2444" s="38" t="s">
        <v>1798</v>
      </c>
      <c r="C2444" s="38" t="s">
        <v>519</v>
      </c>
      <c r="D2444" s="38" t="s">
        <v>288</v>
      </c>
      <c r="E2444" s="38" t="s">
        <v>365</v>
      </c>
      <c r="F2444" s="37" t="s">
        <v>1899</v>
      </c>
      <c r="G2444" s="38" t="s">
        <v>1900</v>
      </c>
      <c r="H2444" s="37"/>
      <c r="I2444" s="37"/>
      <c r="J2444" s="37" t="s">
        <v>2068</v>
      </c>
      <c r="K2444" s="40"/>
      <c r="L2444" s="38"/>
      <c r="M2444" s="38"/>
      <c r="N2444" s="37"/>
      <c r="O2444" s="37"/>
      <c r="P2444" s="37"/>
      <c r="Q2444" s="37"/>
      <c r="R2444" s="39"/>
      <c r="S2444" s="37"/>
      <c r="T2444" s="38" t="s">
        <v>293</v>
      </c>
    </row>
    <row r="2445" ht="34.5">
      <c r="A2445" s="38" t="s">
        <v>1797</v>
      </c>
      <c r="B2445" s="38" t="s">
        <v>1798</v>
      </c>
      <c r="C2445" s="38" t="s">
        <v>519</v>
      </c>
      <c r="D2445" s="38" t="s">
        <v>288</v>
      </c>
      <c r="E2445" s="38" t="s">
        <v>365</v>
      </c>
      <c r="F2445" s="37" t="s">
        <v>1899</v>
      </c>
      <c r="G2445" s="38" t="s">
        <v>1900</v>
      </c>
      <c r="H2445" s="37"/>
      <c r="I2445" s="37"/>
      <c r="J2445" s="37" t="s">
        <v>2069</v>
      </c>
      <c r="K2445" s="40"/>
      <c r="L2445" s="38"/>
      <c r="M2445" s="38"/>
      <c r="N2445" s="37"/>
      <c r="O2445" s="37"/>
      <c r="P2445" s="37"/>
      <c r="Q2445" s="37"/>
      <c r="R2445" s="39"/>
      <c r="S2445" s="37"/>
      <c r="T2445" s="38" t="s">
        <v>293</v>
      </c>
    </row>
    <row r="2446" ht="34.5">
      <c r="A2446" s="38" t="s">
        <v>1797</v>
      </c>
      <c r="B2446" s="38" t="s">
        <v>1798</v>
      </c>
      <c r="C2446" s="38" t="s">
        <v>519</v>
      </c>
      <c r="D2446" s="38" t="s">
        <v>288</v>
      </c>
      <c r="E2446" s="38" t="s">
        <v>365</v>
      </c>
      <c r="F2446" s="37" t="s">
        <v>1899</v>
      </c>
      <c r="G2446" s="38" t="s">
        <v>1900</v>
      </c>
      <c r="H2446" s="37"/>
      <c r="I2446" s="37"/>
      <c r="J2446" s="37" t="s">
        <v>2070</v>
      </c>
      <c r="K2446" s="40"/>
      <c r="L2446" s="38"/>
      <c r="M2446" s="38"/>
      <c r="N2446" s="37"/>
      <c r="O2446" s="37"/>
      <c r="P2446" s="37"/>
      <c r="Q2446" s="37"/>
      <c r="R2446" s="39"/>
      <c r="S2446" s="37"/>
      <c r="T2446" s="38" t="s">
        <v>293</v>
      </c>
    </row>
    <row r="2447" ht="34.5">
      <c r="A2447" s="38" t="s">
        <v>1797</v>
      </c>
      <c r="B2447" s="38" t="s">
        <v>1798</v>
      </c>
      <c r="C2447" s="38" t="s">
        <v>519</v>
      </c>
      <c r="D2447" s="38" t="s">
        <v>288</v>
      </c>
      <c r="E2447" s="38" t="s">
        <v>365</v>
      </c>
      <c r="F2447" s="37" t="s">
        <v>1899</v>
      </c>
      <c r="G2447" s="38" t="s">
        <v>1900</v>
      </c>
      <c r="H2447" s="37"/>
      <c r="I2447" s="37"/>
      <c r="J2447" s="37" t="s">
        <v>2071</v>
      </c>
      <c r="K2447" s="40"/>
      <c r="L2447" s="38"/>
      <c r="M2447" s="38"/>
      <c r="N2447" s="37"/>
      <c r="O2447" s="37"/>
      <c r="P2447" s="37"/>
      <c r="Q2447" s="37"/>
      <c r="R2447" s="39"/>
      <c r="S2447" s="37"/>
      <c r="T2447" s="38" t="s">
        <v>293</v>
      </c>
    </row>
    <row r="2448" ht="34.5">
      <c r="A2448" s="38" t="s">
        <v>1797</v>
      </c>
      <c r="B2448" s="38" t="s">
        <v>1798</v>
      </c>
      <c r="C2448" s="38" t="s">
        <v>528</v>
      </c>
      <c r="D2448" s="38" t="s">
        <v>288</v>
      </c>
      <c r="E2448" s="38" t="s">
        <v>365</v>
      </c>
      <c r="F2448" s="37" t="s">
        <v>1899</v>
      </c>
      <c r="G2448" s="38" t="s">
        <v>1900</v>
      </c>
      <c r="H2448" s="37"/>
      <c r="I2448" s="37"/>
      <c r="J2448" s="37" t="s">
        <v>2072</v>
      </c>
      <c r="K2448" s="40"/>
      <c r="L2448" s="38"/>
      <c r="M2448" s="38"/>
      <c r="N2448" s="37"/>
      <c r="O2448" s="37"/>
      <c r="P2448" s="37"/>
      <c r="Q2448" s="37"/>
      <c r="R2448" s="39"/>
      <c r="S2448" s="37"/>
      <c r="T2448" s="38" t="s">
        <v>293</v>
      </c>
    </row>
    <row r="2449" ht="34.5">
      <c r="A2449" s="38" t="s">
        <v>1797</v>
      </c>
      <c r="B2449" s="38" t="s">
        <v>1798</v>
      </c>
      <c r="C2449" s="38" t="s">
        <v>528</v>
      </c>
      <c r="D2449" s="38" t="s">
        <v>288</v>
      </c>
      <c r="E2449" s="38" t="s">
        <v>365</v>
      </c>
      <c r="F2449" s="37" t="s">
        <v>1899</v>
      </c>
      <c r="G2449" s="38" t="s">
        <v>1900</v>
      </c>
      <c r="H2449" s="37"/>
      <c r="I2449" s="37"/>
      <c r="J2449" s="37" t="s">
        <v>2073</v>
      </c>
      <c r="K2449" s="40"/>
      <c r="L2449" s="38"/>
      <c r="M2449" s="38"/>
      <c r="N2449" s="37"/>
      <c r="O2449" s="37"/>
      <c r="P2449" s="37"/>
      <c r="Q2449" s="37"/>
      <c r="R2449" s="39"/>
      <c r="S2449" s="37"/>
      <c r="T2449" s="38" t="s">
        <v>293</v>
      </c>
    </row>
    <row r="2450" ht="34.5">
      <c r="A2450" s="38" t="s">
        <v>1797</v>
      </c>
      <c r="B2450" s="38" t="s">
        <v>1798</v>
      </c>
      <c r="C2450" s="38" t="s">
        <v>528</v>
      </c>
      <c r="D2450" s="38" t="s">
        <v>288</v>
      </c>
      <c r="E2450" s="38" t="s">
        <v>365</v>
      </c>
      <c r="F2450" s="37" t="s">
        <v>1899</v>
      </c>
      <c r="G2450" s="38" t="s">
        <v>1900</v>
      </c>
      <c r="H2450" s="37"/>
      <c r="I2450" s="37"/>
      <c r="J2450" s="37" t="s">
        <v>2074</v>
      </c>
      <c r="K2450" s="40"/>
      <c r="L2450" s="38"/>
      <c r="M2450" s="38"/>
      <c r="N2450" s="37"/>
      <c r="O2450" s="37"/>
      <c r="P2450" s="37"/>
      <c r="Q2450" s="37"/>
      <c r="R2450" s="39"/>
      <c r="S2450" s="37"/>
      <c r="T2450" s="38" t="s">
        <v>293</v>
      </c>
    </row>
    <row r="2451" ht="34.5">
      <c r="A2451" s="38" t="s">
        <v>1797</v>
      </c>
      <c r="B2451" s="38" t="s">
        <v>1798</v>
      </c>
      <c r="C2451" s="38" t="s">
        <v>528</v>
      </c>
      <c r="D2451" s="38" t="s">
        <v>288</v>
      </c>
      <c r="E2451" s="38" t="s">
        <v>365</v>
      </c>
      <c r="F2451" s="37" t="s">
        <v>1899</v>
      </c>
      <c r="G2451" s="38" t="s">
        <v>1900</v>
      </c>
      <c r="H2451" s="37"/>
      <c r="I2451" s="37"/>
      <c r="J2451" s="37" t="s">
        <v>2075</v>
      </c>
      <c r="K2451" s="40"/>
      <c r="L2451" s="38"/>
      <c r="M2451" s="38"/>
      <c r="N2451" s="37"/>
      <c r="O2451" s="37"/>
      <c r="P2451" s="37"/>
      <c r="Q2451" s="37"/>
      <c r="R2451" s="39"/>
      <c r="S2451" s="37"/>
      <c r="T2451" s="38" t="s">
        <v>293</v>
      </c>
    </row>
    <row r="2452" ht="34.5">
      <c r="A2452" s="38" t="s">
        <v>1797</v>
      </c>
      <c r="B2452" s="38" t="s">
        <v>1798</v>
      </c>
      <c r="C2452" s="38" t="s">
        <v>528</v>
      </c>
      <c r="D2452" s="38" t="s">
        <v>288</v>
      </c>
      <c r="E2452" s="38" t="s">
        <v>365</v>
      </c>
      <c r="F2452" s="37" t="s">
        <v>1899</v>
      </c>
      <c r="G2452" s="38" t="s">
        <v>1900</v>
      </c>
      <c r="H2452" s="37"/>
      <c r="I2452" s="37"/>
      <c r="J2452" s="37" t="s">
        <v>2076</v>
      </c>
      <c r="K2452" s="40"/>
      <c r="L2452" s="38"/>
      <c r="M2452" s="38"/>
      <c r="N2452" s="37"/>
      <c r="O2452" s="37"/>
      <c r="P2452" s="37"/>
      <c r="Q2452" s="37"/>
      <c r="R2452" s="39"/>
      <c r="S2452" s="37"/>
      <c r="T2452" s="38" t="s">
        <v>293</v>
      </c>
    </row>
    <row r="2453" ht="34.5">
      <c r="A2453" s="38" t="s">
        <v>1797</v>
      </c>
      <c r="B2453" s="38" t="s">
        <v>1798</v>
      </c>
      <c r="C2453" s="38" t="s">
        <v>528</v>
      </c>
      <c r="D2453" s="38" t="s">
        <v>288</v>
      </c>
      <c r="E2453" s="38" t="s">
        <v>365</v>
      </c>
      <c r="F2453" s="37" t="s">
        <v>1899</v>
      </c>
      <c r="G2453" s="38" t="s">
        <v>1900</v>
      </c>
      <c r="H2453" s="37"/>
      <c r="I2453" s="37"/>
      <c r="J2453" s="37" t="s">
        <v>2077</v>
      </c>
      <c r="K2453" s="40"/>
      <c r="L2453" s="38"/>
      <c r="M2453" s="38"/>
      <c r="N2453" s="37"/>
      <c r="O2453" s="37"/>
      <c r="P2453" s="37"/>
      <c r="Q2453" s="37"/>
      <c r="R2453" s="39"/>
      <c r="S2453" s="37"/>
      <c r="T2453" s="38" t="s">
        <v>293</v>
      </c>
    </row>
    <row r="2454" ht="34.5">
      <c r="A2454" s="38" t="s">
        <v>1797</v>
      </c>
      <c r="B2454" s="38" t="s">
        <v>1798</v>
      </c>
      <c r="C2454" s="38" t="s">
        <v>528</v>
      </c>
      <c r="D2454" s="38" t="s">
        <v>288</v>
      </c>
      <c r="E2454" s="38" t="s">
        <v>365</v>
      </c>
      <c r="F2454" s="37" t="s">
        <v>1899</v>
      </c>
      <c r="G2454" s="38" t="s">
        <v>1900</v>
      </c>
      <c r="H2454" s="37"/>
      <c r="I2454" s="37"/>
      <c r="J2454" s="37" t="s">
        <v>2078</v>
      </c>
      <c r="K2454" s="40"/>
      <c r="L2454" s="38"/>
      <c r="M2454" s="38"/>
      <c r="N2454" s="37"/>
      <c r="O2454" s="37"/>
      <c r="P2454" s="37"/>
      <c r="Q2454" s="37"/>
      <c r="R2454" s="39"/>
      <c r="S2454" s="37"/>
      <c r="T2454" s="38" t="s">
        <v>293</v>
      </c>
    </row>
    <row r="2455" ht="34.5">
      <c r="A2455" s="38" t="s">
        <v>1797</v>
      </c>
      <c r="B2455" s="38" t="s">
        <v>1798</v>
      </c>
      <c r="C2455" s="38" t="s">
        <v>528</v>
      </c>
      <c r="D2455" s="38" t="s">
        <v>288</v>
      </c>
      <c r="E2455" s="38" t="s">
        <v>365</v>
      </c>
      <c r="F2455" s="37" t="s">
        <v>1899</v>
      </c>
      <c r="G2455" s="38" t="s">
        <v>1900</v>
      </c>
      <c r="H2455" s="37"/>
      <c r="I2455" s="37"/>
      <c r="J2455" s="37" t="s">
        <v>2079</v>
      </c>
      <c r="K2455" s="40"/>
      <c r="L2455" s="38"/>
      <c r="M2455" s="38"/>
      <c r="N2455" s="37"/>
      <c r="O2455" s="37"/>
      <c r="P2455" s="37"/>
      <c r="Q2455" s="37"/>
      <c r="R2455" s="39"/>
      <c r="S2455" s="37"/>
      <c r="T2455" s="38" t="s">
        <v>293</v>
      </c>
    </row>
    <row r="2456" ht="34.5">
      <c r="A2456" s="38" t="s">
        <v>1797</v>
      </c>
      <c r="B2456" s="38" t="s">
        <v>1798</v>
      </c>
      <c r="C2456" s="38" t="s">
        <v>528</v>
      </c>
      <c r="D2456" s="38" t="s">
        <v>288</v>
      </c>
      <c r="E2456" s="38" t="s">
        <v>365</v>
      </c>
      <c r="F2456" s="37" t="s">
        <v>1899</v>
      </c>
      <c r="G2456" s="38" t="s">
        <v>1900</v>
      </c>
      <c r="H2456" s="37"/>
      <c r="I2456" s="37"/>
      <c r="J2456" s="37" t="s">
        <v>2080</v>
      </c>
      <c r="K2456" s="40"/>
      <c r="L2456" s="38"/>
      <c r="M2456" s="38"/>
      <c r="N2456" s="37"/>
      <c r="O2456" s="37"/>
      <c r="P2456" s="37"/>
      <c r="Q2456" s="37"/>
      <c r="R2456" s="39"/>
      <c r="S2456" s="37"/>
      <c r="T2456" s="38" t="s">
        <v>293</v>
      </c>
    </row>
    <row r="2457" ht="34.5">
      <c r="A2457" s="38" t="s">
        <v>1797</v>
      </c>
      <c r="B2457" s="38" t="s">
        <v>1798</v>
      </c>
      <c r="C2457" s="38" t="s">
        <v>528</v>
      </c>
      <c r="D2457" s="38" t="s">
        <v>288</v>
      </c>
      <c r="E2457" s="38" t="s">
        <v>365</v>
      </c>
      <c r="F2457" s="37" t="s">
        <v>1899</v>
      </c>
      <c r="G2457" s="38" t="s">
        <v>1900</v>
      </c>
      <c r="H2457" s="37"/>
      <c r="I2457" s="37"/>
      <c r="J2457" s="37" t="s">
        <v>2081</v>
      </c>
      <c r="K2457" s="40"/>
      <c r="L2457" s="38"/>
      <c r="M2457" s="38"/>
      <c r="N2457" s="37"/>
      <c r="O2457" s="37"/>
      <c r="P2457" s="37"/>
      <c r="Q2457" s="37"/>
      <c r="R2457" s="39"/>
      <c r="S2457" s="37"/>
      <c r="T2457" s="38" t="s">
        <v>293</v>
      </c>
    </row>
    <row r="2458" ht="34.5">
      <c r="A2458" s="38" t="s">
        <v>1797</v>
      </c>
      <c r="B2458" s="38" t="s">
        <v>1798</v>
      </c>
      <c r="C2458" s="38" t="s">
        <v>528</v>
      </c>
      <c r="D2458" s="38" t="s">
        <v>288</v>
      </c>
      <c r="E2458" s="38" t="s">
        <v>365</v>
      </c>
      <c r="F2458" s="37" t="s">
        <v>1899</v>
      </c>
      <c r="G2458" s="38" t="s">
        <v>1900</v>
      </c>
      <c r="H2458" s="37"/>
      <c r="I2458" s="37"/>
      <c r="J2458" s="37" t="s">
        <v>2082</v>
      </c>
      <c r="K2458" s="40"/>
      <c r="L2458" s="38"/>
      <c r="M2458" s="38"/>
      <c r="N2458" s="37"/>
      <c r="O2458" s="37"/>
      <c r="P2458" s="37"/>
      <c r="Q2458" s="37"/>
      <c r="R2458" s="39"/>
      <c r="S2458" s="37"/>
      <c r="T2458" s="38" t="s">
        <v>293</v>
      </c>
    </row>
    <row r="2459" ht="34.5">
      <c r="A2459" s="38" t="s">
        <v>1797</v>
      </c>
      <c r="B2459" s="38" t="s">
        <v>1798</v>
      </c>
      <c r="C2459" s="38" t="s">
        <v>540</v>
      </c>
      <c r="D2459" s="38" t="s">
        <v>288</v>
      </c>
      <c r="E2459" s="38" t="s">
        <v>365</v>
      </c>
      <c r="F2459" s="37" t="s">
        <v>1899</v>
      </c>
      <c r="G2459" s="38" t="s">
        <v>1900</v>
      </c>
      <c r="H2459" s="37"/>
      <c r="I2459" s="37"/>
      <c r="J2459" s="37" t="s">
        <v>2083</v>
      </c>
      <c r="K2459" s="40"/>
      <c r="L2459" s="38"/>
      <c r="M2459" s="38"/>
      <c r="N2459" s="37"/>
      <c r="O2459" s="37"/>
      <c r="P2459" s="37"/>
      <c r="Q2459" s="37"/>
      <c r="R2459" s="39"/>
      <c r="S2459" s="37"/>
      <c r="T2459" s="38" t="s">
        <v>293</v>
      </c>
    </row>
    <row r="2460" ht="34.5">
      <c r="A2460" s="38" t="s">
        <v>1797</v>
      </c>
      <c r="B2460" s="38" t="s">
        <v>1798</v>
      </c>
      <c r="C2460" s="38" t="s">
        <v>540</v>
      </c>
      <c r="D2460" s="38" t="s">
        <v>288</v>
      </c>
      <c r="E2460" s="38" t="s">
        <v>365</v>
      </c>
      <c r="F2460" s="37" t="s">
        <v>1899</v>
      </c>
      <c r="G2460" s="38" t="s">
        <v>1900</v>
      </c>
      <c r="H2460" s="37"/>
      <c r="I2460" s="37"/>
      <c r="J2460" s="37" t="s">
        <v>2084</v>
      </c>
      <c r="K2460" s="40"/>
      <c r="L2460" s="38"/>
      <c r="M2460" s="38"/>
      <c r="N2460" s="37"/>
      <c r="O2460" s="37"/>
      <c r="P2460" s="37"/>
      <c r="Q2460" s="37"/>
      <c r="R2460" s="39"/>
      <c r="S2460" s="37"/>
      <c r="T2460" s="38" t="s">
        <v>293</v>
      </c>
    </row>
    <row r="2461" ht="34.5">
      <c r="A2461" s="38" t="s">
        <v>1797</v>
      </c>
      <c r="B2461" s="38" t="s">
        <v>1798</v>
      </c>
      <c r="C2461" s="38" t="s">
        <v>540</v>
      </c>
      <c r="D2461" s="38" t="s">
        <v>288</v>
      </c>
      <c r="E2461" s="38" t="s">
        <v>365</v>
      </c>
      <c r="F2461" s="37" t="s">
        <v>1899</v>
      </c>
      <c r="G2461" s="38" t="s">
        <v>1900</v>
      </c>
      <c r="H2461" s="37"/>
      <c r="I2461" s="37"/>
      <c r="J2461" s="37" t="s">
        <v>2085</v>
      </c>
      <c r="K2461" s="40"/>
      <c r="L2461" s="38"/>
      <c r="M2461" s="38"/>
      <c r="N2461" s="37"/>
      <c r="O2461" s="37"/>
      <c r="P2461" s="37"/>
      <c r="Q2461" s="37"/>
      <c r="R2461" s="39"/>
      <c r="S2461" s="37"/>
      <c r="T2461" s="38" t="s">
        <v>293</v>
      </c>
    </row>
    <row r="2462" ht="34.5">
      <c r="A2462" s="38" t="s">
        <v>1797</v>
      </c>
      <c r="B2462" s="38" t="s">
        <v>1798</v>
      </c>
      <c r="C2462" s="38" t="s">
        <v>540</v>
      </c>
      <c r="D2462" s="38" t="s">
        <v>288</v>
      </c>
      <c r="E2462" s="38" t="s">
        <v>365</v>
      </c>
      <c r="F2462" s="37" t="s">
        <v>1899</v>
      </c>
      <c r="G2462" s="38" t="s">
        <v>1900</v>
      </c>
      <c r="H2462" s="37"/>
      <c r="I2462" s="37"/>
      <c r="J2462" s="37" t="s">
        <v>2086</v>
      </c>
      <c r="K2462" s="40"/>
      <c r="L2462" s="38"/>
      <c r="M2462" s="38"/>
      <c r="N2462" s="37"/>
      <c r="O2462" s="37"/>
      <c r="P2462" s="37"/>
      <c r="Q2462" s="37"/>
      <c r="R2462" s="39"/>
      <c r="S2462" s="37"/>
      <c r="T2462" s="38" t="s">
        <v>293</v>
      </c>
    </row>
    <row r="2463" ht="34.5">
      <c r="A2463" s="38" t="s">
        <v>1797</v>
      </c>
      <c r="B2463" s="38" t="s">
        <v>1798</v>
      </c>
      <c r="C2463" s="38" t="s">
        <v>540</v>
      </c>
      <c r="D2463" s="38" t="s">
        <v>288</v>
      </c>
      <c r="E2463" s="38" t="s">
        <v>365</v>
      </c>
      <c r="F2463" s="37" t="s">
        <v>1899</v>
      </c>
      <c r="G2463" s="38" t="s">
        <v>1900</v>
      </c>
      <c r="H2463" s="37"/>
      <c r="I2463" s="37"/>
      <c r="J2463" s="37" t="s">
        <v>2087</v>
      </c>
      <c r="K2463" s="40"/>
      <c r="L2463" s="38"/>
      <c r="M2463" s="38"/>
      <c r="N2463" s="37"/>
      <c r="O2463" s="37"/>
      <c r="P2463" s="37"/>
      <c r="Q2463" s="37"/>
      <c r="R2463" s="39"/>
      <c r="S2463" s="37"/>
      <c r="T2463" s="38" t="s">
        <v>293</v>
      </c>
    </row>
    <row r="2464" ht="34.5">
      <c r="A2464" s="38" t="s">
        <v>1797</v>
      </c>
      <c r="B2464" s="38" t="s">
        <v>1798</v>
      </c>
      <c r="C2464" s="38" t="s">
        <v>540</v>
      </c>
      <c r="D2464" s="38" t="s">
        <v>288</v>
      </c>
      <c r="E2464" s="38" t="s">
        <v>365</v>
      </c>
      <c r="F2464" s="37" t="s">
        <v>1899</v>
      </c>
      <c r="G2464" s="38" t="s">
        <v>1900</v>
      </c>
      <c r="H2464" s="37"/>
      <c r="I2464" s="37"/>
      <c r="J2464" s="37" t="s">
        <v>2088</v>
      </c>
      <c r="K2464" s="40"/>
      <c r="L2464" s="38"/>
      <c r="M2464" s="38"/>
      <c r="N2464" s="37"/>
      <c r="O2464" s="37"/>
      <c r="P2464" s="37"/>
      <c r="Q2464" s="37"/>
      <c r="R2464" s="39"/>
      <c r="S2464" s="37"/>
      <c r="T2464" s="38" t="s">
        <v>293</v>
      </c>
    </row>
    <row r="2465" ht="34.5">
      <c r="A2465" s="38" t="s">
        <v>1797</v>
      </c>
      <c r="B2465" s="38" t="s">
        <v>1798</v>
      </c>
      <c r="C2465" s="38" t="s">
        <v>540</v>
      </c>
      <c r="D2465" s="38" t="s">
        <v>288</v>
      </c>
      <c r="E2465" s="38" t="s">
        <v>365</v>
      </c>
      <c r="F2465" s="37" t="s">
        <v>1899</v>
      </c>
      <c r="G2465" s="38" t="s">
        <v>1900</v>
      </c>
      <c r="H2465" s="37"/>
      <c r="I2465" s="37"/>
      <c r="J2465" s="37" t="s">
        <v>2089</v>
      </c>
      <c r="K2465" s="40"/>
      <c r="L2465" s="38"/>
      <c r="M2465" s="38"/>
      <c r="N2465" s="37"/>
      <c r="O2465" s="37"/>
      <c r="P2465" s="37"/>
      <c r="Q2465" s="37"/>
      <c r="R2465" s="39"/>
      <c r="S2465" s="37"/>
      <c r="T2465" s="38" t="s">
        <v>293</v>
      </c>
    </row>
    <row r="2466" ht="34.5">
      <c r="A2466" s="38" t="s">
        <v>1797</v>
      </c>
      <c r="B2466" s="38" t="s">
        <v>1798</v>
      </c>
      <c r="C2466" s="38" t="s">
        <v>551</v>
      </c>
      <c r="D2466" s="38" t="s">
        <v>288</v>
      </c>
      <c r="E2466" s="38" t="s">
        <v>365</v>
      </c>
      <c r="F2466" s="37" t="s">
        <v>1899</v>
      </c>
      <c r="G2466" s="38" t="s">
        <v>1900</v>
      </c>
      <c r="H2466" s="37"/>
      <c r="I2466" s="37"/>
      <c r="J2466" s="37" t="s">
        <v>2090</v>
      </c>
      <c r="K2466" s="40"/>
      <c r="L2466" s="38"/>
      <c r="M2466" s="38"/>
      <c r="N2466" s="37"/>
      <c r="O2466" s="37"/>
      <c r="P2466" s="37"/>
      <c r="Q2466" s="37"/>
      <c r="R2466" s="39"/>
      <c r="S2466" s="37"/>
      <c r="T2466" s="38" t="s">
        <v>293</v>
      </c>
    </row>
    <row r="2467" ht="34.5">
      <c r="A2467" s="38" t="s">
        <v>1797</v>
      </c>
      <c r="B2467" s="38" t="s">
        <v>1798</v>
      </c>
      <c r="C2467" s="38" t="s">
        <v>551</v>
      </c>
      <c r="D2467" s="38" t="s">
        <v>288</v>
      </c>
      <c r="E2467" s="38" t="s">
        <v>365</v>
      </c>
      <c r="F2467" s="37" t="s">
        <v>1899</v>
      </c>
      <c r="G2467" s="38" t="s">
        <v>1900</v>
      </c>
      <c r="H2467" s="37"/>
      <c r="I2467" s="37"/>
      <c r="J2467" s="37" t="s">
        <v>2091</v>
      </c>
      <c r="K2467" s="40"/>
      <c r="L2467" s="38"/>
      <c r="M2467" s="38"/>
      <c r="N2467" s="37"/>
      <c r="O2467" s="37"/>
      <c r="P2467" s="37"/>
      <c r="Q2467" s="37"/>
      <c r="R2467" s="39"/>
      <c r="S2467" s="37"/>
      <c r="T2467" s="38" t="s">
        <v>293</v>
      </c>
    </row>
    <row r="2468" ht="34.5">
      <c r="A2468" s="38" t="s">
        <v>1797</v>
      </c>
      <c r="B2468" s="38" t="s">
        <v>1798</v>
      </c>
      <c r="C2468" s="38" t="s">
        <v>551</v>
      </c>
      <c r="D2468" s="38" t="s">
        <v>288</v>
      </c>
      <c r="E2468" s="38" t="s">
        <v>365</v>
      </c>
      <c r="F2468" s="37" t="s">
        <v>1899</v>
      </c>
      <c r="G2468" s="38" t="s">
        <v>1900</v>
      </c>
      <c r="H2468" s="37"/>
      <c r="I2468" s="37"/>
      <c r="J2468" s="37" t="s">
        <v>2092</v>
      </c>
      <c r="K2468" s="40"/>
      <c r="L2468" s="38"/>
      <c r="M2468" s="38"/>
      <c r="N2468" s="37"/>
      <c r="O2468" s="37"/>
      <c r="P2468" s="37"/>
      <c r="Q2468" s="37"/>
      <c r="R2468" s="39"/>
      <c r="S2468" s="37"/>
      <c r="T2468" s="38" t="s">
        <v>293</v>
      </c>
    </row>
    <row r="2469" ht="34.5">
      <c r="A2469" s="38" t="s">
        <v>1797</v>
      </c>
      <c r="B2469" s="38" t="s">
        <v>1798</v>
      </c>
      <c r="C2469" s="38" t="s">
        <v>558</v>
      </c>
      <c r="D2469" s="38" t="s">
        <v>288</v>
      </c>
      <c r="E2469" s="38" t="s">
        <v>378</v>
      </c>
      <c r="F2469" s="37" t="s">
        <v>2093</v>
      </c>
      <c r="G2469" s="38" t="s">
        <v>2094</v>
      </c>
      <c r="H2469" s="37"/>
      <c r="I2469" s="37"/>
      <c r="J2469" s="37" t="s">
        <v>2095</v>
      </c>
      <c r="K2469" s="40"/>
      <c r="L2469" s="38"/>
      <c r="M2469" s="38"/>
      <c r="N2469" s="37"/>
      <c r="O2469" s="37"/>
      <c r="P2469" s="37"/>
      <c r="Q2469" s="37"/>
      <c r="R2469" s="39"/>
      <c r="S2469" s="37"/>
      <c r="T2469" s="38" t="s">
        <v>293</v>
      </c>
    </row>
    <row r="2470" ht="34.5">
      <c r="A2470" s="38" t="s">
        <v>1797</v>
      </c>
      <c r="B2470" s="38" t="s">
        <v>1798</v>
      </c>
      <c r="C2470" s="38" t="s">
        <v>558</v>
      </c>
      <c r="D2470" s="38" t="s">
        <v>453</v>
      </c>
      <c r="E2470" s="38" t="s">
        <v>378</v>
      </c>
      <c r="F2470" s="37" t="s">
        <v>2093</v>
      </c>
      <c r="G2470" s="38" t="s">
        <v>2094</v>
      </c>
      <c r="H2470" s="37"/>
      <c r="I2470" s="37"/>
      <c r="J2470" s="37" t="s">
        <v>454</v>
      </c>
      <c r="K2470" s="40"/>
      <c r="L2470" s="38"/>
      <c r="M2470" s="38"/>
      <c r="N2470" s="37"/>
      <c r="O2470" s="37"/>
      <c r="P2470" s="37"/>
      <c r="Q2470" s="37"/>
      <c r="R2470" s="39"/>
      <c r="S2470" s="37"/>
      <c r="T2470" s="38" t="s">
        <v>293</v>
      </c>
    </row>
    <row r="2471" ht="34.5">
      <c r="A2471" s="38" t="s">
        <v>1797</v>
      </c>
      <c r="B2471" s="38" t="s">
        <v>1798</v>
      </c>
      <c r="C2471" s="38" t="s">
        <v>561</v>
      </c>
      <c r="D2471" s="38" t="s">
        <v>456</v>
      </c>
      <c r="E2471" s="38" t="s">
        <v>378</v>
      </c>
      <c r="F2471" s="37" t="s">
        <v>2093</v>
      </c>
      <c r="G2471" s="38" t="s">
        <v>2094</v>
      </c>
      <c r="H2471" s="37"/>
      <c r="I2471" s="37"/>
      <c r="J2471" s="37" t="s">
        <v>457</v>
      </c>
      <c r="K2471" s="40"/>
      <c r="L2471" s="38"/>
      <c r="M2471" s="38"/>
      <c r="N2471" s="37"/>
      <c r="O2471" s="37"/>
      <c r="P2471" s="37"/>
      <c r="Q2471" s="37"/>
      <c r="R2471" s="39"/>
      <c r="S2471" s="37"/>
      <c r="T2471" s="38" t="s">
        <v>293</v>
      </c>
    </row>
    <row r="2472" ht="34.5">
      <c r="A2472" s="38" t="s">
        <v>1797</v>
      </c>
      <c r="B2472" s="38" t="s">
        <v>1798</v>
      </c>
      <c r="C2472" s="38" t="s">
        <v>575</v>
      </c>
      <c r="D2472" s="38" t="s">
        <v>288</v>
      </c>
      <c r="E2472" s="38" t="s">
        <v>378</v>
      </c>
      <c r="F2472" s="37" t="s">
        <v>2093</v>
      </c>
      <c r="G2472" s="38" t="s">
        <v>2094</v>
      </c>
      <c r="H2472" s="37"/>
      <c r="I2472" s="37"/>
      <c r="J2472" s="37" t="s">
        <v>2096</v>
      </c>
      <c r="K2472" s="40"/>
      <c r="L2472" s="38"/>
      <c r="M2472" s="38"/>
      <c r="N2472" s="37"/>
      <c r="O2472" s="37"/>
      <c r="P2472" s="37"/>
      <c r="Q2472" s="37"/>
      <c r="R2472" s="39"/>
      <c r="S2472" s="37"/>
      <c r="T2472" s="38" t="s">
        <v>293</v>
      </c>
    </row>
    <row r="2473" ht="34.5">
      <c r="A2473" s="38" t="s">
        <v>1797</v>
      </c>
      <c r="B2473" s="38" t="s">
        <v>1798</v>
      </c>
      <c r="C2473" s="38" t="s">
        <v>575</v>
      </c>
      <c r="D2473" s="38" t="s">
        <v>459</v>
      </c>
      <c r="E2473" s="38" t="s">
        <v>378</v>
      </c>
      <c r="F2473" s="37" t="s">
        <v>2093</v>
      </c>
      <c r="G2473" s="38" t="s">
        <v>2094</v>
      </c>
      <c r="H2473" s="37"/>
      <c r="I2473" s="37"/>
      <c r="J2473" s="37" t="s">
        <v>460</v>
      </c>
      <c r="K2473" s="40"/>
      <c r="L2473" s="38"/>
      <c r="M2473" s="38"/>
      <c r="N2473" s="37"/>
      <c r="O2473" s="37"/>
      <c r="P2473" s="37"/>
      <c r="Q2473" s="37"/>
      <c r="R2473" s="39"/>
      <c r="S2473" s="37"/>
      <c r="T2473" s="38" t="s">
        <v>293</v>
      </c>
    </row>
    <row r="2474" ht="34.5">
      <c r="A2474" s="38" t="s">
        <v>1797</v>
      </c>
      <c r="B2474" s="38" t="s">
        <v>1798</v>
      </c>
      <c r="C2474" s="38" t="s">
        <v>582</v>
      </c>
      <c r="D2474" s="38" t="s">
        <v>288</v>
      </c>
      <c r="E2474" s="38" t="s">
        <v>378</v>
      </c>
      <c r="F2474" s="37" t="s">
        <v>2093</v>
      </c>
      <c r="G2474" s="38" t="s">
        <v>2094</v>
      </c>
      <c r="H2474" s="37"/>
      <c r="I2474" s="37"/>
      <c r="J2474" s="37" t="s">
        <v>2097</v>
      </c>
      <c r="K2474" s="40"/>
      <c r="L2474" s="38"/>
      <c r="M2474" s="38"/>
      <c r="N2474" s="37"/>
      <c r="O2474" s="37"/>
      <c r="P2474" s="37"/>
      <c r="Q2474" s="37"/>
      <c r="R2474" s="39"/>
      <c r="S2474" s="37"/>
      <c r="T2474" s="38" t="s">
        <v>293</v>
      </c>
    </row>
    <row r="2475" ht="34.5">
      <c r="A2475" s="38" t="s">
        <v>1797</v>
      </c>
      <c r="B2475" s="38" t="s">
        <v>1798</v>
      </c>
      <c r="C2475" s="38" t="s">
        <v>582</v>
      </c>
      <c r="D2475" s="38" t="s">
        <v>288</v>
      </c>
      <c r="E2475" s="38" t="s">
        <v>378</v>
      </c>
      <c r="F2475" s="37" t="s">
        <v>2093</v>
      </c>
      <c r="G2475" s="38" t="s">
        <v>2094</v>
      </c>
      <c r="H2475" s="37"/>
      <c r="I2475" s="37"/>
      <c r="J2475" s="37" t="s">
        <v>1688</v>
      </c>
      <c r="K2475" s="40"/>
      <c r="L2475" s="38"/>
      <c r="M2475" s="38"/>
      <c r="N2475" s="37"/>
      <c r="O2475" s="37"/>
      <c r="P2475" s="37"/>
      <c r="Q2475" s="37"/>
      <c r="R2475" s="39"/>
      <c r="S2475" s="37"/>
      <c r="T2475" s="38" t="s">
        <v>293</v>
      </c>
    </row>
    <row r="2476" ht="34.5">
      <c r="A2476" s="38" t="s">
        <v>1797</v>
      </c>
      <c r="B2476" s="38" t="s">
        <v>1798</v>
      </c>
      <c r="C2476" s="38" t="s">
        <v>582</v>
      </c>
      <c r="D2476" s="38" t="s">
        <v>474</v>
      </c>
      <c r="E2476" s="38" t="s">
        <v>378</v>
      </c>
      <c r="F2476" s="37" t="s">
        <v>2093</v>
      </c>
      <c r="G2476" s="38" t="s">
        <v>2094</v>
      </c>
      <c r="H2476" s="37"/>
      <c r="I2476" s="37"/>
      <c r="J2476" s="37" t="s">
        <v>475</v>
      </c>
      <c r="K2476" s="40"/>
      <c r="L2476" s="38"/>
      <c r="M2476" s="38"/>
      <c r="N2476" s="37"/>
      <c r="O2476" s="37"/>
      <c r="P2476" s="37"/>
      <c r="Q2476" s="37"/>
      <c r="R2476" s="39"/>
      <c r="S2476" s="37"/>
      <c r="T2476" s="38" t="s">
        <v>293</v>
      </c>
    </row>
    <row r="2477" ht="34.5">
      <c r="A2477" s="38" t="s">
        <v>1797</v>
      </c>
      <c r="B2477" s="38" t="s">
        <v>1798</v>
      </c>
      <c r="C2477" s="38" t="s">
        <v>582</v>
      </c>
      <c r="D2477" s="38" t="s">
        <v>288</v>
      </c>
      <c r="E2477" s="38" t="s">
        <v>378</v>
      </c>
      <c r="F2477" s="37" t="s">
        <v>2093</v>
      </c>
      <c r="G2477" s="38" t="s">
        <v>2094</v>
      </c>
      <c r="H2477" s="37"/>
      <c r="I2477" s="37"/>
      <c r="J2477" s="37" t="s">
        <v>2098</v>
      </c>
      <c r="K2477" s="40"/>
      <c r="L2477" s="38"/>
      <c r="M2477" s="38"/>
      <c r="N2477" s="37"/>
      <c r="O2477" s="37"/>
      <c r="P2477" s="37"/>
      <c r="Q2477" s="37"/>
      <c r="R2477" s="39"/>
      <c r="S2477" s="37"/>
      <c r="T2477" s="38" t="s">
        <v>293</v>
      </c>
    </row>
    <row r="2478" ht="34.5">
      <c r="A2478" s="38" t="s">
        <v>1797</v>
      </c>
      <c r="B2478" s="38" t="s">
        <v>1798</v>
      </c>
      <c r="C2478" s="38" t="s">
        <v>582</v>
      </c>
      <c r="D2478" s="38" t="s">
        <v>288</v>
      </c>
      <c r="E2478" s="38" t="s">
        <v>378</v>
      </c>
      <c r="F2478" s="37" t="s">
        <v>2093</v>
      </c>
      <c r="G2478" s="38" t="s">
        <v>2094</v>
      </c>
      <c r="H2478" s="37"/>
      <c r="I2478" s="37"/>
      <c r="J2478" s="37" t="s">
        <v>2099</v>
      </c>
      <c r="K2478" s="40"/>
      <c r="L2478" s="38"/>
      <c r="M2478" s="38"/>
      <c r="N2478" s="37"/>
      <c r="O2478" s="37"/>
      <c r="P2478" s="37"/>
      <c r="Q2478" s="37"/>
      <c r="R2478" s="39"/>
      <c r="S2478" s="37"/>
      <c r="T2478" s="38" t="s">
        <v>293</v>
      </c>
    </row>
    <row r="2479" ht="34.5">
      <c r="A2479" s="38" t="s">
        <v>1797</v>
      </c>
      <c r="B2479" s="38" t="s">
        <v>1798</v>
      </c>
      <c r="C2479" s="38" t="s">
        <v>582</v>
      </c>
      <c r="D2479" s="38" t="s">
        <v>480</v>
      </c>
      <c r="E2479" s="38" t="s">
        <v>378</v>
      </c>
      <c r="F2479" s="37" t="s">
        <v>2093</v>
      </c>
      <c r="G2479" s="38" t="s">
        <v>2094</v>
      </c>
      <c r="H2479" s="37"/>
      <c r="I2479" s="37"/>
      <c r="J2479" s="37" t="s">
        <v>481</v>
      </c>
      <c r="K2479" s="40"/>
      <c r="L2479" s="38"/>
      <c r="M2479" s="38"/>
      <c r="N2479" s="37"/>
      <c r="O2479" s="37"/>
      <c r="P2479" s="37"/>
      <c r="Q2479" s="37"/>
      <c r="R2479" s="39"/>
      <c r="S2479" s="37"/>
      <c r="T2479" s="38" t="s">
        <v>293</v>
      </c>
    </row>
    <row r="2480" ht="34.5">
      <c r="A2480" s="38" t="s">
        <v>1797</v>
      </c>
      <c r="B2480" s="38" t="s">
        <v>1798</v>
      </c>
      <c r="C2480" s="38" t="s">
        <v>597</v>
      </c>
      <c r="D2480" s="38" t="s">
        <v>288</v>
      </c>
      <c r="E2480" s="38" t="s">
        <v>449</v>
      </c>
      <c r="F2480" s="37" t="s">
        <v>2100</v>
      </c>
      <c r="G2480" s="38" t="s">
        <v>70</v>
      </c>
      <c r="H2480" s="37"/>
      <c r="I2480" s="37"/>
      <c r="J2480" s="37" t="s">
        <v>347</v>
      </c>
      <c r="K2480" s="40"/>
      <c r="L2480" s="38"/>
      <c r="M2480" s="38"/>
      <c r="N2480" s="37"/>
      <c r="O2480" s="37"/>
      <c r="P2480" s="37"/>
      <c r="Q2480" s="37"/>
      <c r="R2480" s="39"/>
      <c r="S2480" s="37"/>
      <c r="T2480" s="38" t="s">
        <v>293</v>
      </c>
    </row>
    <row r="2481" ht="34.5">
      <c r="A2481" s="38" t="s">
        <v>1797</v>
      </c>
      <c r="B2481" s="38" t="s">
        <v>1798</v>
      </c>
      <c r="C2481" s="38" t="s">
        <v>597</v>
      </c>
      <c r="D2481" s="38" t="s">
        <v>485</v>
      </c>
      <c r="E2481" s="38" t="s">
        <v>449</v>
      </c>
      <c r="F2481" s="37" t="s">
        <v>2100</v>
      </c>
      <c r="G2481" s="38" t="s">
        <v>70</v>
      </c>
      <c r="H2481" s="37"/>
      <c r="I2481" s="37"/>
      <c r="J2481" s="37" t="s">
        <v>2101</v>
      </c>
      <c r="K2481" s="40"/>
      <c r="L2481" s="38"/>
      <c r="M2481" s="38"/>
      <c r="N2481" s="37"/>
      <c r="O2481" s="37"/>
      <c r="P2481" s="37"/>
      <c r="Q2481" s="37"/>
      <c r="R2481" s="39"/>
      <c r="S2481" s="37"/>
      <c r="T2481" s="38" t="s">
        <v>293</v>
      </c>
    </row>
    <row r="2482" ht="34.5">
      <c r="A2482" s="38" t="s">
        <v>1797</v>
      </c>
      <c r="B2482" s="38" t="s">
        <v>1798</v>
      </c>
      <c r="C2482" s="38" t="s">
        <v>597</v>
      </c>
      <c r="D2482" s="38" t="s">
        <v>288</v>
      </c>
      <c r="E2482" s="38" t="s">
        <v>449</v>
      </c>
      <c r="F2482" s="37" t="s">
        <v>2100</v>
      </c>
      <c r="G2482" s="38" t="s">
        <v>70</v>
      </c>
      <c r="H2482" s="37"/>
      <c r="I2482" s="37"/>
      <c r="J2482" s="37" t="s">
        <v>2102</v>
      </c>
      <c r="K2482" s="40"/>
      <c r="L2482" s="38"/>
      <c r="M2482" s="38"/>
      <c r="N2482" s="37"/>
      <c r="O2482" s="37"/>
      <c r="P2482" s="37"/>
      <c r="Q2482" s="37"/>
      <c r="R2482" s="39"/>
      <c r="S2482" s="37"/>
      <c r="T2482" s="38" t="s">
        <v>293</v>
      </c>
    </row>
    <row r="2483" ht="34.5">
      <c r="A2483" s="38" t="s">
        <v>1797</v>
      </c>
      <c r="B2483" s="38" t="s">
        <v>1798</v>
      </c>
      <c r="C2483" s="38" t="s">
        <v>597</v>
      </c>
      <c r="D2483" s="38" t="s">
        <v>495</v>
      </c>
      <c r="E2483" s="38" t="s">
        <v>449</v>
      </c>
      <c r="F2483" s="37" t="s">
        <v>2100</v>
      </c>
      <c r="G2483" s="38" t="s">
        <v>70</v>
      </c>
      <c r="H2483" s="37"/>
      <c r="I2483" s="37"/>
      <c r="J2483" s="37" t="s">
        <v>496</v>
      </c>
      <c r="K2483" s="40"/>
      <c r="L2483" s="38"/>
      <c r="M2483" s="38"/>
      <c r="N2483" s="37"/>
      <c r="O2483" s="37"/>
      <c r="P2483" s="37"/>
      <c r="Q2483" s="37"/>
      <c r="R2483" s="39"/>
      <c r="S2483" s="37"/>
      <c r="T2483" s="38" t="s">
        <v>293</v>
      </c>
    </row>
    <row r="2484" ht="34.5">
      <c r="A2484" s="38" t="s">
        <v>1797</v>
      </c>
      <c r="B2484" s="38" t="s">
        <v>1798</v>
      </c>
      <c r="C2484" s="38" t="s">
        <v>597</v>
      </c>
      <c r="D2484" s="38" t="s">
        <v>288</v>
      </c>
      <c r="E2484" s="38" t="s">
        <v>449</v>
      </c>
      <c r="F2484" s="37" t="s">
        <v>2100</v>
      </c>
      <c r="G2484" s="38" t="s">
        <v>70</v>
      </c>
      <c r="H2484" s="37"/>
      <c r="I2484" s="37"/>
      <c r="J2484" s="37" t="s">
        <v>2103</v>
      </c>
      <c r="K2484" s="40"/>
      <c r="L2484" s="38"/>
      <c r="M2484" s="38"/>
      <c r="N2484" s="37"/>
      <c r="O2484" s="37"/>
      <c r="P2484" s="37"/>
      <c r="Q2484" s="37"/>
      <c r="R2484" s="39"/>
      <c r="S2484" s="37"/>
      <c r="T2484" s="38" t="s">
        <v>293</v>
      </c>
    </row>
    <row r="2485" ht="34.5">
      <c r="A2485" s="38" t="s">
        <v>1797</v>
      </c>
      <c r="B2485" s="38" t="s">
        <v>1798</v>
      </c>
      <c r="C2485" s="38" t="s">
        <v>597</v>
      </c>
      <c r="D2485" s="38" t="s">
        <v>502</v>
      </c>
      <c r="E2485" s="38" t="s">
        <v>449</v>
      </c>
      <c r="F2485" s="37" t="s">
        <v>2100</v>
      </c>
      <c r="G2485" s="38" t="s">
        <v>70</v>
      </c>
      <c r="H2485" s="37"/>
      <c r="I2485" s="37"/>
      <c r="J2485" s="37" t="s">
        <v>503</v>
      </c>
      <c r="K2485" s="40"/>
      <c r="L2485" s="38"/>
      <c r="M2485" s="38"/>
      <c r="N2485" s="37"/>
      <c r="O2485" s="37"/>
      <c r="P2485" s="37"/>
      <c r="Q2485" s="37"/>
      <c r="R2485" s="39"/>
      <c r="S2485" s="37"/>
      <c r="T2485" s="38" t="s">
        <v>293</v>
      </c>
    </row>
    <row r="2486" ht="34.5">
      <c r="A2486" s="38" t="s">
        <v>1797</v>
      </c>
      <c r="B2486" s="38" t="s">
        <v>1798</v>
      </c>
      <c r="C2486" s="38" t="s">
        <v>608</v>
      </c>
      <c r="D2486" s="38" t="s">
        <v>288</v>
      </c>
      <c r="E2486" s="38" t="s">
        <v>449</v>
      </c>
      <c r="F2486" s="37" t="s">
        <v>2100</v>
      </c>
      <c r="G2486" s="38" t="s">
        <v>70</v>
      </c>
      <c r="H2486" s="37"/>
      <c r="I2486" s="37"/>
      <c r="J2486" s="37" t="s">
        <v>2104</v>
      </c>
      <c r="K2486" s="40"/>
      <c r="L2486" s="38"/>
      <c r="M2486" s="38"/>
      <c r="N2486" s="37"/>
      <c r="O2486" s="37"/>
      <c r="P2486" s="37"/>
      <c r="Q2486" s="37"/>
      <c r="R2486" s="39"/>
      <c r="S2486" s="37"/>
      <c r="T2486" s="38" t="s">
        <v>293</v>
      </c>
    </row>
    <row r="2487" ht="34.5">
      <c r="A2487" s="38" t="s">
        <v>1797</v>
      </c>
      <c r="B2487" s="38" t="s">
        <v>1798</v>
      </c>
      <c r="C2487" s="38" t="s">
        <v>608</v>
      </c>
      <c r="D2487" s="38" t="s">
        <v>288</v>
      </c>
      <c r="E2487" s="38" t="s">
        <v>449</v>
      </c>
      <c r="F2487" s="37" t="s">
        <v>2100</v>
      </c>
      <c r="G2487" s="38" t="s">
        <v>70</v>
      </c>
      <c r="H2487" s="37"/>
      <c r="I2487" s="37"/>
      <c r="J2487" s="37" t="s">
        <v>2105</v>
      </c>
      <c r="K2487" s="40"/>
      <c r="L2487" s="38"/>
      <c r="M2487" s="38"/>
      <c r="N2487" s="37"/>
      <c r="O2487" s="37"/>
      <c r="P2487" s="37"/>
      <c r="Q2487" s="37"/>
      <c r="R2487" s="39"/>
      <c r="S2487" s="37"/>
      <c r="T2487" s="38" t="s">
        <v>293</v>
      </c>
    </row>
    <row r="2488" ht="34.5">
      <c r="A2488" s="38" t="s">
        <v>1797</v>
      </c>
      <c r="B2488" s="38" t="s">
        <v>1798</v>
      </c>
      <c r="C2488" s="38" t="s">
        <v>608</v>
      </c>
      <c r="D2488" s="38" t="s">
        <v>512</v>
      </c>
      <c r="E2488" s="38" t="s">
        <v>449</v>
      </c>
      <c r="F2488" s="37" t="s">
        <v>2100</v>
      </c>
      <c r="G2488" s="38" t="s">
        <v>70</v>
      </c>
      <c r="H2488" s="37"/>
      <c r="I2488" s="37"/>
      <c r="J2488" s="37" t="s">
        <v>513</v>
      </c>
      <c r="K2488" s="40"/>
      <c r="L2488" s="38"/>
      <c r="M2488" s="38"/>
      <c r="N2488" s="37"/>
      <c r="O2488" s="37"/>
      <c r="P2488" s="37"/>
      <c r="Q2488" s="37"/>
      <c r="R2488" s="39"/>
      <c r="S2488" s="37"/>
      <c r="T2488" s="38" t="s">
        <v>293</v>
      </c>
    </row>
    <row r="2489" ht="34.5">
      <c r="A2489" s="38" t="s">
        <v>1797</v>
      </c>
      <c r="B2489" s="38" t="s">
        <v>1798</v>
      </c>
      <c r="C2489" s="38" t="s">
        <v>608</v>
      </c>
      <c r="D2489" s="38" t="s">
        <v>288</v>
      </c>
      <c r="E2489" s="38" t="s">
        <v>477</v>
      </c>
      <c r="F2489" s="37" t="s">
        <v>2106</v>
      </c>
      <c r="G2489" s="38" t="s">
        <v>188</v>
      </c>
      <c r="H2489" s="37"/>
      <c r="I2489" s="37"/>
      <c r="J2489" s="37" t="s">
        <v>2107</v>
      </c>
      <c r="K2489" s="40"/>
      <c r="L2489" s="38"/>
      <c r="M2489" s="38"/>
      <c r="N2489" s="37"/>
      <c r="O2489" s="37"/>
      <c r="P2489" s="37"/>
      <c r="Q2489" s="37"/>
      <c r="R2489" s="39"/>
      <c r="S2489" s="37"/>
      <c r="T2489" s="38" t="s">
        <v>293</v>
      </c>
    </row>
    <row r="2490" ht="34.5">
      <c r="A2490" s="38" t="s">
        <v>1797</v>
      </c>
      <c r="B2490" s="38" t="s">
        <v>1798</v>
      </c>
      <c r="C2490" s="38" t="s">
        <v>608</v>
      </c>
      <c r="D2490" s="38" t="s">
        <v>517</v>
      </c>
      <c r="E2490" s="38" t="s">
        <v>477</v>
      </c>
      <c r="F2490" s="37" t="s">
        <v>2106</v>
      </c>
      <c r="G2490" s="38" t="s">
        <v>188</v>
      </c>
      <c r="H2490" s="37"/>
      <c r="I2490" s="37"/>
      <c r="J2490" s="37" t="s">
        <v>518</v>
      </c>
      <c r="K2490" s="40"/>
      <c r="L2490" s="38"/>
      <c r="M2490" s="38"/>
      <c r="N2490" s="37"/>
      <c r="O2490" s="37"/>
      <c r="P2490" s="37"/>
      <c r="Q2490" s="37"/>
      <c r="R2490" s="39"/>
      <c r="S2490" s="37"/>
      <c r="T2490" s="38" t="s">
        <v>293</v>
      </c>
    </row>
    <row r="2491" ht="34.5">
      <c r="A2491" s="38" t="s">
        <v>1797</v>
      </c>
      <c r="B2491" s="38" t="s">
        <v>1798</v>
      </c>
      <c r="C2491" s="38" t="s">
        <v>614</v>
      </c>
      <c r="D2491" s="38" t="s">
        <v>288</v>
      </c>
      <c r="E2491" s="38" t="s">
        <v>487</v>
      </c>
      <c r="F2491" s="37" t="s">
        <v>2108</v>
      </c>
      <c r="G2491" s="38" t="s">
        <v>367</v>
      </c>
      <c r="H2491" s="37"/>
      <c r="I2491" s="37"/>
      <c r="J2491" s="37" t="s">
        <v>2109</v>
      </c>
      <c r="K2491" s="40"/>
      <c r="L2491" s="38"/>
      <c r="M2491" s="38"/>
      <c r="N2491" s="37"/>
      <c r="O2491" s="37"/>
      <c r="P2491" s="37"/>
      <c r="Q2491" s="37"/>
      <c r="R2491" s="39"/>
      <c r="S2491" s="37"/>
      <c r="T2491" s="38" t="s">
        <v>293</v>
      </c>
    </row>
    <row r="2492" ht="34.5">
      <c r="A2492" s="38" t="s">
        <v>1797</v>
      </c>
      <c r="B2492" s="38" t="s">
        <v>1798</v>
      </c>
      <c r="C2492" s="38" t="s">
        <v>614</v>
      </c>
      <c r="D2492" s="38" t="s">
        <v>521</v>
      </c>
      <c r="E2492" s="38" t="s">
        <v>487</v>
      </c>
      <c r="F2492" s="37" t="s">
        <v>2108</v>
      </c>
      <c r="G2492" s="38" t="s">
        <v>367</v>
      </c>
      <c r="H2492" s="37"/>
      <c r="I2492" s="37"/>
      <c r="J2492" s="37" t="s">
        <v>522</v>
      </c>
      <c r="K2492" s="40"/>
      <c r="L2492" s="38"/>
      <c r="M2492" s="38"/>
      <c r="N2492" s="37"/>
      <c r="O2492" s="37"/>
      <c r="P2492" s="37"/>
      <c r="Q2492" s="37"/>
      <c r="R2492" s="39"/>
      <c r="S2492" s="37"/>
      <c r="T2492" s="38" t="s">
        <v>293</v>
      </c>
    </row>
    <row r="2493" ht="34.5">
      <c r="A2493" s="38" t="s">
        <v>1797</v>
      </c>
      <c r="B2493" s="38" t="s">
        <v>1798</v>
      </c>
      <c r="C2493" s="38" t="s">
        <v>621</v>
      </c>
      <c r="D2493" s="38" t="s">
        <v>288</v>
      </c>
      <c r="E2493" s="38" t="s">
        <v>492</v>
      </c>
      <c r="F2493" s="37" t="s">
        <v>2110</v>
      </c>
      <c r="G2493" s="38" t="s">
        <v>380</v>
      </c>
      <c r="H2493" s="37"/>
      <c r="I2493" s="37"/>
      <c r="J2493" s="37" t="s">
        <v>2111</v>
      </c>
      <c r="K2493" s="40"/>
      <c r="L2493" s="38"/>
      <c r="M2493" s="38"/>
      <c r="N2493" s="37"/>
      <c r="O2493" s="37"/>
      <c r="P2493" s="37"/>
      <c r="Q2493" s="37"/>
      <c r="R2493" s="39"/>
      <c r="S2493" s="37"/>
      <c r="T2493" s="38" t="s">
        <v>293</v>
      </c>
    </row>
    <row r="2494" ht="34.5">
      <c r="A2494" s="38" t="s">
        <v>1797</v>
      </c>
      <c r="B2494" s="38" t="s">
        <v>1798</v>
      </c>
      <c r="C2494" s="38" t="s">
        <v>621</v>
      </c>
      <c r="D2494" s="38" t="s">
        <v>526</v>
      </c>
      <c r="E2494" s="38" t="s">
        <v>492</v>
      </c>
      <c r="F2494" s="37" t="s">
        <v>2110</v>
      </c>
      <c r="G2494" s="38" t="s">
        <v>380</v>
      </c>
      <c r="H2494" s="37"/>
      <c r="I2494" s="37"/>
      <c r="J2494" s="37" t="s">
        <v>527</v>
      </c>
      <c r="K2494" s="40"/>
      <c r="L2494" s="38"/>
      <c r="M2494" s="38"/>
      <c r="N2494" s="37"/>
      <c r="O2494" s="37"/>
      <c r="P2494" s="37"/>
      <c r="Q2494" s="37"/>
      <c r="R2494" s="39"/>
      <c r="S2494" s="37"/>
      <c r="T2494" s="38" t="s">
        <v>293</v>
      </c>
    </row>
    <row r="2495" ht="34.5">
      <c r="A2495" s="38" t="s">
        <v>1797</v>
      </c>
      <c r="B2495" s="38" t="s">
        <v>1798</v>
      </c>
      <c r="C2495" s="38" t="s">
        <v>621</v>
      </c>
      <c r="D2495" s="38" t="s">
        <v>288</v>
      </c>
      <c r="E2495" s="38" t="s">
        <v>492</v>
      </c>
      <c r="F2495" s="37" t="s">
        <v>2110</v>
      </c>
      <c r="G2495" s="38" t="s">
        <v>380</v>
      </c>
      <c r="H2495" s="37"/>
      <c r="I2495" s="37"/>
      <c r="J2495" s="37" t="s">
        <v>2112</v>
      </c>
      <c r="K2495" s="40"/>
      <c r="L2495" s="38"/>
      <c r="M2495" s="38"/>
      <c r="N2495" s="37"/>
      <c r="O2495" s="37"/>
      <c r="P2495" s="37"/>
      <c r="Q2495" s="37"/>
      <c r="R2495" s="39"/>
      <c r="S2495" s="37"/>
      <c r="T2495" s="38" t="s">
        <v>293</v>
      </c>
    </row>
    <row r="2496" ht="34.5">
      <c r="A2496" s="38" t="s">
        <v>1797</v>
      </c>
      <c r="B2496" s="38" t="s">
        <v>1798</v>
      </c>
      <c r="C2496" s="38" t="s">
        <v>621</v>
      </c>
      <c r="D2496" s="38" t="s">
        <v>288</v>
      </c>
      <c r="E2496" s="38" t="s">
        <v>492</v>
      </c>
      <c r="F2496" s="37" t="s">
        <v>2110</v>
      </c>
      <c r="G2496" s="38" t="s">
        <v>380</v>
      </c>
      <c r="H2496" s="37"/>
      <c r="I2496" s="37"/>
      <c r="J2496" s="37" t="s">
        <v>2113</v>
      </c>
      <c r="K2496" s="40"/>
      <c r="L2496" s="38"/>
      <c r="M2496" s="38"/>
      <c r="N2496" s="37"/>
      <c r="O2496" s="37"/>
      <c r="P2496" s="37"/>
      <c r="Q2496" s="37"/>
      <c r="R2496" s="39"/>
      <c r="S2496" s="37"/>
      <c r="T2496" s="38" t="s">
        <v>293</v>
      </c>
    </row>
    <row r="2497" ht="34.5">
      <c r="A2497" s="38" t="s">
        <v>1797</v>
      </c>
      <c r="B2497" s="38" t="s">
        <v>1798</v>
      </c>
      <c r="C2497" s="38" t="s">
        <v>624</v>
      </c>
      <c r="D2497" s="38" t="s">
        <v>288</v>
      </c>
      <c r="E2497" s="38" t="s">
        <v>492</v>
      </c>
      <c r="F2497" s="37" t="s">
        <v>2110</v>
      </c>
      <c r="G2497" s="38" t="s">
        <v>380</v>
      </c>
      <c r="H2497" s="37"/>
      <c r="I2497" s="37"/>
      <c r="J2497" s="37" t="s">
        <v>2114</v>
      </c>
      <c r="K2497" s="40"/>
      <c r="L2497" s="38"/>
      <c r="M2497" s="38"/>
      <c r="N2497" s="37"/>
      <c r="O2497" s="37"/>
      <c r="P2497" s="37"/>
      <c r="Q2497" s="37"/>
      <c r="R2497" s="39"/>
      <c r="S2497" s="37"/>
      <c r="T2497" s="38" t="s">
        <v>293</v>
      </c>
    </row>
    <row r="2498" ht="34.5">
      <c r="A2498" s="38" t="s">
        <v>1797</v>
      </c>
      <c r="B2498" s="38" t="s">
        <v>1798</v>
      </c>
      <c r="C2498" s="38" t="s">
        <v>624</v>
      </c>
      <c r="D2498" s="38" t="s">
        <v>532</v>
      </c>
      <c r="E2498" s="38" t="s">
        <v>492</v>
      </c>
      <c r="F2498" s="37" t="s">
        <v>2110</v>
      </c>
      <c r="G2498" s="38" t="s">
        <v>380</v>
      </c>
      <c r="H2498" s="37"/>
      <c r="I2498" s="37"/>
      <c r="J2498" s="37" t="s">
        <v>533</v>
      </c>
      <c r="K2498" s="40"/>
      <c r="L2498" s="38"/>
      <c r="M2498" s="38"/>
      <c r="N2498" s="37"/>
      <c r="O2498" s="37"/>
      <c r="P2498" s="37"/>
      <c r="Q2498" s="37"/>
      <c r="R2498" s="39"/>
      <c r="S2498" s="37"/>
      <c r="T2498" s="38" t="s">
        <v>293</v>
      </c>
    </row>
    <row r="2499" ht="34.5">
      <c r="A2499" s="38" t="s">
        <v>1797</v>
      </c>
      <c r="B2499" s="38" t="s">
        <v>1798</v>
      </c>
      <c r="C2499" s="38" t="s">
        <v>624</v>
      </c>
      <c r="D2499" s="38" t="s">
        <v>288</v>
      </c>
      <c r="E2499" s="38" t="s">
        <v>492</v>
      </c>
      <c r="F2499" s="37" t="s">
        <v>2110</v>
      </c>
      <c r="G2499" s="38" t="s">
        <v>380</v>
      </c>
      <c r="H2499" s="37"/>
      <c r="I2499" s="37"/>
      <c r="J2499" s="37" t="s">
        <v>395</v>
      </c>
      <c r="K2499" s="40"/>
      <c r="L2499" s="38"/>
      <c r="M2499" s="38"/>
      <c r="N2499" s="37"/>
      <c r="O2499" s="37"/>
      <c r="P2499" s="37"/>
      <c r="Q2499" s="37"/>
      <c r="R2499" s="39"/>
      <c r="S2499" s="37"/>
      <c r="T2499" s="38" t="s">
        <v>293</v>
      </c>
    </row>
    <row r="2500" ht="34.5">
      <c r="A2500" s="38" t="s">
        <v>1797</v>
      </c>
      <c r="B2500" s="38" t="s">
        <v>1798</v>
      </c>
      <c r="C2500" s="38" t="s">
        <v>624</v>
      </c>
      <c r="D2500" s="38" t="s">
        <v>288</v>
      </c>
      <c r="E2500" s="38" t="s">
        <v>492</v>
      </c>
      <c r="F2500" s="37" t="s">
        <v>2110</v>
      </c>
      <c r="G2500" s="38" t="s">
        <v>380</v>
      </c>
      <c r="H2500" s="37"/>
      <c r="I2500" s="37"/>
      <c r="J2500" s="37" t="s">
        <v>2115</v>
      </c>
      <c r="K2500" s="40"/>
      <c r="L2500" s="38"/>
      <c r="M2500" s="38"/>
      <c r="N2500" s="37"/>
      <c r="O2500" s="37"/>
      <c r="P2500" s="37"/>
      <c r="Q2500" s="37"/>
      <c r="R2500" s="39"/>
      <c r="S2500" s="37"/>
      <c r="T2500" s="38" t="s">
        <v>293</v>
      </c>
    </row>
    <row r="2501" ht="34.5">
      <c r="A2501" s="38" t="s">
        <v>1797</v>
      </c>
      <c r="B2501" s="38" t="s">
        <v>1798</v>
      </c>
      <c r="C2501" s="38" t="s">
        <v>624</v>
      </c>
      <c r="D2501" s="38" t="s">
        <v>288</v>
      </c>
      <c r="E2501" s="38" t="s">
        <v>498</v>
      </c>
      <c r="F2501" s="37" t="s">
        <v>2116</v>
      </c>
      <c r="G2501" s="38" t="s">
        <v>367</v>
      </c>
      <c r="H2501" s="37"/>
      <c r="I2501" s="37"/>
      <c r="J2501" s="37" t="s">
        <v>2117</v>
      </c>
      <c r="K2501" s="40"/>
      <c r="L2501" s="38"/>
      <c r="M2501" s="38"/>
      <c r="N2501" s="37"/>
      <c r="O2501" s="37"/>
      <c r="P2501" s="37"/>
      <c r="Q2501" s="37"/>
      <c r="R2501" s="39"/>
      <c r="S2501" s="37"/>
      <c r="T2501" s="38" t="s">
        <v>293</v>
      </c>
    </row>
    <row r="2502" ht="34.5">
      <c r="A2502" s="38" t="s">
        <v>1797</v>
      </c>
      <c r="B2502" s="38" t="s">
        <v>1798</v>
      </c>
      <c r="C2502" s="38" t="s">
        <v>624</v>
      </c>
      <c r="D2502" s="38" t="s">
        <v>538</v>
      </c>
      <c r="E2502" s="38" t="s">
        <v>498</v>
      </c>
      <c r="F2502" s="37" t="s">
        <v>2116</v>
      </c>
      <c r="G2502" s="38" t="s">
        <v>367</v>
      </c>
      <c r="H2502" s="37"/>
      <c r="I2502" s="37"/>
      <c r="J2502" s="37" t="s">
        <v>539</v>
      </c>
      <c r="K2502" s="40"/>
      <c r="L2502" s="38"/>
      <c r="M2502" s="38"/>
      <c r="N2502" s="37"/>
      <c r="O2502" s="37"/>
      <c r="P2502" s="37"/>
      <c r="Q2502" s="37"/>
      <c r="R2502" s="39"/>
      <c r="S2502" s="37"/>
      <c r="T2502" s="38" t="s">
        <v>293</v>
      </c>
    </row>
    <row r="2503" ht="34.5">
      <c r="A2503" s="38" t="s">
        <v>1797</v>
      </c>
      <c r="B2503" s="38" t="s">
        <v>1798</v>
      </c>
      <c r="C2503" s="38" t="s">
        <v>637</v>
      </c>
      <c r="D2503" s="38" t="s">
        <v>288</v>
      </c>
      <c r="E2503" s="38" t="s">
        <v>498</v>
      </c>
      <c r="F2503" s="37" t="s">
        <v>2116</v>
      </c>
      <c r="G2503" s="38" t="s">
        <v>367</v>
      </c>
      <c r="H2503" s="37"/>
      <c r="I2503" s="37"/>
      <c r="J2503" s="37" t="s">
        <v>2118</v>
      </c>
      <c r="K2503" s="40"/>
      <c r="L2503" s="38"/>
      <c r="M2503" s="38"/>
      <c r="N2503" s="37"/>
      <c r="O2503" s="37"/>
      <c r="P2503" s="37"/>
      <c r="Q2503" s="37"/>
      <c r="R2503" s="39"/>
      <c r="S2503" s="37"/>
      <c r="T2503" s="38" t="s">
        <v>293</v>
      </c>
    </row>
    <row r="2504" ht="34.5">
      <c r="A2504" s="38" t="s">
        <v>1797</v>
      </c>
      <c r="B2504" s="38" t="s">
        <v>1798</v>
      </c>
      <c r="C2504" s="38" t="s">
        <v>637</v>
      </c>
      <c r="D2504" s="38" t="s">
        <v>544</v>
      </c>
      <c r="E2504" s="38" t="s">
        <v>498</v>
      </c>
      <c r="F2504" s="37" t="s">
        <v>2116</v>
      </c>
      <c r="G2504" s="38" t="s">
        <v>367</v>
      </c>
      <c r="H2504" s="37"/>
      <c r="I2504" s="37"/>
      <c r="J2504" s="37" t="s">
        <v>545</v>
      </c>
      <c r="K2504" s="40"/>
      <c r="L2504" s="38"/>
      <c r="M2504" s="38"/>
      <c r="N2504" s="37"/>
      <c r="O2504" s="37"/>
      <c r="P2504" s="37"/>
      <c r="Q2504" s="37"/>
      <c r="R2504" s="39"/>
      <c r="S2504" s="37"/>
      <c r="T2504" s="38" t="s">
        <v>293</v>
      </c>
    </row>
    <row r="2505" ht="34.5">
      <c r="A2505" s="38" t="s">
        <v>1797</v>
      </c>
      <c r="B2505" s="38" t="s">
        <v>1798</v>
      </c>
      <c r="C2505" s="38" t="s">
        <v>637</v>
      </c>
      <c r="D2505" s="38" t="s">
        <v>288</v>
      </c>
      <c r="E2505" s="38" t="s">
        <v>498</v>
      </c>
      <c r="F2505" s="37" t="s">
        <v>2116</v>
      </c>
      <c r="G2505" s="38" t="s">
        <v>367</v>
      </c>
      <c r="H2505" s="37"/>
      <c r="I2505" s="37"/>
      <c r="J2505" s="37" t="s">
        <v>2119</v>
      </c>
      <c r="K2505" s="40"/>
      <c r="L2505" s="38"/>
      <c r="M2505" s="38"/>
      <c r="N2505" s="37"/>
      <c r="O2505" s="37"/>
      <c r="P2505" s="37"/>
      <c r="Q2505" s="37"/>
      <c r="R2505" s="39"/>
      <c r="S2505" s="37"/>
      <c r="T2505" s="38" t="s">
        <v>293</v>
      </c>
    </row>
    <row r="2506" ht="34.5">
      <c r="A2506" s="38" t="s">
        <v>1797</v>
      </c>
      <c r="B2506" s="38" t="s">
        <v>1798</v>
      </c>
      <c r="C2506" s="38" t="s">
        <v>637</v>
      </c>
      <c r="D2506" s="38" t="s">
        <v>288</v>
      </c>
      <c r="E2506" s="38" t="s">
        <v>498</v>
      </c>
      <c r="F2506" s="37" t="s">
        <v>2116</v>
      </c>
      <c r="G2506" s="38" t="s">
        <v>367</v>
      </c>
      <c r="H2506" s="37"/>
      <c r="I2506" s="37"/>
      <c r="J2506" s="37" t="s">
        <v>2120</v>
      </c>
      <c r="K2506" s="40"/>
      <c r="L2506" s="38"/>
      <c r="M2506" s="38"/>
      <c r="N2506" s="37"/>
      <c r="O2506" s="37"/>
      <c r="P2506" s="37"/>
      <c r="Q2506" s="37"/>
      <c r="R2506" s="39"/>
      <c r="S2506" s="37"/>
      <c r="T2506" s="38" t="s">
        <v>293</v>
      </c>
    </row>
    <row r="2507" ht="34.5">
      <c r="A2507" s="38" t="s">
        <v>1797</v>
      </c>
      <c r="B2507" s="38" t="s">
        <v>1798</v>
      </c>
      <c r="C2507" s="38" t="s">
        <v>637</v>
      </c>
      <c r="D2507" s="38" t="s">
        <v>288</v>
      </c>
      <c r="E2507" s="38" t="s">
        <v>498</v>
      </c>
      <c r="F2507" s="37" t="s">
        <v>2116</v>
      </c>
      <c r="G2507" s="38" t="s">
        <v>367</v>
      </c>
      <c r="H2507" s="37"/>
      <c r="I2507" s="37"/>
      <c r="J2507" s="37" t="s">
        <v>2121</v>
      </c>
      <c r="K2507" s="40"/>
      <c r="L2507" s="38"/>
      <c r="M2507" s="38"/>
      <c r="N2507" s="37"/>
      <c r="O2507" s="37"/>
      <c r="P2507" s="37"/>
      <c r="Q2507" s="37"/>
      <c r="R2507" s="39"/>
      <c r="S2507" s="37"/>
      <c r="T2507" s="38" t="s">
        <v>293</v>
      </c>
    </row>
    <row r="2508" ht="34.5">
      <c r="A2508" s="38" t="s">
        <v>1797</v>
      </c>
      <c r="B2508" s="38" t="s">
        <v>1798</v>
      </c>
      <c r="C2508" s="38" t="s">
        <v>637</v>
      </c>
      <c r="D2508" s="38" t="s">
        <v>559</v>
      </c>
      <c r="E2508" s="38" t="s">
        <v>498</v>
      </c>
      <c r="F2508" s="37" t="s">
        <v>2116</v>
      </c>
      <c r="G2508" s="38" t="s">
        <v>367</v>
      </c>
      <c r="H2508" s="37"/>
      <c r="I2508" s="37"/>
      <c r="J2508" s="37" t="s">
        <v>1677</v>
      </c>
      <c r="K2508" s="40"/>
      <c r="L2508" s="38"/>
      <c r="M2508" s="38"/>
      <c r="N2508" s="37"/>
      <c r="O2508" s="37"/>
      <c r="P2508" s="37"/>
      <c r="Q2508" s="37"/>
      <c r="R2508" s="39"/>
      <c r="S2508" s="37"/>
      <c r="T2508" s="38" t="s">
        <v>293</v>
      </c>
    </row>
    <row r="2509" ht="34.5">
      <c r="A2509" s="38" t="s">
        <v>1797</v>
      </c>
      <c r="B2509" s="38" t="s">
        <v>1798</v>
      </c>
      <c r="C2509" s="38" t="s">
        <v>641</v>
      </c>
      <c r="D2509" s="38" t="s">
        <v>288</v>
      </c>
      <c r="E2509" s="38" t="s">
        <v>498</v>
      </c>
      <c r="F2509" s="37" t="s">
        <v>2116</v>
      </c>
      <c r="G2509" s="38" t="s">
        <v>367</v>
      </c>
      <c r="H2509" s="37"/>
      <c r="I2509" s="37"/>
      <c r="J2509" s="37" t="s">
        <v>2122</v>
      </c>
      <c r="K2509" s="40"/>
      <c r="L2509" s="38"/>
      <c r="M2509" s="38"/>
      <c r="N2509" s="37"/>
      <c r="O2509" s="37"/>
      <c r="P2509" s="37"/>
      <c r="Q2509" s="37"/>
      <c r="R2509" s="39"/>
      <c r="S2509" s="37"/>
      <c r="T2509" s="38" t="s">
        <v>293</v>
      </c>
    </row>
    <row r="2510" ht="34.5">
      <c r="A2510" s="38" t="s">
        <v>1797</v>
      </c>
      <c r="B2510" s="38" t="s">
        <v>1798</v>
      </c>
      <c r="C2510" s="38" t="s">
        <v>641</v>
      </c>
      <c r="D2510" s="38" t="s">
        <v>966</v>
      </c>
      <c r="E2510" s="38" t="s">
        <v>498</v>
      </c>
      <c r="F2510" s="37" t="s">
        <v>2116</v>
      </c>
      <c r="G2510" s="38" t="s">
        <v>367</v>
      </c>
      <c r="H2510" s="37"/>
      <c r="I2510" s="37"/>
      <c r="J2510" s="37" t="s">
        <v>1103</v>
      </c>
      <c r="K2510" s="40"/>
      <c r="L2510" s="38"/>
      <c r="M2510" s="38"/>
      <c r="N2510" s="37"/>
      <c r="O2510" s="37"/>
      <c r="P2510" s="37"/>
      <c r="Q2510" s="37"/>
      <c r="R2510" s="39"/>
      <c r="S2510" s="37"/>
      <c r="T2510" s="38" t="s">
        <v>293</v>
      </c>
    </row>
    <row r="2511" ht="34.5">
      <c r="A2511" s="38" t="s">
        <v>1797</v>
      </c>
      <c r="B2511" s="38" t="s">
        <v>1798</v>
      </c>
      <c r="C2511" s="38" t="s">
        <v>641</v>
      </c>
      <c r="D2511" s="38" t="s">
        <v>288</v>
      </c>
      <c r="E2511" s="38" t="s">
        <v>498</v>
      </c>
      <c r="F2511" s="37" t="s">
        <v>2116</v>
      </c>
      <c r="G2511" s="38" t="s">
        <v>367</v>
      </c>
      <c r="H2511" s="37"/>
      <c r="I2511" s="37"/>
      <c r="J2511" s="37" t="s">
        <v>2123</v>
      </c>
      <c r="K2511" s="40"/>
      <c r="L2511" s="38"/>
      <c r="M2511" s="38"/>
      <c r="N2511" s="37"/>
      <c r="O2511" s="37"/>
      <c r="P2511" s="37"/>
      <c r="Q2511" s="37"/>
      <c r="R2511" s="39"/>
      <c r="S2511" s="37"/>
      <c r="T2511" s="38" t="s">
        <v>293</v>
      </c>
    </row>
    <row r="2512" ht="34.5">
      <c r="A2512" s="38" t="s">
        <v>1797</v>
      </c>
      <c r="B2512" s="38" t="s">
        <v>1798</v>
      </c>
      <c r="C2512" s="38" t="s">
        <v>641</v>
      </c>
      <c r="D2512" s="38" t="s">
        <v>288</v>
      </c>
      <c r="E2512" s="38" t="s">
        <v>498</v>
      </c>
      <c r="F2512" s="37" t="s">
        <v>2116</v>
      </c>
      <c r="G2512" s="38" t="s">
        <v>367</v>
      </c>
      <c r="H2512" s="37"/>
      <c r="I2512" s="37"/>
      <c r="J2512" s="37" t="s">
        <v>2124</v>
      </c>
      <c r="K2512" s="40"/>
      <c r="L2512" s="38"/>
      <c r="M2512" s="38"/>
      <c r="N2512" s="37"/>
      <c r="O2512" s="37"/>
      <c r="P2512" s="37"/>
      <c r="Q2512" s="37"/>
      <c r="R2512" s="39"/>
      <c r="S2512" s="37"/>
      <c r="T2512" s="38" t="s">
        <v>293</v>
      </c>
    </row>
    <row r="2513" ht="34.5">
      <c r="A2513" s="38" t="s">
        <v>1797</v>
      </c>
      <c r="B2513" s="38" t="s">
        <v>1798</v>
      </c>
      <c r="C2513" s="38" t="s">
        <v>641</v>
      </c>
      <c r="D2513" s="38" t="s">
        <v>288</v>
      </c>
      <c r="E2513" s="38" t="s">
        <v>498</v>
      </c>
      <c r="F2513" s="37" t="s">
        <v>2116</v>
      </c>
      <c r="G2513" s="38" t="s">
        <v>367</v>
      </c>
      <c r="H2513" s="37"/>
      <c r="I2513" s="37"/>
      <c r="J2513" s="37" t="s">
        <v>2125</v>
      </c>
      <c r="K2513" s="40"/>
      <c r="L2513" s="38"/>
      <c r="M2513" s="38"/>
      <c r="N2513" s="37"/>
      <c r="O2513" s="37"/>
      <c r="P2513" s="37"/>
      <c r="Q2513" s="37"/>
      <c r="R2513" s="39"/>
      <c r="S2513" s="37"/>
      <c r="T2513" s="38" t="s">
        <v>293</v>
      </c>
    </row>
    <row r="2514" ht="34.5">
      <c r="A2514" s="38" t="s">
        <v>1797</v>
      </c>
      <c r="B2514" s="38" t="s">
        <v>1798</v>
      </c>
      <c r="C2514" s="38" t="s">
        <v>641</v>
      </c>
      <c r="D2514" s="38" t="s">
        <v>288</v>
      </c>
      <c r="E2514" s="38" t="s">
        <v>498</v>
      </c>
      <c r="F2514" s="37" t="s">
        <v>2116</v>
      </c>
      <c r="G2514" s="38" t="s">
        <v>367</v>
      </c>
      <c r="H2514" s="37"/>
      <c r="I2514" s="37"/>
      <c r="J2514" s="37" t="s">
        <v>2126</v>
      </c>
      <c r="K2514" s="40"/>
      <c r="L2514" s="38"/>
      <c r="M2514" s="38"/>
      <c r="N2514" s="37"/>
      <c r="O2514" s="37"/>
      <c r="P2514" s="37"/>
      <c r="Q2514" s="37"/>
      <c r="R2514" s="39"/>
      <c r="S2514" s="37"/>
      <c r="T2514" s="38" t="s">
        <v>293</v>
      </c>
    </row>
    <row r="2515" ht="34.5">
      <c r="A2515" s="38" t="s">
        <v>1797</v>
      </c>
      <c r="B2515" s="38" t="s">
        <v>1798</v>
      </c>
      <c r="C2515" s="38" t="s">
        <v>641</v>
      </c>
      <c r="D2515" s="38" t="s">
        <v>288</v>
      </c>
      <c r="E2515" s="38" t="s">
        <v>498</v>
      </c>
      <c r="F2515" s="37" t="s">
        <v>2116</v>
      </c>
      <c r="G2515" s="38" t="s">
        <v>367</v>
      </c>
      <c r="H2515" s="37"/>
      <c r="I2515" s="37"/>
      <c r="J2515" s="37" t="s">
        <v>2127</v>
      </c>
      <c r="K2515" s="40"/>
      <c r="L2515" s="38"/>
      <c r="M2515" s="38"/>
      <c r="N2515" s="37"/>
      <c r="O2515" s="37"/>
      <c r="P2515" s="37"/>
      <c r="Q2515" s="37"/>
      <c r="R2515" s="39"/>
      <c r="S2515" s="37"/>
      <c r="T2515" s="38" t="s">
        <v>293</v>
      </c>
    </row>
    <row r="2516" ht="34.5">
      <c r="A2516" s="38" t="s">
        <v>1797</v>
      </c>
      <c r="B2516" s="38" t="s">
        <v>1798</v>
      </c>
      <c r="C2516" s="38" t="s">
        <v>651</v>
      </c>
      <c r="D2516" s="38" t="s">
        <v>288</v>
      </c>
      <c r="E2516" s="38" t="s">
        <v>498</v>
      </c>
      <c r="F2516" s="37" t="s">
        <v>2116</v>
      </c>
      <c r="G2516" s="38" t="s">
        <v>367</v>
      </c>
      <c r="H2516" s="37"/>
      <c r="I2516" s="37"/>
      <c r="J2516" s="37" t="s">
        <v>2128</v>
      </c>
      <c r="K2516" s="40"/>
      <c r="L2516" s="38"/>
      <c r="M2516" s="38"/>
      <c r="N2516" s="37"/>
      <c r="O2516" s="37"/>
      <c r="P2516" s="37"/>
      <c r="Q2516" s="37"/>
      <c r="R2516" s="39"/>
      <c r="S2516" s="37"/>
      <c r="T2516" s="38" t="s">
        <v>293</v>
      </c>
    </row>
    <row r="2517" ht="34.5">
      <c r="A2517" s="38" t="s">
        <v>1797</v>
      </c>
      <c r="B2517" s="38" t="s">
        <v>1798</v>
      </c>
      <c r="C2517" s="38" t="s">
        <v>651</v>
      </c>
      <c r="D2517" s="38" t="s">
        <v>565</v>
      </c>
      <c r="E2517" s="38" t="s">
        <v>498</v>
      </c>
      <c r="F2517" s="37" t="s">
        <v>2116</v>
      </c>
      <c r="G2517" s="38" t="s">
        <v>367</v>
      </c>
      <c r="H2517" s="37"/>
      <c r="I2517" s="37"/>
      <c r="J2517" s="37" t="s">
        <v>566</v>
      </c>
      <c r="K2517" s="40"/>
      <c r="L2517" s="38"/>
      <c r="M2517" s="38"/>
      <c r="N2517" s="37"/>
      <c r="O2517" s="37"/>
      <c r="P2517" s="37"/>
      <c r="Q2517" s="37"/>
      <c r="R2517" s="39"/>
      <c r="S2517" s="37"/>
      <c r="T2517" s="38" t="s">
        <v>293</v>
      </c>
    </row>
    <row r="2518" ht="34.5">
      <c r="A2518" s="38" t="s">
        <v>1797</v>
      </c>
      <c r="B2518" s="38" t="s">
        <v>1798</v>
      </c>
      <c r="C2518" s="38" t="s">
        <v>657</v>
      </c>
      <c r="D2518" s="38" t="s">
        <v>288</v>
      </c>
      <c r="E2518" s="38" t="s">
        <v>498</v>
      </c>
      <c r="F2518" s="37" t="s">
        <v>2116</v>
      </c>
      <c r="G2518" s="38" t="s">
        <v>367</v>
      </c>
      <c r="H2518" s="37"/>
      <c r="I2518" s="37"/>
      <c r="J2518" s="37" t="s">
        <v>2129</v>
      </c>
      <c r="K2518" s="40"/>
      <c r="L2518" s="38"/>
      <c r="M2518" s="38"/>
      <c r="N2518" s="37"/>
      <c r="O2518" s="37"/>
      <c r="P2518" s="37"/>
      <c r="Q2518" s="37"/>
      <c r="R2518" s="39"/>
      <c r="S2518" s="37"/>
      <c r="T2518" s="38" t="s">
        <v>293</v>
      </c>
    </row>
    <row r="2519" ht="34.5">
      <c r="A2519" s="38" t="s">
        <v>1797</v>
      </c>
      <c r="B2519" s="38" t="s">
        <v>1798</v>
      </c>
      <c r="C2519" s="38" t="s">
        <v>657</v>
      </c>
      <c r="D2519" s="38" t="s">
        <v>573</v>
      </c>
      <c r="E2519" s="38" t="s">
        <v>498</v>
      </c>
      <c r="F2519" s="37" t="s">
        <v>2116</v>
      </c>
      <c r="G2519" s="38" t="s">
        <v>367</v>
      </c>
      <c r="H2519" s="37"/>
      <c r="I2519" s="37"/>
      <c r="J2519" s="37" t="s">
        <v>2130</v>
      </c>
      <c r="K2519" s="40"/>
      <c r="L2519" s="38"/>
      <c r="M2519" s="38"/>
      <c r="N2519" s="37"/>
      <c r="O2519" s="37"/>
      <c r="P2519" s="37"/>
      <c r="Q2519" s="37"/>
      <c r="R2519" s="39"/>
      <c r="S2519" s="37"/>
      <c r="T2519" s="38" t="s">
        <v>293</v>
      </c>
    </row>
    <row r="2520" ht="34.5">
      <c r="A2520" s="38" t="s">
        <v>1797</v>
      </c>
      <c r="B2520" s="38" t="s">
        <v>1798</v>
      </c>
      <c r="C2520" s="38" t="s">
        <v>665</v>
      </c>
      <c r="D2520" s="38" t="s">
        <v>288</v>
      </c>
      <c r="E2520" s="38" t="s">
        <v>498</v>
      </c>
      <c r="F2520" s="37" t="s">
        <v>2116</v>
      </c>
      <c r="G2520" s="38" t="s">
        <v>367</v>
      </c>
      <c r="H2520" s="37"/>
      <c r="I2520" s="37"/>
      <c r="J2520" s="37" t="s">
        <v>2131</v>
      </c>
      <c r="K2520" s="40"/>
      <c r="L2520" s="38"/>
      <c r="M2520" s="38"/>
      <c r="N2520" s="37"/>
      <c r="O2520" s="37"/>
      <c r="P2520" s="37"/>
      <c r="Q2520" s="37"/>
      <c r="R2520" s="39"/>
      <c r="S2520" s="37"/>
      <c r="T2520" s="38" t="s">
        <v>293</v>
      </c>
    </row>
    <row r="2521" ht="34.5">
      <c r="A2521" s="38" t="s">
        <v>1797</v>
      </c>
      <c r="B2521" s="38" t="s">
        <v>1798</v>
      </c>
      <c r="C2521" s="38" t="s">
        <v>665</v>
      </c>
      <c r="D2521" s="38" t="s">
        <v>580</v>
      </c>
      <c r="E2521" s="38" t="s">
        <v>498</v>
      </c>
      <c r="F2521" s="37" t="s">
        <v>2116</v>
      </c>
      <c r="G2521" s="38" t="s">
        <v>367</v>
      </c>
      <c r="H2521" s="37"/>
      <c r="I2521" s="37"/>
      <c r="J2521" s="37" t="s">
        <v>581</v>
      </c>
      <c r="K2521" s="40"/>
      <c r="L2521" s="38"/>
      <c r="M2521" s="38"/>
      <c r="N2521" s="37"/>
      <c r="O2521" s="37"/>
      <c r="P2521" s="37"/>
      <c r="Q2521" s="37"/>
      <c r="R2521" s="39"/>
      <c r="S2521" s="37"/>
      <c r="T2521" s="38" t="s">
        <v>293</v>
      </c>
    </row>
    <row r="2522" ht="34.5">
      <c r="A2522" s="38" t="s">
        <v>1797</v>
      </c>
      <c r="B2522" s="38" t="s">
        <v>1798</v>
      </c>
      <c r="C2522" s="38" t="s">
        <v>676</v>
      </c>
      <c r="D2522" s="38" t="s">
        <v>288</v>
      </c>
      <c r="E2522" s="38" t="s">
        <v>498</v>
      </c>
      <c r="F2522" s="37" t="s">
        <v>2116</v>
      </c>
      <c r="G2522" s="38" t="s">
        <v>367</v>
      </c>
      <c r="H2522" s="37"/>
      <c r="I2522" s="37"/>
      <c r="J2522" s="37" t="s">
        <v>2132</v>
      </c>
      <c r="K2522" s="40"/>
      <c r="L2522" s="38"/>
      <c r="M2522" s="38"/>
      <c r="N2522" s="37"/>
      <c r="O2522" s="37"/>
      <c r="P2522" s="37"/>
      <c r="Q2522" s="37"/>
      <c r="R2522" s="39"/>
      <c r="S2522" s="37"/>
      <c r="T2522" s="38" t="s">
        <v>293</v>
      </c>
    </row>
    <row r="2523" ht="34.5">
      <c r="A2523" s="38" t="s">
        <v>1797</v>
      </c>
      <c r="B2523" s="38" t="s">
        <v>1798</v>
      </c>
      <c r="C2523" s="38" t="s">
        <v>676</v>
      </c>
      <c r="D2523" s="38" t="s">
        <v>584</v>
      </c>
      <c r="E2523" s="38" t="s">
        <v>498</v>
      </c>
      <c r="F2523" s="37" t="s">
        <v>2116</v>
      </c>
      <c r="G2523" s="38" t="s">
        <v>367</v>
      </c>
      <c r="H2523" s="37"/>
      <c r="I2523" s="37"/>
      <c r="J2523" s="37" t="s">
        <v>585</v>
      </c>
      <c r="K2523" s="40"/>
      <c r="L2523" s="38"/>
      <c r="M2523" s="38"/>
      <c r="N2523" s="37"/>
      <c r="O2523" s="37"/>
      <c r="P2523" s="37"/>
      <c r="Q2523" s="37"/>
      <c r="R2523" s="39"/>
      <c r="S2523" s="37"/>
      <c r="T2523" s="38" t="s">
        <v>293</v>
      </c>
    </row>
    <row r="2524" ht="34.5">
      <c r="A2524" s="38" t="s">
        <v>1797</v>
      </c>
      <c r="B2524" s="38" t="s">
        <v>1798</v>
      </c>
      <c r="C2524" s="38" t="s">
        <v>681</v>
      </c>
      <c r="D2524" s="38" t="s">
        <v>288</v>
      </c>
      <c r="E2524" s="38" t="s">
        <v>498</v>
      </c>
      <c r="F2524" s="37" t="s">
        <v>2116</v>
      </c>
      <c r="G2524" s="38" t="s">
        <v>367</v>
      </c>
      <c r="H2524" s="37"/>
      <c r="I2524" s="37"/>
      <c r="J2524" s="37" t="s">
        <v>2133</v>
      </c>
      <c r="K2524" s="40"/>
      <c r="L2524" s="38"/>
      <c r="M2524" s="38"/>
      <c r="N2524" s="37"/>
      <c r="O2524" s="37"/>
      <c r="P2524" s="37"/>
      <c r="Q2524" s="37"/>
      <c r="R2524" s="39"/>
      <c r="S2524" s="37"/>
      <c r="T2524" s="38" t="s">
        <v>293</v>
      </c>
    </row>
    <row r="2525" ht="34.5">
      <c r="A2525" s="38" t="s">
        <v>1797</v>
      </c>
      <c r="B2525" s="38" t="s">
        <v>1798</v>
      </c>
      <c r="C2525" s="38" t="s">
        <v>681</v>
      </c>
      <c r="D2525" s="38" t="s">
        <v>595</v>
      </c>
      <c r="E2525" s="38" t="s">
        <v>498</v>
      </c>
      <c r="F2525" s="37" t="s">
        <v>2116</v>
      </c>
      <c r="G2525" s="38" t="s">
        <v>367</v>
      </c>
      <c r="H2525" s="37"/>
      <c r="I2525" s="37"/>
      <c r="J2525" s="37" t="s">
        <v>596</v>
      </c>
      <c r="K2525" s="40"/>
      <c r="L2525" s="38"/>
      <c r="M2525" s="38"/>
      <c r="N2525" s="37"/>
      <c r="O2525" s="37"/>
      <c r="P2525" s="37"/>
      <c r="Q2525" s="37"/>
      <c r="R2525" s="39"/>
      <c r="S2525" s="37"/>
      <c r="T2525" s="38" t="s">
        <v>293</v>
      </c>
    </row>
    <row r="2526" ht="34.5">
      <c r="A2526" s="38" t="s">
        <v>1797</v>
      </c>
      <c r="B2526" s="38" t="s">
        <v>1798</v>
      </c>
      <c r="C2526" s="38" t="s">
        <v>690</v>
      </c>
      <c r="D2526" s="38" t="s">
        <v>599</v>
      </c>
      <c r="E2526" s="38" t="s">
        <v>498</v>
      </c>
      <c r="F2526" s="37" t="s">
        <v>2116</v>
      </c>
      <c r="G2526" s="38" t="s">
        <v>367</v>
      </c>
      <c r="H2526" s="37"/>
      <c r="I2526" s="37"/>
      <c r="J2526" s="37" t="s">
        <v>600</v>
      </c>
      <c r="K2526" s="40"/>
      <c r="L2526" s="38"/>
      <c r="M2526" s="38"/>
      <c r="N2526" s="37"/>
      <c r="O2526" s="37"/>
      <c r="P2526" s="37"/>
      <c r="Q2526" s="37"/>
      <c r="R2526" s="39"/>
      <c r="S2526" s="37"/>
      <c r="T2526" s="38" t="s">
        <v>293</v>
      </c>
    </row>
    <row r="2527" ht="34.5">
      <c r="A2527" s="38" t="s">
        <v>1797</v>
      </c>
      <c r="B2527" s="38" t="s">
        <v>1798</v>
      </c>
      <c r="C2527" s="38" t="s">
        <v>696</v>
      </c>
      <c r="D2527" s="38" t="s">
        <v>288</v>
      </c>
      <c r="E2527" s="38" t="s">
        <v>498</v>
      </c>
      <c r="F2527" s="37" t="s">
        <v>2116</v>
      </c>
      <c r="G2527" s="38" t="s">
        <v>367</v>
      </c>
      <c r="H2527" s="37"/>
      <c r="I2527" s="37"/>
      <c r="J2527" s="37" t="s">
        <v>2134</v>
      </c>
      <c r="K2527" s="40"/>
      <c r="L2527" s="38"/>
      <c r="M2527" s="38"/>
      <c r="N2527" s="37"/>
      <c r="O2527" s="37"/>
      <c r="P2527" s="37"/>
      <c r="Q2527" s="37"/>
      <c r="R2527" s="39"/>
      <c r="S2527" s="37"/>
      <c r="T2527" s="38" t="s">
        <v>293</v>
      </c>
    </row>
    <row r="2528" ht="34.5">
      <c r="A2528" s="38" t="s">
        <v>1797</v>
      </c>
      <c r="B2528" s="38" t="s">
        <v>1798</v>
      </c>
      <c r="C2528" s="38" t="s">
        <v>696</v>
      </c>
      <c r="D2528" s="38" t="s">
        <v>288</v>
      </c>
      <c r="E2528" s="38" t="s">
        <v>498</v>
      </c>
      <c r="F2528" s="37" t="s">
        <v>2116</v>
      </c>
      <c r="G2528" s="38" t="s">
        <v>367</v>
      </c>
      <c r="H2528" s="37"/>
      <c r="I2528" s="37"/>
      <c r="J2528" s="37" t="s">
        <v>2135</v>
      </c>
      <c r="K2528" s="40"/>
      <c r="L2528" s="38"/>
      <c r="M2528" s="38"/>
      <c r="N2528" s="37"/>
      <c r="O2528" s="37"/>
      <c r="P2528" s="37"/>
      <c r="Q2528" s="37"/>
      <c r="R2528" s="39"/>
      <c r="S2528" s="37"/>
      <c r="T2528" s="38" t="s">
        <v>293</v>
      </c>
    </row>
    <row r="2529" ht="34.5">
      <c r="A2529" s="38" t="s">
        <v>1797</v>
      </c>
      <c r="B2529" s="38" t="s">
        <v>1798</v>
      </c>
      <c r="C2529" s="38" t="s">
        <v>696</v>
      </c>
      <c r="D2529" s="38" t="s">
        <v>603</v>
      </c>
      <c r="E2529" s="38" t="s">
        <v>498</v>
      </c>
      <c r="F2529" s="37" t="s">
        <v>2116</v>
      </c>
      <c r="G2529" s="38" t="s">
        <v>367</v>
      </c>
      <c r="H2529" s="37"/>
      <c r="I2529" s="37"/>
      <c r="J2529" s="37" t="s">
        <v>604</v>
      </c>
      <c r="K2529" s="40"/>
      <c r="L2529" s="38"/>
      <c r="M2529" s="38"/>
      <c r="N2529" s="37"/>
      <c r="O2529" s="37"/>
      <c r="P2529" s="37"/>
      <c r="Q2529" s="37"/>
      <c r="R2529" s="39"/>
      <c r="S2529" s="37"/>
      <c r="T2529" s="38" t="s">
        <v>293</v>
      </c>
    </row>
    <row r="2530" ht="34.5">
      <c r="A2530" s="38" t="s">
        <v>1797</v>
      </c>
      <c r="B2530" s="38" t="s">
        <v>1798</v>
      </c>
      <c r="C2530" s="38" t="s">
        <v>696</v>
      </c>
      <c r="D2530" s="38" t="s">
        <v>619</v>
      </c>
      <c r="E2530" s="38" t="s">
        <v>498</v>
      </c>
      <c r="F2530" s="37" t="s">
        <v>2116</v>
      </c>
      <c r="G2530" s="38" t="s">
        <v>367</v>
      </c>
      <c r="H2530" s="37"/>
      <c r="I2530" s="37"/>
      <c r="J2530" s="37" t="s">
        <v>620</v>
      </c>
      <c r="K2530" s="40"/>
      <c r="L2530" s="38"/>
      <c r="M2530" s="38"/>
      <c r="N2530" s="37"/>
      <c r="O2530" s="37"/>
      <c r="P2530" s="37"/>
      <c r="Q2530" s="37"/>
      <c r="R2530" s="39"/>
      <c r="S2530" s="37"/>
      <c r="T2530" s="38" t="s">
        <v>293</v>
      </c>
    </row>
    <row r="2531" ht="34.5">
      <c r="A2531" s="38" t="s">
        <v>1797</v>
      </c>
      <c r="B2531" s="38" t="s">
        <v>1798</v>
      </c>
      <c r="C2531" s="38" t="s">
        <v>704</v>
      </c>
      <c r="D2531" s="38" t="s">
        <v>288</v>
      </c>
      <c r="E2531" s="38" t="s">
        <v>498</v>
      </c>
      <c r="F2531" s="37" t="s">
        <v>2116</v>
      </c>
      <c r="G2531" s="38" t="s">
        <v>367</v>
      </c>
      <c r="H2531" s="37"/>
      <c r="I2531" s="37"/>
      <c r="J2531" s="37" t="s">
        <v>2136</v>
      </c>
      <c r="K2531" s="40"/>
      <c r="L2531" s="38"/>
      <c r="M2531" s="38"/>
      <c r="N2531" s="37"/>
      <c r="O2531" s="37"/>
      <c r="P2531" s="37"/>
      <c r="Q2531" s="37"/>
      <c r="R2531" s="39"/>
      <c r="S2531" s="37"/>
      <c r="T2531" s="38" t="s">
        <v>293</v>
      </c>
    </row>
    <row r="2532" ht="34.5">
      <c r="A2532" s="38" t="s">
        <v>1797</v>
      </c>
      <c r="B2532" s="38" t="s">
        <v>1798</v>
      </c>
      <c r="C2532" s="38" t="s">
        <v>704</v>
      </c>
      <c r="D2532" s="38" t="s">
        <v>288</v>
      </c>
      <c r="E2532" s="38" t="s">
        <v>498</v>
      </c>
      <c r="F2532" s="37" t="s">
        <v>2116</v>
      </c>
      <c r="G2532" s="38" t="s">
        <v>367</v>
      </c>
      <c r="H2532" s="37"/>
      <c r="I2532" s="37"/>
      <c r="J2532" s="37" t="s">
        <v>2137</v>
      </c>
      <c r="K2532" s="40"/>
      <c r="L2532" s="38"/>
      <c r="M2532" s="38"/>
      <c r="N2532" s="37"/>
      <c r="O2532" s="37"/>
      <c r="P2532" s="37"/>
      <c r="Q2532" s="37"/>
      <c r="R2532" s="39"/>
      <c r="S2532" s="37"/>
      <c r="T2532" s="38" t="s">
        <v>293</v>
      </c>
    </row>
    <row r="2533" ht="34.5">
      <c r="A2533" s="38" t="s">
        <v>1797</v>
      </c>
      <c r="B2533" s="38" t="s">
        <v>1798</v>
      </c>
      <c r="C2533" s="38" t="s">
        <v>704</v>
      </c>
      <c r="D2533" s="38" t="s">
        <v>622</v>
      </c>
      <c r="E2533" s="38" t="s">
        <v>498</v>
      </c>
      <c r="F2533" s="37" t="s">
        <v>2116</v>
      </c>
      <c r="G2533" s="38" t="s">
        <v>367</v>
      </c>
      <c r="H2533" s="37"/>
      <c r="I2533" s="37"/>
      <c r="J2533" s="37" t="s">
        <v>623</v>
      </c>
      <c r="K2533" s="40"/>
      <c r="L2533" s="38"/>
      <c r="M2533" s="38"/>
      <c r="N2533" s="37"/>
      <c r="O2533" s="37"/>
      <c r="P2533" s="37"/>
      <c r="Q2533" s="37"/>
      <c r="R2533" s="39"/>
      <c r="S2533" s="37"/>
      <c r="T2533" s="38" t="s">
        <v>293</v>
      </c>
    </row>
    <row r="2534" ht="34.5">
      <c r="A2534" s="38" t="s">
        <v>1797</v>
      </c>
      <c r="B2534" s="38" t="s">
        <v>1798</v>
      </c>
      <c r="C2534" s="38" t="s">
        <v>717</v>
      </c>
      <c r="D2534" s="38" t="s">
        <v>288</v>
      </c>
      <c r="E2534" s="38" t="s">
        <v>498</v>
      </c>
      <c r="F2534" s="37" t="s">
        <v>2116</v>
      </c>
      <c r="G2534" s="38" t="s">
        <v>367</v>
      </c>
      <c r="H2534" s="37"/>
      <c r="I2534" s="37"/>
      <c r="J2534" s="37" t="s">
        <v>2138</v>
      </c>
      <c r="K2534" s="40"/>
      <c r="L2534" s="38"/>
      <c r="M2534" s="38"/>
      <c r="N2534" s="37"/>
      <c r="O2534" s="37"/>
      <c r="P2534" s="37"/>
      <c r="Q2534" s="37"/>
      <c r="R2534" s="39"/>
      <c r="S2534" s="37"/>
      <c r="T2534" s="38" t="s">
        <v>293</v>
      </c>
    </row>
    <row r="2535" ht="34.5">
      <c r="A2535" s="38" t="s">
        <v>1797</v>
      </c>
      <c r="B2535" s="38" t="s">
        <v>1798</v>
      </c>
      <c r="C2535" s="38" t="s">
        <v>717</v>
      </c>
      <c r="D2535" s="38" t="s">
        <v>288</v>
      </c>
      <c r="E2535" s="38" t="s">
        <v>498</v>
      </c>
      <c r="F2535" s="37" t="s">
        <v>2116</v>
      </c>
      <c r="G2535" s="38" t="s">
        <v>367</v>
      </c>
      <c r="H2535" s="37"/>
      <c r="I2535" s="37"/>
      <c r="J2535" s="37" t="s">
        <v>2139</v>
      </c>
      <c r="K2535" s="40"/>
      <c r="L2535" s="38"/>
      <c r="M2535" s="38"/>
      <c r="N2535" s="37"/>
      <c r="O2535" s="37"/>
      <c r="P2535" s="37"/>
      <c r="Q2535" s="37"/>
      <c r="R2535" s="39"/>
      <c r="S2535" s="37"/>
      <c r="T2535" s="38" t="s">
        <v>293</v>
      </c>
    </row>
    <row r="2536" ht="34.5">
      <c r="A2536" s="38" t="s">
        <v>1797</v>
      </c>
      <c r="B2536" s="38" t="s">
        <v>1798</v>
      </c>
      <c r="C2536" s="38" t="s">
        <v>717</v>
      </c>
      <c r="D2536" s="38" t="s">
        <v>639</v>
      </c>
      <c r="E2536" s="38" t="s">
        <v>498</v>
      </c>
      <c r="F2536" s="37" t="s">
        <v>2116</v>
      </c>
      <c r="G2536" s="38" t="s">
        <v>367</v>
      </c>
      <c r="H2536" s="37"/>
      <c r="I2536" s="37"/>
      <c r="J2536" s="37" t="s">
        <v>2140</v>
      </c>
      <c r="K2536" s="40"/>
      <c r="L2536" s="38"/>
      <c r="M2536" s="38"/>
      <c r="N2536" s="37"/>
      <c r="O2536" s="37"/>
      <c r="P2536" s="37"/>
      <c r="Q2536" s="37"/>
      <c r="R2536" s="39"/>
      <c r="S2536" s="37"/>
      <c r="T2536" s="38" t="s">
        <v>293</v>
      </c>
    </row>
    <row r="2537" ht="34.5">
      <c r="A2537" s="38" t="s">
        <v>1797</v>
      </c>
      <c r="B2537" s="38" t="s">
        <v>1798</v>
      </c>
      <c r="C2537" s="38" t="s">
        <v>731</v>
      </c>
      <c r="D2537" s="38" t="s">
        <v>288</v>
      </c>
      <c r="E2537" s="38" t="s">
        <v>498</v>
      </c>
      <c r="F2537" s="37" t="s">
        <v>2116</v>
      </c>
      <c r="G2537" s="38" t="s">
        <v>367</v>
      </c>
      <c r="H2537" s="37"/>
      <c r="I2537" s="37"/>
      <c r="J2537" s="37" t="s">
        <v>2141</v>
      </c>
      <c r="K2537" s="40"/>
      <c r="L2537" s="38"/>
      <c r="M2537" s="38"/>
      <c r="N2537" s="37"/>
      <c r="O2537" s="37"/>
      <c r="P2537" s="37"/>
      <c r="Q2537" s="37"/>
      <c r="R2537" s="39"/>
      <c r="S2537" s="37"/>
      <c r="T2537" s="38" t="s">
        <v>293</v>
      </c>
    </row>
    <row r="2538" ht="34.5">
      <c r="A2538" s="38" t="s">
        <v>1797</v>
      </c>
      <c r="B2538" s="38" t="s">
        <v>1798</v>
      </c>
      <c r="C2538" s="38" t="s">
        <v>731</v>
      </c>
      <c r="D2538" s="38" t="s">
        <v>288</v>
      </c>
      <c r="E2538" s="38" t="s">
        <v>498</v>
      </c>
      <c r="F2538" s="37" t="s">
        <v>2116</v>
      </c>
      <c r="G2538" s="38" t="s">
        <v>367</v>
      </c>
      <c r="H2538" s="37"/>
      <c r="I2538" s="37"/>
      <c r="J2538" s="37" t="s">
        <v>2142</v>
      </c>
      <c r="K2538" s="40"/>
      <c r="L2538" s="38"/>
      <c r="M2538" s="38"/>
      <c r="N2538" s="37"/>
      <c r="O2538" s="37"/>
      <c r="P2538" s="37"/>
      <c r="Q2538" s="37"/>
      <c r="R2538" s="39"/>
      <c r="S2538" s="37"/>
      <c r="T2538" s="38" t="s">
        <v>293</v>
      </c>
    </row>
    <row r="2539" ht="34.5">
      <c r="A2539" s="38" t="s">
        <v>1797</v>
      </c>
      <c r="B2539" s="38" t="s">
        <v>1798</v>
      </c>
      <c r="C2539" s="38" t="s">
        <v>731</v>
      </c>
      <c r="D2539" s="38" t="s">
        <v>288</v>
      </c>
      <c r="E2539" s="38" t="s">
        <v>498</v>
      </c>
      <c r="F2539" s="37" t="s">
        <v>2116</v>
      </c>
      <c r="G2539" s="38" t="s">
        <v>367</v>
      </c>
      <c r="H2539" s="37"/>
      <c r="I2539" s="37"/>
      <c r="J2539" s="37" t="s">
        <v>2143</v>
      </c>
      <c r="K2539" s="40"/>
      <c r="L2539" s="38"/>
      <c r="M2539" s="38"/>
      <c r="N2539" s="37"/>
      <c r="O2539" s="37"/>
      <c r="P2539" s="37"/>
      <c r="Q2539" s="37"/>
      <c r="R2539" s="39"/>
      <c r="S2539" s="37"/>
      <c r="T2539" s="38" t="s">
        <v>293</v>
      </c>
    </row>
    <row r="2540" ht="34.5">
      <c r="A2540" s="38" t="s">
        <v>1797</v>
      </c>
      <c r="B2540" s="38" t="s">
        <v>1798</v>
      </c>
      <c r="C2540" s="38" t="s">
        <v>731</v>
      </c>
      <c r="D2540" s="38" t="s">
        <v>288</v>
      </c>
      <c r="E2540" s="38" t="s">
        <v>498</v>
      </c>
      <c r="F2540" s="37" t="s">
        <v>2116</v>
      </c>
      <c r="G2540" s="38" t="s">
        <v>367</v>
      </c>
      <c r="H2540" s="37"/>
      <c r="I2540" s="37"/>
      <c r="J2540" s="37" t="s">
        <v>2144</v>
      </c>
      <c r="K2540" s="40"/>
      <c r="L2540" s="38"/>
      <c r="M2540" s="38"/>
      <c r="N2540" s="37"/>
      <c r="O2540" s="37"/>
      <c r="P2540" s="37"/>
      <c r="Q2540" s="37"/>
      <c r="R2540" s="39"/>
      <c r="S2540" s="37"/>
      <c r="T2540" s="38" t="s">
        <v>293</v>
      </c>
    </row>
    <row r="2541" ht="34.5">
      <c r="A2541" s="38" t="s">
        <v>1797</v>
      </c>
      <c r="B2541" s="38" t="s">
        <v>1798</v>
      </c>
      <c r="C2541" s="38" t="s">
        <v>731</v>
      </c>
      <c r="D2541" s="38" t="s">
        <v>288</v>
      </c>
      <c r="E2541" s="38" t="s">
        <v>498</v>
      </c>
      <c r="F2541" s="37" t="s">
        <v>2116</v>
      </c>
      <c r="G2541" s="38" t="s">
        <v>367</v>
      </c>
      <c r="H2541" s="37"/>
      <c r="I2541" s="37"/>
      <c r="J2541" s="37" t="s">
        <v>2145</v>
      </c>
      <c r="K2541" s="40"/>
      <c r="L2541" s="38"/>
      <c r="M2541" s="38"/>
      <c r="N2541" s="37"/>
      <c r="O2541" s="37"/>
      <c r="P2541" s="37"/>
      <c r="Q2541" s="37"/>
      <c r="R2541" s="39"/>
      <c r="S2541" s="37"/>
      <c r="T2541" s="38" t="s">
        <v>293</v>
      </c>
    </row>
    <row r="2542" ht="34.5">
      <c r="A2542" s="38" t="s">
        <v>1797</v>
      </c>
      <c r="B2542" s="38" t="s">
        <v>1798</v>
      </c>
      <c r="C2542" s="38" t="s">
        <v>731</v>
      </c>
      <c r="D2542" s="38" t="s">
        <v>288</v>
      </c>
      <c r="E2542" s="38" t="s">
        <v>498</v>
      </c>
      <c r="F2542" s="37" t="s">
        <v>2116</v>
      </c>
      <c r="G2542" s="38" t="s">
        <v>367</v>
      </c>
      <c r="H2542" s="37"/>
      <c r="I2542" s="37"/>
      <c r="J2542" s="37" t="s">
        <v>2146</v>
      </c>
      <c r="K2542" s="40"/>
      <c r="L2542" s="38"/>
      <c r="M2542" s="38"/>
      <c r="N2542" s="37"/>
      <c r="O2542" s="37"/>
      <c r="P2542" s="37"/>
      <c r="Q2542" s="37"/>
      <c r="R2542" s="39"/>
      <c r="S2542" s="37"/>
      <c r="T2542" s="38" t="s">
        <v>293</v>
      </c>
    </row>
    <row r="2543" ht="34.5">
      <c r="A2543" s="38" t="s">
        <v>1797</v>
      </c>
      <c r="B2543" s="38" t="s">
        <v>1798</v>
      </c>
      <c r="C2543" s="38" t="s">
        <v>731</v>
      </c>
      <c r="D2543" s="38" t="s">
        <v>288</v>
      </c>
      <c r="E2543" s="38" t="s">
        <v>498</v>
      </c>
      <c r="F2543" s="37" t="s">
        <v>2116</v>
      </c>
      <c r="G2543" s="38" t="s">
        <v>367</v>
      </c>
      <c r="H2543" s="37"/>
      <c r="I2543" s="37"/>
      <c r="J2543" s="37" t="s">
        <v>2147</v>
      </c>
      <c r="K2543" s="40"/>
      <c r="L2543" s="38"/>
      <c r="M2543" s="38"/>
      <c r="N2543" s="37"/>
      <c r="O2543" s="37"/>
      <c r="P2543" s="37"/>
      <c r="Q2543" s="37"/>
      <c r="R2543" s="39"/>
      <c r="S2543" s="37"/>
      <c r="T2543" s="38" t="s">
        <v>293</v>
      </c>
    </row>
    <row r="2544" ht="34.5">
      <c r="A2544" s="38" t="s">
        <v>1797</v>
      </c>
      <c r="B2544" s="38" t="s">
        <v>1798</v>
      </c>
      <c r="C2544" s="38" t="s">
        <v>731</v>
      </c>
      <c r="D2544" s="38" t="s">
        <v>288</v>
      </c>
      <c r="E2544" s="38" t="s">
        <v>498</v>
      </c>
      <c r="F2544" s="37" t="s">
        <v>2116</v>
      </c>
      <c r="G2544" s="38" t="s">
        <v>367</v>
      </c>
      <c r="H2544" s="37"/>
      <c r="I2544" s="37"/>
      <c r="J2544" s="37" t="s">
        <v>2148</v>
      </c>
      <c r="K2544" s="40"/>
      <c r="L2544" s="38"/>
      <c r="M2544" s="38"/>
      <c r="N2544" s="37"/>
      <c r="O2544" s="37"/>
      <c r="P2544" s="37"/>
      <c r="Q2544" s="37"/>
      <c r="R2544" s="39"/>
      <c r="S2544" s="37"/>
      <c r="T2544" s="38" t="s">
        <v>293</v>
      </c>
    </row>
    <row r="2545" ht="34.5">
      <c r="A2545" s="38" t="s">
        <v>1797</v>
      </c>
      <c r="B2545" s="38" t="s">
        <v>1798</v>
      </c>
      <c r="C2545" s="38" t="s">
        <v>731</v>
      </c>
      <c r="D2545" s="38" t="s">
        <v>288</v>
      </c>
      <c r="E2545" s="38" t="s">
        <v>498</v>
      </c>
      <c r="F2545" s="37" t="s">
        <v>2116</v>
      </c>
      <c r="G2545" s="38" t="s">
        <v>367</v>
      </c>
      <c r="H2545" s="37"/>
      <c r="I2545" s="37"/>
      <c r="J2545" s="37" t="s">
        <v>2149</v>
      </c>
      <c r="K2545" s="40"/>
      <c r="L2545" s="38"/>
      <c r="M2545" s="38"/>
      <c r="N2545" s="37"/>
      <c r="O2545" s="37"/>
      <c r="P2545" s="37"/>
      <c r="Q2545" s="37"/>
      <c r="R2545" s="39"/>
      <c r="S2545" s="37"/>
      <c r="T2545" s="38" t="s">
        <v>293</v>
      </c>
    </row>
    <row r="2546" ht="34.5">
      <c r="A2546" s="38" t="s">
        <v>1797</v>
      </c>
      <c r="B2546" s="38" t="s">
        <v>1798</v>
      </c>
      <c r="C2546" s="38" t="s">
        <v>731</v>
      </c>
      <c r="D2546" s="38" t="s">
        <v>288</v>
      </c>
      <c r="E2546" s="38" t="s">
        <v>498</v>
      </c>
      <c r="F2546" s="37" t="s">
        <v>2116</v>
      </c>
      <c r="G2546" s="38" t="s">
        <v>367</v>
      </c>
      <c r="H2546" s="37"/>
      <c r="I2546" s="37"/>
      <c r="J2546" s="37" t="s">
        <v>2150</v>
      </c>
      <c r="K2546" s="40"/>
      <c r="L2546" s="38"/>
      <c r="M2546" s="38"/>
      <c r="N2546" s="37"/>
      <c r="O2546" s="37"/>
      <c r="P2546" s="37"/>
      <c r="Q2546" s="37"/>
      <c r="R2546" s="39"/>
      <c r="S2546" s="37"/>
      <c r="T2546" s="38" t="s">
        <v>293</v>
      </c>
    </row>
    <row r="2547" ht="34.5">
      <c r="A2547" s="38" t="s">
        <v>1797</v>
      </c>
      <c r="B2547" s="38" t="s">
        <v>1798</v>
      </c>
      <c r="C2547" s="38" t="s">
        <v>731</v>
      </c>
      <c r="D2547" s="38" t="s">
        <v>288</v>
      </c>
      <c r="E2547" s="38" t="s">
        <v>498</v>
      </c>
      <c r="F2547" s="37" t="s">
        <v>2116</v>
      </c>
      <c r="G2547" s="38" t="s">
        <v>367</v>
      </c>
      <c r="H2547" s="37"/>
      <c r="I2547" s="37"/>
      <c r="J2547" s="37" t="s">
        <v>2151</v>
      </c>
      <c r="K2547" s="40"/>
      <c r="L2547" s="38"/>
      <c r="M2547" s="38"/>
      <c r="N2547" s="37"/>
      <c r="O2547" s="37"/>
      <c r="P2547" s="37"/>
      <c r="Q2547" s="37"/>
      <c r="R2547" s="39"/>
      <c r="S2547" s="37"/>
      <c r="T2547" s="38" t="s">
        <v>293</v>
      </c>
    </row>
    <row r="2548" ht="34.5">
      <c r="A2548" s="38" t="s">
        <v>1797</v>
      </c>
      <c r="B2548" s="38" t="s">
        <v>1798</v>
      </c>
      <c r="C2548" s="38" t="s">
        <v>731</v>
      </c>
      <c r="D2548" s="38" t="s">
        <v>288</v>
      </c>
      <c r="E2548" s="38" t="s">
        <v>498</v>
      </c>
      <c r="F2548" s="37" t="s">
        <v>2116</v>
      </c>
      <c r="G2548" s="38" t="s">
        <v>367</v>
      </c>
      <c r="H2548" s="37"/>
      <c r="I2548" s="37"/>
      <c r="J2548" s="37" t="s">
        <v>2152</v>
      </c>
      <c r="K2548" s="40"/>
      <c r="L2548" s="38"/>
      <c r="M2548" s="38"/>
      <c r="N2548" s="37"/>
      <c r="O2548" s="37"/>
      <c r="P2548" s="37"/>
      <c r="Q2548" s="37"/>
      <c r="R2548" s="39"/>
      <c r="S2548" s="37"/>
      <c r="T2548" s="38" t="s">
        <v>293</v>
      </c>
    </row>
    <row r="2549" ht="34.5">
      <c r="A2549" s="38" t="s">
        <v>1797</v>
      </c>
      <c r="B2549" s="38" t="s">
        <v>1798</v>
      </c>
      <c r="C2549" s="38" t="s">
        <v>744</v>
      </c>
      <c r="D2549" s="38" t="s">
        <v>288</v>
      </c>
      <c r="E2549" s="38" t="s">
        <v>498</v>
      </c>
      <c r="F2549" s="37" t="s">
        <v>2116</v>
      </c>
      <c r="G2549" s="38" t="s">
        <v>367</v>
      </c>
      <c r="H2549" s="37"/>
      <c r="I2549" s="37"/>
      <c r="J2549" s="37" t="s">
        <v>2153</v>
      </c>
      <c r="K2549" s="40"/>
      <c r="L2549" s="38"/>
      <c r="M2549" s="38"/>
      <c r="N2549" s="37"/>
      <c r="O2549" s="37"/>
      <c r="P2549" s="37"/>
      <c r="Q2549" s="37"/>
      <c r="R2549" s="39"/>
      <c r="S2549" s="37"/>
      <c r="T2549" s="38" t="s">
        <v>293</v>
      </c>
    </row>
    <row r="2550" ht="34.5">
      <c r="A2550" s="38" t="s">
        <v>1797</v>
      </c>
      <c r="B2550" s="38" t="s">
        <v>1798</v>
      </c>
      <c r="C2550" s="38" t="s">
        <v>744</v>
      </c>
      <c r="D2550" s="38" t="s">
        <v>288</v>
      </c>
      <c r="E2550" s="38" t="s">
        <v>498</v>
      </c>
      <c r="F2550" s="37" t="s">
        <v>2116</v>
      </c>
      <c r="G2550" s="38" t="s">
        <v>367</v>
      </c>
      <c r="H2550" s="37"/>
      <c r="I2550" s="37"/>
      <c r="J2550" s="37" t="s">
        <v>2154</v>
      </c>
      <c r="K2550" s="40"/>
      <c r="L2550" s="38"/>
      <c r="M2550" s="38"/>
      <c r="N2550" s="37"/>
      <c r="O2550" s="37"/>
      <c r="P2550" s="37"/>
      <c r="Q2550" s="37"/>
      <c r="R2550" s="39"/>
      <c r="S2550" s="37"/>
      <c r="T2550" s="38" t="s">
        <v>293</v>
      </c>
    </row>
    <row r="2551" ht="34.5">
      <c r="A2551" s="38" t="s">
        <v>1797</v>
      </c>
      <c r="B2551" s="38" t="s">
        <v>1798</v>
      </c>
      <c r="C2551" s="38" t="s">
        <v>744</v>
      </c>
      <c r="D2551" s="38" t="s">
        <v>288</v>
      </c>
      <c r="E2551" s="38" t="s">
        <v>498</v>
      </c>
      <c r="F2551" s="37" t="s">
        <v>2116</v>
      </c>
      <c r="G2551" s="38" t="s">
        <v>367</v>
      </c>
      <c r="H2551" s="37"/>
      <c r="I2551" s="37"/>
      <c r="J2551" s="37" t="s">
        <v>2155</v>
      </c>
      <c r="K2551" s="40"/>
      <c r="L2551" s="38"/>
      <c r="M2551" s="38"/>
      <c r="N2551" s="37"/>
      <c r="O2551" s="37"/>
      <c r="P2551" s="37"/>
      <c r="Q2551" s="37"/>
      <c r="R2551" s="39"/>
      <c r="S2551" s="37"/>
      <c r="T2551" s="38" t="s">
        <v>293</v>
      </c>
    </row>
    <row r="2552" ht="34.5">
      <c r="A2552" s="38" t="s">
        <v>1797</v>
      </c>
      <c r="B2552" s="38" t="s">
        <v>1798</v>
      </c>
      <c r="C2552" s="38" t="s">
        <v>744</v>
      </c>
      <c r="D2552" s="38" t="s">
        <v>288</v>
      </c>
      <c r="E2552" s="38" t="s">
        <v>498</v>
      </c>
      <c r="F2552" s="37" t="s">
        <v>2116</v>
      </c>
      <c r="G2552" s="38" t="s">
        <v>367</v>
      </c>
      <c r="H2552" s="37"/>
      <c r="I2552" s="37"/>
      <c r="J2552" s="37" t="s">
        <v>2156</v>
      </c>
      <c r="K2552" s="40"/>
      <c r="L2552" s="38"/>
      <c r="M2552" s="38"/>
      <c r="N2552" s="37"/>
      <c r="O2552" s="37"/>
      <c r="P2552" s="37"/>
      <c r="Q2552" s="37"/>
      <c r="R2552" s="39"/>
      <c r="S2552" s="37"/>
      <c r="T2552" s="38" t="s">
        <v>293</v>
      </c>
    </row>
    <row r="2553" ht="34.5">
      <c r="A2553" s="38" t="s">
        <v>1797</v>
      </c>
      <c r="B2553" s="38" t="s">
        <v>1798</v>
      </c>
      <c r="C2553" s="38" t="s">
        <v>744</v>
      </c>
      <c r="D2553" s="38" t="s">
        <v>655</v>
      </c>
      <c r="E2553" s="38" t="s">
        <v>498</v>
      </c>
      <c r="F2553" s="37" t="s">
        <v>2116</v>
      </c>
      <c r="G2553" s="38" t="s">
        <v>367</v>
      </c>
      <c r="H2553" s="37"/>
      <c r="I2553" s="37"/>
      <c r="J2553" s="37" t="s">
        <v>656</v>
      </c>
      <c r="K2553" s="40"/>
      <c r="L2553" s="38"/>
      <c r="M2553" s="38"/>
      <c r="N2553" s="37"/>
      <c r="O2553" s="37"/>
      <c r="P2553" s="37"/>
      <c r="Q2553" s="37"/>
      <c r="R2553" s="39"/>
      <c r="S2553" s="37"/>
      <c r="T2553" s="38" t="s">
        <v>293</v>
      </c>
    </row>
    <row r="2554" ht="34.5">
      <c r="A2554" s="38" t="s">
        <v>1797</v>
      </c>
      <c r="B2554" s="38" t="s">
        <v>1798</v>
      </c>
      <c r="C2554" s="38" t="s">
        <v>754</v>
      </c>
      <c r="D2554" s="38" t="s">
        <v>288</v>
      </c>
      <c r="E2554" s="38" t="s">
        <v>498</v>
      </c>
      <c r="F2554" s="37" t="s">
        <v>2116</v>
      </c>
      <c r="G2554" s="38" t="s">
        <v>367</v>
      </c>
      <c r="H2554" s="37"/>
      <c r="I2554" s="37"/>
      <c r="J2554" s="37" t="s">
        <v>2157</v>
      </c>
      <c r="K2554" s="40"/>
      <c r="L2554" s="38"/>
      <c r="M2554" s="38"/>
      <c r="N2554" s="37"/>
      <c r="O2554" s="37"/>
      <c r="P2554" s="37"/>
      <c r="Q2554" s="37"/>
      <c r="R2554" s="39"/>
      <c r="S2554" s="37"/>
      <c r="T2554" s="38" t="s">
        <v>293</v>
      </c>
    </row>
    <row r="2555" ht="34.5">
      <c r="A2555" s="38" t="s">
        <v>1797</v>
      </c>
      <c r="B2555" s="38" t="s">
        <v>1798</v>
      </c>
      <c r="C2555" s="38" t="s">
        <v>754</v>
      </c>
      <c r="D2555" s="38" t="s">
        <v>288</v>
      </c>
      <c r="E2555" s="38" t="s">
        <v>498</v>
      </c>
      <c r="F2555" s="37" t="s">
        <v>2116</v>
      </c>
      <c r="G2555" s="38" t="s">
        <v>367</v>
      </c>
      <c r="H2555" s="37"/>
      <c r="I2555" s="37"/>
      <c r="J2555" s="37" t="s">
        <v>2158</v>
      </c>
      <c r="K2555" s="40"/>
      <c r="L2555" s="38"/>
      <c r="M2555" s="38"/>
      <c r="N2555" s="37"/>
      <c r="O2555" s="37"/>
      <c r="P2555" s="37"/>
      <c r="Q2555" s="37"/>
      <c r="R2555" s="39"/>
      <c r="S2555" s="37"/>
      <c r="T2555" s="38" t="s">
        <v>293</v>
      </c>
    </row>
    <row r="2556" ht="34.5">
      <c r="A2556" s="38" t="s">
        <v>1797</v>
      </c>
      <c r="B2556" s="38" t="s">
        <v>1798</v>
      </c>
      <c r="C2556" s="38" t="s">
        <v>754</v>
      </c>
      <c r="D2556" s="38" t="s">
        <v>288</v>
      </c>
      <c r="E2556" s="38" t="s">
        <v>498</v>
      </c>
      <c r="F2556" s="37" t="s">
        <v>2116</v>
      </c>
      <c r="G2556" s="38" t="s">
        <v>367</v>
      </c>
      <c r="H2556" s="37"/>
      <c r="I2556" s="37"/>
      <c r="J2556" s="37" t="s">
        <v>2159</v>
      </c>
      <c r="K2556" s="40"/>
      <c r="L2556" s="38"/>
      <c r="M2556" s="38"/>
      <c r="N2556" s="37"/>
      <c r="O2556" s="37"/>
      <c r="P2556" s="37"/>
      <c r="Q2556" s="37"/>
      <c r="R2556" s="39"/>
      <c r="S2556" s="37"/>
      <c r="T2556" s="38" t="s">
        <v>293</v>
      </c>
    </row>
    <row r="2557" ht="34.5">
      <c r="A2557" s="38" t="s">
        <v>1797</v>
      </c>
      <c r="B2557" s="38" t="s">
        <v>1798</v>
      </c>
      <c r="C2557" s="38" t="s">
        <v>754</v>
      </c>
      <c r="D2557" s="38" t="s">
        <v>288</v>
      </c>
      <c r="E2557" s="38" t="s">
        <v>498</v>
      </c>
      <c r="F2557" s="37" t="s">
        <v>2116</v>
      </c>
      <c r="G2557" s="38" t="s">
        <v>367</v>
      </c>
      <c r="H2557" s="37"/>
      <c r="I2557" s="37"/>
      <c r="J2557" s="37" t="s">
        <v>2160</v>
      </c>
      <c r="K2557" s="40"/>
      <c r="L2557" s="38"/>
      <c r="M2557" s="38"/>
      <c r="N2557" s="37"/>
      <c r="O2557" s="37"/>
      <c r="P2557" s="37"/>
      <c r="Q2557" s="37"/>
      <c r="R2557" s="39"/>
      <c r="S2557" s="37"/>
      <c r="T2557" s="38" t="s">
        <v>293</v>
      </c>
    </row>
    <row r="2558" ht="34.5">
      <c r="A2558" s="38" t="s">
        <v>1797</v>
      </c>
      <c r="B2558" s="38" t="s">
        <v>1798</v>
      </c>
      <c r="C2558" s="38" t="s">
        <v>754</v>
      </c>
      <c r="D2558" s="38" t="s">
        <v>288</v>
      </c>
      <c r="E2558" s="38" t="s">
        <v>498</v>
      </c>
      <c r="F2558" s="37" t="s">
        <v>2116</v>
      </c>
      <c r="G2558" s="38" t="s">
        <v>367</v>
      </c>
      <c r="H2558" s="37"/>
      <c r="I2558" s="37"/>
      <c r="J2558" s="37" t="s">
        <v>2161</v>
      </c>
      <c r="K2558" s="40"/>
      <c r="L2558" s="38"/>
      <c r="M2558" s="38"/>
      <c r="N2558" s="37"/>
      <c r="O2558" s="37"/>
      <c r="P2558" s="37"/>
      <c r="Q2558" s="37"/>
      <c r="R2558" s="39"/>
      <c r="S2558" s="37"/>
      <c r="T2558" s="38" t="s">
        <v>293</v>
      </c>
    </row>
    <row r="2559" ht="34.5">
      <c r="A2559" s="38" t="s">
        <v>1797</v>
      </c>
      <c r="B2559" s="38" t="s">
        <v>1798</v>
      </c>
      <c r="C2559" s="38" t="s">
        <v>754</v>
      </c>
      <c r="D2559" s="38" t="s">
        <v>288</v>
      </c>
      <c r="E2559" s="38" t="s">
        <v>498</v>
      </c>
      <c r="F2559" s="37" t="s">
        <v>2116</v>
      </c>
      <c r="G2559" s="38" t="s">
        <v>367</v>
      </c>
      <c r="H2559" s="37"/>
      <c r="I2559" s="37"/>
      <c r="J2559" s="37" t="s">
        <v>2162</v>
      </c>
      <c r="K2559" s="40"/>
      <c r="L2559" s="38"/>
      <c r="M2559" s="38"/>
      <c r="N2559" s="37"/>
      <c r="O2559" s="37"/>
      <c r="P2559" s="37"/>
      <c r="Q2559" s="37"/>
      <c r="R2559" s="39"/>
      <c r="S2559" s="37"/>
      <c r="T2559" s="38" t="s">
        <v>293</v>
      </c>
    </row>
    <row r="2560" ht="34.5">
      <c r="A2560" s="38" t="s">
        <v>1797</v>
      </c>
      <c r="B2560" s="38" t="s">
        <v>1798</v>
      </c>
      <c r="C2560" s="38" t="s">
        <v>763</v>
      </c>
      <c r="D2560" s="38" t="s">
        <v>288</v>
      </c>
      <c r="E2560" s="38" t="s">
        <v>498</v>
      </c>
      <c r="F2560" s="37" t="s">
        <v>2116</v>
      </c>
      <c r="G2560" s="38" t="s">
        <v>367</v>
      </c>
      <c r="H2560" s="37"/>
      <c r="I2560" s="37"/>
      <c r="J2560" s="37" t="s">
        <v>1481</v>
      </c>
      <c r="K2560" s="40"/>
      <c r="L2560" s="38"/>
      <c r="M2560" s="38"/>
      <c r="N2560" s="37"/>
      <c r="O2560" s="37"/>
      <c r="P2560" s="37"/>
      <c r="Q2560" s="37"/>
      <c r="R2560" s="39"/>
      <c r="S2560" s="37"/>
      <c r="T2560" s="38" t="s">
        <v>293</v>
      </c>
    </row>
    <row r="2561" ht="34.5">
      <c r="A2561" s="38" t="s">
        <v>1797</v>
      </c>
      <c r="B2561" s="38" t="s">
        <v>1798</v>
      </c>
      <c r="C2561" s="38" t="s">
        <v>763</v>
      </c>
      <c r="D2561" s="38" t="s">
        <v>288</v>
      </c>
      <c r="E2561" s="38" t="s">
        <v>498</v>
      </c>
      <c r="F2561" s="37" t="s">
        <v>2116</v>
      </c>
      <c r="G2561" s="38" t="s">
        <v>367</v>
      </c>
      <c r="H2561" s="37"/>
      <c r="I2561" s="37"/>
      <c r="J2561" s="37" t="s">
        <v>2163</v>
      </c>
      <c r="K2561" s="40"/>
      <c r="L2561" s="38"/>
      <c r="M2561" s="38"/>
      <c r="N2561" s="37"/>
      <c r="O2561" s="37"/>
      <c r="P2561" s="37"/>
      <c r="Q2561" s="37"/>
      <c r="R2561" s="39"/>
      <c r="S2561" s="37"/>
      <c r="T2561" s="38" t="s">
        <v>293</v>
      </c>
    </row>
    <row r="2562" ht="34.5">
      <c r="A2562" s="38" t="s">
        <v>1797</v>
      </c>
      <c r="B2562" s="38" t="s">
        <v>1798</v>
      </c>
      <c r="C2562" s="38" t="s">
        <v>763</v>
      </c>
      <c r="D2562" s="38" t="s">
        <v>288</v>
      </c>
      <c r="E2562" s="38" t="s">
        <v>498</v>
      </c>
      <c r="F2562" s="37" t="s">
        <v>2116</v>
      </c>
      <c r="G2562" s="38" t="s">
        <v>367</v>
      </c>
      <c r="H2562" s="37"/>
      <c r="I2562" s="37"/>
      <c r="J2562" s="37" t="s">
        <v>2164</v>
      </c>
      <c r="K2562" s="40"/>
      <c r="L2562" s="38"/>
      <c r="M2562" s="38"/>
      <c r="N2562" s="37"/>
      <c r="O2562" s="37"/>
      <c r="P2562" s="37"/>
      <c r="Q2562" s="37"/>
      <c r="R2562" s="39"/>
      <c r="S2562" s="37"/>
      <c r="T2562" s="38" t="s">
        <v>293</v>
      </c>
    </row>
    <row r="2563" ht="34.5">
      <c r="A2563" s="38" t="s">
        <v>1797</v>
      </c>
      <c r="B2563" s="38" t="s">
        <v>1798</v>
      </c>
      <c r="C2563" s="38" t="s">
        <v>763</v>
      </c>
      <c r="D2563" s="38" t="s">
        <v>288</v>
      </c>
      <c r="E2563" s="38" t="s">
        <v>498</v>
      </c>
      <c r="F2563" s="37" t="s">
        <v>2116</v>
      </c>
      <c r="G2563" s="38" t="s">
        <v>367</v>
      </c>
      <c r="H2563" s="37"/>
      <c r="I2563" s="37"/>
      <c r="J2563" s="37" t="s">
        <v>2165</v>
      </c>
      <c r="K2563" s="40"/>
      <c r="L2563" s="38"/>
      <c r="M2563" s="38"/>
      <c r="N2563" s="37"/>
      <c r="O2563" s="37"/>
      <c r="P2563" s="37"/>
      <c r="Q2563" s="37"/>
      <c r="R2563" s="39"/>
      <c r="S2563" s="37"/>
      <c r="T2563" s="38" t="s">
        <v>293</v>
      </c>
    </row>
    <row r="2564" ht="34.5">
      <c r="A2564" s="38" t="s">
        <v>1797</v>
      </c>
      <c r="B2564" s="38" t="s">
        <v>1798</v>
      </c>
      <c r="C2564" s="38" t="s">
        <v>763</v>
      </c>
      <c r="D2564" s="38" t="s">
        <v>288</v>
      </c>
      <c r="E2564" s="38" t="s">
        <v>498</v>
      </c>
      <c r="F2564" s="37" t="s">
        <v>2116</v>
      </c>
      <c r="G2564" s="38" t="s">
        <v>367</v>
      </c>
      <c r="H2564" s="37"/>
      <c r="I2564" s="37"/>
      <c r="J2564" s="37" t="s">
        <v>2166</v>
      </c>
      <c r="K2564" s="40"/>
      <c r="L2564" s="38"/>
      <c r="M2564" s="38"/>
      <c r="N2564" s="37"/>
      <c r="O2564" s="37"/>
      <c r="P2564" s="37"/>
      <c r="Q2564" s="37"/>
      <c r="R2564" s="39"/>
      <c r="S2564" s="37"/>
      <c r="T2564" s="38" t="s">
        <v>293</v>
      </c>
    </row>
    <row r="2565" ht="34.5">
      <c r="A2565" s="38" t="s">
        <v>1797</v>
      </c>
      <c r="B2565" s="38" t="s">
        <v>1798</v>
      </c>
      <c r="C2565" s="38" t="s">
        <v>763</v>
      </c>
      <c r="D2565" s="38" t="s">
        <v>667</v>
      </c>
      <c r="E2565" s="38" t="s">
        <v>498</v>
      </c>
      <c r="F2565" s="37" t="s">
        <v>2116</v>
      </c>
      <c r="G2565" s="38" t="s">
        <v>367</v>
      </c>
      <c r="H2565" s="37"/>
      <c r="I2565" s="37"/>
      <c r="J2565" s="37" t="s">
        <v>668</v>
      </c>
      <c r="K2565" s="40"/>
      <c r="L2565" s="38"/>
      <c r="M2565" s="38"/>
      <c r="N2565" s="37"/>
      <c r="O2565" s="37"/>
      <c r="P2565" s="37"/>
      <c r="Q2565" s="37"/>
      <c r="R2565" s="39"/>
      <c r="S2565" s="37"/>
      <c r="T2565" s="38" t="s">
        <v>293</v>
      </c>
    </row>
    <row r="2566" ht="34.5">
      <c r="A2566" s="38" t="s">
        <v>1797</v>
      </c>
      <c r="B2566" s="38" t="s">
        <v>1798</v>
      </c>
      <c r="C2566" s="38" t="s">
        <v>773</v>
      </c>
      <c r="D2566" s="38" t="s">
        <v>288</v>
      </c>
      <c r="E2566" s="38" t="s">
        <v>498</v>
      </c>
      <c r="F2566" s="37" t="s">
        <v>2116</v>
      </c>
      <c r="G2566" s="38" t="s">
        <v>367</v>
      </c>
      <c r="H2566" s="37"/>
      <c r="I2566" s="37"/>
      <c r="J2566" s="37" t="s">
        <v>2167</v>
      </c>
      <c r="K2566" s="40"/>
      <c r="L2566" s="38"/>
      <c r="M2566" s="38"/>
      <c r="N2566" s="37"/>
      <c r="O2566" s="37"/>
      <c r="P2566" s="37"/>
      <c r="Q2566" s="37"/>
      <c r="R2566" s="39"/>
      <c r="S2566" s="37"/>
      <c r="T2566" s="38" t="s">
        <v>293</v>
      </c>
    </row>
    <row r="2567" ht="34.5">
      <c r="A2567" s="38" t="s">
        <v>1797</v>
      </c>
      <c r="B2567" s="38" t="s">
        <v>1798</v>
      </c>
      <c r="C2567" s="38" t="s">
        <v>773</v>
      </c>
      <c r="D2567" s="38" t="s">
        <v>288</v>
      </c>
      <c r="E2567" s="38" t="s">
        <v>498</v>
      </c>
      <c r="F2567" s="37" t="s">
        <v>2116</v>
      </c>
      <c r="G2567" s="38" t="s">
        <v>367</v>
      </c>
      <c r="H2567" s="37"/>
      <c r="I2567" s="37"/>
      <c r="J2567" s="37" t="s">
        <v>2168</v>
      </c>
      <c r="K2567" s="40"/>
      <c r="L2567" s="38"/>
      <c r="M2567" s="38"/>
      <c r="N2567" s="37"/>
      <c r="O2567" s="37"/>
      <c r="P2567" s="37"/>
      <c r="Q2567" s="37"/>
      <c r="R2567" s="39"/>
      <c r="S2567" s="37"/>
      <c r="T2567" s="38" t="s">
        <v>293</v>
      </c>
    </row>
    <row r="2568" ht="34.5">
      <c r="A2568" s="38" t="s">
        <v>1797</v>
      </c>
      <c r="B2568" s="38" t="s">
        <v>1798</v>
      </c>
      <c r="C2568" s="38" t="s">
        <v>773</v>
      </c>
      <c r="D2568" s="38" t="s">
        <v>288</v>
      </c>
      <c r="E2568" s="38" t="s">
        <v>498</v>
      </c>
      <c r="F2568" s="37" t="s">
        <v>2116</v>
      </c>
      <c r="G2568" s="38" t="s">
        <v>367</v>
      </c>
      <c r="H2568" s="37"/>
      <c r="I2568" s="37"/>
      <c r="J2568" s="37" t="s">
        <v>2169</v>
      </c>
      <c r="K2568" s="40"/>
      <c r="L2568" s="38"/>
      <c r="M2568" s="38"/>
      <c r="N2568" s="37"/>
      <c r="O2568" s="37"/>
      <c r="P2568" s="37"/>
      <c r="Q2568" s="37"/>
      <c r="R2568" s="39"/>
      <c r="S2568" s="37"/>
      <c r="T2568" s="38" t="s">
        <v>293</v>
      </c>
    </row>
    <row r="2569" ht="34.5">
      <c r="A2569" s="38" t="s">
        <v>1797</v>
      </c>
      <c r="B2569" s="38" t="s">
        <v>1798</v>
      </c>
      <c r="C2569" s="38" t="s">
        <v>773</v>
      </c>
      <c r="D2569" s="38" t="s">
        <v>288</v>
      </c>
      <c r="E2569" s="38" t="s">
        <v>498</v>
      </c>
      <c r="F2569" s="37" t="s">
        <v>2116</v>
      </c>
      <c r="G2569" s="38" t="s">
        <v>367</v>
      </c>
      <c r="H2569" s="37"/>
      <c r="I2569" s="37"/>
      <c r="J2569" s="37" t="s">
        <v>2170</v>
      </c>
      <c r="K2569" s="40"/>
      <c r="L2569" s="38"/>
      <c r="M2569" s="38"/>
      <c r="N2569" s="37"/>
      <c r="O2569" s="37"/>
      <c r="P2569" s="37"/>
      <c r="Q2569" s="37"/>
      <c r="R2569" s="39"/>
      <c r="S2569" s="37"/>
      <c r="T2569" s="38" t="s">
        <v>293</v>
      </c>
    </row>
    <row r="2570" ht="34.5">
      <c r="A2570" s="38" t="s">
        <v>1797</v>
      </c>
      <c r="B2570" s="38" t="s">
        <v>1798</v>
      </c>
      <c r="C2570" s="38" t="s">
        <v>773</v>
      </c>
      <c r="D2570" s="38" t="s">
        <v>288</v>
      </c>
      <c r="E2570" s="38" t="s">
        <v>498</v>
      </c>
      <c r="F2570" s="37" t="s">
        <v>2116</v>
      </c>
      <c r="G2570" s="38" t="s">
        <v>367</v>
      </c>
      <c r="H2570" s="37"/>
      <c r="I2570" s="37"/>
      <c r="J2570" s="37" t="s">
        <v>2171</v>
      </c>
      <c r="K2570" s="40"/>
      <c r="L2570" s="38"/>
      <c r="M2570" s="38"/>
      <c r="N2570" s="37"/>
      <c r="O2570" s="37"/>
      <c r="P2570" s="37"/>
      <c r="Q2570" s="37"/>
      <c r="R2570" s="39"/>
      <c r="S2570" s="37"/>
      <c r="T2570" s="38" t="s">
        <v>293</v>
      </c>
    </row>
    <row r="2571" ht="34.5">
      <c r="A2571" s="38" t="s">
        <v>1797</v>
      </c>
      <c r="B2571" s="38" t="s">
        <v>1798</v>
      </c>
      <c r="C2571" s="38" t="s">
        <v>773</v>
      </c>
      <c r="D2571" s="38" t="s">
        <v>288</v>
      </c>
      <c r="E2571" s="38" t="s">
        <v>498</v>
      </c>
      <c r="F2571" s="37" t="s">
        <v>2116</v>
      </c>
      <c r="G2571" s="38" t="s">
        <v>367</v>
      </c>
      <c r="H2571" s="37"/>
      <c r="I2571" s="37"/>
      <c r="J2571" s="37" t="s">
        <v>2172</v>
      </c>
      <c r="K2571" s="40"/>
      <c r="L2571" s="38"/>
      <c r="M2571" s="38"/>
      <c r="N2571" s="37"/>
      <c r="O2571" s="37"/>
      <c r="P2571" s="37"/>
      <c r="Q2571" s="37"/>
      <c r="R2571" s="39"/>
      <c r="S2571" s="37"/>
      <c r="T2571" s="38" t="s">
        <v>293</v>
      </c>
    </row>
    <row r="2572" ht="34.5">
      <c r="A2572" s="38" t="s">
        <v>1797</v>
      </c>
      <c r="B2572" s="38" t="s">
        <v>1798</v>
      </c>
      <c r="C2572" s="38" t="s">
        <v>773</v>
      </c>
      <c r="D2572" s="38" t="s">
        <v>288</v>
      </c>
      <c r="E2572" s="38" t="s">
        <v>498</v>
      </c>
      <c r="F2572" s="37" t="s">
        <v>2116</v>
      </c>
      <c r="G2572" s="38" t="s">
        <v>367</v>
      </c>
      <c r="H2572" s="37"/>
      <c r="I2572" s="37"/>
      <c r="J2572" s="37" t="s">
        <v>2173</v>
      </c>
      <c r="K2572" s="40"/>
      <c r="L2572" s="38"/>
      <c r="M2572" s="38"/>
      <c r="N2572" s="37"/>
      <c r="O2572" s="37"/>
      <c r="P2572" s="37"/>
      <c r="Q2572" s="37"/>
      <c r="R2572" s="39"/>
      <c r="S2572" s="37"/>
      <c r="T2572" s="38" t="s">
        <v>293</v>
      </c>
    </row>
    <row r="2573" ht="34.5">
      <c r="A2573" s="38" t="s">
        <v>1797</v>
      </c>
      <c r="B2573" s="38" t="s">
        <v>1798</v>
      </c>
      <c r="C2573" s="38" t="s">
        <v>773</v>
      </c>
      <c r="D2573" s="38" t="s">
        <v>288</v>
      </c>
      <c r="E2573" s="38" t="s">
        <v>498</v>
      </c>
      <c r="F2573" s="37" t="s">
        <v>2116</v>
      </c>
      <c r="G2573" s="38" t="s">
        <v>367</v>
      </c>
      <c r="H2573" s="37"/>
      <c r="I2573" s="37"/>
      <c r="J2573" s="37" t="s">
        <v>2174</v>
      </c>
      <c r="K2573" s="40"/>
      <c r="L2573" s="38"/>
      <c r="M2573" s="38"/>
      <c r="N2573" s="37"/>
      <c r="O2573" s="37"/>
      <c r="P2573" s="37"/>
      <c r="Q2573" s="37"/>
      <c r="R2573" s="39"/>
      <c r="S2573" s="37"/>
      <c r="T2573" s="38" t="s">
        <v>293</v>
      </c>
    </row>
    <row r="2574" ht="34.5">
      <c r="A2574" s="38" t="s">
        <v>1797</v>
      </c>
      <c r="B2574" s="38" t="s">
        <v>1798</v>
      </c>
      <c r="C2574" s="38" t="s">
        <v>773</v>
      </c>
      <c r="D2574" s="38" t="s">
        <v>678</v>
      </c>
      <c r="E2574" s="38" t="s">
        <v>498</v>
      </c>
      <c r="F2574" s="37" t="s">
        <v>2116</v>
      </c>
      <c r="G2574" s="38" t="s">
        <v>367</v>
      </c>
      <c r="H2574" s="37"/>
      <c r="I2574" s="37"/>
      <c r="J2574" s="37" t="s">
        <v>679</v>
      </c>
      <c r="K2574" s="40"/>
      <c r="L2574" s="38"/>
      <c r="M2574" s="38"/>
      <c r="N2574" s="37"/>
      <c r="O2574" s="37"/>
      <c r="P2574" s="37"/>
      <c r="Q2574" s="37"/>
      <c r="R2574" s="39"/>
      <c r="S2574" s="37"/>
      <c r="T2574" s="38" t="s">
        <v>293</v>
      </c>
    </row>
    <row r="2575" ht="34.5">
      <c r="A2575" s="38" t="s">
        <v>1797</v>
      </c>
      <c r="B2575" s="38" t="s">
        <v>1798</v>
      </c>
      <c r="C2575" s="38" t="s">
        <v>783</v>
      </c>
      <c r="D2575" s="38" t="s">
        <v>288</v>
      </c>
      <c r="E2575" s="38" t="s">
        <v>498</v>
      </c>
      <c r="F2575" s="37" t="s">
        <v>2116</v>
      </c>
      <c r="G2575" s="38" t="s">
        <v>367</v>
      </c>
      <c r="H2575" s="37"/>
      <c r="I2575" s="37"/>
      <c r="J2575" s="37" t="s">
        <v>2175</v>
      </c>
      <c r="K2575" s="40"/>
      <c r="L2575" s="38"/>
      <c r="M2575" s="38"/>
      <c r="N2575" s="37"/>
      <c r="O2575" s="37"/>
      <c r="P2575" s="37"/>
      <c r="Q2575" s="37"/>
      <c r="R2575" s="39"/>
      <c r="S2575" s="37"/>
      <c r="T2575" s="38" t="s">
        <v>293</v>
      </c>
    </row>
    <row r="2576" ht="34.5">
      <c r="A2576" s="38" t="s">
        <v>1797</v>
      </c>
      <c r="B2576" s="38" t="s">
        <v>1798</v>
      </c>
      <c r="C2576" s="38" t="s">
        <v>783</v>
      </c>
      <c r="D2576" s="38" t="s">
        <v>288</v>
      </c>
      <c r="E2576" s="38" t="s">
        <v>498</v>
      </c>
      <c r="F2576" s="37" t="s">
        <v>2116</v>
      </c>
      <c r="G2576" s="38" t="s">
        <v>367</v>
      </c>
      <c r="H2576" s="37"/>
      <c r="I2576" s="37"/>
      <c r="J2576" s="37" t="s">
        <v>2176</v>
      </c>
      <c r="K2576" s="40"/>
      <c r="L2576" s="38"/>
      <c r="M2576" s="38"/>
      <c r="N2576" s="37"/>
      <c r="O2576" s="37"/>
      <c r="P2576" s="37"/>
      <c r="Q2576" s="37"/>
      <c r="R2576" s="39"/>
      <c r="S2576" s="37"/>
      <c r="T2576" s="38" t="s">
        <v>293</v>
      </c>
    </row>
    <row r="2577" ht="34.5">
      <c r="A2577" s="38" t="s">
        <v>1797</v>
      </c>
      <c r="B2577" s="38" t="s">
        <v>1798</v>
      </c>
      <c r="C2577" s="38" t="s">
        <v>783</v>
      </c>
      <c r="D2577" s="38" t="s">
        <v>288</v>
      </c>
      <c r="E2577" s="38" t="s">
        <v>498</v>
      </c>
      <c r="F2577" s="37" t="s">
        <v>2116</v>
      </c>
      <c r="G2577" s="38" t="s">
        <v>367</v>
      </c>
      <c r="H2577" s="37"/>
      <c r="I2577" s="37"/>
      <c r="J2577" s="37" t="s">
        <v>2177</v>
      </c>
      <c r="K2577" s="40"/>
      <c r="L2577" s="38"/>
      <c r="M2577" s="38"/>
      <c r="N2577" s="37"/>
      <c r="O2577" s="37"/>
      <c r="P2577" s="37"/>
      <c r="Q2577" s="37"/>
      <c r="R2577" s="39"/>
      <c r="S2577" s="37"/>
      <c r="T2577" s="38" t="s">
        <v>293</v>
      </c>
    </row>
    <row r="2578" ht="34.5">
      <c r="A2578" s="38" t="s">
        <v>1797</v>
      </c>
      <c r="B2578" s="38" t="s">
        <v>1798</v>
      </c>
      <c r="C2578" s="38" t="s">
        <v>783</v>
      </c>
      <c r="D2578" s="38" t="s">
        <v>288</v>
      </c>
      <c r="E2578" s="38" t="s">
        <v>498</v>
      </c>
      <c r="F2578" s="37" t="s">
        <v>2116</v>
      </c>
      <c r="G2578" s="38" t="s">
        <v>367</v>
      </c>
      <c r="H2578" s="37"/>
      <c r="I2578" s="37"/>
      <c r="J2578" s="37" t="s">
        <v>2178</v>
      </c>
      <c r="K2578" s="40"/>
      <c r="L2578" s="38"/>
      <c r="M2578" s="38"/>
      <c r="N2578" s="37"/>
      <c r="O2578" s="37"/>
      <c r="P2578" s="37"/>
      <c r="Q2578" s="37"/>
      <c r="R2578" s="39"/>
      <c r="S2578" s="37"/>
      <c r="T2578" s="38" t="s">
        <v>293</v>
      </c>
    </row>
    <row r="2579" ht="34.5">
      <c r="A2579" s="38" t="s">
        <v>1797</v>
      </c>
      <c r="B2579" s="38" t="s">
        <v>1798</v>
      </c>
      <c r="C2579" s="38" t="s">
        <v>783</v>
      </c>
      <c r="D2579" s="38" t="s">
        <v>288</v>
      </c>
      <c r="E2579" s="38" t="s">
        <v>498</v>
      </c>
      <c r="F2579" s="37" t="s">
        <v>2116</v>
      </c>
      <c r="G2579" s="38" t="s">
        <v>367</v>
      </c>
      <c r="H2579" s="37"/>
      <c r="I2579" s="37"/>
      <c r="J2579" s="37" t="s">
        <v>2179</v>
      </c>
      <c r="K2579" s="40"/>
      <c r="L2579" s="38"/>
      <c r="M2579" s="38"/>
      <c r="N2579" s="37"/>
      <c r="O2579" s="37"/>
      <c r="P2579" s="37"/>
      <c r="Q2579" s="37"/>
      <c r="R2579" s="39"/>
      <c r="S2579" s="37"/>
      <c r="T2579" s="38" t="s">
        <v>293</v>
      </c>
    </row>
    <row r="2580" ht="34.5">
      <c r="A2580" s="38" t="s">
        <v>1797</v>
      </c>
      <c r="B2580" s="38" t="s">
        <v>1798</v>
      </c>
      <c r="C2580" s="38" t="s">
        <v>783</v>
      </c>
      <c r="D2580" s="38" t="s">
        <v>288</v>
      </c>
      <c r="E2580" s="38" t="s">
        <v>498</v>
      </c>
      <c r="F2580" s="37" t="s">
        <v>2116</v>
      </c>
      <c r="G2580" s="38" t="s">
        <v>367</v>
      </c>
      <c r="H2580" s="37"/>
      <c r="I2580" s="37"/>
      <c r="J2580" s="37" t="s">
        <v>2180</v>
      </c>
      <c r="K2580" s="40"/>
      <c r="L2580" s="38"/>
      <c r="M2580" s="38"/>
      <c r="N2580" s="37"/>
      <c r="O2580" s="37"/>
      <c r="P2580" s="37"/>
      <c r="Q2580" s="37"/>
      <c r="R2580" s="39"/>
      <c r="S2580" s="37"/>
      <c r="T2580" s="38" t="s">
        <v>293</v>
      </c>
    </row>
    <row r="2581" ht="34.5">
      <c r="A2581" s="38" t="s">
        <v>1797</v>
      </c>
      <c r="B2581" s="38" t="s">
        <v>1798</v>
      </c>
      <c r="C2581" s="38" t="s">
        <v>783</v>
      </c>
      <c r="D2581" s="38" t="s">
        <v>288</v>
      </c>
      <c r="E2581" s="38" t="s">
        <v>498</v>
      </c>
      <c r="F2581" s="37" t="s">
        <v>2116</v>
      </c>
      <c r="G2581" s="38" t="s">
        <v>367</v>
      </c>
      <c r="H2581" s="37"/>
      <c r="I2581" s="37"/>
      <c r="J2581" s="37" t="s">
        <v>2181</v>
      </c>
      <c r="K2581" s="40"/>
      <c r="L2581" s="38"/>
      <c r="M2581" s="38"/>
      <c r="N2581" s="37"/>
      <c r="O2581" s="37"/>
      <c r="P2581" s="37"/>
      <c r="Q2581" s="37"/>
      <c r="R2581" s="39"/>
      <c r="S2581" s="37"/>
      <c r="T2581" s="38" t="s">
        <v>293</v>
      </c>
    </row>
    <row r="2582" ht="34.5">
      <c r="A2582" s="38" t="s">
        <v>1797</v>
      </c>
      <c r="B2582" s="38" t="s">
        <v>1798</v>
      </c>
      <c r="C2582" s="38" t="s">
        <v>793</v>
      </c>
      <c r="D2582" s="38" t="s">
        <v>288</v>
      </c>
      <c r="E2582" s="38" t="s">
        <v>498</v>
      </c>
      <c r="F2582" s="37" t="s">
        <v>2116</v>
      </c>
      <c r="G2582" s="38" t="s">
        <v>367</v>
      </c>
      <c r="H2582" s="37"/>
      <c r="I2582" s="37"/>
      <c r="J2582" s="37" t="s">
        <v>2182</v>
      </c>
      <c r="K2582" s="40"/>
      <c r="L2582" s="38"/>
      <c r="M2582" s="38"/>
      <c r="N2582" s="37"/>
      <c r="O2582" s="37"/>
      <c r="P2582" s="37"/>
      <c r="Q2582" s="37"/>
      <c r="R2582" s="39"/>
      <c r="S2582" s="37"/>
      <c r="T2582" s="38" t="s">
        <v>293</v>
      </c>
    </row>
    <row r="2583" ht="34.5">
      <c r="A2583" s="38" t="s">
        <v>1797</v>
      </c>
      <c r="B2583" s="38" t="s">
        <v>1798</v>
      </c>
      <c r="C2583" s="38" t="s">
        <v>793</v>
      </c>
      <c r="D2583" s="38" t="s">
        <v>288</v>
      </c>
      <c r="E2583" s="38" t="s">
        <v>498</v>
      </c>
      <c r="F2583" s="37" t="s">
        <v>2116</v>
      </c>
      <c r="G2583" s="38" t="s">
        <v>367</v>
      </c>
      <c r="H2583" s="37"/>
      <c r="I2583" s="37"/>
      <c r="J2583" s="37" t="s">
        <v>2183</v>
      </c>
      <c r="K2583" s="40"/>
      <c r="L2583" s="38"/>
      <c r="M2583" s="38"/>
      <c r="N2583" s="37"/>
      <c r="O2583" s="37"/>
      <c r="P2583" s="37"/>
      <c r="Q2583" s="37"/>
      <c r="R2583" s="39"/>
      <c r="S2583" s="37"/>
      <c r="T2583" s="38" t="s">
        <v>293</v>
      </c>
    </row>
    <row r="2584" ht="34.5">
      <c r="A2584" s="38" t="s">
        <v>1797</v>
      </c>
      <c r="B2584" s="38" t="s">
        <v>1798</v>
      </c>
      <c r="C2584" s="38" t="s">
        <v>793</v>
      </c>
      <c r="D2584" s="38" t="s">
        <v>288</v>
      </c>
      <c r="E2584" s="38" t="s">
        <v>529</v>
      </c>
      <c r="F2584" s="37" t="s">
        <v>2184</v>
      </c>
      <c r="G2584" s="38" t="s">
        <v>451</v>
      </c>
      <c r="H2584" s="37"/>
      <c r="I2584" s="37"/>
      <c r="J2584" s="37" t="s">
        <v>458</v>
      </c>
      <c r="K2584" s="40"/>
      <c r="L2584" s="38"/>
      <c r="M2584" s="38"/>
      <c r="N2584" s="37"/>
      <c r="O2584" s="37"/>
      <c r="P2584" s="37"/>
      <c r="Q2584" s="37"/>
      <c r="R2584" s="39"/>
      <c r="S2584" s="37"/>
      <c r="T2584" s="38" t="s">
        <v>293</v>
      </c>
    </row>
    <row r="2585" ht="34.5">
      <c r="A2585" s="38" t="s">
        <v>1797</v>
      </c>
      <c r="B2585" s="38" t="s">
        <v>1798</v>
      </c>
      <c r="C2585" s="38" t="s">
        <v>793</v>
      </c>
      <c r="D2585" s="38" t="s">
        <v>692</v>
      </c>
      <c r="E2585" s="38" t="s">
        <v>529</v>
      </c>
      <c r="F2585" s="37" t="s">
        <v>2184</v>
      </c>
      <c r="G2585" s="38" t="s">
        <v>451</v>
      </c>
      <c r="H2585" s="37"/>
      <c r="I2585" s="37"/>
      <c r="J2585" s="37" t="s">
        <v>693</v>
      </c>
      <c r="K2585" s="40"/>
      <c r="L2585" s="38"/>
      <c r="M2585" s="38"/>
      <c r="N2585" s="37"/>
      <c r="O2585" s="37"/>
      <c r="P2585" s="37"/>
      <c r="Q2585" s="37"/>
      <c r="R2585" s="39"/>
      <c r="S2585" s="37"/>
      <c r="T2585" s="38" t="s">
        <v>293</v>
      </c>
    </row>
    <row r="2586" ht="34.5">
      <c r="A2586" s="38" t="s">
        <v>1797</v>
      </c>
      <c r="B2586" s="38" t="s">
        <v>1798</v>
      </c>
      <c r="C2586" s="38" t="s">
        <v>793</v>
      </c>
      <c r="D2586" s="38" t="s">
        <v>288</v>
      </c>
      <c r="E2586" s="38" t="s">
        <v>529</v>
      </c>
      <c r="F2586" s="37" t="s">
        <v>2184</v>
      </c>
      <c r="G2586" s="38" t="s">
        <v>451</v>
      </c>
      <c r="H2586" s="37"/>
      <c r="I2586" s="37"/>
      <c r="J2586" s="37" t="s">
        <v>2185</v>
      </c>
      <c r="K2586" s="40"/>
      <c r="L2586" s="38"/>
      <c r="M2586" s="38"/>
      <c r="N2586" s="37"/>
      <c r="O2586" s="37"/>
      <c r="P2586" s="37"/>
      <c r="Q2586" s="37"/>
      <c r="R2586" s="39"/>
      <c r="S2586" s="37"/>
      <c r="T2586" s="38" t="s">
        <v>293</v>
      </c>
    </row>
    <row r="2587" ht="34.5">
      <c r="A2587" s="38" t="s">
        <v>1797</v>
      </c>
      <c r="B2587" s="38" t="s">
        <v>1798</v>
      </c>
      <c r="C2587" s="38" t="s">
        <v>793</v>
      </c>
      <c r="D2587" s="38" t="s">
        <v>699</v>
      </c>
      <c r="E2587" s="38" t="s">
        <v>534</v>
      </c>
      <c r="F2587" s="37" t="s">
        <v>2186</v>
      </c>
      <c r="G2587" s="38" t="s">
        <v>2187</v>
      </c>
      <c r="H2587" s="37"/>
      <c r="I2587" s="37"/>
      <c r="J2587" s="37" t="s">
        <v>700</v>
      </c>
      <c r="K2587" s="40"/>
      <c r="L2587" s="38"/>
      <c r="M2587" s="38"/>
      <c r="N2587" s="37"/>
      <c r="O2587" s="37"/>
      <c r="P2587" s="37"/>
      <c r="Q2587" s="37"/>
      <c r="R2587" s="39"/>
      <c r="S2587" s="37"/>
      <c r="T2587" s="38" t="s">
        <v>293</v>
      </c>
    </row>
    <row r="2588" ht="34.5">
      <c r="A2588" s="38" t="s">
        <v>1797</v>
      </c>
      <c r="B2588" s="38" t="s">
        <v>1798</v>
      </c>
      <c r="C2588" s="38" t="s">
        <v>803</v>
      </c>
      <c r="D2588" s="38" t="s">
        <v>288</v>
      </c>
      <c r="E2588" s="38" t="s">
        <v>541</v>
      </c>
      <c r="F2588" s="37" t="s">
        <v>2188</v>
      </c>
      <c r="G2588" s="38" t="s">
        <v>500</v>
      </c>
      <c r="H2588" s="37"/>
      <c r="I2588" s="37"/>
      <c r="J2588" s="37" t="s">
        <v>2189</v>
      </c>
      <c r="K2588" s="40">
        <v>10218363</v>
      </c>
      <c r="L2588" s="38" t="s">
        <v>297</v>
      </c>
      <c r="M2588" s="38"/>
      <c r="N2588" s="37"/>
      <c r="O2588" s="37"/>
      <c r="P2588" s="37"/>
      <c r="Q2588" s="37"/>
      <c r="R2588" s="39"/>
      <c r="S2588" s="37"/>
      <c r="T2588" s="38" t="s">
        <v>293</v>
      </c>
    </row>
    <row r="2589" ht="34.5">
      <c r="A2589" s="38" t="s">
        <v>1797</v>
      </c>
      <c r="B2589" s="38" t="s">
        <v>1798</v>
      </c>
      <c r="C2589" s="38" t="s">
        <v>803</v>
      </c>
      <c r="D2589" s="38" t="s">
        <v>765</v>
      </c>
      <c r="E2589" s="38" t="s">
        <v>541</v>
      </c>
      <c r="F2589" s="37" t="s">
        <v>2188</v>
      </c>
      <c r="G2589" s="38" t="s">
        <v>500</v>
      </c>
      <c r="H2589" s="37"/>
      <c r="I2589" s="37"/>
      <c r="J2589" s="37" t="s">
        <v>766</v>
      </c>
      <c r="K2589" s="40"/>
      <c r="L2589" s="38"/>
      <c r="M2589" s="38"/>
      <c r="N2589" s="37"/>
      <c r="O2589" s="37"/>
      <c r="P2589" s="37"/>
      <c r="Q2589" s="37"/>
      <c r="R2589" s="39"/>
      <c r="S2589" s="37"/>
      <c r="T2589" s="38" t="s">
        <v>293</v>
      </c>
    </row>
    <row r="2590" ht="34.5">
      <c r="A2590" s="38" t="s">
        <v>1797</v>
      </c>
      <c r="B2590" s="38" t="s">
        <v>1798</v>
      </c>
      <c r="C2590" s="38" t="s">
        <v>803</v>
      </c>
      <c r="D2590" s="38" t="s">
        <v>288</v>
      </c>
      <c r="E2590" s="38" t="s">
        <v>541</v>
      </c>
      <c r="F2590" s="37" t="s">
        <v>2188</v>
      </c>
      <c r="G2590" s="38" t="s">
        <v>500</v>
      </c>
      <c r="H2590" s="37"/>
      <c r="I2590" s="37"/>
      <c r="J2590" s="37" t="s">
        <v>504</v>
      </c>
      <c r="K2590" s="40"/>
      <c r="L2590" s="38"/>
      <c r="M2590" s="38"/>
      <c r="N2590" s="37"/>
      <c r="O2590" s="37"/>
      <c r="P2590" s="37"/>
      <c r="Q2590" s="37"/>
      <c r="R2590" s="39"/>
      <c r="S2590" s="37"/>
      <c r="T2590" s="38" t="s">
        <v>293</v>
      </c>
    </row>
    <row r="2591" ht="34.5">
      <c r="A2591" s="38" t="s">
        <v>1797</v>
      </c>
      <c r="B2591" s="38" t="s">
        <v>1798</v>
      </c>
      <c r="C2591" s="38" t="s">
        <v>803</v>
      </c>
      <c r="D2591" s="38" t="s">
        <v>288</v>
      </c>
      <c r="E2591" s="38" t="s">
        <v>541</v>
      </c>
      <c r="F2591" s="37" t="s">
        <v>2188</v>
      </c>
      <c r="G2591" s="38" t="s">
        <v>500</v>
      </c>
      <c r="H2591" s="37"/>
      <c r="I2591" s="37"/>
      <c r="J2591" s="37" t="s">
        <v>2190</v>
      </c>
      <c r="K2591" s="40"/>
      <c r="L2591" s="38"/>
      <c r="M2591" s="38"/>
      <c r="N2591" s="37"/>
      <c r="O2591" s="37"/>
      <c r="P2591" s="37"/>
      <c r="Q2591" s="37"/>
      <c r="R2591" s="39"/>
      <c r="S2591" s="37"/>
      <c r="T2591" s="38" t="s">
        <v>293</v>
      </c>
    </row>
    <row r="2592" ht="34.5">
      <c r="A2592" s="38" t="s">
        <v>1797</v>
      </c>
      <c r="B2592" s="38" t="s">
        <v>1798</v>
      </c>
      <c r="C2592" s="38" t="s">
        <v>803</v>
      </c>
      <c r="D2592" s="38" t="s">
        <v>288</v>
      </c>
      <c r="E2592" s="38" t="s">
        <v>541</v>
      </c>
      <c r="F2592" s="37" t="s">
        <v>2188</v>
      </c>
      <c r="G2592" s="38" t="s">
        <v>500</v>
      </c>
      <c r="H2592" s="37"/>
      <c r="I2592" s="37"/>
      <c r="J2592" s="37" t="s">
        <v>2191</v>
      </c>
      <c r="K2592" s="40"/>
      <c r="L2592" s="38"/>
      <c r="M2592" s="38"/>
      <c r="N2592" s="37"/>
      <c r="O2592" s="37"/>
      <c r="P2592" s="37"/>
      <c r="Q2592" s="37"/>
      <c r="R2592" s="39"/>
      <c r="S2592" s="37"/>
      <c r="T2592" s="38" t="s">
        <v>293</v>
      </c>
    </row>
    <row r="2593" ht="34.5">
      <c r="A2593" s="38" t="s">
        <v>1797</v>
      </c>
      <c r="B2593" s="38" t="s">
        <v>1798</v>
      </c>
      <c r="C2593" s="38" t="s">
        <v>803</v>
      </c>
      <c r="D2593" s="38" t="s">
        <v>288</v>
      </c>
      <c r="E2593" s="38" t="s">
        <v>541</v>
      </c>
      <c r="F2593" s="37" t="s">
        <v>2188</v>
      </c>
      <c r="G2593" s="38" t="s">
        <v>500</v>
      </c>
      <c r="H2593" s="37"/>
      <c r="I2593" s="37"/>
      <c r="J2593" s="37" t="s">
        <v>2192</v>
      </c>
      <c r="K2593" s="40"/>
      <c r="L2593" s="38"/>
      <c r="M2593" s="38"/>
      <c r="N2593" s="37"/>
      <c r="O2593" s="37"/>
      <c r="P2593" s="37"/>
      <c r="Q2593" s="37"/>
      <c r="R2593" s="39"/>
      <c r="S2593" s="37"/>
      <c r="T2593" s="38" t="s">
        <v>293</v>
      </c>
    </row>
    <row r="2594" ht="34.5">
      <c r="A2594" s="38" t="s">
        <v>1797</v>
      </c>
      <c r="B2594" s="38" t="s">
        <v>1798</v>
      </c>
      <c r="C2594" s="38" t="s">
        <v>803</v>
      </c>
      <c r="D2594" s="38" t="s">
        <v>288</v>
      </c>
      <c r="E2594" s="38" t="s">
        <v>541</v>
      </c>
      <c r="F2594" s="37" t="s">
        <v>2188</v>
      </c>
      <c r="G2594" s="38" t="s">
        <v>500</v>
      </c>
      <c r="H2594" s="37"/>
      <c r="I2594" s="37"/>
      <c r="J2594" s="37" t="s">
        <v>2193</v>
      </c>
      <c r="K2594" s="40"/>
      <c r="L2594" s="38"/>
      <c r="M2594" s="38"/>
      <c r="N2594" s="37"/>
      <c r="O2594" s="37"/>
      <c r="P2594" s="37"/>
      <c r="Q2594" s="37"/>
      <c r="R2594" s="39"/>
      <c r="S2594" s="37"/>
      <c r="T2594" s="38" t="s">
        <v>293</v>
      </c>
    </row>
    <row r="2595" ht="34.5">
      <c r="A2595" s="38" t="s">
        <v>1797</v>
      </c>
      <c r="B2595" s="38" t="s">
        <v>1798</v>
      </c>
      <c r="C2595" s="38" t="s">
        <v>803</v>
      </c>
      <c r="D2595" s="38" t="s">
        <v>288</v>
      </c>
      <c r="E2595" s="38" t="s">
        <v>541</v>
      </c>
      <c r="F2595" s="37" t="s">
        <v>2188</v>
      </c>
      <c r="G2595" s="38" t="s">
        <v>500</v>
      </c>
      <c r="H2595" s="37"/>
      <c r="I2595" s="37"/>
      <c r="J2595" s="37" t="s">
        <v>2194</v>
      </c>
      <c r="K2595" s="40"/>
      <c r="L2595" s="38"/>
      <c r="M2595" s="38"/>
      <c r="N2595" s="37"/>
      <c r="O2595" s="37"/>
      <c r="P2595" s="37"/>
      <c r="Q2595" s="37"/>
      <c r="R2595" s="39"/>
      <c r="S2595" s="37"/>
      <c r="T2595" s="38" t="s">
        <v>293</v>
      </c>
    </row>
    <row r="2596" ht="34.5">
      <c r="A2596" s="38" t="s">
        <v>1797</v>
      </c>
      <c r="B2596" s="38" t="s">
        <v>1798</v>
      </c>
      <c r="C2596" s="38" t="s">
        <v>803</v>
      </c>
      <c r="D2596" s="38" t="s">
        <v>288</v>
      </c>
      <c r="E2596" s="38" t="s">
        <v>541</v>
      </c>
      <c r="F2596" s="37" t="s">
        <v>2188</v>
      </c>
      <c r="G2596" s="38" t="s">
        <v>500</v>
      </c>
      <c r="H2596" s="37"/>
      <c r="I2596" s="37"/>
      <c r="J2596" s="37" t="s">
        <v>2195</v>
      </c>
      <c r="K2596" s="40"/>
      <c r="L2596" s="38"/>
      <c r="M2596" s="38"/>
      <c r="N2596" s="37"/>
      <c r="O2596" s="37"/>
      <c r="P2596" s="37"/>
      <c r="Q2596" s="37"/>
      <c r="R2596" s="39"/>
      <c r="S2596" s="37"/>
      <c r="T2596" s="38" t="s">
        <v>293</v>
      </c>
    </row>
    <row r="2597" ht="34.5">
      <c r="A2597" s="38" t="s">
        <v>1797</v>
      </c>
      <c r="B2597" s="38" t="s">
        <v>1798</v>
      </c>
      <c r="C2597" s="38" t="s">
        <v>803</v>
      </c>
      <c r="D2597" s="38" t="s">
        <v>288</v>
      </c>
      <c r="E2597" s="38" t="s">
        <v>541</v>
      </c>
      <c r="F2597" s="37" t="s">
        <v>2188</v>
      </c>
      <c r="G2597" s="38" t="s">
        <v>500</v>
      </c>
      <c r="H2597" s="37"/>
      <c r="I2597" s="37"/>
      <c r="J2597" s="37" t="s">
        <v>2196</v>
      </c>
      <c r="K2597" s="40"/>
      <c r="L2597" s="38"/>
      <c r="M2597" s="38"/>
      <c r="N2597" s="37"/>
      <c r="O2597" s="37"/>
      <c r="P2597" s="37"/>
      <c r="Q2597" s="37"/>
      <c r="R2597" s="39"/>
      <c r="S2597" s="37"/>
      <c r="T2597" s="38" t="s">
        <v>293</v>
      </c>
    </row>
    <row r="2598" ht="34.5">
      <c r="A2598" s="38" t="s">
        <v>1797</v>
      </c>
      <c r="B2598" s="38" t="s">
        <v>1798</v>
      </c>
      <c r="C2598" s="38" t="s">
        <v>803</v>
      </c>
      <c r="D2598" s="38" t="s">
        <v>288</v>
      </c>
      <c r="E2598" s="38" t="s">
        <v>541</v>
      </c>
      <c r="F2598" s="37" t="s">
        <v>2188</v>
      </c>
      <c r="G2598" s="38" t="s">
        <v>500</v>
      </c>
      <c r="H2598" s="37"/>
      <c r="I2598" s="37"/>
      <c r="J2598" s="37" t="s">
        <v>2197</v>
      </c>
      <c r="K2598" s="40"/>
      <c r="L2598" s="38"/>
      <c r="M2598" s="38"/>
      <c r="N2598" s="37"/>
      <c r="O2598" s="37"/>
      <c r="P2598" s="37"/>
      <c r="Q2598" s="37"/>
      <c r="R2598" s="39"/>
      <c r="S2598" s="37"/>
      <c r="T2598" s="38" t="s">
        <v>293</v>
      </c>
    </row>
    <row r="2599" ht="34.5">
      <c r="A2599" s="38" t="s">
        <v>1797</v>
      </c>
      <c r="B2599" s="38" t="s">
        <v>1798</v>
      </c>
      <c r="C2599" s="38" t="s">
        <v>815</v>
      </c>
      <c r="D2599" s="38" t="s">
        <v>288</v>
      </c>
      <c r="E2599" s="38" t="s">
        <v>541</v>
      </c>
      <c r="F2599" s="37" t="s">
        <v>2188</v>
      </c>
      <c r="G2599" s="38" t="s">
        <v>500</v>
      </c>
      <c r="H2599" s="37"/>
      <c r="I2599" s="37"/>
      <c r="J2599" s="37" t="s">
        <v>2198</v>
      </c>
      <c r="K2599" s="40"/>
      <c r="L2599" s="38"/>
      <c r="M2599" s="38"/>
      <c r="N2599" s="37"/>
      <c r="O2599" s="37"/>
      <c r="P2599" s="37"/>
      <c r="Q2599" s="37"/>
      <c r="R2599" s="39"/>
      <c r="S2599" s="37"/>
      <c r="T2599" s="38" t="s">
        <v>293</v>
      </c>
    </row>
    <row r="2600" ht="34.5">
      <c r="A2600" s="38" t="s">
        <v>1797</v>
      </c>
      <c r="B2600" s="38" t="s">
        <v>1798</v>
      </c>
      <c r="C2600" s="38" t="s">
        <v>815</v>
      </c>
      <c r="D2600" s="38" t="s">
        <v>288</v>
      </c>
      <c r="E2600" s="38" t="s">
        <v>541</v>
      </c>
      <c r="F2600" s="37" t="s">
        <v>2188</v>
      </c>
      <c r="G2600" s="38" t="s">
        <v>500</v>
      </c>
      <c r="H2600" s="37"/>
      <c r="I2600" s="37"/>
      <c r="J2600" s="37" t="s">
        <v>2199</v>
      </c>
      <c r="K2600" s="40"/>
      <c r="L2600" s="38"/>
      <c r="M2600" s="38"/>
      <c r="N2600" s="37"/>
      <c r="O2600" s="37"/>
      <c r="P2600" s="37"/>
      <c r="Q2600" s="37"/>
      <c r="R2600" s="39"/>
      <c r="S2600" s="37"/>
      <c r="T2600" s="38" t="s">
        <v>293</v>
      </c>
    </row>
    <row r="2601" ht="34.5">
      <c r="A2601" s="38" t="s">
        <v>1797</v>
      </c>
      <c r="B2601" s="38" t="s">
        <v>1798</v>
      </c>
      <c r="C2601" s="38" t="s">
        <v>815</v>
      </c>
      <c r="D2601" s="38" t="s">
        <v>869</v>
      </c>
      <c r="E2601" s="38" t="s">
        <v>541</v>
      </c>
      <c r="F2601" s="37" t="s">
        <v>2188</v>
      </c>
      <c r="G2601" s="38" t="s">
        <v>500</v>
      </c>
      <c r="H2601" s="37"/>
      <c r="I2601" s="37"/>
      <c r="J2601" s="37" t="s">
        <v>870</v>
      </c>
      <c r="K2601" s="40"/>
      <c r="L2601" s="38"/>
      <c r="M2601" s="38"/>
      <c r="N2601" s="37"/>
      <c r="O2601" s="37"/>
      <c r="P2601" s="37"/>
      <c r="Q2601" s="37"/>
      <c r="R2601" s="39"/>
      <c r="S2601" s="37"/>
      <c r="T2601" s="38" t="s">
        <v>293</v>
      </c>
    </row>
    <row r="2602" ht="34.5">
      <c r="A2602" s="38" t="s">
        <v>1797</v>
      </c>
      <c r="B2602" s="38" t="s">
        <v>1798</v>
      </c>
      <c r="C2602" s="38" t="s">
        <v>815</v>
      </c>
      <c r="D2602" s="38" t="s">
        <v>288</v>
      </c>
      <c r="E2602" s="38" t="s">
        <v>541</v>
      </c>
      <c r="F2602" s="37" t="s">
        <v>2188</v>
      </c>
      <c r="G2602" s="38" t="s">
        <v>500</v>
      </c>
      <c r="H2602" s="37"/>
      <c r="I2602" s="37"/>
      <c r="J2602" s="37" t="s">
        <v>2200</v>
      </c>
      <c r="K2602" s="40"/>
      <c r="L2602" s="38"/>
      <c r="M2602" s="38"/>
      <c r="N2602" s="37"/>
      <c r="O2602" s="37"/>
      <c r="P2602" s="37"/>
      <c r="Q2602" s="37"/>
      <c r="R2602" s="39"/>
      <c r="S2602" s="37"/>
      <c r="T2602" s="38" t="s">
        <v>293</v>
      </c>
    </row>
    <row r="2603" ht="34.5">
      <c r="A2603" s="38" t="s">
        <v>1797</v>
      </c>
      <c r="B2603" s="38" t="s">
        <v>1798</v>
      </c>
      <c r="C2603" s="38" t="s">
        <v>815</v>
      </c>
      <c r="D2603" s="38" t="s">
        <v>875</v>
      </c>
      <c r="E2603" s="38" t="s">
        <v>541</v>
      </c>
      <c r="F2603" s="37" t="s">
        <v>2188</v>
      </c>
      <c r="G2603" s="38" t="s">
        <v>500</v>
      </c>
      <c r="H2603" s="37"/>
      <c r="I2603" s="37"/>
      <c r="J2603" s="37" t="s">
        <v>876</v>
      </c>
      <c r="K2603" s="40"/>
      <c r="L2603" s="38"/>
      <c r="M2603" s="38"/>
      <c r="N2603" s="37"/>
      <c r="O2603" s="37"/>
      <c r="P2603" s="37"/>
      <c r="Q2603" s="37"/>
      <c r="R2603" s="39"/>
      <c r="S2603" s="37"/>
      <c r="T2603" s="38" t="s">
        <v>293</v>
      </c>
    </row>
    <row r="2604" ht="34.5">
      <c r="A2604" s="38" t="s">
        <v>1797</v>
      </c>
      <c r="B2604" s="38" t="s">
        <v>1798</v>
      </c>
      <c r="C2604" s="38" t="s">
        <v>828</v>
      </c>
      <c r="D2604" s="38" t="s">
        <v>288</v>
      </c>
      <c r="E2604" s="38" t="s">
        <v>541</v>
      </c>
      <c r="F2604" s="37" t="s">
        <v>2188</v>
      </c>
      <c r="G2604" s="38" t="s">
        <v>500</v>
      </c>
      <c r="H2604" s="37"/>
      <c r="I2604" s="37"/>
      <c r="J2604" s="37" t="s">
        <v>2201</v>
      </c>
      <c r="K2604" s="40"/>
      <c r="L2604" s="38"/>
      <c r="M2604" s="38"/>
      <c r="N2604" s="37"/>
      <c r="O2604" s="37"/>
      <c r="P2604" s="37"/>
      <c r="Q2604" s="37"/>
      <c r="R2604" s="39"/>
      <c r="S2604" s="37"/>
      <c r="T2604" s="38" t="s">
        <v>293</v>
      </c>
    </row>
    <row r="2605" ht="34.5">
      <c r="A2605" s="38" t="s">
        <v>1797</v>
      </c>
      <c r="B2605" s="38" t="s">
        <v>1798</v>
      </c>
      <c r="C2605" s="38" t="s">
        <v>828</v>
      </c>
      <c r="D2605" s="38" t="s">
        <v>881</v>
      </c>
      <c r="E2605" s="38" t="s">
        <v>541</v>
      </c>
      <c r="F2605" s="37" t="s">
        <v>2188</v>
      </c>
      <c r="G2605" s="38" t="s">
        <v>500</v>
      </c>
      <c r="H2605" s="37"/>
      <c r="I2605" s="37"/>
      <c r="J2605" s="37" t="s">
        <v>882</v>
      </c>
      <c r="K2605" s="40"/>
      <c r="L2605" s="38"/>
      <c r="M2605" s="38"/>
      <c r="N2605" s="37"/>
      <c r="O2605" s="37"/>
      <c r="P2605" s="37"/>
      <c r="Q2605" s="37"/>
      <c r="R2605" s="39"/>
      <c r="S2605" s="37"/>
      <c r="T2605" s="38" t="s">
        <v>293</v>
      </c>
    </row>
    <row r="2606" ht="34.5">
      <c r="A2606" s="38" t="s">
        <v>1797</v>
      </c>
      <c r="B2606" s="38" t="s">
        <v>1798</v>
      </c>
      <c r="C2606" s="38" t="s">
        <v>828</v>
      </c>
      <c r="D2606" s="38" t="s">
        <v>288</v>
      </c>
      <c r="E2606" s="38" t="s">
        <v>541</v>
      </c>
      <c r="F2606" s="37" t="s">
        <v>2188</v>
      </c>
      <c r="G2606" s="38" t="s">
        <v>500</v>
      </c>
      <c r="H2606" s="37"/>
      <c r="I2606" s="37"/>
      <c r="J2606" s="37" t="s">
        <v>2202</v>
      </c>
      <c r="K2606" s="40"/>
      <c r="L2606" s="38"/>
      <c r="M2606" s="38"/>
      <c r="N2606" s="37"/>
      <c r="O2606" s="37"/>
      <c r="P2606" s="37"/>
      <c r="Q2606" s="37"/>
      <c r="R2606" s="39"/>
      <c r="S2606" s="37"/>
      <c r="T2606" s="38" t="s">
        <v>293</v>
      </c>
    </row>
    <row r="2607" ht="34.5">
      <c r="A2607" s="38" t="s">
        <v>1797</v>
      </c>
      <c r="B2607" s="38" t="s">
        <v>1798</v>
      </c>
      <c r="C2607" s="38" t="s">
        <v>828</v>
      </c>
      <c r="D2607" s="38" t="s">
        <v>991</v>
      </c>
      <c r="E2607" s="38" t="s">
        <v>541</v>
      </c>
      <c r="F2607" s="37" t="s">
        <v>2188</v>
      </c>
      <c r="G2607" s="38" t="s">
        <v>500</v>
      </c>
      <c r="H2607" s="37"/>
      <c r="I2607" s="37"/>
      <c r="J2607" s="37" t="s">
        <v>992</v>
      </c>
      <c r="K2607" s="40"/>
      <c r="L2607" s="38"/>
      <c r="M2607" s="38"/>
      <c r="N2607" s="37"/>
      <c r="O2607" s="37"/>
      <c r="P2607" s="37"/>
      <c r="Q2607" s="37"/>
      <c r="R2607" s="39"/>
      <c r="S2607" s="37"/>
      <c r="T2607" s="38" t="s">
        <v>293</v>
      </c>
    </row>
    <row r="2608" ht="34.5">
      <c r="A2608" s="38" t="s">
        <v>1797</v>
      </c>
      <c r="B2608" s="38" t="s">
        <v>1798</v>
      </c>
      <c r="C2608" s="38" t="s">
        <v>828</v>
      </c>
      <c r="D2608" s="38" t="s">
        <v>288</v>
      </c>
      <c r="E2608" s="38" t="s">
        <v>541</v>
      </c>
      <c r="F2608" s="37" t="s">
        <v>2188</v>
      </c>
      <c r="G2608" s="38" t="s">
        <v>500</v>
      </c>
      <c r="H2608" s="37"/>
      <c r="I2608" s="37"/>
      <c r="J2608" s="37" t="s">
        <v>2203</v>
      </c>
      <c r="K2608" s="40">
        <v>4538746</v>
      </c>
      <c r="L2608" s="38" t="s">
        <v>297</v>
      </c>
      <c r="M2608" s="38"/>
      <c r="N2608" s="37"/>
      <c r="O2608" s="37"/>
      <c r="P2608" s="37"/>
      <c r="Q2608" s="37"/>
      <c r="R2608" s="39"/>
      <c r="S2608" s="37"/>
      <c r="T2608" s="38" t="s">
        <v>293</v>
      </c>
    </row>
    <row r="2609" ht="34.5">
      <c r="A2609" s="38" t="s">
        <v>1797</v>
      </c>
      <c r="B2609" s="38" t="s">
        <v>1798</v>
      </c>
      <c r="C2609" s="38" t="s">
        <v>828</v>
      </c>
      <c r="D2609" s="38" t="s">
        <v>288</v>
      </c>
      <c r="E2609" s="38" t="s">
        <v>541</v>
      </c>
      <c r="F2609" s="37" t="s">
        <v>2188</v>
      </c>
      <c r="G2609" s="38" t="s">
        <v>500</v>
      </c>
      <c r="H2609" s="37"/>
      <c r="I2609" s="37"/>
      <c r="J2609" s="37" t="s">
        <v>2204</v>
      </c>
      <c r="K2609" s="40"/>
      <c r="L2609" s="38"/>
      <c r="M2609" s="38"/>
      <c r="N2609" s="37"/>
      <c r="O2609" s="37"/>
      <c r="P2609" s="37"/>
      <c r="Q2609" s="37"/>
      <c r="R2609" s="39"/>
      <c r="S2609" s="37"/>
      <c r="T2609" s="38" t="s">
        <v>293</v>
      </c>
    </row>
    <row r="2610" ht="34.5">
      <c r="A2610" s="38" t="s">
        <v>1797</v>
      </c>
      <c r="B2610" s="38" t="s">
        <v>1798</v>
      </c>
      <c r="C2610" s="38" t="s">
        <v>828</v>
      </c>
      <c r="D2610" s="38" t="s">
        <v>288</v>
      </c>
      <c r="E2610" s="38" t="s">
        <v>541</v>
      </c>
      <c r="F2610" s="37" t="s">
        <v>2188</v>
      </c>
      <c r="G2610" s="38" t="s">
        <v>500</v>
      </c>
      <c r="H2610" s="37"/>
      <c r="I2610" s="37"/>
      <c r="J2610" s="37" t="s">
        <v>2205</v>
      </c>
      <c r="K2610" s="40">
        <v>1.4</v>
      </c>
      <c r="L2610" s="38" t="s">
        <v>297</v>
      </c>
      <c r="M2610" s="38"/>
      <c r="N2610" s="37"/>
      <c r="O2610" s="37"/>
      <c r="P2610" s="37"/>
      <c r="Q2610" s="37"/>
      <c r="R2610" s="39"/>
      <c r="S2610" s="37"/>
      <c r="T2610" s="38" t="s">
        <v>293</v>
      </c>
    </row>
    <row r="2611" ht="34.5">
      <c r="A2611" s="38" t="s">
        <v>1797</v>
      </c>
      <c r="B2611" s="38" t="s">
        <v>1798</v>
      </c>
      <c r="C2611" s="38" t="s">
        <v>832</v>
      </c>
      <c r="D2611" s="38" t="s">
        <v>288</v>
      </c>
      <c r="E2611" s="38" t="s">
        <v>562</v>
      </c>
      <c r="F2611" s="37" t="s">
        <v>2206</v>
      </c>
      <c r="G2611" s="38" t="s">
        <v>400</v>
      </c>
      <c r="H2611" s="37"/>
      <c r="I2611" s="37"/>
      <c r="J2611" s="37" t="s">
        <v>2207</v>
      </c>
      <c r="K2611" s="40"/>
      <c r="L2611" s="38"/>
      <c r="M2611" s="38"/>
      <c r="N2611" s="37"/>
      <c r="O2611" s="37"/>
      <c r="P2611" s="37"/>
      <c r="Q2611" s="37"/>
      <c r="R2611" s="39"/>
      <c r="S2611" s="37"/>
      <c r="T2611" s="38" t="s">
        <v>293</v>
      </c>
    </row>
    <row r="2612" ht="34.5">
      <c r="A2612" s="38" t="s">
        <v>1797</v>
      </c>
      <c r="B2612" s="38" t="s">
        <v>1798</v>
      </c>
      <c r="C2612" s="38" t="s">
        <v>832</v>
      </c>
      <c r="D2612" s="38" t="s">
        <v>995</v>
      </c>
      <c r="E2612" s="38" t="s">
        <v>562</v>
      </c>
      <c r="F2612" s="37" t="s">
        <v>2206</v>
      </c>
      <c r="G2612" s="38" t="s">
        <v>400</v>
      </c>
      <c r="H2612" s="37"/>
      <c r="I2612" s="37"/>
      <c r="J2612" s="37" t="s">
        <v>2208</v>
      </c>
      <c r="K2612" s="40"/>
      <c r="L2612" s="38"/>
      <c r="M2612" s="38"/>
      <c r="N2612" s="37"/>
      <c r="O2612" s="37"/>
      <c r="P2612" s="37"/>
      <c r="Q2612" s="37"/>
      <c r="R2612" s="39"/>
      <c r="S2612" s="37"/>
      <c r="T2612" s="38" t="s">
        <v>293</v>
      </c>
    </row>
    <row r="2613" ht="34.5">
      <c r="A2613" s="38" t="s">
        <v>1797</v>
      </c>
      <c r="B2613" s="38" t="s">
        <v>1798</v>
      </c>
      <c r="C2613" s="38" t="s">
        <v>832</v>
      </c>
      <c r="D2613" s="38" t="s">
        <v>288</v>
      </c>
      <c r="E2613" s="38" t="s">
        <v>567</v>
      </c>
      <c r="F2613" s="37" t="s">
        <v>2209</v>
      </c>
      <c r="G2613" s="38" t="s">
        <v>400</v>
      </c>
      <c r="H2613" s="37"/>
      <c r="I2613" s="37"/>
      <c r="J2613" s="37" t="s">
        <v>2210</v>
      </c>
      <c r="K2613" s="40"/>
      <c r="L2613" s="38"/>
      <c r="M2613" s="38"/>
      <c r="N2613" s="37"/>
      <c r="O2613" s="37"/>
      <c r="P2613" s="37"/>
      <c r="Q2613" s="37"/>
      <c r="R2613" s="39"/>
      <c r="S2613" s="37"/>
      <c r="T2613" s="38" t="s">
        <v>293</v>
      </c>
    </row>
    <row r="2614" ht="34.5">
      <c r="A2614" s="38" t="s">
        <v>1797</v>
      </c>
      <c r="B2614" s="38" t="s">
        <v>1798</v>
      </c>
      <c r="C2614" s="38" t="s">
        <v>832</v>
      </c>
      <c r="D2614" s="38" t="s">
        <v>1004</v>
      </c>
      <c r="E2614" s="38" t="s">
        <v>567</v>
      </c>
      <c r="F2614" s="37" t="s">
        <v>2209</v>
      </c>
      <c r="G2614" s="38" t="s">
        <v>400</v>
      </c>
      <c r="H2614" s="37"/>
      <c r="I2614" s="37"/>
      <c r="J2614" s="37" t="s">
        <v>2211</v>
      </c>
      <c r="K2614" s="40"/>
      <c r="L2614" s="38"/>
      <c r="M2614" s="38"/>
      <c r="N2614" s="37"/>
      <c r="O2614" s="37"/>
      <c r="P2614" s="37"/>
      <c r="Q2614" s="37"/>
      <c r="R2614" s="39"/>
      <c r="S2614" s="37"/>
      <c r="T2614" s="38" t="s">
        <v>293</v>
      </c>
    </row>
    <row r="2615" ht="34.5">
      <c r="A2615" s="38" t="s">
        <v>1797</v>
      </c>
      <c r="B2615" s="38" t="s">
        <v>1798</v>
      </c>
      <c r="C2615" s="38" t="s">
        <v>844</v>
      </c>
      <c r="D2615" s="38" t="s">
        <v>288</v>
      </c>
      <c r="E2615" s="38" t="s">
        <v>567</v>
      </c>
      <c r="F2615" s="37" t="s">
        <v>2209</v>
      </c>
      <c r="G2615" s="38" t="s">
        <v>400</v>
      </c>
      <c r="H2615" s="37"/>
      <c r="I2615" s="37"/>
      <c r="J2615" s="37" t="s">
        <v>2212</v>
      </c>
      <c r="K2615" s="40"/>
      <c r="L2615" s="38"/>
      <c r="M2615" s="38"/>
      <c r="N2615" s="37"/>
      <c r="O2615" s="37"/>
      <c r="P2615" s="37"/>
      <c r="Q2615" s="37"/>
      <c r="R2615" s="39"/>
      <c r="S2615" s="37"/>
      <c r="T2615" s="38" t="s">
        <v>293</v>
      </c>
    </row>
    <row r="2616" ht="34.5">
      <c r="A2616" s="38" t="s">
        <v>1797</v>
      </c>
      <c r="B2616" s="38" t="s">
        <v>1798</v>
      </c>
      <c r="C2616" s="38" t="s">
        <v>844</v>
      </c>
      <c r="D2616" s="38" t="s">
        <v>288</v>
      </c>
      <c r="E2616" s="38" t="s">
        <v>567</v>
      </c>
      <c r="F2616" s="37" t="s">
        <v>2209</v>
      </c>
      <c r="G2616" s="38" t="s">
        <v>400</v>
      </c>
      <c r="H2616" s="37"/>
      <c r="I2616" s="37"/>
      <c r="J2616" s="37" t="s">
        <v>2213</v>
      </c>
      <c r="K2616" s="40"/>
      <c r="L2616" s="38"/>
      <c r="M2616" s="38"/>
      <c r="N2616" s="37"/>
      <c r="O2616" s="37"/>
      <c r="P2616" s="37"/>
      <c r="Q2616" s="37"/>
      <c r="R2616" s="39"/>
      <c r="S2616" s="37"/>
      <c r="T2616" s="38" t="s">
        <v>293</v>
      </c>
    </row>
    <row r="2617" ht="34.5">
      <c r="A2617" s="38" t="s">
        <v>1797</v>
      </c>
      <c r="B2617" s="38" t="s">
        <v>1798</v>
      </c>
      <c r="C2617" s="38" t="s">
        <v>844</v>
      </c>
      <c r="D2617" s="38" t="s">
        <v>1012</v>
      </c>
      <c r="E2617" s="38" t="s">
        <v>567</v>
      </c>
      <c r="F2617" s="37" t="s">
        <v>2209</v>
      </c>
      <c r="G2617" s="38" t="s">
        <v>400</v>
      </c>
      <c r="H2617" s="37"/>
      <c r="I2617" s="37"/>
      <c r="J2617" s="37" t="s">
        <v>1013</v>
      </c>
      <c r="K2617" s="40"/>
      <c r="L2617" s="38"/>
      <c r="M2617" s="38"/>
      <c r="N2617" s="37"/>
      <c r="O2617" s="37"/>
      <c r="P2617" s="37"/>
      <c r="Q2617" s="37"/>
      <c r="R2617" s="39"/>
      <c r="S2617" s="37"/>
      <c r="T2617" s="38" t="s">
        <v>293</v>
      </c>
    </row>
    <row r="2618" ht="34.5">
      <c r="A2618" s="38" t="s">
        <v>1797</v>
      </c>
      <c r="B2618" s="38" t="s">
        <v>1798</v>
      </c>
      <c r="C2618" s="38" t="s">
        <v>858</v>
      </c>
      <c r="D2618" s="38" t="s">
        <v>288</v>
      </c>
      <c r="E2618" s="38" t="s">
        <v>567</v>
      </c>
      <c r="F2618" s="37" t="s">
        <v>2209</v>
      </c>
      <c r="G2618" s="38" t="s">
        <v>400</v>
      </c>
      <c r="H2618" s="37"/>
      <c r="I2618" s="37"/>
      <c r="J2618" s="37" t="s">
        <v>2214</v>
      </c>
      <c r="K2618" s="40"/>
      <c r="L2618" s="38"/>
      <c r="M2618" s="38"/>
      <c r="N2618" s="37"/>
      <c r="O2618" s="37"/>
      <c r="P2618" s="37"/>
      <c r="Q2618" s="37"/>
      <c r="R2618" s="39"/>
      <c r="S2618" s="37"/>
      <c r="T2618" s="38" t="s">
        <v>293</v>
      </c>
    </row>
    <row r="2619" ht="34.5">
      <c r="A2619" s="38" t="s">
        <v>1797</v>
      </c>
      <c r="B2619" s="38" t="s">
        <v>1798</v>
      </c>
      <c r="C2619" s="38" t="s">
        <v>858</v>
      </c>
      <c r="D2619" s="38" t="s">
        <v>1015</v>
      </c>
      <c r="E2619" s="38" t="s">
        <v>567</v>
      </c>
      <c r="F2619" s="37" t="s">
        <v>2209</v>
      </c>
      <c r="G2619" s="38" t="s">
        <v>400</v>
      </c>
      <c r="H2619" s="37"/>
      <c r="I2619" s="37"/>
      <c r="J2619" s="37" t="s">
        <v>1016</v>
      </c>
      <c r="K2619" s="40"/>
      <c r="L2619" s="38"/>
      <c r="M2619" s="38"/>
      <c r="N2619" s="37"/>
      <c r="O2619" s="37"/>
      <c r="P2619" s="37"/>
      <c r="Q2619" s="37"/>
      <c r="R2619" s="39"/>
      <c r="S2619" s="37"/>
      <c r="T2619" s="38" t="s">
        <v>293</v>
      </c>
    </row>
    <row r="2620" ht="34.5">
      <c r="A2620" s="38" t="s">
        <v>1797</v>
      </c>
      <c r="B2620" s="38" t="s">
        <v>1798</v>
      </c>
      <c r="C2620" s="38" t="s">
        <v>858</v>
      </c>
      <c r="D2620" s="38" t="s">
        <v>288</v>
      </c>
      <c r="E2620" s="38" t="s">
        <v>567</v>
      </c>
      <c r="F2620" s="37" t="s">
        <v>2209</v>
      </c>
      <c r="G2620" s="38" t="s">
        <v>400</v>
      </c>
      <c r="H2620" s="37"/>
      <c r="I2620" s="37"/>
      <c r="J2620" s="37" t="s">
        <v>2215</v>
      </c>
      <c r="K2620" s="40"/>
      <c r="L2620" s="38"/>
      <c r="M2620" s="38"/>
      <c r="N2620" s="37"/>
      <c r="O2620" s="37"/>
      <c r="P2620" s="37"/>
      <c r="Q2620" s="37"/>
      <c r="R2620" s="39"/>
      <c r="S2620" s="37"/>
      <c r="T2620" s="38" t="s">
        <v>293</v>
      </c>
    </row>
    <row r="2621" ht="34.5">
      <c r="A2621" s="38" t="s">
        <v>1797</v>
      </c>
      <c r="B2621" s="38" t="s">
        <v>1798</v>
      </c>
      <c r="C2621" s="38" t="s">
        <v>858</v>
      </c>
      <c r="D2621" s="38" t="s">
        <v>1024</v>
      </c>
      <c r="E2621" s="38" t="s">
        <v>567</v>
      </c>
      <c r="F2621" s="37" t="s">
        <v>2209</v>
      </c>
      <c r="G2621" s="38" t="s">
        <v>400</v>
      </c>
      <c r="H2621" s="37"/>
      <c r="I2621" s="37"/>
      <c r="J2621" s="37" t="s">
        <v>1025</v>
      </c>
      <c r="K2621" s="40"/>
      <c r="L2621" s="38"/>
      <c r="M2621" s="38"/>
      <c r="N2621" s="37"/>
      <c r="O2621" s="37"/>
      <c r="P2621" s="37"/>
      <c r="Q2621" s="37"/>
      <c r="R2621" s="39"/>
      <c r="S2621" s="37"/>
      <c r="T2621" s="38" t="s">
        <v>293</v>
      </c>
    </row>
    <row r="2622" ht="34.5">
      <c r="A2622" s="38" t="s">
        <v>1797</v>
      </c>
      <c r="B2622" s="38" t="s">
        <v>1798</v>
      </c>
      <c r="C2622" s="38" t="s">
        <v>865</v>
      </c>
      <c r="D2622" s="38" t="s">
        <v>288</v>
      </c>
      <c r="E2622" s="38" t="s">
        <v>567</v>
      </c>
      <c r="F2622" s="37" t="s">
        <v>2209</v>
      </c>
      <c r="G2622" s="38" t="s">
        <v>400</v>
      </c>
      <c r="H2622" s="37"/>
      <c r="I2622" s="37"/>
      <c r="J2622" s="37" t="s">
        <v>2216</v>
      </c>
      <c r="K2622" s="40"/>
      <c r="L2622" s="38"/>
      <c r="M2622" s="38"/>
      <c r="N2622" s="37"/>
      <c r="O2622" s="37"/>
      <c r="P2622" s="37"/>
      <c r="Q2622" s="37"/>
      <c r="R2622" s="39"/>
      <c r="S2622" s="37"/>
      <c r="T2622" s="38" t="s">
        <v>293</v>
      </c>
    </row>
    <row r="2623" ht="34.5">
      <c r="A2623" s="38" t="s">
        <v>1797</v>
      </c>
      <c r="B2623" s="38" t="s">
        <v>1798</v>
      </c>
      <c r="C2623" s="38" t="s">
        <v>865</v>
      </c>
      <c r="D2623" s="38" t="s">
        <v>1062</v>
      </c>
      <c r="E2623" s="38" t="s">
        <v>567</v>
      </c>
      <c r="F2623" s="37" t="s">
        <v>2209</v>
      </c>
      <c r="G2623" s="38" t="s">
        <v>400</v>
      </c>
      <c r="H2623" s="37"/>
      <c r="I2623" s="37"/>
      <c r="J2623" s="37" t="s">
        <v>1063</v>
      </c>
      <c r="K2623" s="40"/>
      <c r="L2623" s="38"/>
      <c r="M2623" s="38"/>
      <c r="N2623" s="37"/>
      <c r="O2623" s="37"/>
      <c r="P2623" s="37"/>
      <c r="Q2623" s="37"/>
      <c r="R2623" s="39"/>
      <c r="S2623" s="37"/>
      <c r="T2623" s="38" t="s">
        <v>293</v>
      </c>
    </row>
    <row r="2624" ht="34.5">
      <c r="A2624" s="38" t="s">
        <v>1797</v>
      </c>
      <c r="B2624" s="38" t="s">
        <v>1798</v>
      </c>
      <c r="C2624" s="38" t="s">
        <v>865</v>
      </c>
      <c r="D2624" s="38" t="s">
        <v>1066</v>
      </c>
      <c r="E2624" s="38" t="s">
        <v>567</v>
      </c>
      <c r="F2624" s="37" t="s">
        <v>2209</v>
      </c>
      <c r="G2624" s="38" t="s">
        <v>400</v>
      </c>
      <c r="H2624" s="37"/>
      <c r="I2624" s="37"/>
      <c r="J2624" s="37" t="s">
        <v>1067</v>
      </c>
      <c r="K2624" s="40"/>
      <c r="L2624" s="38"/>
      <c r="M2624" s="38"/>
      <c r="N2624" s="37"/>
      <c r="O2624" s="37"/>
      <c r="P2624" s="37"/>
      <c r="Q2624" s="37"/>
      <c r="R2624" s="39"/>
      <c r="S2624" s="37"/>
      <c r="T2624" s="38" t="s">
        <v>293</v>
      </c>
    </row>
    <row r="2625" ht="34.5">
      <c r="A2625" s="38" t="s">
        <v>1797</v>
      </c>
      <c r="B2625" s="38" t="s">
        <v>1798</v>
      </c>
      <c r="C2625" s="38" t="s">
        <v>871</v>
      </c>
      <c r="D2625" s="38" t="s">
        <v>288</v>
      </c>
      <c r="E2625" s="38" t="s">
        <v>973</v>
      </c>
      <c r="F2625" s="37" t="s">
        <v>2217</v>
      </c>
      <c r="G2625" s="38" t="s">
        <v>500</v>
      </c>
      <c r="H2625" s="37"/>
      <c r="I2625" s="37"/>
      <c r="J2625" s="37" t="s">
        <v>549</v>
      </c>
      <c r="K2625" s="40">
        <v>150000</v>
      </c>
      <c r="L2625" s="38" t="s">
        <v>297</v>
      </c>
      <c r="M2625" s="38"/>
      <c r="N2625" s="37"/>
      <c r="O2625" s="37"/>
      <c r="P2625" s="37"/>
      <c r="Q2625" s="37"/>
      <c r="R2625" s="39"/>
      <c r="S2625" s="37"/>
      <c r="T2625" s="38" t="s">
        <v>293</v>
      </c>
    </row>
    <row r="2626" ht="34.5">
      <c r="A2626" s="38" t="s">
        <v>1797</v>
      </c>
      <c r="B2626" s="38" t="s">
        <v>1798</v>
      </c>
      <c r="C2626" s="38" t="s">
        <v>871</v>
      </c>
      <c r="D2626" s="38" t="s">
        <v>288</v>
      </c>
      <c r="E2626" s="38" t="s">
        <v>973</v>
      </c>
      <c r="F2626" s="37" t="s">
        <v>2217</v>
      </c>
      <c r="G2626" s="38" t="s">
        <v>500</v>
      </c>
      <c r="H2626" s="37"/>
      <c r="I2626" s="37"/>
      <c r="J2626" s="37" t="s">
        <v>2218</v>
      </c>
      <c r="K2626" s="40">
        <v>109804</v>
      </c>
      <c r="L2626" s="38" t="s">
        <v>297</v>
      </c>
      <c r="M2626" s="38"/>
      <c r="N2626" s="37"/>
      <c r="O2626" s="37"/>
      <c r="P2626" s="37"/>
      <c r="Q2626" s="37"/>
      <c r="R2626" s="39"/>
      <c r="S2626" s="37"/>
      <c r="T2626" s="38" t="s">
        <v>293</v>
      </c>
    </row>
    <row r="2627" ht="34.5">
      <c r="A2627" s="38" t="s">
        <v>1797</v>
      </c>
      <c r="B2627" s="38" t="s">
        <v>1798</v>
      </c>
      <c r="C2627" s="38" t="s">
        <v>871</v>
      </c>
      <c r="D2627" s="38" t="s">
        <v>288</v>
      </c>
      <c r="E2627" s="38" t="s">
        <v>973</v>
      </c>
      <c r="F2627" s="37" t="s">
        <v>2217</v>
      </c>
      <c r="G2627" s="38" t="s">
        <v>500</v>
      </c>
      <c r="H2627" s="37"/>
      <c r="I2627" s="37"/>
      <c r="J2627" s="37" t="s">
        <v>2219</v>
      </c>
      <c r="K2627" s="40">
        <v>31816</v>
      </c>
      <c r="L2627" s="38" t="s">
        <v>297</v>
      </c>
      <c r="M2627" s="38"/>
      <c r="N2627" s="37"/>
      <c r="O2627" s="37"/>
      <c r="P2627" s="37"/>
      <c r="Q2627" s="37"/>
      <c r="R2627" s="39"/>
      <c r="S2627" s="37"/>
      <c r="T2627" s="38" t="s">
        <v>293</v>
      </c>
    </row>
    <row r="2628" ht="34.5">
      <c r="A2628" s="38" t="s">
        <v>1797</v>
      </c>
      <c r="B2628" s="38" t="s">
        <v>1798</v>
      </c>
      <c r="C2628" s="38" t="s">
        <v>871</v>
      </c>
      <c r="D2628" s="38" t="s">
        <v>288</v>
      </c>
      <c r="E2628" s="38" t="s">
        <v>973</v>
      </c>
      <c r="F2628" s="37" t="s">
        <v>2217</v>
      </c>
      <c r="G2628" s="38" t="s">
        <v>500</v>
      </c>
      <c r="H2628" s="37"/>
      <c r="I2628" s="37"/>
      <c r="J2628" s="37" t="s">
        <v>2220</v>
      </c>
      <c r="K2628" s="40">
        <v>150000</v>
      </c>
      <c r="L2628" s="38" t="s">
        <v>297</v>
      </c>
      <c r="M2628" s="38"/>
      <c r="N2628" s="37"/>
      <c r="O2628" s="37"/>
      <c r="P2628" s="37"/>
      <c r="Q2628" s="37"/>
      <c r="R2628" s="39"/>
      <c r="S2628" s="37"/>
      <c r="T2628" s="38" t="s">
        <v>293</v>
      </c>
    </row>
    <row r="2629" ht="34.5">
      <c r="A2629" s="38" t="s">
        <v>1797</v>
      </c>
      <c r="B2629" s="38" t="s">
        <v>1798</v>
      </c>
      <c r="C2629" s="38" t="s">
        <v>877</v>
      </c>
      <c r="D2629" s="38" t="s">
        <v>288</v>
      </c>
      <c r="E2629" s="38" t="s">
        <v>973</v>
      </c>
      <c r="F2629" s="37" t="s">
        <v>2217</v>
      </c>
      <c r="G2629" s="38" t="s">
        <v>500</v>
      </c>
      <c r="H2629" s="37"/>
      <c r="I2629" s="37"/>
      <c r="J2629" s="37" t="s">
        <v>2221</v>
      </c>
      <c r="K2629" s="40">
        <v>2009324</v>
      </c>
      <c r="L2629" s="38" t="s">
        <v>297</v>
      </c>
      <c r="M2629" s="38"/>
      <c r="N2629" s="37"/>
      <c r="O2629" s="37"/>
      <c r="P2629" s="37"/>
      <c r="Q2629" s="37"/>
      <c r="R2629" s="39"/>
      <c r="S2629" s="37"/>
      <c r="T2629" s="38" t="s">
        <v>293</v>
      </c>
    </row>
    <row r="2630" ht="34.5">
      <c r="A2630" s="38" t="s">
        <v>1797</v>
      </c>
      <c r="B2630" s="38" t="s">
        <v>1798</v>
      </c>
      <c r="C2630" s="38" t="s">
        <v>877</v>
      </c>
      <c r="D2630" s="38" t="s">
        <v>1751</v>
      </c>
      <c r="E2630" s="38" t="s">
        <v>973</v>
      </c>
      <c r="F2630" s="37" t="s">
        <v>2217</v>
      </c>
      <c r="G2630" s="38" t="s">
        <v>500</v>
      </c>
      <c r="H2630" s="37"/>
      <c r="I2630" s="37"/>
      <c r="J2630" s="37" t="s">
        <v>1752</v>
      </c>
      <c r="K2630" s="40"/>
      <c r="L2630" s="38"/>
      <c r="M2630" s="38"/>
      <c r="N2630" s="37"/>
      <c r="O2630" s="37"/>
      <c r="P2630" s="37"/>
      <c r="Q2630" s="37"/>
      <c r="R2630" s="39"/>
      <c r="S2630" s="37"/>
      <c r="T2630" s="38" t="s">
        <v>293</v>
      </c>
    </row>
    <row r="2631" ht="34.5">
      <c r="A2631" s="38" t="s">
        <v>1797</v>
      </c>
      <c r="B2631" s="38" t="s">
        <v>1798</v>
      </c>
      <c r="C2631" s="38" t="s">
        <v>877</v>
      </c>
      <c r="D2631" s="38" t="s">
        <v>288</v>
      </c>
      <c r="E2631" s="38" t="s">
        <v>973</v>
      </c>
      <c r="F2631" s="37" t="s">
        <v>2217</v>
      </c>
      <c r="G2631" s="38" t="s">
        <v>500</v>
      </c>
      <c r="H2631" s="37"/>
      <c r="I2631" s="37"/>
      <c r="J2631" s="37" t="s">
        <v>2222</v>
      </c>
      <c r="K2631" s="40"/>
      <c r="L2631" s="38"/>
      <c r="M2631" s="38"/>
      <c r="N2631" s="37"/>
      <c r="O2631" s="37"/>
      <c r="P2631" s="37"/>
      <c r="Q2631" s="37"/>
      <c r="R2631" s="39"/>
      <c r="S2631" s="37"/>
      <c r="T2631" s="38" t="s">
        <v>293</v>
      </c>
    </row>
    <row r="2632" ht="34.5">
      <c r="A2632" s="38" t="s">
        <v>1797</v>
      </c>
      <c r="B2632" s="38" t="s">
        <v>1798</v>
      </c>
      <c r="C2632" s="38" t="s">
        <v>877</v>
      </c>
      <c r="D2632" s="38" t="s">
        <v>1753</v>
      </c>
      <c r="E2632" s="38" t="s">
        <v>973</v>
      </c>
      <c r="F2632" s="37" t="s">
        <v>2217</v>
      </c>
      <c r="G2632" s="38" t="s">
        <v>500</v>
      </c>
      <c r="H2632" s="37"/>
      <c r="I2632" s="37"/>
      <c r="J2632" s="37" t="s">
        <v>1754</v>
      </c>
      <c r="K2632" s="40"/>
      <c r="L2632" s="38"/>
      <c r="M2632" s="38"/>
      <c r="N2632" s="37"/>
      <c r="O2632" s="37"/>
      <c r="P2632" s="37"/>
      <c r="Q2632" s="37"/>
      <c r="R2632" s="39"/>
      <c r="S2632" s="37"/>
      <c r="T2632" s="38" t="s">
        <v>293</v>
      </c>
    </row>
    <row r="2633" ht="34.5">
      <c r="A2633" s="38" t="s">
        <v>1797</v>
      </c>
      <c r="B2633" s="38" t="s">
        <v>1798</v>
      </c>
      <c r="C2633" s="38" t="s">
        <v>877</v>
      </c>
      <c r="D2633" s="38" t="s">
        <v>288</v>
      </c>
      <c r="E2633" s="38" t="s">
        <v>973</v>
      </c>
      <c r="F2633" s="37" t="s">
        <v>2217</v>
      </c>
      <c r="G2633" s="38" t="s">
        <v>500</v>
      </c>
      <c r="H2633" s="37"/>
      <c r="I2633" s="37"/>
      <c r="J2633" s="37" t="s">
        <v>2223</v>
      </c>
      <c r="K2633" s="40"/>
      <c r="L2633" s="38"/>
      <c r="M2633" s="38"/>
      <c r="N2633" s="37"/>
      <c r="O2633" s="37"/>
      <c r="P2633" s="37"/>
      <c r="Q2633" s="37"/>
      <c r="R2633" s="39"/>
      <c r="S2633" s="37"/>
      <c r="T2633" s="38" t="s">
        <v>293</v>
      </c>
    </row>
    <row r="2634" ht="34.5">
      <c r="A2634" s="38" t="s">
        <v>1797</v>
      </c>
      <c r="B2634" s="38" t="s">
        <v>1798</v>
      </c>
      <c r="C2634" s="38" t="s">
        <v>877</v>
      </c>
      <c r="D2634" s="38" t="s">
        <v>288</v>
      </c>
      <c r="E2634" s="38" t="s">
        <v>973</v>
      </c>
      <c r="F2634" s="37" t="s">
        <v>2217</v>
      </c>
      <c r="G2634" s="38" t="s">
        <v>500</v>
      </c>
      <c r="H2634" s="37"/>
      <c r="I2634" s="37"/>
      <c r="J2634" s="37" t="s">
        <v>2224</v>
      </c>
      <c r="K2634" s="40"/>
      <c r="L2634" s="38"/>
      <c r="M2634" s="38"/>
      <c r="N2634" s="37"/>
      <c r="O2634" s="37"/>
      <c r="P2634" s="37"/>
      <c r="Q2634" s="37"/>
      <c r="R2634" s="39"/>
      <c r="S2634" s="37"/>
      <c r="T2634" s="38" t="s">
        <v>293</v>
      </c>
    </row>
    <row r="2635" ht="34.5">
      <c r="A2635" s="38" t="s">
        <v>1797</v>
      </c>
      <c r="B2635" s="38" t="s">
        <v>1798</v>
      </c>
      <c r="C2635" s="38" t="s">
        <v>877</v>
      </c>
      <c r="D2635" s="38" t="s">
        <v>1756</v>
      </c>
      <c r="E2635" s="38" t="s">
        <v>973</v>
      </c>
      <c r="F2635" s="37" t="s">
        <v>2217</v>
      </c>
      <c r="G2635" s="38" t="s">
        <v>500</v>
      </c>
      <c r="H2635" s="37"/>
      <c r="I2635" s="37"/>
      <c r="J2635" s="37" t="s">
        <v>1757</v>
      </c>
      <c r="K2635" s="40"/>
      <c r="L2635" s="38"/>
      <c r="M2635" s="38"/>
      <c r="N2635" s="37"/>
      <c r="O2635" s="37"/>
      <c r="P2635" s="37"/>
      <c r="Q2635" s="37"/>
      <c r="R2635" s="39"/>
      <c r="S2635" s="37"/>
      <c r="T2635" s="38" t="s">
        <v>293</v>
      </c>
    </row>
    <row r="2636" ht="34.5">
      <c r="A2636" s="38" t="s">
        <v>1797</v>
      </c>
      <c r="B2636" s="38" t="s">
        <v>1798</v>
      </c>
      <c r="C2636" s="38" t="s">
        <v>1049</v>
      </c>
      <c r="D2636" s="38" t="s">
        <v>1758</v>
      </c>
      <c r="E2636" s="38" t="s">
        <v>973</v>
      </c>
      <c r="F2636" s="37" t="s">
        <v>2217</v>
      </c>
      <c r="G2636" s="38" t="s">
        <v>500</v>
      </c>
      <c r="H2636" s="37"/>
      <c r="I2636" s="37"/>
      <c r="J2636" s="37" t="s">
        <v>1759</v>
      </c>
      <c r="K2636" s="40"/>
      <c r="L2636" s="38"/>
      <c r="M2636" s="38"/>
      <c r="N2636" s="37"/>
      <c r="O2636" s="37"/>
      <c r="P2636" s="37"/>
      <c r="Q2636" s="37"/>
      <c r="R2636" s="39"/>
      <c r="S2636" s="37"/>
      <c r="T2636" s="38" t="s">
        <v>293</v>
      </c>
    </row>
    <row r="2637" ht="34.5">
      <c r="A2637" s="38" t="s">
        <v>1797</v>
      </c>
      <c r="B2637" s="38" t="s">
        <v>1798</v>
      </c>
      <c r="C2637" s="38" t="s">
        <v>1049</v>
      </c>
      <c r="D2637" s="38" t="s">
        <v>288</v>
      </c>
      <c r="E2637" s="38" t="s">
        <v>615</v>
      </c>
      <c r="F2637" s="37" t="s">
        <v>2225</v>
      </c>
      <c r="G2637" s="38" t="s">
        <v>569</v>
      </c>
      <c r="H2637" s="37"/>
      <c r="I2637" s="37"/>
      <c r="J2637" s="37" t="s">
        <v>1679</v>
      </c>
      <c r="K2637" s="40"/>
      <c r="L2637" s="38"/>
      <c r="M2637" s="38"/>
      <c r="N2637" s="37"/>
      <c r="O2637" s="37"/>
      <c r="P2637" s="37"/>
      <c r="Q2637" s="37"/>
      <c r="R2637" s="39"/>
      <c r="S2637" s="37"/>
      <c r="T2637" s="38" t="s">
        <v>293</v>
      </c>
    </row>
    <row r="2638" ht="34.5">
      <c r="A2638" s="38" t="s">
        <v>1797</v>
      </c>
      <c r="B2638" s="38" t="s">
        <v>1798</v>
      </c>
      <c r="C2638" s="38" t="s">
        <v>1049</v>
      </c>
      <c r="D2638" s="38" t="s">
        <v>288</v>
      </c>
      <c r="E2638" s="38" t="s">
        <v>615</v>
      </c>
      <c r="F2638" s="37" t="s">
        <v>2225</v>
      </c>
      <c r="G2638" s="38" t="s">
        <v>569</v>
      </c>
      <c r="H2638" s="37"/>
      <c r="I2638" s="37"/>
      <c r="J2638" s="37" t="s">
        <v>2226</v>
      </c>
      <c r="K2638" s="40"/>
      <c r="L2638" s="38"/>
      <c r="M2638" s="38"/>
      <c r="N2638" s="37"/>
      <c r="O2638" s="37"/>
      <c r="P2638" s="37"/>
      <c r="Q2638" s="37"/>
      <c r="R2638" s="39"/>
      <c r="S2638" s="37"/>
      <c r="T2638" s="38" t="s">
        <v>293</v>
      </c>
    </row>
    <row r="2639" ht="34.5">
      <c r="A2639" s="38" t="s">
        <v>1797</v>
      </c>
      <c r="B2639" s="38" t="s">
        <v>1798</v>
      </c>
      <c r="C2639" s="38" t="s">
        <v>1057</v>
      </c>
      <c r="D2639" s="38" t="s">
        <v>288</v>
      </c>
      <c r="E2639" s="38" t="s">
        <v>615</v>
      </c>
      <c r="F2639" s="37" t="s">
        <v>2225</v>
      </c>
      <c r="G2639" s="38" t="s">
        <v>569</v>
      </c>
      <c r="H2639" s="37"/>
      <c r="I2639" s="37"/>
      <c r="J2639" s="37" t="s">
        <v>2227</v>
      </c>
      <c r="K2639" s="40">
        <v>11985312</v>
      </c>
      <c r="L2639" s="38" t="s">
        <v>297</v>
      </c>
      <c r="M2639" s="38"/>
      <c r="N2639" s="37"/>
      <c r="O2639" s="37"/>
      <c r="P2639" s="37"/>
      <c r="Q2639" s="37"/>
      <c r="R2639" s="39"/>
      <c r="S2639" s="37"/>
      <c r="T2639" s="38" t="s">
        <v>293</v>
      </c>
    </row>
    <row r="2640" ht="34.5">
      <c r="A2640" s="38" t="s">
        <v>1797</v>
      </c>
      <c r="B2640" s="38" t="s">
        <v>1798</v>
      </c>
      <c r="C2640" s="38" t="s">
        <v>1057</v>
      </c>
      <c r="D2640" s="38" t="s">
        <v>1762</v>
      </c>
      <c r="E2640" s="38" t="s">
        <v>615</v>
      </c>
      <c r="F2640" s="37" t="s">
        <v>2225</v>
      </c>
      <c r="G2640" s="38" t="s">
        <v>569</v>
      </c>
      <c r="H2640" s="37"/>
      <c r="I2640" s="37"/>
      <c r="J2640" s="37" t="s">
        <v>1763</v>
      </c>
      <c r="K2640" s="40"/>
      <c r="L2640" s="38"/>
      <c r="M2640" s="38"/>
      <c r="N2640" s="37"/>
      <c r="O2640" s="37"/>
      <c r="P2640" s="37"/>
      <c r="Q2640" s="37"/>
      <c r="R2640" s="39"/>
      <c r="S2640" s="37"/>
      <c r="T2640" s="38" t="s">
        <v>293</v>
      </c>
    </row>
    <row r="2641" ht="34.5">
      <c r="A2641" s="38" t="s">
        <v>1797</v>
      </c>
      <c r="B2641" s="38" t="s">
        <v>1798</v>
      </c>
      <c r="C2641" s="38" t="s">
        <v>1057</v>
      </c>
      <c r="D2641" s="38" t="s">
        <v>288</v>
      </c>
      <c r="E2641" s="38" t="s">
        <v>615</v>
      </c>
      <c r="F2641" s="37" t="s">
        <v>2225</v>
      </c>
      <c r="G2641" s="38" t="s">
        <v>569</v>
      </c>
      <c r="H2641" s="37"/>
      <c r="I2641" s="37"/>
      <c r="J2641" s="37" t="s">
        <v>2228</v>
      </c>
      <c r="K2641" s="40"/>
      <c r="L2641" s="38"/>
      <c r="M2641" s="38"/>
      <c r="N2641" s="37"/>
      <c r="O2641" s="37"/>
      <c r="P2641" s="37"/>
      <c r="Q2641" s="37"/>
      <c r="R2641" s="39"/>
      <c r="S2641" s="37"/>
      <c r="T2641" s="38" t="s">
        <v>293</v>
      </c>
    </row>
    <row r="2642" ht="34.5">
      <c r="A2642" s="38" t="s">
        <v>1797</v>
      </c>
      <c r="B2642" s="38" t="s">
        <v>1798</v>
      </c>
      <c r="C2642" s="38" t="s">
        <v>1057</v>
      </c>
      <c r="D2642" s="38" t="s">
        <v>1765</v>
      </c>
      <c r="E2642" s="38" t="s">
        <v>615</v>
      </c>
      <c r="F2642" s="37" t="s">
        <v>2225</v>
      </c>
      <c r="G2642" s="38" t="s">
        <v>569</v>
      </c>
      <c r="H2642" s="37"/>
      <c r="I2642" s="37"/>
      <c r="J2642" s="37" t="s">
        <v>1766</v>
      </c>
      <c r="K2642" s="40"/>
      <c r="L2642" s="38"/>
      <c r="M2642" s="38"/>
      <c r="N2642" s="37"/>
      <c r="O2642" s="37"/>
      <c r="P2642" s="37"/>
      <c r="Q2642" s="37"/>
      <c r="R2642" s="39"/>
      <c r="S2642" s="37"/>
      <c r="T2642" s="38" t="s">
        <v>293</v>
      </c>
    </row>
    <row r="2643" ht="34.5">
      <c r="A2643" s="38" t="s">
        <v>1797</v>
      </c>
      <c r="B2643" s="38" t="s">
        <v>1798</v>
      </c>
      <c r="C2643" s="38" t="s">
        <v>1057</v>
      </c>
      <c r="D2643" s="38" t="s">
        <v>288</v>
      </c>
      <c r="E2643" s="38" t="s">
        <v>615</v>
      </c>
      <c r="F2643" s="37" t="s">
        <v>2225</v>
      </c>
      <c r="G2643" s="38" t="s">
        <v>569</v>
      </c>
      <c r="H2643" s="37"/>
      <c r="I2643" s="37"/>
      <c r="J2643" s="37" t="s">
        <v>579</v>
      </c>
      <c r="K2643" s="40"/>
      <c r="L2643" s="38"/>
      <c r="M2643" s="38"/>
      <c r="N2643" s="37"/>
      <c r="O2643" s="37"/>
      <c r="P2643" s="37"/>
      <c r="Q2643" s="37"/>
      <c r="R2643" s="39"/>
      <c r="S2643" s="37"/>
      <c r="T2643" s="38" t="s">
        <v>293</v>
      </c>
    </row>
    <row r="2644" ht="34.5">
      <c r="A2644" s="38" t="s">
        <v>1797</v>
      </c>
      <c r="B2644" s="38" t="s">
        <v>1798</v>
      </c>
      <c r="C2644" s="38" t="s">
        <v>1057</v>
      </c>
      <c r="D2644" s="38" t="s">
        <v>1769</v>
      </c>
      <c r="E2644" s="38" t="s">
        <v>615</v>
      </c>
      <c r="F2644" s="37" t="s">
        <v>2225</v>
      </c>
      <c r="G2644" s="38" t="s">
        <v>569</v>
      </c>
      <c r="H2644" s="37"/>
      <c r="I2644" s="37"/>
      <c r="J2644" s="37" t="s">
        <v>1770</v>
      </c>
      <c r="K2644" s="40"/>
      <c r="L2644" s="38"/>
      <c r="M2644" s="38"/>
      <c r="N2644" s="37"/>
      <c r="O2644" s="37"/>
      <c r="P2644" s="37"/>
      <c r="Q2644" s="37"/>
      <c r="R2644" s="39"/>
      <c r="S2644" s="37"/>
      <c r="T2644" s="38" t="s">
        <v>293</v>
      </c>
    </row>
    <row r="2645" ht="34.5">
      <c r="A2645" s="38" t="s">
        <v>1797</v>
      </c>
      <c r="B2645" s="38" t="s">
        <v>1798</v>
      </c>
      <c r="C2645" s="38" t="s">
        <v>1064</v>
      </c>
      <c r="D2645" s="38" t="s">
        <v>288</v>
      </c>
      <c r="E2645" s="38" t="s">
        <v>615</v>
      </c>
      <c r="F2645" s="37" t="s">
        <v>2225</v>
      </c>
      <c r="G2645" s="38" t="s">
        <v>569</v>
      </c>
      <c r="H2645" s="37"/>
      <c r="I2645" s="37"/>
      <c r="J2645" s="37" t="s">
        <v>583</v>
      </c>
      <c r="K2645" s="40"/>
      <c r="L2645" s="38"/>
      <c r="M2645" s="38"/>
      <c r="N2645" s="37"/>
      <c r="O2645" s="37"/>
      <c r="P2645" s="37"/>
      <c r="Q2645" s="37"/>
      <c r="R2645" s="39"/>
      <c r="S2645" s="37"/>
      <c r="T2645" s="38" t="s">
        <v>293</v>
      </c>
    </row>
    <row r="2646" ht="34.5">
      <c r="A2646" s="38" t="s">
        <v>1797</v>
      </c>
      <c r="B2646" s="38" t="s">
        <v>1798</v>
      </c>
      <c r="C2646" s="38" t="s">
        <v>1064</v>
      </c>
      <c r="D2646" s="38" t="s">
        <v>2229</v>
      </c>
      <c r="E2646" s="38" t="s">
        <v>615</v>
      </c>
      <c r="F2646" s="37" t="s">
        <v>2225</v>
      </c>
      <c r="G2646" s="38" t="s">
        <v>569</v>
      </c>
      <c r="H2646" s="37"/>
      <c r="I2646" s="37"/>
      <c r="J2646" s="37" t="s">
        <v>2230</v>
      </c>
      <c r="K2646" s="40"/>
      <c r="L2646" s="38"/>
      <c r="M2646" s="38"/>
      <c r="N2646" s="37"/>
      <c r="O2646" s="37"/>
      <c r="P2646" s="37"/>
      <c r="Q2646" s="37"/>
      <c r="R2646" s="39"/>
      <c r="S2646" s="37"/>
      <c r="T2646" s="38" t="s">
        <v>293</v>
      </c>
    </row>
    <row r="2647" ht="34.5">
      <c r="A2647" s="38" t="s">
        <v>1797</v>
      </c>
      <c r="B2647" s="38" t="s">
        <v>1798</v>
      </c>
      <c r="C2647" s="38" t="s">
        <v>1064</v>
      </c>
      <c r="D2647" s="38" t="s">
        <v>288</v>
      </c>
      <c r="E2647" s="38" t="s">
        <v>615</v>
      </c>
      <c r="F2647" s="37" t="s">
        <v>2225</v>
      </c>
      <c r="G2647" s="38" t="s">
        <v>569</v>
      </c>
      <c r="H2647" s="37"/>
      <c r="I2647" s="37"/>
      <c r="J2647" s="37" t="s">
        <v>586</v>
      </c>
      <c r="K2647" s="40"/>
      <c r="L2647" s="38"/>
      <c r="M2647" s="38"/>
      <c r="N2647" s="37"/>
      <c r="O2647" s="37"/>
      <c r="P2647" s="37"/>
      <c r="Q2647" s="37"/>
      <c r="R2647" s="39"/>
      <c r="S2647" s="37"/>
      <c r="T2647" s="38" t="s">
        <v>293</v>
      </c>
    </row>
    <row r="2648" ht="34.5">
      <c r="A2648" s="38" t="s">
        <v>1797</v>
      </c>
      <c r="B2648" s="38" t="s">
        <v>1798</v>
      </c>
      <c r="C2648" s="38" t="s">
        <v>1064</v>
      </c>
      <c r="D2648" s="38" t="s">
        <v>288</v>
      </c>
      <c r="E2648" s="38" t="s">
        <v>615</v>
      </c>
      <c r="F2648" s="37" t="s">
        <v>2225</v>
      </c>
      <c r="G2648" s="38" t="s">
        <v>569</v>
      </c>
      <c r="H2648" s="37"/>
      <c r="I2648" s="37"/>
      <c r="J2648" s="37" t="s">
        <v>2231</v>
      </c>
      <c r="K2648" s="40"/>
      <c r="L2648" s="38"/>
      <c r="M2648" s="38"/>
      <c r="N2648" s="37"/>
      <c r="O2648" s="37"/>
      <c r="P2648" s="37"/>
      <c r="Q2648" s="37"/>
      <c r="R2648" s="39"/>
      <c r="S2648" s="37"/>
      <c r="T2648" s="38" t="s">
        <v>293</v>
      </c>
    </row>
    <row r="2649" ht="34.5">
      <c r="A2649" s="38" t="s">
        <v>1797</v>
      </c>
      <c r="B2649" s="38" t="s">
        <v>1798</v>
      </c>
      <c r="C2649" s="38" t="s">
        <v>1064</v>
      </c>
      <c r="D2649" s="38" t="s">
        <v>288</v>
      </c>
      <c r="E2649" s="38" t="s">
        <v>615</v>
      </c>
      <c r="F2649" s="37" t="s">
        <v>2225</v>
      </c>
      <c r="G2649" s="38" t="s">
        <v>569</v>
      </c>
      <c r="H2649" s="37"/>
      <c r="I2649" s="37"/>
      <c r="J2649" s="37" t="s">
        <v>2232</v>
      </c>
      <c r="K2649" s="40">
        <v>25836581</v>
      </c>
      <c r="L2649" s="38" t="s">
        <v>297</v>
      </c>
      <c r="M2649" s="38"/>
      <c r="N2649" s="37"/>
      <c r="O2649" s="37"/>
      <c r="P2649" s="37"/>
      <c r="Q2649" s="37"/>
      <c r="R2649" s="39"/>
      <c r="S2649" s="37"/>
      <c r="T2649" s="38" t="s">
        <v>293</v>
      </c>
    </row>
    <row r="2650" ht="34.5">
      <c r="A2650" s="38" t="s">
        <v>1797</v>
      </c>
      <c r="B2650" s="38" t="s">
        <v>1798</v>
      </c>
      <c r="C2650" s="38" t="s">
        <v>1064</v>
      </c>
      <c r="D2650" s="38" t="s">
        <v>288</v>
      </c>
      <c r="E2650" s="38" t="s">
        <v>615</v>
      </c>
      <c r="F2650" s="37" t="s">
        <v>2225</v>
      </c>
      <c r="G2650" s="38" t="s">
        <v>569</v>
      </c>
      <c r="H2650" s="37"/>
      <c r="I2650" s="37"/>
      <c r="J2650" s="37" t="s">
        <v>2233</v>
      </c>
      <c r="K2650" s="40"/>
      <c r="L2650" s="38"/>
      <c r="M2650" s="38"/>
      <c r="N2650" s="37"/>
      <c r="O2650" s="37"/>
      <c r="P2650" s="37"/>
      <c r="Q2650" s="37"/>
      <c r="R2650" s="39"/>
      <c r="S2650" s="37"/>
      <c r="T2650" s="38" t="s">
        <v>293</v>
      </c>
    </row>
    <row r="2651" ht="34.5">
      <c r="A2651" s="38" t="s">
        <v>1797</v>
      </c>
      <c r="B2651" s="38" t="s">
        <v>1798</v>
      </c>
      <c r="C2651" s="38" t="s">
        <v>1064</v>
      </c>
      <c r="D2651" s="38" t="s">
        <v>288</v>
      </c>
      <c r="E2651" s="38" t="s">
        <v>615</v>
      </c>
      <c r="F2651" s="37" t="s">
        <v>2225</v>
      </c>
      <c r="G2651" s="38" t="s">
        <v>569</v>
      </c>
      <c r="H2651" s="37"/>
      <c r="I2651" s="37"/>
      <c r="J2651" s="37" t="s">
        <v>2234</v>
      </c>
      <c r="K2651" s="40">
        <v>59305</v>
      </c>
      <c r="L2651" s="38" t="s">
        <v>297</v>
      </c>
      <c r="M2651" s="38"/>
      <c r="N2651" s="37"/>
      <c r="O2651" s="37"/>
      <c r="P2651" s="37"/>
      <c r="Q2651" s="37"/>
      <c r="R2651" s="39"/>
      <c r="S2651" s="37"/>
      <c r="T2651" s="38" t="s">
        <v>293</v>
      </c>
    </row>
    <row r="2652" ht="34.5">
      <c r="A2652" s="38" t="s">
        <v>1797</v>
      </c>
      <c r="B2652" s="38" t="s">
        <v>1798</v>
      </c>
      <c r="C2652" s="38" t="s">
        <v>1064</v>
      </c>
      <c r="D2652" s="38" t="s">
        <v>288</v>
      </c>
      <c r="E2652" s="38" t="s">
        <v>615</v>
      </c>
      <c r="F2652" s="37" t="s">
        <v>2225</v>
      </c>
      <c r="G2652" s="38" t="s">
        <v>569</v>
      </c>
      <c r="H2652" s="37"/>
      <c r="I2652" s="37"/>
      <c r="J2652" s="37" t="s">
        <v>2235</v>
      </c>
      <c r="K2652" s="40"/>
      <c r="L2652" s="38"/>
      <c r="M2652" s="38"/>
      <c r="N2652" s="37"/>
      <c r="O2652" s="37"/>
      <c r="P2652" s="37"/>
      <c r="Q2652" s="37"/>
      <c r="R2652" s="39"/>
      <c r="S2652" s="37"/>
      <c r="T2652" s="38" t="s">
        <v>293</v>
      </c>
    </row>
    <row r="2653" ht="34.5">
      <c r="A2653" s="38" t="s">
        <v>1797</v>
      </c>
      <c r="B2653" s="38" t="s">
        <v>1798</v>
      </c>
      <c r="C2653" s="38" t="s">
        <v>1064</v>
      </c>
      <c r="D2653" s="38" t="s">
        <v>288</v>
      </c>
      <c r="E2653" s="38" t="s">
        <v>615</v>
      </c>
      <c r="F2653" s="37" t="s">
        <v>2225</v>
      </c>
      <c r="G2653" s="38" t="s">
        <v>569</v>
      </c>
      <c r="H2653" s="37"/>
      <c r="I2653" s="37"/>
      <c r="J2653" s="37" t="s">
        <v>2236</v>
      </c>
      <c r="K2653" s="40"/>
      <c r="L2653" s="38"/>
      <c r="M2653" s="38"/>
      <c r="N2653" s="37"/>
      <c r="O2653" s="37"/>
      <c r="P2653" s="37"/>
      <c r="Q2653" s="37"/>
      <c r="R2653" s="39"/>
      <c r="S2653" s="37"/>
      <c r="T2653" s="38" t="s">
        <v>293</v>
      </c>
    </row>
    <row r="2654" ht="34.5">
      <c r="A2654" s="38" t="s">
        <v>1797</v>
      </c>
      <c r="B2654" s="38" t="s">
        <v>1798</v>
      </c>
      <c r="C2654" s="38" t="s">
        <v>1064</v>
      </c>
      <c r="D2654" s="38" t="s">
        <v>288</v>
      </c>
      <c r="E2654" s="38" t="s">
        <v>615</v>
      </c>
      <c r="F2654" s="37" t="s">
        <v>2225</v>
      </c>
      <c r="G2654" s="38" t="s">
        <v>569</v>
      </c>
      <c r="H2654" s="37"/>
      <c r="I2654" s="37"/>
      <c r="J2654" s="37" t="s">
        <v>2237</v>
      </c>
      <c r="K2654" s="40"/>
      <c r="L2654" s="38"/>
      <c r="M2654" s="38"/>
      <c r="N2654" s="37"/>
      <c r="O2654" s="37"/>
      <c r="P2654" s="37"/>
      <c r="Q2654" s="37"/>
      <c r="R2654" s="39"/>
      <c r="S2654" s="37"/>
      <c r="T2654" s="38" t="s">
        <v>293</v>
      </c>
    </row>
    <row r="2655" ht="34.5">
      <c r="A2655" s="38" t="s">
        <v>1797</v>
      </c>
      <c r="B2655" s="38" t="s">
        <v>1798</v>
      </c>
      <c r="C2655" s="38" t="s">
        <v>1192</v>
      </c>
      <c r="D2655" s="38" t="s">
        <v>288</v>
      </c>
      <c r="E2655" s="38" t="s">
        <v>615</v>
      </c>
      <c r="F2655" s="37" t="s">
        <v>2225</v>
      </c>
      <c r="G2655" s="38" t="s">
        <v>569</v>
      </c>
      <c r="H2655" s="37"/>
      <c r="I2655" s="37"/>
      <c r="J2655" s="37" t="s">
        <v>2238</v>
      </c>
      <c r="K2655" s="40"/>
      <c r="L2655" s="38"/>
      <c r="M2655" s="38"/>
      <c r="N2655" s="37"/>
      <c r="O2655" s="37"/>
      <c r="P2655" s="37"/>
      <c r="Q2655" s="37"/>
      <c r="R2655" s="39"/>
      <c r="S2655" s="37"/>
      <c r="T2655" s="38" t="s">
        <v>293</v>
      </c>
    </row>
    <row r="2656" ht="34.5">
      <c r="A2656" s="38" t="s">
        <v>1797</v>
      </c>
      <c r="B2656" s="38" t="s">
        <v>1798</v>
      </c>
      <c r="C2656" s="38" t="s">
        <v>1192</v>
      </c>
      <c r="D2656" s="38" t="s">
        <v>288</v>
      </c>
      <c r="E2656" s="38" t="s">
        <v>615</v>
      </c>
      <c r="F2656" s="37" t="s">
        <v>2225</v>
      </c>
      <c r="G2656" s="38" t="s">
        <v>569</v>
      </c>
      <c r="H2656" s="37"/>
      <c r="I2656" s="37"/>
      <c r="J2656" s="37" t="s">
        <v>2239</v>
      </c>
      <c r="K2656" s="40">
        <v>161937786</v>
      </c>
      <c r="L2656" s="38" t="s">
        <v>297</v>
      </c>
      <c r="M2656" s="38"/>
      <c r="N2656" s="37"/>
      <c r="O2656" s="37"/>
      <c r="P2656" s="37"/>
      <c r="Q2656" s="37"/>
      <c r="R2656" s="39"/>
      <c r="S2656" s="37"/>
      <c r="T2656" s="38" t="s">
        <v>293</v>
      </c>
    </row>
    <row r="2657" ht="34.5">
      <c r="A2657" s="38" t="s">
        <v>1797</v>
      </c>
      <c r="B2657" s="38" t="s">
        <v>1798</v>
      </c>
      <c r="C2657" s="38" t="s">
        <v>1192</v>
      </c>
      <c r="D2657" s="38" t="s">
        <v>2240</v>
      </c>
      <c r="E2657" s="38" t="s">
        <v>615</v>
      </c>
      <c r="F2657" s="37" t="s">
        <v>2225</v>
      </c>
      <c r="G2657" s="38" t="s">
        <v>569</v>
      </c>
      <c r="H2657" s="37"/>
      <c r="I2657" s="37"/>
      <c r="J2657" s="37" t="s">
        <v>2241</v>
      </c>
      <c r="K2657" s="40"/>
      <c r="L2657" s="38"/>
      <c r="M2657" s="38"/>
      <c r="N2657" s="37"/>
      <c r="O2657" s="37"/>
      <c r="P2657" s="37"/>
      <c r="Q2657" s="37"/>
      <c r="R2657" s="39"/>
      <c r="S2657" s="37"/>
      <c r="T2657" s="38" t="s">
        <v>293</v>
      </c>
    </row>
    <row r="2658" ht="34.5">
      <c r="A2658" s="38" t="s">
        <v>1797</v>
      </c>
      <c r="B2658" s="38" t="s">
        <v>1798</v>
      </c>
      <c r="C2658" s="38" t="s">
        <v>1192</v>
      </c>
      <c r="D2658" s="38" t="s">
        <v>288</v>
      </c>
      <c r="E2658" s="38" t="s">
        <v>615</v>
      </c>
      <c r="F2658" s="37" t="s">
        <v>2225</v>
      </c>
      <c r="G2658" s="38" t="s">
        <v>569</v>
      </c>
      <c r="H2658" s="37"/>
      <c r="I2658" s="37"/>
      <c r="J2658" s="37" t="s">
        <v>2242</v>
      </c>
      <c r="K2658" s="40"/>
      <c r="L2658" s="38"/>
      <c r="M2658" s="38"/>
      <c r="N2658" s="37"/>
      <c r="O2658" s="37"/>
      <c r="P2658" s="37"/>
      <c r="Q2658" s="37"/>
      <c r="R2658" s="39"/>
      <c r="S2658" s="37"/>
      <c r="T2658" s="38" t="s">
        <v>293</v>
      </c>
    </row>
    <row r="2659" ht="34.5">
      <c r="A2659" s="38" t="s">
        <v>1797</v>
      </c>
      <c r="B2659" s="38" t="s">
        <v>1798</v>
      </c>
      <c r="C2659" s="38" t="s">
        <v>1192</v>
      </c>
      <c r="D2659" s="38" t="s">
        <v>288</v>
      </c>
      <c r="E2659" s="38" t="s">
        <v>615</v>
      </c>
      <c r="F2659" s="37" t="s">
        <v>2225</v>
      </c>
      <c r="G2659" s="38" t="s">
        <v>569</v>
      </c>
      <c r="H2659" s="37"/>
      <c r="I2659" s="37"/>
      <c r="J2659" s="37" t="s">
        <v>2243</v>
      </c>
      <c r="K2659" s="40"/>
      <c r="L2659" s="38"/>
      <c r="M2659" s="38"/>
      <c r="N2659" s="37"/>
      <c r="O2659" s="37"/>
      <c r="P2659" s="37"/>
      <c r="Q2659" s="37"/>
      <c r="R2659" s="39"/>
      <c r="S2659" s="37"/>
      <c r="T2659" s="38" t="s">
        <v>293</v>
      </c>
    </row>
    <row r="2660" ht="34.5">
      <c r="A2660" s="38" t="s">
        <v>1797</v>
      </c>
      <c r="B2660" s="38" t="s">
        <v>1798</v>
      </c>
      <c r="C2660" s="38" t="s">
        <v>1192</v>
      </c>
      <c r="D2660" s="38" t="s">
        <v>2244</v>
      </c>
      <c r="E2660" s="38" t="s">
        <v>615</v>
      </c>
      <c r="F2660" s="37" t="s">
        <v>2225</v>
      </c>
      <c r="G2660" s="38" t="s">
        <v>569</v>
      </c>
      <c r="H2660" s="37"/>
      <c r="I2660" s="37"/>
      <c r="J2660" s="37" t="s">
        <v>2245</v>
      </c>
      <c r="K2660" s="40"/>
      <c r="L2660" s="38"/>
      <c r="M2660" s="38"/>
      <c r="N2660" s="37"/>
      <c r="O2660" s="37"/>
      <c r="P2660" s="37"/>
      <c r="Q2660" s="37"/>
      <c r="R2660" s="39"/>
      <c r="S2660" s="37"/>
      <c r="T2660" s="38" t="s">
        <v>293</v>
      </c>
    </row>
    <row r="2661" ht="34.5">
      <c r="A2661" s="38" t="s">
        <v>1797</v>
      </c>
      <c r="B2661" s="38" t="s">
        <v>1798</v>
      </c>
      <c r="C2661" s="38" t="s">
        <v>1192</v>
      </c>
      <c r="D2661" s="38" t="s">
        <v>288</v>
      </c>
      <c r="E2661" s="38" t="s">
        <v>2246</v>
      </c>
      <c r="F2661" s="37" t="s">
        <v>2247</v>
      </c>
      <c r="G2661" s="38" t="s">
        <v>975</v>
      </c>
      <c r="H2661" s="37"/>
      <c r="I2661" s="37"/>
      <c r="J2661" s="37" t="s">
        <v>2248</v>
      </c>
      <c r="K2661" s="40">
        <v>9274639</v>
      </c>
      <c r="L2661" s="38" t="s">
        <v>297</v>
      </c>
      <c r="M2661" s="38"/>
      <c r="N2661" s="37"/>
      <c r="O2661" s="37"/>
      <c r="P2661" s="37"/>
      <c r="Q2661" s="37"/>
      <c r="R2661" s="39"/>
      <c r="S2661" s="37"/>
      <c r="T2661" s="38" t="s">
        <v>293</v>
      </c>
    </row>
    <row r="2662" ht="34.5">
      <c r="A2662" s="38" t="s">
        <v>1797</v>
      </c>
      <c r="B2662" s="38" t="s">
        <v>1798</v>
      </c>
      <c r="C2662" s="38" t="s">
        <v>1192</v>
      </c>
      <c r="D2662" s="38" t="s">
        <v>288</v>
      </c>
      <c r="E2662" s="38" t="s">
        <v>2246</v>
      </c>
      <c r="F2662" s="37" t="s">
        <v>2247</v>
      </c>
      <c r="G2662" s="38" t="s">
        <v>975</v>
      </c>
      <c r="H2662" s="37"/>
      <c r="I2662" s="37"/>
      <c r="J2662" s="37" t="s">
        <v>2249</v>
      </c>
      <c r="K2662" s="40"/>
      <c r="L2662" s="38"/>
      <c r="M2662" s="38"/>
      <c r="N2662" s="37"/>
      <c r="O2662" s="37"/>
      <c r="P2662" s="37"/>
      <c r="Q2662" s="37"/>
      <c r="R2662" s="39"/>
      <c r="S2662" s="37"/>
      <c r="T2662" s="38" t="s">
        <v>293</v>
      </c>
    </row>
    <row r="2663" ht="34.5">
      <c r="A2663" s="38" t="s">
        <v>1797</v>
      </c>
      <c r="B2663" s="38" t="s">
        <v>1798</v>
      </c>
      <c r="C2663" s="38" t="s">
        <v>1192</v>
      </c>
      <c r="D2663" s="38" t="s">
        <v>288</v>
      </c>
      <c r="E2663" s="38" t="s">
        <v>706</v>
      </c>
      <c r="F2663" s="37" t="s">
        <v>2250</v>
      </c>
      <c r="G2663" s="38" t="s">
        <v>291</v>
      </c>
      <c r="H2663" s="37"/>
      <c r="I2663" s="37"/>
      <c r="J2663" s="37" t="s">
        <v>2251</v>
      </c>
      <c r="K2663" s="40"/>
      <c r="L2663" s="38"/>
      <c r="M2663" s="38"/>
      <c r="N2663" s="37"/>
      <c r="O2663" s="37"/>
      <c r="P2663" s="37"/>
      <c r="Q2663" s="37"/>
      <c r="R2663" s="39"/>
      <c r="S2663" s="37"/>
      <c r="T2663" s="38" t="s">
        <v>293</v>
      </c>
    </row>
    <row r="2664" ht="34.5">
      <c r="A2664" s="38" t="s">
        <v>1797</v>
      </c>
      <c r="B2664" s="38" t="s">
        <v>1798</v>
      </c>
      <c r="C2664" s="38" t="s">
        <v>1192</v>
      </c>
      <c r="D2664" s="38" t="s">
        <v>288</v>
      </c>
      <c r="E2664" s="38" t="s">
        <v>706</v>
      </c>
      <c r="F2664" s="37" t="s">
        <v>2250</v>
      </c>
      <c r="G2664" s="38" t="s">
        <v>291</v>
      </c>
      <c r="H2664" s="37"/>
      <c r="I2664" s="37"/>
      <c r="J2664" s="37" t="s">
        <v>2252</v>
      </c>
      <c r="K2664" s="40"/>
      <c r="L2664" s="38"/>
      <c r="M2664" s="38"/>
      <c r="N2664" s="37"/>
      <c r="O2664" s="37"/>
      <c r="P2664" s="37"/>
      <c r="Q2664" s="37"/>
      <c r="R2664" s="39"/>
      <c r="S2664" s="37"/>
      <c r="T2664" s="38" t="s">
        <v>293</v>
      </c>
    </row>
    <row r="2665" ht="34.5">
      <c r="A2665" s="38" t="s">
        <v>1797</v>
      </c>
      <c r="B2665" s="38" t="s">
        <v>1798</v>
      </c>
      <c r="C2665" s="38" t="s">
        <v>1192</v>
      </c>
      <c r="D2665" s="38" t="s">
        <v>288</v>
      </c>
      <c r="E2665" s="38" t="s">
        <v>706</v>
      </c>
      <c r="F2665" s="37" t="s">
        <v>2250</v>
      </c>
      <c r="G2665" s="38" t="s">
        <v>291</v>
      </c>
      <c r="H2665" s="37"/>
      <c r="I2665" s="37"/>
      <c r="J2665" s="37" t="s">
        <v>2253</v>
      </c>
      <c r="K2665" s="40">
        <v>221411</v>
      </c>
      <c r="L2665" s="38" t="s">
        <v>297</v>
      </c>
      <c r="M2665" s="38"/>
      <c r="N2665" s="37"/>
      <c r="O2665" s="37"/>
      <c r="P2665" s="37"/>
      <c r="Q2665" s="37"/>
      <c r="R2665" s="39"/>
      <c r="S2665" s="37"/>
      <c r="T2665" s="38" t="s">
        <v>293</v>
      </c>
    </row>
    <row r="2666" ht="34.5">
      <c r="A2666" s="38" t="s">
        <v>1797</v>
      </c>
      <c r="B2666" s="38" t="s">
        <v>1798</v>
      </c>
      <c r="C2666" s="38" t="s">
        <v>1196</v>
      </c>
      <c r="D2666" s="38" t="s">
        <v>288</v>
      </c>
      <c r="E2666" s="38" t="s">
        <v>706</v>
      </c>
      <c r="F2666" s="37" t="s">
        <v>2250</v>
      </c>
      <c r="G2666" s="38" t="s">
        <v>291</v>
      </c>
      <c r="H2666" s="37"/>
      <c r="I2666" s="37"/>
      <c r="J2666" s="37" t="s">
        <v>2254</v>
      </c>
      <c r="K2666" s="40">
        <v>231824</v>
      </c>
      <c r="L2666" s="38" t="s">
        <v>297</v>
      </c>
      <c r="M2666" s="38"/>
      <c r="N2666" s="37"/>
      <c r="O2666" s="37"/>
      <c r="P2666" s="37"/>
      <c r="Q2666" s="37"/>
      <c r="R2666" s="39"/>
      <c r="S2666" s="37"/>
      <c r="T2666" s="38" t="s">
        <v>293</v>
      </c>
    </row>
    <row r="2667" ht="34.5">
      <c r="A2667" s="38" t="s">
        <v>1797</v>
      </c>
      <c r="B2667" s="38" t="s">
        <v>1798</v>
      </c>
      <c r="C2667" s="38" t="s">
        <v>1196</v>
      </c>
      <c r="D2667" s="38" t="s">
        <v>288</v>
      </c>
      <c r="E2667" s="38" t="s">
        <v>706</v>
      </c>
      <c r="F2667" s="37" t="s">
        <v>2250</v>
      </c>
      <c r="G2667" s="38" t="s">
        <v>291</v>
      </c>
      <c r="H2667" s="37"/>
      <c r="I2667" s="37"/>
      <c r="J2667" s="37" t="s">
        <v>910</v>
      </c>
      <c r="K2667" s="40"/>
      <c r="L2667" s="38"/>
      <c r="M2667" s="38"/>
      <c r="N2667" s="37"/>
      <c r="O2667" s="37"/>
      <c r="P2667" s="37"/>
      <c r="Q2667" s="37"/>
      <c r="R2667" s="39"/>
      <c r="S2667" s="37"/>
      <c r="T2667" s="38" t="s">
        <v>293</v>
      </c>
    </row>
    <row r="2668" ht="34.5">
      <c r="A2668" s="38" t="s">
        <v>1797</v>
      </c>
      <c r="B2668" s="38" t="s">
        <v>1798</v>
      </c>
      <c r="C2668" s="38" t="s">
        <v>1196</v>
      </c>
      <c r="D2668" s="38" t="s">
        <v>288</v>
      </c>
      <c r="E2668" s="38" t="s">
        <v>706</v>
      </c>
      <c r="F2668" s="37" t="s">
        <v>2250</v>
      </c>
      <c r="G2668" s="38" t="s">
        <v>291</v>
      </c>
      <c r="H2668" s="37"/>
      <c r="I2668" s="37"/>
      <c r="J2668" s="37" t="s">
        <v>2255</v>
      </c>
      <c r="K2668" s="40"/>
      <c r="L2668" s="38"/>
      <c r="M2668" s="38"/>
      <c r="N2668" s="37"/>
      <c r="O2668" s="37"/>
      <c r="P2668" s="37"/>
      <c r="Q2668" s="37"/>
      <c r="R2668" s="39"/>
      <c r="S2668" s="37"/>
      <c r="T2668" s="38" t="s">
        <v>293</v>
      </c>
    </row>
    <row r="2669" ht="34.5">
      <c r="A2669" s="38" t="s">
        <v>1797</v>
      </c>
      <c r="B2669" s="38" t="s">
        <v>1798</v>
      </c>
      <c r="C2669" s="38" t="s">
        <v>1196</v>
      </c>
      <c r="D2669" s="38" t="s">
        <v>288</v>
      </c>
      <c r="E2669" s="38" t="s">
        <v>706</v>
      </c>
      <c r="F2669" s="37" t="s">
        <v>2250</v>
      </c>
      <c r="G2669" s="38" t="s">
        <v>291</v>
      </c>
      <c r="H2669" s="37"/>
      <c r="I2669" s="37"/>
      <c r="J2669" s="37" t="s">
        <v>2256</v>
      </c>
      <c r="K2669" s="40">
        <v>7502685</v>
      </c>
      <c r="L2669" s="38" t="s">
        <v>297</v>
      </c>
      <c r="M2669" s="38"/>
      <c r="N2669" s="37"/>
      <c r="O2669" s="37"/>
      <c r="P2669" s="37"/>
      <c r="Q2669" s="37"/>
      <c r="R2669" s="39"/>
      <c r="S2669" s="37"/>
      <c r="T2669" s="38" t="s">
        <v>293</v>
      </c>
    </row>
    <row r="2670" ht="34.5">
      <c r="A2670" s="38" t="s">
        <v>1797</v>
      </c>
      <c r="B2670" s="38" t="s">
        <v>1798</v>
      </c>
      <c r="C2670" s="38" t="s">
        <v>1196</v>
      </c>
      <c r="D2670" s="38" t="s">
        <v>288</v>
      </c>
      <c r="E2670" s="38" t="s">
        <v>706</v>
      </c>
      <c r="F2670" s="37" t="s">
        <v>2250</v>
      </c>
      <c r="G2670" s="38" t="s">
        <v>291</v>
      </c>
      <c r="H2670" s="37"/>
      <c r="I2670" s="37"/>
      <c r="J2670" s="37" t="s">
        <v>2257</v>
      </c>
      <c r="K2670" s="40"/>
      <c r="L2670" s="38"/>
      <c r="M2670" s="38"/>
      <c r="N2670" s="37"/>
      <c r="O2670" s="37"/>
      <c r="P2670" s="37"/>
      <c r="Q2670" s="37"/>
      <c r="R2670" s="39"/>
      <c r="S2670" s="37"/>
      <c r="T2670" s="38" t="s">
        <v>293</v>
      </c>
    </row>
    <row r="2671" ht="34.5">
      <c r="A2671" s="38" t="s">
        <v>1797</v>
      </c>
      <c r="B2671" s="38" t="s">
        <v>1798</v>
      </c>
      <c r="C2671" s="38" t="s">
        <v>1196</v>
      </c>
      <c r="D2671" s="38" t="s">
        <v>288</v>
      </c>
      <c r="E2671" s="38" t="s">
        <v>706</v>
      </c>
      <c r="F2671" s="37" t="s">
        <v>2250</v>
      </c>
      <c r="G2671" s="38" t="s">
        <v>291</v>
      </c>
      <c r="H2671" s="37"/>
      <c r="I2671" s="37"/>
      <c r="J2671" s="37" t="s">
        <v>2258</v>
      </c>
      <c r="K2671" s="40"/>
      <c r="L2671" s="38"/>
      <c r="M2671" s="38"/>
      <c r="N2671" s="37"/>
      <c r="O2671" s="37"/>
      <c r="P2671" s="37"/>
      <c r="Q2671" s="37"/>
      <c r="R2671" s="39"/>
      <c r="S2671" s="37"/>
      <c r="T2671" s="38" t="s">
        <v>293</v>
      </c>
    </row>
    <row r="2672" ht="34.5">
      <c r="A2672" s="38" t="s">
        <v>1797</v>
      </c>
      <c r="B2672" s="38" t="s">
        <v>1798</v>
      </c>
      <c r="C2672" s="38" t="s">
        <v>1196</v>
      </c>
      <c r="D2672" s="38" t="s">
        <v>2259</v>
      </c>
      <c r="E2672" s="38" t="s">
        <v>706</v>
      </c>
      <c r="F2672" s="37" t="s">
        <v>2250</v>
      </c>
      <c r="G2672" s="38" t="s">
        <v>291</v>
      </c>
      <c r="H2672" s="37"/>
      <c r="I2672" s="37"/>
      <c r="J2672" s="37" t="s">
        <v>2260</v>
      </c>
      <c r="K2672" s="40"/>
      <c r="L2672" s="38"/>
      <c r="M2672" s="38"/>
      <c r="N2672" s="37"/>
      <c r="O2672" s="37"/>
      <c r="P2672" s="37"/>
      <c r="Q2672" s="37"/>
      <c r="R2672" s="39"/>
      <c r="S2672" s="37"/>
      <c r="T2672" s="38" t="s">
        <v>293</v>
      </c>
    </row>
    <row r="2673" ht="34.5">
      <c r="A2673" s="38" t="s">
        <v>1797</v>
      </c>
      <c r="B2673" s="38" t="s">
        <v>1798</v>
      </c>
      <c r="C2673" s="38" t="s">
        <v>1196</v>
      </c>
      <c r="D2673" s="38" t="s">
        <v>288</v>
      </c>
      <c r="E2673" s="38" t="s">
        <v>706</v>
      </c>
      <c r="F2673" s="37" t="s">
        <v>2250</v>
      </c>
      <c r="G2673" s="38" t="s">
        <v>291</v>
      </c>
      <c r="H2673" s="37"/>
      <c r="I2673" s="37"/>
      <c r="J2673" s="37" t="s">
        <v>2261</v>
      </c>
      <c r="K2673" s="40"/>
      <c r="L2673" s="38"/>
      <c r="M2673" s="38"/>
      <c r="N2673" s="37"/>
      <c r="O2673" s="37"/>
      <c r="P2673" s="37"/>
      <c r="Q2673" s="37"/>
      <c r="R2673" s="39"/>
      <c r="S2673" s="37"/>
      <c r="T2673" s="38" t="s">
        <v>293</v>
      </c>
    </row>
    <row r="2674" ht="34.5">
      <c r="A2674" s="38" t="s">
        <v>1797</v>
      </c>
      <c r="B2674" s="38" t="s">
        <v>1798</v>
      </c>
      <c r="C2674" s="38" t="s">
        <v>1196</v>
      </c>
      <c r="D2674" s="38" t="s">
        <v>288</v>
      </c>
      <c r="E2674" s="38" t="s">
        <v>706</v>
      </c>
      <c r="F2674" s="37" t="s">
        <v>2250</v>
      </c>
      <c r="G2674" s="38" t="s">
        <v>291</v>
      </c>
      <c r="H2674" s="37"/>
      <c r="I2674" s="37"/>
      <c r="J2674" s="37" t="s">
        <v>2262</v>
      </c>
      <c r="K2674" s="40"/>
      <c r="L2674" s="38"/>
      <c r="M2674" s="38"/>
      <c r="N2674" s="37"/>
      <c r="O2674" s="37"/>
      <c r="P2674" s="37"/>
      <c r="Q2674" s="37"/>
      <c r="R2674" s="39"/>
      <c r="S2674" s="37"/>
      <c r="T2674" s="38" t="s">
        <v>293</v>
      </c>
    </row>
    <row r="2675" ht="34.5">
      <c r="A2675" s="38" t="s">
        <v>1797</v>
      </c>
      <c r="B2675" s="38" t="s">
        <v>1798</v>
      </c>
      <c r="C2675" s="38" t="s">
        <v>1196</v>
      </c>
      <c r="D2675" s="38" t="s">
        <v>2263</v>
      </c>
      <c r="E2675" s="38" t="s">
        <v>706</v>
      </c>
      <c r="F2675" s="37" t="s">
        <v>2250</v>
      </c>
      <c r="G2675" s="38" t="s">
        <v>291</v>
      </c>
      <c r="H2675" s="37"/>
      <c r="I2675" s="37"/>
      <c r="J2675" s="37" t="s">
        <v>2264</v>
      </c>
      <c r="K2675" s="40"/>
      <c r="L2675" s="38"/>
      <c r="M2675" s="38"/>
      <c r="N2675" s="37"/>
      <c r="O2675" s="37"/>
      <c r="P2675" s="37"/>
      <c r="Q2675" s="37"/>
      <c r="R2675" s="39"/>
      <c r="S2675" s="37"/>
      <c r="T2675" s="38" t="s">
        <v>293</v>
      </c>
    </row>
    <row r="2676" ht="34.5">
      <c r="A2676" s="38" t="s">
        <v>1797</v>
      </c>
      <c r="B2676" s="38" t="s">
        <v>1798</v>
      </c>
      <c r="C2676" s="38" t="s">
        <v>1200</v>
      </c>
      <c r="D2676" s="38" t="s">
        <v>288</v>
      </c>
      <c r="E2676" s="38" t="s">
        <v>706</v>
      </c>
      <c r="F2676" s="37" t="s">
        <v>2250</v>
      </c>
      <c r="G2676" s="38" t="s">
        <v>291</v>
      </c>
      <c r="H2676" s="37"/>
      <c r="I2676" s="37"/>
      <c r="J2676" s="37" t="s">
        <v>2265</v>
      </c>
      <c r="K2676" s="40"/>
      <c r="L2676" s="38"/>
      <c r="M2676" s="38"/>
      <c r="N2676" s="37"/>
      <c r="O2676" s="37"/>
      <c r="P2676" s="37"/>
      <c r="Q2676" s="37"/>
      <c r="R2676" s="39"/>
      <c r="S2676" s="37"/>
      <c r="T2676" s="38" t="s">
        <v>293</v>
      </c>
    </row>
    <row r="2677" ht="34.5">
      <c r="A2677" s="38" t="s">
        <v>1797</v>
      </c>
      <c r="B2677" s="38" t="s">
        <v>1798</v>
      </c>
      <c r="C2677" s="38" t="s">
        <v>1200</v>
      </c>
      <c r="D2677" s="38" t="s">
        <v>288</v>
      </c>
      <c r="E2677" s="38" t="s">
        <v>768</v>
      </c>
      <c r="F2677" s="37" t="s">
        <v>2266</v>
      </c>
      <c r="G2677" s="38" t="s">
        <v>70</v>
      </c>
      <c r="H2677" s="37"/>
      <c r="I2677" s="37"/>
      <c r="J2677" s="37" t="s">
        <v>2267</v>
      </c>
      <c r="K2677" s="40"/>
      <c r="L2677" s="38"/>
      <c r="M2677" s="38"/>
      <c r="N2677" s="37"/>
      <c r="O2677" s="37"/>
      <c r="P2677" s="37"/>
      <c r="Q2677" s="37"/>
      <c r="R2677" s="39"/>
      <c r="S2677" s="37"/>
      <c r="T2677" s="38" t="s">
        <v>293</v>
      </c>
    </row>
    <row r="2678" ht="34.5">
      <c r="A2678" s="38" t="s">
        <v>1797</v>
      </c>
      <c r="B2678" s="38" t="s">
        <v>1798</v>
      </c>
      <c r="C2678" s="38" t="s">
        <v>1200</v>
      </c>
      <c r="D2678" s="38" t="s">
        <v>288</v>
      </c>
      <c r="E2678" s="38" t="s">
        <v>768</v>
      </c>
      <c r="F2678" s="37" t="s">
        <v>2266</v>
      </c>
      <c r="G2678" s="38" t="s">
        <v>70</v>
      </c>
      <c r="H2678" s="37"/>
      <c r="I2678" s="37"/>
      <c r="J2678" s="37" t="s">
        <v>2268</v>
      </c>
      <c r="K2678" s="40">
        <v>7387979</v>
      </c>
      <c r="L2678" s="38" t="s">
        <v>297</v>
      </c>
      <c r="M2678" s="38"/>
      <c r="N2678" s="37"/>
      <c r="O2678" s="37"/>
      <c r="P2678" s="37"/>
      <c r="Q2678" s="37"/>
      <c r="R2678" s="39"/>
      <c r="S2678" s="37"/>
      <c r="T2678" s="38" t="s">
        <v>293</v>
      </c>
    </row>
    <row r="2679" ht="34.5">
      <c r="A2679" s="38" t="s">
        <v>1797</v>
      </c>
      <c r="B2679" s="38" t="s">
        <v>1798</v>
      </c>
      <c r="C2679" s="38" t="s">
        <v>1200</v>
      </c>
      <c r="D2679" s="38" t="s">
        <v>288</v>
      </c>
      <c r="E2679" s="38" t="s">
        <v>768</v>
      </c>
      <c r="F2679" s="37" t="s">
        <v>2266</v>
      </c>
      <c r="G2679" s="38" t="s">
        <v>70</v>
      </c>
      <c r="H2679" s="37"/>
      <c r="I2679" s="37"/>
      <c r="J2679" s="37" t="s">
        <v>2269</v>
      </c>
      <c r="K2679" s="40">
        <v>20888460</v>
      </c>
      <c r="L2679" s="38" t="s">
        <v>297</v>
      </c>
      <c r="M2679" s="38"/>
      <c r="N2679" s="37"/>
      <c r="O2679" s="37"/>
      <c r="P2679" s="37"/>
      <c r="Q2679" s="37"/>
      <c r="R2679" s="39"/>
      <c r="S2679" s="37"/>
      <c r="T2679" s="38" t="s">
        <v>293</v>
      </c>
    </row>
    <row r="2680" ht="34.5">
      <c r="A2680" s="38" t="s">
        <v>1797</v>
      </c>
      <c r="B2680" s="38" t="s">
        <v>1798</v>
      </c>
      <c r="C2680" s="38" t="s">
        <v>1200</v>
      </c>
      <c r="D2680" s="38" t="s">
        <v>288</v>
      </c>
      <c r="E2680" s="38" t="s">
        <v>845</v>
      </c>
      <c r="F2680" s="37" t="s">
        <v>2270</v>
      </c>
      <c r="G2680" s="38" t="s">
        <v>70</v>
      </c>
      <c r="H2680" s="37"/>
      <c r="I2680" s="37"/>
      <c r="J2680" s="37" t="s">
        <v>2271</v>
      </c>
      <c r="K2680" s="40"/>
      <c r="L2680" s="38"/>
      <c r="M2680" s="38"/>
      <c r="N2680" s="37"/>
      <c r="O2680" s="37"/>
      <c r="P2680" s="37"/>
      <c r="Q2680" s="37"/>
      <c r="R2680" s="39"/>
      <c r="S2680" s="37"/>
      <c r="T2680" s="38" t="s">
        <v>293</v>
      </c>
    </row>
    <row r="2681" ht="34.5">
      <c r="A2681" s="38" t="s">
        <v>1797</v>
      </c>
      <c r="B2681" s="38" t="s">
        <v>1798</v>
      </c>
      <c r="C2681" s="38" t="s">
        <v>1200</v>
      </c>
      <c r="D2681" s="38" t="s">
        <v>288</v>
      </c>
      <c r="E2681" s="38" t="s">
        <v>845</v>
      </c>
      <c r="F2681" s="37" t="s">
        <v>2270</v>
      </c>
      <c r="G2681" s="38" t="s">
        <v>70</v>
      </c>
      <c r="H2681" s="37"/>
      <c r="I2681" s="37"/>
      <c r="J2681" s="37" t="s">
        <v>2272</v>
      </c>
      <c r="K2681" s="40"/>
      <c r="L2681" s="38"/>
      <c r="M2681" s="38"/>
      <c r="N2681" s="37"/>
      <c r="O2681" s="37"/>
      <c r="P2681" s="37"/>
      <c r="Q2681" s="37"/>
      <c r="R2681" s="39"/>
      <c r="S2681" s="37"/>
      <c r="T2681" s="38" t="s">
        <v>293</v>
      </c>
    </row>
    <row r="2682" ht="34.5">
      <c r="A2682" s="38" t="s">
        <v>1797</v>
      </c>
      <c r="B2682" s="38" t="s">
        <v>1798</v>
      </c>
      <c r="C2682" s="38" t="s">
        <v>1205</v>
      </c>
      <c r="D2682" s="38" t="s">
        <v>288</v>
      </c>
      <c r="E2682" s="38" t="s">
        <v>845</v>
      </c>
      <c r="F2682" s="37" t="s">
        <v>2270</v>
      </c>
      <c r="G2682" s="38" t="s">
        <v>70</v>
      </c>
      <c r="H2682" s="37"/>
      <c r="I2682" s="37"/>
      <c r="J2682" s="37" t="s">
        <v>2273</v>
      </c>
      <c r="K2682" s="40"/>
      <c r="L2682" s="38"/>
      <c r="M2682" s="38"/>
      <c r="N2682" s="37"/>
      <c r="O2682" s="37"/>
      <c r="P2682" s="37"/>
      <c r="Q2682" s="37"/>
      <c r="R2682" s="39"/>
      <c r="S2682" s="37"/>
      <c r="T2682" s="38" t="s">
        <v>293</v>
      </c>
    </row>
    <row r="2683" ht="34.5">
      <c r="A2683" s="38" t="s">
        <v>1797</v>
      </c>
      <c r="B2683" s="38" t="s">
        <v>1798</v>
      </c>
      <c r="C2683" s="38" t="s">
        <v>1205</v>
      </c>
      <c r="D2683" s="38" t="s">
        <v>288</v>
      </c>
      <c r="E2683" s="38" t="s">
        <v>845</v>
      </c>
      <c r="F2683" s="37" t="s">
        <v>2270</v>
      </c>
      <c r="G2683" s="38" t="s">
        <v>70</v>
      </c>
      <c r="H2683" s="37"/>
      <c r="I2683" s="37"/>
      <c r="J2683" s="37" t="s">
        <v>2274</v>
      </c>
      <c r="K2683" s="40"/>
      <c r="L2683" s="38"/>
      <c r="M2683" s="38"/>
      <c r="N2683" s="37"/>
      <c r="O2683" s="37"/>
      <c r="P2683" s="37"/>
      <c r="Q2683" s="37"/>
      <c r="R2683" s="39"/>
      <c r="S2683" s="37"/>
      <c r="T2683" s="38" t="s">
        <v>293</v>
      </c>
    </row>
    <row r="2684" ht="34.5">
      <c r="A2684" s="38" t="s">
        <v>1797</v>
      </c>
      <c r="B2684" s="38" t="s">
        <v>1798</v>
      </c>
      <c r="C2684" s="38" t="s">
        <v>1205</v>
      </c>
      <c r="D2684" s="38" t="s">
        <v>2275</v>
      </c>
      <c r="E2684" s="38" t="s">
        <v>845</v>
      </c>
      <c r="F2684" s="37" t="s">
        <v>2270</v>
      </c>
      <c r="G2684" s="38" t="s">
        <v>70</v>
      </c>
      <c r="H2684" s="37"/>
      <c r="I2684" s="37"/>
      <c r="J2684" s="37" t="s">
        <v>2276</v>
      </c>
      <c r="K2684" s="40"/>
      <c r="L2684" s="38"/>
      <c r="M2684" s="38"/>
      <c r="N2684" s="37"/>
      <c r="O2684" s="37"/>
      <c r="P2684" s="37"/>
      <c r="Q2684" s="37"/>
      <c r="R2684" s="39"/>
      <c r="S2684" s="37"/>
      <c r="T2684" s="38" t="s">
        <v>293</v>
      </c>
    </row>
    <row r="2685" ht="34.5">
      <c r="A2685" s="38" t="s">
        <v>1797</v>
      </c>
      <c r="B2685" s="38" t="s">
        <v>1798</v>
      </c>
      <c r="C2685" s="38" t="s">
        <v>1747</v>
      </c>
      <c r="D2685" s="38" t="s">
        <v>288</v>
      </c>
      <c r="E2685" s="38" t="s">
        <v>845</v>
      </c>
      <c r="F2685" s="37" t="s">
        <v>2270</v>
      </c>
      <c r="G2685" s="38" t="s">
        <v>70</v>
      </c>
      <c r="H2685" s="37"/>
      <c r="I2685" s="37"/>
      <c r="J2685" s="37" t="s">
        <v>2277</v>
      </c>
      <c r="K2685" s="40"/>
      <c r="L2685" s="38"/>
      <c r="M2685" s="38"/>
      <c r="N2685" s="37"/>
      <c r="O2685" s="37"/>
      <c r="P2685" s="37"/>
      <c r="Q2685" s="37"/>
      <c r="R2685" s="39"/>
      <c r="S2685" s="37"/>
      <c r="T2685" s="38" t="s">
        <v>293</v>
      </c>
    </row>
    <row r="2686" ht="34.5">
      <c r="A2686" s="38" t="s">
        <v>1797</v>
      </c>
      <c r="B2686" s="38" t="s">
        <v>1798</v>
      </c>
      <c r="C2686" s="38" t="s">
        <v>1747</v>
      </c>
      <c r="D2686" s="38" t="s">
        <v>2278</v>
      </c>
      <c r="E2686" s="38" t="s">
        <v>845</v>
      </c>
      <c r="F2686" s="37" t="s">
        <v>2270</v>
      </c>
      <c r="G2686" s="38" t="s">
        <v>70</v>
      </c>
      <c r="H2686" s="37"/>
      <c r="I2686" s="37"/>
      <c r="J2686" s="37" t="s">
        <v>2279</v>
      </c>
      <c r="K2686" s="40"/>
      <c r="L2686" s="38"/>
      <c r="M2686" s="38"/>
      <c r="N2686" s="37"/>
      <c r="O2686" s="37"/>
      <c r="P2686" s="37"/>
      <c r="Q2686" s="37"/>
      <c r="R2686" s="39"/>
      <c r="S2686" s="37"/>
      <c r="T2686" s="38" t="s">
        <v>293</v>
      </c>
    </row>
    <row r="2687" ht="34.5">
      <c r="A2687" s="38" t="s">
        <v>1797</v>
      </c>
      <c r="B2687" s="38" t="s">
        <v>1798</v>
      </c>
      <c r="C2687" s="38" t="s">
        <v>1747</v>
      </c>
      <c r="D2687" s="38" t="s">
        <v>288</v>
      </c>
      <c r="E2687" s="38" t="s">
        <v>845</v>
      </c>
      <c r="F2687" s="37" t="s">
        <v>2270</v>
      </c>
      <c r="G2687" s="38" t="s">
        <v>70</v>
      </c>
      <c r="H2687" s="37"/>
      <c r="I2687" s="37"/>
      <c r="J2687" s="37" t="s">
        <v>2280</v>
      </c>
      <c r="K2687" s="40"/>
      <c r="L2687" s="38"/>
      <c r="M2687" s="38"/>
      <c r="N2687" s="37"/>
      <c r="O2687" s="37"/>
      <c r="P2687" s="37"/>
      <c r="Q2687" s="37"/>
      <c r="R2687" s="39"/>
      <c r="S2687" s="37"/>
      <c r="T2687" s="38" t="s">
        <v>293</v>
      </c>
    </row>
    <row r="2688" ht="34.5">
      <c r="A2688" s="38" t="s">
        <v>1797</v>
      </c>
      <c r="B2688" s="38" t="s">
        <v>1798</v>
      </c>
      <c r="C2688" s="38" t="s">
        <v>1747</v>
      </c>
      <c r="D2688" s="38" t="s">
        <v>2281</v>
      </c>
      <c r="E2688" s="38" t="s">
        <v>845</v>
      </c>
      <c r="F2688" s="37" t="s">
        <v>2270</v>
      </c>
      <c r="G2688" s="38" t="s">
        <v>70</v>
      </c>
      <c r="H2688" s="37"/>
      <c r="I2688" s="37"/>
      <c r="J2688" s="37" t="s">
        <v>2282</v>
      </c>
      <c r="K2688" s="40"/>
      <c r="L2688" s="38"/>
      <c r="M2688" s="38"/>
      <c r="N2688" s="37"/>
      <c r="O2688" s="37"/>
      <c r="P2688" s="37"/>
      <c r="Q2688" s="37"/>
      <c r="R2688" s="39"/>
      <c r="S2688" s="37"/>
      <c r="T2688" s="38" t="s">
        <v>293</v>
      </c>
    </row>
    <row r="2689" ht="34.5">
      <c r="A2689" s="38" t="s">
        <v>1797</v>
      </c>
      <c r="B2689" s="38" t="s">
        <v>1798</v>
      </c>
      <c r="C2689" s="38" t="s">
        <v>1747</v>
      </c>
      <c r="D2689" s="38" t="s">
        <v>288</v>
      </c>
      <c r="E2689" s="38" t="s">
        <v>845</v>
      </c>
      <c r="F2689" s="37" t="s">
        <v>2270</v>
      </c>
      <c r="G2689" s="38" t="s">
        <v>70</v>
      </c>
      <c r="H2689" s="37"/>
      <c r="I2689" s="37"/>
      <c r="J2689" s="37" t="s">
        <v>2283</v>
      </c>
      <c r="K2689" s="40"/>
      <c r="L2689" s="38"/>
      <c r="M2689" s="38"/>
      <c r="N2689" s="37"/>
      <c r="O2689" s="37"/>
      <c r="P2689" s="37"/>
      <c r="Q2689" s="37"/>
      <c r="R2689" s="39"/>
      <c r="S2689" s="37"/>
      <c r="T2689" s="38" t="s">
        <v>293</v>
      </c>
    </row>
    <row r="2690" ht="34.5">
      <c r="A2690" s="38" t="s">
        <v>1797</v>
      </c>
      <c r="B2690" s="38" t="s">
        <v>1798</v>
      </c>
      <c r="C2690" s="38" t="s">
        <v>1747</v>
      </c>
      <c r="D2690" s="38" t="s">
        <v>288</v>
      </c>
      <c r="E2690" s="38" t="s">
        <v>845</v>
      </c>
      <c r="F2690" s="37" t="s">
        <v>2270</v>
      </c>
      <c r="G2690" s="38" t="s">
        <v>70</v>
      </c>
      <c r="H2690" s="37"/>
      <c r="I2690" s="37"/>
      <c r="J2690" s="37" t="s">
        <v>1733</v>
      </c>
      <c r="K2690" s="40"/>
      <c r="L2690" s="38"/>
      <c r="M2690" s="38"/>
      <c r="N2690" s="37"/>
      <c r="O2690" s="37"/>
      <c r="P2690" s="37"/>
      <c r="Q2690" s="37"/>
      <c r="R2690" s="39"/>
      <c r="S2690" s="37"/>
      <c r="T2690" s="38" t="s">
        <v>293</v>
      </c>
    </row>
    <row r="2691" ht="34.5">
      <c r="A2691" s="38" t="s">
        <v>1797</v>
      </c>
      <c r="B2691" s="38" t="s">
        <v>1798</v>
      </c>
      <c r="C2691" s="38" t="s">
        <v>1747</v>
      </c>
      <c r="D2691" s="38" t="s">
        <v>288</v>
      </c>
      <c r="E2691" s="38" t="s">
        <v>845</v>
      </c>
      <c r="F2691" s="37" t="s">
        <v>2270</v>
      </c>
      <c r="G2691" s="38" t="s">
        <v>70</v>
      </c>
      <c r="H2691" s="37"/>
      <c r="I2691" s="37"/>
      <c r="J2691" s="37" t="s">
        <v>1734</v>
      </c>
      <c r="K2691" s="40"/>
      <c r="L2691" s="38"/>
      <c r="M2691" s="38"/>
      <c r="N2691" s="37"/>
      <c r="O2691" s="37"/>
      <c r="P2691" s="37"/>
      <c r="Q2691" s="37"/>
      <c r="R2691" s="39"/>
      <c r="S2691" s="37"/>
      <c r="T2691" s="38" t="s">
        <v>293</v>
      </c>
    </row>
    <row r="2692" ht="34.5">
      <c r="A2692" s="38" t="s">
        <v>1797</v>
      </c>
      <c r="B2692" s="38" t="s">
        <v>1798</v>
      </c>
      <c r="C2692" s="38" t="s">
        <v>1747</v>
      </c>
      <c r="D2692" s="38" t="s">
        <v>288</v>
      </c>
      <c r="E2692" s="38" t="s">
        <v>845</v>
      </c>
      <c r="F2692" s="37" t="s">
        <v>2270</v>
      </c>
      <c r="G2692" s="38" t="s">
        <v>70</v>
      </c>
      <c r="H2692" s="37"/>
      <c r="I2692" s="37"/>
      <c r="J2692" s="37" t="s">
        <v>1735</v>
      </c>
      <c r="K2692" s="40"/>
      <c r="L2692" s="38"/>
      <c r="M2692" s="38"/>
      <c r="N2692" s="37"/>
      <c r="O2692" s="37"/>
      <c r="P2692" s="37"/>
      <c r="Q2692" s="37"/>
      <c r="R2692" s="39"/>
      <c r="S2692" s="37"/>
      <c r="T2692" s="38" t="s">
        <v>293</v>
      </c>
    </row>
    <row r="2693" ht="34.5">
      <c r="A2693" s="38" t="s">
        <v>1797</v>
      </c>
      <c r="B2693" s="38" t="s">
        <v>1798</v>
      </c>
      <c r="C2693" s="38" t="s">
        <v>1750</v>
      </c>
      <c r="D2693" s="38" t="s">
        <v>288</v>
      </c>
      <c r="E2693" s="38" t="s">
        <v>845</v>
      </c>
      <c r="F2693" s="37" t="s">
        <v>2270</v>
      </c>
      <c r="G2693" s="38" t="s">
        <v>70</v>
      </c>
      <c r="H2693" s="37"/>
      <c r="I2693" s="37"/>
      <c r="J2693" s="37" t="s">
        <v>1737</v>
      </c>
      <c r="K2693" s="40"/>
      <c r="L2693" s="38"/>
      <c r="M2693" s="38"/>
      <c r="N2693" s="37"/>
      <c r="O2693" s="37"/>
      <c r="P2693" s="37"/>
      <c r="Q2693" s="37"/>
      <c r="R2693" s="39"/>
      <c r="S2693" s="37"/>
      <c r="T2693" s="38" t="s">
        <v>293</v>
      </c>
    </row>
    <row r="2694" ht="34.5">
      <c r="A2694" s="38" t="s">
        <v>1797</v>
      </c>
      <c r="B2694" s="38" t="s">
        <v>1798</v>
      </c>
      <c r="C2694" s="38" t="s">
        <v>1750</v>
      </c>
      <c r="D2694" s="38" t="s">
        <v>288</v>
      </c>
      <c r="E2694" s="38" t="s">
        <v>845</v>
      </c>
      <c r="F2694" s="37" t="s">
        <v>2270</v>
      </c>
      <c r="G2694" s="38" t="s">
        <v>70</v>
      </c>
      <c r="H2694" s="37"/>
      <c r="I2694" s="37"/>
      <c r="J2694" s="37" t="s">
        <v>2284</v>
      </c>
      <c r="K2694" s="40"/>
      <c r="L2694" s="38"/>
      <c r="M2694" s="38"/>
      <c r="N2694" s="37"/>
      <c r="O2694" s="37"/>
      <c r="P2694" s="37"/>
      <c r="Q2694" s="37"/>
      <c r="R2694" s="39"/>
      <c r="S2694" s="37"/>
      <c r="T2694" s="38" t="s">
        <v>293</v>
      </c>
    </row>
    <row r="2695" ht="34.5">
      <c r="A2695" s="38" t="s">
        <v>1797</v>
      </c>
      <c r="B2695" s="38" t="s">
        <v>1798</v>
      </c>
      <c r="C2695" s="38" t="s">
        <v>1750</v>
      </c>
      <c r="D2695" s="38" t="s">
        <v>2285</v>
      </c>
      <c r="E2695" s="38" t="s">
        <v>845</v>
      </c>
      <c r="F2695" s="37" t="s">
        <v>2270</v>
      </c>
      <c r="G2695" s="38" t="s">
        <v>70</v>
      </c>
      <c r="H2695" s="37"/>
      <c r="I2695" s="37"/>
      <c r="J2695" s="37" t="s">
        <v>2286</v>
      </c>
      <c r="K2695" s="40"/>
      <c r="L2695" s="38"/>
      <c r="M2695" s="38"/>
      <c r="N2695" s="37"/>
      <c r="O2695" s="37"/>
      <c r="P2695" s="37"/>
      <c r="Q2695" s="37"/>
      <c r="R2695" s="39"/>
      <c r="S2695" s="37"/>
      <c r="T2695" s="38" t="s">
        <v>293</v>
      </c>
    </row>
    <row r="2696" ht="34.5">
      <c r="A2696" s="38" t="s">
        <v>1797</v>
      </c>
      <c r="B2696" s="38" t="s">
        <v>1798</v>
      </c>
      <c r="C2696" s="38" t="s">
        <v>1755</v>
      </c>
      <c r="D2696" s="38" t="s">
        <v>288</v>
      </c>
      <c r="E2696" s="38" t="s">
        <v>845</v>
      </c>
      <c r="F2696" s="37" t="s">
        <v>2270</v>
      </c>
      <c r="G2696" s="38" t="s">
        <v>70</v>
      </c>
      <c r="H2696" s="37"/>
      <c r="I2696" s="37"/>
      <c r="J2696" s="37" t="s">
        <v>2287</v>
      </c>
      <c r="K2696" s="40"/>
      <c r="L2696" s="38"/>
      <c r="M2696" s="38"/>
      <c r="N2696" s="37"/>
      <c r="O2696" s="37"/>
      <c r="P2696" s="37"/>
      <c r="Q2696" s="37"/>
      <c r="R2696" s="39"/>
      <c r="S2696" s="37"/>
      <c r="T2696" s="38" t="s">
        <v>293</v>
      </c>
    </row>
    <row r="2697" ht="34.5">
      <c r="A2697" s="38" t="s">
        <v>1797</v>
      </c>
      <c r="B2697" s="38" t="s">
        <v>1798</v>
      </c>
      <c r="C2697" s="38" t="s">
        <v>1755</v>
      </c>
      <c r="D2697" s="38" t="s">
        <v>2288</v>
      </c>
      <c r="E2697" s="38" t="s">
        <v>845</v>
      </c>
      <c r="F2697" s="37" t="s">
        <v>2270</v>
      </c>
      <c r="G2697" s="38" t="s">
        <v>70</v>
      </c>
      <c r="H2697" s="37"/>
      <c r="I2697" s="37"/>
      <c r="J2697" s="37" t="s">
        <v>2289</v>
      </c>
      <c r="K2697" s="40"/>
      <c r="L2697" s="38"/>
      <c r="M2697" s="38"/>
      <c r="N2697" s="37"/>
      <c r="O2697" s="37"/>
      <c r="P2697" s="37"/>
      <c r="Q2697" s="37"/>
      <c r="R2697" s="39"/>
      <c r="S2697" s="37"/>
      <c r="T2697" s="38" t="s">
        <v>293</v>
      </c>
    </row>
    <row r="2698" ht="34.5">
      <c r="A2698" s="38" t="s">
        <v>1797</v>
      </c>
      <c r="B2698" s="38" t="s">
        <v>1798</v>
      </c>
      <c r="C2698" s="38" t="s">
        <v>1755</v>
      </c>
      <c r="D2698" s="38" t="s">
        <v>288</v>
      </c>
      <c r="E2698" s="38" t="s">
        <v>845</v>
      </c>
      <c r="F2698" s="37" t="s">
        <v>2270</v>
      </c>
      <c r="G2698" s="38" t="s">
        <v>70</v>
      </c>
      <c r="H2698" s="37"/>
      <c r="I2698" s="37"/>
      <c r="J2698" s="37" t="s">
        <v>2290</v>
      </c>
      <c r="K2698" s="40"/>
      <c r="L2698" s="38"/>
      <c r="M2698" s="38"/>
      <c r="N2698" s="37"/>
      <c r="O2698" s="37"/>
      <c r="P2698" s="37"/>
      <c r="Q2698" s="37"/>
      <c r="R2698" s="39"/>
      <c r="S2698" s="37"/>
      <c r="T2698" s="38" t="s">
        <v>293</v>
      </c>
    </row>
    <row r="2699" ht="34.5">
      <c r="A2699" s="38" t="s">
        <v>1797</v>
      </c>
      <c r="B2699" s="38" t="s">
        <v>1798</v>
      </c>
      <c r="C2699" s="38" t="s">
        <v>1755</v>
      </c>
      <c r="D2699" s="38" t="s">
        <v>2291</v>
      </c>
      <c r="E2699" s="38" t="s">
        <v>845</v>
      </c>
      <c r="F2699" s="37" t="s">
        <v>2270</v>
      </c>
      <c r="G2699" s="38" t="s">
        <v>70</v>
      </c>
      <c r="H2699" s="37"/>
      <c r="I2699" s="37"/>
      <c r="J2699" s="37" t="s">
        <v>2292</v>
      </c>
      <c r="K2699" s="40"/>
      <c r="L2699" s="38"/>
      <c r="M2699" s="38"/>
      <c r="N2699" s="37"/>
      <c r="O2699" s="37"/>
      <c r="P2699" s="37"/>
      <c r="Q2699" s="37"/>
      <c r="R2699" s="39"/>
      <c r="S2699" s="37"/>
      <c r="T2699" s="38" t="s">
        <v>293</v>
      </c>
    </row>
    <row r="2700" ht="34.5">
      <c r="A2700" s="38" t="s">
        <v>1797</v>
      </c>
      <c r="B2700" s="38" t="s">
        <v>1798</v>
      </c>
      <c r="C2700" s="38" t="s">
        <v>1760</v>
      </c>
      <c r="D2700" s="38" t="s">
        <v>288</v>
      </c>
      <c r="E2700" s="38" t="s">
        <v>845</v>
      </c>
      <c r="F2700" s="37" t="s">
        <v>2270</v>
      </c>
      <c r="G2700" s="38" t="s">
        <v>70</v>
      </c>
      <c r="H2700" s="37"/>
      <c r="I2700" s="37"/>
      <c r="J2700" s="37" t="s">
        <v>1193</v>
      </c>
      <c r="K2700" s="40"/>
      <c r="L2700" s="38"/>
      <c r="M2700" s="38"/>
      <c r="N2700" s="37"/>
      <c r="O2700" s="37"/>
      <c r="P2700" s="37"/>
      <c r="Q2700" s="37"/>
      <c r="R2700" s="39"/>
      <c r="S2700" s="37"/>
      <c r="T2700" s="38" t="s">
        <v>293</v>
      </c>
    </row>
    <row r="2701" ht="34.5">
      <c r="A2701" s="38" t="s">
        <v>1797</v>
      </c>
      <c r="B2701" s="38" t="s">
        <v>1798</v>
      </c>
      <c r="C2701" s="38" t="s">
        <v>1760</v>
      </c>
      <c r="D2701" s="38" t="s">
        <v>288</v>
      </c>
      <c r="E2701" s="38" t="s">
        <v>845</v>
      </c>
      <c r="F2701" s="37" t="s">
        <v>2270</v>
      </c>
      <c r="G2701" s="38" t="s">
        <v>70</v>
      </c>
      <c r="H2701" s="37"/>
      <c r="I2701" s="37"/>
      <c r="J2701" s="37" t="s">
        <v>2293</v>
      </c>
      <c r="K2701" s="40"/>
      <c r="L2701" s="38"/>
      <c r="M2701" s="38"/>
      <c r="N2701" s="37"/>
      <c r="O2701" s="37"/>
      <c r="P2701" s="37"/>
      <c r="Q2701" s="37"/>
      <c r="R2701" s="39"/>
      <c r="S2701" s="37"/>
      <c r="T2701" s="38" t="s">
        <v>293</v>
      </c>
    </row>
    <row r="2702" ht="34.5">
      <c r="A2702" s="38" t="s">
        <v>1797</v>
      </c>
      <c r="B2702" s="38" t="s">
        <v>1798</v>
      </c>
      <c r="C2702" s="38" t="s">
        <v>1764</v>
      </c>
      <c r="D2702" s="38" t="s">
        <v>288</v>
      </c>
      <c r="E2702" s="38" t="s">
        <v>845</v>
      </c>
      <c r="F2702" s="37" t="s">
        <v>2270</v>
      </c>
      <c r="G2702" s="38" t="s">
        <v>70</v>
      </c>
      <c r="H2702" s="37"/>
      <c r="I2702" s="37"/>
      <c r="J2702" s="37" t="s">
        <v>2294</v>
      </c>
      <c r="K2702" s="40"/>
      <c r="L2702" s="38"/>
      <c r="M2702" s="38"/>
      <c r="N2702" s="37"/>
      <c r="O2702" s="37"/>
      <c r="P2702" s="37"/>
      <c r="Q2702" s="37"/>
      <c r="R2702" s="39"/>
      <c r="S2702" s="37"/>
      <c r="T2702" s="38" t="s">
        <v>293</v>
      </c>
    </row>
    <row r="2703" ht="34.5">
      <c r="A2703" s="38" t="s">
        <v>1797</v>
      </c>
      <c r="B2703" s="38" t="s">
        <v>1798</v>
      </c>
      <c r="C2703" s="38" t="s">
        <v>1764</v>
      </c>
      <c r="D2703" s="38" t="s">
        <v>288</v>
      </c>
      <c r="E2703" s="38" t="s">
        <v>845</v>
      </c>
      <c r="F2703" s="37" t="s">
        <v>2270</v>
      </c>
      <c r="G2703" s="38" t="s">
        <v>70</v>
      </c>
      <c r="H2703" s="37"/>
      <c r="I2703" s="37"/>
      <c r="J2703" s="37" t="s">
        <v>2295</v>
      </c>
      <c r="K2703" s="40"/>
      <c r="L2703" s="38"/>
      <c r="M2703" s="38"/>
      <c r="N2703" s="37"/>
      <c r="O2703" s="37"/>
      <c r="P2703" s="37"/>
      <c r="Q2703" s="37"/>
      <c r="R2703" s="39"/>
      <c r="S2703" s="37"/>
      <c r="T2703" s="38" t="s">
        <v>293</v>
      </c>
    </row>
    <row r="2704" ht="34.5">
      <c r="A2704" s="38" t="s">
        <v>1797</v>
      </c>
      <c r="B2704" s="38" t="s">
        <v>1798</v>
      </c>
      <c r="C2704" s="38" t="s">
        <v>1764</v>
      </c>
      <c r="D2704" s="38" t="s">
        <v>288</v>
      </c>
      <c r="E2704" s="38" t="s">
        <v>845</v>
      </c>
      <c r="F2704" s="37" t="s">
        <v>2270</v>
      </c>
      <c r="G2704" s="38" t="s">
        <v>70</v>
      </c>
      <c r="H2704" s="37"/>
      <c r="I2704" s="37"/>
      <c r="J2704" s="37" t="s">
        <v>2296</v>
      </c>
      <c r="K2704" s="40"/>
      <c r="L2704" s="38"/>
      <c r="M2704" s="38"/>
      <c r="N2704" s="37"/>
      <c r="O2704" s="37"/>
      <c r="P2704" s="37"/>
      <c r="Q2704" s="37"/>
      <c r="R2704" s="39"/>
      <c r="S2704" s="37"/>
      <c r="T2704" s="38" t="s">
        <v>293</v>
      </c>
    </row>
    <row r="2705" ht="34.5">
      <c r="A2705" s="38" t="s">
        <v>1797</v>
      </c>
      <c r="B2705" s="38" t="s">
        <v>1798</v>
      </c>
      <c r="C2705" s="38" t="s">
        <v>1767</v>
      </c>
      <c r="D2705" s="38" t="s">
        <v>288</v>
      </c>
      <c r="E2705" s="38" t="s">
        <v>845</v>
      </c>
      <c r="F2705" s="37" t="s">
        <v>2270</v>
      </c>
      <c r="G2705" s="38" t="s">
        <v>70</v>
      </c>
      <c r="H2705" s="37"/>
      <c r="I2705" s="37"/>
      <c r="J2705" s="37" t="s">
        <v>1201</v>
      </c>
      <c r="K2705" s="40"/>
      <c r="L2705" s="38"/>
      <c r="M2705" s="38"/>
      <c r="N2705" s="37"/>
      <c r="O2705" s="37"/>
      <c r="P2705" s="37"/>
      <c r="Q2705" s="37"/>
      <c r="R2705" s="39"/>
      <c r="S2705" s="37"/>
      <c r="T2705" s="38" t="s">
        <v>293</v>
      </c>
    </row>
    <row r="2706" ht="34.5">
      <c r="A2706" s="38" t="s">
        <v>1797</v>
      </c>
      <c r="B2706" s="38" t="s">
        <v>1798</v>
      </c>
      <c r="C2706" s="38" t="s">
        <v>1767</v>
      </c>
      <c r="D2706" s="38" t="s">
        <v>288</v>
      </c>
      <c r="E2706" s="38" t="s">
        <v>845</v>
      </c>
      <c r="F2706" s="37" t="s">
        <v>2270</v>
      </c>
      <c r="G2706" s="38" t="s">
        <v>70</v>
      </c>
      <c r="H2706" s="37"/>
      <c r="I2706" s="37"/>
      <c r="J2706" s="37" t="s">
        <v>2297</v>
      </c>
      <c r="K2706" s="40"/>
      <c r="L2706" s="38"/>
      <c r="M2706" s="38"/>
      <c r="N2706" s="37"/>
      <c r="O2706" s="37"/>
      <c r="P2706" s="37"/>
      <c r="Q2706" s="37"/>
      <c r="R2706" s="39"/>
      <c r="S2706" s="37"/>
      <c r="T2706" s="38" t="s">
        <v>293</v>
      </c>
    </row>
    <row r="2707" ht="34.5">
      <c r="A2707" s="38" t="s">
        <v>1797</v>
      </c>
      <c r="B2707" s="38" t="s">
        <v>1798</v>
      </c>
      <c r="C2707" s="38" t="s">
        <v>1767</v>
      </c>
      <c r="D2707" s="38" t="s">
        <v>288</v>
      </c>
      <c r="E2707" s="38" t="s">
        <v>845</v>
      </c>
      <c r="F2707" s="37" t="s">
        <v>2270</v>
      </c>
      <c r="G2707" s="38" t="s">
        <v>70</v>
      </c>
      <c r="H2707" s="37"/>
      <c r="I2707" s="37"/>
      <c r="J2707" s="37" t="s">
        <v>2298</v>
      </c>
      <c r="K2707" s="40"/>
      <c r="L2707" s="38"/>
      <c r="M2707" s="38"/>
      <c r="N2707" s="37"/>
      <c r="O2707" s="37"/>
      <c r="P2707" s="37"/>
      <c r="Q2707" s="37"/>
      <c r="R2707" s="39"/>
      <c r="S2707" s="37"/>
      <c r="T2707" s="38" t="s">
        <v>293</v>
      </c>
    </row>
    <row r="2708" ht="34.5">
      <c r="A2708" s="38" t="s">
        <v>1797</v>
      </c>
      <c r="B2708" s="38" t="s">
        <v>1798</v>
      </c>
      <c r="C2708" s="38" t="s">
        <v>1767</v>
      </c>
      <c r="D2708" s="38" t="s">
        <v>288</v>
      </c>
      <c r="E2708" s="38" t="s">
        <v>845</v>
      </c>
      <c r="F2708" s="37" t="s">
        <v>2270</v>
      </c>
      <c r="G2708" s="38" t="s">
        <v>70</v>
      </c>
      <c r="H2708" s="37"/>
      <c r="I2708" s="37"/>
      <c r="J2708" s="37" t="s">
        <v>2299</v>
      </c>
      <c r="K2708" s="40"/>
      <c r="L2708" s="38"/>
      <c r="M2708" s="38"/>
      <c r="N2708" s="37"/>
      <c r="O2708" s="37"/>
      <c r="P2708" s="37"/>
      <c r="Q2708" s="37"/>
      <c r="R2708" s="39"/>
      <c r="S2708" s="37"/>
      <c r="T2708" s="38" t="s">
        <v>293</v>
      </c>
    </row>
    <row r="2709" ht="34.5">
      <c r="A2709" s="38" t="s">
        <v>1797</v>
      </c>
      <c r="B2709" s="38" t="s">
        <v>1798</v>
      </c>
      <c r="C2709" s="38" t="s">
        <v>1771</v>
      </c>
      <c r="D2709" s="38" t="s">
        <v>288</v>
      </c>
      <c r="E2709" s="38" t="s">
        <v>845</v>
      </c>
      <c r="F2709" s="37" t="s">
        <v>2270</v>
      </c>
      <c r="G2709" s="38" t="s">
        <v>70</v>
      </c>
      <c r="H2709" s="37"/>
      <c r="I2709" s="37"/>
      <c r="J2709" s="37" t="s">
        <v>2300</v>
      </c>
      <c r="K2709" s="40"/>
      <c r="L2709" s="38"/>
      <c r="M2709" s="38"/>
      <c r="N2709" s="37"/>
      <c r="O2709" s="37"/>
      <c r="P2709" s="37"/>
      <c r="Q2709" s="37"/>
      <c r="R2709" s="39"/>
      <c r="S2709" s="37"/>
      <c r="T2709" s="38" t="s">
        <v>293</v>
      </c>
    </row>
    <row r="2710" ht="34.5">
      <c r="A2710" s="38" t="s">
        <v>1797</v>
      </c>
      <c r="B2710" s="38" t="s">
        <v>1798</v>
      </c>
      <c r="C2710" s="38" t="s">
        <v>1771</v>
      </c>
      <c r="D2710" s="38" t="s">
        <v>288</v>
      </c>
      <c r="E2710" s="38" t="s">
        <v>845</v>
      </c>
      <c r="F2710" s="37" t="s">
        <v>2270</v>
      </c>
      <c r="G2710" s="38" t="s">
        <v>70</v>
      </c>
      <c r="H2710" s="37"/>
      <c r="I2710" s="37"/>
      <c r="J2710" s="37" t="s">
        <v>2301</v>
      </c>
      <c r="K2710" s="40"/>
      <c r="L2710" s="38"/>
      <c r="M2710" s="38"/>
      <c r="N2710" s="37"/>
      <c r="O2710" s="37"/>
      <c r="P2710" s="37"/>
      <c r="Q2710" s="37"/>
      <c r="R2710" s="39"/>
      <c r="S2710" s="37"/>
      <c r="T2710" s="38" t="s">
        <v>293</v>
      </c>
    </row>
    <row r="2711" ht="34.5">
      <c r="A2711" s="38" t="s">
        <v>1797</v>
      </c>
      <c r="B2711" s="38" t="s">
        <v>1798</v>
      </c>
      <c r="C2711" s="38" t="s">
        <v>1771</v>
      </c>
      <c r="D2711" s="38" t="s">
        <v>288</v>
      </c>
      <c r="E2711" s="38" t="s">
        <v>845</v>
      </c>
      <c r="F2711" s="37" t="s">
        <v>2270</v>
      </c>
      <c r="G2711" s="38" t="s">
        <v>70</v>
      </c>
      <c r="H2711" s="37"/>
      <c r="I2711" s="37"/>
      <c r="J2711" s="37" t="s">
        <v>2302</v>
      </c>
      <c r="K2711" s="40"/>
      <c r="L2711" s="38"/>
      <c r="M2711" s="38"/>
      <c r="N2711" s="37"/>
      <c r="O2711" s="37"/>
      <c r="P2711" s="37"/>
      <c r="Q2711" s="37"/>
      <c r="R2711" s="39"/>
      <c r="S2711" s="37"/>
      <c r="T2711" s="38" t="s">
        <v>293</v>
      </c>
    </row>
    <row r="2712" ht="34.5">
      <c r="A2712" s="38" t="s">
        <v>1797</v>
      </c>
      <c r="B2712" s="38" t="s">
        <v>1798</v>
      </c>
      <c r="C2712" s="38" t="s">
        <v>1771</v>
      </c>
      <c r="D2712" s="38" t="s">
        <v>288</v>
      </c>
      <c r="E2712" s="38" t="s">
        <v>845</v>
      </c>
      <c r="F2712" s="37" t="s">
        <v>2270</v>
      </c>
      <c r="G2712" s="38" t="s">
        <v>70</v>
      </c>
      <c r="H2712" s="37"/>
      <c r="I2712" s="37"/>
      <c r="J2712" s="37" t="s">
        <v>2303</v>
      </c>
      <c r="K2712" s="40"/>
      <c r="L2712" s="38"/>
      <c r="M2712" s="38"/>
      <c r="N2712" s="37"/>
      <c r="O2712" s="37"/>
      <c r="P2712" s="37"/>
      <c r="Q2712" s="37"/>
      <c r="R2712" s="39"/>
      <c r="S2712" s="37"/>
      <c r="T2712" s="38" t="s">
        <v>293</v>
      </c>
    </row>
    <row r="2713" ht="34.5">
      <c r="A2713" s="38" t="s">
        <v>1797</v>
      </c>
      <c r="B2713" s="38" t="s">
        <v>1798</v>
      </c>
      <c r="C2713" s="38" t="s">
        <v>1771</v>
      </c>
      <c r="D2713" s="38" t="s">
        <v>288</v>
      </c>
      <c r="E2713" s="38" t="s">
        <v>845</v>
      </c>
      <c r="F2713" s="37" t="s">
        <v>2270</v>
      </c>
      <c r="G2713" s="38" t="s">
        <v>70</v>
      </c>
      <c r="H2713" s="37"/>
      <c r="I2713" s="37"/>
      <c r="J2713" s="37" t="s">
        <v>2304</v>
      </c>
      <c r="K2713" s="40"/>
      <c r="L2713" s="38"/>
      <c r="M2713" s="38"/>
      <c r="N2713" s="37"/>
      <c r="O2713" s="37"/>
      <c r="P2713" s="37"/>
      <c r="Q2713" s="37"/>
      <c r="R2713" s="39"/>
      <c r="S2713" s="37"/>
      <c r="T2713" s="38" t="s">
        <v>293</v>
      </c>
    </row>
    <row r="2714" ht="34.5">
      <c r="A2714" s="38" t="s">
        <v>1797</v>
      </c>
      <c r="B2714" s="38" t="s">
        <v>1798</v>
      </c>
      <c r="C2714" s="38" t="s">
        <v>1771</v>
      </c>
      <c r="D2714" s="38" t="s">
        <v>288</v>
      </c>
      <c r="E2714" s="38" t="s">
        <v>845</v>
      </c>
      <c r="F2714" s="37" t="s">
        <v>2270</v>
      </c>
      <c r="G2714" s="38" t="s">
        <v>70</v>
      </c>
      <c r="H2714" s="37"/>
      <c r="I2714" s="37"/>
      <c r="J2714" s="37" t="s">
        <v>2305</v>
      </c>
      <c r="K2714" s="40"/>
      <c r="L2714" s="38"/>
      <c r="M2714" s="38"/>
      <c r="N2714" s="37"/>
      <c r="O2714" s="37"/>
      <c r="P2714" s="37"/>
      <c r="Q2714" s="37"/>
      <c r="R2714" s="39"/>
      <c r="S2714" s="37"/>
      <c r="T2714" s="38" t="s">
        <v>293</v>
      </c>
    </row>
    <row r="2715" ht="34.5">
      <c r="A2715" s="38" t="s">
        <v>1797</v>
      </c>
      <c r="B2715" s="38" t="s">
        <v>1798</v>
      </c>
      <c r="C2715" s="38" t="s">
        <v>1771</v>
      </c>
      <c r="D2715" s="38" t="s">
        <v>288</v>
      </c>
      <c r="E2715" s="38" t="s">
        <v>845</v>
      </c>
      <c r="F2715" s="37" t="s">
        <v>2270</v>
      </c>
      <c r="G2715" s="38" t="s">
        <v>70</v>
      </c>
      <c r="H2715" s="37"/>
      <c r="I2715" s="37"/>
      <c r="J2715" s="37" t="s">
        <v>2306</v>
      </c>
      <c r="K2715" s="40"/>
      <c r="L2715" s="38"/>
      <c r="M2715" s="38"/>
      <c r="N2715" s="37"/>
      <c r="O2715" s="37"/>
      <c r="P2715" s="37"/>
      <c r="Q2715" s="37"/>
      <c r="R2715" s="39"/>
      <c r="S2715" s="37"/>
      <c r="T2715" s="38" t="s">
        <v>293</v>
      </c>
    </row>
    <row r="2716" ht="34.5">
      <c r="A2716" s="38" t="s">
        <v>1797</v>
      </c>
      <c r="B2716" s="38" t="s">
        <v>1798</v>
      </c>
      <c r="C2716" s="38" t="s">
        <v>360</v>
      </c>
      <c r="D2716" s="38" t="s">
        <v>2307</v>
      </c>
      <c r="E2716" s="38" t="s">
        <v>365</v>
      </c>
      <c r="F2716" s="37" t="s">
        <v>1899</v>
      </c>
      <c r="G2716" s="38" t="s">
        <v>2308</v>
      </c>
      <c r="H2716" s="37"/>
      <c r="I2716" s="37" t="s">
        <v>2309</v>
      </c>
      <c r="J2716" s="37" t="s">
        <v>2310</v>
      </c>
      <c r="K2716" s="40">
        <v>86428052</v>
      </c>
      <c r="L2716" s="38" t="s">
        <v>297</v>
      </c>
      <c r="M2716" s="38"/>
      <c r="N2716" s="37" t="s">
        <v>2311</v>
      </c>
      <c r="O2716" s="37"/>
      <c r="P2716" s="37" t="s">
        <v>2312</v>
      </c>
      <c r="Q2716" s="37" t="s">
        <v>2313</v>
      </c>
      <c r="R2716" s="39"/>
      <c r="S2716" s="37"/>
      <c r="T2716" s="38" t="s">
        <v>293</v>
      </c>
    </row>
    <row r="2717" ht="34.5">
      <c r="A2717" s="38" t="s">
        <v>1797</v>
      </c>
      <c r="B2717" s="38" t="s">
        <v>1798</v>
      </c>
      <c r="C2717" s="38" t="s">
        <v>360</v>
      </c>
      <c r="D2717" s="38" t="s">
        <v>2307</v>
      </c>
      <c r="E2717" s="38" t="s">
        <v>365</v>
      </c>
      <c r="F2717" s="37" t="s">
        <v>1899</v>
      </c>
      <c r="G2717" s="38" t="s">
        <v>2308</v>
      </c>
      <c r="H2717" s="37"/>
      <c r="I2717" s="37" t="s">
        <v>2309</v>
      </c>
      <c r="J2717" s="37" t="s">
        <v>2314</v>
      </c>
      <c r="K2717" s="40">
        <v>84101845</v>
      </c>
      <c r="L2717" s="38" t="s">
        <v>297</v>
      </c>
      <c r="M2717" s="38"/>
      <c r="N2717" s="37" t="s">
        <v>2315</v>
      </c>
      <c r="O2717" s="37"/>
      <c r="P2717" s="37" t="s">
        <v>2312</v>
      </c>
      <c r="Q2717" s="37" t="s">
        <v>2313</v>
      </c>
      <c r="R2717" s="39"/>
      <c r="S2717" s="37" t="s">
        <v>2316</v>
      </c>
      <c r="T2717" s="38" t="s">
        <v>293</v>
      </c>
    </row>
    <row r="2718" ht="34.5">
      <c r="A2718" s="38" t="s">
        <v>1797</v>
      </c>
      <c r="B2718" s="38" t="s">
        <v>1798</v>
      </c>
      <c r="C2718" s="38" t="s">
        <v>360</v>
      </c>
      <c r="D2718" s="38" t="s">
        <v>2307</v>
      </c>
      <c r="E2718" s="38" t="s">
        <v>365</v>
      </c>
      <c r="F2718" s="37" t="s">
        <v>1899</v>
      </c>
      <c r="G2718" s="38" t="s">
        <v>2308</v>
      </c>
      <c r="H2718" s="37"/>
      <c r="I2718" s="37" t="s">
        <v>2317</v>
      </c>
      <c r="J2718" s="37" t="s">
        <v>2318</v>
      </c>
      <c r="K2718" s="40">
        <v>114979720</v>
      </c>
      <c r="L2718" s="38" t="s">
        <v>297</v>
      </c>
      <c r="M2718" s="38"/>
      <c r="N2718" s="37" t="s">
        <v>2311</v>
      </c>
      <c r="O2718" s="37"/>
      <c r="P2718" s="37" t="s">
        <v>2312</v>
      </c>
      <c r="Q2718" s="37" t="s">
        <v>2313</v>
      </c>
      <c r="R2718" s="39"/>
      <c r="S2718" s="37"/>
      <c r="T2718" s="38" t="s">
        <v>293</v>
      </c>
    </row>
    <row r="2719" ht="34.5">
      <c r="A2719" s="38" t="s">
        <v>1797</v>
      </c>
      <c r="B2719" s="38" t="s">
        <v>1798</v>
      </c>
      <c r="C2719" s="38" t="s">
        <v>360</v>
      </c>
      <c r="D2719" s="38" t="s">
        <v>2307</v>
      </c>
      <c r="E2719" s="38" t="s">
        <v>365</v>
      </c>
      <c r="F2719" s="37" t="s">
        <v>1899</v>
      </c>
      <c r="G2719" s="38" t="s">
        <v>2308</v>
      </c>
      <c r="H2719" s="37"/>
      <c r="I2719" s="37" t="s">
        <v>2317</v>
      </c>
      <c r="J2719" s="37" t="s">
        <v>2319</v>
      </c>
      <c r="K2719" s="40">
        <v>100793260</v>
      </c>
      <c r="L2719" s="38" t="s">
        <v>297</v>
      </c>
      <c r="M2719" s="38"/>
      <c r="N2719" s="37" t="s">
        <v>2315</v>
      </c>
      <c r="O2719" s="37"/>
      <c r="P2719" s="37" t="s">
        <v>2312</v>
      </c>
      <c r="Q2719" s="37" t="s">
        <v>2313</v>
      </c>
      <c r="R2719" s="39"/>
      <c r="S2719" s="37" t="s">
        <v>2316</v>
      </c>
      <c r="T2719" s="38" t="s">
        <v>293</v>
      </c>
    </row>
    <row r="2720" ht="34.5">
      <c r="A2720" s="38" t="s">
        <v>1797</v>
      </c>
      <c r="B2720" s="38" t="s">
        <v>1798</v>
      </c>
      <c r="C2720" s="38" t="s">
        <v>360</v>
      </c>
      <c r="D2720" s="38" t="s">
        <v>2307</v>
      </c>
      <c r="E2720" s="38" t="s">
        <v>365</v>
      </c>
      <c r="F2720" s="37" t="s">
        <v>1899</v>
      </c>
      <c r="G2720" s="38" t="s">
        <v>2308</v>
      </c>
      <c r="H2720" s="37"/>
      <c r="I2720" s="37" t="s">
        <v>2320</v>
      </c>
      <c r="J2720" s="37" t="s">
        <v>2321</v>
      </c>
      <c r="K2720" s="40">
        <v>19542577</v>
      </c>
      <c r="L2720" s="38" t="s">
        <v>297</v>
      </c>
      <c r="M2720" s="38"/>
      <c r="N2720" s="37" t="s">
        <v>2311</v>
      </c>
      <c r="O2720" s="37"/>
      <c r="P2720" s="37" t="s">
        <v>2312</v>
      </c>
      <c r="Q2720" s="37" t="s">
        <v>2313</v>
      </c>
      <c r="R2720" s="39"/>
      <c r="S2720" s="37"/>
      <c r="T2720" s="38" t="s">
        <v>293</v>
      </c>
    </row>
    <row r="2721" ht="34.5">
      <c r="A2721" s="38" t="s">
        <v>1797</v>
      </c>
      <c r="B2721" s="38" t="s">
        <v>1798</v>
      </c>
      <c r="C2721" s="38" t="s">
        <v>360</v>
      </c>
      <c r="D2721" s="38" t="s">
        <v>2307</v>
      </c>
      <c r="E2721" s="38" t="s">
        <v>365</v>
      </c>
      <c r="F2721" s="37" t="s">
        <v>1899</v>
      </c>
      <c r="G2721" s="38" t="s">
        <v>2308</v>
      </c>
      <c r="H2721" s="37"/>
      <c r="I2721" s="37" t="s">
        <v>2320</v>
      </c>
      <c r="J2721" s="37" t="s">
        <v>2322</v>
      </c>
      <c r="K2721" s="40">
        <v>18932539</v>
      </c>
      <c r="L2721" s="38" t="s">
        <v>297</v>
      </c>
      <c r="M2721" s="38"/>
      <c r="N2721" s="37" t="s">
        <v>2315</v>
      </c>
      <c r="O2721" s="37"/>
      <c r="P2721" s="37" t="s">
        <v>2312</v>
      </c>
      <c r="Q2721" s="37" t="s">
        <v>2313</v>
      </c>
      <c r="R2721" s="39"/>
      <c r="S2721" s="37" t="s">
        <v>2316</v>
      </c>
      <c r="T2721" s="38" t="s">
        <v>293</v>
      </c>
    </row>
    <row r="2722" ht="34.5">
      <c r="A2722" s="38" t="s">
        <v>1797</v>
      </c>
      <c r="B2722" s="38" t="s">
        <v>1798</v>
      </c>
      <c r="C2722" s="38" t="s">
        <v>360</v>
      </c>
      <c r="D2722" s="38" t="s">
        <v>2307</v>
      </c>
      <c r="E2722" s="38" t="s">
        <v>365</v>
      </c>
      <c r="F2722" s="37" t="s">
        <v>1899</v>
      </c>
      <c r="G2722" s="38" t="s">
        <v>2308</v>
      </c>
      <c r="H2722" s="37"/>
      <c r="I2722" s="37" t="s">
        <v>2323</v>
      </c>
      <c r="J2722" s="37" t="s">
        <v>2324</v>
      </c>
      <c r="K2722" s="40">
        <v>41214579</v>
      </c>
      <c r="L2722" s="38" t="s">
        <v>297</v>
      </c>
      <c r="M2722" s="38"/>
      <c r="N2722" s="37" t="s">
        <v>2311</v>
      </c>
      <c r="O2722" s="37"/>
      <c r="P2722" s="37" t="s">
        <v>2312</v>
      </c>
      <c r="Q2722" s="37" t="s">
        <v>2313</v>
      </c>
      <c r="R2722" s="39"/>
      <c r="S2722" s="37"/>
      <c r="T2722" s="38" t="s">
        <v>293</v>
      </c>
    </row>
    <row r="2723" ht="34.5">
      <c r="A2723" s="38" t="s">
        <v>1797</v>
      </c>
      <c r="B2723" s="38" t="s">
        <v>1798</v>
      </c>
      <c r="C2723" s="38" t="s">
        <v>360</v>
      </c>
      <c r="D2723" s="38" t="s">
        <v>2307</v>
      </c>
      <c r="E2723" s="38" t="s">
        <v>365</v>
      </c>
      <c r="F2723" s="37" t="s">
        <v>1899</v>
      </c>
      <c r="G2723" s="38" t="s">
        <v>2308</v>
      </c>
      <c r="H2723" s="37"/>
      <c r="I2723" s="37" t="s">
        <v>2323</v>
      </c>
      <c r="J2723" s="37" t="s">
        <v>2325</v>
      </c>
      <c r="K2723" s="40">
        <v>39159903</v>
      </c>
      <c r="L2723" s="38" t="s">
        <v>297</v>
      </c>
      <c r="M2723" s="38"/>
      <c r="N2723" s="37" t="s">
        <v>2315</v>
      </c>
      <c r="O2723" s="37"/>
      <c r="P2723" s="37" t="s">
        <v>2312</v>
      </c>
      <c r="Q2723" s="37" t="s">
        <v>2313</v>
      </c>
      <c r="R2723" s="39"/>
      <c r="S2723" s="37" t="s">
        <v>2316</v>
      </c>
      <c r="T2723" s="38" t="s">
        <v>293</v>
      </c>
    </row>
    <row r="2724" ht="34.5">
      <c r="A2724" s="38" t="s">
        <v>1797</v>
      </c>
      <c r="B2724" s="38" t="s">
        <v>1798</v>
      </c>
      <c r="C2724" s="38" t="s">
        <v>360</v>
      </c>
      <c r="D2724" s="38" t="s">
        <v>2307</v>
      </c>
      <c r="E2724" s="38" t="s">
        <v>365</v>
      </c>
      <c r="F2724" s="37" t="s">
        <v>1899</v>
      </c>
      <c r="G2724" s="38" t="s">
        <v>2308</v>
      </c>
      <c r="H2724" s="37"/>
      <c r="I2724" s="37" t="s">
        <v>2326</v>
      </c>
      <c r="J2724" s="37" t="s">
        <v>2327</v>
      </c>
      <c r="K2724" s="40">
        <v>5661627</v>
      </c>
      <c r="L2724" s="38" t="s">
        <v>297</v>
      </c>
      <c r="M2724" s="38"/>
      <c r="N2724" s="37" t="s">
        <v>2311</v>
      </c>
      <c r="O2724" s="37"/>
      <c r="P2724" s="37" t="s">
        <v>2312</v>
      </c>
      <c r="Q2724" s="37" t="s">
        <v>2313</v>
      </c>
      <c r="R2724" s="39"/>
      <c r="S2724" s="37"/>
      <c r="T2724" s="38" t="s">
        <v>293</v>
      </c>
    </row>
    <row r="2725" ht="34.5">
      <c r="A2725" s="38" t="s">
        <v>1797</v>
      </c>
      <c r="B2725" s="38" t="s">
        <v>1798</v>
      </c>
      <c r="C2725" s="38" t="s">
        <v>360</v>
      </c>
      <c r="D2725" s="38" t="s">
        <v>2307</v>
      </c>
      <c r="E2725" s="38" t="s">
        <v>365</v>
      </c>
      <c r="F2725" s="37" t="s">
        <v>1899</v>
      </c>
      <c r="G2725" s="38" t="s">
        <v>2308</v>
      </c>
      <c r="H2725" s="37"/>
      <c r="I2725" s="37" t="s">
        <v>2326</v>
      </c>
      <c r="J2725" s="37" t="s">
        <v>2328</v>
      </c>
      <c r="K2725" s="40">
        <v>5662609</v>
      </c>
      <c r="L2725" s="38" t="s">
        <v>297</v>
      </c>
      <c r="M2725" s="38"/>
      <c r="N2725" s="37" t="s">
        <v>2315</v>
      </c>
      <c r="O2725" s="37"/>
      <c r="P2725" s="37" t="s">
        <v>2312</v>
      </c>
      <c r="Q2725" s="37" t="s">
        <v>2313</v>
      </c>
      <c r="R2725" s="39"/>
      <c r="S2725" s="37" t="s">
        <v>2316</v>
      </c>
      <c r="T2725" s="38" t="s">
        <v>293</v>
      </c>
    </row>
    <row r="2726" ht="34.5">
      <c r="A2726" s="38" t="s">
        <v>1797</v>
      </c>
      <c r="B2726" s="38" t="s">
        <v>1798</v>
      </c>
      <c r="C2726" s="38" t="s">
        <v>360</v>
      </c>
      <c r="D2726" s="38" t="s">
        <v>2307</v>
      </c>
      <c r="E2726" s="38" t="s">
        <v>365</v>
      </c>
      <c r="F2726" s="37" t="s">
        <v>1899</v>
      </c>
      <c r="G2726" s="38" t="s">
        <v>2308</v>
      </c>
      <c r="H2726" s="37"/>
      <c r="I2726" s="37" t="s">
        <v>2329</v>
      </c>
      <c r="J2726" s="37" t="s">
        <v>2330</v>
      </c>
      <c r="K2726" s="40">
        <v>5598664</v>
      </c>
      <c r="L2726" s="38" t="s">
        <v>297</v>
      </c>
      <c r="M2726" s="38"/>
      <c r="N2726" s="37" t="s">
        <v>2311</v>
      </c>
      <c r="O2726" s="37"/>
      <c r="P2726" s="37" t="s">
        <v>2312</v>
      </c>
      <c r="Q2726" s="37" t="s">
        <v>2313</v>
      </c>
      <c r="R2726" s="39"/>
      <c r="S2726" s="37"/>
      <c r="T2726" s="38" t="s">
        <v>293</v>
      </c>
    </row>
    <row r="2727" ht="34.5">
      <c r="A2727" s="38" t="s">
        <v>1797</v>
      </c>
      <c r="B2727" s="38" t="s">
        <v>1798</v>
      </c>
      <c r="C2727" s="38" t="s">
        <v>360</v>
      </c>
      <c r="D2727" s="38" t="s">
        <v>2307</v>
      </c>
      <c r="E2727" s="38" t="s">
        <v>365</v>
      </c>
      <c r="F2727" s="37" t="s">
        <v>1899</v>
      </c>
      <c r="G2727" s="38" t="s">
        <v>2308</v>
      </c>
      <c r="H2727" s="37"/>
      <c r="I2727" s="37" t="s">
        <v>2329</v>
      </c>
      <c r="J2727" s="37" t="s">
        <v>2331</v>
      </c>
      <c r="K2727" s="40">
        <v>5264032</v>
      </c>
      <c r="L2727" s="38" t="s">
        <v>297</v>
      </c>
      <c r="M2727" s="38"/>
      <c r="N2727" s="37" t="s">
        <v>2315</v>
      </c>
      <c r="O2727" s="37"/>
      <c r="P2727" s="37" t="s">
        <v>2312</v>
      </c>
      <c r="Q2727" s="37" t="s">
        <v>2313</v>
      </c>
      <c r="R2727" s="39"/>
      <c r="S2727" s="37" t="s">
        <v>2316</v>
      </c>
      <c r="T2727" s="38" t="s">
        <v>293</v>
      </c>
    </row>
    <row r="2728" ht="34.5">
      <c r="A2728" s="38" t="s">
        <v>1797</v>
      </c>
      <c r="B2728" s="38" t="s">
        <v>1798</v>
      </c>
      <c r="C2728" s="38" t="s">
        <v>360</v>
      </c>
      <c r="D2728" s="38" t="s">
        <v>2307</v>
      </c>
      <c r="E2728" s="38" t="s">
        <v>365</v>
      </c>
      <c r="F2728" s="37" t="s">
        <v>1899</v>
      </c>
      <c r="G2728" s="38" t="s">
        <v>2308</v>
      </c>
      <c r="H2728" s="37"/>
      <c r="I2728" s="37" t="s">
        <v>2332</v>
      </c>
      <c r="J2728" s="37" t="s">
        <v>2333</v>
      </c>
      <c r="K2728" s="40">
        <v>16727248</v>
      </c>
      <c r="L2728" s="38" t="s">
        <v>297</v>
      </c>
      <c r="M2728" s="38"/>
      <c r="N2728" s="37" t="s">
        <v>2311</v>
      </c>
      <c r="O2728" s="37"/>
      <c r="P2728" s="37" t="s">
        <v>2312</v>
      </c>
      <c r="Q2728" s="37" t="s">
        <v>2313</v>
      </c>
      <c r="R2728" s="39"/>
      <c r="S2728" s="37"/>
      <c r="T2728" s="38" t="s">
        <v>293</v>
      </c>
    </row>
    <row r="2729" ht="34.5">
      <c r="A2729" s="38" t="s">
        <v>1797</v>
      </c>
      <c r="B2729" s="38" t="s">
        <v>1798</v>
      </c>
      <c r="C2729" s="38" t="s">
        <v>360</v>
      </c>
      <c r="D2729" s="38" t="s">
        <v>2307</v>
      </c>
      <c r="E2729" s="38" t="s">
        <v>365</v>
      </c>
      <c r="F2729" s="37" t="s">
        <v>1899</v>
      </c>
      <c r="G2729" s="38" t="s">
        <v>2308</v>
      </c>
      <c r="H2729" s="37"/>
      <c r="I2729" s="37" t="s">
        <v>2332</v>
      </c>
      <c r="J2729" s="37" t="s">
        <v>2334</v>
      </c>
      <c r="K2729" s="40">
        <v>16624396</v>
      </c>
      <c r="L2729" s="38" t="s">
        <v>297</v>
      </c>
      <c r="M2729" s="38"/>
      <c r="N2729" s="37" t="s">
        <v>2315</v>
      </c>
      <c r="O2729" s="37"/>
      <c r="P2729" s="37" t="s">
        <v>2312</v>
      </c>
      <c r="Q2729" s="37" t="s">
        <v>2313</v>
      </c>
      <c r="R2729" s="39"/>
      <c r="S2729" s="37" t="s">
        <v>2316</v>
      </c>
      <c r="T2729" s="38" t="s">
        <v>293</v>
      </c>
    </row>
    <row r="2730" ht="34.5">
      <c r="A2730" s="38" t="s">
        <v>1797</v>
      </c>
      <c r="B2730" s="38" t="s">
        <v>1798</v>
      </c>
      <c r="C2730" s="38" t="s">
        <v>360</v>
      </c>
      <c r="D2730" s="38" t="s">
        <v>2307</v>
      </c>
      <c r="E2730" s="38" t="s">
        <v>365</v>
      </c>
      <c r="F2730" s="37" t="s">
        <v>1899</v>
      </c>
      <c r="G2730" s="38" t="s">
        <v>2308</v>
      </c>
      <c r="H2730" s="37"/>
      <c r="I2730" s="37" t="s">
        <v>2335</v>
      </c>
      <c r="J2730" s="37" t="s">
        <v>2336</v>
      </c>
      <c r="K2730" s="40">
        <v>5774973</v>
      </c>
      <c r="L2730" s="38" t="s">
        <v>297</v>
      </c>
      <c r="M2730" s="38"/>
      <c r="N2730" s="37" t="s">
        <v>2311</v>
      </c>
      <c r="O2730" s="37"/>
      <c r="P2730" s="37" t="s">
        <v>2312</v>
      </c>
      <c r="Q2730" s="37" t="s">
        <v>2313</v>
      </c>
      <c r="R2730" s="39"/>
      <c r="S2730" s="37"/>
      <c r="T2730" s="38" t="s">
        <v>293</v>
      </c>
    </row>
    <row r="2731" ht="34.5">
      <c r="A2731" s="38" t="s">
        <v>1797</v>
      </c>
      <c r="B2731" s="38" t="s">
        <v>1798</v>
      </c>
      <c r="C2731" s="38" t="s">
        <v>360</v>
      </c>
      <c r="D2731" s="38" t="s">
        <v>2307</v>
      </c>
      <c r="E2731" s="38" t="s">
        <v>365</v>
      </c>
      <c r="F2731" s="37" t="s">
        <v>1899</v>
      </c>
      <c r="G2731" s="38" t="s">
        <v>2308</v>
      </c>
      <c r="H2731" s="37"/>
      <c r="I2731" s="37" t="s">
        <v>2335</v>
      </c>
      <c r="J2731" s="37" t="s">
        <v>2337</v>
      </c>
      <c r="K2731" s="40">
        <v>5695830</v>
      </c>
      <c r="L2731" s="38" t="s">
        <v>297</v>
      </c>
      <c r="M2731" s="38"/>
      <c r="N2731" s="37" t="s">
        <v>2315</v>
      </c>
      <c r="O2731" s="37"/>
      <c r="P2731" s="37" t="s">
        <v>2312</v>
      </c>
      <c r="Q2731" s="37" t="s">
        <v>2313</v>
      </c>
      <c r="R2731" s="39"/>
      <c r="S2731" s="37" t="s">
        <v>2316</v>
      </c>
      <c r="T2731" s="38" t="s">
        <v>293</v>
      </c>
    </row>
    <row r="2732" ht="34.5">
      <c r="A2732" s="38" t="s">
        <v>1797</v>
      </c>
      <c r="B2732" s="38" t="s">
        <v>1798</v>
      </c>
      <c r="C2732" s="38" t="s">
        <v>360</v>
      </c>
      <c r="D2732" s="38" t="s">
        <v>2307</v>
      </c>
      <c r="E2732" s="38" t="s">
        <v>365</v>
      </c>
      <c r="F2732" s="37" t="s">
        <v>1899</v>
      </c>
      <c r="G2732" s="38" t="s">
        <v>2308</v>
      </c>
      <c r="H2732" s="37"/>
      <c r="I2732" s="37" t="s">
        <v>2338</v>
      </c>
      <c r="J2732" s="37" t="s">
        <v>2339</v>
      </c>
      <c r="K2732" s="40">
        <v>4979863</v>
      </c>
      <c r="L2732" s="38" t="s">
        <v>297</v>
      </c>
      <c r="M2732" s="38"/>
      <c r="N2732" s="37" t="s">
        <v>2311</v>
      </c>
      <c r="O2732" s="37"/>
      <c r="P2732" s="37" t="s">
        <v>2312</v>
      </c>
      <c r="Q2732" s="37" t="s">
        <v>2313</v>
      </c>
      <c r="R2732" s="39"/>
      <c r="S2732" s="37"/>
      <c r="T2732" s="38" t="s">
        <v>293</v>
      </c>
    </row>
    <row r="2733" ht="34.5">
      <c r="A2733" s="38" t="s">
        <v>1797</v>
      </c>
      <c r="B2733" s="38" t="s">
        <v>1798</v>
      </c>
      <c r="C2733" s="38" t="s">
        <v>360</v>
      </c>
      <c r="D2733" s="38" t="s">
        <v>2307</v>
      </c>
      <c r="E2733" s="38" t="s">
        <v>365</v>
      </c>
      <c r="F2733" s="37" t="s">
        <v>1899</v>
      </c>
      <c r="G2733" s="38" t="s">
        <v>2308</v>
      </c>
      <c r="H2733" s="37"/>
      <c r="I2733" s="37" t="s">
        <v>2338</v>
      </c>
      <c r="J2733" s="37" t="s">
        <v>2340</v>
      </c>
      <c r="K2733" s="40">
        <v>5059301</v>
      </c>
      <c r="L2733" s="38" t="s">
        <v>297</v>
      </c>
      <c r="M2733" s="38"/>
      <c r="N2733" s="37" t="s">
        <v>2315</v>
      </c>
      <c r="O2733" s="37"/>
      <c r="P2733" s="37" t="s">
        <v>2312</v>
      </c>
      <c r="Q2733" s="37" t="s">
        <v>2313</v>
      </c>
      <c r="R2733" s="39"/>
      <c r="S2733" s="37" t="s">
        <v>2316</v>
      </c>
      <c r="T2733" s="38" t="s">
        <v>293</v>
      </c>
    </row>
    <row r="2734" ht="34.5">
      <c r="A2734" s="38" t="s">
        <v>1797</v>
      </c>
      <c r="B2734" s="38" t="s">
        <v>1798</v>
      </c>
      <c r="C2734" s="38" t="s">
        <v>360</v>
      </c>
      <c r="D2734" s="38" t="s">
        <v>2307</v>
      </c>
      <c r="E2734" s="38" t="s">
        <v>365</v>
      </c>
      <c r="F2734" s="37" t="s">
        <v>1899</v>
      </c>
      <c r="G2734" s="38" t="s">
        <v>2308</v>
      </c>
      <c r="H2734" s="37"/>
      <c r="I2734" s="37" t="s">
        <v>2341</v>
      </c>
      <c r="J2734" s="37" t="s">
        <v>2342</v>
      </c>
      <c r="K2734" s="40">
        <v>65224063</v>
      </c>
      <c r="L2734" s="38" t="s">
        <v>297</v>
      </c>
      <c r="M2734" s="38"/>
      <c r="N2734" s="37" t="s">
        <v>2311</v>
      </c>
      <c r="O2734" s="37"/>
      <c r="P2734" s="37" t="s">
        <v>2312</v>
      </c>
      <c r="Q2734" s="37" t="s">
        <v>2313</v>
      </c>
      <c r="R2734" s="39"/>
      <c r="S2734" s="37"/>
      <c r="T2734" s="38" t="s">
        <v>293</v>
      </c>
    </row>
    <row r="2735" ht="34.5">
      <c r="A2735" s="38" t="s">
        <v>1797</v>
      </c>
      <c r="B2735" s="38" t="s">
        <v>1798</v>
      </c>
      <c r="C2735" s="38" t="s">
        <v>360</v>
      </c>
      <c r="D2735" s="38" t="s">
        <v>2307</v>
      </c>
      <c r="E2735" s="38" t="s">
        <v>365</v>
      </c>
      <c r="F2735" s="37" t="s">
        <v>1899</v>
      </c>
      <c r="G2735" s="38" t="s">
        <v>2308</v>
      </c>
      <c r="H2735" s="37"/>
      <c r="I2735" s="37" t="s">
        <v>2341</v>
      </c>
      <c r="J2735" s="37" t="s">
        <v>2343</v>
      </c>
      <c r="K2735" s="40">
        <v>64553128</v>
      </c>
      <c r="L2735" s="38" t="s">
        <v>297</v>
      </c>
      <c r="M2735" s="38"/>
      <c r="N2735" s="37" t="s">
        <v>2315</v>
      </c>
      <c r="O2735" s="37"/>
      <c r="P2735" s="37" t="s">
        <v>2312</v>
      </c>
      <c r="Q2735" s="37" t="s">
        <v>2313</v>
      </c>
      <c r="R2735" s="39"/>
      <c r="S2735" s="37" t="s">
        <v>2316</v>
      </c>
      <c r="T2735" s="38" t="s">
        <v>293</v>
      </c>
    </row>
    <row r="2736" ht="34.5">
      <c r="A2736" s="38" t="s">
        <v>1797</v>
      </c>
      <c r="B2736" s="38" t="s">
        <v>1798</v>
      </c>
      <c r="C2736" s="38" t="s">
        <v>360</v>
      </c>
      <c r="D2736" s="38" t="s">
        <v>2307</v>
      </c>
      <c r="E2736" s="38" t="s">
        <v>365</v>
      </c>
      <c r="F2736" s="37" t="s">
        <v>1899</v>
      </c>
      <c r="G2736" s="38" t="s">
        <v>2308</v>
      </c>
      <c r="H2736" s="37"/>
      <c r="I2736" s="37" t="s">
        <v>2344</v>
      </c>
      <c r="J2736" s="37" t="s">
        <v>2345</v>
      </c>
      <c r="K2736" s="40">
        <v>2734994</v>
      </c>
      <c r="L2736" s="38" t="s">
        <v>297</v>
      </c>
      <c r="M2736" s="38"/>
      <c r="N2736" s="37" t="s">
        <v>2311</v>
      </c>
      <c r="O2736" s="37"/>
      <c r="P2736" s="37" t="s">
        <v>2312</v>
      </c>
      <c r="Q2736" s="37" t="s">
        <v>2313</v>
      </c>
      <c r="R2736" s="39"/>
      <c r="S2736" s="37"/>
      <c r="T2736" s="38" t="s">
        <v>293</v>
      </c>
    </row>
    <row r="2737" ht="34.5">
      <c r="A2737" s="38" t="s">
        <v>1797</v>
      </c>
      <c r="B2737" s="38" t="s">
        <v>1798</v>
      </c>
      <c r="C2737" s="38" t="s">
        <v>360</v>
      </c>
      <c r="D2737" s="38" t="s">
        <v>2307</v>
      </c>
      <c r="E2737" s="38" t="s">
        <v>365</v>
      </c>
      <c r="F2737" s="37" t="s">
        <v>1899</v>
      </c>
      <c r="G2737" s="38" t="s">
        <v>2308</v>
      </c>
      <c r="H2737" s="37"/>
      <c r="I2737" s="37" t="s">
        <v>2344</v>
      </c>
      <c r="J2737" s="37" t="s">
        <v>2346</v>
      </c>
      <c r="K2737" s="40">
        <v>2816214</v>
      </c>
      <c r="L2737" s="38" t="s">
        <v>297</v>
      </c>
      <c r="M2737" s="38"/>
      <c r="N2737" s="37" t="s">
        <v>2315</v>
      </c>
      <c r="O2737" s="37"/>
      <c r="P2737" s="37" t="s">
        <v>2312</v>
      </c>
      <c r="Q2737" s="37" t="s">
        <v>2313</v>
      </c>
      <c r="R2737" s="39"/>
      <c r="S2737" s="37" t="s">
        <v>2316</v>
      </c>
      <c r="T2737" s="38" t="s">
        <v>293</v>
      </c>
    </row>
    <row r="2738" ht="34.5">
      <c r="A2738" s="38" t="s">
        <v>1797</v>
      </c>
      <c r="B2738" s="38" t="s">
        <v>1798</v>
      </c>
      <c r="C2738" s="38" t="s">
        <v>360</v>
      </c>
      <c r="D2738" s="38" t="s">
        <v>2307</v>
      </c>
      <c r="E2738" s="38" t="s">
        <v>365</v>
      </c>
      <c r="F2738" s="37" t="s">
        <v>1899</v>
      </c>
      <c r="G2738" s="38" t="s">
        <v>2308</v>
      </c>
      <c r="H2738" s="37"/>
      <c r="I2738" s="37" t="s">
        <v>2347</v>
      </c>
      <c r="J2738" s="37" t="s">
        <v>2348</v>
      </c>
      <c r="K2738" s="40">
        <v>12943398</v>
      </c>
      <c r="L2738" s="38" t="s">
        <v>297</v>
      </c>
      <c r="M2738" s="38"/>
      <c r="N2738" s="37" t="s">
        <v>2311</v>
      </c>
      <c r="O2738" s="37"/>
      <c r="P2738" s="37" t="s">
        <v>2312</v>
      </c>
      <c r="Q2738" s="37" t="s">
        <v>2313</v>
      </c>
      <c r="R2738" s="39"/>
      <c r="S2738" s="37"/>
      <c r="T2738" s="38" t="s">
        <v>293</v>
      </c>
    </row>
    <row r="2739" ht="34.5">
      <c r="A2739" s="38" t="s">
        <v>1797</v>
      </c>
      <c r="B2739" s="38" t="s">
        <v>1798</v>
      </c>
      <c r="C2739" s="38" t="s">
        <v>360</v>
      </c>
      <c r="D2739" s="38" t="s">
        <v>2307</v>
      </c>
      <c r="E2739" s="38" t="s">
        <v>365</v>
      </c>
      <c r="F2739" s="37" t="s">
        <v>1899</v>
      </c>
      <c r="G2739" s="38" t="s">
        <v>2308</v>
      </c>
      <c r="H2739" s="37"/>
      <c r="I2739" s="37" t="s">
        <v>2347</v>
      </c>
      <c r="J2739" s="37" t="s">
        <v>2349</v>
      </c>
      <c r="K2739" s="40">
        <v>12790589</v>
      </c>
      <c r="L2739" s="38" t="s">
        <v>297</v>
      </c>
      <c r="M2739" s="38"/>
      <c r="N2739" s="37" t="s">
        <v>2315</v>
      </c>
      <c r="O2739" s="37"/>
      <c r="P2739" s="37" t="s">
        <v>2312</v>
      </c>
      <c r="Q2739" s="37" t="s">
        <v>2313</v>
      </c>
      <c r="R2739" s="39"/>
      <c r="S2739" s="37" t="s">
        <v>2316</v>
      </c>
      <c r="T2739" s="38" t="s">
        <v>293</v>
      </c>
    </row>
    <row r="2740" ht="34.5">
      <c r="A2740" s="38" t="s">
        <v>1797</v>
      </c>
      <c r="B2740" s="38" t="s">
        <v>1798</v>
      </c>
      <c r="C2740" s="38" t="s">
        <v>360</v>
      </c>
      <c r="D2740" s="38" t="s">
        <v>2307</v>
      </c>
      <c r="E2740" s="38" t="s">
        <v>365</v>
      </c>
      <c r="F2740" s="37" t="s">
        <v>1899</v>
      </c>
      <c r="G2740" s="38" t="s">
        <v>2308</v>
      </c>
      <c r="H2740" s="37"/>
      <c r="I2740" s="37" t="s">
        <v>2350</v>
      </c>
      <c r="J2740" s="37" t="s">
        <v>2351</v>
      </c>
      <c r="K2740" s="40">
        <v>381809758</v>
      </c>
      <c r="L2740" s="38" t="s">
        <v>297</v>
      </c>
      <c r="M2740" s="38"/>
      <c r="N2740" s="37" t="s">
        <v>2311</v>
      </c>
      <c r="O2740" s="37"/>
      <c r="P2740" s="37" t="s">
        <v>2312</v>
      </c>
      <c r="Q2740" s="37" t="s">
        <v>2313</v>
      </c>
      <c r="R2740" s="39"/>
      <c r="S2740" s="37"/>
      <c r="T2740" s="38" t="s">
        <v>293</v>
      </c>
    </row>
    <row r="2741" ht="34.5">
      <c r="A2741" s="38" t="s">
        <v>1797</v>
      </c>
      <c r="B2741" s="38" t="s">
        <v>1798</v>
      </c>
      <c r="C2741" s="38" t="s">
        <v>360</v>
      </c>
      <c r="D2741" s="38" t="s">
        <v>2307</v>
      </c>
      <c r="E2741" s="38" t="s">
        <v>365</v>
      </c>
      <c r="F2741" s="37" t="s">
        <v>1899</v>
      </c>
      <c r="G2741" s="38" t="s">
        <v>2308</v>
      </c>
      <c r="H2741" s="37"/>
      <c r="I2741" s="37" t="s">
        <v>2350</v>
      </c>
      <c r="J2741" s="37" t="s">
        <v>2352</v>
      </c>
      <c r="K2741" s="40">
        <v>361453646</v>
      </c>
      <c r="L2741" s="38" t="s">
        <v>297</v>
      </c>
      <c r="M2741" s="38"/>
      <c r="N2741" s="37" t="s">
        <v>2315</v>
      </c>
      <c r="O2741" s="37"/>
      <c r="P2741" s="37" t="s">
        <v>2312</v>
      </c>
      <c r="Q2741" s="37" t="s">
        <v>2313</v>
      </c>
      <c r="R2741" s="39"/>
      <c r="S2741" s="37" t="s">
        <v>2316</v>
      </c>
      <c r="T2741" s="38" t="s">
        <v>293</v>
      </c>
    </row>
    <row r="2742" ht="34.5"/>
  </sheetData>
  <autoFilter ref="A5:T2741"/>
</worksheet>
</file>

<file path=xl/worksheets/sheet4.xml><?xml version="1.0" encoding="utf-8"?>
<worksheet xmlns="http://schemas.openxmlformats.org/spreadsheetml/2006/main" xmlns:r="http://schemas.openxmlformats.org/officeDocument/2006/relationships">
  <dimension ref="A1:K215"/>
  <sheetViews>
    <sheetView showGridLines="0" workbookViewId="0"/>
  </sheetViews>
  <sheetFormatPr defaultColWidth="8.375" defaultRowHeight="15"/>
  <cols>
    <col min="1" max="1" width="43.125" customWidth="1"/>
    <col min="2" max="11" width="15.625" customWidth="1"/>
  </cols>
  <sheetData>
    <row r="1">
      <c r="A1" s="108" t="s">
        <v>0</v>
      </c>
      <c r="B1" s="98"/>
      <c r="C1" s="98"/>
      <c r="D1" s="98"/>
      <c r="E1" s="98"/>
      <c r="F1" s="98"/>
      <c r="G1" s="101"/>
      <c r="H1" s="94"/>
      <c r="I1" s="94"/>
      <c r="J1" s="94"/>
      <c r="K1" s="94"/>
    </row>
    <row r="2">
      <c r="A2" s="106" t="s">
        <v>1</v>
      </c>
      <c r="G2" s="105"/>
    </row>
    <row r="3">
      <c r="A3" s="106" t="s">
        <v>2</v>
      </c>
      <c r="G3" s="105"/>
    </row>
    <row r="4">
      <c r="A4" s="96"/>
      <c r="B4" s="96"/>
      <c r="C4" s="96"/>
      <c r="D4" s="96"/>
      <c r="E4" s="96"/>
      <c r="F4" s="96"/>
      <c r="G4" s="105"/>
      <c r="H4" s="96"/>
      <c r="I4" s="96"/>
      <c r="J4" s="96"/>
      <c r="K4" s="96"/>
    </row>
    <row r="5">
      <c r="A5" s="108" t="s">
        <v>3</v>
      </c>
      <c r="B5" s="98" t="s">
        <v>4</v>
      </c>
      <c r="C5" s="98" t="s">
        <v>5</v>
      </c>
      <c r="D5" s="98" t="s">
        <v>6</v>
      </c>
      <c r="E5" s="98" t="s">
        <v>7</v>
      </c>
      <c r="F5" s="98" t="s">
        <v>8</v>
      </c>
      <c r="G5" s="115" t="s">
        <v>9</v>
      </c>
      <c r="H5" s="94" t="s">
        <v>10</v>
      </c>
      <c r="I5" s="94" t="s">
        <v>11</v>
      </c>
      <c r="J5" s="94" t="s">
        <v>12</v>
      </c>
      <c r="K5" s="94" t="s">
        <v>13</v>
      </c>
    </row>
    <row r="6">
      <c r="A6" s="108" t="s">
        <v>14</v>
      </c>
      <c r="B6" s="103"/>
      <c r="C6" s="103"/>
      <c r="D6" s="103"/>
      <c r="E6" s="103"/>
      <c r="F6" s="103"/>
      <c r="G6" s="102"/>
      <c r="H6" s="93"/>
      <c r="I6" s="93"/>
      <c r="J6" s="93"/>
      <c r="K6" s="93"/>
    </row>
    <row r="7">
      <c r="A7" s="106" t="s">
        <v>16</v>
      </c>
      <c r="B7" s="111">
        <f>EEFF!B8</f>
        <v>657884741</v>
      </c>
      <c r="C7" s="111">
        <f>EEFF!C8</f>
        <v>698200257</v>
      </c>
      <c r="D7" s="111">
        <f>EEFF!D8</f>
        <v>817173751</v>
      </c>
      <c r="E7" s="88"/>
      <c r="F7" s="111">
        <f>EEFF!F8</f>
        <v>0</v>
      </c>
      <c r="G7" s="91"/>
      <c r="H7" s="88"/>
      <c r="I7" s="88"/>
      <c r="J7" s="88"/>
      <c r="K7" s="88"/>
    </row>
    <row r="8">
      <c r="A8" s="106" t="s">
        <v>17</v>
      </c>
      <c r="B8" s="111">
        <f>EEFF!B9</f>
        <v>-356304040</v>
      </c>
      <c r="C8" s="111">
        <f>EEFF!C9</f>
        <v>-361584073</v>
      </c>
      <c r="D8" s="111">
        <f>EEFF!D9</f>
        <v>-435628239</v>
      </c>
      <c r="E8" s="88"/>
      <c r="F8" s="111">
        <f>EEFF!F9</f>
        <v>0</v>
      </c>
      <c r="G8" s="91"/>
      <c r="H8" s="88"/>
      <c r="I8" s="88"/>
      <c r="J8" s="88"/>
      <c r="K8" s="88"/>
    </row>
    <row r="9">
      <c r="A9" s="95" t="s">
        <v>18</v>
      </c>
      <c r="B9" s="89">
        <f>EEFF!B10</f>
        <v>301580701</v>
      </c>
      <c r="C9" s="89">
        <f>EEFF!C10</f>
        <v>336616184</v>
      </c>
      <c r="D9" s="89">
        <f>EEFF!D10</f>
        <v>381545512</v>
      </c>
      <c r="E9" s="100"/>
      <c r="F9" s="89">
        <f>EEFF!F10</f>
        <v>0</v>
      </c>
      <c r="G9" s="92">
        <f>G7+G8</f>
        <v>0</v>
      </c>
      <c r="H9" s="100">
        <f>H7+H8</f>
        <v>0</v>
      </c>
      <c r="I9" s="100">
        <f>I7+I8</f>
        <v>0</v>
      </c>
      <c r="J9" s="100">
        <f>J7+J8</f>
        <v>0</v>
      </c>
      <c r="K9" s="100">
        <f>K7+K8</f>
        <v>0</v>
      </c>
    </row>
    <row r="10">
      <c r="A10" s="106" t="s">
        <v>19</v>
      </c>
      <c r="B10" s="111">
        <f>EEFF!B11</f>
        <v>-9152442</v>
      </c>
      <c r="C10" s="111">
        <f>EEFF!C11</f>
        <v>3120015</v>
      </c>
      <c r="D10" s="111">
        <f>EEFF!D11</f>
        <v>-28420469</v>
      </c>
      <c r="E10" s="88"/>
      <c r="F10" s="111">
        <f>EEFF!F11</f>
        <v>0</v>
      </c>
      <c r="G10" s="91"/>
      <c r="H10" s="88"/>
      <c r="I10" s="88"/>
      <c r="J10" s="88"/>
      <c r="K10" s="88"/>
    </row>
    <row r="11">
      <c r="A11" s="106" t="s">
        <v>20</v>
      </c>
      <c r="B11" s="111">
        <f>EEFF!B12</f>
        <v>-10285045</v>
      </c>
      <c r="C11" s="111">
        <f>EEFF!C12</f>
        <v>-12525971</v>
      </c>
      <c r="D11" s="111">
        <f>EEFF!D12</f>
        <v>-12302706</v>
      </c>
      <c r="E11" s="88"/>
      <c r="F11" s="111">
        <f>EEFF!F12</f>
        <v>0</v>
      </c>
      <c r="G11" s="91"/>
      <c r="H11" s="88"/>
      <c r="I11" s="88"/>
      <c r="J11" s="88"/>
      <c r="K11" s="88"/>
    </row>
    <row r="12">
      <c r="A12" s="106" t="s">
        <v>21</v>
      </c>
      <c r="B12" s="111">
        <f>EEFF!B13</f>
        <v>9401319</v>
      </c>
      <c r="C12" s="111">
        <f>EEFF!C13</f>
        <v>-6820962</v>
      </c>
      <c r="D12" s="111">
        <f>EEFF!D13</f>
        <v>16095063</v>
      </c>
      <c r="E12" s="111">
        <f>EEFF!E13</f>
        <v>0</v>
      </c>
      <c r="F12" s="111">
        <f>EEFF!F13</f>
        <v>0</v>
      </c>
      <c r="G12" s="91"/>
      <c r="H12" s="88"/>
      <c r="I12" s="88"/>
      <c r="J12" s="88"/>
      <c r="K12" s="88"/>
    </row>
    <row r="13">
      <c r="A13" s="95" t="s">
        <v>22</v>
      </c>
      <c r="B13" s="89">
        <f>EEFF!B14</f>
        <v>-10036168</v>
      </c>
      <c r="C13" s="89">
        <f>EEFF!C14</f>
        <v>-16226918</v>
      </c>
      <c r="D13" s="89">
        <f>EEFF!D14</f>
        <v>-24628112</v>
      </c>
      <c r="E13" s="100"/>
      <c r="F13" s="89">
        <f>EEFF!F14</f>
        <v>0</v>
      </c>
      <c r="G13" s="92">
        <f>G10+G11+G12</f>
        <v>0</v>
      </c>
      <c r="H13" s="100">
        <f>H10+H11+H12</f>
        <v>0</v>
      </c>
      <c r="I13" s="100">
        <f>I10+I11+I12</f>
        <v>0</v>
      </c>
      <c r="J13" s="100">
        <f>J10+J11+J12</f>
        <v>0</v>
      </c>
      <c r="K13" s="100">
        <f>K10+K11+K12</f>
        <v>0</v>
      </c>
    </row>
    <row r="14">
      <c r="A14" s="95" t="s">
        <v>23</v>
      </c>
      <c r="B14" s="89">
        <f>EEFF!B15</f>
        <v>291544533</v>
      </c>
      <c r="C14" s="89">
        <f>EEFF!C15</f>
        <v>320389266</v>
      </c>
      <c r="D14" s="89">
        <f>EEFF!D15</f>
        <v>356917400</v>
      </c>
      <c r="E14" s="100"/>
      <c r="F14" s="89">
        <f>EEFF!F15</f>
        <v>0</v>
      </c>
      <c r="G14" s="92">
        <f>G9+G13</f>
        <v>0</v>
      </c>
      <c r="H14" s="100">
        <f>H9+H13</f>
        <v>0</v>
      </c>
      <c r="I14" s="100">
        <f>I9+I13</f>
        <v>0</v>
      </c>
      <c r="J14" s="100">
        <f>J9+J13</f>
        <v>0</v>
      </c>
      <c r="K14" s="100">
        <f>K9+K13</f>
        <v>0</v>
      </c>
    </row>
    <row r="15">
      <c r="A15" s="106" t="s">
        <v>24</v>
      </c>
      <c r="B15" s="111">
        <f>EEFF!B16</f>
        <v>-238994085</v>
      </c>
      <c r="C15" s="111">
        <f>EEFF!C16</f>
        <v>-327863954</v>
      </c>
      <c r="D15" s="111">
        <f>EEFF!D16</f>
        <v>-238087045</v>
      </c>
      <c r="E15" s="88"/>
      <c r="F15" s="111">
        <f>EEFF!F16</f>
        <v>0</v>
      </c>
      <c r="G15" s="109">
        <f>G9*Supuestos!G19</f>
        <v>0</v>
      </c>
      <c r="H15" s="111">
        <f>H9*Supuestos!H19</f>
        <v>0</v>
      </c>
      <c r="I15" s="111">
        <f>I9*Supuestos!I19</f>
        <v>0</v>
      </c>
      <c r="J15" s="111">
        <f>J9*Supuestos!J19</f>
        <v>0</v>
      </c>
      <c r="K15" s="111">
        <f>K9*Supuestos!K19</f>
        <v>0</v>
      </c>
    </row>
    <row r="16">
      <c r="A16" s="106" t="s">
        <v>25</v>
      </c>
      <c r="B16" s="111">
        <f>EEFF!B17</f>
        <v>101363600</v>
      </c>
      <c r="C16" s="111">
        <f>EEFF!C17</f>
        <v>176570373</v>
      </c>
      <c r="D16" s="111">
        <f>EEFF!D17</f>
        <v>65656958</v>
      </c>
      <c r="E16" s="88"/>
      <c r="F16" s="111">
        <f>EEFF!F17</f>
        <v>0</v>
      </c>
      <c r="G16" s="91"/>
      <c r="H16" s="88"/>
      <c r="I16" s="88"/>
      <c r="J16" s="88"/>
      <c r="K16" s="88"/>
    </row>
    <row r="17">
      <c r="A17" s="106" t="s">
        <v>26</v>
      </c>
      <c r="B17" s="111">
        <f>EEFF!B18</f>
        <v>-13646362</v>
      </c>
      <c r="C17" s="111">
        <f>EEFF!C18</f>
        <v>-14629260</v>
      </c>
      <c r="D17" s="111">
        <f>EEFF!D18</f>
        <v>-16826376</v>
      </c>
      <c r="E17" s="88"/>
      <c r="F17" s="111">
        <f>EEFF!F18</f>
        <v>0</v>
      </c>
      <c r="G17" s="91"/>
      <c r="H17" s="88"/>
      <c r="I17" s="88"/>
      <c r="J17" s="88"/>
      <c r="K17" s="88"/>
    </row>
    <row r="18">
      <c r="A18" s="106" t="s">
        <v>27</v>
      </c>
      <c r="B18" s="111">
        <f>EEFF!B19</f>
        <v>-151276847</v>
      </c>
      <c r="C18" s="111">
        <f>EEFF!C19</f>
        <v>-165922841</v>
      </c>
      <c r="D18" s="111">
        <f>EEFF!D19</f>
        <v>-189256463</v>
      </c>
      <c r="E18" s="88"/>
      <c r="F18" s="111">
        <f>EEFF!F19</f>
        <v>0</v>
      </c>
      <c r="G18" s="91"/>
      <c r="H18" s="88"/>
      <c r="I18" s="88"/>
      <c r="J18" s="88"/>
      <c r="K18" s="88"/>
    </row>
    <row r="19">
      <c r="A19" s="106" t="s">
        <v>28</v>
      </c>
      <c r="B19" s="111">
        <f>EEFF!B20</f>
        <v>-89805859</v>
      </c>
      <c r="C19" s="111">
        <f>EEFF!C20</f>
        <v>-98549869</v>
      </c>
      <c r="D19" s="111">
        <f>EEFF!D20</f>
        <v>-115810518</v>
      </c>
      <c r="E19" s="88"/>
      <c r="F19" s="111">
        <f>EEFF!F20</f>
        <v>0</v>
      </c>
      <c r="G19" s="91"/>
      <c r="H19" s="88"/>
      <c r="I19" s="88"/>
      <c r="J19" s="88"/>
      <c r="K19" s="88"/>
    </row>
    <row r="20">
      <c r="A20" s="106" t="s">
        <v>29</v>
      </c>
      <c r="B20" s="111">
        <f>EEFF!B21</f>
        <v>-143340</v>
      </c>
      <c r="C20" s="111">
        <f>EEFF!C21</f>
        <v>-1327507</v>
      </c>
      <c r="D20" s="111">
        <f>EEFF!D21</f>
        <v>-1113601</v>
      </c>
      <c r="E20" s="88"/>
      <c r="F20" s="111">
        <f>EEFF!F21</f>
        <v>0</v>
      </c>
      <c r="G20" s="91"/>
      <c r="H20" s="88"/>
      <c r="I20" s="88"/>
      <c r="J20" s="88"/>
      <c r="K20" s="88"/>
    </row>
    <row r="21">
      <c r="A21" s="95" t="s">
        <v>30</v>
      </c>
      <c r="B21" s="89">
        <f>EEFF!B22</f>
        <v>50318487</v>
      </c>
      <c r="C21" s="89">
        <f>EEFF!C22</f>
        <v>54589049</v>
      </c>
      <c r="D21" s="89">
        <f>EEFF!D22</f>
        <v>50736818</v>
      </c>
      <c r="E21" s="100"/>
      <c r="F21" s="89">
        <f>EEFF!F22</f>
        <v>0</v>
      </c>
      <c r="G21" s="92">
        <f>G15+G16+G17+G18+G19+G20</f>
        <v>0</v>
      </c>
      <c r="H21" s="100">
        <f>H15+H16+H17+H18+H19+H20</f>
        <v>0</v>
      </c>
      <c r="I21" s="100">
        <f>I15+I16+I17+I18+I19+I20</f>
        <v>0</v>
      </c>
      <c r="J21" s="100">
        <f>J15+J16+J17+J18+J19+J20</f>
        <v>0</v>
      </c>
      <c r="K21" s="100">
        <f>K15+K16+K17+K18+K19+K20</f>
        <v>0</v>
      </c>
    </row>
    <row r="22">
      <c r="A22" s="106" t="s">
        <v>31</v>
      </c>
      <c r="B22" s="111">
        <f>EEFF!B23</f>
        <v>90113580</v>
      </c>
      <c r="C22" s="111">
        <f>EEFF!C23</f>
        <v>89349229</v>
      </c>
      <c r="D22" s="111">
        <f>EEFF!D23</f>
        <v>99791323</v>
      </c>
      <c r="E22" s="111">
        <f>EEFF!E23</f>
        <v>0</v>
      </c>
      <c r="F22" s="111">
        <f>EEFF!F23</f>
        <v>0</v>
      </c>
      <c r="G22" s="91"/>
      <c r="H22" s="88"/>
      <c r="I22" s="88"/>
      <c r="J22" s="88"/>
      <c r="K22" s="88"/>
    </row>
    <row r="23">
      <c r="A23" s="106" t="s">
        <v>32</v>
      </c>
      <c r="B23" s="111">
        <f>EEFF!B24</f>
        <v>324360</v>
      </c>
      <c r="C23" s="111">
        <f>EEFF!C24</f>
        <v>852370</v>
      </c>
      <c r="D23" s="111">
        <f>EEFF!D24</f>
        <v>1871676</v>
      </c>
      <c r="E23" s="111">
        <f>EEFF!E24</f>
        <v>0</v>
      </c>
      <c r="F23" s="111">
        <f>EEFF!F24</f>
        <v>0</v>
      </c>
      <c r="G23" s="91"/>
      <c r="H23" s="88"/>
      <c r="I23" s="88"/>
      <c r="J23" s="88"/>
      <c r="K23" s="88"/>
    </row>
    <row r="24">
      <c r="A24" s="106" t="s">
        <v>33</v>
      </c>
      <c r="B24" s="111">
        <f>EEFF!B25</f>
        <v>30270095</v>
      </c>
      <c r="C24" s="111">
        <f>EEFF!C25</f>
        <v>33792124</v>
      </c>
      <c r="D24" s="111">
        <f>EEFF!D25</f>
        <v>38203473</v>
      </c>
      <c r="E24" s="111">
        <f>EEFF!E25</f>
        <v>0</v>
      </c>
      <c r="F24" s="111">
        <f>EEFF!F25</f>
        <v>0</v>
      </c>
      <c r="G24" s="91"/>
      <c r="H24" s="88"/>
      <c r="I24" s="88"/>
      <c r="J24" s="88"/>
      <c r="K24" s="88"/>
    </row>
    <row r="25">
      <c r="A25" s="95" t="s">
        <v>34</v>
      </c>
      <c r="B25" s="89">
        <f>EEFF!B26</f>
        <v>120708035</v>
      </c>
      <c r="C25" s="89">
        <f>EEFF!C26</f>
        <v>123993723</v>
      </c>
      <c r="D25" s="89">
        <f>EEFF!D26</f>
        <v>139866472</v>
      </c>
      <c r="E25" s="89">
        <f>EEFF!E26</f>
        <v>0</v>
      </c>
      <c r="F25" s="89">
        <f>EEFF!F26</f>
        <v>0</v>
      </c>
      <c r="G25" s="92">
        <f>G22+G23+G24</f>
        <v>0</v>
      </c>
      <c r="H25" s="100">
        <f>H22+H23+H24</f>
        <v>0</v>
      </c>
      <c r="I25" s="100">
        <f>I22+I23+I24</f>
        <v>0</v>
      </c>
      <c r="J25" s="100">
        <f>J22+J23+J24</f>
        <v>0</v>
      </c>
      <c r="K25" s="100">
        <f>K22+K23+K24</f>
        <v>0</v>
      </c>
    </row>
    <row r="26">
      <c r="A26" s="106" t="s">
        <v>35</v>
      </c>
      <c r="B26" s="111">
        <f>EEFF!B27</f>
        <v>-25360968</v>
      </c>
      <c r="C26" s="111">
        <f>EEFF!C27</f>
        <v>-25531810</v>
      </c>
      <c r="D26" s="111">
        <f>EEFF!D27</f>
        <v>-34235136</v>
      </c>
      <c r="E26" s="111">
        <f>EEFF!E27</f>
        <v>0</v>
      </c>
      <c r="F26" s="111">
        <f>EEFF!F27</f>
        <v>0</v>
      </c>
      <c r="G26" s="91"/>
      <c r="H26" s="88"/>
      <c r="I26" s="88"/>
      <c r="J26" s="88"/>
      <c r="K26" s="88"/>
    </row>
    <row r="27">
      <c r="A27" s="106" t="s">
        <v>36</v>
      </c>
      <c r="B27" s="111">
        <f>EEFF!B28</f>
        <v>-30177384</v>
      </c>
      <c r="C27" s="111">
        <f>EEFF!C28</f>
        <v>-29003930</v>
      </c>
      <c r="D27" s="111">
        <f>EEFF!D28</f>
        <v>-34426805</v>
      </c>
      <c r="E27" s="111">
        <f>EEFF!E28</f>
        <v>0</v>
      </c>
      <c r="F27" s="111">
        <f>EEFF!F28</f>
        <v>0</v>
      </c>
      <c r="G27" s="91"/>
      <c r="H27" s="88"/>
      <c r="I27" s="88"/>
      <c r="J27" s="88"/>
      <c r="K27" s="88"/>
    </row>
    <row r="28">
      <c r="A28" s="95" t="s">
        <v>37</v>
      </c>
      <c r="B28" s="89">
        <f>EEFF!B29</f>
        <v>-55538352</v>
      </c>
      <c r="C28" s="89">
        <f>EEFF!C29</f>
        <v>-54535740</v>
      </c>
      <c r="D28" s="89">
        <f>EEFF!D29</f>
        <v>-68661941</v>
      </c>
      <c r="E28" s="100"/>
      <c r="F28" s="89">
        <f>EEFF!F29</f>
        <v>0</v>
      </c>
      <c r="G28" s="92">
        <f>G26+G27</f>
        <v>0</v>
      </c>
      <c r="H28" s="100">
        <f>H26+H27</f>
        <v>0</v>
      </c>
      <c r="I28" s="100">
        <f>I26+I27</f>
        <v>0</v>
      </c>
      <c r="J28" s="100">
        <f>J26+J27</f>
        <v>0</v>
      </c>
      <c r="K28" s="100">
        <f>K26+K27</f>
        <v>0</v>
      </c>
    </row>
    <row r="29">
      <c r="A29" s="106" t="s">
        <v>38</v>
      </c>
      <c r="B29" s="111">
        <f>EEFF!B30</f>
        <v>-4291456</v>
      </c>
      <c r="C29" s="111">
        <f>EEFF!C30</f>
        <v>-4626793</v>
      </c>
      <c r="D29" s="111">
        <f>EEFF!D30</f>
        <v>-7316131</v>
      </c>
      <c r="E29" s="111">
        <f>EEFF!E30</f>
        <v>0</v>
      </c>
      <c r="F29" s="111">
        <f>EEFF!F30</f>
        <v>0</v>
      </c>
      <c r="G29" s="91"/>
      <c r="H29" s="88"/>
      <c r="I29" s="88"/>
      <c r="J29" s="88"/>
      <c r="K29" s="88"/>
    </row>
    <row r="30">
      <c r="A30" s="95" t="s">
        <v>39</v>
      </c>
      <c r="B30" s="89">
        <f>EEFF!B31</f>
        <v>0</v>
      </c>
      <c r="C30" s="89">
        <f>EEFF!C31</f>
        <v>515213</v>
      </c>
      <c r="D30" s="89">
        <f>EEFF!D31</f>
        <v>67054</v>
      </c>
      <c r="E30" s="89">
        <f>EEFF!E31</f>
        <v>0</v>
      </c>
      <c r="F30" s="89">
        <f>EEFF!F31</f>
        <v>0</v>
      </c>
      <c r="G30" s="92"/>
      <c r="H30" s="100"/>
      <c r="I30" s="100"/>
      <c r="J30" s="100"/>
      <c r="K30" s="100"/>
    </row>
    <row r="31">
      <c r="A31" s="95" t="s">
        <v>40</v>
      </c>
      <c r="B31" s="89">
        <f>EEFF!B32</f>
        <v>60878227</v>
      </c>
      <c r="C31" s="89">
        <f>EEFF!C32</f>
        <v>65346403</v>
      </c>
      <c r="D31" s="89">
        <f>EEFF!D32</f>
        <v>63955454</v>
      </c>
      <c r="E31" s="100"/>
      <c r="F31" s="89">
        <f>EEFF!F32</f>
        <v>0</v>
      </c>
      <c r="G31" s="92">
        <f>G25+G28+G29+G30</f>
        <v>0</v>
      </c>
      <c r="H31" s="100">
        <f>H25+H28+H29+H30</f>
        <v>0</v>
      </c>
      <c r="I31" s="100">
        <f>I25+I28+I29+I30</f>
        <v>0</v>
      </c>
      <c r="J31" s="100">
        <f>J25+J28+J29+J30</f>
        <v>0</v>
      </c>
      <c r="K31" s="100">
        <f>K25+K28+K29+K30</f>
        <v>0</v>
      </c>
    </row>
    <row r="32">
      <c r="A32" s="106" t="s">
        <v>41</v>
      </c>
      <c r="B32" s="111">
        <f>EEFF!B33</f>
        <v>53282269</v>
      </c>
      <c r="C32" s="111">
        <f>EEFF!C33</f>
        <v>54586912</v>
      </c>
      <c r="D32" s="111">
        <f>EEFF!D33</f>
        <v>68685561</v>
      </c>
      <c r="E32" s="88"/>
      <c r="F32" s="111">
        <f>EEFF!F33</f>
        <v>0</v>
      </c>
      <c r="G32" s="91"/>
      <c r="H32" s="88"/>
      <c r="I32" s="88"/>
      <c r="J32" s="88"/>
      <c r="K32" s="88"/>
    </row>
    <row r="33">
      <c r="A33" s="106" t="s">
        <v>42</v>
      </c>
      <c r="B33" s="111">
        <f>EEFF!B34</f>
        <v>2013784</v>
      </c>
      <c r="C33" s="111">
        <f>EEFF!C34</f>
        <v>-240213</v>
      </c>
      <c r="D33" s="111">
        <f>EEFF!D34</f>
        <v>63303</v>
      </c>
      <c r="E33" s="111">
        <f>EEFF!E34</f>
        <v>0</v>
      </c>
      <c r="F33" s="111">
        <f>EEFF!F34</f>
        <v>0</v>
      </c>
      <c r="G33" s="91"/>
      <c r="H33" s="88"/>
      <c r="I33" s="88"/>
      <c r="J33" s="88"/>
      <c r="K33" s="88"/>
    </row>
    <row r="34">
      <c r="A34" s="106" t="s">
        <v>43</v>
      </c>
      <c r="B34" s="111">
        <f>EEFF!B35</f>
        <v>24063694</v>
      </c>
      <c r="C34" s="111">
        <f>EEFF!C35</f>
        <v>30788100</v>
      </c>
      <c r="D34" s="111">
        <f>EEFF!D35</f>
        <v>40145969</v>
      </c>
      <c r="E34" s="88"/>
      <c r="F34" s="111">
        <f>EEFF!F35</f>
        <v>0</v>
      </c>
      <c r="G34" s="91"/>
      <c r="H34" s="88"/>
      <c r="I34" s="88"/>
      <c r="J34" s="88"/>
      <c r="K34" s="88"/>
    </row>
    <row r="35">
      <c r="A35" s="106" t="s">
        <v>44</v>
      </c>
      <c r="B35" s="111">
        <f>EEFF!B36</f>
        <v>6681944</v>
      </c>
      <c r="C35" s="111">
        <f>EEFF!C36</f>
        <v>-14025402</v>
      </c>
      <c r="D35" s="111">
        <f>EEFF!D36</f>
        <v>5542980</v>
      </c>
      <c r="E35" s="111">
        <f>EEFF!E36</f>
        <v>0</v>
      </c>
      <c r="F35" s="111">
        <f>EEFF!F36</f>
        <v>0</v>
      </c>
      <c r="G35" s="91"/>
      <c r="H35" s="88"/>
      <c r="I35" s="88"/>
      <c r="J35" s="88"/>
      <c r="K35" s="88"/>
    </row>
    <row r="36">
      <c r="A36" s="106" t="s">
        <v>45</v>
      </c>
      <c r="B36" s="111">
        <f>EEFF!B37</f>
        <v>9840321</v>
      </c>
      <c r="C36" s="111">
        <f>EEFF!C37</f>
        <v>5497518</v>
      </c>
      <c r="D36" s="111">
        <f>EEFF!D37</f>
        <v>3537146</v>
      </c>
      <c r="E36" s="88"/>
      <c r="F36" s="111">
        <f>EEFF!F37</f>
        <v>0</v>
      </c>
      <c r="G36" s="91"/>
      <c r="H36" s="88"/>
      <c r="I36" s="88"/>
      <c r="J36" s="88"/>
      <c r="K36" s="88"/>
    </row>
    <row r="37">
      <c r="A37" s="106" t="s">
        <v>46</v>
      </c>
      <c r="B37" s="111">
        <f>EEFF!B38</f>
        <v>-125836</v>
      </c>
      <c r="C37" s="111">
        <f>EEFF!C38</f>
        <v>-582779</v>
      </c>
      <c r="D37" s="111">
        <f>EEFF!D38</f>
        <v>1442923</v>
      </c>
      <c r="E37" s="111">
        <f>EEFF!E38</f>
        <v>0</v>
      </c>
      <c r="F37" s="111">
        <f>EEFF!F38</f>
        <v>0</v>
      </c>
      <c r="G37" s="91"/>
      <c r="H37" s="88"/>
      <c r="I37" s="88"/>
      <c r="J37" s="88"/>
      <c r="K37" s="88"/>
    </row>
    <row r="38">
      <c r="A38" s="95" t="s">
        <v>47</v>
      </c>
      <c r="B38" s="89">
        <f>EEFF!B39</f>
        <v>206952890</v>
      </c>
      <c r="C38" s="89">
        <f>EEFF!C39</f>
        <v>195959588</v>
      </c>
      <c r="D38" s="89">
        <f>EEFF!D39</f>
        <v>234110154</v>
      </c>
      <c r="E38" s="100"/>
      <c r="F38" s="89">
        <f>EEFF!F39</f>
        <v>0</v>
      </c>
      <c r="G38" s="92">
        <f>G21+G31+G32+G33+G34+G35+G36+G37</f>
        <v>0</v>
      </c>
      <c r="H38" s="100">
        <f>H21+H31+H32+H33+H34+H35+H36+H37</f>
        <v>0</v>
      </c>
      <c r="I38" s="100">
        <f>I21+I31+I32+I33+I34+I35+I36+I37</f>
        <v>0</v>
      </c>
      <c r="J38" s="100">
        <f>J21+J31+J32+J33+J34+J35+J36+J37</f>
        <v>0</v>
      </c>
      <c r="K38" s="100">
        <f>K21+K31+K32+K33+K34+K35+K36+K37</f>
        <v>0</v>
      </c>
    </row>
    <row r="39">
      <c r="A39" s="106" t="s">
        <v>48</v>
      </c>
      <c r="B39" s="111">
        <f>EEFF!B40</f>
        <v>-65378406</v>
      </c>
      <c r="C39" s="111">
        <f>EEFF!C40</f>
        <v>-68691932</v>
      </c>
      <c r="D39" s="111">
        <f>EEFF!D40</f>
        <v>-72370796</v>
      </c>
      <c r="E39" s="88"/>
      <c r="F39" s="111">
        <f>EEFF!F40</f>
        <v>0</v>
      </c>
      <c r="G39" s="91"/>
      <c r="H39" s="88"/>
      <c r="I39" s="88"/>
      <c r="J39" s="88"/>
      <c r="K39" s="88"/>
    </row>
    <row r="40">
      <c r="A40" s="106" t="s">
        <v>49</v>
      </c>
      <c r="B40" s="111">
        <f>EEFF!B62</f>
        <v>0</v>
      </c>
      <c r="C40" s="111">
        <f>EEFF!C62</f>
        <v>0</v>
      </c>
      <c r="D40" s="111">
        <f>EEFF!D62</f>
        <v>0</v>
      </c>
      <c r="E40" s="111">
        <f>EEFF!E62</f>
        <v>-89212204</v>
      </c>
      <c r="F40" s="111">
        <f>EEFF!F62</f>
        <v>-95272868</v>
      </c>
      <c r="G40" s="109">
        <f>G9*Supuestos!G26</f>
        <v>0</v>
      </c>
      <c r="H40" s="111">
        <f>H9*Supuestos!H26</f>
        <v>0</v>
      </c>
      <c r="I40" s="111">
        <f>I9*Supuestos!I26</f>
        <v>0</v>
      </c>
      <c r="J40" s="111">
        <f>J9*Supuestos!J26</f>
        <v>0</v>
      </c>
      <c r="K40" s="111">
        <f>K9*Supuestos!K26</f>
        <v>0</v>
      </c>
    </row>
    <row r="41">
      <c r="A41" s="106" t="s">
        <v>50</v>
      </c>
      <c r="B41" s="111">
        <f>EEFF!B42</f>
        <v>-6393929</v>
      </c>
      <c r="C41" s="111">
        <f>EEFF!C42</f>
        <v>-7352476</v>
      </c>
      <c r="D41" s="111">
        <f>EEFF!D42</f>
        <v>-6753787</v>
      </c>
      <c r="E41" s="88"/>
      <c r="F41" s="111">
        <f>EEFF!F42</f>
        <v>0</v>
      </c>
      <c r="G41" s="91"/>
      <c r="H41" s="88"/>
      <c r="I41" s="88"/>
      <c r="J41" s="88"/>
      <c r="K41" s="88"/>
    </row>
    <row r="42">
      <c r="A42" s="106" t="s">
        <v>51</v>
      </c>
      <c r="B42" s="111">
        <f>EEFF!B43</f>
        <v>-5044764</v>
      </c>
      <c r="C42" s="111">
        <f>EEFF!C43</f>
        <v>-4929115</v>
      </c>
      <c r="D42" s="111">
        <f>EEFF!D43</f>
        <v>-5165439</v>
      </c>
      <c r="E42" s="88"/>
      <c r="F42" s="111">
        <f>EEFF!F43</f>
        <v>0</v>
      </c>
      <c r="G42" s="91"/>
      <c r="H42" s="88"/>
      <c r="I42" s="88"/>
      <c r="J42" s="88"/>
      <c r="K42" s="88"/>
    </row>
    <row r="43">
      <c r="A43" s="95" t="s">
        <v>52</v>
      </c>
      <c r="B43" s="89">
        <f>EEFF!B44</f>
        <v>-116284021</v>
      </c>
      <c r="C43" s="89">
        <f>EEFF!C44</f>
        <v>-122442828</v>
      </c>
      <c r="D43" s="89">
        <f>EEFF!D44</f>
        <v>-126083718</v>
      </c>
      <c r="E43" s="100"/>
      <c r="F43" s="89">
        <f>EEFF!F44</f>
        <v>0</v>
      </c>
      <c r="G43" s="92">
        <f>G39+G40+G41+G42</f>
        <v>0</v>
      </c>
      <c r="H43" s="100">
        <f>H39+H40+H41+H42</f>
        <v>0</v>
      </c>
      <c r="I43" s="100">
        <f>I39+I40+I41+I42</f>
        <v>0</v>
      </c>
      <c r="J43" s="100">
        <f>J39+J40+J41+J42</f>
        <v>0</v>
      </c>
      <c r="K43" s="100">
        <f>K39+K40+K41+K42</f>
        <v>0</v>
      </c>
    </row>
    <row r="44">
      <c r="A44" s="95" t="s">
        <v>53</v>
      </c>
      <c r="B44" s="89">
        <f>EEFF!B45</f>
        <v>90668869</v>
      </c>
      <c r="C44" s="89">
        <f>EEFF!C45</f>
        <v>73516760</v>
      </c>
      <c r="D44" s="89">
        <f>EEFF!D45</f>
        <v>108026436</v>
      </c>
      <c r="E44" s="100"/>
      <c r="F44" s="89">
        <f>EEFF!F45</f>
        <v>0</v>
      </c>
      <c r="G44" s="92">
        <f>G38+G43</f>
        <v>0</v>
      </c>
      <c r="H44" s="100">
        <f>H38+H43</f>
        <v>0</v>
      </c>
      <c r="I44" s="100">
        <f>I38+I43</f>
        <v>0</v>
      </c>
      <c r="J44" s="100">
        <f>J38+J43</f>
        <v>0</v>
      </c>
      <c r="K44" s="100">
        <f>K38+K43</f>
        <v>0</v>
      </c>
    </row>
    <row r="45">
      <c r="A45" s="106" t="s">
        <v>54</v>
      </c>
      <c r="B45" s="111">
        <f>EEFF!B46</f>
        <v>-8396374</v>
      </c>
      <c r="C45" s="111">
        <f>EEFF!C46</f>
        <v>-12835954</v>
      </c>
      <c r="D45" s="111">
        <f>EEFF!D46</f>
        <v>-13289861</v>
      </c>
      <c r="E45" s="111">
        <f>EEFF!E46</f>
        <v>0</v>
      </c>
      <c r="F45" s="111">
        <f>EEFF!F46</f>
        <v>0</v>
      </c>
      <c r="G45" s="91"/>
      <c r="H45" s="88"/>
      <c r="I45" s="88"/>
      <c r="J45" s="88"/>
      <c r="K45" s="88"/>
    </row>
    <row r="46">
      <c r="A46" s="106" t="s">
        <v>55</v>
      </c>
      <c r="B46" s="111">
        <f>EEFF!B47</f>
        <v>-423906</v>
      </c>
      <c r="C46" s="111">
        <f>EEFF!C47</f>
        <v>1312298</v>
      </c>
      <c r="D46" s="111">
        <f>EEFF!D47</f>
        <v>1394727</v>
      </c>
      <c r="E46" s="88"/>
      <c r="F46" s="111">
        <f>EEFF!F47</f>
        <v>0</v>
      </c>
      <c r="G46" s="91"/>
      <c r="H46" s="88"/>
      <c r="I46" s="88"/>
      <c r="J46" s="88"/>
      <c r="K46" s="88"/>
    </row>
    <row r="47">
      <c r="A47" s="95" t="s">
        <v>56</v>
      </c>
      <c r="B47" s="89">
        <f>EEFF!B48</f>
        <v>-8820280</v>
      </c>
      <c r="C47" s="89">
        <f>EEFF!C48</f>
        <v>-11523656</v>
      </c>
      <c r="D47" s="89">
        <f>EEFF!D48</f>
        <v>-11895134</v>
      </c>
      <c r="E47" s="89">
        <f>EEFF!E48</f>
        <v>0</v>
      </c>
      <c r="F47" s="89">
        <f>EEFF!F48</f>
        <v>0</v>
      </c>
      <c r="G47" s="92">
        <f>G45+G46</f>
        <v>0</v>
      </c>
      <c r="H47" s="100">
        <f>H45+H46</f>
        <v>0</v>
      </c>
      <c r="I47" s="100">
        <f>I45+I46</f>
        <v>0</v>
      </c>
      <c r="J47" s="100">
        <f>J45+J46</f>
        <v>0</v>
      </c>
      <c r="K47" s="100">
        <f>K45+K46</f>
        <v>0</v>
      </c>
    </row>
    <row r="48">
      <c r="A48" s="106" t="s">
        <v>58</v>
      </c>
      <c r="B48" s="111">
        <f>EEFF!B50</f>
        <v>0</v>
      </c>
      <c r="C48" s="111">
        <f>EEFF!C50</f>
        <v>0</v>
      </c>
      <c r="D48" s="111">
        <f>EEFF!D50</f>
        <v>0</v>
      </c>
      <c r="E48" s="111">
        <f>EEFF!E50</f>
        <v>820306455</v>
      </c>
      <c r="F48" s="111">
        <f>EEFF!F50</f>
        <v>885435473</v>
      </c>
      <c r="G48" s="109">
        <f>Premiums_Claims!G39</f>
        <v>955739049.5561999</v>
      </c>
      <c r="H48" s="111">
        <f>Premiums_Claims!H39</f>
        <v>1031624730.090962</v>
      </c>
      <c r="I48" s="111">
        <f>Premiums_Claims!I39</f>
        <v>1113535733.6601844</v>
      </c>
      <c r="J48" s="111">
        <f>Premiums_Claims!J39</f>
        <v>1201950470.912803</v>
      </c>
      <c r="K48" s="111">
        <f>Premiums_Claims!K39</f>
        <v>1297385338.3032794</v>
      </c>
    </row>
    <row r="49">
      <c r="A49" s="106" t="s">
        <v>59</v>
      </c>
      <c r="B49" s="111">
        <f>EEFF!B51</f>
        <v>0</v>
      </c>
      <c r="C49" s="111">
        <f>EEFF!C51</f>
        <v>0</v>
      </c>
      <c r="D49" s="111">
        <f>EEFF!D51</f>
        <v>0</v>
      </c>
      <c r="E49" s="111">
        <f>EEFF!E51</f>
        <v>-367877750</v>
      </c>
      <c r="F49" s="111">
        <f>EEFF!F51</f>
        <v>-426466314</v>
      </c>
      <c r="G49" s="109">
        <f>Premiums_Claims!G40</f>
        <v>-460283926.26626587</v>
      </c>
      <c r="H49" s="111">
        <f>Premiums_Claims!H40</f>
        <v>-496830470.0118073</v>
      </c>
      <c r="I49" s="111">
        <f>Premiums_Claims!I40</f>
        <v>-536278809.33074474</v>
      </c>
      <c r="J49" s="111">
        <f>Premiums_Claims!J40</f>
        <v>-578859346.7916058</v>
      </c>
      <c r="K49" s="111">
        <f>Premiums_Claims!K40</f>
        <v>-624820778.9268594</v>
      </c>
    </row>
    <row r="50">
      <c r="A50" s="106" t="s">
        <v>60</v>
      </c>
      <c r="B50" s="111">
        <f>EEFF!B52</f>
        <v>0</v>
      </c>
      <c r="C50" s="111">
        <f>EEFF!C52</f>
        <v>0</v>
      </c>
      <c r="D50" s="111">
        <f>EEFF!D52</f>
        <v>0</v>
      </c>
      <c r="E50" s="111">
        <f>EEFF!E52</f>
        <v>-314823760</v>
      </c>
      <c r="F50" s="111">
        <f>EEFF!F52</f>
        <v>-313277206</v>
      </c>
      <c r="G50" s="109">
        <f>Premiums_Claims!G41</f>
        <v>-338151416.15639997</v>
      </c>
      <c r="H50" s="111">
        <f>Premiums_Claims!H41</f>
        <v>-365000638.5992181</v>
      </c>
      <c r="I50" s="111">
        <f>Premiums_Claims!I41</f>
        <v>-393981689.30399597</v>
      </c>
      <c r="J50" s="111">
        <f>Premiums_Claims!J41</f>
        <v>-425263835.4347332</v>
      </c>
      <c r="K50" s="111">
        <f>Premiums_Claims!K41</f>
        <v>-459029783.968251</v>
      </c>
    </row>
    <row r="51">
      <c r="A51" s="95" t="s">
        <v>61</v>
      </c>
      <c r="B51" s="89">
        <f>EEFF!B53</f>
        <v>0</v>
      </c>
      <c r="C51" s="89">
        <f>EEFF!C53</f>
        <v>0</v>
      </c>
      <c r="D51" s="89">
        <f>EEFF!D53</f>
        <v>0</v>
      </c>
      <c r="E51" s="89">
        <f>EEFF!E53</f>
        <v>137604945</v>
      </c>
      <c r="F51" s="89">
        <f>EEFF!F53</f>
        <v>145691953</v>
      </c>
      <c r="G51" s="104">
        <f>Premiums_Claims!G42</f>
        <v>157303707.13353407</v>
      </c>
      <c r="H51" s="89">
        <f>Premiums_Claims!H42</f>
        <v>169793621.47993666</v>
      </c>
      <c r="I51" s="89">
        <f>Premiums_Claims!I42</f>
        <v>183275235.02544367</v>
      </c>
      <c r="J51" s="89">
        <f>Premiums_Claims!J42</f>
        <v>197827288.6864639</v>
      </c>
      <c r="K51" s="89">
        <f>Premiums_Claims!K42</f>
        <v>213534775.40816903</v>
      </c>
    </row>
    <row r="52">
      <c r="A52" s="106" t="s">
        <v>62</v>
      </c>
      <c r="B52" s="111">
        <f>EEFF!B54</f>
        <v>0</v>
      </c>
      <c r="C52" s="111">
        <f>EEFF!C54</f>
        <v>0</v>
      </c>
      <c r="D52" s="111">
        <f>EEFF!D54</f>
        <v>0</v>
      </c>
      <c r="E52" s="111">
        <f>EEFF!E54</f>
        <v>35258108</v>
      </c>
      <c r="F52" s="111">
        <f>EEFF!F54</f>
        <v>40827249</v>
      </c>
      <c r="G52" s="109">
        <f>Investment_Float!G25</f>
        <v>45835952.554976895</v>
      </c>
      <c r="H52" s="111">
        <f>Investment_Float!H25</f>
        <v>49475327.187842056</v>
      </c>
      <c r="I52" s="111">
        <f>Investment_Float!I25</f>
        <v>53403668.166556716</v>
      </c>
      <c r="J52" s="111">
        <f>Investment_Float!J25</f>
        <v>57643919.4189813</v>
      </c>
      <c r="K52" s="111">
        <f>Investment_Float!K25</f>
        <v>62220846.62084841</v>
      </c>
    </row>
    <row r="53">
      <c r="A53" s="106" t="s">
        <v>63</v>
      </c>
      <c r="B53" s="111">
        <f>EEFF!B55</f>
        <v>0</v>
      </c>
      <c r="C53" s="111">
        <f>EEFF!C55</f>
        <v>0</v>
      </c>
      <c r="D53" s="111">
        <f>EEFF!D55</f>
        <v>0</v>
      </c>
      <c r="E53" s="111">
        <f>EEFF!E55</f>
        <v>55379789</v>
      </c>
      <c r="F53" s="111">
        <f>EEFF!F55</f>
        <v>61865524</v>
      </c>
      <c r="G53" s="109">
        <f>Investment_Float!G26</f>
        <v>69455211.71051188</v>
      </c>
      <c r="H53" s="111">
        <f>Investment_Float!H26</f>
        <v>74969955.52032651</v>
      </c>
      <c r="I53" s="111">
        <f>Investment_Float!I26</f>
        <v>80922569.98864044</v>
      </c>
      <c r="J53" s="111">
        <f>Investment_Float!J26</f>
        <v>87347822.04573846</v>
      </c>
      <c r="K53" s="111">
        <f>Investment_Float!K26</f>
        <v>94283239.1161701</v>
      </c>
    </row>
    <row r="54">
      <c r="A54" s="95" t="s">
        <v>64</v>
      </c>
      <c r="B54" s="89">
        <f>EEFF!B56</f>
        <v>0</v>
      </c>
      <c r="C54" s="89">
        <f>EEFF!C56</f>
        <v>0</v>
      </c>
      <c r="D54" s="89">
        <f>EEFF!D56</f>
        <v>0</v>
      </c>
      <c r="E54" s="89">
        <f>EEFF!E56</f>
        <v>281188</v>
      </c>
      <c r="F54" s="89">
        <f>EEFF!F56</f>
        <v>-70123</v>
      </c>
      <c r="G54" s="104">
        <f>Investment_Float!G27</f>
        <v>-78725.71823324772</v>
      </c>
      <c r="H54" s="89">
        <f>Investment_Float!H27</f>
        <v>-84976.54026096758</v>
      </c>
      <c r="I54" s="89">
        <f>Investment_Float!I27</f>
        <v>-91723.67755768841</v>
      </c>
      <c r="J54" s="89">
        <f>Investment_Float!J27</f>
        <v>-99006.53755576884</v>
      </c>
      <c r="K54" s="89">
        <f>Investment_Float!K27</f>
        <v>-106867.65663769688</v>
      </c>
    </row>
    <row r="55">
      <c r="A55" s="95" t="s">
        <v>65</v>
      </c>
      <c r="B55" s="89">
        <f>EEFF!B57</f>
        <v>0</v>
      </c>
      <c r="C55" s="89">
        <f>EEFF!C57</f>
        <v>0</v>
      </c>
      <c r="D55" s="89">
        <f>EEFF!D57</f>
        <v>0</v>
      </c>
      <c r="E55" s="89">
        <f>EEFF!E57</f>
        <v>90919085</v>
      </c>
      <c r="F55" s="89">
        <f>EEFF!F57</f>
        <v>102622650</v>
      </c>
      <c r="G55" s="92">
        <f>G52+G53+G54</f>
        <v>115212438.54725553</v>
      </c>
      <c r="H55" s="100">
        <f>H52+H53+H54</f>
        <v>124360306.1679076</v>
      </c>
      <c r="I55" s="100">
        <f>I52+I53+I54</f>
        <v>134234514.47763947</v>
      </c>
      <c r="J55" s="100">
        <f>J52+J53+J54</f>
        <v>144892734.92716402</v>
      </c>
      <c r="K55" s="100">
        <f>K52+K53+K54</f>
        <v>156397218.0803808</v>
      </c>
    </row>
    <row r="56">
      <c r="A56" s="106" t="s">
        <v>66</v>
      </c>
      <c r="B56" s="111">
        <f>EEFF!B58</f>
        <v>0</v>
      </c>
      <c r="C56" s="111">
        <f>EEFF!C58</f>
        <v>0</v>
      </c>
      <c r="D56" s="111">
        <f>EEFF!D58</f>
        <v>0</v>
      </c>
      <c r="E56" s="111">
        <f>EEFF!E58</f>
        <v>-9221440</v>
      </c>
      <c r="F56" s="111">
        <f>EEFF!F58</f>
        <v>-11097456</v>
      </c>
      <c r="G56" s="112">
        <f>F56</f>
        <v>-11097456</v>
      </c>
      <c r="H56" s="110">
        <f>G56</f>
        <v>-11097456</v>
      </c>
      <c r="I56" s="110">
        <f>H56</f>
        <v>-11097456</v>
      </c>
      <c r="J56" s="110">
        <f>I56</f>
        <v>-11097456</v>
      </c>
      <c r="K56" s="110">
        <f>J56</f>
        <v>-11097456</v>
      </c>
    </row>
    <row r="57">
      <c r="A57" s="106" t="s">
        <v>67</v>
      </c>
      <c r="B57" s="111">
        <f>EEFF!B59</f>
        <v>0</v>
      </c>
      <c r="C57" s="111">
        <f>EEFF!C59</f>
        <v>0</v>
      </c>
      <c r="D57" s="111">
        <f>EEFF!D59</f>
        <v>0</v>
      </c>
      <c r="E57" s="111">
        <f>EEFF!E59</f>
        <v>959026</v>
      </c>
      <c r="F57" s="111">
        <f>EEFF!F59</f>
        <v>2508685</v>
      </c>
      <c r="G57" s="112">
        <f>F57</f>
        <v>2508685</v>
      </c>
      <c r="H57" s="110">
        <f>G57</f>
        <v>2508685</v>
      </c>
      <c r="I57" s="110">
        <f>H57</f>
        <v>2508685</v>
      </c>
      <c r="J57" s="110">
        <f>I57</f>
        <v>2508685</v>
      </c>
      <c r="K57" s="110">
        <f>J57</f>
        <v>2508685</v>
      </c>
    </row>
    <row r="58">
      <c r="A58" s="95" t="s">
        <v>68</v>
      </c>
      <c r="B58" s="89">
        <f>EEFF!B60</f>
        <v>0</v>
      </c>
      <c r="C58" s="89">
        <f>EEFF!C60</f>
        <v>0</v>
      </c>
      <c r="D58" s="89">
        <f>EEFF!D60</f>
        <v>0</v>
      </c>
      <c r="E58" s="89">
        <f>EEFF!E60</f>
        <v>82656671</v>
      </c>
      <c r="F58" s="89">
        <f>EEFF!F60</f>
        <v>94033879</v>
      </c>
      <c r="G58" s="92">
        <f>G55+G56+G57</f>
        <v>106623667.54725553</v>
      </c>
      <c r="H58" s="100">
        <f>H55+H56+H57</f>
        <v>115771535.1679076</v>
      </c>
      <c r="I58" s="100">
        <f>I55+I56+I57</f>
        <v>125645743.47763947</v>
      </c>
      <c r="J58" s="100">
        <f>J55+J56+J57</f>
        <v>136303963.92716402</v>
      </c>
      <c r="K58" s="100">
        <f>K55+K56+K57</f>
        <v>147808447.0803808</v>
      </c>
    </row>
    <row r="59">
      <c r="A59" s="106" t="s">
        <v>69</v>
      </c>
      <c r="B59" s="111">
        <f>EEFF!B61</f>
        <v>0</v>
      </c>
      <c r="C59" s="111">
        <f>EEFF!C61</f>
        <v>0</v>
      </c>
      <c r="D59" s="111">
        <f>EEFF!D61</f>
        <v>0</v>
      </c>
      <c r="E59" s="111">
        <f>EEFF!E61</f>
        <v>7941941</v>
      </c>
      <c r="F59" s="111">
        <f>EEFF!F61</f>
        <v>4999986</v>
      </c>
      <c r="G59" s="112">
        <f>F59</f>
        <v>4999986</v>
      </c>
      <c r="H59" s="110">
        <f>G59</f>
        <v>4999986</v>
      </c>
      <c r="I59" s="110">
        <f>H59</f>
        <v>4999986</v>
      </c>
      <c r="J59" s="110">
        <f>I59</f>
        <v>4999986</v>
      </c>
      <c r="K59" s="110">
        <f>J59</f>
        <v>4999986</v>
      </c>
    </row>
    <row r="60">
      <c r="A60" s="106" t="s">
        <v>49</v>
      </c>
      <c r="B60" s="111">
        <f>EEFF!B62</f>
        <v>0</v>
      </c>
      <c r="C60" s="111">
        <f>EEFF!C62</f>
        <v>0</v>
      </c>
      <c r="D60" s="111">
        <f>EEFF!D62</f>
        <v>0</v>
      </c>
      <c r="E60" s="111">
        <f>EEFF!E62</f>
        <v>-89212204</v>
      </c>
      <c r="F60" s="111">
        <f>EEFF!F62</f>
        <v>-95272868</v>
      </c>
      <c r="G60" s="109">
        <f>G48*Supuestos!G26</f>
        <v>-102837521.73224711</v>
      </c>
      <c r="H60" s="111">
        <f>H48*Supuestos!H26</f>
        <v>-111002820.95778751</v>
      </c>
      <c r="I60" s="111">
        <f>I48*Supuestos!I26</f>
        <v>-119816444.94183584</v>
      </c>
      <c r="J60" s="111">
        <f>J48*Supuestos!J26</f>
        <v>-129329870.6702176</v>
      </c>
      <c r="K60" s="111">
        <f>K48*Supuestos!K26</f>
        <v>-139598662.40143287</v>
      </c>
    </row>
    <row r="61">
      <c r="A61" s="106" t="s">
        <v>70</v>
      </c>
      <c r="B61" s="111">
        <f>EEFF!B63</f>
        <v>0</v>
      </c>
      <c r="C61" s="111">
        <f>EEFF!C63</f>
        <v>0</v>
      </c>
      <c r="D61" s="111">
        <f>EEFF!D63</f>
        <v>0</v>
      </c>
      <c r="E61" s="111">
        <f>EEFF!E63</f>
        <v>1428646</v>
      </c>
      <c r="F61" s="111">
        <f>EEFF!F63</f>
        <v>-1331447</v>
      </c>
      <c r="G61" s="112">
        <f>F61</f>
        <v>-1331447</v>
      </c>
      <c r="H61" s="110">
        <f>G61</f>
        <v>-1331447</v>
      </c>
      <c r="I61" s="110">
        <f>H61</f>
        <v>-1331447</v>
      </c>
      <c r="J61" s="110">
        <f>I61</f>
        <v>-1331447</v>
      </c>
      <c r="K61" s="110">
        <f>J61</f>
        <v>-1331447</v>
      </c>
    </row>
    <row r="62">
      <c r="A62" s="95" t="s">
        <v>71</v>
      </c>
      <c r="B62" s="89">
        <f>EEFF!B64</f>
        <v>0</v>
      </c>
      <c r="C62" s="89">
        <f>EEFF!C64</f>
        <v>0</v>
      </c>
      <c r="D62" s="89">
        <f>EEFF!D64</f>
        <v>0</v>
      </c>
      <c r="E62" s="89">
        <f>EEFF!E64</f>
        <v>140419999</v>
      </c>
      <c r="F62" s="89">
        <f>EEFF!F64</f>
        <v>148121503</v>
      </c>
      <c r="G62" s="92">
        <f>G51+G58+G59+G60+G61</f>
        <v>164758391.94854248</v>
      </c>
      <c r="H62" s="100">
        <f>H51+H58+H59+H60+H61</f>
        <v>178230874.69005674</v>
      </c>
      <c r="I62" s="100">
        <f>I51+I58+I59+I60+I61</f>
        <v>192773072.5612473</v>
      </c>
      <c r="J62" s="100">
        <f>J51+J58+J59+J60+J61</f>
        <v>208469920.9434103</v>
      </c>
      <c r="K62" s="100">
        <f>K51+K58+K59+K60+K61</f>
        <v>225413099.08711696</v>
      </c>
    </row>
    <row r="63">
      <c r="A63" s="106" t="s">
        <v>72</v>
      </c>
      <c r="B63" s="111">
        <f>EEFF!B65</f>
        <v>0</v>
      </c>
      <c r="C63" s="111">
        <f>EEFF!C65</f>
        <v>0</v>
      </c>
      <c r="D63" s="111">
        <f>EEFF!D65</f>
        <v>0</v>
      </c>
      <c r="E63" s="111">
        <f>EEFF!E65</f>
        <v>-11985312</v>
      </c>
      <c r="F63" s="111">
        <f>EEFF!F65</f>
        <v>-12129240</v>
      </c>
      <c r="G63" s="109">
        <f>-G62*Supuestos!G98</f>
        <v>-13510188.139780484</v>
      </c>
      <c r="H63" s="111">
        <f>-H62*Supuestos!H98</f>
        <v>-14614931.724584654</v>
      </c>
      <c r="I63" s="111">
        <f>-I62*Supuestos!I98</f>
        <v>-15807391.950022278</v>
      </c>
      <c r="J63" s="111">
        <f>-J62*Supuestos!J98</f>
        <v>-17094533.517359644</v>
      </c>
      <c r="K63" s="111">
        <f>-K62*Supuestos!K98</f>
        <v>-18483874.12514359</v>
      </c>
    </row>
    <row r="64">
      <c r="A64" s="95" t="s">
        <v>73</v>
      </c>
      <c r="B64" s="89">
        <f>EEFF!B66</f>
        <v>0</v>
      </c>
      <c r="C64" s="89">
        <f>EEFF!C66</f>
        <v>0</v>
      </c>
      <c r="D64" s="89">
        <f>EEFF!D66</f>
        <v>0</v>
      </c>
      <c r="E64" s="89">
        <f>EEFF!E66</f>
        <v>128434687</v>
      </c>
      <c r="F64" s="89">
        <f>EEFF!F66</f>
        <v>135992263</v>
      </c>
      <c r="G64" s="92">
        <f>G62+G63</f>
        <v>151248203.80876198</v>
      </c>
      <c r="H64" s="100">
        <f>H62+H63</f>
        <v>163615942.9654721</v>
      </c>
      <c r="I64" s="100">
        <f>I62+I63</f>
        <v>176965680.611225</v>
      </c>
      <c r="J64" s="100">
        <f>J62+J63</f>
        <v>191375387.42605066</v>
      </c>
      <c r="K64" s="100">
        <f>K62+K63</f>
        <v>206929224.96197337</v>
      </c>
    </row>
    <row r="65">
      <c r="A65" s="106" t="s">
        <v>74</v>
      </c>
      <c r="B65" s="111">
        <f>EEFF!B67</f>
        <v>0</v>
      </c>
      <c r="C65" s="111">
        <f>EEFF!C67</f>
        <v>0</v>
      </c>
      <c r="D65" s="111">
        <f>EEFF!D67</f>
        <v>0</v>
      </c>
      <c r="E65" s="111">
        <f>EEFF!E67</f>
        <v>-3788890</v>
      </c>
      <c r="F65" s="111">
        <f>EEFF!F67</f>
        <v>31161580</v>
      </c>
      <c r="G65" s="91"/>
      <c r="H65" s="88"/>
      <c r="I65" s="88"/>
      <c r="J65" s="88"/>
      <c r="K65" s="88"/>
    </row>
    <row r="66">
      <c r="A66" s="95" t="s">
        <v>75</v>
      </c>
      <c r="B66" s="89">
        <f>EEFF!B68</f>
        <v>81848589</v>
      </c>
      <c r="C66" s="89">
        <f>EEFF!C68</f>
        <v>61993104</v>
      </c>
      <c r="D66" s="89">
        <f>EEFF!D68</f>
        <v>96131302</v>
      </c>
      <c r="E66" s="89">
        <f>EEFF!E68</f>
        <v>124645797</v>
      </c>
      <c r="F66" s="89">
        <f>EEFF!F68</f>
        <v>167153843</v>
      </c>
      <c r="G66" s="92">
        <f>G44+G47+G64+G65</f>
        <v>151248203.80876198</v>
      </c>
      <c r="H66" s="100">
        <f>H44+H47+H64+H65</f>
        <v>163615942.9654721</v>
      </c>
      <c r="I66" s="100">
        <f>I44+I47+I64+I65</f>
        <v>176965680.611225</v>
      </c>
      <c r="J66" s="100">
        <f>J44+J47+J64+J65</f>
        <v>191375387.42605066</v>
      </c>
      <c r="K66" s="100">
        <f>K44+K47+K64+K65</f>
        <v>206929224.96197337</v>
      </c>
    </row>
    <row r="67">
      <c r="A67" s="96"/>
      <c r="B67" s="96"/>
      <c r="C67" s="96"/>
      <c r="D67" s="96"/>
      <c r="E67" s="96"/>
      <c r="F67" s="96"/>
      <c r="G67" s="105"/>
      <c r="H67" s="96"/>
      <c r="I67" s="96"/>
      <c r="J67" s="96"/>
      <c r="K67" s="96"/>
    </row>
    <row r="68">
      <c r="A68" s="108" t="s">
        <v>3</v>
      </c>
      <c r="B68" s="98" t="s">
        <v>4</v>
      </c>
      <c r="C68" s="98" t="s">
        <v>5</v>
      </c>
      <c r="D68" s="98" t="s">
        <v>6</v>
      </c>
      <c r="E68" s="98" t="s">
        <v>7</v>
      </c>
      <c r="F68" s="98" t="s">
        <v>8</v>
      </c>
      <c r="G68" s="115" t="s">
        <v>9</v>
      </c>
      <c r="H68" s="94" t="s">
        <v>10</v>
      </c>
      <c r="I68" s="94" t="s">
        <v>11</v>
      </c>
      <c r="J68" s="94" t="s">
        <v>12</v>
      </c>
      <c r="K68" s="94" t="s">
        <v>13</v>
      </c>
    </row>
    <row r="69">
      <c r="A69" s="108" t="s">
        <v>76</v>
      </c>
      <c r="B69" s="103"/>
      <c r="C69" s="103"/>
      <c r="D69" s="103"/>
      <c r="E69" s="103"/>
      <c r="F69" s="103"/>
      <c r="G69" s="102"/>
      <c r="H69" s="93"/>
      <c r="I69" s="93"/>
      <c r="J69" s="93"/>
      <c r="K69" s="93"/>
    </row>
    <row r="70">
      <c r="A70" s="106" t="s">
        <v>78</v>
      </c>
      <c r="B70" s="111">
        <f>EEFF!B73</f>
        <v>270329829</v>
      </c>
      <c r="C70" s="111">
        <f>EEFF!C73</f>
        <v>228125639</v>
      </c>
      <c r="D70" s="111">
        <f>EEFF!D73</f>
        <v>232268193</v>
      </c>
      <c r="E70" s="111">
        <f>EEFF!E73</f>
        <v>66040405</v>
      </c>
      <c r="F70" s="111">
        <f>EEFF!F73</f>
        <v>81993632</v>
      </c>
      <c r="G70" s="112">
        <f>F70</f>
        <v>81993632</v>
      </c>
      <c r="H70" s="110">
        <f>G70</f>
        <v>81993632</v>
      </c>
      <c r="I70" s="110">
        <f>H70</f>
        <v>81993632</v>
      </c>
      <c r="J70" s="110">
        <f>I70</f>
        <v>81993632</v>
      </c>
      <c r="K70" s="110">
        <f>J70</f>
        <v>81993632</v>
      </c>
    </row>
    <row r="71">
      <c r="A71" s="106" t="s">
        <v>79</v>
      </c>
      <c r="B71" s="111">
        <f>EEFF!B74</f>
        <v>250244906</v>
      </c>
      <c r="C71" s="111">
        <f>EEFF!C74</f>
        <v>247213247</v>
      </c>
      <c r="D71" s="111">
        <f>EEFF!D74</f>
        <v>278176223</v>
      </c>
      <c r="E71" s="88"/>
      <c r="F71" s="111">
        <f>EEFF!F74</f>
        <v>0</v>
      </c>
      <c r="G71" s="91"/>
      <c r="H71" s="88"/>
      <c r="I71" s="88"/>
      <c r="J71" s="88"/>
      <c r="K71" s="88"/>
    </row>
    <row r="72">
      <c r="A72" s="106" t="s">
        <v>80</v>
      </c>
      <c r="B72" s="111">
        <f>EEFF!B75</f>
        <v>994010440</v>
      </c>
      <c r="C72" s="111">
        <f>EEFF!C75</f>
        <v>1083352786</v>
      </c>
      <c r="D72" s="111">
        <f>EEFF!D75</f>
        <v>1191506508</v>
      </c>
      <c r="E72" s="111">
        <f>EEFF!E75</f>
        <v>0</v>
      </c>
      <c r="F72" s="111">
        <f>EEFF!F75</f>
        <v>0</v>
      </c>
      <c r="G72" s="112">
        <f>F72</f>
        <v>0</v>
      </c>
      <c r="H72" s="110">
        <f>G72</f>
        <v>0</v>
      </c>
      <c r="I72" s="110">
        <f>H72</f>
        <v>0</v>
      </c>
      <c r="J72" s="110">
        <f>I72</f>
        <v>0</v>
      </c>
      <c r="K72" s="110">
        <f>J72</f>
        <v>0</v>
      </c>
    </row>
    <row r="73">
      <c r="A73" s="106" t="s">
        <v>81</v>
      </c>
      <c r="B73" s="111">
        <f>EEFF!B76</f>
        <v>1282484672</v>
      </c>
      <c r="C73" s="111">
        <f>EEFF!C76</f>
        <v>1306501849</v>
      </c>
      <c r="D73" s="111">
        <f>EEFF!D76</f>
        <v>1450423677</v>
      </c>
      <c r="E73" s="88"/>
      <c r="F73" s="111">
        <f>EEFF!F76</f>
        <v>0</v>
      </c>
      <c r="G73" s="91"/>
      <c r="H73" s="88"/>
      <c r="I73" s="88"/>
      <c r="J73" s="88"/>
      <c r="K73" s="88"/>
    </row>
    <row r="74">
      <c r="A74" s="106" t="s">
        <v>82</v>
      </c>
      <c r="B74" s="111">
        <f>EEFF!B77</f>
        <v>237007868</v>
      </c>
      <c r="C74" s="111">
        <f>EEFF!C77</f>
        <v>319466997</v>
      </c>
      <c r="D74" s="111">
        <f>EEFF!D77</f>
        <v>259670949</v>
      </c>
      <c r="E74" s="111">
        <f>EEFF!E77</f>
        <v>0</v>
      </c>
      <c r="F74" s="111">
        <f>EEFF!F77</f>
        <v>0</v>
      </c>
      <c r="G74" s="91"/>
      <c r="H74" s="88"/>
      <c r="I74" s="88"/>
      <c r="J74" s="88"/>
      <c r="K74" s="88"/>
    </row>
    <row r="75">
      <c r="A75" s="106" t="s">
        <v>83</v>
      </c>
      <c r="B75" s="111">
        <f>EEFF!B78</f>
        <v>992942</v>
      </c>
      <c r="C75" s="111">
        <f>EEFF!C78</f>
        <v>1711440</v>
      </c>
      <c r="D75" s="111">
        <f>EEFF!D78</f>
        <v>1845741</v>
      </c>
      <c r="E75" s="88"/>
      <c r="F75" s="111">
        <f>EEFF!F78</f>
        <v>0</v>
      </c>
      <c r="G75" s="91"/>
      <c r="H75" s="88"/>
      <c r="I75" s="88"/>
      <c r="J75" s="88"/>
      <c r="K75" s="88"/>
    </row>
    <row r="76">
      <c r="A76" s="106" t="s">
        <v>84</v>
      </c>
      <c r="B76" s="111">
        <f>EEFF!B79</f>
        <v>0</v>
      </c>
      <c r="C76" s="111">
        <f>EEFF!C79</f>
        <v>0</v>
      </c>
      <c r="D76" s="111">
        <f>EEFF!D79</f>
        <v>0</v>
      </c>
      <c r="E76" s="111">
        <f>EEFF!E79</f>
        <v>1570422123</v>
      </c>
      <c r="F76" s="111">
        <f>EEFF!F79</f>
        <v>1842841062</v>
      </c>
      <c r="G76" s="112">
        <f>F76</f>
        <v>1842841062</v>
      </c>
      <c r="H76" s="110">
        <f>G76</f>
        <v>1842841062</v>
      </c>
      <c r="I76" s="110">
        <f>H76</f>
        <v>1842841062</v>
      </c>
      <c r="J76" s="110">
        <f>I76</f>
        <v>1842841062</v>
      </c>
      <c r="K76" s="110">
        <f>J76</f>
        <v>1842841062</v>
      </c>
    </row>
    <row r="77">
      <c r="A77" s="106" t="s">
        <v>85</v>
      </c>
      <c r="B77" s="111">
        <f>EEFF!B80</f>
        <v>0</v>
      </c>
      <c r="C77" s="111">
        <f>EEFF!C80</f>
        <v>0</v>
      </c>
      <c r="D77" s="111">
        <f>EEFF!D80</f>
        <v>0</v>
      </c>
      <c r="E77" s="111">
        <f>EEFF!E80</f>
        <v>21110668</v>
      </c>
      <c r="F77" s="111">
        <f>EEFF!F80</f>
        <v>21032150</v>
      </c>
      <c r="G77" s="112">
        <f>F77</f>
        <v>21032150</v>
      </c>
      <c r="H77" s="110">
        <f>G77</f>
        <v>21032150</v>
      </c>
      <c r="I77" s="110">
        <f>H77</f>
        <v>21032150</v>
      </c>
      <c r="J77" s="110">
        <f>I77</f>
        <v>21032150</v>
      </c>
      <c r="K77" s="110">
        <f>J77</f>
        <v>21032150</v>
      </c>
    </row>
    <row r="78">
      <c r="A78" s="106" t="s">
        <v>86</v>
      </c>
      <c r="B78" s="111">
        <f>EEFF!B81</f>
        <v>0</v>
      </c>
      <c r="C78" s="111">
        <f>EEFF!C81</f>
        <v>0</v>
      </c>
      <c r="D78" s="111">
        <f>EEFF!D81</f>
        <v>0</v>
      </c>
      <c r="E78" s="111">
        <f>EEFF!E81</f>
        <v>224456158</v>
      </c>
      <c r="F78" s="111">
        <f>EEFF!F81</f>
        <v>179614453</v>
      </c>
      <c r="G78" s="112">
        <f>F78</f>
        <v>179614453</v>
      </c>
      <c r="H78" s="110">
        <f>G78</f>
        <v>179614453</v>
      </c>
      <c r="I78" s="110">
        <f>H78</f>
        <v>179614453</v>
      </c>
      <c r="J78" s="110">
        <f>I78</f>
        <v>179614453</v>
      </c>
      <c r="K78" s="110">
        <f>J78</f>
        <v>179614453</v>
      </c>
    </row>
    <row r="79">
      <c r="A79" s="106" t="s">
        <v>87</v>
      </c>
      <c r="B79" s="111">
        <f>EEFF!B82</f>
        <v>0</v>
      </c>
      <c r="C79" s="111">
        <f>EEFF!C82</f>
        <v>0</v>
      </c>
      <c r="D79" s="111">
        <f>EEFF!D82</f>
        <v>0</v>
      </c>
      <c r="E79" s="111">
        <f>EEFF!E82</f>
        <v>65001992</v>
      </c>
      <c r="F79" s="111">
        <f>EEFF!F82</f>
        <v>74003298</v>
      </c>
      <c r="G79" s="112">
        <f>F79</f>
        <v>74003298</v>
      </c>
      <c r="H79" s="110">
        <f>G79</f>
        <v>74003298</v>
      </c>
      <c r="I79" s="110">
        <f>H79</f>
        <v>74003298</v>
      </c>
      <c r="J79" s="110">
        <f>I79</f>
        <v>74003298</v>
      </c>
      <c r="K79" s="110">
        <f>J79</f>
        <v>74003298</v>
      </c>
    </row>
    <row r="80">
      <c r="A80" s="106" t="s">
        <v>88</v>
      </c>
      <c r="B80" s="111">
        <f>EEFF!B83</f>
        <v>55843403</v>
      </c>
      <c r="C80" s="111">
        <f>EEFF!C83</f>
        <v>54093472</v>
      </c>
      <c r="D80" s="111">
        <f>EEFF!D83</f>
        <v>53762908</v>
      </c>
      <c r="E80" s="88"/>
      <c r="F80" s="111">
        <f>EEFF!F83</f>
        <v>0</v>
      </c>
      <c r="G80" s="91"/>
      <c r="H80" s="88"/>
      <c r="I80" s="88"/>
      <c r="J80" s="88"/>
      <c r="K80" s="88"/>
    </row>
    <row r="81">
      <c r="A81" s="106" t="s">
        <v>89</v>
      </c>
      <c r="B81" s="111">
        <f>EEFF!B84</f>
        <v>0</v>
      </c>
      <c r="C81" s="111">
        <f>EEFF!C84</f>
        <v>0</v>
      </c>
      <c r="D81" s="111">
        <f>EEFF!D84</f>
        <v>0</v>
      </c>
      <c r="E81" s="111">
        <f>EEFF!E84</f>
        <v>42691420</v>
      </c>
      <c r="F81" s="111">
        <f>EEFF!F84</f>
        <v>38185718</v>
      </c>
      <c r="G81" s="112">
        <f>F81</f>
        <v>38185718</v>
      </c>
      <c r="H81" s="110">
        <f>G81</f>
        <v>38185718</v>
      </c>
      <c r="I81" s="110">
        <f>H81</f>
        <v>38185718</v>
      </c>
      <c r="J81" s="110">
        <f>I81</f>
        <v>38185718</v>
      </c>
      <c r="K81" s="110">
        <f>J81</f>
        <v>38185718</v>
      </c>
    </row>
    <row r="82">
      <c r="A82" s="106" t="s">
        <v>90</v>
      </c>
      <c r="B82" s="111">
        <f>EEFF!B85</f>
        <v>3567110</v>
      </c>
      <c r="C82" s="111">
        <f>EEFF!C85</f>
        <v>2447927</v>
      </c>
      <c r="D82" s="111">
        <f>EEFF!D85</f>
        <v>3082318</v>
      </c>
      <c r="E82" s="88"/>
      <c r="F82" s="111">
        <f>EEFF!F85</f>
        <v>0</v>
      </c>
      <c r="G82" s="91"/>
      <c r="H82" s="88"/>
      <c r="I82" s="88"/>
      <c r="J82" s="88"/>
      <c r="K82" s="88"/>
    </row>
    <row r="83">
      <c r="A83" s="106" t="s">
        <v>55</v>
      </c>
      <c r="B83" s="111">
        <f>EEFF!B86</f>
        <v>3828445</v>
      </c>
      <c r="C83" s="111">
        <f>EEFF!C86</f>
        <v>5459921</v>
      </c>
      <c r="D83" s="111">
        <f>EEFF!D86</f>
        <v>4977416</v>
      </c>
      <c r="E83" s="111">
        <f>EEFF!E86</f>
        <v>0</v>
      </c>
      <c r="F83" s="111">
        <f>EEFF!F86</f>
        <v>0</v>
      </c>
      <c r="G83" s="112">
        <f>F83</f>
        <v>0</v>
      </c>
      <c r="H83" s="110">
        <f>G83</f>
        <v>0</v>
      </c>
      <c r="I83" s="110">
        <f>H83</f>
        <v>0</v>
      </c>
      <c r="J83" s="110">
        <f>I83</f>
        <v>0</v>
      </c>
      <c r="K83" s="110">
        <f>J83</f>
        <v>0</v>
      </c>
    </row>
    <row r="84">
      <c r="A84" s="106" t="s">
        <v>91</v>
      </c>
      <c r="B84" s="111">
        <f>EEFF!B87</f>
        <v>80211362</v>
      </c>
      <c r="C84" s="111">
        <f>EEFF!C87</f>
        <v>76115738</v>
      </c>
      <c r="D84" s="111">
        <f>EEFF!D87</f>
        <v>71848199</v>
      </c>
      <c r="E84" s="88"/>
      <c r="F84" s="111">
        <f>EEFF!F87</f>
        <v>0</v>
      </c>
      <c r="G84" s="91"/>
      <c r="H84" s="88"/>
      <c r="I84" s="88"/>
      <c r="J84" s="88"/>
      <c r="K84" s="88"/>
    </row>
    <row r="85">
      <c r="A85" s="106" t="s">
        <v>92</v>
      </c>
      <c r="B85" s="111">
        <f>EEFF!B88</f>
        <v>0</v>
      </c>
      <c r="C85" s="111">
        <f>EEFF!C88</f>
        <v>0</v>
      </c>
      <c r="D85" s="111">
        <f>EEFF!D88</f>
        <v>0</v>
      </c>
      <c r="E85" s="111">
        <f>EEFF!E88</f>
        <v>38647085</v>
      </c>
      <c r="F85" s="111">
        <f>EEFF!F88</f>
        <v>41001647</v>
      </c>
      <c r="G85" s="112">
        <f>F85</f>
        <v>41001647</v>
      </c>
      <c r="H85" s="110">
        <f>G85</f>
        <v>41001647</v>
      </c>
      <c r="I85" s="110">
        <f>H85</f>
        <v>41001647</v>
      </c>
      <c r="J85" s="110">
        <f>I85</f>
        <v>41001647</v>
      </c>
      <c r="K85" s="110">
        <f>J85</f>
        <v>41001647</v>
      </c>
    </row>
    <row r="86">
      <c r="A86" s="106" t="s">
        <v>93</v>
      </c>
      <c r="B86" s="111">
        <f>EEFF!B89</f>
        <v>0</v>
      </c>
      <c r="C86" s="111">
        <f>EEFF!C89</f>
        <v>0</v>
      </c>
      <c r="D86" s="111">
        <f>EEFF!D89</f>
        <v>0</v>
      </c>
      <c r="E86" s="111">
        <f>EEFF!E89</f>
        <v>15641307</v>
      </c>
      <c r="F86" s="111">
        <f>EEFF!F89</f>
        <v>15413883</v>
      </c>
      <c r="G86" s="112">
        <f>F86</f>
        <v>15413883</v>
      </c>
      <c r="H86" s="110">
        <f>G86</f>
        <v>15413883</v>
      </c>
      <c r="I86" s="110">
        <f>H86</f>
        <v>15413883</v>
      </c>
      <c r="J86" s="110">
        <f>I86</f>
        <v>15413883</v>
      </c>
      <c r="K86" s="110">
        <f>J86</f>
        <v>15413883</v>
      </c>
    </row>
    <row r="87">
      <c r="A87" s="106" t="s">
        <v>94</v>
      </c>
      <c r="B87" s="111">
        <f>EEFF!B90</f>
        <v>52139653</v>
      </c>
      <c r="C87" s="111">
        <f>EEFF!C90</f>
        <v>47920677</v>
      </c>
      <c r="D87" s="111">
        <f>EEFF!D90</f>
        <v>47188231</v>
      </c>
      <c r="E87" s="111">
        <f>EEFF!E90</f>
        <v>24512378</v>
      </c>
      <c r="F87" s="111">
        <f>EEFF!F90</f>
        <v>24666268</v>
      </c>
      <c r="G87" s="112">
        <f>F87</f>
        <v>24666268</v>
      </c>
      <c r="H87" s="110">
        <f>G87</f>
        <v>24666268</v>
      </c>
      <c r="I87" s="110">
        <f>H87</f>
        <v>24666268</v>
      </c>
      <c r="J87" s="110">
        <f>I87</f>
        <v>24666268</v>
      </c>
      <c r="K87" s="110">
        <f>J87</f>
        <v>24666268</v>
      </c>
    </row>
    <row r="88">
      <c r="A88" s="106" t="s">
        <v>95</v>
      </c>
      <c r="B88" s="111">
        <f>EEFF!B91</f>
        <v>0</v>
      </c>
      <c r="C88" s="111">
        <f>EEFF!C91</f>
        <v>0</v>
      </c>
      <c r="D88" s="111">
        <f>EEFF!D91</f>
        <v>0</v>
      </c>
      <c r="E88" s="111">
        <f>EEFF!E91</f>
        <v>1051007115</v>
      </c>
      <c r="F88" s="111">
        <f>EEFF!F91</f>
        <v>0</v>
      </c>
      <c r="G88" s="112">
        <f>F88</f>
        <v>0</v>
      </c>
      <c r="H88" s="110">
        <f>G88</f>
        <v>0</v>
      </c>
      <c r="I88" s="110">
        <f>H88</f>
        <v>0</v>
      </c>
      <c r="J88" s="110">
        <f>I88</f>
        <v>0</v>
      </c>
      <c r="K88" s="110">
        <f>J88</f>
        <v>0</v>
      </c>
    </row>
    <row r="89">
      <c r="A89" s="95" t="s">
        <v>96</v>
      </c>
      <c r="B89" s="89">
        <f>EEFF!B92</f>
        <v>3230660630</v>
      </c>
      <c r="C89" s="89">
        <f>EEFF!C92</f>
        <v>3372409693</v>
      </c>
      <c r="D89" s="89">
        <f>EEFF!D92</f>
        <v>3594750363</v>
      </c>
      <c r="E89" s="89">
        <f>EEFF!E92</f>
        <v>3119530651</v>
      </c>
      <c r="F89" s="89">
        <f>EEFF!F92</f>
        <v>2318752111</v>
      </c>
      <c r="G89" s="92">
        <f>F89</f>
        <v>2318752111</v>
      </c>
      <c r="H89" s="100">
        <f>G89</f>
        <v>2318752111</v>
      </c>
      <c r="I89" s="100">
        <f>H89</f>
        <v>2318752111</v>
      </c>
      <c r="J89" s="100">
        <f>I89</f>
        <v>2318752111</v>
      </c>
      <c r="K89" s="100">
        <f>J89</f>
        <v>2318752111</v>
      </c>
    </row>
    <row r="90">
      <c r="A90" s="106" t="s">
        <v>97</v>
      </c>
      <c r="B90" s="111">
        <f>EEFF!B93</f>
        <v>725271188</v>
      </c>
      <c r="C90" s="111">
        <f>EEFF!C93</f>
        <v>742797197</v>
      </c>
      <c r="D90" s="111">
        <f>EEFF!D93</f>
        <v>838241610</v>
      </c>
      <c r="E90" s="111">
        <f>EEFF!E93</f>
        <v>0</v>
      </c>
      <c r="F90" s="111">
        <f>EEFF!F93</f>
        <v>0</v>
      </c>
      <c r="G90" s="112">
        <f>F90</f>
        <v>0</v>
      </c>
      <c r="H90" s="110">
        <f>G90</f>
        <v>0</v>
      </c>
      <c r="I90" s="110">
        <f>H90</f>
        <v>0</v>
      </c>
      <c r="J90" s="110">
        <f>I90</f>
        <v>0</v>
      </c>
      <c r="K90" s="110">
        <f>J90</f>
        <v>0</v>
      </c>
    </row>
    <row r="91">
      <c r="A91" s="106" t="s">
        <v>98</v>
      </c>
      <c r="B91" s="111">
        <f>EEFF!B94</f>
        <v>222380820</v>
      </c>
      <c r="C91" s="111">
        <f>EEFF!C94</f>
        <v>222836666</v>
      </c>
      <c r="D91" s="111">
        <f>EEFF!D94</f>
        <v>252044466</v>
      </c>
      <c r="E91" s="111">
        <f>EEFF!E94</f>
        <v>0</v>
      </c>
      <c r="F91" s="111">
        <f>EEFF!F94</f>
        <v>0</v>
      </c>
      <c r="G91" s="91"/>
      <c r="H91" s="88"/>
      <c r="I91" s="88"/>
      <c r="J91" s="88"/>
      <c r="K91" s="88"/>
    </row>
    <row r="92">
      <c r="A92" s="106" t="s">
        <v>99</v>
      </c>
      <c r="B92" s="111">
        <f>EEFF!B95</f>
        <v>166900068</v>
      </c>
      <c r="C92" s="111">
        <f>EEFF!C95</f>
        <v>262168088</v>
      </c>
      <c r="D92" s="111">
        <f>EEFF!D95</f>
        <v>183640714</v>
      </c>
      <c r="E92" s="111">
        <f>EEFF!E95</f>
        <v>0</v>
      </c>
      <c r="F92" s="111">
        <f>EEFF!F95</f>
        <v>0</v>
      </c>
      <c r="G92" s="91"/>
      <c r="H92" s="88"/>
      <c r="I92" s="88"/>
      <c r="J92" s="88"/>
      <c r="K92" s="88"/>
    </row>
    <row r="93">
      <c r="A93" s="106" t="s">
        <v>100</v>
      </c>
      <c r="B93" s="111">
        <f>EEFF!B96</f>
        <v>271722485</v>
      </c>
      <c r="C93" s="111">
        <f>EEFF!C96</f>
        <v>285566197</v>
      </c>
      <c r="D93" s="111">
        <f>EEFF!D96</f>
        <v>297881412</v>
      </c>
      <c r="E93" s="111">
        <f>EEFF!E96</f>
        <v>0</v>
      </c>
      <c r="F93" s="111">
        <f>EEFF!F96</f>
        <v>0</v>
      </c>
      <c r="G93" s="91"/>
      <c r="H93" s="88"/>
      <c r="I93" s="88"/>
      <c r="J93" s="88"/>
      <c r="K93" s="88"/>
    </row>
    <row r="94">
      <c r="A94" s="95" t="s">
        <v>101</v>
      </c>
      <c r="B94" s="89">
        <f>EEFF!B97</f>
        <v>661003373</v>
      </c>
      <c r="C94" s="89">
        <f>EEFF!C97</f>
        <v>770570951</v>
      </c>
      <c r="D94" s="89">
        <f>EEFF!D97</f>
        <v>733566592</v>
      </c>
      <c r="E94" s="89">
        <f>EEFF!E97</f>
        <v>0</v>
      </c>
      <c r="F94" s="89">
        <f>EEFF!F97</f>
        <v>0</v>
      </c>
      <c r="G94" s="92"/>
      <c r="H94" s="100"/>
      <c r="I94" s="100"/>
      <c r="J94" s="100"/>
      <c r="K94" s="100"/>
    </row>
    <row r="95">
      <c r="A95" s="106" t="s">
        <v>102</v>
      </c>
      <c r="B95" s="111">
        <f>EEFF!B98</f>
        <v>526341819</v>
      </c>
      <c r="C95" s="111">
        <f>EEFF!C98</f>
        <v>551664761</v>
      </c>
      <c r="D95" s="111">
        <f>EEFF!D98</f>
        <v>537365915</v>
      </c>
      <c r="E95" s="111">
        <f>EEFF!E98</f>
        <v>0</v>
      </c>
      <c r="F95" s="111">
        <f>EEFF!F98</f>
        <v>0</v>
      </c>
      <c r="G95" s="91"/>
      <c r="H95" s="88"/>
      <c r="I95" s="88"/>
      <c r="J95" s="88"/>
      <c r="K95" s="88"/>
    </row>
    <row r="96">
      <c r="A96" s="106" t="s">
        <v>103</v>
      </c>
      <c r="B96" s="111">
        <f>EEFF!B99</f>
        <v>2174514</v>
      </c>
      <c r="C96" s="111">
        <f>EEFF!C99</f>
        <v>10321297</v>
      </c>
      <c r="D96" s="111">
        <f>EEFF!D99</f>
        <v>10375811</v>
      </c>
      <c r="E96" s="111">
        <f>EEFF!E99</f>
        <v>0</v>
      </c>
      <c r="F96" s="111">
        <f>EEFF!F99</f>
        <v>0</v>
      </c>
      <c r="G96" s="91"/>
      <c r="H96" s="88"/>
      <c r="I96" s="88"/>
      <c r="J96" s="88"/>
      <c r="K96" s="88"/>
    </row>
    <row r="97">
      <c r="A97" s="95" t="s">
        <v>104</v>
      </c>
      <c r="B97" s="89">
        <f>EEFF!B100</f>
        <v>528516333</v>
      </c>
      <c r="C97" s="89">
        <f>EEFF!C100</f>
        <v>561986058</v>
      </c>
      <c r="D97" s="89">
        <f>EEFF!D100</f>
        <v>547741726</v>
      </c>
      <c r="E97" s="89">
        <f>EEFF!E100</f>
        <v>0</v>
      </c>
      <c r="F97" s="89">
        <f>EEFF!F100</f>
        <v>0</v>
      </c>
      <c r="G97" s="92"/>
      <c r="H97" s="100"/>
      <c r="I97" s="100"/>
      <c r="J97" s="100"/>
      <c r="K97" s="100"/>
    </row>
    <row r="98">
      <c r="A98" s="106" t="s">
        <v>105</v>
      </c>
      <c r="B98" s="111">
        <f>EEFF!B101</f>
        <v>95584028</v>
      </c>
      <c r="C98" s="111">
        <f>EEFF!C101</f>
        <v>87936500</v>
      </c>
      <c r="D98" s="111">
        <f>EEFF!D101</f>
        <v>109327643</v>
      </c>
      <c r="E98" s="111">
        <f>EEFF!E101</f>
        <v>0</v>
      </c>
      <c r="F98" s="111">
        <f>EEFF!F101</f>
        <v>0</v>
      </c>
      <c r="G98" s="91"/>
      <c r="H98" s="88"/>
      <c r="I98" s="88"/>
      <c r="J98" s="88"/>
      <c r="K98" s="88"/>
    </row>
    <row r="99">
      <c r="A99" s="106" t="s">
        <v>55</v>
      </c>
      <c r="B99" s="111">
        <f>EEFF!B102</f>
        <v>4481917</v>
      </c>
      <c r="C99" s="111">
        <f>EEFF!C102</f>
        <v>3966720</v>
      </c>
      <c r="D99" s="111">
        <f>EEFF!D102</f>
        <v>3099580</v>
      </c>
      <c r="E99" s="88"/>
      <c r="F99" s="111">
        <f>EEFF!F102</f>
        <v>0</v>
      </c>
      <c r="G99" s="91"/>
      <c r="H99" s="88"/>
      <c r="I99" s="88"/>
      <c r="J99" s="88"/>
      <c r="K99" s="88"/>
    </row>
    <row r="100">
      <c r="A100" s="106" t="s">
        <v>106</v>
      </c>
      <c r="B100" s="111">
        <f>EEFF!B103</f>
        <v>4129771</v>
      </c>
      <c r="C100" s="111">
        <f>EEFF!C103</f>
        <v>3054770</v>
      </c>
      <c r="D100" s="111">
        <f>EEFF!D103</f>
        <v>3753169</v>
      </c>
      <c r="E100" s="111">
        <f>EEFF!E103</f>
        <v>0</v>
      </c>
      <c r="F100" s="111">
        <f>EEFF!F103</f>
        <v>0</v>
      </c>
      <c r="G100" s="91"/>
      <c r="H100" s="88"/>
      <c r="I100" s="88"/>
      <c r="J100" s="88"/>
      <c r="K100" s="88"/>
    </row>
    <row r="101">
      <c r="A101" s="106" t="s">
        <v>107</v>
      </c>
      <c r="B101" s="111">
        <f>EEFF!B104</f>
        <v>118508679</v>
      </c>
      <c r="C101" s="111">
        <f>EEFF!C104</f>
        <v>124513198</v>
      </c>
      <c r="D101" s="111">
        <f>EEFF!D104</f>
        <v>141770551</v>
      </c>
      <c r="E101" s="111">
        <f>EEFF!E104</f>
        <v>4226363</v>
      </c>
      <c r="F101" s="111">
        <f>EEFF!F104</f>
        <v>4212226</v>
      </c>
      <c r="G101" s="112">
        <f>F101</f>
        <v>4212226</v>
      </c>
      <c r="H101" s="110">
        <f>G101</f>
        <v>4212226</v>
      </c>
      <c r="I101" s="110">
        <f>H101</f>
        <v>4212226</v>
      </c>
      <c r="J101" s="110">
        <f>I101</f>
        <v>4212226</v>
      </c>
      <c r="K101" s="110">
        <f>J101</f>
        <v>4212226</v>
      </c>
    </row>
    <row r="102">
      <c r="A102" s="95" t="s">
        <v>108</v>
      </c>
      <c r="B102" s="89">
        <f>EEFF!B105</f>
        <v>222704395</v>
      </c>
      <c r="C102" s="89">
        <f>EEFF!C105</f>
        <v>219471188</v>
      </c>
      <c r="D102" s="89">
        <f>EEFF!D105</f>
        <v>257950943</v>
      </c>
      <c r="E102" s="89">
        <f>EEFF!E105</f>
        <v>0</v>
      </c>
      <c r="F102" s="89">
        <f>EEFF!F105</f>
        <v>0</v>
      </c>
      <c r="G102" s="92"/>
      <c r="H102" s="100"/>
      <c r="I102" s="100"/>
      <c r="J102" s="100"/>
      <c r="K102" s="100"/>
    </row>
    <row r="103">
      <c r="A103" s="95" t="s">
        <v>109</v>
      </c>
      <c r="B103" s="89">
        <f>EEFF!B106</f>
        <v>2137495289</v>
      </c>
      <c r="C103" s="89">
        <f>EEFF!C106</f>
        <v>2294825394</v>
      </c>
      <c r="D103" s="89">
        <f>EEFF!D106</f>
        <v>2377500871</v>
      </c>
      <c r="E103" s="89">
        <f>EEFF!E106</f>
        <v>0</v>
      </c>
      <c r="F103" s="89">
        <f>EEFF!F106</f>
        <v>0</v>
      </c>
      <c r="G103" s="92"/>
      <c r="H103" s="100"/>
      <c r="I103" s="100"/>
      <c r="J103" s="100"/>
      <c r="K103" s="100"/>
    </row>
    <row r="104">
      <c r="A104" s="106" t="s">
        <v>110</v>
      </c>
      <c r="B104" s="111">
        <f>EEFF!B107</f>
        <v>0</v>
      </c>
      <c r="C104" s="111">
        <f>EEFF!C107</f>
        <v>0</v>
      </c>
      <c r="D104" s="111">
        <f>EEFF!D107</f>
        <v>0</v>
      </c>
      <c r="E104" s="111">
        <f>EEFF!E107</f>
        <v>547180881</v>
      </c>
      <c r="F104" s="111">
        <f>EEFF!F107</f>
        <v>516579461</v>
      </c>
      <c r="G104" s="112">
        <f>F104</f>
        <v>516579461</v>
      </c>
      <c r="H104" s="110">
        <f>G104</f>
        <v>516579461</v>
      </c>
      <c r="I104" s="110">
        <f>H104</f>
        <v>516579461</v>
      </c>
      <c r="J104" s="110">
        <f>I104</f>
        <v>516579461</v>
      </c>
      <c r="K104" s="110">
        <f>J104</f>
        <v>516579461</v>
      </c>
    </row>
    <row r="105">
      <c r="A105" s="106" t="s">
        <v>111</v>
      </c>
      <c r="B105" s="111">
        <f>EEFF!B108</f>
        <v>0</v>
      </c>
      <c r="C105" s="111">
        <f>EEFF!C108</f>
        <v>0</v>
      </c>
      <c r="D105" s="111">
        <f>EEFF!D108</f>
        <v>0</v>
      </c>
      <c r="E105" s="111">
        <f>EEFF!E108</f>
        <v>36801772</v>
      </c>
      <c r="F105" s="111">
        <f>EEFF!F108</f>
        <v>35259752</v>
      </c>
      <c r="G105" s="112">
        <f>F105</f>
        <v>35259752</v>
      </c>
      <c r="H105" s="110">
        <f>G105</f>
        <v>35259752</v>
      </c>
      <c r="I105" s="110">
        <f>H105</f>
        <v>35259752</v>
      </c>
      <c r="J105" s="110">
        <f>I105</f>
        <v>35259752</v>
      </c>
      <c r="K105" s="110">
        <f>J105</f>
        <v>35259752</v>
      </c>
    </row>
    <row r="106">
      <c r="A106" s="106" t="s">
        <v>112</v>
      </c>
      <c r="B106" s="111">
        <f>EEFF!B109</f>
        <v>0</v>
      </c>
      <c r="C106" s="111">
        <f>EEFF!C109</f>
        <v>0</v>
      </c>
      <c r="D106" s="111">
        <f>EEFF!D109</f>
        <v>0</v>
      </c>
      <c r="E106" s="111">
        <f>EEFF!E109</f>
        <v>12023119</v>
      </c>
      <c r="F106" s="111">
        <f>EEFF!F109</f>
        <v>11217392</v>
      </c>
      <c r="G106" s="112">
        <f>F106</f>
        <v>11217392</v>
      </c>
      <c r="H106" s="110">
        <f>G106</f>
        <v>11217392</v>
      </c>
      <c r="I106" s="110">
        <f>H106</f>
        <v>11217392</v>
      </c>
      <c r="J106" s="110">
        <f>I106</f>
        <v>11217392</v>
      </c>
      <c r="K106" s="110">
        <f>J106</f>
        <v>11217392</v>
      </c>
    </row>
    <row r="107">
      <c r="A107" s="106" t="s">
        <v>113</v>
      </c>
      <c r="B107" s="111">
        <f>EEFF!B110</f>
        <v>0</v>
      </c>
      <c r="C107" s="111">
        <f>EEFF!C110</f>
        <v>0</v>
      </c>
      <c r="D107" s="111">
        <f>EEFF!D110</f>
        <v>0</v>
      </c>
      <c r="E107" s="111">
        <f>EEFF!E110</f>
        <v>109264472</v>
      </c>
      <c r="F107" s="111">
        <f>EEFF!F110</f>
        <v>121471316</v>
      </c>
      <c r="G107" s="112">
        <f>F107</f>
        <v>121471316</v>
      </c>
      <c r="H107" s="110">
        <f>G107</f>
        <v>121471316</v>
      </c>
      <c r="I107" s="110">
        <f>H107</f>
        <v>121471316</v>
      </c>
      <c r="J107" s="110">
        <f>I107</f>
        <v>121471316</v>
      </c>
      <c r="K107" s="110">
        <f>J107</f>
        <v>121471316</v>
      </c>
    </row>
    <row r="108">
      <c r="A108" s="106" t="s">
        <v>114</v>
      </c>
      <c r="B108" s="111">
        <f>EEFF!B111</f>
        <v>0</v>
      </c>
      <c r="C108" s="111">
        <f>EEFF!C111</f>
        <v>0</v>
      </c>
      <c r="D108" s="111">
        <f>EEFF!D111</f>
        <v>0</v>
      </c>
      <c r="E108" s="111">
        <f>EEFF!E111</f>
        <v>3812786</v>
      </c>
      <c r="F108" s="111">
        <f>EEFF!F111</f>
        <v>3080550</v>
      </c>
      <c r="G108" s="112">
        <f>F108</f>
        <v>3080550</v>
      </c>
      <c r="H108" s="110">
        <f>G108</f>
        <v>3080550</v>
      </c>
      <c r="I108" s="110">
        <f>H108</f>
        <v>3080550</v>
      </c>
      <c r="J108" s="110">
        <f>I108</f>
        <v>3080550</v>
      </c>
      <c r="K108" s="110">
        <f>J108</f>
        <v>3080550</v>
      </c>
    </row>
    <row r="109">
      <c r="A109" s="106" t="s">
        <v>115</v>
      </c>
      <c r="B109" s="111">
        <f>EEFF!B112</f>
        <v>0</v>
      </c>
      <c r="C109" s="111">
        <f>EEFF!C112</f>
        <v>0</v>
      </c>
      <c r="D109" s="111">
        <f>EEFF!D112</f>
        <v>0</v>
      </c>
      <c r="E109" s="111">
        <f>EEFF!E112</f>
        <v>2859154</v>
      </c>
      <c r="F109" s="111">
        <f>EEFF!F112</f>
        <v>3804076</v>
      </c>
      <c r="G109" s="112">
        <f>F109</f>
        <v>3804076</v>
      </c>
      <c r="H109" s="110">
        <f>G109</f>
        <v>3804076</v>
      </c>
      <c r="I109" s="110">
        <f>H109</f>
        <v>3804076</v>
      </c>
      <c r="J109" s="110">
        <f>I109</f>
        <v>3804076</v>
      </c>
      <c r="K109" s="110">
        <f>J109</f>
        <v>3804076</v>
      </c>
    </row>
    <row r="110">
      <c r="A110" s="106" t="s">
        <v>116</v>
      </c>
      <c r="B110" s="111">
        <f>EEFF!B113</f>
        <v>0</v>
      </c>
      <c r="C110" s="111">
        <f>EEFF!C113</f>
        <v>0</v>
      </c>
      <c r="D110" s="111">
        <f>EEFF!D113</f>
        <v>0</v>
      </c>
      <c r="E110" s="111">
        <f>EEFF!E113</f>
        <v>957370878</v>
      </c>
      <c r="F110" s="111">
        <f>EEFF!F113</f>
        <v>0</v>
      </c>
      <c r="G110" s="112">
        <f>F110</f>
        <v>0</v>
      </c>
      <c r="H110" s="110">
        <f>G110</f>
        <v>0</v>
      </c>
      <c r="I110" s="110">
        <f>H110</f>
        <v>0</v>
      </c>
      <c r="J110" s="110">
        <f>I110</f>
        <v>0</v>
      </c>
      <c r="K110" s="110">
        <f>J110</f>
        <v>0</v>
      </c>
    </row>
    <row r="111">
      <c r="A111" s="95" t="s">
        <v>117</v>
      </c>
      <c r="B111" s="89">
        <f>EEFF!B114</f>
        <v>0</v>
      </c>
      <c r="C111" s="89">
        <f>EEFF!C114</f>
        <v>0</v>
      </c>
      <c r="D111" s="89">
        <f>EEFF!D114</f>
        <v>0</v>
      </c>
      <c r="E111" s="89">
        <f>EEFF!E114</f>
        <v>1673539425</v>
      </c>
      <c r="F111" s="89">
        <f>EEFF!F114</f>
        <v>695624773</v>
      </c>
      <c r="G111" s="92">
        <f>F111</f>
        <v>695624773</v>
      </c>
      <c r="H111" s="100">
        <f>G111</f>
        <v>695624773</v>
      </c>
      <c r="I111" s="100">
        <f>H111</f>
        <v>695624773</v>
      </c>
      <c r="J111" s="100">
        <f>I111</f>
        <v>695624773</v>
      </c>
      <c r="K111" s="100">
        <f>J111</f>
        <v>695624773</v>
      </c>
    </row>
    <row r="112">
      <c r="A112" s="106" t="s">
        <v>118</v>
      </c>
      <c r="B112" s="111">
        <f>EEFF!B115</f>
        <v>64323182</v>
      </c>
      <c r="C112" s="111">
        <f>EEFF!C115</f>
        <v>64317683</v>
      </c>
      <c r="D112" s="111">
        <f>EEFF!D115</f>
        <v>64019895</v>
      </c>
      <c r="E112" s="111">
        <f>EEFF!E115</f>
        <v>0</v>
      </c>
      <c r="F112" s="111">
        <f>EEFF!F115</f>
        <v>0</v>
      </c>
      <c r="G112" s="91"/>
      <c r="H112" s="88"/>
      <c r="I112" s="88"/>
      <c r="J112" s="88"/>
      <c r="K112" s="88"/>
    </row>
    <row r="113">
      <c r="A113" s="106" t="s">
        <v>119</v>
      </c>
      <c r="B113" s="111">
        <f>EEFF!B116</f>
        <v>0</v>
      </c>
      <c r="C113" s="111">
        <f>EEFF!C116</f>
        <v>0</v>
      </c>
      <c r="D113" s="111">
        <f>EEFF!D116</f>
        <v>0</v>
      </c>
      <c r="E113" s="111">
        <f>EEFF!E116</f>
        <v>61240955</v>
      </c>
      <c r="F113" s="111">
        <f>EEFF!F116</f>
        <v>67545147</v>
      </c>
      <c r="G113" s="112">
        <f>F113</f>
        <v>67545147</v>
      </c>
      <c r="H113" s="110">
        <f>G113</f>
        <v>67545147</v>
      </c>
      <c r="I113" s="110">
        <f>H113</f>
        <v>67545147</v>
      </c>
      <c r="J113" s="110">
        <f>I113</f>
        <v>67545147</v>
      </c>
      <c r="K113" s="110">
        <f>J113</f>
        <v>67545147</v>
      </c>
    </row>
    <row r="114">
      <c r="A114" s="106" t="s">
        <v>120</v>
      </c>
      <c r="B114" s="111">
        <f>EEFF!B117</f>
        <v>2466961</v>
      </c>
      <c r="C114" s="111">
        <f>EEFF!C117</f>
        <v>3297592</v>
      </c>
      <c r="D114" s="111">
        <f>EEFF!D117</f>
        <v>4097976</v>
      </c>
      <c r="E114" s="111">
        <f>EEFF!E117</f>
        <v>4565668</v>
      </c>
      <c r="F114" s="111">
        <f>EEFF!F117</f>
        <v>2556354</v>
      </c>
      <c r="G114" s="112">
        <f>F114</f>
        <v>2556354</v>
      </c>
      <c r="H114" s="110">
        <f>G114</f>
        <v>2556354</v>
      </c>
      <c r="I114" s="110">
        <f>H114</f>
        <v>2556354</v>
      </c>
      <c r="J114" s="110">
        <f>I114</f>
        <v>2556354</v>
      </c>
      <c r="K114" s="110">
        <f>J114</f>
        <v>2556354</v>
      </c>
    </row>
    <row r="115">
      <c r="A115" s="106" t="s">
        <v>121</v>
      </c>
      <c r="B115" s="111">
        <f>EEFF!B118</f>
        <v>621098362</v>
      </c>
      <c r="C115" s="111">
        <f>EEFF!C118</f>
        <v>590516262</v>
      </c>
      <c r="D115" s="111">
        <f>EEFF!D118</f>
        <v>675316259</v>
      </c>
      <c r="E115" s="111">
        <f>EEFF!E118</f>
        <v>755623881</v>
      </c>
      <c r="F115" s="111">
        <f>EEFF!F118</f>
        <v>981253106</v>
      </c>
      <c r="G115" s="112">
        <f>F115</f>
        <v>981253106</v>
      </c>
      <c r="H115" s="110">
        <f>G115</f>
        <v>981253106</v>
      </c>
      <c r="I115" s="110">
        <f>H115</f>
        <v>981253106</v>
      </c>
      <c r="J115" s="110">
        <f>I115</f>
        <v>981253106</v>
      </c>
      <c r="K115" s="110">
        <f>J115</f>
        <v>981253106</v>
      </c>
    </row>
    <row r="116">
      <c r="A116" s="106" t="s">
        <v>122</v>
      </c>
      <c r="B116" s="111">
        <f>EEFF!B119</f>
        <v>-56009308</v>
      </c>
      <c r="C116" s="111">
        <f>EEFF!C119</f>
        <v>-59200677</v>
      </c>
      <c r="D116" s="111">
        <f>EEFF!D119</f>
        <v>-52014239</v>
      </c>
      <c r="E116" s="111">
        <f>EEFF!E119</f>
        <v>0</v>
      </c>
      <c r="F116" s="111">
        <f>EEFF!F119</f>
        <v>0</v>
      </c>
      <c r="G116" s="91"/>
      <c r="H116" s="88"/>
      <c r="I116" s="88"/>
      <c r="J116" s="88"/>
      <c r="K116" s="88"/>
    </row>
    <row r="117">
      <c r="A117" s="106" t="s">
        <v>123</v>
      </c>
      <c r="B117" s="111">
        <f>EEFF!B120</f>
        <v>0</v>
      </c>
      <c r="C117" s="111">
        <f>EEFF!C120</f>
        <v>0</v>
      </c>
      <c r="D117" s="111">
        <f>EEFF!D120</f>
        <v>0</v>
      </c>
      <c r="E117" s="111">
        <f>EEFF!E120</f>
        <v>56851213</v>
      </c>
      <c r="F117" s="111">
        <f>EEFF!F120</f>
        <v>0</v>
      </c>
      <c r="G117" s="112">
        <f>F117</f>
        <v>0</v>
      </c>
      <c r="H117" s="110">
        <f>G117</f>
        <v>0</v>
      </c>
      <c r="I117" s="110">
        <f>H117</f>
        <v>0</v>
      </c>
      <c r="J117" s="110">
        <f>I117</f>
        <v>0</v>
      </c>
      <c r="K117" s="110">
        <f>J117</f>
        <v>0</v>
      </c>
    </row>
    <row r="118">
      <c r="A118" s="106" t="s">
        <v>124</v>
      </c>
      <c r="B118" s="111">
        <f>EEFF!B121</f>
        <v>396826740</v>
      </c>
      <c r="C118" s="111">
        <f>EEFF!C121</f>
        <v>417817320</v>
      </c>
      <c r="D118" s="111">
        <f>EEFF!D121</f>
        <v>459956566</v>
      </c>
      <c r="E118" s="111">
        <f>EEFF!E121</f>
        <v>493209083</v>
      </c>
      <c r="F118" s="111">
        <f>EEFF!F121</f>
        <v>528426980</v>
      </c>
      <c r="G118" s="112">
        <f>F118</f>
        <v>528426980</v>
      </c>
      <c r="H118" s="110">
        <f>G118</f>
        <v>528426980</v>
      </c>
      <c r="I118" s="110">
        <f>H118</f>
        <v>528426980</v>
      </c>
      <c r="J118" s="110">
        <f>I118</f>
        <v>528426980</v>
      </c>
      <c r="K118" s="110">
        <f>J118</f>
        <v>528426980</v>
      </c>
    </row>
    <row r="119">
      <c r="A119" s="95" t="s">
        <v>125</v>
      </c>
      <c r="B119" s="89">
        <f>EEFF!B122</f>
        <v>1028705937</v>
      </c>
      <c r="C119" s="89">
        <f>EEFF!C122</f>
        <v>1016748180</v>
      </c>
      <c r="D119" s="89">
        <f>EEFF!D122</f>
        <v>1151376457</v>
      </c>
      <c r="E119" s="89">
        <f>EEFF!E122</f>
        <v>1371490800</v>
      </c>
      <c r="F119" s="89">
        <f>EEFF!F122</f>
        <v>1579781587</v>
      </c>
      <c r="G119" s="92">
        <f>F119</f>
        <v>1579781587</v>
      </c>
      <c r="H119" s="100">
        <f>G119</f>
        <v>1579781587</v>
      </c>
      <c r="I119" s="100">
        <f>H119</f>
        <v>1579781587</v>
      </c>
      <c r="J119" s="100">
        <f>I119</f>
        <v>1579781587</v>
      </c>
      <c r="K119" s="100">
        <f>J119</f>
        <v>1579781587</v>
      </c>
    </row>
    <row r="120">
      <c r="A120" s="106" t="s">
        <v>126</v>
      </c>
      <c r="B120" s="111">
        <f>EEFF!B123</f>
        <v>64459404</v>
      </c>
      <c r="C120" s="111">
        <f>EEFF!C123</f>
        <v>60836119</v>
      </c>
      <c r="D120" s="111">
        <f>EEFF!D123</f>
        <v>65873035</v>
      </c>
      <c r="E120" s="111">
        <f>EEFF!E123</f>
        <v>74500426</v>
      </c>
      <c r="F120" s="111">
        <f>EEFF!F123</f>
        <v>43345751</v>
      </c>
      <c r="G120" s="112">
        <f>F120</f>
        <v>43345751</v>
      </c>
      <c r="H120" s="110">
        <f>G120</f>
        <v>43345751</v>
      </c>
      <c r="I120" s="110">
        <f>H120</f>
        <v>43345751</v>
      </c>
      <c r="J120" s="110">
        <f>I120</f>
        <v>43345751</v>
      </c>
      <c r="K120" s="110">
        <f>J120</f>
        <v>43345751</v>
      </c>
    </row>
    <row r="121">
      <c r="A121" s="95" t="s">
        <v>127</v>
      </c>
      <c r="B121" s="89">
        <f>EEFF!B124</f>
        <v>1093165341</v>
      </c>
      <c r="C121" s="89">
        <f>EEFF!C124</f>
        <v>1077584299</v>
      </c>
      <c r="D121" s="89">
        <f>EEFF!D124</f>
        <v>1217249492</v>
      </c>
      <c r="E121" s="89">
        <f>EEFF!E124</f>
        <v>1445991226</v>
      </c>
      <c r="F121" s="89">
        <f>EEFF!F124</f>
        <v>1623127338</v>
      </c>
      <c r="G121" s="92">
        <f>F121</f>
        <v>1623127338</v>
      </c>
      <c r="H121" s="100">
        <f>G121</f>
        <v>1623127338</v>
      </c>
      <c r="I121" s="100">
        <f>H121</f>
        <v>1623127338</v>
      </c>
      <c r="J121" s="100">
        <f>I121</f>
        <v>1623127338</v>
      </c>
      <c r="K121" s="100">
        <f>J121</f>
        <v>1623127338</v>
      </c>
    </row>
    <row r="122">
      <c r="A122" s="95" t="s">
        <v>128</v>
      </c>
      <c r="B122" s="89">
        <f>EEFF!B125</f>
        <v>3230660630</v>
      </c>
      <c r="C122" s="89">
        <f>EEFF!C125</f>
        <v>3372409693</v>
      </c>
      <c r="D122" s="89">
        <f>EEFF!D125</f>
        <v>3594750363</v>
      </c>
      <c r="E122" s="89">
        <f>EEFF!E125</f>
        <v>3119530651</v>
      </c>
      <c r="F122" s="89">
        <f>EEFF!F125</f>
        <v>2318752111</v>
      </c>
      <c r="G122" s="92">
        <f>F122</f>
        <v>2318752111</v>
      </c>
      <c r="H122" s="100">
        <f>G122</f>
        <v>2318752111</v>
      </c>
      <c r="I122" s="100">
        <f>H122</f>
        <v>2318752111</v>
      </c>
      <c r="J122" s="100">
        <f>I122</f>
        <v>2318752111</v>
      </c>
      <c r="K122" s="100">
        <f>J122</f>
        <v>2318752111</v>
      </c>
    </row>
    <row r="123">
      <c r="A123" s="96"/>
      <c r="B123" s="96"/>
      <c r="C123" s="96"/>
      <c r="D123" s="96"/>
      <c r="E123" s="96"/>
      <c r="F123" s="96"/>
      <c r="G123" s="105"/>
      <c r="H123" s="96"/>
      <c r="I123" s="96"/>
      <c r="J123" s="96"/>
      <c r="K123" s="96"/>
    </row>
    <row r="124">
      <c r="A124" s="108" t="s">
        <v>3</v>
      </c>
      <c r="B124" s="98" t="s">
        <v>4</v>
      </c>
      <c r="C124" s="98" t="s">
        <v>5</v>
      </c>
      <c r="D124" s="98" t="s">
        <v>6</v>
      </c>
      <c r="E124" s="98" t="s">
        <v>7</v>
      </c>
      <c r="F124" s="98" t="s">
        <v>8</v>
      </c>
      <c r="G124" s="115" t="s">
        <v>9</v>
      </c>
      <c r="H124" s="94" t="s">
        <v>10</v>
      </c>
      <c r="I124" s="94" t="s">
        <v>11</v>
      </c>
      <c r="J124" s="94" t="s">
        <v>12</v>
      </c>
      <c r="K124" s="94" t="s">
        <v>13</v>
      </c>
    </row>
    <row r="125">
      <c r="A125" s="108" t="s">
        <v>129</v>
      </c>
      <c r="B125" s="103"/>
      <c r="C125" s="103"/>
      <c r="D125" s="103"/>
      <c r="E125" s="103"/>
      <c r="F125" s="103"/>
      <c r="G125" s="102"/>
      <c r="H125" s="93"/>
      <c r="I125" s="93"/>
      <c r="J125" s="93"/>
      <c r="K125" s="93"/>
    </row>
    <row r="126">
      <c r="A126" s="95" t="s">
        <v>75</v>
      </c>
      <c r="B126" s="89">
        <f>EEFF!B130</f>
        <v>81848589</v>
      </c>
      <c r="C126" s="89">
        <f>EEFF!C130</f>
        <v>61993104</v>
      </c>
      <c r="D126" s="89">
        <f>EEFF!D130</f>
        <v>96131302</v>
      </c>
      <c r="E126" s="89">
        <f>EEFF!E130</f>
        <v>124645797</v>
      </c>
      <c r="F126" s="89">
        <f>EEFF!F130</f>
        <v>167153843</v>
      </c>
      <c r="G126" s="92">
        <f>F126</f>
        <v>167153843</v>
      </c>
      <c r="H126" s="100">
        <f>G126</f>
        <v>167153843</v>
      </c>
      <c r="I126" s="100">
        <f>H126</f>
        <v>167153843</v>
      </c>
      <c r="J126" s="100">
        <f>I126</f>
        <v>167153843</v>
      </c>
      <c r="K126" s="100">
        <f>J126</f>
        <v>167153843</v>
      </c>
    </row>
    <row r="127">
      <c r="A127" s="106" t="s">
        <v>130</v>
      </c>
      <c r="B127" s="111">
        <f>EEFF!B131</f>
        <v>6393929</v>
      </c>
      <c r="C127" s="111">
        <f>EEFF!C131</f>
        <v>7352476</v>
      </c>
      <c r="D127" s="111">
        <f>EEFF!D131</f>
        <v>6753787</v>
      </c>
      <c r="E127" s="88"/>
      <c r="F127" s="111">
        <f>EEFF!F131</f>
        <v>0</v>
      </c>
      <c r="G127" s="91"/>
      <c r="H127" s="88"/>
      <c r="I127" s="88"/>
      <c r="J127" s="88"/>
      <c r="K127" s="88"/>
    </row>
    <row r="128">
      <c r="A128" s="106" t="s">
        <v>131</v>
      </c>
      <c r="B128" s="111">
        <f>EEFF!B132</f>
        <v>5044764</v>
      </c>
      <c r="C128" s="111">
        <f>EEFF!C132</f>
        <v>4929115</v>
      </c>
      <c r="D128" s="111">
        <f>EEFF!D132</f>
        <v>5165439</v>
      </c>
      <c r="E128" s="88"/>
      <c r="F128" s="111">
        <f>EEFF!F132</f>
        <v>0</v>
      </c>
      <c r="G128" s="91"/>
      <c r="H128" s="88"/>
      <c r="I128" s="88"/>
      <c r="J128" s="88"/>
      <c r="K128" s="88"/>
    </row>
    <row r="129">
      <c r="A129" s="106" t="s">
        <v>132</v>
      </c>
      <c r="B129" s="111">
        <f>EEFF!B133</f>
        <v>1404847</v>
      </c>
      <c r="C129" s="111">
        <f>EEFF!C133</f>
        <v>1342827</v>
      </c>
      <c r="D129" s="111">
        <f>EEFF!D133</f>
        <v>1378655</v>
      </c>
      <c r="E129" s="88"/>
      <c r="F129" s="111">
        <f>EEFF!F133</f>
        <v>0</v>
      </c>
      <c r="G129" s="91"/>
      <c r="H129" s="88"/>
      <c r="I129" s="88"/>
      <c r="J129" s="88"/>
      <c r="K129" s="88"/>
    </row>
    <row r="130">
      <c r="A130" s="106" t="s">
        <v>133</v>
      </c>
      <c r="B130" s="111">
        <f>EEFF!B134</f>
        <v>-2013784</v>
      </c>
      <c r="C130" s="111">
        <f>EEFF!C134</f>
        <v>240213</v>
      </c>
      <c r="D130" s="111">
        <f>EEFF!D134</f>
        <v>-63303</v>
      </c>
      <c r="E130" s="111">
        <f>EEFF!E134</f>
        <v>0</v>
      </c>
      <c r="F130" s="111">
        <f>EEFF!F134</f>
        <v>0</v>
      </c>
      <c r="G130" s="91"/>
      <c r="H130" s="88"/>
      <c r="I130" s="88"/>
      <c r="J130" s="88"/>
      <c r="K130" s="88"/>
    </row>
    <row r="131">
      <c r="A131" s="106" t="s">
        <v>134</v>
      </c>
      <c r="B131" s="111">
        <f>EEFF!B135</f>
        <v>-6681944</v>
      </c>
      <c r="C131" s="111">
        <f>EEFF!C135</f>
        <v>14025402</v>
      </c>
      <c r="D131" s="111">
        <f>EEFF!D135</f>
        <v>-5542980</v>
      </c>
      <c r="E131" s="111">
        <f>EEFF!E135</f>
        <v>0</v>
      </c>
      <c r="F131" s="111">
        <f>EEFF!F135</f>
        <v>0</v>
      </c>
      <c r="G131" s="91"/>
      <c r="H131" s="88"/>
      <c r="I131" s="88"/>
      <c r="J131" s="88"/>
      <c r="K131" s="88"/>
    </row>
    <row r="132">
      <c r="A132" s="106" t="s">
        <v>135</v>
      </c>
      <c r="B132" s="111">
        <f>EEFF!B136</f>
        <v>254435</v>
      </c>
      <c r="C132" s="111">
        <f>EEFF!C136</f>
        <v>188193</v>
      </c>
      <c r="D132" s="111">
        <f>EEFF!D136</f>
        <v>144114</v>
      </c>
      <c r="E132" s="88"/>
      <c r="F132" s="111">
        <f>EEFF!F136</f>
        <v>0</v>
      </c>
      <c r="G132" s="91"/>
      <c r="H132" s="88"/>
      <c r="I132" s="88"/>
      <c r="J132" s="88"/>
      <c r="K132" s="88"/>
    </row>
    <row r="133">
      <c r="A133" s="106" t="s">
        <v>136</v>
      </c>
      <c r="B133" s="111">
        <f>EEFF!B137</f>
        <v>125836</v>
      </c>
      <c r="C133" s="111">
        <f>EEFF!C137</f>
        <v>582779</v>
      </c>
      <c r="D133" s="111">
        <f>EEFF!D137</f>
        <v>-1442923</v>
      </c>
      <c r="E133" s="111">
        <f>EEFF!E137</f>
        <v>0</v>
      </c>
      <c r="F133" s="111">
        <f>EEFF!F137</f>
        <v>0</v>
      </c>
      <c r="G133" s="91"/>
      <c r="H133" s="88"/>
      <c r="I133" s="88"/>
      <c r="J133" s="88"/>
      <c r="K133" s="88"/>
    </row>
    <row r="134">
      <c r="A134" s="106" t="s">
        <v>29</v>
      </c>
      <c r="B134" s="111">
        <f>EEFF!B138</f>
        <v>143340</v>
      </c>
      <c r="C134" s="111">
        <f>EEFF!C138</f>
        <v>1327507</v>
      </c>
      <c r="D134" s="111">
        <f>EEFF!D138</f>
        <v>1113601</v>
      </c>
      <c r="E134" s="88"/>
      <c r="F134" s="111">
        <f>EEFF!F138</f>
        <v>0</v>
      </c>
      <c r="G134" s="91"/>
      <c r="H134" s="88"/>
      <c r="I134" s="88"/>
      <c r="J134" s="88"/>
      <c r="K134" s="88"/>
    </row>
    <row r="135">
      <c r="A135" s="106" t="s">
        <v>38</v>
      </c>
      <c r="B135" s="111">
        <f>EEFF!B139</f>
        <v>4291456</v>
      </c>
      <c r="C135" s="111">
        <f>EEFF!C139</f>
        <v>4626793</v>
      </c>
      <c r="D135" s="111">
        <f>EEFF!D139</f>
        <v>7316131</v>
      </c>
      <c r="E135" s="88"/>
      <c r="F135" s="111">
        <f>EEFF!F139</f>
        <v>0</v>
      </c>
      <c r="G135" s="91"/>
      <c r="H135" s="88"/>
      <c r="I135" s="88"/>
      <c r="J135" s="88"/>
      <c r="K135" s="88"/>
    </row>
    <row r="136">
      <c r="A136" s="106" t="s">
        <v>137</v>
      </c>
      <c r="B136" s="111">
        <f>EEFF!B140</f>
        <v>0</v>
      </c>
      <c r="C136" s="111">
        <f>EEFF!C140</f>
        <v>0</v>
      </c>
      <c r="D136" s="111">
        <f>EEFF!D140</f>
        <v>18658</v>
      </c>
      <c r="E136" s="88"/>
      <c r="F136" s="111">
        <f>EEFF!F140</f>
        <v>0</v>
      </c>
      <c r="G136" s="91"/>
      <c r="H136" s="88"/>
      <c r="I136" s="88"/>
      <c r="J136" s="88"/>
      <c r="K136" s="88"/>
    </row>
    <row r="137">
      <c r="A137" s="106" t="s">
        <v>138</v>
      </c>
      <c r="B137" s="111">
        <f>EEFF!B141</f>
        <v>9152442</v>
      </c>
      <c r="C137" s="111">
        <f>EEFF!C141</f>
        <v>-3120015</v>
      </c>
      <c r="D137" s="111">
        <f>EEFF!D141</f>
        <v>28420469</v>
      </c>
      <c r="E137" s="88"/>
      <c r="F137" s="111">
        <f>EEFF!F141</f>
        <v>0</v>
      </c>
      <c r="G137" s="91"/>
      <c r="H137" s="88"/>
      <c r="I137" s="88"/>
      <c r="J137" s="88"/>
      <c r="K137" s="88"/>
    </row>
    <row r="138">
      <c r="A138" s="106" t="s">
        <v>139</v>
      </c>
      <c r="B138" s="111">
        <f>EEFF!B142</f>
        <v>10285045</v>
      </c>
      <c r="C138" s="111">
        <f>EEFF!C142</f>
        <v>12525971</v>
      </c>
      <c r="D138" s="111">
        <f>EEFF!D142</f>
        <v>12302706</v>
      </c>
      <c r="E138" s="88"/>
      <c r="F138" s="111">
        <f>EEFF!F142</f>
        <v>0</v>
      </c>
      <c r="G138" s="91"/>
      <c r="H138" s="88"/>
      <c r="I138" s="88"/>
      <c r="J138" s="88"/>
      <c r="K138" s="88"/>
    </row>
    <row r="139">
      <c r="A139" s="106" t="s">
        <v>140</v>
      </c>
      <c r="B139" s="111">
        <f>EEFF!B143</f>
        <v>-9401319</v>
      </c>
      <c r="C139" s="111">
        <f>EEFF!C143</f>
        <v>6820962</v>
      </c>
      <c r="D139" s="111">
        <f>EEFF!D143</f>
        <v>-16095063</v>
      </c>
      <c r="E139" s="88"/>
      <c r="F139" s="111">
        <f>EEFF!F143</f>
        <v>0</v>
      </c>
      <c r="G139" s="91"/>
      <c r="H139" s="88"/>
      <c r="I139" s="88"/>
      <c r="J139" s="88"/>
      <c r="K139" s="88"/>
    </row>
    <row r="140">
      <c r="A140" s="106" t="s">
        <v>141</v>
      </c>
      <c r="B140" s="111">
        <f>EEFF!B144</f>
        <v>-18653980</v>
      </c>
      <c r="C140" s="111">
        <f>EEFF!C144</f>
        <v>97915965</v>
      </c>
      <c r="D140" s="111">
        <f>EEFF!D144</f>
        <v>-76138860</v>
      </c>
      <c r="E140" s="111">
        <f>EEFF!E144</f>
        <v>0</v>
      </c>
      <c r="F140" s="111">
        <f>EEFF!F144</f>
        <v>0</v>
      </c>
      <c r="G140" s="91"/>
      <c r="H140" s="88"/>
      <c r="I140" s="88"/>
      <c r="J140" s="88"/>
      <c r="K140" s="88"/>
    </row>
    <row r="141">
      <c r="A141" s="106" t="s">
        <v>142</v>
      </c>
      <c r="B141" s="111">
        <f>EEFF!B145</f>
        <v>5823359</v>
      </c>
      <c r="C141" s="111">
        <f>EEFF!C145</f>
        <v>-91188195</v>
      </c>
      <c r="D141" s="111">
        <f>EEFF!D145</f>
        <v>74871725</v>
      </c>
      <c r="E141" s="88"/>
      <c r="F141" s="111">
        <f>EEFF!F145</f>
        <v>0</v>
      </c>
      <c r="G141" s="91"/>
      <c r="H141" s="88"/>
      <c r="I141" s="88"/>
      <c r="J141" s="88"/>
      <c r="K141" s="88"/>
    </row>
    <row r="142">
      <c r="A142" s="106" t="s">
        <v>143</v>
      </c>
      <c r="B142" s="111">
        <f>EEFF!B191</f>
        <v>0</v>
      </c>
      <c r="C142" s="111">
        <f>EEFF!C191</f>
        <v>0</v>
      </c>
      <c r="D142" s="111">
        <f>EEFF!D191</f>
        <v>0</v>
      </c>
      <c r="E142" s="111">
        <f>EEFF!E191</f>
        <v>1077041</v>
      </c>
      <c r="F142" s="111">
        <f>EEFF!F191</f>
        <v>-2710156</v>
      </c>
      <c r="G142" s="91"/>
      <c r="H142" s="88"/>
      <c r="I142" s="88"/>
      <c r="J142" s="88"/>
      <c r="K142" s="88"/>
    </row>
    <row r="143">
      <c r="A143" s="106" t="s">
        <v>144</v>
      </c>
      <c r="B143" s="111">
        <f>EEFF!B147</f>
        <v>-117456340</v>
      </c>
      <c r="C143" s="111">
        <f>EEFF!C147</f>
        <v>-122825796</v>
      </c>
      <c r="D143" s="111">
        <f>EEFF!D147</f>
        <v>-122582567</v>
      </c>
      <c r="E143" s="111">
        <f>EEFF!E147</f>
        <v>0</v>
      </c>
      <c r="F143" s="111">
        <f>EEFF!F147</f>
        <v>0</v>
      </c>
      <c r="G143" s="91"/>
      <c r="H143" s="88"/>
      <c r="I143" s="88"/>
      <c r="J143" s="88"/>
      <c r="K143" s="88"/>
    </row>
    <row r="144">
      <c r="A144" s="106" t="s">
        <v>145</v>
      </c>
      <c r="B144" s="111">
        <f>EEFF!B148</f>
        <v>8820280</v>
      </c>
      <c r="C144" s="111">
        <f>EEFF!C148</f>
        <v>11523656</v>
      </c>
      <c r="D144" s="111">
        <f>EEFF!D148</f>
        <v>11895134</v>
      </c>
      <c r="E144" s="88"/>
      <c r="F144" s="111">
        <f>EEFF!F148</f>
        <v>0</v>
      </c>
      <c r="G144" s="91"/>
      <c r="H144" s="88"/>
      <c r="I144" s="88"/>
      <c r="J144" s="88"/>
      <c r="K144" s="88"/>
    </row>
    <row r="145">
      <c r="A145" s="106" t="s">
        <v>146</v>
      </c>
      <c r="B145" s="111">
        <f>EEFF!B149</f>
        <v>3146338</v>
      </c>
      <c r="C145" s="111">
        <f>EEFF!C149</f>
        <v>-182731</v>
      </c>
      <c r="D145" s="111">
        <f>EEFF!D149</f>
        <v>-37660768</v>
      </c>
      <c r="E145" s="88"/>
      <c r="F145" s="111">
        <f>EEFF!F149</f>
        <v>0</v>
      </c>
      <c r="G145" s="91"/>
      <c r="H145" s="88"/>
      <c r="I145" s="88"/>
      <c r="J145" s="88"/>
      <c r="K145" s="88"/>
    </row>
    <row r="146">
      <c r="A146" s="106" t="s">
        <v>147</v>
      </c>
      <c r="B146" s="111">
        <f>EEFF!B150</f>
        <v>-2392048</v>
      </c>
      <c r="C146" s="111">
        <f>EEFF!C150</f>
        <v>-1984105</v>
      </c>
      <c r="D146" s="111">
        <f>EEFF!D150</f>
        <v>5509624</v>
      </c>
      <c r="E146" s="88"/>
      <c r="F146" s="111">
        <f>EEFF!F150</f>
        <v>0</v>
      </c>
      <c r="G146" s="91"/>
      <c r="H146" s="88"/>
      <c r="I146" s="88"/>
      <c r="J146" s="88"/>
      <c r="K146" s="88"/>
    </row>
    <row r="147">
      <c r="A147" s="106" t="s">
        <v>148</v>
      </c>
      <c r="B147" s="111">
        <f>EEFF!B151</f>
        <v>83355339</v>
      </c>
      <c r="C147" s="111">
        <f>EEFF!C151</f>
        <v>-93708033</v>
      </c>
      <c r="D147" s="111">
        <f>EEFF!D151</f>
        <v>-115473654</v>
      </c>
      <c r="E147" s="88"/>
      <c r="F147" s="111">
        <f>EEFF!F151</f>
        <v>0</v>
      </c>
      <c r="G147" s="91"/>
      <c r="H147" s="88"/>
      <c r="I147" s="88"/>
      <c r="J147" s="88"/>
      <c r="K147" s="88"/>
    </row>
    <row r="148">
      <c r="A148" s="106" t="s">
        <v>149</v>
      </c>
      <c r="B148" s="111">
        <f>EEFF!B152</f>
        <v>-3249125</v>
      </c>
      <c r="C148" s="111">
        <f>EEFF!C152</f>
        <v>1823481</v>
      </c>
      <c r="D148" s="111">
        <f>EEFF!D152</f>
        <v>-62343</v>
      </c>
      <c r="E148" s="88"/>
      <c r="F148" s="111">
        <f>EEFF!F152</f>
        <v>0</v>
      </c>
      <c r="G148" s="91"/>
      <c r="H148" s="88"/>
      <c r="I148" s="88"/>
      <c r="J148" s="88"/>
      <c r="K148" s="88"/>
    </row>
    <row r="149">
      <c r="A149" s="106" t="s">
        <v>150</v>
      </c>
      <c r="B149" s="111">
        <f>EEFF!B153</f>
        <v>64237072</v>
      </c>
      <c r="C149" s="111">
        <f>EEFF!C153</f>
        <v>17526009</v>
      </c>
      <c r="D149" s="111">
        <f>EEFF!D153</f>
        <v>95444413</v>
      </c>
      <c r="E149" s="88"/>
      <c r="F149" s="111">
        <f>EEFF!F153</f>
        <v>0</v>
      </c>
      <c r="G149" s="91"/>
      <c r="H149" s="88"/>
      <c r="I149" s="88"/>
      <c r="J149" s="88"/>
      <c r="K149" s="88"/>
    </row>
    <row r="150">
      <c r="A150" s="106" t="s">
        <v>151</v>
      </c>
      <c r="B150" s="111">
        <f>EEFF!B154</f>
        <v>1605513</v>
      </c>
      <c r="C150" s="111">
        <f>EEFF!C154</f>
        <v>-7647528</v>
      </c>
      <c r="D150" s="111">
        <f>EEFF!D154</f>
        <v>21391143</v>
      </c>
      <c r="E150" s="88"/>
      <c r="F150" s="111">
        <f>EEFF!F154</f>
        <v>0</v>
      </c>
      <c r="G150" s="91"/>
      <c r="H150" s="88"/>
      <c r="I150" s="88"/>
      <c r="J150" s="88"/>
      <c r="K150" s="88"/>
    </row>
    <row r="151">
      <c r="A151" s="106" t="s">
        <v>152</v>
      </c>
      <c r="B151" s="111">
        <f>EEFF!B155</f>
        <v>-3664464</v>
      </c>
      <c r="C151" s="111">
        <f>EEFF!C155</f>
        <v>3068156</v>
      </c>
      <c r="D151" s="111">
        <f>EEFF!D155</f>
        <v>14589946</v>
      </c>
      <c r="E151" s="88"/>
      <c r="F151" s="111">
        <f>EEFF!F155</f>
        <v>0</v>
      </c>
      <c r="G151" s="91"/>
      <c r="H151" s="88"/>
      <c r="I151" s="88"/>
      <c r="J151" s="88"/>
      <c r="K151" s="88"/>
    </row>
    <row r="152">
      <c r="A152" s="95" t="s">
        <v>153</v>
      </c>
      <c r="B152" s="89">
        <f>EEFF!B197</f>
        <v>0</v>
      </c>
      <c r="C152" s="89">
        <f>EEFF!C197</f>
        <v>0</v>
      </c>
      <c r="D152" s="89">
        <f>EEFF!D197</f>
        <v>0</v>
      </c>
      <c r="E152" s="89">
        <f>EEFF!E197</f>
        <v>115049866</v>
      </c>
      <c r="F152" s="89">
        <f>EEFF!F197</f>
        <v>214204694</v>
      </c>
      <c r="G152" s="92"/>
      <c r="H152" s="100"/>
      <c r="I152" s="100"/>
      <c r="J152" s="100"/>
      <c r="K152" s="100"/>
    </row>
    <row r="153">
      <c r="A153" s="106" t="s">
        <v>154</v>
      </c>
      <c r="B153" s="111">
        <f>EEFF!B157</f>
        <v>174183962</v>
      </c>
      <c r="C153" s="111">
        <f>EEFF!C157</f>
        <v>176332470</v>
      </c>
      <c r="D153" s="111">
        <f>EEFF!D157</f>
        <v>206608626</v>
      </c>
      <c r="E153" s="88"/>
      <c r="F153" s="111">
        <f>EEFF!F157</f>
        <v>0</v>
      </c>
      <c r="G153" s="91"/>
      <c r="H153" s="88"/>
      <c r="I153" s="88"/>
      <c r="J153" s="88"/>
      <c r="K153" s="88"/>
    </row>
    <row r="154">
      <c r="A154" s="106" t="s">
        <v>155</v>
      </c>
      <c r="B154" s="111">
        <f>EEFF!B158</f>
        <v>-55538352</v>
      </c>
      <c r="C154" s="111">
        <f>EEFF!C158</f>
        <v>-54535740</v>
      </c>
      <c r="D154" s="111">
        <f>EEFF!D158</f>
        <v>-68661941</v>
      </c>
      <c r="E154" s="88"/>
      <c r="F154" s="111">
        <f>EEFF!F158</f>
        <v>0</v>
      </c>
      <c r="G154" s="91"/>
      <c r="H154" s="88"/>
      <c r="I154" s="88"/>
      <c r="J154" s="88"/>
      <c r="K154" s="88"/>
    </row>
    <row r="155">
      <c r="A155" s="106" t="s">
        <v>156</v>
      </c>
      <c r="B155" s="111">
        <f>EEFF!B159</f>
        <v>-4368654</v>
      </c>
      <c r="C155" s="111">
        <f>EEFF!C159</f>
        <v>-9172225</v>
      </c>
      <c r="D155" s="111">
        <f>EEFF!D159</f>
        <v>-9172225</v>
      </c>
      <c r="E155" s="88"/>
      <c r="F155" s="111">
        <f>EEFF!F159</f>
        <v>0</v>
      </c>
      <c r="G155" s="91"/>
      <c r="H155" s="88"/>
      <c r="I155" s="88"/>
      <c r="J155" s="88"/>
      <c r="K155" s="88"/>
    </row>
    <row r="156">
      <c r="A156" s="95" t="s">
        <v>157</v>
      </c>
      <c r="B156" s="89">
        <f>EEFF!B200</f>
        <v>0</v>
      </c>
      <c r="C156" s="89">
        <f>EEFF!C200</f>
        <v>0</v>
      </c>
      <c r="D156" s="89">
        <f>EEFF!D200</f>
        <v>0</v>
      </c>
      <c r="E156" s="89">
        <f>EEFF!E200</f>
        <v>148671111</v>
      </c>
      <c r="F156" s="89">
        <f>EEFF!F200</f>
        <v>252879158</v>
      </c>
      <c r="G156" s="92"/>
      <c r="H156" s="100"/>
      <c r="I156" s="100"/>
      <c r="J156" s="100"/>
      <c r="K156" s="100"/>
    </row>
    <row r="157">
      <c r="A157" s="106" t="s">
        <v>158</v>
      </c>
      <c r="B157" s="111">
        <f>EEFF!B161</f>
        <v>0</v>
      </c>
      <c r="C157" s="111">
        <f>EEFF!C161</f>
        <v>4903870</v>
      </c>
      <c r="D157" s="111">
        <f>EEFF!D161</f>
        <v>0</v>
      </c>
      <c r="E157" s="111">
        <f>EEFF!E161</f>
        <v>0</v>
      </c>
      <c r="F157" s="111">
        <f>EEFF!F161</f>
        <v>0</v>
      </c>
      <c r="G157" s="91"/>
      <c r="H157" s="88"/>
      <c r="I157" s="88"/>
      <c r="J157" s="88"/>
      <c r="K157" s="88"/>
    </row>
    <row r="158">
      <c r="A158" s="106" t="s">
        <v>159</v>
      </c>
      <c r="B158" s="111">
        <f>EEFF!B201</f>
        <v>0</v>
      </c>
      <c r="C158" s="111">
        <f>EEFF!C201</f>
        <v>0</v>
      </c>
      <c r="D158" s="111">
        <f>EEFF!D201</f>
        <v>0</v>
      </c>
      <c r="E158" s="111">
        <f>EEFF!E201</f>
        <v>-220461909</v>
      </c>
      <c r="F158" s="111">
        <f>EEFF!F201</f>
        <v>-213431396</v>
      </c>
      <c r="G158" s="91"/>
      <c r="H158" s="88"/>
      <c r="I158" s="88"/>
      <c r="J158" s="88"/>
      <c r="K158" s="88"/>
    </row>
    <row r="159">
      <c r="A159" s="106" t="s">
        <v>160</v>
      </c>
      <c r="B159" s="111">
        <f>EEFF!B163</f>
        <v>28626168</v>
      </c>
      <c r="C159" s="111">
        <f>EEFF!C163</f>
        <v>64813024</v>
      </c>
      <c r="D159" s="111">
        <f>EEFF!D163</f>
        <v>18328862</v>
      </c>
      <c r="E159" s="88"/>
      <c r="F159" s="111">
        <f>EEFF!F163</f>
        <v>0</v>
      </c>
      <c r="G159" s="91"/>
      <c r="H159" s="88"/>
      <c r="I159" s="88"/>
      <c r="J159" s="88"/>
      <c r="K159" s="88"/>
    </row>
    <row r="160">
      <c r="A160" s="106" t="s">
        <v>161</v>
      </c>
      <c r="B160" s="111">
        <f>EEFF!B164</f>
        <v>1294558964</v>
      </c>
      <c r="C160" s="111">
        <f>EEFF!C164</f>
        <v>930700704</v>
      </c>
      <c r="D160" s="111">
        <f>EEFF!D164</f>
        <v>1044489129</v>
      </c>
      <c r="E160" s="88"/>
      <c r="F160" s="111">
        <f>EEFF!F164</f>
        <v>0</v>
      </c>
      <c r="G160" s="91"/>
      <c r="H160" s="88"/>
      <c r="I160" s="88"/>
      <c r="J160" s="88"/>
      <c r="K160" s="88"/>
    </row>
    <row r="161">
      <c r="A161" s="106" t="s">
        <v>162</v>
      </c>
      <c r="B161" s="111">
        <f>EEFF!B205</f>
        <v>0</v>
      </c>
      <c r="C161" s="111">
        <f>EEFF!C205</f>
        <v>0</v>
      </c>
      <c r="D161" s="111">
        <f>EEFF!D205</f>
        <v>0</v>
      </c>
      <c r="E161" s="111">
        <f>EEFF!E205</f>
        <v>-53276191</v>
      </c>
      <c r="F161" s="111">
        <f>EEFF!F205</f>
        <v>-16483725</v>
      </c>
      <c r="G161" s="91"/>
      <c r="H161" s="88"/>
      <c r="I161" s="88"/>
      <c r="J161" s="88"/>
      <c r="K161" s="88"/>
    </row>
    <row r="162">
      <c r="A162" s="106" t="s">
        <v>163</v>
      </c>
      <c r="B162" s="111">
        <f>EEFF!B166</f>
        <v>-8054</v>
      </c>
      <c r="C162" s="111">
        <f>EEFF!C166</f>
        <v>0</v>
      </c>
      <c r="D162" s="111">
        <f>EEFF!D166</f>
        <v>0</v>
      </c>
      <c r="E162" s="111">
        <f>EEFF!E166</f>
        <v>0</v>
      </c>
      <c r="F162" s="111">
        <f>EEFF!F166</f>
        <v>0</v>
      </c>
      <c r="G162" s="91"/>
      <c r="H162" s="88"/>
      <c r="I162" s="88"/>
      <c r="J162" s="88"/>
      <c r="K162" s="88"/>
    </row>
    <row r="163">
      <c r="A163" s="106" t="s">
        <v>164</v>
      </c>
      <c r="B163" s="111">
        <f>EEFF!B167</f>
        <v>-6513414</v>
      </c>
      <c r="C163" s="111">
        <f>EEFF!C167</f>
        <v>-5720639</v>
      </c>
      <c r="D163" s="111">
        <f>EEFF!D167</f>
        <v>-7104019</v>
      </c>
      <c r="E163" s="88"/>
      <c r="F163" s="111">
        <f>EEFF!F167</f>
        <v>0</v>
      </c>
      <c r="G163" s="91"/>
      <c r="H163" s="88"/>
      <c r="I163" s="88"/>
      <c r="J163" s="88"/>
      <c r="K163" s="88"/>
    </row>
    <row r="164">
      <c r="A164" s="106" t="s">
        <v>165</v>
      </c>
      <c r="B164" s="111">
        <f>EEFF!B207</f>
        <v>0</v>
      </c>
      <c r="C164" s="111">
        <f>EEFF!C207</f>
        <v>0</v>
      </c>
      <c r="D164" s="111">
        <f>EEFF!D207</f>
        <v>0</v>
      </c>
      <c r="E164" s="111">
        <f>EEFF!E207</f>
        <v>-1300489</v>
      </c>
      <c r="F164" s="111">
        <f>EEFF!F207</f>
        <v>-1631813</v>
      </c>
      <c r="G164" s="91"/>
      <c r="H164" s="88"/>
      <c r="I164" s="88"/>
      <c r="J164" s="88"/>
      <c r="K164" s="88"/>
    </row>
    <row r="165">
      <c r="A165" s="106" t="s">
        <v>166</v>
      </c>
      <c r="B165" s="111">
        <f>EEFF!B169</f>
        <v>-1447807</v>
      </c>
      <c r="C165" s="111">
        <f>EEFF!C169</f>
        <v>-3130366</v>
      </c>
      <c r="D165" s="111">
        <f>EEFF!D169</f>
        <v>-3118808</v>
      </c>
      <c r="E165" s="88"/>
      <c r="F165" s="111">
        <f>EEFF!F169</f>
        <v>0</v>
      </c>
      <c r="G165" s="91"/>
      <c r="H165" s="88"/>
      <c r="I165" s="88"/>
      <c r="J165" s="88"/>
      <c r="K165" s="88"/>
    </row>
    <row r="166">
      <c r="A166" s="95" t="s">
        <v>167</v>
      </c>
      <c r="B166" s="89">
        <f>EEFF!B210</f>
        <v>0</v>
      </c>
      <c r="C166" s="89">
        <f>EEFF!C210</f>
        <v>0</v>
      </c>
      <c r="D166" s="89">
        <f>EEFF!D210</f>
        <v>0</v>
      </c>
      <c r="E166" s="89">
        <f>EEFF!E210</f>
        <v>-251917483</v>
      </c>
      <c r="F166" s="89">
        <f>EEFF!F210</f>
        <v>-94811489</v>
      </c>
      <c r="G166" s="92"/>
      <c r="H166" s="100"/>
      <c r="I166" s="100"/>
      <c r="J166" s="100"/>
      <c r="K166" s="100"/>
    </row>
    <row r="167">
      <c r="A167" s="106" t="s">
        <v>168</v>
      </c>
      <c r="B167" s="111">
        <f>EEFF!B171</f>
        <v>1656214</v>
      </c>
      <c r="C167" s="111">
        <f>EEFF!C171</f>
        <v>-5499</v>
      </c>
      <c r="D167" s="111">
        <f>EEFF!D171</f>
        <v>-297788</v>
      </c>
      <c r="E167" s="111">
        <f>EEFF!E171</f>
        <v>0</v>
      </c>
      <c r="F167" s="111">
        <f>EEFF!F171</f>
        <v>0</v>
      </c>
      <c r="G167" s="91"/>
      <c r="H167" s="88"/>
      <c r="I167" s="88"/>
      <c r="J167" s="88"/>
      <c r="K167" s="88"/>
    </row>
    <row r="168">
      <c r="A168" s="106" t="s">
        <v>169</v>
      </c>
      <c r="B168" s="111">
        <f>EEFF!B172</f>
        <v>387206184</v>
      </c>
      <c r="C168" s="111">
        <f>EEFF!C172</f>
        <v>281542115</v>
      </c>
      <c r="D168" s="111">
        <f>EEFF!D172</f>
        <v>240841074</v>
      </c>
      <c r="E168" s="88"/>
      <c r="F168" s="111">
        <f>EEFF!F172</f>
        <v>0</v>
      </c>
      <c r="G168" s="91"/>
      <c r="H168" s="88"/>
      <c r="I168" s="88"/>
      <c r="J168" s="88"/>
      <c r="K168" s="88"/>
    </row>
    <row r="169">
      <c r="A169" s="106" t="s">
        <v>170</v>
      </c>
      <c r="B169" s="111">
        <f>EEFF!B173</f>
        <v>-514919908</v>
      </c>
      <c r="C169" s="111">
        <f>EEFF!C173</f>
        <v>-256219173</v>
      </c>
      <c r="D169" s="111">
        <f>EEFF!D173</f>
        <v>-255139920</v>
      </c>
      <c r="E169" s="88"/>
      <c r="F169" s="111">
        <f>EEFF!F173</f>
        <v>0</v>
      </c>
      <c r="G169" s="91"/>
      <c r="H169" s="88"/>
      <c r="I169" s="88"/>
      <c r="J169" s="88"/>
      <c r="K169" s="88"/>
    </row>
    <row r="170">
      <c r="A170" s="106" t="s">
        <v>171</v>
      </c>
      <c r="B170" s="111">
        <f>EEFF!B174</f>
        <v>0</v>
      </c>
      <c r="C170" s="111">
        <f>EEFF!C174</f>
        <v>10000000</v>
      </c>
      <c r="D170" s="111">
        <f>EEFF!D174</f>
        <v>54514</v>
      </c>
      <c r="E170" s="88"/>
      <c r="F170" s="111">
        <f>EEFF!F174</f>
        <v>0</v>
      </c>
      <c r="G170" s="91"/>
      <c r="H170" s="88"/>
      <c r="I170" s="88"/>
      <c r="J170" s="88"/>
      <c r="K170" s="88"/>
    </row>
    <row r="171">
      <c r="A171" s="106" t="s">
        <v>172</v>
      </c>
      <c r="B171" s="111">
        <f>EEFF!B175</f>
        <v>-1266953</v>
      </c>
      <c r="C171" s="111">
        <f>EEFF!C175</f>
        <v>-1658709</v>
      </c>
      <c r="D171" s="111">
        <f>EEFF!D175</f>
        <v>-1227094</v>
      </c>
      <c r="E171" s="88"/>
      <c r="F171" s="111">
        <f>EEFF!F175</f>
        <v>0</v>
      </c>
      <c r="G171" s="91"/>
      <c r="H171" s="88"/>
      <c r="I171" s="88"/>
      <c r="J171" s="88"/>
      <c r="K171" s="88"/>
    </row>
    <row r="172">
      <c r="A172" s="106" t="s">
        <v>173</v>
      </c>
      <c r="B172" s="111">
        <f>EEFF!B176</f>
        <v>-4350376</v>
      </c>
      <c r="C172" s="111">
        <f>EEFF!C176</f>
        <v>-1853217</v>
      </c>
      <c r="D172" s="111">
        <f>EEFF!D176</f>
        <v>0</v>
      </c>
      <c r="E172" s="111">
        <f>EEFF!E176</f>
        <v>0</v>
      </c>
      <c r="F172" s="111">
        <f>EEFF!F176</f>
        <v>0</v>
      </c>
      <c r="G172" s="91"/>
      <c r="H172" s="88"/>
      <c r="I172" s="88"/>
      <c r="J172" s="88"/>
      <c r="K172" s="88"/>
    </row>
    <row r="173">
      <c r="A173" s="106" t="s">
        <v>174</v>
      </c>
      <c r="B173" s="111">
        <f>EEFF!B177</f>
        <v>-1398750</v>
      </c>
      <c r="C173" s="111">
        <f>EEFF!C177</f>
        <v>-1398750</v>
      </c>
      <c r="D173" s="111">
        <f>EEFF!D177</f>
        <v>-1398750</v>
      </c>
      <c r="E173" s="88"/>
      <c r="F173" s="111">
        <f>EEFF!F177</f>
        <v>0</v>
      </c>
      <c r="G173" s="91"/>
      <c r="H173" s="88"/>
      <c r="I173" s="88"/>
      <c r="J173" s="88"/>
      <c r="K173" s="88"/>
    </row>
    <row r="174">
      <c r="A174" s="106" t="s">
        <v>175</v>
      </c>
      <c r="B174" s="111">
        <f>EEFF!B178</f>
        <v>-30955804</v>
      </c>
      <c r="C174" s="111">
        <f>EEFF!C178</f>
        <v>-34211040</v>
      </c>
      <c r="D174" s="111">
        <f>EEFF!D178</f>
        <v>-44516938</v>
      </c>
      <c r="E174" s="88"/>
      <c r="F174" s="111">
        <f>EEFF!F178</f>
        <v>0</v>
      </c>
      <c r="G174" s="91"/>
      <c r="H174" s="88"/>
      <c r="I174" s="88"/>
      <c r="J174" s="88"/>
      <c r="K174" s="88"/>
    </row>
    <row r="175">
      <c r="A175" s="106" t="s">
        <v>176</v>
      </c>
      <c r="B175" s="111">
        <f>EEFF!B179</f>
        <v>-4275</v>
      </c>
      <c r="C175" s="111">
        <f>EEFF!C179</f>
        <v>0</v>
      </c>
      <c r="D175" s="111">
        <f>EEFF!D179</f>
        <v>0</v>
      </c>
      <c r="E175" s="88"/>
      <c r="F175" s="111">
        <f>EEFF!F179</f>
        <v>0</v>
      </c>
      <c r="G175" s="91"/>
      <c r="H175" s="88"/>
      <c r="I175" s="88"/>
      <c r="J175" s="88"/>
      <c r="K175" s="88"/>
    </row>
    <row r="176">
      <c r="A176" s="106" t="s">
        <v>177</v>
      </c>
      <c r="B176" s="111">
        <f>EEFF!B180</f>
        <v>0</v>
      </c>
      <c r="C176" s="111">
        <f>EEFF!C180</f>
        <v>0</v>
      </c>
      <c r="D176" s="111">
        <f>EEFF!D180</f>
        <v>-125641</v>
      </c>
      <c r="E176" s="111">
        <f>EEFF!E180</f>
        <v>0</v>
      </c>
      <c r="F176" s="111">
        <f>EEFF!F180</f>
        <v>0</v>
      </c>
      <c r="G176" s="91"/>
      <c r="H176" s="88"/>
      <c r="I176" s="88"/>
      <c r="J176" s="88"/>
      <c r="K176" s="88"/>
    </row>
    <row r="177">
      <c r="A177" s="106" t="s">
        <v>178</v>
      </c>
      <c r="B177" s="111">
        <f>EEFF!B181</f>
        <v>0</v>
      </c>
      <c r="C177" s="111">
        <f>EEFF!C181</f>
        <v>-4298212</v>
      </c>
      <c r="D177" s="111">
        <f>EEFF!D181</f>
        <v>0</v>
      </c>
      <c r="E177" s="111">
        <f>EEFF!E181</f>
        <v>0</v>
      </c>
      <c r="F177" s="111">
        <f>EEFF!F181</f>
        <v>0</v>
      </c>
      <c r="G177" s="91"/>
      <c r="H177" s="88"/>
      <c r="I177" s="88"/>
      <c r="J177" s="88"/>
      <c r="K177" s="88"/>
    </row>
    <row r="178">
      <c r="A178" s="95" t="s">
        <v>179</v>
      </c>
      <c r="B178" s="89">
        <f>EEFF!B182</f>
        <v>-164033668</v>
      </c>
      <c r="C178" s="89">
        <f>EEFF!C182</f>
        <v>-8102485</v>
      </c>
      <c r="D178" s="89">
        <f>EEFF!D182</f>
        <v>-61810543</v>
      </c>
      <c r="E178" s="100"/>
      <c r="F178" s="89">
        <f>EEFF!F182</f>
        <v>0</v>
      </c>
      <c r="G178" s="92"/>
      <c r="H178" s="100"/>
      <c r="I178" s="100"/>
      <c r="J178" s="100"/>
      <c r="K178" s="100"/>
    </row>
    <row r="179">
      <c r="A179" s="106" t="s">
        <v>180</v>
      </c>
      <c r="B179" s="111">
        <f>EEFF!B184</f>
        <v>0</v>
      </c>
      <c r="C179" s="111">
        <f>EEFF!C184</f>
        <v>0</v>
      </c>
      <c r="D179" s="111">
        <f>EEFF!D184</f>
        <v>0</v>
      </c>
      <c r="E179" s="111">
        <f>EEFF!E184</f>
        <v>9177546</v>
      </c>
      <c r="F179" s="111">
        <f>EEFF!F184</f>
        <v>8870196</v>
      </c>
      <c r="G179" s="112">
        <f>F179</f>
        <v>8870196</v>
      </c>
      <c r="H179" s="110">
        <f>G179</f>
        <v>8870196</v>
      </c>
      <c r="I179" s="110">
        <f>H179</f>
        <v>8870196</v>
      </c>
      <c r="J179" s="110">
        <f>I179</f>
        <v>8870196</v>
      </c>
      <c r="K179" s="110">
        <f>J179</f>
        <v>8870196</v>
      </c>
    </row>
    <row r="180">
      <c r="A180" s="106" t="s">
        <v>181</v>
      </c>
      <c r="B180" s="111">
        <f>EEFF!B185</f>
        <v>0</v>
      </c>
      <c r="C180" s="111">
        <f>EEFF!C185</f>
        <v>0</v>
      </c>
      <c r="D180" s="111">
        <f>EEFF!D185</f>
        <v>0</v>
      </c>
      <c r="E180" s="111">
        <f>EEFF!E185</f>
        <v>-72095</v>
      </c>
      <c r="F180" s="111">
        <f>EEFF!F185</f>
        <v>-430979</v>
      </c>
      <c r="G180" s="112">
        <f>F180</f>
        <v>-430979</v>
      </c>
      <c r="H180" s="110">
        <f>G180</f>
        <v>-430979</v>
      </c>
      <c r="I180" s="110">
        <f>H180</f>
        <v>-430979</v>
      </c>
      <c r="J180" s="110">
        <f>I180</f>
        <v>-430979</v>
      </c>
      <c r="K180" s="110">
        <f>J180</f>
        <v>-430979</v>
      </c>
    </row>
    <row r="181">
      <c r="A181" s="106" t="s">
        <v>182</v>
      </c>
      <c r="B181" s="111">
        <f>EEFF!B186</f>
        <v>0</v>
      </c>
      <c r="C181" s="111">
        <f>EEFF!C186</f>
        <v>0</v>
      </c>
      <c r="D181" s="111">
        <f>EEFF!D186</f>
        <v>0</v>
      </c>
      <c r="E181" s="111">
        <f>EEFF!E186</f>
        <v>1451830</v>
      </c>
      <c r="F181" s="111">
        <f>EEFF!F186</f>
        <v>476424</v>
      </c>
      <c r="G181" s="112">
        <f>F181</f>
        <v>476424</v>
      </c>
      <c r="H181" s="110">
        <f>G181</f>
        <v>476424</v>
      </c>
      <c r="I181" s="110">
        <f>H181</f>
        <v>476424</v>
      </c>
      <c r="J181" s="110">
        <f>I181</f>
        <v>476424</v>
      </c>
      <c r="K181" s="110">
        <f>J181</f>
        <v>476424</v>
      </c>
    </row>
    <row r="182">
      <c r="A182" s="106" t="s">
        <v>183</v>
      </c>
      <c r="B182" s="111">
        <f>EEFF!B187</f>
        <v>0</v>
      </c>
      <c r="C182" s="111">
        <f>EEFF!C187</f>
        <v>0</v>
      </c>
      <c r="D182" s="111">
        <f>EEFF!D187</f>
        <v>0</v>
      </c>
      <c r="E182" s="111">
        <f>EEFF!E187</f>
        <v>-180122</v>
      </c>
      <c r="F182" s="111">
        <f>EEFF!F187</f>
        <v>-389258</v>
      </c>
      <c r="G182" s="112">
        <f>F182</f>
        <v>-389258</v>
      </c>
      <c r="H182" s="110">
        <f>G182</f>
        <v>-389258</v>
      </c>
      <c r="I182" s="110">
        <f>H182</f>
        <v>-389258</v>
      </c>
      <c r="J182" s="110">
        <f>I182</f>
        <v>-389258</v>
      </c>
      <c r="K182" s="110">
        <f>J182</f>
        <v>-389258</v>
      </c>
    </row>
    <row r="183">
      <c r="A183" s="106" t="s">
        <v>184</v>
      </c>
      <c r="B183" s="111">
        <f>EEFF!B188</f>
        <v>0</v>
      </c>
      <c r="C183" s="111">
        <f>EEFF!C188</f>
        <v>0</v>
      </c>
      <c r="D183" s="111">
        <f>EEFF!D188</f>
        <v>0</v>
      </c>
      <c r="E183" s="111">
        <f>EEFF!E188</f>
        <v>-4680591</v>
      </c>
      <c r="F183" s="111">
        <f>EEFF!F188</f>
        <v>-3561910</v>
      </c>
      <c r="G183" s="112">
        <f>F183</f>
        <v>-3561910</v>
      </c>
      <c r="H183" s="110">
        <f>G183</f>
        <v>-3561910</v>
      </c>
      <c r="I183" s="110">
        <f>H183</f>
        <v>-3561910</v>
      </c>
      <c r="J183" s="110">
        <f>I183</f>
        <v>-3561910</v>
      </c>
      <c r="K183" s="110">
        <f>J183</f>
        <v>-3561910</v>
      </c>
    </row>
    <row r="184">
      <c r="A184" s="106" t="s">
        <v>185</v>
      </c>
      <c r="B184" s="111">
        <f>EEFF!B189</f>
        <v>0</v>
      </c>
      <c r="C184" s="111">
        <f>EEFF!C189</f>
        <v>0</v>
      </c>
      <c r="D184" s="111">
        <f>EEFF!D189</f>
        <v>0</v>
      </c>
      <c r="E184" s="111">
        <f>EEFF!E189</f>
        <v>11495861</v>
      </c>
      <c r="F184" s="111">
        <f>EEFF!F189</f>
        <v>-31161580</v>
      </c>
      <c r="G184" s="112">
        <f>F184</f>
        <v>-31161580</v>
      </c>
      <c r="H184" s="110">
        <f>G184</f>
        <v>-31161580</v>
      </c>
      <c r="I184" s="110">
        <f>H184</f>
        <v>-31161580</v>
      </c>
      <c r="J184" s="110">
        <f>I184</f>
        <v>-31161580</v>
      </c>
      <c r="K184" s="110">
        <f>J184</f>
        <v>-31161580</v>
      </c>
    </row>
    <row r="185">
      <c r="A185" s="106" t="s">
        <v>186</v>
      </c>
      <c r="B185" s="111">
        <f>EEFF!B190</f>
        <v>0</v>
      </c>
      <c r="C185" s="111">
        <f>EEFF!C190</f>
        <v>0</v>
      </c>
      <c r="D185" s="111">
        <f>EEFF!D190</f>
        <v>0</v>
      </c>
      <c r="E185" s="111">
        <f>EEFF!E190</f>
        <v>-86618295</v>
      </c>
      <c r="F185" s="111">
        <f>EEFF!F190</f>
        <v>-97613731</v>
      </c>
      <c r="G185" s="112">
        <f>F185</f>
        <v>-97613731</v>
      </c>
      <c r="H185" s="110">
        <f>G185</f>
        <v>-97613731</v>
      </c>
      <c r="I185" s="110">
        <f>H185</f>
        <v>-97613731</v>
      </c>
      <c r="J185" s="110">
        <f>I185</f>
        <v>-97613731</v>
      </c>
      <c r="K185" s="110">
        <f>J185</f>
        <v>-97613731</v>
      </c>
    </row>
    <row r="186">
      <c r="A186" s="106" t="s">
        <v>143</v>
      </c>
      <c r="B186" s="111">
        <f>EEFF!B191</f>
        <v>0</v>
      </c>
      <c r="C186" s="111">
        <f>EEFF!C191</f>
        <v>0</v>
      </c>
      <c r="D186" s="111">
        <f>EEFF!D191</f>
        <v>0</v>
      </c>
      <c r="E186" s="111">
        <f>EEFF!E191</f>
        <v>1077041</v>
      </c>
      <c r="F186" s="111">
        <f>EEFF!F191</f>
        <v>-2710156</v>
      </c>
      <c r="G186" s="112">
        <f>F186</f>
        <v>-2710156</v>
      </c>
      <c r="H186" s="110">
        <f>G186</f>
        <v>-2710156</v>
      </c>
      <c r="I186" s="110">
        <f>H186</f>
        <v>-2710156</v>
      </c>
      <c r="J186" s="110">
        <f>I186</f>
        <v>-2710156</v>
      </c>
      <c r="K186" s="110">
        <f>J186</f>
        <v>-2710156</v>
      </c>
    </row>
    <row r="187">
      <c r="A187" s="106" t="s">
        <v>72</v>
      </c>
      <c r="B187" s="111">
        <f>EEFF!B192</f>
        <v>0</v>
      </c>
      <c r="C187" s="111">
        <f>EEFF!C192</f>
        <v>0</v>
      </c>
      <c r="D187" s="111">
        <f>EEFF!D192</f>
        <v>0</v>
      </c>
      <c r="E187" s="111">
        <f>EEFF!E192</f>
        <v>11985312</v>
      </c>
      <c r="F187" s="111">
        <f>EEFF!F192</f>
        <v>12129240</v>
      </c>
      <c r="G187" s="112">
        <f>F187</f>
        <v>12129240</v>
      </c>
      <c r="H187" s="110">
        <f>G187</f>
        <v>12129240</v>
      </c>
      <c r="I187" s="110">
        <f>H187</f>
        <v>12129240</v>
      </c>
      <c r="J187" s="110">
        <f>I187</f>
        <v>12129240</v>
      </c>
      <c r="K187" s="110">
        <f>J187</f>
        <v>12129240</v>
      </c>
    </row>
    <row r="188">
      <c r="A188" s="106" t="s">
        <v>187</v>
      </c>
      <c r="B188" s="111">
        <f>EEFF!B193</f>
        <v>0</v>
      </c>
      <c r="C188" s="111">
        <f>EEFF!C193</f>
        <v>0</v>
      </c>
      <c r="D188" s="111">
        <f>EEFF!D193</f>
        <v>0</v>
      </c>
      <c r="E188" s="111">
        <f>EEFF!E193</f>
        <v>20964333</v>
      </c>
      <c r="F188" s="111">
        <f>EEFF!F193</f>
        <v>35922211</v>
      </c>
      <c r="G188" s="112">
        <f>F188</f>
        <v>35922211</v>
      </c>
      <c r="H188" s="110">
        <f>G188</f>
        <v>35922211</v>
      </c>
      <c r="I188" s="110">
        <f>H188</f>
        <v>35922211</v>
      </c>
      <c r="J188" s="110">
        <f>I188</f>
        <v>35922211</v>
      </c>
      <c r="K188" s="110">
        <f>J188</f>
        <v>35922211</v>
      </c>
    </row>
    <row r="189">
      <c r="A189" s="106" t="s">
        <v>188</v>
      </c>
      <c r="B189" s="111">
        <f>EEFF!B194</f>
        <v>0</v>
      </c>
      <c r="C189" s="111">
        <f>EEFF!C194</f>
        <v>0</v>
      </c>
      <c r="D189" s="111">
        <f>EEFF!D194</f>
        <v>0</v>
      </c>
      <c r="E189" s="111">
        <f>EEFF!E194</f>
        <v>-44337697</v>
      </c>
      <c r="F189" s="111">
        <f>EEFF!F194</f>
        <v>32734503</v>
      </c>
      <c r="G189" s="112">
        <f>F189</f>
        <v>32734503</v>
      </c>
      <c r="H189" s="110">
        <f>G189</f>
        <v>32734503</v>
      </c>
      <c r="I189" s="110">
        <f>H189</f>
        <v>32734503</v>
      </c>
      <c r="J189" s="110">
        <f>I189</f>
        <v>32734503</v>
      </c>
      <c r="K189" s="110">
        <f>J189</f>
        <v>32734503</v>
      </c>
    </row>
    <row r="190">
      <c r="A190" s="106" t="s">
        <v>94</v>
      </c>
      <c r="B190" s="111">
        <f>EEFF!B195</f>
        <v>0</v>
      </c>
      <c r="C190" s="111">
        <f>EEFF!C195</f>
        <v>0</v>
      </c>
      <c r="D190" s="111">
        <f>EEFF!D195</f>
        <v>0</v>
      </c>
      <c r="E190" s="111">
        <f>EEFF!E195</f>
        <v>6537274</v>
      </c>
      <c r="F190" s="111">
        <f>EEFF!F195</f>
        <v>13584201</v>
      </c>
      <c r="G190" s="112">
        <f>F190</f>
        <v>13584201</v>
      </c>
      <c r="H190" s="110">
        <f>G190</f>
        <v>13584201</v>
      </c>
      <c r="I190" s="110">
        <f>H190</f>
        <v>13584201</v>
      </c>
      <c r="J190" s="110">
        <f>I190</f>
        <v>13584201</v>
      </c>
      <c r="K190" s="110">
        <f>J190</f>
        <v>13584201</v>
      </c>
    </row>
    <row r="191">
      <c r="A191" s="106" t="s">
        <v>189</v>
      </c>
      <c r="B191" s="111">
        <f>EEFF!B196</f>
        <v>0</v>
      </c>
      <c r="C191" s="111">
        <f>EEFF!C196</f>
        <v>0</v>
      </c>
      <c r="D191" s="111">
        <f>EEFF!D196</f>
        <v>0</v>
      </c>
      <c r="E191" s="111">
        <f>EEFF!E196</f>
        <v>63603672</v>
      </c>
      <c r="F191" s="111">
        <f>EEFF!F196</f>
        <v>79201690</v>
      </c>
      <c r="G191" s="112">
        <f>F191</f>
        <v>79201690</v>
      </c>
      <c r="H191" s="110">
        <f>G191</f>
        <v>79201690</v>
      </c>
      <c r="I191" s="110">
        <f>H191</f>
        <v>79201690</v>
      </c>
      <c r="J191" s="110">
        <f>I191</f>
        <v>79201690</v>
      </c>
      <c r="K191" s="110">
        <f>J191</f>
        <v>79201690</v>
      </c>
    </row>
    <row r="192">
      <c r="A192" s="95" t="s">
        <v>153</v>
      </c>
      <c r="B192" s="89">
        <f>EEFF!B197</f>
        <v>0</v>
      </c>
      <c r="C192" s="89">
        <f>EEFF!C197</f>
        <v>0</v>
      </c>
      <c r="D192" s="89">
        <f>EEFF!D197</f>
        <v>0</v>
      </c>
      <c r="E192" s="89">
        <f>EEFF!E197</f>
        <v>115049866</v>
      </c>
      <c r="F192" s="89">
        <f>EEFF!F197</f>
        <v>214204694</v>
      </c>
      <c r="G192" s="92">
        <f>F192</f>
        <v>214204694</v>
      </c>
      <c r="H192" s="100">
        <f>G192</f>
        <v>214204694</v>
      </c>
      <c r="I192" s="100">
        <f>H192</f>
        <v>214204694</v>
      </c>
      <c r="J192" s="100">
        <f>I192</f>
        <v>214204694</v>
      </c>
      <c r="K192" s="100">
        <f>J192</f>
        <v>214204694</v>
      </c>
    </row>
    <row r="193">
      <c r="A193" s="106" t="s">
        <v>190</v>
      </c>
      <c r="B193" s="111">
        <f>EEFF!B198</f>
        <v>0</v>
      </c>
      <c r="C193" s="111">
        <f>EEFF!C198</f>
        <v>0</v>
      </c>
      <c r="D193" s="111">
        <f>EEFF!D198</f>
        <v>0</v>
      </c>
      <c r="E193" s="111">
        <f>EEFF!E198</f>
        <v>41054480</v>
      </c>
      <c r="F193" s="111">
        <f>EEFF!F198</f>
        <v>46477126</v>
      </c>
      <c r="G193" s="112">
        <f>F193</f>
        <v>46477126</v>
      </c>
      <c r="H193" s="110">
        <f>G193</f>
        <v>46477126</v>
      </c>
      <c r="I193" s="110">
        <f>H193</f>
        <v>46477126</v>
      </c>
      <c r="J193" s="110">
        <f>I193</f>
        <v>46477126</v>
      </c>
      <c r="K193" s="110">
        <f>J193</f>
        <v>46477126</v>
      </c>
    </row>
    <row r="194">
      <c r="A194" s="106" t="s">
        <v>191</v>
      </c>
      <c r="B194" s="111">
        <f>EEFF!B199</f>
        <v>0</v>
      </c>
      <c r="C194" s="111">
        <f>EEFF!C199</f>
        <v>0</v>
      </c>
      <c r="D194" s="111">
        <f>EEFF!D199</f>
        <v>0</v>
      </c>
      <c r="E194" s="111">
        <f>EEFF!E199</f>
        <v>-7433235</v>
      </c>
      <c r="F194" s="111">
        <f>EEFF!F199</f>
        <v>-7802662</v>
      </c>
      <c r="G194" s="112">
        <f>F194</f>
        <v>-7802662</v>
      </c>
      <c r="H194" s="110">
        <f>G194</f>
        <v>-7802662</v>
      </c>
      <c r="I194" s="110">
        <f>H194</f>
        <v>-7802662</v>
      </c>
      <c r="J194" s="110">
        <f>I194</f>
        <v>-7802662</v>
      </c>
      <c r="K194" s="110">
        <f>J194</f>
        <v>-7802662</v>
      </c>
    </row>
    <row r="195">
      <c r="A195" s="95" t="s">
        <v>157</v>
      </c>
      <c r="B195" s="89">
        <f>EEFF!B200</f>
        <v>0</v>
      </c>
      <c r="C195" s="89">
        <f>EEFF!C200</f>
        <v>0</v>
      </c>
      <c r="D195" s="89">
        <f>EEFF!D200</f>
        <v>0</v>
      </c>
      <c r="E195" s="89">
        <f>EEFF!E200</f>
        <v>148671111</v>
      </c>
      <c r="F195" s="89">
        <f>EEFF!F200</f>
        <v>252879158</v>
      </c>
      <c r="G195" s="92">
        <f>F195</f>
        <v>252879158</v>
      </c>
      <c r="H195" s="100">
        <f>G195</f>
        <v>252879158</v>
      </c>
      <c r="I195" s="100">
        <f>H195</f>
        <v>252879158</v>
      </c>
      <c r="J195" s="100">
        <f>I195</f>
        <v>252879158</v>
      </c>
      <c r="K195" s="100">
        <f>J195</f>
        <v>252879158</v>
      </c>
    </row>
    <row r="196">
      <c r="A196" s="106" t="s">
        <v>159</v>
      </c>
      <c r="B196" s="111">
        <f>EEFF!B201</f>
        <v>0</v>
      </c>
      <c r="C196" s="111">
        <f>EEFF!C201</f>
        <v>0</v>
      </c>
      <c r="D196" s="111">
        <f>EEFF!D201</f>
        <v>0</v>
      </c>
      <c r="E196" s="111">
        <f>EEFF!E201</f>
        <v>-220461909</v>
      </c>
      <c r="F196" s="111">
        <f>EEFF!F201</f>
        <v>-213431396</v>
      </c>
      <c r="G196" s="112">
        <f>F196</f>
        <v>-213431396</v>
      </c>
      <c r="H196" s="110">
        <f>G196</f>
        <v>-213431396</v>
      </c>
      <c r="I196" s="110">
        <f>H196</f>
        <v>-213431396</v>
      </c>
      <c r="J196" s="110">
        <f>I196</f>
        <v>-213431396</v>
      </c>
      <c r="K196" s="110">
        <f>J196</f>
        <v>-213431396</v>
      </c>
    </row>
    <row r="197">
      <c r="A197" s="106" t="s">
        <v>192</v>
      </c>
      <c r="B197" s="111">
        <f>EEFF!B202</f>
        <v>0</v>
      </c>
      <c r="C197" s="111">
        <f>EEFF!C202</f>
        <v>0</v>
      </c>
      <c r="D197" s="111">
        <f>EEFF!D202</f>
        <v>0</v>
      </c>
      <c r="E197" s="111">
        <f>EEFF!E202</f>
        <v>80190084</v>
      </c>
      <c r="F197" s="111">
        <f>EEFF!F202</f>
        <v>115595995</v>
      </c>
      <c r="G197" s="112">
        <f>F197</f>
        <v>115595995</v>
      </c>
      <c r="H197" s="110">
        <f>G197</f>
        <v>115595995</v>
      </c>
      <c r="I197" s="110">
        <f>H197</f>
        <v>115595995</v>
      </c>
      <c r="J197" s="110">
        <f>I197</f>
        <v>115595995</v>
      </c>
      <c r="K197" s="110">
        <f>J197</f>
        <v>115595995</v>
      </c>
    </row>
    <row r="198">
      <c r="A198" s="106" t="s">
        <v>193</v>
      </c>
      <c r="B198" s="111">
        <f>EEFF!B203</f>
        <v>0</v>
      </c>
      <c r="C198" s="111">
        <f>EEFF!C203</f>
        <v>0</v>
      </c>
      <c r="D198" s="111">
        <f>EEFF!D203</f>
        <v>0</v>
      </c>
      <c r="E198" s="111">
        <f>EEFF!E203</f>
        <v>-100637214</v>
      </c>
      <c r="F198" s="111">
        <f>EEFF!F203</f>
        <v>14305569</v>
      </c>
      <c r="G198" s="112">
        <f>F198</f>
        <v>14305569</v>
      </c>
      <c r="H198" s="110">
        <f>G198</f>
        <v>14305569</v>
      </c>
      <c r="I198" s="110">
        <f>H198</f>
        <v>14305569</v>
      </c>
      <c r="J198" s="110">
        <f>I198</f>
        <v>14305569</v>
      </c>
      <c r="K198" s="110">
        <f>J198</f>
        <v>14305569</v>
      </c>
    </row>
    <row r="199">
      <c r="A199" s="106" t="s">
        <v>194</v>
      </c>
      <c r="B199" s="111">
        <f>EEFF!B204</f>
        <v>0</v>
      </c>
      <c r="C199" s="111">
        <f>EEFF!C204</f>
        <v>0</v>
      </c>
      <c r="D199" s="111">
        <f>EEFF!D204</f>
        <v>0</v>
      </c>
      <c r="E199" s="111">
        <f>EEFF!E204</f>
        <v>52001703</v>
      </c>
      <c r="F199" s="111">
        <f>EEFF!F204</f>
        <v>14216261</v>
      </c>
      <c r="G199" s="112">
        <f>F199</f>
        <v>14216261</v>
      </c>
      <c r="H199" s="110">
        <f>G199</f>
        <v>14216261</v>
      </c>
      <c r="I199" s="110">
        <f>H199</f>
        <v>14216261</v>
      </c>
      <c r="J199" s="110">
        <f>I199</f>
        <v>14216261</v>
      </c>
      <c r="K199" s="110">
        <f>J199</f>
        <v>14216261</v>
      </c>
    </row>
    <row r="200">
      <c r="A200" s="106" t="s">
        <v>162</v>
      </c>
      <c r="B200" s="111">
        <f>EEFF!B205</f>
        <v>0</v>
      </c>
      <c r="C200" s="111">
        <f>EEFF!C205</f>
        <v>0</v>
      </c>
      <c r="D200" s="111">
        <f>EEFF!D205</f>
        <v>0</v>
      </c>
      <c r="E200" s="111">
        <f>EEFF!E205</f>
        <v>-53276191</v>
      </c>
      <c r="F200" s="111">
        <f>EEFF!F205</f>
        <v>-16483725</v>
      </c>
      <c r="G200" s="112">
        <f>F200</f>
        <v>-16483725</v>
      </c>
      <c r="H200" s="110">
        <f>G200</f>
        <v>-16483725</v>
      </c>
      <c r="I200" s="110">
        <f>H200</f>
        <v>-16483725</v>
      </c>
      <c r="J200" s="110">
        <f>I200</f>
        <v>-16483725</v>
      </c>
      <c r="K200" s="110">
        <f>J200</f>
        <v>-16483725</v>
      </c>
    </row>
    <row r="201">
      <c r="A201" s="106" t="s">
        <v>195</v>
      </c>
      <c r="B201" s="111">
        <f>EEFF!B206</f>
        <v>0</v>
      </c>
      <c r="C201" s="111">
        <f>EEFF!C206</f>
        <v>0</v>
      </c>
      <c r="D201" s="111">
        <f>EEFF!D206</f>
        <v>0</v>
      </c>
      <c r="E201" s="111">
        <f>EEFF!E206</f>
        <v>-8017685</v>
      </c>
      <c r="F201" s="111">
        <f>EEFF!F206</f>
        <v>-6605065</v>
      </c>
      <c r="G201" s="112">
        <f>F201</f>
        <v>-6605065</v>
      </c>
      <c r="H201" s="110">
        <f>G201</f>
        <v>-6605065</v>
      </c>
      <c r="I201" s="110">
        <f>H201</f>
        <v>-6605065</v>
      </c>
      <c r="J201" s="110">
        <f>I201</f>
        <v>-6605065</v>
      </c>
      <c r="K201" s="110">
        <f>J201</f>
        <v>-6605065</v>
      </c>
    </row>
    <row r="202">
      <c r="A202" s="106" t="s">
        <v>165</v>
      </c>
      <c r="B202" s="111">
        <f>EEFF!B207</f>
        <v>0</v>
      </c>
      <c r="C202" s="111">
        <f>EEFF!C207</f>
        <v>0</v>
      </c>
      <c r="D202" s="111">
        <f>EEFF!D207</f>
        <v>0</v>
      </c>
      <c r="E202" s="111">
        <f>EEFF!E207</f>
        <v>-1300489</v>
      </c>
      <c r="F202" s="111">
        <f>EEFF!F207</f>
        <v>-1631813</v>
      </c>
      <c r="G202" s="112">
        <f>F202</f>
        <v>-1631813</v>
      </c>
      <c r="H202" s="110">
        <f>G202</f>
        <v>-1631813</v>
      </c>
      <c r="I202" s="110">
        <f>H202</f>
        <v>-1631813</v>
      </c>
      <c r="J202" s="110">
        <f>I202</f>
        <v>-1631813</v>
      </c>
      <c r="K202" s="110">
        <f>J202</f>
        <v>-1631813</v>
      </c>
    </row>
    <row r="203">
      <c r="A203" s="106" t="s">
        <v>196</v>
      </c>
      <c r="B203" s="111">
        <f>EEFF!B208</f>
        <v>0</v>
      </c>
      <c r="C203" s="111">
        <f>EEFF!C208</f>
        <v>0</v>
      </c>
      <c r="D203" s="111">
        <f>EEFF!D208</f>
        <v>0</v>
      </c>
      <c r="E203" s="111">
        <f>EEFF!E208</f>
        <v>109921</v>
      </c>
      <c r="F203" s="111">
        <f>EEFF!F208</f>
        <v>2885</v>
      </c>
      <c r="G203" s="112">
        <f>F203</f>
        <v>2885</v>
      </c>
      <c r="H203" s="110">
        <f>G203</f>
        <v>2885</v>
      </c>
      <c r="I203" s="110">
        <f>H203</f>
        <v>2885</v>
      </c>
      <c r="J203" s="110">
        <f>I203</f>
        <v>2885</v>
      </c>
      <c r="K203" s="110">
        <f>J203</f>
        <v>2885</v>
      </c>
    </row>
    <row r="204">
      <c r="A204" s="106" t="s">
        <v>197</v>
      </c>
      <c r="B204" s="111">
        <f>EEFF!B209</f>
        <v>0</v>
      </c>
      <c r="C204" s="111">
        <f>EEFF!C209</f>
        <v>0</v>
      </c>
      <c r="D204" s="111">
        <f>EEFF!D209</f>
        <v>0</v>
      </c>
      <c r="E204" s="111">
        <f>EEFF!E209</f>
        <v>-525703</v>
      </c>
      <c r="F204" s="111">
        <f>EEFF!F209</f>
        <v>-780200</v>
      </c>
      <c r="G204" s="112">
        <f>F204</f>
        <v>-780200</v>
      </c>
      <c r="H204" s="110">
        <f>G204</f>
        <v>-780200</v>
      </c>
      <c r="I204" s="110">
        <f>H204</f>
        <v>-780200</v>
      </c>
      <c r="J204" s="110">
        <f>I204</f>
        <v>-780200</v>
      </c>
      <c r="K204" s="110">
        <f>J204</f>
        <v>-780200</v>
      </c>
    </row>
    <row r="205">
      <c r="A205" s="95" t="s">
        <v>167</v>
      </c>
      <c r="B205" s="89">
        <f>EEFF!B210</f>
        <v>0</v>
      </c>
      <c r="C205" s="89">
        <f>EEFF!C210</f>
        <v>0</v>
      </c>
      <c r="D205" s="89">
        <f>EEFF!D210</f>
        <v>0</v>
      </c>
      <c r="E205" s="89">
        <f>EEFF!E210</f>
        <v>-251917483</v>
      </c>
      <c r="F205" s="89">
        <f>EEFF!F210</f>
        <v>-94811489</v>
      </c>
      <c r="G205" s="92">
        <f>F205</f>
        <v>-94811489</v>
      </c>
      <c r="H205" s="100">
        <f>G205</f>
        <v>-94811489</v>
      </c>
      <c r="I205" s="100">
        <f>H205</f>
        <v>-94811489</v>
      </c>
      <c r="J205" s="100">
        <f>I205</f>
        <v>-94811489</v>
      </c>
      <c r="K205" s="100">
        <f>J205</f>
        <v>-94811489</v>
      </c>
    </row>
    <row r="206">
      <c r="A206" s="106" t="s">
        <v>198</v>
      </c>
      <c r="B206" s="111">
        <f>EEFF!B211</f>
        <v>0</v>
      </c>
      <c r="C206" s="111">
        <f>EEFF!C211</f>
        <v>0</v>
      </c>
      <c r="D206" s="111">
        <f>EEFF!D211</f>
        <v>0</v>
      </c>
      <c r="E206" s="111">
        <f>EEFF!E211</f>
        <v>-2778940</v>
      </c>
      <c r="F206" s="111">
        <f>EEFF!F211</f>
        <v>6304192</v>
      </c>
      <c r="G206" s="112">
        <f>F206</f>
        <v>6304192</v>
      </c>
      <c r="H206" s="110">
        <f>G206</f>
        <v>6304192</v>
      </c>
      <c r="I206" s="110">
        <f>H206</f>
        <v>6304192</v>
      </c>
      <c r="J206" s="110">
        <f>I206</f>
        <v>6304192</v>
      </c>
      <c r="K206" s="110">
        <f>J206</f>
        <v>6304192</v>
      </c>
    </row>
    <row r="207">
      <c r="A207" s="106" t="s">
        <v>199</v>
      </c>
      <c r="B207" s="111">
        <f>EEFF!B212</f>
        <v>0</v>
      </c>
      <c r="C207" s="111">
        <f>EEFF!C212</f>
        <v>0</v>
      </c>
      <c r="D207" s="111">
        <f>EEFF!D212</f>
        <v>0</v>
      </c>
      <c r="E207" s="111">
        <f>EEFF!E212</f>
        <v>-1436425</v>
      </c>
      <c r="F207" s="111">
        <f>EEFF!F212</f>
        <v>0</v>
      </c>
      <c r="G207" s="112">
        <f>F207</f>
        <v>0</v>
      </c>
      <c r="H207" s="110">
        <f>G207</f>
        <v>0</v>
      </c>
      <c r="I207" s="110">
        <f>H207</f>
        <v>0</v>
      </c>
      <c r="J207" s="110">
        <f>I207</f>
        <v>0</v>
      </c>
      <c r="K207" s="110">
        <f>J207</f>
        <v>0</v>
      </c>
    </row>
    <row r="208">
      <c r="A208" s="106" t="s">
        <v>200</v>
      </c>
      <c r="B208" s="111">
        <f>EEFF!B213</f>
        <v>0</v>
      </c>
      <c r="C208" s="111">
        <f>EEFF!C213</f>
        <v>0</v>
      </c>
      <c r="D208" s="111">
        <f>EEFF!D213</f>
        <v>0</v>
      </c>
      <c r="E208" s="111">
        <f>EEFF!E213</f>
        <v>-59823642</v>
      </c>
      <c r="F208" s="111">
        <f>EEFF!F213</f>
        <v>-147589315</v>
      </c>
      <c r="G208" s="112">
        <f>F208</f>
        <v>-147589315</v>
      </c>
      <c r="H208" s="110">
        <f>G208</f>
        <v>-147589315</v>
      </c>
      <c r="I208" s="110">
        <f>H208</f>
        <v>-147589315</v>
      </c>
      <c r="J208" s="110">
        <f>I208</f>
        <v>-147589315</v>
      </c>
      <c r="K208" s="110">
        <f>J208</f>
        <v>-147589315</v>
      </c>
    </row>
    <row r="209">
      <c r="A209" s="106" t="s">
        <v>201</v>
      </c>
      <c r="B209" s="111">
        <f>EEFF!B214</f>
        <v>0</v>
      </c>
      <c r="C209" s="111">
        <f>EEFF!C214</f>
        <v>0</v>
      </c>
      <c r="D209" s="111">
        <f>EEFF!D214</f>
        <v>0</v>
      </c>
      <c r="E209" s="111">
        <f>EEFF!E214</f>
        <v>-630995</v>
      </c>
      <c r="F209" s="111">
        <f>EEFF!F214</f>
        <v>-502257</v>
      </c>
      <c r="G209" s="112">
        <f>F209</f>
        <v>-502257</v>
      </c>
      <c r="H209" s="110">
        <f>G209</f>
        <v>-502257</v>
      </c>
      <c r="I209" s="110">
        <f>H209</f>
        <v>-502257</v>
      </c>
      <c r="J209" s="110">
        <f>I209</f>
        <v>-502257</v>
      </c>
      <c r="K209" s="110">
        <f>J209</f>
        <v>-502257</v>
      </c>
    </row>
    <row r="210">
      <c r="A210" s="95" t="s">
        <v>202</v>
      </c>
      <c r="B210" s="89">
        <f>EEFF!B215</f>
        <v>0</v>
      </c>
      <c r="C210" s="89">
        <f>EEFF!C215</f>
        <v>0</v>
      </c>
      <c r="D210" s="89">
        <f>EEFF!D215</f>
        <v>0</v>
      </c>
      <c r="E210" s="89">
        <f>EEFF!E215</f>
        <v>-64670002</v>
      </c>
      <c r="F210" s="89">
        <f>EEFF!F215</f>
        <v>-141787380</v>
      </c>
      <c r="G210" s="92">
        <f>F210</f>
        <v>-141787380</v>
      </c>
      <c r="H210" s="100">
        <f>G210</f>
        <v>-141787380</v>
      </c>
      <c r="I210" s="100">
        <f>H210</f>
        <v>-141787380</v>
      </c>
      <c r="J210" s="100">
        <f>I210</f>
        <v>-141787380</v>
      </c>
      <c r="K210" s="100">
        <f>J210</f>
        <v>-141787380</v>
      </c>
    </row>
    <row r="211">
      <c r="A211" s="106" t="s">
        <v>203</v>
      </c>
      <c r="B211" s="111">
        <f>EEFF!B216</f>
        <v>12690017</v>
      </c>
      <c r="C211" s="111">
        <f>EEFF!C216</f>
        <v>-41491183</v>
      </c>
      <c r="D211" s="111">
        <f>EEFF!D216</f>
        <v>-4370283</v>
      </c>
      <c r="E211" s="111">
        <f>EEFF!E216</f>
        <v>-167916374</v>
      </c>
      <c r="F211" s="111">
        <f>EEFF!F216</f>
        <v>16280289</v>
      </c>
      <c r="G211" s="112">
        <f>F211</f>
        <v>16280289</v>
      </c>
      <c r="H211" s="110">
        <f>G211</f>
        <v>16280289</v>
      </c>
      <c r="I211" s="110">
        <f>H211</f>
        <v>16280289</v>
      </c>
      <c r="J211" s="110">
        <f>I211</f>
        <v>16280289</v>
      </c>
      <c r="K211" s="110">
        <f>J211</f>
        <v>16280289</v>
      </c>
    </row>
    <row r="212">
      <c r="A212" s="106" t="s">
        <v>204</v>
      </c>
      <c r="B212" s="111">
        <f>EEFF!B217</f>
        <v>215127645</v>
      </c>
      <c r="C212" s="111">
        <f>EEFF!C217</f>
        <v>219994785</v>
      </c>
      <c r="D212" s="111">
        <f>EEFF!D217</f>
        <v>174660229</v>
      </c>
      <c r="E212" s="111">
        <f>EEFF!E217</f>
        <v>232648061</v>
      </c>
      <c r="F212" s="111">
        <f>EEFF!F217</f>
        <v>66040405</v>
      </c>
      <c r="G212" s="112">
        <f>F212</f>
        <v>66040405</v>
      </c>
      <c r="H212" s="110">
        <f>G212</f>
        <v>66040405</v>
      </c>
      <c r="I212" s="110">
        <f>H212</f>
        <v>66040405</v>
      </c>
      <c r="J212" s="110">
        <f>I212</f>
        <v>66040405</v>
      </c>
      <c r="K212" s="110">
        <f>J212</f>
        <v>66040405</v>
      </c>
    </row>
    <row r="213">
      <c r="A213" s="106" t="s">
        <v>205</v>
      </c>
      <c r="B213" s="111">
        <f>EEFF!B218</f>
        <v>-7822877</v>
      </c>
      <c r="C213" s="111">
        <f>EEFF!C218</f>
        <v>-3843373</v>
      </c>
      <c r="D213" s="111">
        <f>EEFF!D218</f>
        <v>5394029</v>
      </c>
      <c r="E213" s="111">
        <f>EEFF!E218</f>
        <v>1308718</v>
      </c>
      <c r="F213" s="111">
        <f>EEFF!F218</f>
        <v>-327062</v>
      </c>
      <c r="G213" s="112">
        <f>F213</f>
        <v>-327062</v>
      </c>
      <c r="H213" s="110">
        <f>G213</f>
        <v>-327062</v>
      </c>
      <c r="I213" s="110">
        <f>H213</f>
        <v>-327062</v>
      </c>
      <c r="J213" s="110">
        <f>I213</f>
        <v>-327062</v>
      </c>
      <c r="K213" s="110">
        <f>J213</f>
        <v>-327062</v>
      </c>
    </row>
    <row r="214">
      <c r="A214" s="95" t="s">
        <v>206</v>
      </c>
      <c r="B214" s="89">
        <f>EEFF!B219</f>
        <v>219994785</v>
      </c>
      <c r="C214" s="89">
        <f>EEFF!C219</f>
        <v>174660229</v>
      </c>
      <c r="D214" s="89">
        <f>EEFF!D219</f>
        <v>175683975</v>
      </c>
      <c r="E214" s="89">
        <f>EEFF!E219</f>
        <v>66040405</v>
      </c>
      <c r="F214" s="89">
        <f>EEFF!F219</f>
        <v>81993632</v>
      </c>
      <c r="G214" s="92">
        <f>F214</f>
        <v>81993632</v>
      </c>
      <c r="H214" s="100">
        <f>G214</f>
        <v>81993632</v>
      </c>
      <c r="I214" s="100">
        <f>H214</f>
        <v>81993632</v>
      </c>
      <c r="J214" s="100">
        <f>I214</f>
        <v>81993632</v>
      </c>
      <c r="K214" s="100">
        <f>J214</f>
        <v>81993632</v>
      </c>
    </row>
    <row r="215">
      <c r="A215" s="96"/>
      <c r="B215" s="96"/>
      <c r="C215" s="96"/>
      <c r="D215" s="96"/>
      <c r="E215" s="96"/>
      <c r="F215" s="96"/>
      <c r="G215" s="105"/>
      <c r="H215" s="96"/>
      <c r="I215" s="96"/>
      <c r="J215" s="96"/>
      <c r="K215" s="96"/>
    </row>
  </sheetData>
</worksheet>
</file>

<file path=xl/worksheets/sheet5.xml><?xml version="1.0" encoding="utf-8"?>
<worksheet xmlns="http://schemas.openxmlformats.org/spreadsheetml/2006/main" xmlns:r="http://schemas.openxmlformats.org/officeDocument/2006/relationships">
  <dimension ref="A1:K32"/>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56"/>
      <c r="H1" s="49"/>
      <c r="I1" s="49"/>
      <c r="J1" s="49"/>
      <c r="K1" s="49"/>
    </row>
    <row r="2">
      <c r="A2" s="106" t="s">
        <v>2353</v>
      </c>
      <c r="G2" s="57"/>
    </row>
    <row r="3">
      <c r="A3" s="106" t="s">
        <v>2354</v>
      </c>
      <c r="G3" s="57"/>
    </row>
    <row r="4">
      <c r="A4" s="106" t="s">
        <v>2355</v>
      </c>
      <c r="G4" s="57"/>
    </row>
    <row r="5">
      <c r="A5" s="46"/>
      <c r="B5" s="46"/>
      <c r="C5" s="46"/>
      <c r="D5" s="46"/>
      <c r="E5" s="46"/>
      <c r="F5" s="46"/>
      <c r="G5" s="57"/>
      <c r="H5" s="46"/>
      <c r="I5" s="46"/>
      <c r="J5" s="46"/>
      <c r="K5" s="46"/>
    </row>
    <row r="6">
      <c r="A6" s="108" t="s">
        <v>2356</v>
      </c>
      <c r="B6" s="98" t="s">
        <v>2357</v>
      </c>
      <c r="C6" s="98" t="s">
        <v>2358</v>
      </c>
      <c r="D6" s="98" t="s">
        <v>2359</v>
      </c>
      <c r="E6" s="49"/>
      <c r="F6" s="49"/>
      <c r="G6" s="56"/>
      <c r="H6" s="49"/>
      <c r="I6" s="49"/>
      <c r="J6" s="49"/>
      <c r="K6" s="49"/>
    </row>
    <row r="7">
      <c r="A7" s="58" t="s">
        <v>96</v>
      </c>
      <c r="B7" s="45">
        <v>3280490170</v>
      </c>
      <c r="C7" s="45">
        <v>3119530651</v>
      </c>
      <c r="D7" s="47">
        <f>C7-B7</f>
        <v>-160959519</v>
      </c>
      <c r="E7" s="47"/>
      <c r="F7" s="47"/>
      <c r="G7" s="54"/>
      <c r="H7" s="47"/>
      <c r="I7" s="47"/>
      <c r="J7" s="47"/>
      <c r="K7" s="47"/>
    </row>
    <row r="8">
      <c r="A8" s="58" t="s">
        <v>117</v>
      </c>
      <c r="B8" s="45">
        <v>1903341718</v>
      </c>
      <c r="C8" s="45">
        <v>1673539425</v>
      </c>
      <c r="D8" s="47">
        <f>C8-B8</f>
        <v>-229802293</v>
      </c>
      <c r="E8" s="47"/>
      <c r="F8" s="47"/>
      <c r="G8" s="54"/>
      <c r="H8" s="47"/>
      <c r="I8" s="47"/>
      <c r="J8" s="47"/>
      <c r="K8" s="47"/>
    </row>
    <row r="9">
      <c r="A9" s="58" t="s">
        <v>127</v>
      </c>
      <c r="B9" s="45">
        <v>1377148452</v>
      </c>
      <c r="C9" s="45">
        <v>1445991226</v>
      </c>
      <c r="D9" s="47">
        <f>C9-B9</f>
        <v>68842774</v>
      </c>
      <c r="E9" s="47"/>
      <c r="F9" s="47"/>
      <c r="G9" s="54"/>
      <c r="H9" s="47"/>
      <c r="I9" s="47"/>
      <c r="J9" s="47"/>
      <c r="K9" s="47"/>
    </row>
    <row r="10">
      <c r="A10" s="58" t="s">
        <v>2360</v>
      </c>
      <c r="B10" s="45">
        <v>119425469</v>
      </c>
      <c r="C10" s="45">
        <v>128434687</v>
      </c>
      <c r="D10" s="47">
        <f>C10-B10</f>
        <v>9009218</v>
      </c>
      <c r="E10" s="47"/>
      <c r="F10" s="47"/>
      <c r="G10" s="54"/>
      <c r="H10" s="47"/>
      <c r="I10" s="47"/>
      <c r="J10" s="47"/>
      <c r="K10" s="47"/>
    </row>
    <row r="11">
      <c r="A11" s="58" t="s">
        <v>75</v>
      </c>
      <c r="B11" s="45">
        <v>115636579</v>
      </c>
      <c r="C11" s="45">
        <v>124645797</v>
      </c>
      <c r="D11" s="47">
        <f>C11-B11</f>
        <v>9009218</v>
      </c>
      <c r="E11" s="47"/>
      <c r="F11" s="47"/>
      <c r="G11" s="54"/>
      <c r="H11" s="47"/>
      <c r="I11" s="47"/>
      <c r="J11" s="47"/>
      <c r="K11" s="47"/>
    </row>
    <row r="12">
      <c r="A12" s="58" t="s">
        <v>2361</v>
      </c>
      <c r="B12" s="47"/>
      <c r="C12" s="47"/>
      <c r="D12" s="47">
        <f>D7-D8-D9</f>
        <v>0</v>
      </c>
      <c r="E12" s="47"/>
      <c r="F12" s="47"/>
      <c r="G12" s="54"/>
      <c r="H12" s="47"/>
      <c r="I12" s="47"/>
      <c r="J12" s="47"/>
      <c r="K12" s="47"/>
    </row>
    <row r="13">
      <c r="A13" s="46"/>
      <c r="B13" s="46"/>
      <c r="C13" s="46"/>
      <c r="D13" s="46"/>
      <c r="E13" s="46"/>
      <c r="F13" s="46"/>
      <c r="G13" s="57"/>
      <c r="H13" s="46"/>
      <c r="I13" s="46"/>
      <c r="J13" s="46"/>
      <c r="K13" s="46"/>
    </row>
    <row r="14">
      <c r="A14" s="108" t="s">
        <v>2362</v>
      </c>
      <c r="B14" s="98" t="s">
        <v>2363</v>
      </c>
      <c r="C14" s="49"/>
      <c r="D14" s="49"/>
      <c r="E14" s="49"/>
      <c r="F14" s="49"/>
      <c r="G14" s="56"/>
      <c r="H14" s="49"/>
      <c r="I14" s="49"/>
      <c r="J14" s="49"/>
      <c r="K14" s="49"/>
    </row>
    <row r="15">
      <c r="A15" s="106" t="s">
        <v>2364</v>
      </c>
      <c r="B15" s="50">
        <v>1217249492</v>
      </c>
      <c r="C15" s="51"/>
      <c r="D15" s="51"/>
      <c r="E15" s="51"/>
      <c r="F15" s="51"/>
      <c r="G15" s="52"/>
      <c r="H15" s="51"/>
      <c r="I15" s="51"/>
      <c r="J15" s="51"/>
      <c r="K15" s="51"/>
    </row>
    <row r="16">
      <c r="A16" s="106" t="s">
        <v>2365</v>
      </c>
      <c r="B16" s="50">
        <v>45319978</v>
      </c>
      <c r="C16" s="51"/>
      <c r="D16" s="51"/>
      <c r="E16" s="51"/>
      <c r="F16" s="51"/>
      <c r="G16" s="52"/>
      <c r="H16" s="51"/>
      <c r="I16" s="51"/>
      <c r="J16" s="51"/>
      <c r="K16" s="51"/>
    </row>
    <row r="17">
      <c r="A17" s="106" t="s">
        <v>2366</v>
      </c>
      <c r="B17" s="50">
        <v>0</v>
      </c>
      <c r="C17" s="51"/>
      <c r="D17" s="51"/>
      <c r="E17" s="51"/>
      <c r="F17" s="51"/>
      <c r="G17" s="52"/>
      <c r="H17" s="51"/>
      <c r="I17" s="51"/>
      <c r="J17" s="51"/>
      <c r="K17" s="51"/>
    </row>
    <row r="18">
      <c r="A18" s="95" t="s">
        <v>2367</v>
      </c>
      <c r="B18" s="61">
        <v>1262569470</v>
      </c>
      <c r="C18" s="53"/>
      <c r="D18" s="53"/>
      <c r="E18" s="53"/>
      <c r="F18" s="53"/>
      <c r="G18" s="60"/>
      <c r="H18" s="53"/>
      <c r="I18" s="53"/>
      <c r="J18" s="53"/>
      <c r="K18" s="53"/>
    </row>
    <row r="19">
      <c r="A19" s="106" t="s">
        <v>2368</v>
      </c>
      <c r="B19" s="110">
        <f>B15+B16+B17-B18</f>
        <v>0</v>
      </c>
      <c r="C19" s="51"/>
      <c r="D19" s="51"/>
      <c r="E19" s="51"/>
      <c r="F19" s="51"/>
      <c r="G19" s="52"/>
      <c r="H19" s="51"/>
      <c r="I19" s="51"/>
      <c r="J19" s="51"/>
      <c r="K19" s="51"/>
    </row>
    <row r="20">
      <c r="A20" s="106" t="s">
        <v>2369</v>
      </c>
      <c r="B20" s="50">
        <v>1217249492</v>
      </c>
      <c r="C20" s="51"/>
      <c r="D20" s="51"/>
      <c r="E20" s="51"/>
      <c r="F20" s="51"/>
      <c r="G20" s="52"/>
      <c r="H20" s="51"/>
      <c r="I20" s="51"/>
      <c r="J20" s="51"/>
      <c r="K20" s="51"/>
    </row>
    <row r="21">
      <c r="A21" s="106" t="s">
        <v>2370</v>
      </c>
      <c r="B21" s="110">
        <f>B20-B15</f>
        <v>0</v>
      </c>
      <c r="C21" s="51"/>
      <c r="D21" s="51"/>
      <c r="E21" s="51"/>
      <c r="F21" s="51"/>
      <c r="G21" s="52"/>
      <c r="H21" s="51"/>
      <c r="I21" s="51"/>
      <c r="J21" s="51"/>
      <c r="K21" s="51"/>
    </row>
    <row r="22">
      <c r="A22" s="46"/>
      <c r="B22" s="46"/>
      <c r="C22" s="46"/>
      <c r="D22" s="46"/>
      <c r="E22" s="46"/>
      <c r="F22" s="46"/>
      <c r="G22" s="57"/>
      <c r="H22" s="46"/>
      <c r="I22" s="46"/>
      <c r="J22" s="46"/>
      <c r="K22" s="46"/>
    </row>
    <row r="23">
      <c r="A23" s="108" t="s">
        <v>2371</v>
      </c>
      <c r="B23" s="98" t="s">
        <v>2363</v>
      </c>
      <c r="C23" s="49"/>
      <c r="D23" s="49"/>
      <c r="E23" s="49"/>
      <c r="F23" s="49"/>
      <c r="G23" s="56"/>
      <c r="H23" s="49"/>
      <c r="I23" s="49"/>
      <c r="J23" s="49"/>
      <c r="K23" s="49"/>
    </row>
    <row r="24">
      <c r="A24" s="106" t="s">
        <v>2372</v>
      </c>
      <c r="B24" s="110">
        <f>B18</f>
        <v>1262569470</v>
      </c>
      <c r="C24" s="51"/>
      <c r="D24" s="51"/>
      <c r="E24" s="51"/>
      <c r="F24" s="51"/>
      <c r="G24" s="52"/>
      <c r="H24" s="51"/>
      <c r="I24" s="51"/>
      <c r="J24" s="51"/>
      <c r="K24" s="51"/>
    </row>
    <row r="25">
      <c r="A25" s="106" t="s">
        <v>2373</v>
      </c>
      <c r="B25" s="50">
        <v>263916500</v>
      </c>
      <c r="C25" s="51"/>
      <c r="D25" s="51"/>
      <c r="E25" s="51"/>
      <c r="F25" s="51"/>
      <c r="G25" s="52"/>
      <c r="H25" s="51"/>
      <c r="I25" s="51"/>
      <c r="J25" s="51"/>
      <c r="K25" s="51"/>
    </row>
    <row r="26">
      <c r="A26" s="106" t="s">
        <v>2374</v>
      </c>
      <c r="B26" s="50">
        <v>33</v>
      </c>
      <c r="C26" s="51"/>
      <c r="D26" s="51"/>
      <c r="E26" s="51"/>
      <c r="F26" s="51"/>
      <c r="G26" s="52"/>
      <c r="H26" s="51"/>
      <c r="I26" s="51"/>
      <c r="J26" s="51"/>
      <c r="K26" s="51"/>
    </row>
    <row r="27">
      <c r="A27" s="106" t="s">
        <v>2375</v>
      </c>
      <c r="B27" s="50">
        <v>-80494777</v>
      </c>
      <c r="C27" s="51"/>
      <c r="D27" s="51"/>
      <c r="E27" s="51"/>
      <c r="F27" s="51"/>
      <c r="G27" s="52"/>
      <c r="H27" s="51"/>
      <c r="I27" s="51"/>
      <c r="J27" s="51"/>
      <c r="K27" s="51"/>
    </row>
    <row r="28">
      <c r="A28" s="95" t="s">
        <v>2376</v>
      </c>
      <c r="B28" s="61">
        <v>1445991226</v>
      </c>
      <c r="C28" s="53"/>
      <c r="D28" s="53"/>
      <c r="E28" s="53"/>
      <c r="F28" s="53"/>
      <c r="G28" s="60"/>
      <c r="H28" s="53"/>
      <c r="I28" s="53"/>
      <c r="J28" s="53"/>
      <c r="K28" s="53"/>
    </row>
    <row r="29">
      <c r="A29" s="106" t="s">
        <v>2377</v>
      </c>
      <c r="B29" s="110">
        <f>B24+B25+B26+B27-B28</f>
        <v>0</v>
      </c>
      <c r="C29" s="51"/>
      <c r="D29" s="51"/>
      <c r="E29" s="51"/>
      <c r="F29" s="51"/>
      <c r="G29" s="52"/>
      <c r="H29" s="51"/>
      <c r="I29" s="51"/>
      <c r="J29" s="51"/>
      <c r="K29" s="51"/>
    </row>
    <row r="30">
      <c r="A30" s="46"/>
      <c r="B30" s="46"/>
      <c r="C30" s="46"/>
      <c r="D30" s="46"/>
      <c r="E30" s="46"/>
      <c r="F30" s="46"/>
      <c r="G30" s="57"/>
      <c r="H30" s="46"/>
      <c r="I30" s="46"/>
      <c r="J30" s="46"/>
      <c r="K30" s="46"/>
    </row>
    <row r="31">
      <c r="A31" s="106" t="s">
        <v>2378</v>
      </c>
      <c r="G31" s="57"/>
    </row>
    <row r="32">
      <c r="A32" s="106" t="s">
        <v>2379</v>
      </c>
      <c r="G32" s="57"/>
    </row>
  </sheetData>
</worksheet>
</file>

<file path=xl/worksheets/sheet6.xml><?xml version="1.0" encoding="utf-8"?>
<worksheet xmlns="http://schemas.openxmlformats.org/spreadsheetml/2006/main" xmlns:r="http://schemas.openxmlformats.org/officeDocument/2006/relationships">
  <dimension ref="A1:K68"/>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2380</v>
      </c>
      <c r="G2" s="57"/>
    </row>
    <row r="3">
      <c r="A3" s="106" t="s">
        <v>2381</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2382</v>
      </c>
      <c r="B7" s="63"/>
      <c r="C7" s="63"/>
      <c r="D7" s="63"/>
      <c r="E7" s="63"/>
      <c r="F7" s="63"/>
      <c r="G7" s="66"/>
      <c r="H7" s="69"/>
      <c r="I7" s="69"/>
      <c r="J7" s="69"/>
      <c r="K7" s="69"/>
    </row>
    <row r="8">
      <c r="A8" s="106" t="s">
        <v>2383</v>
      </c>
      <c r="G8" s="57"/>
    </row>
    <row r="9">
      <c r="A9" s="106" t="s">
        <v>2384</v>
      </c>
      <c r="G9" s="57"/>
    </row>
    <row r="10">
      <c r="A10" s="106" t="s">
        <v>2385</v>
      </c>
      <c r="B10" s="111">
        <f>EEFF!B10</f>
        <v>301580701</v>
      </c>
      <c r="C10" s="111">
        <f>EEFF!C10</f>
        <v>336616184</v>
      </c>
      <c r="D10" s="111">
        <f>EEFF!D10</f>
        <v>381545512</v>
      </c>
      <c r="E10" s="51"/>
      <c r="F10" s="111">
        <f>EEFF!F10</f>
        <v>0</v>
      </c>
      <c r="G10" s="52"/>
      <c r="H10" s="51"/>
      <c r="I10" s="51"/>
      <c r="J10" s="51"/>
      <c r="K10" s="51"/>
    </row>
    <row r="11">
      <c r="A11" s="106" t="s">
        <v>2386</v>
      </c>
      <c r="B11" s="111">
        <f>EEFF!B50</f>
        <v>0</v>
      </c>
      <c r="C11" s="111">
        <f>EEFF!C50</f>
        <v>0</v>
      </c>
      <c r="D11" s="111">
        <f>EEFF!D50</f>
        <v>0</v>
      </c>
      <c r="E11" s="111">
        <f>EEFF!E50</f>
        <v>820306455</v>
      </c>
      <c r="F11" s="111">
        <f>EEFF!F50</f>
        <v>885435473</v>
      </c>
      <c r="G11" s="52"/>
      <c r="H11" s="51"/>
      <c r="I11" s="51"/>
      <c r="J11" s="51"/>
      <c r="K11" s="51"/>
    </row>
    <row r="12">
      <c r="A12" s="106" t="s">
        <v>2387</v>
      </c>
      <c r="B12" s="85">
        <f>IF(AND(B10&lt;&gt;0,B11&lt;&gt;0),1,0)</f>
        <v>0</v>
      </c>
      <c r="C12" s="85">
        <f>IF(AND(C10&lt;&gt;0,C11&lt;&gt;0),1,0)</f>
        <v>0</v>
      </c>
      <c r="D12" s="85">
        <f>IF(AND(D10&lt;&gt;0,D11&lt;&gt;0),1,0)</f>
        <v>0</v>
      </c>
      <c r="E12" s="85">
        <f>IF(AND(E10&lt;&gt;0,E11&lt;&gt;0),1,0)</f>
        <v>0</v>
      </c>
      <c r="F12" s="85">
        <f>IF(AND(F10&lt;&gt;0,F11&lt;&gt;0),1,0)</f>
        <v>0</v>
      </c>
      <c r="G12" s="86"/>
      <c r="H12" s="85"/>
      <c r="I12" s="85"/>
      <c r="J12" s="85"/>
      <c r="K12" s="85"/>
    </row>
    <row r="13">
      <c r="A13" s="46"/>
      <c r="B13" s="46"/>
      <c r="C13" s="46"/>
      <c r="D13" s="46"/>
      <c r="E13" s="46"/>
      <c r="F13" s="46"/>
      <c r="G13" s="57"/>
      <c r="H13" s="46"/>
      <c r="I13" s="46"/>
      <c r="J13" s="46"/>
      <c r="K13" s="46"/>
    </row>
    <row r="14">
      <c r="A14" s="106" t="s">
        <v>2388</v>
      </c>
      <c r="G14" s="57"/>
    </row>
    <row r="15">
      <c r="A15" s="46"/>
      <c r="B15" s="46"/>
      <c r="C15" s="46"/>
      <c r="D15" s="46"/>
      <c r="E15" s="46"/>
      <c r="F15" s="46"/>
      <c r="G15" s="57"/>
      <c r="H15" s="46"/>
      <c r="I15" s="46"/>
      <c r="J15" s="46"/>
      <c r="K15" s="46"/>
    </row>
    <row r="16">
      <c r="A16" s="108" t="s">
        <v>2389</v>
      </c>
      <c r="B16" s="63"/>
      <c r="C16" s="63"/>
      <c r="D16" s="63"/>
      <c r="E16" s="63"/>
      <c r="F16" s="63"/>
      <c r="G16" s="66"/>
      <c r="H16" s="69"/>
      <c r="I16" s="69"/>
      <c r="J16" s="69"/>
      <c r="K16" s="69"/>
    </row>
    <row r="17">
      <c r="A17" s="106" t="s">
        <v>2390</v>
      </c>
      <c r="G17" s="57"/>
    </row>
    <row r="18">
      <c r="A18" s="106" t="s">
        <v>2391</v>
      </c>
      <c r="G18" s="57"/>
    </row>
    <row r="19">
      <c r="A19" s="106" t="s">
        <v>2392</v>
      </c>
      <c r="B19" s="51"/>
      <c r="C19" s="51"/>
      <c r="D19" s="51"/>
      <c r="E19" s="111">
        <f>Notas_EEFF!K2717</f>
        <v>84101845</v>
      </c>
      <c r="F19" s="111">
        <f>Notas_EEFF!K2716</f>
        <v>86428052</v>
      </c>
      <c r="G19" s="109">
        <f>F19*(1+Supuestos!G35)</f>
        <v>88822109.0404</v>
      </c>
      <c r="H19" s="111">
        <f>G19*(1+Supuestos!H35)</f>
        <v>91282481.46081908</v>
      </c>
      <c r="I19" s="111">
        <f>H19*(1+Supuestos!I35)</f>
        <v>93811006.19728377</v>
      </c>
      <c r="J19" s="111">
        <f>I19*(1+Supuestos!J35)</f>
        <v>96409571.06894854</v>
      </c>
      <c r="K19" s="111">
        <f>J19*(1+Supuestos!K35)</f>
        <v>99080116.18755841</v>
      </c>
    </row>
    <row r="20">
      <c r="A20" s="106" t="s">
        <v>2393</v>
      </c>
      <c r="B20" s="51"/>
      <c r="C20" s="51"/>
      <c r="D20" s="51"/>
      <c r="E20" s="111">
        <f>Notas_EEFF!K2719</f>
        <v>100793260</v>
      </c>
      <c r="F20" s="111">
        <f>Notas_EEFF!K2718</f>
        <v>114979720</v>
      </c>
      <c r="G20" s="109">
        <f>F20*(1+Supuestos!G40)</f>
        <v>131157366.604</v>
      </c>
      <c r="H20" s="111">
        <f>G20*(1+Supuestos!H40)</f>
        <v>149611208.08518282</v>
      </c>
      <c r="I20" s="111">
        <f>H20*(1+Supuestos!I40)</f>
        <v>170661505.06276804</v>
      </c>
      <c r="J20" s="111">
        <f>I20*(1+Supuestos!J40)</f>
        <v>194673578.82509953</v>
      </c>
      <c r="K20" s="111">
        <f>J20*(1+Supuestos!K40)</f>
        <v>222064151.36579105</v>
      </c>
    </row>
    <row r="21">
      <c r="A21" s="106" t="s">
        <v>2394</v>
      </c>
      <c r="B21" s="51"/>
      <c r="C21" s="51"/>
      <c r="D21" s="51"/>
      <c r="E21" s="111">
        <f>Notas_EEFF!K2721</f>
        <v>18932539</v>
      </c>
      <c r="F21" s="111">
        <f>Notas_EEFF!K2720</f>
        <v>19542577</v>
      </c>
      <c r="G21" s="109">
        <f>F21*(1+Supuestos!G45)</f>
        <v>20171847.9794</v>
      </c>
      <c r="H21" s="111">
        <f>G21*(1+Supuestos!H45)</f>
        <v>20821381.48433668</v>
      </c>
      <c r="I21" s="111">
        <f>H21*(1+Supuestos!I45)</f>
        <v>21491829.968132325</v>
      </c>
      <c r="J21" s="111">
        <f>I21*(1+Supuestos!J45)</f>
        <v>22183866.893106185</v>
      </c>
      <c r="K21" s="111">
        <f>J21*(1+Supuestos!K45)</f>
        <v>22898187.407064203</v>
      </c>
    </row>
    <row r="22">
      <c r="A22" s="106" t="s">
        <v>2395</v>
      </c>
      <c r="B22" s="51"/>
      <c r="C22" s="51"/>
      <c r="D22" s="51"/>
      <c r="E22" s="111">
        <f>Notas_EEFF!K2723</f>
        <v>39159903</v>
      </c>
      <c r="F22" s="111">
        <f>Notas_EEFF!K2722</f>
        <v>41214579</v>
      </c>
      <c r="G22" s="109">
        <f>F22*(1+Supuestos!G50)</f>
        <v>43378344.3975</v>
      </c>
      <c r="H22" s="111">
        <f>G22*(1+Supuestos!H50)</f>
        <v>45655707.47836875</v>
      </c>
      <c r="I22" s="111">
        <f>H22*(1+Supuestos!I50)</f>
        <v>48052632.12098311</v>
      </c>
      <c r="J22" s="111">
        <f>I22*(1+Supuestos!J50)</f>
        <v>50575395.30733472</v>
      </c>
      <c r="K22" s="111">
        <f>J22*(1+Supuestos!K50)</f>
        <v>53230603.56096979</v>
      </c>
    </row>
    <row r="23">
      <c r="A23" s="106" t="s">
        <v>2396</v>
      </c>
      <c r="B23" s="51"/>
      <c r="C23" s="51"/>
      <c r="D23" s="51"/>
      <c r="E23" s="111">
        <f>Notas_EEFF!K2725</f>
        <v>5662609</v>
      </c>
      <c r="F23" s="111">
        <f>Notas_EEFF!K2724</f>
        <v>5661627</v>
      </c>
      <c r="G23" s="109">
        <f>F23*(1+Supuestos!G55)</f>
        <v>5660494.6746000005</v>
      </c>
      <c r="H23" s="111">
        <f>G23*(1+Supuestos!H55)</f>
        <v>5659362.575665081</v>
      </c>
      <c r="I23" s="111">
        <f>H23*(1+Supuestos!I55)</f>
        <v>5658230.703149948</v>
      </c>
      <c r="J23" s="111">
        <f>I23*(1+Supuestos!J55)</f>
        <v>5657099.057009319</v>
      </c>
      <c r="K23" s="111">
        <f>J23*(1+Supuestos!K55)</f>
        <v>5655967.637197917</v>
      </c>
    </row>
    <row r="24">
      <c r="A24" s="106" t="s">
        <v>2397</v>
      </c>
      <c r="B24" s="51"/>
      <c r="C24" s="51"/>
      <c r="D24" s="51"/>
      <c r="E24" s="111">
        <f>Notas_EEFF!K2727</f>
        <v>5264032</v>
      </c>
      <c r="F24" s="111">
        <f>Notas_EEFF!K2726</f>
        <v>5598664</v>
      </c>
      <c r="G24" s="109">
        <f>F24*(1+Supuestos!G60)</f>
        <v>5954739.0304000005</v>
      </c>
      <c r="H24" s="111">
        <f>G24*(1+Supuestos!H60)</f>
        <v>6333460.432733441</v>
      </c>
      <c r="I24" s="111">
        <f>H24*(1+Supuestos!I60)</f>
        <v>6736268.516255288</v>
      </c>
      <c r="J24" s="111">
        <f>I24*(1+Supuestos!J60)</f>
        <v>7164695.193889125</v>
      </c>
      <c r="K24" s="111">
        <f>J24*(1+Supuestos!K60)</f>
        <v>7620369.808220474</v>
      </c>
    </row>
    <row r="25">
      <c r="A25" s="106" t="s">
        <v>2398</v>
      </c>
      <c r="B25" s="51"/>
      <c r="C25" s="51"/>
      <c r="D25" s="51"/>
      <c r="E25" s="111">
        <f>Notas_EEFF!K2729</f>
        <v>16624396</v>
      </c>
      <c r="F25" s="111">
        <f>Notas_EEFF!K2728</f>
        <v>16727248</v>
      </c>
      <c r="G25" s="109">
        <f>F25*(1+Supuestos!G65)</f>
        <v>16830956.937599998</v>
      </c>
      <c r="H25" s="111">
        <f>G25*(1+Supuestos!H65)</f>
        <v>16935308.870613117</v>
      </c>
      <c r="I25" s="111">
        <f>H25*(1+Supuestos!I65)</f>
        <v>17040307.785610918</v>
      </c>
      <c r="J25" s="111">
        <f>I25*(1+Supuestos!J65)</f>
        <v>17145957.693881705</v>
      </c>
      <c r="K25" s="111">
        <f>J25*(1+Supuestos!K65)</f>
        <v>17252262.631583773</v>
      </c>
    </row>
    <row r="26">
      <c r="A26" s="106" t="s">
        <v>2399</v>
      </c>
      <c r="B26" s="51"/>
      <c r="C26" s="51"/>
      <c r="D26" s="51"/>
      <c r="E26" s="111">
        <f>Notas_EEFF!K2731</f>
        <v>5695830</v>
      </c>
      <c r="F26" s="111">
        <f>Notas_EEFF!K2730</f>
        <v>5774973</v>
      </c>
      <c r="G26" s="109">
        <f>F26*(1+Supuestos!G70)</f>
        <v>5855245.1247000005</v>
      </c>
      <c r="H26" s="111">
        <f>G26*(1+Supuestos!H70)</f>
        <v>5936633.031933331</v>
      </c>
      <c r="I26" s="111">
        <f>H26*(1+Supuestos!I70)</f>
        <v>6019152.231077204</v>
      </c>
      <c r="J26" s="111">
        <f>I26*(1+Supuestos!J70)</f>
        <v>6102818.447089178</v>
      </c>
      <c r="K26" s="111">
        <f>J26*(1+Supuestos!K70)</f>
        <v>6187647.623503718</v>
      </c>
    </row>
    <row r="27">
      <c r="A27" s="106" t="s">
        <v>2400</v>
      </c>
      <c r="B27" s="51"/>
      <c r="C27" s="51"/>
      <c r="D27" s="51"/>
      <c r="E27" s="111">
        <f>Notas_EEFF!K2733</f>
        <v>5059301</v>
      </c>
      <c r="F27" s="111">
        <f>Notas_EEFF!K2732</f>
        <v>4979863</v>
      </c>
      <c r="G27" s="109">
        <f>F27*(1+Supuestos!G75)</f>
        <v>4901679.1509</v>
      </c>
      <c r="H27" s="111">
        <f>G27*(1+Supuestos!H75)</f>
        <v>4824722.78823087</v>
      </c>
      <c r="I27" s="111">
        <f>H27*(1+Supuestos!I75)</f>
        <v>4748974.640455645</v>
      </c>
      <c r="J27" s="111">
        <f>I27*(1+Supuestos!J75)</f>
        <v>4674415.738600491</v>
      </c>
      <c r="K27" s="111">
        <f>J27*(1+Supuestos!K75)</f>
        <v>4601027.411504462</v>
      </c>
    </row>
    <row r="28">
      <c r="A28" s="106" t="s">
        <v>2401</v>
      </c>
      <c r="B28" s="51"/>
      <c r="C28" s="51"/>
      <c r="D28" s="51"/>
      <c r="E28" s="111">
        <f>Notas_EEFF!K2735</f>
        <v>64553128</v>
      </c>
      <c r="F28" s="111">
        <f>Notas_EEFF!K2734</f>
        <v>65224063</v>
      </c>
      <c r="G28" s="109">
        <f>F28*(1+Supuestos!G80)</f>
        <v>65902393.2552</v>
      </c>
      <c r="H28" s="111">
        <f>G28*(1+Supuestos!H80)</f>
        <v>66587778.14505408</v>
      </c>
      <c r="I28" s="111">
        <f>H28*(1+Supuestos!I80)</f>
        <v>67280291.03776264</v>
      </c>
      <c r="J28" s="111">
        <f>I28*(1+Supuestos!J80)</f>
        <v>67980006.06455538</v>
      </c>
      <c r="K28" s="111">
        <f>J28*(1+Supuestos!K80)</f>
        <v>68686998.12762675</v>
      </c>
    </row>
    <row r="29">
      <c r="A29" s="106" t="s">
        <v>2402</v>
      </c>
      <c r="B29" s="51"/>
      <c r="C29" s="51"/>
      <c r="D29" s="51"/>
      <c r="E29" s="111">
        <f>Notas_EEFF!K2737</f>
        <v>2816214</v>
      </c>
      <c r="F29" s="111">
        <f>Notas_EEFF!K2736</f>
        <v>2734994</v>
      </c>
      <c r="G29" s="109">
        <f>F29*(1+Supuestos!G85)</f>
        <v>2656226.1728</v>
      </c>
      <c r="H29" s="111">
        <f>G29*(1+Supuestos!H85)</f>
        <v>2579726.8590233596</v>
      </c>
      <c r="I29" s="111">
        <f>H29*(1+Supuestos!I85)</f>
        <v>2505430.725483487</v>
      </c>
      <c r="J29" s="111">
        <f>I29*(1+Supuestos!J85)</f>
        <v>2433274.3205895624</v>
      </c>
      <c r="K29" s="111">
        <f>J29*(1+Supuestos!K85)</f>
        <v>2363196.020156583</v>
      </c>
    </row>
    <row r="30">
      <c r="A30" s="106" t="s">
        <v>2403</v>
      </c>
      <c r="B30" s="51"/>
      <c r="C30" s="51"/>
      <c r="D30" s="51"/>
      <c r="E30" s="111">
        <f>Notas_EEFF!K2739</f>
        <v>12790589</v>
      </c>
      <c r="F30" s="111">
        <f>Notas_EEFF!K2738</f>
        <v>12943398</v>
      </c>
      <c r="G30" s="109">
        <f>F30*(1+Supuestos!G90)</f>
        <v>13097424.4362</v>
      </c>
      <c r="H30" s="111">
        <f>G30*(1+Supuestos!H90)</f>
        <v>13253283.78699078</v>
      </c>
      <c r="I30" s="111">
        <f>H30*(1+Supuestos!I90)</f>
        <v>13410997.86405597</v>
      </c>
      <c r="J30" s="111">
        <f>I30*(1+Supuestos!J90)</f>
        <v>13570588.738638237</v>
      </c>
      <c r="K30" s="111">
        <f>J30*(1+Supuestos!K90)</f>
        <v>13732078.744628033</v>
      </c>
    </row>
    <row r="31">
      <c r="A31" s="46"/>
      <c r="B31" s="46"/>
      <c r="C31" s="46"/>
      <c r="D31" s="46"/>
      <c r="E31" s="46"/>
      <c r="F31" s="46"/>
      <c r="G31" s="57"/>
      <c r="H31" s="46"/>
      <c r="I31" s="46"/>
      <c r="J31" s="46"/>
      <c r="K31" s="46"/>
    </row>
    <row r="32">
      <c r="A32" s="106" t="s">
        <v>2404</v>
      </c>
      <c r="G32" s="57"/>
    </row>
    <row r="33">
      <c r="A33" s="95" t="s">
        <v>2405</v>
      </c>
      <c r="B33" s="100">
        <f>B19+B20+B21+B22+B23+B24+B25+B26+B27+B28+B29+B30</f>
        <v>0</v>
      </c>
      <c r="C33" s="100">
        <f>C19+C20+C21+C22+C23+C24+C25+C26+C27+C28+C29+C30</f>
        <v>0</v>
      </c>
      <c r="D33" s="100">
        <f>D19+D20+D21+D22+D23+D24+D25+D26+D27+D28+D29+D30</f>
        <v>0</v>
      </c>
      <c r="E33" s="100">
        <f>E19+E20+E21+E22+E23+E24+E25+E26+E27+E28+E29+E30</f>
        <v>361453646</v>
      </c>
      <c r="F33" s="100">
        <f>F19+F20+F21+F22+F23+F24+F25+F26+F27+F28+F29+F30</f>
        <v>381809758</v>
      </c>
      <c r="G33" s="92">
        <f>G19+G20+G21+G22+G23+G24+G25+G26+G27+G28+G29+G30</f>
        <v>404388826.80370003</v>
      </c>
      <c r="H33" s="100">
        <f>H19+H20+H21+H22+H23+H24+H25+H26+H27+H28+H29+H30</f>
        <v>429481054.9989513</v>
      </c>
      <c r="I33" s="100">
        <f>I19+I20+I21+I22+I23+I24+I25+I26+I27+I28+I29+I30</f>
        <v>457416626.8530184</v>
      </c>
      <c r="J33" s="100">
        <f>J19+J20+J21+J22+J23+J24+J25+J26+J27+J28+J29+J30</f>
        <v>488571267.34874195</v>
      </c>
      <c r="K33" s="100">
        <f>K19+K20+K21+K22+K23+K24+K25+K26+K27+K28+K29+K30</f>
        <v>523372606.5258051</v>
      </c>
    </row>
    <row r="34">
      <c r="A34" s="106" t="s">
        <v>2406</v>
      </c>
      <c r="B34" s="51"/>
      <c r="C34" s="51"/>
      <c r="D34" s="51"/>
      <c r="E34" s="111">
        <f>Notas_EEFF!K2741</f>
        <v>361453646</v>
      </c>
      <c r="F34" s="111">
        <f>Notas_EEFF!K2740</f>
        <v>381809758</v>
      </c>
      <c r="G34" s="52"/>
      <c r="H34" s="51"/>
      <c r="I34" s="51"/>
      <c r="J34" s="51"/>
      <c r="K34" s="51"/>
    </row>
    <row r="35">
      <c r="A35" s="106" t="s">
        <v>2407</v>
      </c>
      <c r="B35" s="51"/>
      <c r="C35" s="51"/>
      <c r="D35" s="51"/>
      <c r="E35" s="110">
        <f>E33-E34</f>
        <v>0</v>
      </c>
      <c r="F35" s="110">
        <f>F33-F34</f>
        <v>0</v>
      </c>
      <c r="G35" s="52"/>
      <c r="H35" s="51"/>
      <c r="I35" s="51"/>
      <c r="J35" s="51"/>
      <c r="K35" s="51"/>
    </row>
    <row r="36">
      <c r="A36" s="46"/>
      <c r="B36" s="46"/>
      <c r="C36" s="46"/>
      <c r="D36" s="46"/>
      <c r="E36" s="46"/>
      <c r="F36" s="46"/>
      <c r="G36" s="57"/>
      <c r="H36" s="46"/>
      <c r="I36" s="46"/>
      <c r="J36" s="46"/>
      <c r="K36" s="46"/>
    </row>
    <row r="37">
      <c r="A37" s="108" t="s">
        <v>2408</v>
      </c>
      <c r="B37" s="63"/>
      <c r="C37" s="63"/>
      <c r="D37" s="63"/>
      <c r="E37" s="63"/>
      <c r="F37" s="63"/>
      <c r="G37" s="66"/>
      <c r="H37" s="69"/>
      <c r="I37" s="69"/>
      <c r="J37" s="69"/>
      <c r="K37" s="69"/>
    </row>
    <row r="38">
      <c r="A38" s="106" t="s">
        <v>2409</v>
      </c>
      <c r="G38" s="57"/>
    </row>
    <row r="39">
      <c r="A39" s="106" t="s">
        <v>2410</v>
      </c>
      <c r="B39" s="111">
        <f>EEFF!B50</f>
        <v>0</v>
      </c>
      <c r="C39" s="111">
        <f>EEFF!C50</f>
        <v>0</v>
      </c>
      <c r="D39" s="111">
        <f>EEFF!D50</f>
        <v>0</v>
      </c>
      <c r="E39" s="111">
        <f>EEFF!E50</f>
        <v>820306455</v>
      </c>
      <c r="F39" s="111">
        <f>EEFF!F50</f>
        <v>885435473</v>
      </c>
      <c r="G39" s="109">
        <f>F39*(1+Supuestos!G11)</f>
        <v>955739049.5561999</v>
      </c>
      <c r="H39" s="111">
        <f>G39*(1+Supuestos!H11)</f>
        <v>1031624730.090962</v>
      </c>
      <c r="I39" s="111">
        <f>H39*(1+Supuestos!I11)</f>
        <v>1113535733.6601844</v>
      </c>
      <c r="J39" s="111">
        <f>I39*(1+Supuestos!J11)</f>
        <v>1201950470.912803</v>
      </c>
      <c r="K39" s="111">
        <f>J39*(1+Supuestos!K11)</f>
        <v>1297385338.3032794</v>
      </c>
    </row>
    <row r="40">
      <c r="A40" s="106" t="s">
        <v>2411</v>
      </c>
      <c r="B40" s="111">
        <f>EEFF!B51</f>
        <v>0</v>
      </c>
      <c r="C40" s="111">
        <f>EEFF!C51</f>
        <v>0</v>
      </c>
      <c r="D40" s="111">
        <f>EEFF!D51</f>
        <v>0</v>
      </c>
      <c r="E40" s="111">
        <f>EEFF!E51</f>
        <v>-367877750</v>
      </c>
      <c r="F40" s="111">
        <f>EEFF!F51</f>
        <v>-426466314</v>
      </c>
      <c r="G40" s="109">
        <f>G39*Supuestos!G19</f>
        <v>-460283926.26626587</v>
      </c>
      <c r="H40" s="111">
        <f>H39*Supuestos!H19</f>
        <v>-496830470.0118073</v>
      </c>
      <c r="I40" s="111">
        <f>I39*Supuestos!I19</f>
        <v>-536278809.33074474</v>
      </c>
      <c r="J40" s="111">
        <f>J39*Supuestos!J19</f>
        <v>-578859346.7916058</v>
      </c>
      <c r="K40" s="111">
        <f>K39*Supuestos!K19</f>
        <v>-624820778.9268594</v>
      </c>
    </row>
    <row r="41">
      <c r="A41" s="106" t="s">
        <v>2412</v>
      </c>
      <c r="B41" s="111">
        <f>EEFF!B52</f>
        <v>0</v>
      </c>
      <c r="C41" s="111">
        <f>EEFF!C52</f>
        <v>0</v>
      </c>
      <c r="D41" s="111">
        <f>EEFF!D52</f>
        <v>0</v>
      </c>
      <c r="E41" s="111">
        <f>EEFF!E52</f>
        <v>-314823760</v>
      </c>
      <c r="F41" s="111">
        <f>EEFF!F52</f>
        <v>-313277206</v>
      </c>
      <c r="G41" s="112">
        <f>G39*($F$41/$F$39)</f>
        <v>-338151416.15639997</v>
      </c>
      <c r="H41" s="110">
        <f>H39*($F$41/$F$39)</f>
        <v>-365000638.5992181</v>
      </c>
      <c r="I41" s="110">
        <f>I39*($F$41/$F$39)</f>
        <v>-393981689.30399597</v>
      </c>
      <c r="J41" s="110">
        <f>J39*($F$41/$F$39)</f>
        <v>-425263835.4347332</v>
      </c>
      <c r="K41" s="110">
        <f>K39*($F$41/$F$39)</f>
        <v>-459029783.968251</v>
      </c>
    </row>
    <row r="42">
      <c r="A42" s="95" t="s">
        <v>2413</v>
      </c>
      <c r="B42" s="100">
        <f>B39+B40+B41</f>
        <v>0</v>
      </c>
      <c r="C42" s="100">
        <f>C39+C40+C41</f>
        <v>0</v>
      </c>
      <c r="D42" s="100">
        <f>D39+D40+D41</f>
        <v>0</v>
      </c>
      <c r="E42" s="100">
        <f>E39+E40+E41</f>
        <v>137604945</v>
      </c>
      <c r="F42" s="100">
        <f>F39+F40+F41</f>
        <v>145691953</v>
      </c>
      <c r="G42" s="92">
        <f>G39+G40+G41</f>
        <v>157303707.13353407</v>
      </c>
      <c r="H42" s="100">
        <f>H39+H40+H41</f>
        <v>169793621.47993666</v>
      </c>
      <c r="I42" s="100">
        <f>I39+I40+I41</f>
        <v>183275235.02544367</v>
      </c>
      <c r="J42" s="100">
        <f>J39+J40+J41</f>
        <v>197827288.6864639</v>
      </c>
      <c r="K42" s="100">
        <f>K39+K40+K41</f>
        <v>213534775.40816903</v>
      </c>
    </row>
    <row r="43">
      <c r="A43" s="106" t="s">
        <v>2414</v>
      </c>
      <c r="B43" s="111">
        <f>EEFF!B53</f>
        <v>0</v>
      </c>
      <c r="C43" s="111">
        <f>EEFF!C53</f>
        <v>0</v>
      </c>
      <c r="D43" s="111">
        <f>EEFF!D53</f>
        <v>0</v>
      </c>
      <c r="E43" s="111">
        <f>EEFF!E53</f>
        <v>137604945</v>
      </c>
      <c r="F43" s="111">
        <f>EEFF!F53</f>
        <v>145691953</v>
      </c>
      <c r="G43" s="52"/>
      <c r="H43" s="51"/>
      <c r="I43" s="51"/>
      <c r="J43" s="51"/>
      <c r="K43" s="51"/>
    </row>
    <row r="44">
      <c r="A44" s="106" t="s">
        <v>2415</v>
      </c>
      <c r="B44" s="110">
        <f>B42-B43</f>
        <v>0</v>
      </c>
      <c r="C44" s="110">
        <f>C42-C43</f>
        <v>0</v>
      </c>
      <c r="D44" s="110">
        <f>D42-D43</f>
        <v>0</v>
      </c>
      <c r="E44" s="110">
        <f>E42-E43</f>
        <v>0</v>
      </c>
      <c r="F44" s="110">
        <f>F42-F43</f>
        <v>0</v>
      </c>
      <c r="G44" s="52"/>
      <c r="H44" s="51"/>
      <c r="I44" s="51"/>
      <c r="J44" s="51"/>
      <c r="K44" s="51"/>
    </row>
    <row r="45">
      <c r="A45" s="46"/>
      <c r="B45" s="46"/>
      <c r="C45" s="46"/>
      <c r="D45" s="46"/>
      <c r="E45" s="46"/>
      <c r="F45" s="46"/>
      <c r="G45" s="57"/>
      <c r="H45" s="46"/>
      <c r="I45" s="46"/>
      <c r="J45" s="46"/>
      <c r="K45" s="46"/>
    </row>
    <row r="46">
      <c r="A46" s="106" t="s">
        <v>2416</v>
      </c>
      <c r="B46" s="111">
        <f>EEFF!B54</f>
        <v>0</v>
      </c>
      <c r="C46" s="111">
        <f>EEFF!C54</f>
        <v>0</v>
      </c>
      <c r="D46" s="111">
        <f>EEFF!D54</f>
        <v>0</v>
      </c>
      <c r="E46" s="111">
        <f>EEFF!E54</f>
        <v>35258108</v>
      </c>
      <c r="F46" s="111">
        <f>EEFF!F54</f>
        <v>40827249</v>
      </c>
      <c r="G46" s="52"/>
      <c r="H46" s="51"/>
      <c r="I46" s="51"/>
      <c r="J46" s="51"/>
      <c r="K46" s="51"/>
    </row>
    <row r="47">
      <c r="A47" s="106" t="s">
        <v>2417</v>
      </c>
      <c r="B47" s="111">
        <f>EEFF!B55</f>
        <v>0</v>
      </c>
      <c r="C47" s="111">
        <f>EEFF!C55</f>
        <v>0</v>
      </c>
      <c r="D47" s="111">
        <f>EEFF!D55</f>
        <v>0</v>
      </c>
      <c r="E47" s="111">
        <f>EEFF!E55</f>
        <v>55379789</v>
      </c>
      <c r="F47" s="111">
        <f>EEFF!F55</f>
        <v>61865524</v>
      </c>
      <c r="G47" s="52"/>
      <c r="H47" s="51"/>
      <c r="I47" s="51"/>
      <c r="J47" s="51"/>
      <c r="K47" s="51"/>
    </row>
    <row r="48">
      <c r="A48" s="58" t="s">
        <v>2418</v>
      </c>
      <c r="B48" s="72">
        <f>EEFF!B56</f>
        <v>0</v>
      </c>
      <c r="C48" s="72">
        <f>EEFF!C56</f>
        <v>0</v>
      </c>
      <c r="D48" s="72">
        <f>EEFF!D56</f>
        <v>0</v>
      </c>
      <c r="E48" s="72">
        <f>EEFF!E56</f>
        <v>281188</v>
      </c>
      <c r="F48" s="72">
        <f>EEFF!F56</f>
        <v>-70123</v>
      </c>
      <c r="G48" s="54"/>
      <c r="H48" s="47"/>
      <c r="I48" s="47"/>
      <c r="J48" s="47"/>
      <c r="K48" s="47"/>
    </row>
    <row r="49">
      <c r="A49" s="95" t="s">
        <v>2419</v>
      </c>
      <c r="B49" s="100">
        <f>B46+B47+B48</f>
        <v>0</v>
      </c>
      <c r="C49" s="100">
        <f>C46+C47+C48</f>
        <v>0</v>
      </c>
      <c r="D49" s="100">
        <f>D46+D47+D48</f>
        <v>0</v>
      </c>
      <c r="E49" s="100">
        <f>E46+E47+E48</f>
        <v>90919085</v>
      </c>
      <c r="F49" s="100">
        <f>F46+F47+F48</f>
        <v>102622650</v>
      </c>
      <c r="G49" s="60"/>
      <c r="H49" s="53"/>
      <c r="I49" s="53"/>
      <c r="J49" s="53"/>
      <c r="K49" s="53"/>
    </row>
    <row r="50">
      <c r="A50" s="106" t="s">
        <v>2420</v>
      </c>
      <c r="B50" s="111">
        <f>EEFF!B57</f>
        <v>0</v>
      </c>
      <c r="C50" s="111">
        <f>EEFF!C57</f>
        <v>0</v>
      </c>
      <c r="D50" s="111">
        <f>EEFF!D57</f>
        <v>0</v>
      </c>
      <c r="E50" s="111">
        <f>EEFF!E57</f>
        <v>90919085</v>
      </c>
      <c r="F50" s="111">
        <f>EEFF!F57</f>
        <v>102622650</v>
      </c>
      <c r="G50" s="52"/>
      <c r="H50" s="51"/>
      <c r="I50" s="51"/>
      <c r="J50" s="51"/>
      <c r="K50" s="51"/>
    </row>
    <row r="51">
      <c r="A51" s="46"/>
      <c r="B51" s="46"/>
      <c r="C51" s="46"/>
      <c r="D51" s="46"/>
      <c r="E51" s="46"/>
      <c r="F51" s="46"/>
      <c r="G51" s="57"/>
      <c r="H51" s="46"/>
      <c r="I51" s="46"/>
      <c r="J51" s="46"/>
      <c r="K51" s="46"/>
    </row>
    <row r="52">
      <c r="A52" s="106" t="s">
        <v>2421</v>
      </c>
      <c r="B52" s="111">
        <f>EEFF!B58</f>
        <v>0</v>
      </c>
      <c r="C52" s="111">
        <f>EEFF!C58</f>
        <v>0</v>
      </c>
      <c r="D52" s="111">
        <f>EEFF!D58</f>
        <v>0</v>
      </c>
      <c r="E52" s="111">
        <f>EEFF!E58</f>
        <v>-9221440</v>
      </c>
      <c r="F52" s="111">
        <f>EEFF!F58</f>
        <v>-11097456</v>
      </c>
      <c r="G52" s="52"/>
      <c r="H52" s="51"/>
      <c r="I52" s="51"/>
      <c r="J52" s="51"/>
      <c r="K52" s="51"/>
    </row>
    <row r="53">
      <c r="A53" s="106" t="s">
        <v>2422</v>
      </c>
      <c r="B53" s="111">
        <f>EEFF!B59</f>
        <v>0</v>
      </c>
      <c r="C53" s="111">
        <f>EEFF!C59</f>
        <v>0</v>
      </c>
      <c r="D53" s="111">
        <f>EEFF!D59</f>
        <v>0</v>
      </c>
      <c r="E53" s="111">
        <f>EEFF!E59</f>
        <v>959026</v>
      </c>
      <c r="F53" s="111">
        <f>EEFF!F59</f>
        <v>2508685</v>
      </c>
      <c r="G53" s="52"/>
      <c r="H53" s="51"/>
      <c r="I53" s="51"/>
      <c r="J53" s="51"/>
      <c r="K53" s="51"/>
    </row>
    <row r="54">
      <c r="A54" s="95" t="s">
        <v>2423</v>
      </c>
      <c r="B54" s="100">
        <f>B49+B52+B53</f>
        <v>0</v>
      </c>
      <c r="C54" s="100">
        <f>C49+C52+C53</f>
        <v>0</v>
      </c>
      <c r="D54" s="100">
        <f>D49+D52+D53</f>
        <v>0</v>
      </c>
      <c r="E54" s="100">
        <f>E49+E52+E53</f>
        <v>82656671</v>
      </c>
      <c r="F54" s="100">
        <f>F49+F52+F53</f>
        <v>94033879</v>
      </c>
      <c r="G54" s="60"/>
      <c r="H54" s="53"/>
      <c r="I54" s="53"/>
      <c r="J54" s="53"/>
      <c r="K54" s="53"/>
    </row>
    <row r="55">
      <c r="A55" s="106" t="s">
        <v>2424</v>
      </c>
      <c r="B55" s="111">
        <f>EEFF!B60</f>
        <v>0</v>
      </c>
      <c r="C55" s="111">
        <f>EEFF!C60</f>
        <v>0</v>
      </c>
      <c r="D55" s="111">
        <f>EEFF!D60</f>
        <v>0</v>
      </c>
      <c r="E55" s="111">
        <f>EEFF!E60</f>
        <v>82656671</v>
      </c>
      <c r="F55" s="111">
        <f>EEFF!F60</f>
        <v>94033879</v>
      </c>
      <c r="G55" s="52"/>
      <c r="H55" s="51"/>
      <c r="I55" s="51"/>
      <c r="J55" s="51"/>
      <c r="K55" s="51"/>
    </row>
    <row r="56">
      <c r="A56" s="106" t="s">
        <v>2425</v>
      </c>
      <c r="B56" s="110">
        <f>B54-B55</f>
        <v>0</v>
      </c>
      <c r="C56" s="110">
        <f>C54-C55</f>
        <v>0</v>
      </c>
      <c r="D56" s="110">
        <f>D54-D55</f>
        <v>0</v>
      </c>
      <c r="E56" s="110">
        <f>E54-E55</f>
        <v>0</v>
      </c>
      <c r="F56" s="110">
        <f>F54-F55</f>
        <v>0</v>
      </c>
      <c r="G56" s="52"/>
      <c r="H56" s="51"/>
      <c r="I56" s="51"/>
      <c r="J56" s="51"/>
      <c r="K56" s="51"/>
    </row>
    <row r="57">
      <c r="A57" s="46"/>
      <c r="B57" s="46"/>
      <c r="C57" s="46"/>
      <c r="D57" s="46"/>
      <c r="E57" s="46"/>
      <c r="F57" s="46"/>
      <c r="G57" s="57"/>
      <c r="H57" s="46"/>
      <c r="I57" s="46"/>
      <c r="J57" s="46"/>
      <c r="K57" s="46"/>
    </row>
    <row r="58">
      <c r="A58" s="108" t="s">
        <v>2426</v>
      </c>
      <c r="B58" s="63"/>
      <c r="C58" s="63"/>
      <c r="D58" s="63"/>
      <c r="E58" s="63"/>
      <c r="F58" s="63"/>
      <c r="G58" s="66"/>
      <c r="H58" s="69"/>
      <c r="I58" s="69"/>
      <c r="J58" s="69"/>
      <c r="K58" s="69"/>
    </row>
    <row r="59">
      <c r="A59" s="106" t="s">
        <v>2427</v>
      </c>
      <c r="G59" s="57"/>
    </row>
    <row r="60">
      <c r="A60" s="46"/>
      <c r="B60" s="46"/>
      <c r="C60" s="46"/>
      <c r="D60" s="46"/>
      <c r="E60" s="46"/>
      <c r="F60" s="46"/>
      <c r="G60" s="57"/>
      <c r="H60" s="46"/>
      <c r="I60" s="46"/>
      <c r="J60" s="46"/>
      <c r="K60" s="46"/>
    </row>
    <row r="61">
      <c r="A61" s="108" t="s">
        <v>2428</v>
      </c>
      <c r="B61" s="63"/>
      <c r="C61" s="63"/>
      <c r="D61" s="63"/>
      <c r="E61" s="63"/>
      <c r="F61" s="63"/>
      <c r="G61" s="66"/>
      <c r="H61" s="69"/>
      <c r="I61" s="69"/>
      <c r="J61" s="69"/>
      <c r="K61" s="69"/>
    </row>
    <row r="62">
      <c r="A62" s="106" t="s">
        <v>2429</v>
      </c>
      <c r="B62" s="68">
        <f>ABS(EEFF!B19+EEFF!B20+EEFF!B21)/EEFF!B15</f>
        <v>0.8274072009438092</v>
      </c>
      <c r="C62" s="68">
        <f>ABS(EEFF!C19+EEFF!C20+EEFF!C21)/EEFF!C15</f>
        <v>0.8296164859655442</v>
      </c>
      <c r="D62" s="68">
        <f>ABS(EEFF!D19+EEFF!D20+EEFF!D21)/EEFF!D15</f>
        <v>0.8578471713623376</v>
      </c>
      <c r="E62" s="67"/>
      <c r="F62" s="67"/>
      <c r="G62" s="62"/>
      <c r="H62" s="67"/>
      <c r="I62" s="67"/>
      <c r="J62" s="67"/>
      <c r="K62" s="67"/>
    </row>
    <row r="63">
      <c r="A63" s="46"/>
      <c r="B63" s="46"/>
      <c r="C63" s="46"/>
      <c r="D63" s="46"/>
      <c r="E63" s="46"/>
      <c r="F63" s="46"/>
      <c r="G63" s="57"/>
      <c r="H63" s="46"/>
      <c r="I63" s="46"/>
      <c r="J63" s="46"/>
      <c r="K63" s="46"/>
    </row>
    <row r="64">
      <c r="A64" s="106" t="s">
        <v>2430</v>
      </c>
      <c r="G64" s="57"/>
    </row>
    <row r="65">
      <c r="A65" s="106" t="s">
        <v>2431</v>
      </c>
      <c r="B65" s="67"/>
      <c r="C65" s="67"/>
      <c r="D65" s="67"/>
      <c r="E65" s="68">
        <f>ABS(EEFF!E51)/EEFF!E50</f>
        <v>0.44846380003190395</v>
      </c>
      <c r="F65" s="68">
        <f>ABS(EEFF!F51)/EEFF!F50</f>
        <v>0.4816458420793358</v>
      </c>
      <c r="G65" s="62"/>
      <c r="H65" s="67"/>
      <c r="I65" s="67"/>
      <c r="J65" s="67"/>
      <c r="K65" s="67"/>
    </row>
    <row r="66">
      <c r="A66" s="106" t="s">
        <v>2432</v>
      </c>
      <c r="B66" s="67"/>
      <c r="C66" s="67"/>
      <c r="D66" s="67"/>
      <c r="E66" s="68">
        <f>ABS(EEFF!E52)/EEFF!E50</f>
        <v>0.38378798323609437</v>
      </c>
      <c r="F66" s="68">
        <f>ABS(EEFF!F52)/EEFF!F50</f>
        <v>0.3538114470821523</v>
      </c>
      <c r="G66" s="62"/>
      <c r="H66" s="67"/>
      <c r="I66" s="67"/>
      <c r="J66" s="67"/>
      <c r="K66" s="67"/>
    </row>
    <row r="67">
      <c r="A67" s="46"/>
      <c r="B67" s="46"/>
      <c r="C67" s="46"/>
      <c r="D67" s="46"/>
      <c r="E67" s="46"/>
      <c r="F67" s="46"/>
      <c r="G67" s="57"/>
      <c r="H67" s="46"/>
      <c r="I67" s="46"/>
      <c r="J67" s="46"/>
      <c r="K67" s="46"/>
    </row>
    <row r="68">
      <c r="A68" s="106" t="s">
        <v>2433</v>
      </c>
      <c r="G68" s="57"/>
    </row>
  </sheetData>
</worksheet>
</file>

<file path=xl/worksheets/sheet7.xml><?xml version="1.0" encoding="utf-8"?>
<worksheet xmlns="http://schemas.openxmlformats.org/spreadsheetml/2006/main" xmlns:r="http://schemas.openxmlformats.org/officeDocument/2006/relationships">
  <dimension ref="A1:K94"/>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2434</v>
      </c>
      <c r="G2" s="57"/>
    </row>
    <row r="3">
      <c r="A3" s="106" t="s">
        <v>2435</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2436</v>
      </c>
      <c r="B7" s="63"/>
      <c r="C7" s="63"/>
      <c r="D7" s="63"/>
      <c r="E7" s="63"/>
      <c r="F7" s="63"/>
      <c r="G7" s="66"/>
      <c r="H7" s="69"/>
      <c r="I7" s="69"/>
      <c r="J7" s="69"/>
      <c r="K7" s="69"/>
    </row>
    <row r="8">
      <c r="A8" s="106" t="s">
        <v>2437</v>
      </c>
      <c r="G8" s="57"/>
    </row>
    <row r="9">
      <c r="A9" s="106" t="s">
        <v>2438</v>
      </c>
      <c r="B9" s="111">
        <f>EEFF!B94</f>
        <v>222380820</v>
      </c>
      <c r="C9" s="111">
        <f>EEFF!C94</f>
        <v>222836666</v>
      </c>
      <c r="D9" s="111">
        <f>EEFF!D94</f>
        <v>252044466</v>
      </c>
      <c r="E9" s="51"/>
      <c r="F9" s="51"/>
      <c r="G9" s="52"/>
      <c r="H9" s="51"/>
      <c r="I9" s="51"/>
      <c r="J9" s="51"/>
      <c r="K9" s="51"/>
    </row>
    <row r="10">
      <c r="A10" s="106" t="s">
        <v>2439</v>
      </c>
      <c r="B10" s="111">
        <f>EEFF!B95</f>
        <v>166900068</v>
      </c>
      <c r="C10" s="111">
        <f>EEFF!C95</f>
        <v>262168088</v>
      </c>
      <c r="D10" s="111">
        <f>EEFF!D95</f>
        <v>183640714</v>
      </c>
      <c r="E10" s="51"/>
      <c r="F10" s="51"/>
      <c r="G10" s="52"/>
      <c r="H10" s="51"/>
      <c r="I10" s="51"/>
      <c r="J10" s="51"/>
      <c r="K10" s="51"/>
    </row>
    <row r="11">
      <c r="A11" s="106" t="s">
        <v>2440</v>
      </c>
      <c r="B11" s="111">
        <f>EEFF!B96</f>
        <v>271722485</v>
      </c>
      <c r="C11" s="111">
        <f>EEFF!C96</f>
        <v>285566197</v>
      </c>
      <c r="D11" s="111">
        <f>EEFF!D96</f>
        <v>297881412</v>
      </c>
      <c r="E11" s="51"/>
      <c r="F11" s="51"/>
      <c r="G11" s="52"/>
      <c r="H11" s="51"/>
      <c r="I11" s="51"/>
      <c r="J11" s="51"/>
      <c r="K11" s="51"/>
    </row>
    <row r="12">
      <c r="A12" s="106" t="s">
        <v>2441</v>
      </c>
      <c r="B12" s="111">
        <f>EEFF!B97</f>
        <v>661003373</v>
      </c>
      <c r="C12" s="111">
        <f>EEFF!C97</f>
        <v>770570951</v>
      </c>
      <c r="D12" s="111">
        <f>EEFF!D97</f>
        <v>733566592</v>
      </c>
      <c r="E12" s="51"/>
      <c r="F12" s="51"/>
      <c r="G12" s="52"/>
      <c r="H12" s="51"/>
      <c r="I12" s="51"/>
      <c r="J12" s="51"/>
      <c r="K12" s="51"/>
    </row>
    <row r="13">
      <c r="A13" s="46"/>
      <c r="B13" s="46"/>
      <c r="C13" s="46"/>
      <c r="D13" s="46"/>
      <c r="E13" s="46"/>
      <c r="F13" s="46"/>
      <c r="G13" s="57"/>
      <c r="H13" s="46"/>
      <c r="I13" s="46"/>
      <c r="J13" s="46"/>
      <c r="K13" s="46"/>
    </row>
    <row r="14">
      <c r="A14" s="106" t="s">
        <v>2442</v>
      </c>
      <c r="G14" s="57"/>
    </row>
    <row r="15">
      <c r="A15" s="46"/>
      <c r="B15" s="46"/>
      <c r="C15" s="46"/>
      <c r="D15" s="46"/>
      <c r="E15" s="46"/>
      <c r="F15" s="46"/>
      <c r="G15" s="57"/>
      <c r="H15" s="46"/>
      <c r="I15" s="46"/>
      <c r="J15" s="46"/>
      <c r="K15" s="46"/>
    </row>
    <row r="16">
      <c r="A16" s="108" t="s">
        <v>2443</v>
      </c>
      <c r="B16" s="63"/>
      <c r="C16" s="63"/>
      <c r="D16" s="63"/>
      <c r="E16" s="63"/>
      <c r="F16" s="63"/>
      <c r="G16" s="66"/>
      <c r="H16" s="69"/>
      <c r="I16" s="69"/>
      <c r="J16" s="69"/>
      <c r="K16" s="69"/>
    </row>
    <row r="17">
      <c r="A17" s="106" t="s">
        <v>2444</v>
      </c>
      <c r="G17" s="57"/>
    </row>
    <row r="18">
      <c r="A18" s="106" t="s">
        <v>2445</v>
      </c>
      <c r="G18" s="57"/>
    </row>
    <row r="19">
      <c r="A19" s="106" t="s">
        <v>2446</v>
      </c>
      <c r="B19" s="51"/>
      <c r="C19" s="51"/>
      <c r="D19" s="51"/>
      <c r="E19" s="74">
        <v>223147540</v>
      </c>
      <c r="F19" s="74">
        <v>226113118</v>
      </c>
      <c r="G19" s="52"/>
      <c r="H19" s="51"/>
      <c r="I19" s="51"/>
      <c r="J19" s="51"/>
      <c r="K19" s="51"/>
    </row>
    <row r="20">
      <c r="A20" s="106" t="s">
        <v>2447</v>
      </c>
      <c r="B20" s="51"/>
      <c r="C20" s="51"/>
      <c r="D20" s="51"/>
      <c r="E20" s="74">
        <v>117243673</v>
      </c>
      <c r="F20" s="74">
        <v>118644281</v>
      </c>
      <c r="G20" s="52"/>
      <c r="H20" s="51"/>
      <c r="I20" s="51"/>
      <c r="J20" s="51"/>
      <c r="K20" s="51"/>
    </row>
    <row r="21">
      <c r="A21" s="95" t="s">
        <v>2448</v>
      </c>
      <c r="B21" s="100">
        <f>B19+B20</f>
        <v>0</v>
      </c>
      <c r="C21" s="100">
        <f>C19+C20</f>
        <v>0</v>
      </c>
      <c r="D21" s="100">
        <f>D19+D20</f>
        <v>0</v>
      </c>
      <c r="E21" s="100">
        <f>E19+E20</f>
        <v>340391213</v>
      </c>
      <c r="F21" s="100">
        <f>F19+F20</f>
        <v>344757399</v>
      </c>
      <c r="G21" s="92">
        <f>G19+G20</f>
        <v>0</v>
      </c>
      <c r="H21" s="100">
        <f>H19+H20</f>
        <v>0</v>
      </c>
      <c r="I21" s="100">
        <f>I19+I20</f>
        <v>0</v>
      </c>
      <c r="J21" s="100">
        <f>J19+J20</f>
        <v>0</v>
      </c>
      <c r="K21" s="100">
        <f>K19+K20</f>
        <v>0</v>
      </c>
    </row>
    <row r="22">
      <c r="A22" s="106" t="s">
        <v>2449</v>
      </c>
      <c r="B22" s="51"/>
      <c r="C22" s="51"/>
      <c r="D22" s="51"/>
      <c r="E22" s="74">
        <v>7461196</v>
      </c>
      <c r="F22" s="74">
        <v>5533001</v>
      </c>
      <c r="G22" s="52"/>
      <c r="H22" s="51"/>
      <c r="I22" s="51"/>
      <c r="J22" s="51"/>
      <c r="K22" s="51"/>
    </row>
    <row r="23">
      <c r="A23" s="106" t="s">
        <v>2450</v>
      </c>
      <c r="B23" s="51"/>
      <c r="C23" s="51"/>
      <c r="D23" s="51"/>
      <c r="E23" s="74">
        <v>199328472</v>
      </c>
      <c r="F23" s="74">
        <v>166289061</v>
      </c>
      <c r="G23" s="52"/>
      <c r="H23" s="51"/>
      <c r="I23" s="51"/>
      <c r="J23" s="51"/>
      <c r="K23" s="51"/>
    </row>
    <row r="24">
      <c r="A24" s="95" t="s">
        <v>2451</v>
      </c>
      <c r="B24" s="100">
        <f>B22+B23</f>
        <v>0</v>
      </c>
      <c r="C24" s="100">
        <f>C22+C23</f>
        <v>0</v>
      </c>
      <c r="D24" s="100">
        <f>D22+D23</f>
        <v>0</v>
      </c>
      <c r="E24" s="100">
        <f>E22+E23</f>
        <v>206789668</v>
      </c>
      <c r="F24" s="100">
        <f>F22+F23</f>
        <v>171822062</v>
      </c>
      <c r="G24" s="92">
        <f>G22+G23</f>
        <v>0</v>
      </c>
      <c r="H24" s="100">
        <f>H22+H23</f>
        <v>0</v>
      </c>
      <c r="I24" s="100">
        <f>I22+I23</f>
        <v>0</v>
      </c>
      <c r="J24" s="100">
        <f>J22+J23</f>
        <v>0</v>
      </c>
      <c r="K24" s="100">
        <f>K22+K23</f>
        <v>0</v>
      </c>
    </row>
    <row r="25">
      <c r="A25" s="95" t="s">
        <v>2452</v>
      </c>
      <c r="B25" s="100">
        <f>B21+B24</f>
        <v>0</v>
      </c>
      <c r="C25" s="100">
        <f>C21+C24</f>
        <v>0</v>
      </c>
      <c r="D25" s="100">
        <f>D21+D24</f>
        <v>0</v>
      </c>
      <c r="E25" s="100">
        <f>E21+E24</f>
        <v>547180881</v>
      </c>
      <c r="F25" s="100">
        <f>F21+F24</f>
        <v>516579461</v>
      </c>
      <c r="G25" s="92">
        <f>G21+G24</f>
        <v>0</v>
      </c>
      <c r="H25" s="100">
        <f>H21+H24</f>
        <v>0</v>
      </c>
      <c r="I25" s="100">
        <f>I21+I24</f>
        <v>0</v>
      </c>
      <c r="J25" s="100">
        <f>J21+J24</f>
        <v>0</v>
      </c>
      <c r="K25" s="100">
        <f>K21+K24</f>
        <v>0</v>
      </c>
    </row>
    <row r="26">
      <c r="A26" s="46"/>
      <c r="B26" s="46"/>
      <c r="C26" s="46"/>
      <c r="D26" s="46"/>
      <c r="E26" s="46"/>
      <c r="F26" s="46"/>
      <c r="G26" s="57"/>
      <c r="H26" s="46"/>
      <c r="I26" s="46"/>
      <c r="J26" s="46"/>
      <c r="K26" s="46"/>
    </row>
    <row r="27">
      <c r="A27" s="106" t="s">
        <v>2453</v>
      </c>
      <c r="G27" s="57"/>
    </row>
    <row r="28">
      <c r="A28" s="106" t="s">
        <v>2454</v>
      </c>
      <c r="B28" s="51"/>
      <c r="C28" s="51"/>
      <c r="D28" s="51"/>
      <c r="E28" s="74">
        <v>-1664254</v>
      </c>
      <c r="F28" s="74">
        <v>-1639224</v>
      </c>
      <c r="G28" s="52"/>
      <c r="H28" s="51"/>
      <c r="I28" s="51"/>
      <c r="J28" s="51"/>
      <c r="K28" s="51"/>
    </row>
    <row r="29">
      <c r="A29" s="106" t="s">
        <v>2455</v>
      </c>
      <c r="B29" s="51"/>
      <c r="C29" s="51"/>
      <c r="D29" s="51"/>
      <c r="E29" s="74">
        <v>-19446414</v>
      </c>
      <c r="F29" s="74">
        <v>-19392926</v>
      </c>
      <c r="G29" s="52"/>
      <c r="H29" s="51"/>
      <c r="I29" s="51"/>
      <c r="J29" s="51"/>
      <c r="K29" s="51"/>
    </row>
    <row r="30">
      <c r="A30" s="95" t="s">
        <v>2456</v>
      </c>
      <c r="B30" s="100">
        <f>B28+B29</f>
        <v>0</v>
      </c>
      <c r="C30" s="100">
        <f>C28+C29</f>
        <v>0</v>
      </c>
      <c r="D30" s="100">
        <f>D28+D29</f>
        <v>0</v>
      </c>
      <c r="E30" s="100">
        <f>E28+E29</f>
        <v>-21110668</v>
      </c>
      <c r="F30" s="100">
        <f>F28+F29</f>
        <v>-21032150</v>
      </c>
      <c r="G30" s="92">
        <f>G28+G29</f>
        <v>0</v>
      </c>
      <c r="H30" s="100">
        <f>H28+H29</f>
        <v>0</v>
      </c>
      <c r="I30" s="100">
        <f>I28+I29</f>
        <v>0</v>
      </c>
      <c r="J30" s="100">
        <f>J28+J29</f>
        <v>0</v>
      </c>
      <c r="K30" s="100">
        <f>K28+K29</f>
        <v>0</v>
      </c>
    </row>
    <row r="31">
      <c r="A31" s="95" t="s">
        <v>2457</v>
      </c>
      <c r="B31" s="100">
        <f>B25+B30</f>
        <v>0</v>
      </c>
      <c r="C31" s="100">
        <f>C25+C30</f>
        <v>0</v>
      </c>
      <c r="D31" s="100">
        <f>D25+D30</f>
        <v>0</v>
      </c>
      <c r="E31" s="100">
        <f>E25+E30</f>
        <v>526070213</v>
      </c>
      <c r="F31" s="100">
        <f>F25+F30</f>
        <v>495547311</v>
      </c>
      <c r="G31" s="92">
        <f>G25+G30</f>
        <v>0</v>
      </c>
      <c r="H31" s="100">
        <f>H25+H30</f>
        <v>0</v>
      </c>
      <c r="I31" s="100">
        <f>I25+I30</f>
        <v>0</v>
      </c>
      <c r="J31" s="100">
        <f>J25+J30</f>
        <v>0</v>
      </c>
      <c r="K31" s="100">
        <f>K25+K30</f>
        <v>0</v>
      </c>
    </row>
    <row r="32">
      <c r="A32" s="46"/>
      <c r="B32" s="46"/>
      <c r="C32" s="46"/>
      <c r="D32" s="46"/>
      <c r="E32" s="46"/>
      <c r="F32" s="46"/>
      <c r="G32" s="57"/>
      <c r="H32" s="46"/>
      <c r="I32" s="46"/>
      <c r="J32" s="46"/>
      <c r="K32" s="46"/>
    </row>
    <row r="33">
      <c r="A33" s="108" t="s">
        <v>2458</v>
      </c>
      <c r="B33" s="63"/>
      <c r="C33" s="63"/>
      <c r="D33" s="63"/>
      <c r="E33" s="63"/>
      <c r="F33" s="63"/>
      <c r="G33" s="66"/>
      <c r="H33" s="69"/>
      <c r="I33" s="69"/>
      <c r="J33" s="69"/>
      <c r="K33" s="69"/>
    </row>
    <row r="34">
      <c r="A34" s="106" t="s">
        <v>2459</v>
      </c>
      <c r="B34" s="51"/>
      <c r="C34" s="51"/>
      <c r="D34" s="51"/>
      <c r="E34" s="111">
        <f>EEFF!E107</f>
        <v>547180881</v>
      </c>
      <c r="F34" s="111">
        <f>EEFF!F107</f>
        <v>516579461</v>
      </c>
      <c r="G34" s="52"/>
      <c r="H34" s="51"/>
      <c r="I34" s="51"/>
      <c r="J34" s="51"/>
      <c r="K34" s="51"/>
    </row>
    <row r="35">
      <c r="A35" s="106" t="s">
        <v>2460</v>
      </c>
      <c r="B35" s="51"/>
      <c r="C35" s="51"/>
      <c r="D35" s="51"/>
      <c r="E35" s="110">
        <f>E25-E34</f>
        <v>0</v>
      </c>
      <c r="F35" s="110">
        <f>F25-F34</f>
        <v>0</v>
      </c>
      <c r="G35" s="52"/>
      <c r="H35" s="51"/>
      <c r="I35" s="51"/>
      <c r="J35" s="51"/>
      <c r="K35" s="51"/>
    </row>
    <row r="36">
      <c r="A36" s="46"/>
      <c r="B36" s="46"/>
      <c r="C36" s="46"/>
      <c r="D36" s="46"/>
      <c r="E36" s="46"/>
      <c r="F36" s="46"/>
      <c r="G36" s="57"/>
      <c r="H36" s="46"/>
      <c r="I36" s="46"/>
      <c r="J36" s="46"/>
      <c r="K36" s="46"/>
    </row>
    <row r="37">
      <c r="A37" s="106" t="s">
        <v>2461</v>
      </c>
      <c r="G37" s="57"/>
    </row>
    <row r="38">
      <c r="A38" s="106" t="s">
        <v>2462</v>
      </c>
      <c r="B38" s="51"/>
      <c r="C38" s="51"/>
      <c r="D38" s="51"/>
      <c r="E38" s="74">
        <v>-20744470</v>
      </c>
      <c r="F38" s="74">
        <v>-19080050</v>
      </c>
      <c r="G38" s="52"/>
      <c r="H38" s="51"/>
      <c r="I38" s="51"/>
      <c r="J38" s="51"/>
      <c r="K38" s="51"/>
    </row>
    <row r="39">
      <c r="A39" s="106" t="s">
        <v>2463</v>
      </c>
      <c r="B39" s="51"/>
      <c r="C39" s="51"/>
      <c r="D39" s="51"/>
      <c r="E39" s="74">
        <v>-75653344</v>
      </c>
      <c r="F39" s="74">
        <v>-69470378</v>
      </c>
      <c r="G39" s="52"/>
      <c r="H39" s="51"/>
      <c r="I39" s="51"/>
      <c r="J39" s="51"/>
      <c r="K39" s="51"/>
    </row>
    <row r="40">
      <c r="A40" s="95" t="s">
        <v>2464</v>
      </c>
      <c r="B40" s="100">
        <f>B38+B39</f>
        <v>0</v>
      </c>
      <c r="C40" s="100">
        <f>C38+C39</f>
        <v>0</v>
      </c>
      <c r="D40" s="100">
        <f>D38+D39</f>
        <v>0</v>
      </c>
      <c r="E40" s="100">
        <f>E38+E39</f>
        <v>-96397814</v>
      </c>
      <c r="F40" s="100">
        <f>F38+F39</f>
        <v>-88550428</v>
      </c>
      <c r="G40" s="92">
        <f>G38+G39</f>
        <v>0</v>
      </c>
      <c r="H40" s="100">
        <f>H38+H39</f>
        <v>0</v>
      </c>
      <c r="I40" s="100">
        <f>I38+I39</f>
        <v>0</v>
      </c>
      <c r="J40" s="100">
        <f>J38+J39</f>
        <v>0</v>
      </c>
      <c r="K40" s="100">
        <f>K38+K39</f>
        <v>0</v>
      </c>
    </row>
    <row r="41">
      <c r="A41" s="106" t="s">
        <v>2465</v>
      </c>
      <c r="B41" s="51"/>
      <c r="C41" s="51"/>
      <c r="D41" s="51"/>
      <c r="E41" s="74">
        <v>-1401285</v>
      </c>
      <c r="F41" s="74">
        <v>-508181</v>
      </c>
      <c r="G41" s="52"/>
      <c r="H41" s="51"/>
      <c r="I41" s="51"/>
      <c r="J41" s="51"/>
      <c r="K41" s="51"/>
    </row>
    <row r="42">
      <c r="A42" s="106" t="s">
        <v>2466</v>
      </c>
      <c r="B42" s="51"/>
      <c r="C42" s="51"/>
      <c r="D42" s="51"/>
      <c r="E42" s="74">
        <v>-126657059</v>
      </c>
      <c r="F42" s="74">
        <v>-90555844</v>
      </c>
      <c r="G42" s="52"/>
      <c r="H42" s="51"/>
      <c r="I42" s="51"/>
      <c r="J42" s="51"/>
      <c r="K42" s="51"/>
    </row>
    <row r="43">
      <c r="A43" s="95" t="s">
        <v>2467</v>
      </c>
      <c r="B43" s="100">
        <f>B41+B42</f>
        <v>0</v>
      </c>
      <c r="C43" s="100">
        <f>C41+C42</f>
        <v>0</v>
      </c>
      <c r="D43" s="100">
        <f>D41+D42</f>
        <v>0</v>
      </c>
      <c r="E43" s="100">
        <f>E41+E42</f>
        <v>-128058344</v>
      </c>
      <c r="F43" s="100">
        <f>F41+F42</f>
        <v>-91064025</v>
      </c>
      <c r="G43" s="92">
        <f>G41+G42</f>
        <v>0</v>
      </c>
      <c r="H43" s="100">
        <f>H41+H42</f>
        <v>0</v>
      </c>
      <c r="I43" s="100">
        <f>I41+I42</f>
        <v>0</v>
      </c>
      <c r="J43" s="100">
        <f>J41+J42</f>
        <v>0</v>
      </c>
      <c r="K43" s="100">
        <f>K41+K42</f>
        <v>0</v>
      </c>
    </row>
    <row r="44">
      <c r="A44" s="95" t="s">
        <v>2468</v>
      </c>
      <c r="B44" s="100">
        <f>B40+B43</f>
        <v>0</v>
      </c>
      <c r="C44" s="100">
        <f>C40+C43</f>
        <v>0</v>
      </c>
      <c r="D44" s="100">
        <f>D40+D43</f>
        <v>0</v>
      </c>
      <c r="E44" s="100">
        <f>E40+E43</f>
        <v>-224456158</v>
      </c>
      <c r="F44" s="100">
        <f>F40+F43</f>
        <v>-179614453</v>
      </c>
      <c r="G44" s="92">
        <f>G40+G43</f>
        <v>0</v>
      </c>
      <c r="H44" s="100">
        <f>H40+H43</f>
        <v>0</v>
      </c>
      <c r="I44" s="100">
        <f>I40+I43</f>
        <v>0</v>
      </c>
      <c r="J44" s="100">
        <f>J40+J43</f>
        <v>0</v>
      </c>
      <c r="K44" s="100">
        <f>K40+K43</f>
        <v>0</v>
      </c>
    </row>
    <row r="45">
      <c r="A45" s="106" t="s">
        <v>2469</v>
      </c>
      <c r="B45" s="51"/>
      <c r="C45" s="51"/>
      <c r="D45" s="51"/>
      <c r="E45" s="74">
        <v>36801772</v>
      </c>
      <c r="F45" s="74">
        <v>35259752</v>
      </c>
      <c r="G45" s="52"/>
      <c r="H45" s="51"/>
      <c r="I45" s="51"/>
      <c r="J45" s="51"/>
      <c r="K45" s="51"/>
    </row>
    <row r="46">
      <c r="A46" s="95" t="s">
        <v>2470</v>
      </c>
      <c r="B46" s="100">
        <f>B44+B45</f>
        <v>0</v>
      </c>
      <c r="C46" s="100">
        <f>C44+C45</f>
        <v>0</v>
      </c>
      <c r="D46" s="100">
        <f>D44+D45</f>
        <v>0</v>
      </c>
      <c r="E46" s="100">
        <f>E44+E45</f>
        <v>-187654386</v>
      </c>
      <c r="F46" s="100">
        <f>F44+F45</f>
        <v>-144354701</v>
      </c>
      <c r="G46" s="92">
        <f>G44+G45</f>
        <v>0</v>
      </c>
      <c r="H46" s="100">
        <f>H44+H45</f>
        <v>0</v>
      </c>
      <c r="I46" s="100">
        <f>I44+I45</f>
        <v>0</v>
      </c>
      <c r="J46" s="100">
        <f>J44+J45</f>
        <v>0</v>
      </c>
      <c r="K46" s="100">
        <f>K44+K45</f>
        <v>0</v>
      </c>
    </row>
    <row r="47">
      <c r="A47" s="106" t="s">
        <v>2471</v>
      </c>
      <c r="B47" s="51"/>
      <c r="C47" s="51"/>
      <c r="D47" s="51"/>
      <c r="E47" s="111">
        <f>EEFF!E81</f>
        <v>224456158</v>
      </c>
      <c r="F47" s="111">
        <f>EEFF!F81</f>
        <v>179614453</v>
      </c>
      <c r="G47" s="52"/>
      <c r="H47" s="51"/>
      <c r="I47" s="51"/>
      <c r="J47" s="51"/>
      <c r="K47" s="51"/>
    </row>
    <row r="48">
      <c r="A48" s="106" t="s">
        <v>2472</v>
      </c>
      <c r="B48" s="51"/>
      <c r="C48" s="51"/>
      <c r="D48" s="51"/>
      <c r="E48" s="111">
        <f>EEFF!E108</f>
        <v>36801772</v>
      </c>
      <c r="F48" s="111">
        <f>EEFF!F108</f>
        <v>35259752</v>
      </c>
      <c r="G48" s="52"/>
      <c r="H48" s="51"/>
      <c r="I48" s="51"/>
      <c r="J48" s="51"/>
      <c r="K48" s="51"/>
    </row>
    <row r="49">
      <c r="A49" s="106" t="s">
        <v>2473</v>
      </c>
      <c r="B49" s="51"/>
      <c r="C49" s="51"/>
      <c r="D49" s="51"/>
      <c r="E49" s="110">
        <f>E46+(E47-E48)</f>
        <v>0</v>
      </c>
      <c r="F49" s="110">
        <f>F46+(F47-F48)</f>
        <v>0</v>
      </c>
      <c r="G49" s="52"/>
      <c r="H49" s="51"/>
      <c r="I49" s="51"/>
      <c r="J49" s="51"/>
      <c r="K49" s="51"/>
    </row>
    <row r="50">
      <c r="A50" s="46"/>
      <c r="B50" s="46"/>
      <c r="C50" s="46"/>
      <c r="D50" s="46"/>
      <c r="E50" s="46"/>
      <c r="F50" s="46"/>
      <c r="G50" s="57"/>
      <c r="H50" s="46"/>
      <c r="I50" s="46"/>
      <c r="J50" s="46"/>
      <c r="K50" s="46"/>
    </row>
    <row r="51">
      <c r="A51" s="108" t="s">
        <v>2474</v>
      </c>
      <c r="B51" s="63"/>
      <c r="C51" s="63"/>
      <c r="D51" s="63"/>
      <c r="E51" s="63"/>
      <c r="F51" s="63"/>
      <c r="G51" s="66"/>
      <c r="H51" s="69"/>
      <c r="I51" s="69"/>
      <c r="J51" s="69"/>
      <c r="K51" s="69"/>
    </row>
    <row r="52">
      <c r="A52" s="106" t="s">
        <v>2475</v>
      </c>
      <c r="G52" s="57"/>
    </row>
    <row r="53">
      <c r="A53" s="106" t="s">
        <v>2476</v>
      </c>
      <c r="B53" s="51"/>
      <c r="C53" s="51"/>
      <c r="D53" s="51"/>
      <c r="E53" s="51"/>
      <c r="F53" s="74">
        <v>28138216</v>
      </c>
      <c r="G53" s="52"/>
      <c r="H53" s="51"/>
      <c r="I53" s="51"/>
      <c r="J53" s="51"/>
      <c r="K53" s="51"/>
    </row>
    <row r="54">
      <c r="A54" s="106" t="s">
        <v>2477</v>
      </c>
      <c r="B54" s="51"/>
      <c r="C54" s="51"/>
      <c r="D54" s="51"/>
      <c r="E54" s="51"/>
      <c r="F54" s="74">
        <v>-19769018</v>
      </c>
      <c r="G54" s="52"/>
      <c r="H54" s="51"/>
      <c r="I54" s="51"/>
      <c r="J54" s="51"/>
      <c r="K54" s="51"/>
    </row>
    <row r="55">
      <c r="A55" s="106" t="s">
        <v>2478</v>
      </c>
      <c r="B55" s="51"/>
      <c r="C55" s="51"/>
      <c r="D55" s="51"/>
      <c r="E55" s="51"/>
      <c r="F55" s="74">
        <v>8369198</v>
      </c>
      <c r="G55" s="52"/>
      <c r="H55" s="51"/>
      <c r="I55" s="51"/>
      <c r="J55" s="51"/>
      <c r="K55" s="51"/>
    </row>
    <row r="56">
      <c r="A56" s="46"/>
      <c r="B56" s="46"/>
      <c r="C56" s="46"/>
      <c r="D56" s="46"/>
      <c r="E56" s="46"/>
      <c r="F56" s="46"/>
      <c r="G56" s="57"/>
      <c r="H56" s="46"/>
      <c r="I56" s="46"/>
      <c r="J56" s="46"/>
      <c r="K56" s="46"/>
    </row>
    <row r="57">
      <c r="A57" s="108" t="s">
        <v>2479</v>
      </c>
      <c r="B57" s="63"/>
      <c r="C57" s="63"/>
      <c r="D57" s="63"/>
      <c r="E57" s="63"/>
      <c r="F57" s="63"/>
      <c r="G57" s="66"/>
      <c r="H57" s="69"/>
      <c r="I57" s="69"/>
      <c r="J57" s="69"/>
      <c r="K57" s="69"/>
    </row>
    <row r="58">
      <c r="A58" s="106" t="s">
        <v>2480</v>
      </c>
      <c r="B58" s="51"/>
      <c r="C58" s="51"/>
      <c r="D58" s="51"/>
      <c r="E58" s="74">
        <v>241045358</v>
      </c>
      <c r="F58" s="74">
        <v>228944482</v>
      </c>
      <c r="G58" s="52"/>
      <c r="H58" s="51"/>
      <c r="I58" s="51"/>
      <c r="J58" s="51"/>
      <c r="K58" s="51"/>
    </row>
    <row r="59">
      <c r="A59" s="106" t="s">
        <v>2481</v>
      </c>
      <c r="B59" s="51"/>
      <c r="C59" s="51"/>
      <c r="D59" s="51"/>
      <c r="E59" s="74">
        <v>-22528756</v>
      </c>
      <c r="F59" s="74">
        <v>-2425841</v>
      </c>
      <c r="G59" s="52"/>
      <c r="H59" s="51"/>
      <c r="I59" s="51"/>
      <c r="J59" s="51"/>
      <c r="K59" s="51"/>
    </row>
    <row r="60">
      <c r="A60" s="106" t="s">
        <v>2482</v>
      </c>
      <c r="B60" s="51"/>
      <c r="C60" s="51"/>
      <c r="D60" s="51"/>
      <c r="E60" s="74">
        <v>10427880</v>
      </c>
      <c r="F60" s="74">
        <v>3488254</v>
      </c>
      <c r="G60" s="52"/>
      <c r="H60" s="51"/>
      <c r="I60" s="51"/>
      <c r="J60" s="51"/>
      <c r="K60" s="51"/>
    </row>
    <row r="61">
      <c r="A61" s="106" t="s">
        <v>2483</v>
      </c>
      <c r="B61" s="51"/>
      <c r="C61" s="51"/>
      <c r="D61" s="51"/>
      <c r="E61" s="74">
        <v>228944482</v>
      </c>
      <c r="F61" s="74">
        <v>230006895</v>
      </c>
      <c r="G61" s="52"/>
      <c r="H61" s="51"/>
      <c r="I61" s="51"/>
      <c r="J61" s="51"/>
      <c r="K61" s="51"/>
    </row>
    <row r="62">
      <c r="A62" s="95" t="s">
        <v>2484</v>
      </c>
      <c r="B62" s="53"/>
      <c r="C62" s="53"/>
      <c r="D62" s="53"/>
      <c r="E62" s="100">
        <f>E58+E59+E60</f>
        <v>228944482</v>
      </c>
      <c r="F62" s="100">
        <f>F58+F59+F60</f>
        <v>230006895</v>
      </c>
      <c r="G62" s="60"/>
      <c r="H62" s="53"/>
      <c r="I62" s="53"/>
      <c r="J62" s="53"/>
      <c r="K62" s="53"/>
    </row>
    <row r="63">
      <c r="A63" s="106" t="s">
        <v>2485</v>
      </c>
      <c r="B63" s="51"/>
      <c r="C63" s="51"/>
      <c r="D63" s="51"/>
      <c r="E63" s="110">
        <f>E62-E61</f>
        <v>0</v>
      </c>
      <c r="F63" s="110">
        <f>F62-F61</f>
        <v>0</v>
      </c>
      <c r="G63" s="52"/>
      <c r="H63" s="51"/>
      <c r="I63" s="51"/>
      <c r="J63" s="51"/>
      <c r="K63" s="51"/>
    </row>
    <row r="64">
      <c r="A64" s="46"/>
      <c r="B64" s="46"/>
      <c r="C64" s="46"/>
      <c r="D64" s="46"/>
      <c r="E64" s="46"/>
      <c r="F64" s="46"/>
      <c r="G64" s="57"/>
      <c r="H64" s="46"/>
      <c r="I64" s="46"/>
      <c r="J64" s="46"/>
      <c r="K64" s="46"/>
    </row>
    <row r="65">
      <c r="A65" s="108" t="s">
        <v>2486</v>
      </c>
      <c r="B65" s="63"/>
      <c r="C65" s="63"/>
      <c r="D65" s="63"/>
      <c r="E65" s="63"/>
      <c r="F65" s="63"/>
      <c r="G65" s="66"/>
      <c r="H65" s="69"/>
      <c r="I65" s="69"/>
      <c r="J65" s="69"/>
      <c r="K65" s="69"/>
    </row>
    <row r="66">
      <c r="A66" s="106" t="s">
        <v>2487</v>
      </c>
      <c r="G66" s="57"/>
    </row>
    <row r="67">
      <c r="A67" s="106" t="s">
        <v>2488</v>
      </c>
      <c r="G67" s="57"/>
    </row>
    <row r="68">
      <c r="A68" s="106" t="s">
        <v>2489</v>
      </c>
      <c r="B68" s="51"/>
      <c r="C68" s="51"/>
      <c r="D68" s="51"/>
      <c r="E68" s="51"/>
      <c r="F68" s="74">
        <v>125541168</v>
      </c>
      <c r="G68" s="52"/>
      <c r="H68" s="51"/>
      <c r="I68" s="51"/>
      <c r="J68" s="51"/>
      <c r="K68" s="51"/>
    </row>
    <row r="69">
      <c r="A69" s="106" t="s">
        <v>2490</v>
      </c>
      <c r="B69" s="51"/>
      <c r="C69" s="51"/>
      <c r="D69" s="51"/>
      <c r="E69" s="51"/>
      <c r="F69" s="74">
        <v>36672308</v>
      </c>
      <c r="G69" s="52"/>
      <c r="H69" s="51"/>
      <c r="I69" s="51"/>
      <c r="J69" s="51"/>
      <c r="K69" s="51"/>
    </row>
    <row r="70">
      <c r="A70" s="106" t="s">
        <v>2491</v>
      </c>
      <c r="B70" s="51"/>
      <c r="C70" s="51"/>
      <c r="D70" s="51"/>
      <c r="E70" s="51"/>
      <c r="F70" s="74">
        <v>66731006</v>
      </c>
      <c r="G70" s="52"/>
      <c r="H70" s="51"/>
      <c r="I70" s="51"/>
      <c r="J70" s="51"/>
      <c r="K70" s="51"/>
    </row>
    <row r="71">
      <c r="A71" s="95" t="s">
        <v>2492</v>
      </c>
      <c r="B71" s="53"/>
      <c r="C71" s="53"/>
      <c r="D71" s="53"/>
      <c r="E71" s="53"/>
      <c r="F71" s="100">
        <f>F68+F69+F70</f>
        <v>228944482</v>
      </c>
      <c r="G71" s="60"/>
      <c r="H71" s="53"/>
      <c r="I71" s="53"/>
      <c r="J71" s="53"/>
      <c r="K71" s="53"/>
    </row>
    <row r="72">
      <c r="A72" s="106" t="s">
        <v>2493</v>
      </c>
      <c r="B72" s="51"/>
      <c r="C72" s="51"/>
      <c r="D72" s="51"/>
      <c r="E72" s="51"/>
      <c r="F72" s="74">
        <v>228944482</v>
      </c>
      <c r="G72" s="52"/>
      <c r="H72" s="51"/>
      <c r="I72" s="51"/>
      <c r="J72" s="51"/>
      <c r="K72" s="51"/>
    </row>
    <row r="73">
      <c r="A73" s="106" t="s">
        <v>2494</v>
      </c>
      <c r="B73" s="51"/>
      <c r="C73" s="51"/>
      <c r="D73" s="51"/>
      <c r="E73" s="51"/>
      <c r="F73" s="110">
        <f>F71-F72</f>
        <v>0</v>
      </c>
      <c r="G73" s="52"/>
      <c r="H73" s="51"/>
      <c r="I73" s="51"/>
      <c r="J73" s="51"/>
      <c r="K73" s="51"/>
    </row>
    <row r="74">
      <c r="A74" s="46"/>
      <c r="B74" s="46"/>
      <c r="C74" s="46"/>
      <c r="D74" s="46"/>
      <c r="E74" s="46"/>
      <c r="F74" s="46"/>
      <c r="G74" s="57"/>
      <c r="H74" s="46"/>
      <c r="I74" s="46"/>
      <c r="J74" s="46"/>
      <c r="K74" s="46"/>
    </row>
    <row r="75">
      <c r="A75" s="106" t="s">
        <v>2495</v>
      </c>
      <c r="G75" s="57"/>
    </row>
    <row r="76">
      <c r="A76" s="106" t="s">
        <v>2496</v>
      </c>
      <c r="B76" s="51"/>
      <c r="C76" s="51"/>
      <c r="D76" s="51"/>
      <c r="E76" s="51"/>
      <c r="F76" s="74">
        <v>-305494</v>
      </c>
      <c r="G76" s="52"/>
      <c r="H76" s="51"/>
      <c r="I76" s="51"/>
      <c r="J76" s="51"/>
      <c r="K76" s="51"/>
    </row>
    <row r="77">
      <c r="A77" s="106" t="s">
        <v>2497</v>
      </c>
      <c r="B77" s="51"/>
      <c r="C77" s="51"/>
      <c r="D77" s="51"/>
      <c r="E77" s="51"/>
      <c r="F77" s="74">
        <v>1367907</v>
      </c>
      <c r="G77" s="52"/>
      <c r="H77" s="51"/>
      <c r="I77" s="51"/>
      <c r="J77" s="51"/>
      <c r="K77" s="51"/>
    </row>
    <row r="78">
      <c r="A78" s="95" t="s">
        <v>2498</v>
      </c>
      <c r="B78" s="53"/>
      <c r="C78" s="53"/>
      <c r="D78" s="53"/>
      <c r="E78" s="53"/>
      <c r="F78" s="100">
        <f>F72+F76+F77</f>
        <v>230006895</v>
      </c>
      <c r="G78" s="60"/>
      <c r="H78" s="53"/>
      <c r="I78" s="53"/>
      <c r="J78" s="53"/>
      <c r="K78" s="53"/>
    </row>
    <row r="79">
      <c r="A79" s="106" t="s">
        <v>2499</v>
      </c>
      <c r="B79" s="51"/>
      <c r="C79" s="51"/>
      <c r="D79" s="51"/>
      <c r="E79" s="51"/>
      <c r="F79" s="74">
        <v>230006895</v>
      </c>
      <c r="G79" s="52"/>
      <c r="H79" s="51"/>
      <c r="I79" s="51"/>
      <c r="J79" s="51"/>
      <c r="K79" s="51"/>
    </row>
    <row r="80">
      <c r="A80" s="106" t="s">
        <v>2500</v>
      </c>
      <c r="B80" s="51"/>
      <c r="C80" s="51"/>
      <c r="D80" s="51"/>
      <c r="E80" s="51"/>
      <c r="F80" s="110">
        <f>F78-F79</f>
        <v>0</v>
      </c>
      <c r="G80" s="52"/>
      <c r="H80" s="51"/>
      <c r="I80" s="51"/>
      <c r="J80" s="51"/>
      <c r="K80" s="51"/>
    </row>
    <row r="81">
      <c r="A81" s="46"/>
      <c r="B81" s="46"/>
      <c r="C81" s="46"/>
      <c r="D81" s="46"/>
      <c r="E81" s="46"/>
      <c r="F81" s="46"/>
      <c r="G81" s="57"/>
      <c r="H81" s="46"/>
      <c r="I81" s="46"/>
      <c r="J81" s="46"/>
      <c r="K81" s="46"/>
    </row>
    <row r="82">
      <c r="A82" s="106" t="s">
        <v>2501</v>
      </c>
      <c r="G82" s="57"/>
    </row>
    <row r="83">
      <c r="A83" s="106" t="s">
        <v>2502</v>
      </c>
      <c r="B83" s="51"/>
      <c r="C83" s="51"/>
      <c r="D83" s="51"/>
      <c r="E83" s="51"/>
      <c r="F83" s="74">
        <v>133034384</v>
      </c>
      <c r="G83" s="52"/>
      <c r="H83" s="51"/>
      <c r="I83" s="51"/>
      <c r="J83" s="51"/>
      <c r="K83" s="51"/>
    </row>
    <row r="84">
      <c r="A84" s="106" t="s">
        <v>2503</v>
      </c>
      <c r="B84" s="51"/>
      <c r="C84" s="51"/>
      <c r="D84" s="51"/>
      <c r="E84" s="51"/>
      <c r="F84" s="74">
        <v>37441532</v>
      </c>
      <c r="G84" s="52"/>
      <c r="H84" s="51"/>
      <c r="I84" s="51"/>
      <c r="J84" s="51"/>
      <c r="K84" s="51"/>
    </row>
    <row r="85">
      <c r="A85" s="106" t="s">
        <v>2504</v>
      </c>
      <c r="B85" s="51"/>
      <c r="C85" s="51"/>
      <c r="D85" s="51"/>
      <c r="E85" s="51"/>
      <c r="F85" s="74">
        <v>59530979</v>
      </c>
      <c r="G85" s="52"/>
      <c r="H85" s="51"/>
      <c r="I85" s="51"/>
      <c r="J85" s="51"/>
      <c r="K85" s="51"/>
    </row>
    <row r="86">
      <c r="A86" s="95" t="s">
        <v>2505</v>
      </c>
      <c r="B86" s="53"/>
      <c r="C86" s="53"/>
      <c r="D86" s="53"/>
      <c r="E86" s="53"/>
      <c r="F86" s="100">
        <f>F83+F84+F85</f>
        <v>230006895</v>
      </c>
      <c r="G86" s="60"/>
      <c r="H86" s="53"/>
      <c r="I86" s="53"/>
      <c r="J86" s="53"/>
      <c r="K86" s="53"/>
    </row>
    <row r="87">
      <c r="A87" s="106" t="s">
        <v>2506</v>
      </c>
      <c r="B87" s="51"/>
      <c r="C87" s="51"/>
      <c r="D87" s="51"/>
      <c r="E87" s="51"/>
      <c r="F87" s="74">
        <v>230006895</v>
      </c>
      <c r="G87" s="52"/>
      <c r="H87" s="51"/>
      <c r="I87" s="51"/>
      <c r="J87" s="51"/>
      <c r="K87" s="51"/>
    </row>
    <row r="88">
      <c r="A88" s="106" t="s">
        <v>2507</v>
      </c>
      <c r="B88" s="51"/>
      <c r="C88" s="51"/>
      <c r="D88" s="51"/>
      <c r="E88" s="51"/>
      <c r="F88" s="110">
        <f>F86-F87</f>
        <v>0</v>
      </c>
      <c r="G88" s="52"/>
      <c r="H88" s="51"/>
      <c r="I88" s="51"/>
      <c r="J88" s="51"/>
      <c r="K88" s="51"/>
    </row>
    <row r="89">
      <c r="A89" s="46"/>
      <c r="B89" s="46"/>
      <c r="C89" s="46"/>
      <c r="D89" s="46"/>
      <c r="E89" s="46"/>
      <c r="F89" s="46"/>
      <c r="G89" s="57"/>
      <c r="H89" s="46"/>
      <c r="I89" s="46"/>
      <c r="J89" s="46"/>
      <c r="K89" s="46"/>
    </row>
    <row r="90">
      <c r="A90" s="108" t="s">
        <v>2508</v>
      </c>
      <c r="B90" s="63"/>
      <c r="C90" s="63"/>
      <c r="D90" s="63"/>
      <c r="E90" s="63"/>
      <c r="F90" s="63"/>
      <c r="G90" s="66"/>
      <c r="H90" s="69"/>
      <c r="I90" s="69"/>
      <c r="J90" s="69"/>
      <c r="K90" s="69"/>
    </row>
    <row r="91">
      <c r="A91" s="106" t="s">
        <v>2509</v>
      </c>
      <c r="G91" s="57"/>
    </row>
    <row r="92">
      <c r="A92" s="106" t="s">
        <v>2510</v>
      </c>
      <c r="G92" s="57"/>
    </row>
    <row r="93">
      <c r="A93" s="106" t="s">
        <v>2511</v>
      </c>
      <c r="G93" s="57"/>
    </row>
    <row r="94">
      <c r="A94" s="106" t="s">
        <v>2512</v>
      </c>
      <c r="G94" s="57"/>
    </row>
  </sheetData>
</worksheet>
</file>

<file path=xl/worksheets/sheet8.xml><?xml version="1.0" encoding="utf-8"?>
<worksheet xmlns="http://schemas.openxmlformats.org/spreadsheetml/2006/main" xmlns:r="http://schemas.openxmlformats.org/officeDocument/2006/relationships">
  <dimension ref="A1:K38"/>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2513</v>
      </c>
      <c r="G2" s="57"/>
    </row>
    <row r="3">
      <c r="A3" s="106" t="s">
        <v>2514</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2515</v>
      </c>
      <c r="B7" s="63"/>
      <c r="C7" s="63"/>
      <c r="D7" s="63"/>
      <c r="E7" s="63"/>
      <c r="F7" s="63"/>
      <c r="G7" s="66"/>
      <c r="H7" s="69"/>
      <c r="I7" s="69"/>
      <c r="J7" s="69"/>
      <c r="K7" s="69"/>
    </row>
    <row r="8">
      <c r="A8" s="106" t="s">
        <v>2516</v>
      </c>
      <c r="G8" s="57"/>
    </row>
    <row r="9">
      <c r="A9" s="106" t="s">
        <v>2517</v>
      </c>
      <c r="G9" s="57"/>
    </row>
    <row r="10">
      <c r="A10" s="46"/>
      <c r="B10" s="46"/>
      <c r="C10" s="46"/>
      <c r="D10" s="46"/>
      <c r="E10" s="46"/>
      <c r="F10" s="46"/>
      <c r="G10" s="57"/>
      <c r="H10" s="46"/>
      <c r="I10" s="46"/>
      <c r="J10" s="46"/>
      <c r="K10" s="46"/>
    </row>
    <row r="11">
      <c r="A11" s="108" t="s">
        <v>2518</v>
      </c>
      <c r="B11" s="63"/>
      <c r="C11" s="63"/>
      <c r="D11" s="63"/>
      <c r="E11" s="63"/>
      <c r="F11" s="63"/>
      <c r="G11" s="66"/>
      <c r="H11" s="69"/>
      <c r="I11" s="69"/>
      <c r="J11" s="69"/>
      <c r="K11" s="69"/>
    </row>
    <row r="12">
      <c r="A12" s="106" t="s">
        <v>2519</v>
      </c>
      <c r="B12" s="51"/>
      <c r="C12" s="51"/>
      <c r="D12" s="51"/>
      <c r="E12" s="111">
        <f>EEFF!E52</f>
        <v>-314823760</v>
      </c>
      <c r="F12" s="111">
        <f>EEFF!F52</f>
        <v>-313277206</v>
      </c>
      <c r="G12" s="109">
        <f>Premiums_Claims!G41</f>
        <v>-338151416.15639997</v>
      </c>
      <c r="H12" s="111">
        <f>Premiums_Claims!H41</f>
        <v>-365000638.5992181</v>
      </c>
      <c r="I12" s="111">
        <f>Premiums_Claims!I41</f>
        <v>-393981689.30399597</v>
      </c>
      <c r="J12" s="111">
        <f>Premiums_Claims!J41</f>
        <v>-425263835.4347332</v>
      </c>
      <c r="K12" s="111">
        <f>Premiums_Claims!K41</f>
        <v>-459029783.968251</v>
      </c>
    </row>
    <row r="13">
      <c r="A13" s="106" t="s">
        <v>2520</v>
      </c>
      <c r="B13" s="51"/>
      <c r="C13" s="51"/>
      <c r="D13" s="51"/>
      <c r="E13" s="111">
        <f>EEFF!E59</f>
        <v>959026</v>
      </c>
      <c r="F13" s="111">
        <f>EEFF!F59</f>
        <v>2508685</v>
      </c>
      <c r="G13" s="52"/>
      <c r="H13" s="51"/>
      <c r="I13" s="51"/>
      <c r="J13" s="51"/>
      <c r="K13" s="51"/>
    </row>
    <row r="14">
      <c r="A14" s="106" t="s">
        <v>2521</v>
      </c>
      <c r="B14" s="51"/>
      <c r="C14" s="51"/>
      <c r="D14" s="51"/>
      <c r="E14" s="111">
        <f>EEFF!E50</f>
        <v>820306455</v>
      </c>
      <c r="F14" s="111">
        <f>EEFF!F50</f>
        <v>885435473</v>
      </c>
      <c r="G14" s="109">
        <f>Premiums_Claims!G39</f>
        <v>955739049.5561999</v>
      </c>
      <c r="H14" s="111">
        <f>Premiums_Claims!H39</f>
        <v>1031624730.090962</v>
      </c>
      <c r="I14" s="111">
        <f>Premiums_Claims!I39</f>
        <v>1113535733.6601844</v>
      </c>
      <c r="J14" s="111">
        <f>Premiums_Claims!J39</f>
        <v>1201950470.912803</v>
      </c>
      <c r="K14" s="111">
        <f>Premiums_Claims!K39</f>
        <v>1297385338.3032794</v>
      </c>
    </row>
    <row r="15">
      <c r="A15" s="106" t="s">
        <v>2522</v>
      </c>
      <c r="B15" s="67"/>
      <c r="C15" s="67"/>
      <c r="D15" s="67"/>
      <c r="E15" s="67">
        <f>E12/E14</f>
        <v>-0.38378798323609437</v>
      </c>
      <c r="F15" s="67">
        <f>F12/F14</f>
        <v>-0.3538114470821523</v>
      </c>
      <c r="G15" s="62">
        <f>G12/G14</f>
        <v>-0.3538114470821523</v>
      </c>
      <c r="H15" s="67">
        <f>H12/H14</f>
        <v>-0.3538114470821523</v>
      </c>
      <c r="I15" s="67">
        <f>I12/I14</f>
        <v>-0.3538114470821523</v>
      </c>
      <c r="J15" s="67">
        <f>J12/J14</f>
        <v>-0.3538114470821523</v>
      </c>
      <c r="K15" s="67">
        <f>K12/K14</f>
        <v>-0.3538114470821523</v>
      </c>
    </row>
    <row r="16">
      <c r="A16" s="46"/>
      <c r="B16" s="46"/>
      <c r="C16" s="46"/>
      <c r="D16" s="46"/>
      <c r="E16" s="46"/>
      <c r="F16" s="46"/>
      <c r="G16" s="57"/>
      <c r="H16" s="46"/>
      <c r="I16" s="46"/>
      <c r="J16" s="46"/>
      <c r="K16" s="46"/>
    </row>
    <row r="17">
      <c r="A17" s="106" t="s">
        <v>2523</v>
      </c>
      <c r="G17" s="57"/>
    </row>
    <row r="18">
      <c r="A18" s="46"/>
      <c r="B18" s="46"/>
      <c r="C18" s="46"/>
      <c r="D18" s="46"/>
      <c r="E18" s="46"/>
      <c r="F18" s="46"/>
      <c r="G18" s="57"/>
      <c r="H18" s="46"/>
      <c r="I18" s="46"/>
      <c r="J18" s="46"/>
      <c r="K18" s="46"/>
    </row>
    <row r="19">
      <c r="A19" s="108" t="s">
        <v>2524</v>
      </c>
      <c r="B19" s="63"/>
      <c r="C19" s="63"/>
      <c r="D19" s="63"/>
      <c r="E19" s="63"/>
      <c r="F19" s="63"/>
      <c r="G19" s="66"/>
      <c r="H19" s="69"/>
      <c r="I19" s="69"/>
      <c r="J19" s="69"/>
      <c r="K19" s="69"/>
    </row>
    <row r="20">
      <c r="A20" s="106" t="s">
        <v>2525</v>
      </c>
      <c r="B20" s="111">
        <f>EEFF!B8</f>
        <v>657884741</v>
      </c>
      <c r="C20" s="111">
        <f>EEFF!C8</f>
        <v>698200257</v>
      </c>
      <c r="D20" s="111">
        <f>EEFF!D8</f>
        <v>817173751</v>
      </c>
      <c r="E20" s="51"/>
      <c r="F20" s="51"/>
      <c r="G20" s="52"/>
      <c r="H20" s="51"/>
      <c r="I20" s="51"/>
      <c r="J20" s="51"/>
      <c r="K20" s="51"/>
    </row>
    <row r="21">
      <c r="A21" s="106" t="s">
        <v>2526</v>
      </c>
      <c r="B21" s="111">
        <f>EEFF!B9</f>
        <v>-356304040</v>
      </c>
      <c r="C21" s="111">
        <f>EEFF!C9</f>
        <v>-361584073</v>
      </c>
      <c r="D21" s="111">
        <f>EEFF!D9</f>
        <v>-435628239</v>
      </c>
      <c r="E21" s="51"/>
      <c r="F21" s="51"/>
      <c r="G21" s="52"/>
      <c r="H21" s="51"/>
      <c r="I21" s="51"/>
      <c r="J21" s="51"/>
      <c r="K21" s="51"/>
    </row>
    <row r="22">
      <c r="A22" s="106" t="s">
        <v>2527</v>
      </c>
      <c r="B22" s="111">
        <f>EEFF!B17</f>
        <v>101363600</v>
      </c>
      <c r="C22" s="111">
        <f>EEFF!C17</f>
        <v>176570373</v>
      </c>
      <c r="D22" s="111">
        <f>EEFF!D17</f>
        <v>65656958</v>
      </c>
      <c r="E22" s="51"/>
      <c r="F22" s="51"/>
      <c r="G22" s="52"/>
      <c r="H22" s="51"/>
      <c r="I22" s="51"/>
      <c r="J22" s="51"/>
      <c r="K22" s="51"/>
    </row>
    <row r="23">
      <c r="A23" s="106" t="s">
        <v>2528</v>
      </c>
      <c r="B23" s="67">
        <f>ABS(B21)/B20</f>
        <v>0.541590369550766</v>
      </c>
      <c r="C23" s="67">
        <f>ABS(C21)/C20</f>
        <v>0.517880177463183</v>
      </c>
      <c r="D23" s="67">
        <f>ABS(D21)/D20</f>
        <v>0.5330913266204509</v>
      </c>
      <c r="E23" s="67"/>
      <c r="F23" s="67"/>
      <c r="G23" s="62"/>
      <c r="H23" s="67"/>
      <c r="I23" s="67"/>
      <c r="J23" s="67"/>
      <c r="K23" s="67"/>
    </row>
    <row r="24">
      <c r="A24" s="46"/>
      <c r="B24" s="46"/>
      <c r="C24" s="46"/>
      <c r="D24" s="46"/>
      <c r="E24" s="46"/>
      <c r="F24" s="46"/>
      <c r="G24" s="57"/>
      <c r="H24" s="46"/>
      <c r="I24" s="46"/>
      <c r="J24" s="46"/>
      <c r="K24" s="46"/>
    </row>
    <row r="25">
      <c r="A25" s="106" t="s">
        <v>2529</v>
      </c>
      <c r="G25" s="57"/>
    </row>
    <row r="26">
      <c r="A26" s="46"/>
      <c r="B26" s="46"/>
      <c r="C26" s="46"/>
      <c r="D26" s="46"/>
      <c r="E26" s="46"/>
      <c r="F26" s="46"/>
      <c r="G26" s="57"/>
      <c r="H26" s="46"/>
      <c r="I26" s="46"/>
      <c r="J26" s="46"/>
      <c r="K26" s="46"/>
    </row>
    <row r="27">
      <c r="A27" s="108" t="s">
        <v>2530</v>
      </c>
      <c r="B27" s="63"/>
      <c r="C27" s="63"/>
      <c r="D27" s="63"/>
      <c r="E27" s="63"/>
      <c r="F27" s="63"/>
      <c r="G27" s="66"/>
      <c r="H27" s="69"/>
      <c r="I27" s="69"/>
      <c r="J27" s="69"/>
      <c r="K27" s="69"/>
    </row>
    <row r="28">
      <c r="A28" s="106" t="s">
        <v>2531</v>
      </c>
      <c r="B28" s="51"/>
      <c r="C28" s="51"/>
      <c r="D28" s="51"/>
      <c r="E28" s="111">
        <f>Claims_Reserves!E40</f>
        <v>-96397814</v>
      </c>
      <c r="F28" s="111">
        <f>Claims_Reserves!F40</f>
        <v>-88550428</v>
      </c>
      <c r="G28" s="52"/>
      <c r="H28" s="51"/>
      <c r="I28" s="51"/>
      <c r="J28" s="51"/>
      <c r="K28" s="51"/>
    </row>
    <row r="29">
      <c r="A29" s="106" t="s">
        <v>2467</v>
      </c>
      <c r="B29" s="51"/>
      <c r="C29" s="51"/>
      <c r="D29" s="51"/>
      <c r="E29" s="111">
        <f>Claims_Reserves!E43</f>
        <v>-128058344</v>
      </c>
      <c r="F29" s="111">
        <f>Claims_Reserves!F43</f>
        <v>-91064025</v>
      </c>
      <c r="G29" s="52"/>
      <c r="H29" s="51"/>
      <c r="I29" s="51"/>
      <c r="J29" s="51"/>
      <c r="K29" s="51"/>
    </row>
    <row r="30">
      <c r="A30" s="58" t="s">
        <v>2532</v>
      </c>
      <c r="B30" s="47"/>
      <c r="C30" s="47"/>
      <c r="D30" s="47"/>
      <c r="E30" s="72">
        <f>Claims_Reserves!E44</f>
        <v>-224456158</v>
      </c>
      <c r="F30" s="72">
        <f>Claims_Reserves!F44</f>
        <v>-179614453</v>
      </c>
      <c r="G30" s="54"/>
      <c r="H30" s="47"/>
      <c r="I30" s="47"/>
      <c r="J30" s="47"/>
      <c r="K30" s="47"/>
    </row>
    <row r="31">
      <c r="A31" s="106" t="s">
        <v>2533</v>
      </c>
      <c r="B31" s="51"/>
      <c r="C31" s="51"/>
      <c r="D31" s="51"/>
      <c r="E31" s="111">
        <f>Claims_Reserves!E45</f>
        <v>36801772</v>
      </c>
      <c r="F31" s="111">
        <f>Claims_Reserves!F45</f>
        <v>35259752</v>
      </c>
      <c r="G31" s="52"/>
      <c r="H31" s="51"/>
      <c r="I31" s="51"/>
      <c r="J31" s="51"/>
      <c r="K31" s="51"/>
    </row>
    <row r="32">
      <c r="A32" s="58" t="s">
        <v>2534</v>
      </c>
      <c r="B32" s="47"/>
      <c r="C32" s="47"/>
      <c r="D32" s="47"/>
      <c r="E32" s="72">
        <f>Claims_Reserves!E46</f>
        <v>-187654386</v>
      </c>
      <c r="F32" s="72">
        <f>Claims_Reserves!F46</f>
        <v>-144354701</v>
      </c>
      <c r="G32" s="54"/>
      <c r="H32" s="47"/>
      <c r="I32" s="47"/>
      <c r="J32" s="47"/>
      <c r="K32" s="47"/>
    </row>
    <row r="33">
      <c r="A33" s="106" t="s">
        <v>2471</v>
      </c>
      <c r="B33" s="51"/>
      <c r="C33" s="51"/>
      <c r="D33" s="51"/>
      <c r="E33" s="111">
        <f>EEFF!E81</f>
        <v>224456158</v>
      </c>
      <c r="F33" s="111">
        <f>EEFF!F81</f>
        <v>179614453</v>
      </c>
      <c r="G33" s="52"/>
      <c r="H33" s="51"/>
      <c r="I33" s="51"/>
      <c r="J33" s="51"/>
      <c r="K33" s="51"/>
    </row>
    <row r="34">
      <c r="A34" s="106" t="s">
        <v>2472</v>
      </c>
      <c r="B34" s="51"/>
      <c r="C34" s="51"/>
      <c r="D34" s="51"/>
      <c r="E34" s="111">
        <f>EEFF!E108</f>
        <v>36801772</v>
      </c>
      <c r="F34" s="111">
        <f>EEFF!F108</f>
        <v>35259752</v>
      </c>
      <c r="G34" s="52"/>
      <c r="H34" s="51"/>
      <c r="I34" s="51"/>
      <c r="J34" s="51"/>
      <c r="K34" s="51"/>
    </row>
    <row r="35">
      <c r="A35" s="106" t="s">
        <v>2535</v>
      </c>
      <c r="B35" s="51"/>
      <c r="C35" s="51"/>
      <c r="D35" s="51"/>
      <c r="E35" s="110">
        <f>E32+(E33-E34)</f>
        <v>0</v>
      </c>
      <c r="F35" s="110">
        <f>F32+(F33-F34)</f>
        <v>0</v>
      </c>
      <c r="G35" s="52"/>
      <c r="H35" s="51"/>
      <c r="I35" s="51"/>
      <c r="J35" s="51"/>
      <c r="K35" s="51"/>
    </row>
    <row r="36">
      <c r="A36" s="46"/>
      <c r="B36" s="46"/>
      <c r="C36" s="46"/>
      <c r="D36" s="46"/>
      <c r="E36" s="46"/>
      <c r="F36" s="46"/>
      <c r="G36" s="57"/>
      <c r="H36" s="46"/>
      <c r="I36" s="46"/>
      <c r="J36" s="46"/>
      <c r="K36" s="46"/>
    </row>
    <row r="37">
      <c r="A37" s="108" t="s">
        <v>2536</v>
      </c>
      <c r="B37" s="63"/>
      <c r="C37" s="63"/>
      <c r="D37" s="63"/>
      <c r="E37" s="63"/>
      <c r="F37" s="63"/>
      <c r="G37" s="66"/>
      <c r="H37" s="69"/>
      <c r="I37" s="69"/>
      <c r="J37" s="69"/>
      <c r="K37" s="69"/>
    </row>
    <row r="38">
      <c r="A38" s="106" t="s">
        <v>2537</v>
      </c>
      <c r="G38" s="57"/>
    </row>
  </sheetData>
</worksheet>
</file>

<file path=xl/worksheets/sheet9.xml><?xml version="1.0" encoding="utf-8"?>
<worksheet xmlns="http://schemas.openxmlformats.org/spreadsheetml/2006/main" xmlns:r="http://schemas.openxmlformats.org/officeDocument/2006/relationships">
  <dimension ref="A1:K60"/>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2538</v>
      </c>
      <c r="G2" s="57"/>
    </row>
    <row r="3">
      <c r="A3" s="106" t="s">
        <v>2539</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2540</v>
      </c>
      <c r="B7" s="63"/>
      <c r="C7" s="63"/>
      <c r="D7" s="63"/>
      <c r="E7" s="63"/>
      <c r="F7" s="63"/>
      <c r="G7" s="66"/>
      <c r="H7" s="69"/>
      <c r="I7" s="69"/>
      <c r="J7" s="69"/>
      <c r="K7" s="69"/>
    </row>
    <row r="8">
      <c r="A8" s="106" t="s">
        <v>2541</v>
      </c>
      <c r="B8" s="51"/>
      <c r="C8" s="51"/>
      <c r="D8" s="51"/>
      <c r="E8" s="74">
        <v>788615179</v>
      </c>
      <c r="F8" s="74">
        <v>978773593</v>
      </c>
      <c r="G8" s="52"/>
      <c r="H8" s="51"/>
      <c r="I8" s="51"/>
      <c r="J8" s="51"/>
      <c r="K8" s="51"/>
    </row>
    <row r="9">
      <c r="A9" s="106" t="s">
        <v>2542</v>
      </c>
      <c r="B9" s="51"/>
      <c r="C9" s="51"/>
      <c r="D9" s="51"/>
      <c r="E9" s="74">
        <v>56258011</v>
      </c>
      <c r="F9" s="74">
        <v>52810718</v>
      </c>
      <c r="G9" s="52"/>
      <c r="H9" s="51"/>
      <c r="I9" s="51"/>
      <c r="J9" s="51"/>
      <c r="K9" s="51"/>
    </row>
    <row r="10">
      <c r="A10" s="106" t="s">
        <v>2543</v>
      </c>
      <c r="B10" s="51"/>
      <c r="C10" s="51"/>
      <c r="D10" s="51"/>
      <c r="E10" s="74">
        <v>436643368</v>
      </c>
      <c r="F10" s="74">
        <v>493226637</v>
      </c>
      <c r="G10" s="52"/>
      <c r="H10" s="51"/>
      <c r="I10" s="51"/>
      <c r="J10" s="51"/>
      <c r="K10" s="51"/>
    </row>
    <row r="11">
      <c r="A11" s="106" t="s">
        <v>2544</v>
      </c>
      <c r="B11" s="51"/>
      <c r="C11" s="51"/>
      <c r="D11" s="51"/>
      <c r="E11" s="74">
        <v>83908160</v>
      </c>
      <c r="F11" s="74">
        <v>100800146</v>
      </c>
      <c r="G11" s="52"/>
      <c r="H11" s="51"/>
      <c r="I11" s="51"/>
      <c r="J11" s="51"/>
      <c r="K11" s="51"/>
    </row>
    <row r="12">
      <c r="A12" s="106" t="s">
        <v>2545</v>
      </c>
      <c r="B12" s="51"/>
      <c r="C12" s="51"/>
      <c r="D12" s="51"/>
      <c r="E12" s="74">
        <v>197274835</v>
      </c>
      <c r="F12" s="74">
        <v>211357691</v>
      </c>
      <c r="G12" s="52"/>
      <c r="H12" s="51"/>
      <c r="I12" s="51"/>
      <c r="J12" s="51"/>
      <c r="K12" s="51"/>
    </row>
    <row r="13">
      <c r="A13" s="106" t="s">
        <v>2546</v>
      </c>
      <c r="B13" s="51"/>
      <c r="C13" s="51"/>
      <c r="D13" s="51"/>
      <c r="E13" s="74">
        <v>2651825</v>
      </c>
      <c r="F13" s="74">
        <v>0</v>
      </c>
      <c r="G13" s="52"/>
      <c r="H13" s="51"/>
      <c r="I13" s="51"/>
      <c r="J13" s="51"/>
      <c r="K13" s="51"/>
    </row>
    <row r="14">
      <c r="A14" s="106" t="s">
        <v>2547</v>
      </c>
      <c r="B14" s="51"/>
      <c r="C14" s="51"/>
      <c r="D14" s="51"/>
      <c r="E14" s="74">
        <v>5070745</v>
      </c>
      <c r="F14" s="74">
        <v>5872277</v>
      </c>
      <c r="G14" s="52"/>
      <c r="H14" s="51"/>
      <c r="I14" s="51"/>
      <c r="J14" s="51"/>
      <c r="K14" s="51"/>
    </row>
    <row r="15">
      <c r="A15" s="95" t="s">
        <v>2548</v>
      </c>
      <c r="B15" s="53"/>
      <c r="C15" s="53"/>
      <c r="D15" s="53"/>
      <c r="E15" s="100">
        <f>E8+E9+E10+E11+E12+E13+E14</f>
        <v>1570422123</v>
      </c>
      <c r="F15" s="100">
        <f>F8+F9+F10+F11+F12+F13+F14</f>
        <v>1842841062</v>
      </c>
      <c r="G15" s="60"/>
      <c r="H15" s="53"/>
      <c r="I15" s="53"/>
      <c r="J15" s="53"/>
      <c r="K15" s="53"/>
    </row>
    <row r="16">
      <c r="A16" s="106" t="s">
        <v>2549</v>
      </c>
      <c r="B16" s="51"/>
      <c r="C16" s="51"/>
      <c r="D16" s="51"/>
      <c r="E16" s="74">
        <v>1570422123</v>
      </c>
      <c r="F16" s="74">
        <v>1842841062</v>
      </c>
      <c r="G16" s="52"/>
      <c r="H16" s="51"/>
      <c r="I16" s="51"/>
      <c r="J16" s="51"/>
      <c r="K16" s="51"/>
    </row>
    <row r="17">
      <c r="A17" s="106" t="s">
        <v>2550</v>
      </c>
      <c r="B17" s="51"/>
      <c r="C17" s="51"/>
      <c r="D17" s="51"/>
      <c r="E17" s="111">
        <f>EEFF!E79</f>
        <v>1570422123</v>
      </c>
      <c r="F17" s="111">
        <f>EEFF!F79</f>
        <v>1842841062</v>
      </c>
      <c r="G17" s="52"/>
      <c r="H17" s="51"/>
      <c r="I17" s="51"/>
      <c r="J17" s="51"/>
      <c r="K17" s="51"/>
    </row>
    <row r="18">
      <c r="A18" s="106" t="s">
        <v>2551</v>
      </c>
      <c r="B18" s="51"/>
      <c r="C18" s="51"/>
      <c r="D18" s="51"/>
      <c r="E18" s="110">
        <f>(E15-E16)+(E16-E17)</f>
        <v>0</v>
      </c>
      <c r="F18" s="110">
        <f>(F15-F16)+(F16-F17)</f>
        <v>0</v>
      </c>
      <c r="G18" s="52"/>
      <c r="H18" s="51"/>
      <c r="I18" s="51"/>
      <c r="J18" s="51"/>
      <c r="K18" s="51"/>
    </row>
    <row r="19">
      <c r="A19" s="106" t="s">
        <v>2552</v>
      </c>
      <c r="B19" s="67"/>
      <c r="C19" s="67"/>
      <c r="D19" s="67"/>
      <c r="E19" s="67"/>
      <c r="F19" s="67">
        <f>F8/F15</f>
        <v>0.5311220881619362</v>
      </c>
      <c r="G19" s="62"/>
      <c r="H19" s="67"/>
      <c r="I19" s="67"/>
      <c r="J19" s="67"/>
      <c r="K19" s="67"/>
    </row>
    <row r="20">
      <c r="A20" s="46"/>
      <c r="B20" s="46"/>
      <c r="C20" s="46"/>
      <c r="D20" s="46"/>
      <c r="E20" s="46"/>
      <c r="F20" s="46"/>
      <c r="G20" s="57"/>
      <c r="H20" s="46"/>
      <c r="I20" s="46"/>
      <c r="J20" s="46"/>
      <c r="K20" s="46"/>
    </row>
    <row r="21">
      <c r="A21" s="108" t="s">
        <v>2553</v>
      </c>
      <c r="B21" s="63"/>
      <c r="C21" s="63"/>
      <c r="D21" s="63"/>
      <c r="E21" s="63"/>
      <c r="F21" s="63"/>
      <c r="G21" s="66"/>
      <c r="H21" s="69"/>
      <c r="I21" s="69"/>
      <c r="J21" s="69"/>
      <c r="K21" s="69"/>
    </row>
    <row r="22">
      <c r="A22" s="106" t="s">
        <v>2554</v>
      </c>
      <c r="B22" s="51"/>
      <c r="C22" s="51"/>
      <c r="D22" s="51"/>
      <c r="E22" s="74">
        <v>405532999</v>
      </c>
      <c r="F22" s="74">
        <v>508921589</v>
      </c>
      <c r="G22" s="52"/>
      <c r="H22" s="51"/>
      <c r="I22" s="51"/>
      <c r="J22" s="51"/>
      <c r="K22" s="51"/>
    </row>
    <row r="23">
      <c r="A23" s="106" t="s">
        <v>2555</v>
      </c>
      <c r="B23" s="51"/>
      <c r="C23" s="51"/>
      <c r="D23" s="51"/>
      <c r="E23" s="74">
        <v>7524699</v>
      </c>
      <c r="F23" s="74">
        <v>6019890</v>
      </c>
      <c r="G23" s="52"/>
      <c r="H23" s="51"/>
      <c r="I23" s="51"/>
      <c r="J23" s="51"/>
      <c r="K23" s="51"/>
    </row>
    <row r="24">
      <c r="A24" s="106" t="s">
        <v>2556</v>
      </c>
      <c r="B24" s="51"/>
      <c r="C24" s="51"/>
      <c r="D24" s="51"/>
      <c r="E24" s="74">
        <v>252381387</v>
      </c>
      <c r="F24" s="74">
        <v>320640492</v>
      </c>
      <c r="G24" s="52"/>
      <c r="H24" s="51"/>
      <c r="I24" s="51"/>
      <c r="J24" s="51"/>
      <c r="K24" s="51"/>
    </row>
    <row r="25">
      <c r="A25" s="106" t="s">
        <v>2557</v>
      </c>
      <c r="B25" s="51"/>
      <c r="C25" s="51"/>
      <c r="D25" s="51"/>
      <c r="E25" s="74">
        <v>2973814</v>
      </c>
      <c r="F25" s="74">
        <v>3584782</v>
      </c>
      <c r="G25" s="52"/>
      <c r="H25" s="51"/>
      <c r="I25" s="51"/>
      <c r="J25" s="51"/>
      <c r="K25" s="51"/>
    </row>
    <row r="26">
      <c r="A26" s="106" t="s">
        <v>2558</v>
      </c>
      <c r="B26" s="51"/>
      <c r="C26" s="51"/>
      <c r="D26" s="51"/>
      <c r="E26" s="74">
        <v>43617053</v>
      </c>
      <c r="F26" s="74">
        <v>57988044</v>
      </c>
      <c r="G26" s="52"/>
      <c r="H26" s="51"/>
      <c r="I26" s="51"/>
      <c r="J26" s="51"/>
      <c r="K26" s="51"/>
    </row>
    <row r="27">
      <c r="A27" s="106" t="s">
        <v>2559</v>
      </c>
      <c r="B27" s="51"/>
      <c r="C27" s="51"/>
      <c r="D27" s="51"/>
      <c r="E27" s="74">
        <v>1558012</v>
      </c>
      <c r="F27" s="74">
        <v>1635334</v>
      </c>
      <c r="G27" s="52"/>
      <c r="H27" s="51"/>
      <c r="I27" s="51"/>
      <c r="J27" s="51"/>
      <c r="K27" s="51"/>
    </row>
    <row r="28">
      <c r="A28" s="106" t="s">
        <v>2560</v>
      </c>
      <c r="B28" s="51"/>
      <c r="C28" s="51"/>
      <c r="D28" s="51"/>
      <c r="E28" s="74">
        <v>542659</v>
      </c>
      <c r="F28" s="74">
        <v>1212131</v>
      </c>
      <c r="G28" s="52"/>
      <c r="H28" s="51"/>
      <c r="I28" s="51"/>
      <c r="J28" s="51"/>
      <c r="K28" s="51"/>
    </row>
    <row r="29">
      <c r="A29" s="106" t="s">
        <v>2561</v>
      </c>
      <c r="B29" s="51"/>
      <c r="C29" s="51"/>
      <c r="D29" s="51"/>
      <c r="E29" s="74">
        <v>15045532</v>
      </c>
      <c r="F29" s="74">
        <v>10121782</v>
      </c>
      <c r="G29" s="52"/>
      <c r="H29" s="51"/>
      <c r="I29" s="51"/>
      <c r="J29" s="51"/>
      <c r="K29" s="51"/>
    </row>
    <row r="30">
      <c r="A30" s="106" t="s">
        <v>2562</v>
      </c>
      <c r="B30" s="51"/>
      <c r="C30" s="51"/>
      <c r="D30" s="51"/>
      <c r="E30" s="74">
        <v>50760781</v>
      </c>
      <c r="F30" s="74">
        <v>57924549</v>
      </c>
      <c r="G30" s="52"/>
      <c r="H30" s="51"/>
      <c r="I30" s="51"/>
      <c r="J30" s="51"/>
      <c r="K30" s="51"/>
    </row>
    <row r="31">
      <c r="A31" s="95" t="s">
        <v>2563</v>
      </c>
      <c r="B31" s="53"/>
      <c r="C31" s="53"/>
      <c r="D31" s="53"/>
      <c r="E31" s="100">
        <f>E22+E23+E24+E25+E26+E27+E28+E29+E30</f>
        <v>779936936</v>
      </c>
      <c r="F31" s="100">
        <f>F22+F23+F24+F25+F26+F27+F28+F29+F30</f>
        <v>968048593</v>
      </c>
      <c r="G31" s="60"/>
      <c r="H31" s="53"/>
      <c r="I31" s="53"/>
      <c r="J31" s="53"/>
      <c r="K31" s="53"/>
    </row>
    <row r="32">
      <c r="A32" s="106" t="s">
        <v>2564</v>
      </c>
      <c r="B32" s="51"/>
      <c r="C32" s="51"/>
      <c r="D32" s="51"/>
      <c r="E32" s="74">
        <v>779936936</v>
      </c>
      <c r="F32" s="74">
        <v>968048593</v>
      </c>
      <c r="G32" s="52"/>
      <c r="H32" s="51"/>
      <c r="I32" s="51"/>
      <c r="J32" s="51"/>
      <c r="K32" s="51"/>
    </row>
    <row r="33">
      <c r="A33" s="106" t="s">
        <v>2565</v>
      </c>
      <c r="B33" s="51"/>
      <c r="C33" s="51"/>
      <c r="D33" s="51"/>
      <c r="E33" s="110">
        <f>E31-E32</f>
        <v>0</v>
      </c>
      <c r="F33" s="110">
        <f>F31-F32</f>
        <v>0</v>
      </c>
      <c r="G33" s="52"/>
      <c r="H33" s="51"/>
      <c r="I33" s="51"/>
      <c r="J33" s="51"/>
      <c r="K33" s="51"/>
    </row>
    <row r="34">
      <c r="A34" s="46"/>
      <c r="B34" s="46"/>
      <c r="C34" s="46"/>
      <c r="D34" s="46"/>
      <c r="E34" s="46"/>
      <c r="F34" s="46"/>
      <c r="G34" s="57"/>
      <c r="H34" s="46"/>
      <c r="I34" s="46"/>
      <c r="J34" s="46"/>
      <c r="K34" s="46"/>
    </row>
    <row r="35">
      <c r="A35" s="108" t="s">
        <v>2566</v>
      </c>
      <c r="B35" s="63"/>
      <c r="C35" s="63"/>
      <c r="D35" s="63"/>
      <c r="E35" s="63"/>
      <c r="F35" s="63"/>
      <c r="G35" s="66"/>
      <c r="H35" s="69"/>
      <c r="I35" s="69"/>
      <c r="J35" s="69"/>
      <c r="K35" s="69"/>
    </row>
    <row r="36">
      <c r="A36" s="106" t="s">
        <v>2554</v>
      </c>
      <c r="B36" s="51"/>
      <c r="C36" s="51"/>
      <c r="D36" s="51"/>
      <c r="E36" s="74">
        <v>19312221</v>
      </c>
      <c r="F36" s="74">
        <v>20990158</v>
      </c>
      <c r="G36" s="52"/>
      <c r="H36" s="51"/>
      <c r="I36" s="51"/>
      <c r="J36" s="51"/>
      <c r="K36" s="51"/>
    </row>
    <row r="37">
      <c r="A37" s="106" t="s">
        <v>2555</v>
      </c>
      <c r="B37" s="51"/>
      <c r="C37" s="51"/>
      <c r="D37" s="51"/>
      <c r="E37" s="74">
        <v>406551</v>
      </c>
      <c r="F37" s="74">
        <v>323095</v>
      </c>
      <c r="G37" s="52"/>
      <c r="H37" s="51"/>
      <c r="I37" s="51"/>
      <c r="J37" s="51"/>
      <c r="K37" s="51"/>
    </row>
    <row r="38">
      <c r="A38" s="106" t="s">
        <v>2556</v>
      </c>
      <c r="B38" s="51"/>
      <c r="C38" s="51"/>
      <c r="D38" s="51"/>
      <c r="E38" s="74">
        <v>22636186</v>
      </c>
      <c r="F38" s="74">
        <v>24225072</v>
      </c>
      <c r="G38" s="52"/>
      <c r="H38" s="51"/>
      <c r="I38" s="51"/>
      <c r="J38" s="51"/>
      <c r="K38" s="51"/>
    </row>
    <row r="39">
      <c r="A39" s="106" t="s">
        <v>2557</v>
      </c>
      <c r="B39" s="51"/>
      <c r="C39" s="51"/>
      <c r="D39" s="51"/>
      <c r="E39" s="74">
        <v>29262</v>
      </c>
      <c r="F39" s="74">
        <v>0</v>
      </c>
      <c r="G39" s="52"/>
      <c r="H39" s="51"/>
      <c r="I39" s="51"/>
      <c r="J39" s="51"/>
      <c r="K39" s="51"/>
    </row>
    <row r="40">
      <c r="A40" s="106" t="s">
        <v>2558</v>
      </c>
      <c r="B40" s="51"/>
      <c r="C40" s="51"/>
      <c r="D40" s="51"/>
      <c r="E40" s="74">
        <v>4068000</v>
      </c>
      <c r="F40" s="74">
        <v>4446783</v>
      </c>
      <c r="G40" s="52"/>
      <c r="H40" s="51"/>
      <c r="I40" s="51"/>
      <c r="J40" s="51"/>
      <c r="K40" s="51"/>
    </row>
    <row r="41">
      <c r="A41" s="106" t="s">
        <v>2559</v>
      </c>
      <c r="B41" s="51"/>
      <c r="C41" s="51"/>
      <c r="D41" s="51"/>
      <c r="E41" s="74">
        <v>845950</v>
      </c>
      <c r="F41" s="74">
        <v>73640</v>
      </c>
      <c r="G41" s="52"/>
      <c r="H41" s="51"/>
      <c r="I41" s="51"/>
      <c r="J41" s="51"/>
      <c r="K41" s="51"/>
    </row>
    <row r="42">
      <c r="A42" s="106" t="s">
        <v>2560</v>
      </c>
      <c r="B42" s="51"/>
      <c r="C42" s="51"/>
      <c r="D42" s="51"/>
      <c r="E42" s="74">
        <v>191150</v>
      </c>
      <c r="F42" s="74">
        <v>64722</v>
      </c>
      <c r="G42" s="52"/>
      <c r="H42" s="51"/>
      <c r="I42" s="51"/>
      <c r="J42" s="51"/>
      <c r="K42" s="51"/>
    </row>
    <row r="43">
      <c r="A43" s="106" t="s">
        <v>2561</v>
      </c>
      <c r="B43" s="51"/>
      <c r="C43" s="51"/>
      <c r="D43" s="51"/>
      <c r="E43" s="74">
        <v>1163893</v>
      </c>
      <c r="F43" s="74">
        <v>673709</v>
      </c>
      <c r="G43" s="52"/>
      <c r="H43" s="51"/>
      <c r="I43" s="51"/>
      <c r="J43" s="51"/>
      <c r="K43" s="51"/>
    </row>
    <row r="44">
      <c r="A44" s="106" t="s">
        <v>2562</v>
      </c>
      <c r="B44" s="51"/>
      <c r="C44" s="51"/>
      <c r="D44" s="51"/>
      <c r="E44" s="74">
        <v>0</v>
      </c>
      <c r="F44" s="74">
        <v>1017428</v>
      </c>
      <c r="G44" s="52"/>
      <c r="H44" s="51"/>
      <c r="I44" s="51"/>
      <c r="J44" s="51"/>
      <c r="K44" s="51"/>
    </row>
    <row r="45">
      <c r="A45" s="95" t="s">
        <v>2567</v>
      </c>
      <c r="B45" s="53"/>
      <c r="C45" s="53"/>
      <c r="D45" s="53"/>
      <c r="E45" s="100">
        <f>E36+E37+E38+E39+E40+E41+E42+E43+E44</f>
        <v>48653213</v>
      </c>
      <c r="F45" s="100">
        <f>F36+F37+F38+F39+F40+F41+F42+F43+F44</f>
        <v>51814607</v>
      </c>
      <c r="G45" s="60"/>
      <c r="H45" s="53"/>
      <c r="I45" s="53"/>
      <c r="J45" s="53"/>
      <c r="K45" s="53"/>
    </row>
    <row r="46">
      <c r="A46" s="106" t="s">
        <v>2568</v>
      </c>
      <c r="B46" s="51"/>
      <c r="C46" s="51"/>
      <c r="D46" s="51"/>
      <c r="E46" s="74">
        <v>48653213</v>
      </c>
      <c r="F46" s="74">
        <v>51814607</v>
      </c>
      <c r="G46" s="52"/>
      <c r="H46" s="51"/>
      <c r="I46" s="51"/>
      <c r="J46" s="51"/>
      <c r="K46" s="51"/>
    </row>
    <row r="47">
      <c r="A47" s="106" t="s">
        <v>2569</v>
      </c>
      <c r="B47" s="51"/>
      <c r="C47" s="51"/>
      <c r="D47" s="51"/>
      <c r="E47" s="110">
        <f>E45-E46</f>
        <v>0</v>
      </c>
      <c r="F47" s="110">
        <f>F45-F46</f>
        <v>0</v>
      </c>
      <c r="G47" s="52"/>
      <c r="H47" s="51"/>
      <c r="I47" s="51"/>
      <c r="J47" s="51"/>
      <c r="K47" s="51"/>
    </row>
    <row r="48">
      <c r="A48" s="46"/>
      <c r="B48" s="46"/>
      <c r="C48" s="46"/>
      <c r="D48" s="46"/>
      <c r="E48" s="46"/>
      <c r="F48" s="46"/>
      <c r="G48" s="57"/>
      <c r="H48" s="46"/>
      <c r="I48" s="46"/>
      <c r="J48" s="46"/>
      <c r="K48" s="46"/>
    </row>
    <row r="49">
      <c r="A49" s="108" t="s">
        <v>2570</v>
      </c>
      <c r="B49" s="63"/>
      <c r="C49" s="63"/>
      <c r="D49" s="63"/>
      <c r="E49" s="63"/>
      <c r="F49" s="63"/>
      <c r="G49" s="66"/>
      <c r="H49" s="69"/>
      <c r="I49" s="69"/>
      <c r="J49" s="69"/>
      <c r="K49" s="69"/>
    </row>
    <row r="50">
      <c r="A50" s="106" t="s">
        <v>2554</v>
      </c>
      <c r="B50" s="67"/>
      <c r="C50" s="67"/>
      <c r="D50" s="67"/>
      <c r="E50" s="67"/>
      <c r="F50" s="67">
        <f>F36/AVERAGE(E22,F22)</f>
        <v>0.04590749125313591</v>
      </c>
      <c r="G50" s="62"/>
      <c r="H50" s="67"/>
      <c r="I50" s="67"/>
      <c r="J50" s="67"/>
      <c r="K50" s="67"/>
    </row>
    <row r="51">
      <c r="A51" s="106" t="s">
        <v>2556</v>
      </c>
      <c r="B51" s="67"/>
      <c r="C51" s="67"/>
      <c r="D51" s="67"/>
      <c r="E51" s="67"/>
      <c r="F51" s="67">
        <f>F38/AVERAGE(E24,F24)</f>
        <v>0.08455199666119555</v>
      </c>
      <c r="G51" s="62"/>
      <c r="H51" s="67"/>
      <c r="I51" s="67"/>
      <c r="J51" s="67"/>
      <c r="K51" s="67"/>
    </row>
    <row r="52">
      <c r="A52" s="106" t="s">
        <v>2558</v>
      </c>
      <c r="B52" s="67"/>
      <c r="C52" s="67"/>
      <c r="D52" s="67"/>
      <c r="E52" s="67"/>
      <c r="F52" s="67">
        <f>F40/AVERAGE(E26,F26)</f>
        <v>0.0875307072439486</v>
      </c>
      <c r="G52" s="62"/>
      <c r="H52" s="67"/>
      <c r="I52" s="67"/>
      <c r="J52" s="67"/>
      <c r="K52" s="67"/>
    </row>
    <row r="53">
      <c r="A53" s="106" t="s">
        <v>2571</v>
      </c>
      <c r="B53" s="67"/>
      <c r="C53" s="67"/>
      <c r="D53" s="67"/>
      <c r="E53" s="67"/>
      <c r="F53" s="67">
        <f>F45/AVERAGE(E31,F31)</f>
        <v>0.05928493816495434</v>
      </c>
      <c r="G53" s="62"/>
      <c r="H53" s="67"/>
      <c r="I53" s="67"/>
      <c r="J53" s="67"/>
      <c r="K53" s="67"/>
    </row>
    <row r="54">
      <c r="A54" s="46"/>
      <c r="B54" s="46"/>
      <c r="C54" s="46"/>
      <c r="D54" s="46"/>
      <c r="E54" s="46"/>
      <c r="F54" s="46"/>
      <c r="G54" s="57"/>
      <c r="H54" s="46"/>
      <c r="I54" s="46"/>
      <c r="J54" s="46"/>
      <c r="K54" s="46"/>
    </row>
    <row r="55">
      <c r="A55" s="108" t="s">
        <v>2572</v>
      </c>
      <c r="B55" s="63"/>
      <c r="C55" s="63"/>
      <c r="D55" s="63"/>
      <c r="E55" s="63"/>
      <c r="F55" s="63"/>
      <c r="G55" s="66"/>
      <c r="H55" s="69"/>
      <c r="I55" s="69"/>
      <c r="J55" s="69"/>
      <c r="K55" s="69"/>
    </row>
    <row r="56">
      <c r="A56" s="106" t="s">
        <v>2573</v>
      </c>
      <c r="G56" s="57"/>
    </row>
    <row r="57">
      <c r="A57" s="106" t="s">
        <v>2574</v>
      </c>
      <c r="G57" s="57"/>
    </row>
    <row r="58">
      <c r="A58" s="46"/>
      <c r="B58" s="46"/>
      <c r="C58" s="46"/>
      <c r="D58" s="46"/>
      <c r="E58" s="46"/>
      <c r="F58" s="46"/>
      <c r="G58" s="57"/>
      <c r="H58" s="46"/>
      <c r="I58" s="46"/>
      <c r="J58" s="46"/>
      <c r="K58" s="46"/>
    </row>
    <row r="59">
      <c r="A59" s="108" t="s">
        <v>2536</v>
      </c>
      <c r="B59" s="63"/>
      <c r="C59" s="63"/>
      <c r="D59" s="63"/>
      <c r="E59" s="63"/>
      <c r="F59" s="63"/>
      <c r="G59" s="66"/>
      <c r="H59" s="69"/>
      <c r="I59" s="69"/>
      <c r="J59" s="69"/>
      <c r="K59" s="69"/>
    </row>
    <row r="60">
      <c r="A60" s="106" t="s">
        <v>2575</v>
      </c>
      <c r="G60" s="57"/>
    </row>
  </sheetData>
</worksheet>
</file>

<file path=xl/worksheets/sheet10.xml><?xml version="1.0" encoding="utf-8"?>
<worksheet xmlns="http://schemas.openxmlformats.org/spreadsheetml/2006/main" xmlns:r="http://schemas.openxmlformats.org/officeDocument/2006/relationships">
  <dimension ref="A1:K30"/>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2576</v>
      </c>
      <c r="G2" s="57"/>
    </row>
    <row r="3">
      <c r="A3" s="106" t="s">
        <v>2577</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2578</v>
      </c>
      <c r="B7" s="63"/>
      <c r="C7" s="63"/>
      <c r="D7" s="63"/>
      <c r="E7" s="63"/>
      <c r="F7" s="63"/>
      <c r="G7" s="66"/>
      <c r="H7" s="69"/>
      <c r="I7" s="69"/>
      <c r="J7" s="69"/>
      <c r="K7" s="69"/>
    </row>
    <row r="8">
      <c r="A8" s="106" t="s">
        <v>2579</v>
      </c>
      <c r="B8" s="111">
        <f>EEFF!B76</f>
        <v>1282484672</v>
      </c>
      <c r="C8" s="111">
        <f>EEFF!C76</f>
        <v>1306501849</v>
      </c>
      <c r="D8" s="111">
        <f>EEFF!D76</f>
        <v>1450423677</v>
      </c>
      <c r="E8" s="51"/>
      <c r="F8" s="51"/>
      <c r="G8" s="52"/>
      <c r="H8" s="51"/>
      <c r="I8" s="51"/>
      <c r="J8" s="51"/>
      <c r="K8" s="51"/>
    </row>
    <row r="9">
      <c r="A9" s="106" t="s">
        <v>2580</v>
      </c>
      <c r="B9" s="51"/>
      <c r="C9" s="51"/>
      <c r="D9" s="51"/>
      <c r="E9" s="111">
        <f>EEFF!E79</f>
        <v>1570422123</v>
      </c>
      <c r="F9" s="111">
        <f>EEFF!F79</f>
        <v>1842841062</v>
      </c>
      <c r="G9" s="52"/>
      <c r="H9" s="51"/>
      <c r="I9" s="51"/>
      <c r="J9" s="51"/>
      <c r="K9" s="51"/>
    </row>
    <row r="10">
      <c r="A10" s="95" t="s">
        <v>2581</v>
      </c>
      <c r="B10" s="100">
        <f>B8+B9</f>
        <v>1282484672</v>
      </c>
      <c r="C10" s="100">
        <f>C8+C9</f>
        <v>1306501849</v>
      </c>
      <c r="D10" s="100">
        <f>D8+D9</f>
        <v>1450423677</v>
      </c>
      <c r="E10" s="100">
        <f>E8+E9</f>
        <v>1570422123</v>
      </c>
      <c r="F10" s="100">
        <f>F8+F9</f>
        <v>1842841062</v>
      </c>
      <c r="G10" s="104">
        <f>F10*(1+Supuestos!G11)</f>
        <v>1989162642.3228</v>
      </c>
      <c r="H10" s="89">
        <f>G10*(1+Supuestos!H11)</f>
        <v>2147102156.12323</v>
      </c>
      <c r="I10" s="89">
        <f>H10*(1+Supuestos!I11)</f>
        <v>2317582067.319414</v>
      </c>
      <c r="J10" s="89">
        <f>I10*(1+Supuestos!J11)</f>
        <v>2501598083.4645753</v>
      </c>
      <c r="K10" s="89">
        <f>J10*(1+Supuestos!K11)</f>
        <v>2700224971.291662</v>
      </c>
    </row>
    <row r="11">
      <c r="A11" s="46"/>
      <c r="B11" s="46"/>
      <c r="C11" s="46"/>
      <c r="D11" s="46"/>
      <c r="E11" s="46"/>
      <c r="F11" s="46"/>
      <c r="G11" s="57"/>
      <c r="H11" s="46"/>
      <c r="I11" s="46"/>
      <c r="J11" s="46"/>
      <c r="K11" s="46"/>
    </row>
    <row r="12">
      <c r="A12" s="106" t="s">
        <v>2582</v>
      </c>
      <c r="G12" s="57"/>
    </row>
    <row r="13">
      <c r="A13" s="106" t="s">
        <v>2583</v>
      </c>
      <c r="B13" s="51"/>
      <c r="C13" s="51"/>
      <c r="D13" s="51"/>
      <c r="E13" s="51"/>
      <c r="F13" s="110">
        <f>AVERAGE(E10,F10)</f>
        <v>1706631592.5</v>
      </c>
      <c r="G13" s="112">
        <f>AVERAGE(F10,G10)</f>
        <v>1916001852.1613998</v>
      </c>
      <c r="H13" s="110">
        <f>AVERAGE(G10,H10)</f>
        <v>2068132399.2230148</v>
      </c>
      <c r="I13" s="110">
        <f>AVERAGE(H10,I10)</f>
        <v>2232342111.721322</v>
      </c>
      <c r="J13" s="110">
        <f>AVERAGE(I10,J10)</f>
        <v>2409590075.3919945</v>
      </c>
      <c r="K13" s="110">
        <f>AVERAGE(J10,K10)</f>
        <v>2600911527.3781185</v>
      </c>
    </row>
    <row r="14">
      <c r="A14" s="46"/>
      <c r="B14" s="46"/>
      <c r="C14" s="46"/>
      <c r="D14" s="46"/>
      <c r="E14" s="46"/>
      <c r="F14" s="46"/>
      <c r="G14" s="57"/>
      <c r="H14" s="46"/>
      <c r="I14" s="46"/>
      <c r="J14" s="46"/>
      <c r="K14" s="46"/>
    </row>
    <row r="15">
      <c r="A15" s="108" t="s">
        <v>2584</v>
      </c>
      <c r="B15" s="63"/>
      <c r="C15" s="63"/>
      <c r="D15" s="63"/>
      <c r="E15" s="63"/>
      <c r="F15" s="63"/>
      <c r="G15" s="66"/>
      <c r="H15" s="69"/>
      <c r="I15" s="69"/>
      <c r="J15" s="69"/>
      <c r="K15" s="69"/>
    </row>
    <row r="16">
      <c r="A16" s="58" t="s">
        <v>2585</v>
      </c>
      <c r="B16" s="47"/>
      <c r="C16" s="47"/>
      <c r="D16" s="47"/>
      <c r="E16" s="72">
        <f>EEFF!E57</f>
        <v>90919085</v>
      </c>
      <c r="F16" s="72">
        <f>EEFF!F57</f>
        <v>102622650</v>
      </c>
      <c r="G16" s="54">
        <f>G13*G18</f>
        <v>115212438.54725552</v>
      </c>
      <c r="H16" s="47">
        <f>H13*H18</f>
        <v>124360306.1679076</v>
      </c>
      <c r="I16" s="47">
        <f>I13*I18</f>
        <v>134234514.47763947</v>
      </c>
      <c r="J16" s="47">
        <f>J13*J18</f>
        <v>144892734.927164</v>
      </c>
      <c r="K16" s="47">
        <f>K13*K18</f>
        <v>156397218.0803808</v>
      </c>
    </row>
    <row r="17">
      <c r="A17" s="106" t="s">
        <v>2586</v>
      </c>
      <c r="B17" s="67"/>
      <c r="C17" s="67"/>
      <c r="D17" s="67"/>
      <c r="E17" s="67"/>
      <c r="F17" s="67">
        <f>F16/F13</f>
        <v>0.06013169476704153</v>
      </c>
      <c r="G17" s="62"/>
      <c r="H17" s="67"/>
      <c r="I17" s="67"/>
      <c r="J17" s="67"/>
      <c r="K17" s="67"/>
    </row>
    <row r="18">
      <c r="A18" s="106" t="s">
        <v>2587</v>
      </c>
      <c r="B18" s="67"/>
      <c r="C18" s="67"/>
      <c r="D18" s="67"/>
      <c r="E18" s="67"/>
      <c r="F18" s="67"/>
      <c r="G18" s="62">
        <f>$F$17</f>
        <v>0.06013169476704153</v>
      </c>
      <c r="H18" s="67">
        <f>$F$17</f>
        <v>0.06013169476704153</v>
      </c>
      <c r="I18" s="67">
        <f>$F$17</f>
        <v>0.06013169476704153</v>
      </c>
      <c r="J18" s="67">
        <f>$F$17</f>
        <v>0.06013169476704153</v>
      </c>
      <c r="K18" s="67">
        <f>$F$17</f>
        <v>0.06013169476704153</v>
      </c>
    </row>
    <row r="19">
      <c r="A19" s="46"/>
      <c r="B19" s="46"/>
      <c r="C19" s="46"/>
      <c r="D19" s="46"/>
      <c r="E19" s="46"/>
      <c r="F19" s="46"/>
      <c r="G19" s="57"/>
      <c r="H19" s="46"/>
      <c r="I19" s="46"/>
      <c r="J19" s="46"/>
      <c r="K19" s="46"/>
    </row>
    <row r="20">
      <c r="A20" s="108" t="s">
        <v>2588</v>
      </c>
      <c r="B20" s="63"/>
      <c r="C20" s="63"/>
      <c r="D20" s="63"/>
      <c r="E20" s="63"/>
      <c r="F20" s="63"/>
      <c r="G20" s="66"/>
      <c r="H20" s="69"/>
      <c r="I20" s="69"/>
      <c r="J20" s="69"/>
      <c r="K20" s="69"/>
    </row>
    <row r="21">
      <c r="A21" s="106" t="s">
        <v>2589</v>
      </c>
      <c r="G21" s="57"/>
    </row>
    <row r="22">
      <c r="A22" s="106" t="s">
        <v>2590</v>
      </c>
      <c r="B22" s="67"/>
      <c r="C22" s="67"/>
      <c r="D22" s="67"/>
      <c r="E22" s="67"/>
      <c r="F22" s="68">
        <f>EEFF!F54/EEFF!F57</f>
        <v>0.39783857657154637</v>
      </c>
      <c r="G22" s="62"/>
      <c r="H22" s="67"/>
      <c r="I22" s="67"/>
      <c r="J22" s="67"/>
      <c r="K22" s="67"/>
    </row>
    <row r="23">
      <c r="A23" s="106" t="s">
        <v>2591</v>
      </c>
      <c r="B23" s="67"/>
      <c r="C23" s="67"/>
      <c r="D23" s="67"/>
      <c r="E23" s="67"/>
      <c r="F23" s="68">
        <f>EEFF!F55/EEFF!F57</f>
        <v>0.6028447326199431</v>
      </c>
      <c r="G23" s="62"/>
      <c r="H23" s="67"/>
      <c r="I23" s="67"/>
      <c r="J23" s="67"/>
      <c r="K23" s="67"/>
    </row>
    <row r="24">
      <c r="A24" s="106" t="s">
        <v>2592</v>
      </c>
      <c r="B24" s="67"/>
      <c r="C24" s="67"/>
      <c r="D24" s="67"/>
      <c r="E24" s="67"/>
      <c r="F24" s="68">
        <f>EEFF!F56/EEFF!F57</f>
        <v>-0.0006833091914894032</v>
      </c>
      <c r="G24" s="62"/>
      <c r="H24" s="67"/>
      <c r="I24" s="67"/>
      <c r="J24" s="67"/>
      <c r="K24" s="67"/>
    </row>
    <row r="25">
      <c r="A25" s="106" t="s">
        <v>2593</v>
      </c>
      <c r="B25" s="51"/>
      <c r="C25" s="51"/>
      <c r="D25" s="51"/>
      <c r="E25" s="51"/>
      <c r="F25" s="51"/>
      <c r="G25" s="112">
        <f>G16*$F$22</f>
        <v>45835952.554976895</v>
      </c>
      <c r="H25" s="110">
        <f>H16*$F$22</f>
        <v>49475327.187842056</v>
      </c>
      <c r="I25" s="110">
        <f>I16*$F$22</f>
        <v>53403668.166556716</v>
      </c>
      <c r="J25" s="110">
        <f>J16*$F$22</f>
        <v>57643919.4189813</v>
      </c>
      <c r="K25" s="110">
        <f>K16*$F$22</f>
        <v>62220846.62084841</v>
      </c>
    </row>
    <row r="26">
      <c r="A26" s="106" t="s">
        <v>2594</v>
      </c>
      <c r="B26" s="51"/>
      <c r="C26" s="51"/>
      <c r="D26" s="51"/>
      <c r="E26" s="51"/>
      <c r="F26" s="51"/>
      <c r="G26" s="112">
        <f>G16*$F$23</f>
        <v>69455211.71051188</v>
      </c>
      <c r="H26" s="110">
        <f>H16*$F$23</f>
        <v>74969955.52032651</v>
      </c>
      <c r="I26" s="110">
        <f>I16*$F$23</f>
        <v>80922569.98864044</v>
      </c>
      <c r="J26" s="110">
        <f>J16*$F$23</f>
        <v>87347822.04573846</v>
      </c>
      <c r="K26" s="110">
        <f>K16*$F$23</f>
        <v>94283239.1161701</v>
      </c>
    </row>
    <row r="27">
      <c r="A27" s="58" t="s">
        <v>2595</v>
      </c>
      <c r="B27" s="47"/>
      <c r="C27" s="47"/>
      <c r="D27" s="47"/>
      <c r="E27" s="47"/>
      <c r="F27" s="47"/>
      <c r="G27" s="54">
        <f>G16*$F$24</f>
        <v>-78725.71823324772</v>
      </c>
      <c r="H27" s="47">
        <f>H16*$F$24</f>
        <v>-84976.54026096758</v>
      </c>
      <c r="I27" s="47">
        <f>I16*$F$24</f>
        <v>-91723.67755768841</v>
      </c>
      <c r="J27" s="47">
        <f>J16*$F$24</f>
        <v>-99006.53755576884</v>
      </c>
      <c r="K27" s="47">
        <f>K16*$F$24</f>
        <v>-106867.65663769688</v>
      </c>
    </row>
    <row r="28">
      <c r="A28" s="106" t="s">
        <v>2596</v>
      </c>
      <c r="B28" s="51"/>
      <c r="C28" s="51"/>
      <c r="D28" s="51"/>
      <c r="E28" s="51"/>
      <c r="F28" s="51"/>
      <c r="G28" s="112">
        <f>(G25+G26+G27)-G16</f>
        <v>0</v>
      </c>
      <c r="H28" s="110">
        <f>(H25+H26+H27)-H16</f>
        <v>0</v>
      </c>
      <c r="I28" s="110">
        <f>(I25+I26+I27)-I16</f>
        <v>0</v>
      </c>
      <c r="J28" s="110">
        <f>(J25+J26+J27)-J16</f>
        <v>0</v>
      </c>
      <c r="K28" s="110">
        <f>(K25+K26+K27)-K16</f>
        <v>0</v>
      </c>
    </row>
    <row r="29">
      <c r="A29" s="46"/>
      <c r="B29" s="46"/>
      <c r="C29" s="46"/>
      <c r="D29" s="46"/>
      <c r="E29" s="46"/>
      <c r="F29" s="46"/>
      <c r="G29" s="57"/>
      <c r="H29" s="46"/>
      <c r="I29" s="46"/>
      <c r="J29" s="46"/>
      <c r="K29" s="46"/>
    </row>
    <row r="30">
      <c r="A30" s="106" t="s">
        <v>2597</v>
      </c>
      <c r="G30" s="57"/>
    </row>
  </sheetData>
</worksheet>
</file>

<file path=xl/worksheets/sheet11.xml><?xml version="1.0" encoding="utf-8"?>
<worksheet xmlns="http://schemas.openxmlformats.org/spreadsheetml/2006/main" xmlns:r="http://schemas.openxmlformats.org/officeDocument/2006/relationships">
  <dimension ref="A1:K40"/>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2598</v>
      </c>
      <c r="G2" s="57"/>
    </row>
    <row r="3">
      <c r="A3" s="106" t="s">
        <v>2599</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2600</v>
      </c>
      <c r="B7" s="63"/>
      <c r="C7" s="63"/>
      <c r="D7" s="63"/>
      <c r="E7" s="63"/>
      <c r="F7" s="63"/>
      <c r="G7" s="66"/>
      <c r="H7" s="69"/>
      <c r="I7" s="69"/>
      <c r="J7" s="69"/>
      <c r="K7" s="69"/>
    </row>
    <row r="8">
      <c r="A8" s="106" t="s">
        <v>2601</v>
      </c>
      <c r="G8" s="57"/>
    </row>
    <row r="9">
      <c r="A9" s="106" t="s">
        <v>2602</v>
      </c>
      <c r="G9" s="57"/>
    </row>
    <row r="10">
      <c r="A10" s="106" t="s">
        <v>2603</v>
      </c>
      <c r="G10" s="57"/>
    </row>
    <row r="11">
      <c r="A11" s="46"/>
      <c r="B11" s="46"/>
      <c r="C11" s="46"/>
      <c r="D11" s="46"/>
      <c r="E11" s="46"/>
      <c r="F11" s="46"/>
      <c r="G11" s="57"/>
      <c r="H11" s="46"/>
      <c r="I11" s="46"/>
      <c r="J11" s="46"/>
      <c r="K11" s="46"/>
    </row>
    <row r="12">
      <c r="A12" s="108" t="s">
        <v>2604</v>
      </c>
      <c r="B12" s="63"/>
      <c r="C12" s="63"/>
      <c r="D12" s="63"/>
      <c r="E12" s="63"/>
      <c r="F12" s="63"/>
      <c r="G12" s="66"/>
      <c r="H12" s="69"/>
      <c r="I12" s="69"/>
      <c r="J12" s="69"/>
      <c r="K12" s="69"/>
    </row>
    <row r="13">
      <c r="A13" s="106" t="s">
        <v>2605</v>
      </c>
      <c r="B13" s="111">
        <f>EEFF!B118</f>
        <v>621098362</v>
      </c>
      <c r="C13" s="111">
        <f>EEFF!C118</f>
        <v>590516262</v>
      </c>
      <c r="D13" s="111">
        <f>EEFF!D118</f>
        <v>675316259</v>
      </c>
      <c r="E13" s="111">
        <f>EEFF!E118</f>
        <v>755623881</v>
      </c>
      <c r="F13" s="111">
        <f>EEFF!F118</f>
        <v>981253106</v>
      </c>
      <c r="G13" s="52"/>
      <c r="H13" s="51"/>
      <c r="I13" s="51"/>
      <c r="J13" s="51"/>
      <c r="K13" s="51"/>
    </row>
    <row r="14">
      <c r="A14" s="58" t="s">
        <v>2606</v>
      </c>
      <c r="B14" s="72">
        <f>EEFF!B122</f>
        <v>1028705937</v>
      </c>
      <c r="C14" s="72">
        <f>EEFF!C122</f>
        <v>1016748180</v>
      </c>
      <c r="D14" s="72">
        <f>EEFF!D122</f>
        <v>1151376457</v>
      </c>
      <c r="E14" s="72">
        <f>EEFF!E122</f>
        <v>1371490800</v>
      </c>
      <c r="F14" s="72">
        <f>EEFF!F122</f>
        <v>1579781587</v>
      </c>
      <c r="G14" s="54"/>
      <c r="H14" s="47"/>
      <c r="I14" s="47"/>
      <c r="J14" s="47"/>
      <c r="K14" s="47"/>
    </row>
    <row r="15">
      <c r="A15" s="46"/>
      <c r="B15" s="46"/>
      <c r="C15" s="46"/>
      <c r="D15" s="46"/>
      <c r="E15" s="46"/>
      <c r="F15" s="46"/>
      <c r="G15" s="57"/>
      <c r="H15" s="46"/>
      <c r="I15" s="46"/>
      <c r="J15" s="46"/>
      <c r="K15" s="46"/>
    </row>
    <row r="16">
      <c r="A16" s="106" t="s">
        <v>2607</v>
      </c>
      <c r="G16" s="57"/>
    </row>
    <row r="17">
      <c r="A17" s="106" t="s">
        <v>2608</v>
      </c>
      <c r="G17" s="57"/>
    </row>
    <row r="18">
      <c r="A18" s="46"/>
      <c r="B18" s="46"/>
      <c r="C18" s="46"/>
      <c r="D18" s="46"/>
      <c r="E18" s="46"/>
      <c r="F18" s="46"/>
      <c r="G18" s="57"/>
      <c r="H18" s="46"/>
      <c r="I18" s="46"/>
      <c r="J18" s="46"/>
      <c r="K18" s="46"/>
    </row>
    <row r="19">
      <c r="A19" s="108" t="s">
        <v>2609</v>
      </c>
      <c r="B19" s="63"/>
      <c r="C19" s="63"/>
      <c r="D19" s="63"/>
      <c r="E19" s="63"/>
      <c r="F19" s="63"/>
      <c r="G19" s="66"/>
      <c r="H19" s="69"/>
      <c r="I19" s="69"/>
      <c r="J19" s="69"/>
      <c r="K19" s="69"/>
    </row>
    <row r="20">
      <c r="A20" s="106" t="s">
        <v>2610</v>
      </c>
      <c r="G20" s="57"/>
    </row>
    <row r="21">
      <c r="A21" s="106" t="s">
        <v>2611</v>
      </c>
      <c r="G21" s="57"/>
    </row>
    <row r="22">
      <c r="A22" s="106" t="s">
        <v>2612</v>
      </c>
      <c r="G22" s="57"/>
    </row>
    <row r="23">
      <c r="A23" s="106" t="s">
        <v>2613</v>
      </c>
      <c r="G23" s="57"/>
    </row>
    <row r="24">
      <c r="A24" s="106" t="s">
        <v>2614</v>
      </c>
      <c r="G24" s="57"/>
    </row>
    <row r="25">
      <c r="A25" s="106" t="s">
        <v>2615</v>
      </c>
      <c r="G25" s="57"/>
    </row>
    <row r="26">
      <c r="A26" s="106" t="s">
        <v>2616</v>
      </c>
      <c r="G26" s="57"/>
    </row>
    <row r="27">
      <c r="A27" s="106" t="s">
        <v>2617</v>
      </c>
      <c r="G27" s="57"/>
    </row>
    <row r="28">
      <c r="A28" s="106" t="s">
        <v>2618</v>
      </c>
      <c r="G28" s="57"/>
    </row>
    <row r="29">
      <c r="A29" s="46"/>
      <c r="B29" s="46"/>
      <c r="C29" s="46"/>
      <c r="D29" s="46"/>
      <c r="E29" s="46"/>
      <c r="F29" s="46"/>
      <c r="G29" s="57"/>
      <c r="H29" s="46"/>
      <c r="I29" s="46"/>
      <c r="J29" s="46"/>
      <c r="K29" s="46"/>
    </row>
    <row r="30">
      <c r="A30" s="108" t="s">
        <v>2619</v>
      </c>
      <c r="B30" s="63"/>
      <c r="C30" s="63"/>
      <c r="D30" s="63"/>
      <c r="E30" s="63"/>
      <c r="F30" s="63"/>
      <c r="G30" s="66"/>
      <c r="H30" s="69"/>
      <c r="I30" s="69"/>
      <c r="J30" s="69"/>
      <c r="K30" s="69"/>
    </row>
    <row r="31">
      <c r="A31" s="106" t="s">
        <v>2620</v>
      </c>
      <c r="G31" s="57"/>
    </row>
    <row r="32">
      <c r="A32" s="106" t="s">
        <v>2621</v>
      </c>
      <c r="G32" s="57"/>
    </row>
    <row r="33">
      <c r="A33" s="46"/>
      <c r="B33" s="46"/>
      <c r="C33" s="46"/>
      <c r="D33" s="46"/>
      <c r="E33" s="46"/>
      <c r="F33" s="46"/>
      <c r="G33" s="57"/>
      <c r="H33" s="46"/>
      <c r="I33" s="46"/>
      <c r="J33" s="46"/>
      <c r="K33" s="46"/>
    </row>
    <row r="34">
      <c r="A34" s="108" t="s">
        <v>2622</v>
      </c>
      <c r="B34" s="63"/>
      <c r="C34" s="63"/>
      <c r="D34" s="63"/>
      <c r="E34" s="63"/>
      <c r="F34" s="63"/>
      <c r="G34" s="66"/>
      <c r="H34" s="69"/>
      <c r="I34" s="69"/>
      <c r="J34" s="69"/>
      <c r="K34" s="69"/>
    </row>
    <row r="35">
      <c r="A35" s="106" t="s">
        <v>2623</v>
      </c>
      <c r="G35" s="57"/>
    </row>
    <row r="36">
      <c r="A36" s="106" t="s">
        <v>2624</v>
      </c>
      <c r="G36" s="57"/>
    </row>
    <row r="37">
      <c r="A37" s="106" t="s">
        <v>2625</v>
      </c>
      <c r="G37" s="57"/>
    </row>
    <row r="38">
      <c r="A38" s="106" t="s">
        <v>2626</v>
      </c>
      <c r="G38" s="57"/>
    </row>
    <row r="39">
      <c r="A39" s="106" t="s">
        <v>2627</v>
      </c>
      <c r="G39" s="57"/>
    </row>
    <row r="40">
      <c r="A40" s="106" t="s">
        <v>2628</v>
      </c>
      <c r="G40" s="57"/>
    </row>
  </sheetData>
</worksheet>
</file>

<file path=xl/worksheets/sheet12.xml><?xml version="1.0" encoding="utf-8"?>
<worksheet xmlns="http://schemas.openxmlformats.org/spreadsheetml/2006/main" xmlns:r="http://schemas.openxmlformats.org/officeDocument/2006/relationships">
  <dimension ref="A1:K69"/>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2629</v>
      </c>
      <c r="G2" s="57"/>
    </row>
    <row r="3">
      <c r="A3" s="106" t="s">
        <v>2630</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2631</v>
      </c>
      <c r="B7" s="63"/>
      <c r="C7" s="63"/>
      <c r="D7" s="63"/>
      <c r="E7" s="63"/>
      <c r="F7" s="63"/>
      <c r="G7" s="66"/>
      <c r="H7" s="69"/>
      <c r="I7" s="69"/>
      <c r="J7" s="69"/>
      <c r="K7" s="69"/>
    </row>
    <row r="8">
      <c r="A8" s="106" t="s">
        <v>2632</v>
      </c>
      <c r="G8" s="57"/>
    </row>
    <row r="9">
      <c r="A9" s="106" t="s">
        <v>2392</v>
      </c>
      <c r="B9" s="51"/>
      <c r="C9" s="51"/>
      <c r="D9" s="51"/>
      <c r="E9" s="111">
        <f>Premiums_Claims!E19</f>
        <v>84101845</v>
      </c>
      <c r="F9" s="111">
        <f>Premiums_Claims!F19</f>
        <v>86428052</v>
      </c>
      <c r="G9" s="109">
        <f>Premiums_Claims!G19</f>
        <v>88822109.0404</v>
      </c>
      <c r="H9" s="111">
        <f>Premiums_Claims!H19</f>
        <v>91282481.46081908</v>
      </c>
      <c r="I9" s="111">
        <f>Premiums_Claims!I19</f>
        <v>93811006.19728377</v>
      </c>
      <c r="J9" s="111">
        <f>Premiums_Claims!J19</f>
        <v>96409571.06894854</v>
      </c>
      <c r="K9" s="111">
        <f>Premiums_Claims!K19</f>
        <v>99080116.18755841</v>
      </c>
    </row>
    <row r="10">
      <c r="A10" s="106" t="s">
        <v>2393</v>
      </c>
      <c r="B10" s="51"/>
      <c r="C10" s="51"/>
      <c r="D10" s="51"/>
      <c r="E10" s="111">
        <f>Premiums_Claims!E20</f>
        <v>100793260</v>
      </c>
      <c r="F10" s="111">
        <f>Premiums_Claims!F20</f>
        <v>114979720</v>
      </c>
      <c r="G10" s="109">
        <f>Premiums_Claims!G20</f>
        <v>131157366.604</v>
      </c>
      <c r="H10" s="111">
        <f>Premiums_Claims!H20</f>
        <v>149611208.08518282</v>
      </c>
      <c r="I10" s="111">
        <f>Premiums_Claims!I20</f>
        <v>170661505.06276804</v>
      </c>
      <c r="J10" s="111">
        <f>Premiums_Claims!J20</f>
        <v>194673578.82509953</v>
      </c>
      <c r="K10" s="111">
        <f>Premiums_Claims!K20</f>
        <v>222064151.36579105</v>
      </c>
    </row>
    <row r="11">
      <c r="A11" s="106" t="s">
        <v>2394</v>
      </c>
      <c r="B11" s="51"/>
      <c r="C11" s="51"/>
      <c r="D11" s="51"/>
      <c r="E11" s="111">
        <f>Premiums_Claims!E21</f>
        <v>18932539</v>
      </c>
      <c r="F11" s="111">
        <f>Premiums_Claims!F21</f>
        <v>19542577</v>
      </c>
      <c r="G11" s="109">
        <f>Premiums_Claims!G21</f>
        <v>20171847.9794</v>
      </c>
      <c r="H11" s="111">
        <f>Premiums_Claims!H21</f>
        <v>20821381.48433668</v>
      </c>
      <c r="I11" s="111">
        <f>Premiums_Claims!I21</f>
        <v>21491829.968132325</v>
      </c>
      <c r="J11" s="111">
        <f>Premiums_Claims!J21</f>
        <v>22183866.893106185</v>
      </c>
      <c r="K11" s="111">
        <f>Premiums_Claims!K21</f>
        <v>22898187.407064203</v>
      </c>
    </row>
    <row r="12">
      <c r="A12" s="106" t="s">
        <v>2395</v>
      </c>
      <c r="B12" s="51"/>
      <c r="C12" s="51"/>
      <c r="D12" s="51"/>
      <c r="E12" s="111">
        <f>Premiums_Claims!E22</f>
        <v>39159903</v>
      </c>
      <c r="F12" s="111">
        <f>Premiums_Claims!F22</f>
        <v>41214579</v>
      </c>
      <c r="G12" s="109">
        <f>Premiums_Claims!G22</f>
        <v>43378344.3975</v>
      </c>
      <c r="H12" s="111">
        <f>Premiums_Claims!H22</f>
        <v>45655707.47836875</v>
      </c>
      <c r="I12" s="111">
        <f>Premiums_Claims!I22</f>
        <v>48052632.12098311</v>
      </c>
      <c r="J12" s="111">
        <f>Premiums_Claims!J22</f>
        <v>50575395.30733472</v>
      </c>
      <c r="K12" s="111">
        <f>Premiums_Claims!K22</f>
        <v>53230603.56096979</v>
      </c>
    </row>
    <row r="13">
      <c r="A13" s="106" t="s">
        <v>2396</v>
      </c>
      <c r="B13" s="51"/>
      <c r="C13" s="51"/>
      <c r="D13" s="51"/>
      <c r="E13" s="111">
        <f>Premiums_Claims!E23</f>
        <v>5662609</v>
      </c>
      <c r="F13" s="111">
        <f>Premiums_Claims!F23</f>
        <v>5661627</v>
      </c>
      <c r="G13" s="109">
        <f>Premiums_Claims!G23</f>
        <v>5660494.6746000005</v>
      </c>
      <c r="H13" s="111">
        <f>Premiums_Claims!H23</f>
        <v>5659362.575665081</v>
      </c>
      <c r="I13" s="111">
        <f>Premiums_Claims!I23</f>
        <v>5658230.703149948</v>
      </c>
      <c r="J13" s="111">
        <f>Premiums_Claims!J23</f>
        <v>5657099.057009319</v>
      </c>
      <c r="K13" s="111">
        <f>Premiums_Claims!K23</f>
        <v>5655967.637197917</v>
      </c>
    </row>
    <row r="14">
      <c r="A14" s="106" t="s">
        <v>2397</v>
      </c>
      <c r="B14" s="51"/>
      <c r="C14" s="51"/>
      <c r="D14" s="51"/>
      <c r="E14" s="111">
        <f>Premiums_Claims!E24</f>
        <v>5264032</v>
      </c>
      <c r="F14" s="111">
        <f>Premiums_Claims!F24</f>
        <v>5598664</v>
      </c>
      <c r="G14" s="109">
        <f>Premiums_Claims!G24</f>
        <v>5954739.0304000005</v>
      </c>
      <c r="H14" s="111">
        <f>Premiums_Claims!H24</f>
        <v>6333460.432733441</v>
      </c>
      <c r="I14" s="111">
        <f>Premiums_Claims!I24</f>
        <v>6736268.516255288</v>
      </c>
      <c r="J14" s="111">
        <f>Premiums_Claims!J24</f>
        <v>7164695.193889125</v>
      </c>
      <c r="K14" s="111">
        <f>Premiums_Claims!K24</f>
        <v>7620369.808220474</v>
      </c>
    </row>
    <row r="15">
      <c r="A15" s="106" t="s">
        <v>2398</v>
      </c>
      <c r="B15" s="51"/>
      <c r="C15" s="51"/>
      <c r="D15" s="51"/>
      <c r="E15" s="111">
        <f>Premiums_Claims!E25</f>
        <v>16624396</v>
      </c>
      <c r="F15" s="111">
        <f>Premiums_Claims!F25</f>
        <v>16727248</v>
      </c>
      <c r="G15" s="109">
        <f>Premiums_Claims!G25</f>
        <v>16830956.937599998</v>
      </c>
      <c r="H15" s="111">
        <f>Premiums_Claims!H25</f>
        <v>16935308.870613117</v>
      </c>
      <c r="I15" s="111">
        <f>Premiums_Claims!I25</f>
        <v>17040307.785610918</v>
      </c>
      <c r="J15" s="111">
        <f>Premiums_Claims!J25</f>
        <v>17145957.693881705</v>
      </c>
      <c r="K15" s="111">
        <f>Premiums_Claims!K25</f>
        <v>17252262.631583773</v>
      </c>
    </row>
    <row r="16">
      <c r="A16" s="106" t="s">
        <v>2399</v>
      </c>
      <c r="B16" s="51"/>
      <c r="C16" s="51"/>
      <c r="D16" s="51"/>
      <c r="E16" s="111">
        <f>Premiums_Claims!E26</f>
        <v>5695830</v>
      </c>
      <c r="F16" s="111">
        <f>Premiums_Claims!F26</f>
        <v>5774973</v>
      </c>
      <c r="G16" s="109">
        <f>Premiums_Claims!G26</f>
        <v>5855245.1247000005</v>
      </c>
      <c r="H16" s="111">
        <f>Premiums_Claims!H26</f>
        <v>5936633.031933331</v>
      </c>
      <c r="I16" s="111">
        <f>Premiums_Claims!I26</f>
        <v>6019152.231077204</v>
      </c>
      <c r="J16" s="111">
        <f>Premiums_Claims!J26</f>
        <v>6102818.447089178</v>
      </c>
      <c r="K16" s="111">
        <f>Premiums_Claims!K26</f>
        <v>6187647.623503718</v>
      </c>
    </row>
    <row r="17">
      <c r="A17" s="106" t="s">
        <v>2400</v>
      </c>
      <c r="B17" s="51"/>
      <c r="C17" s="51"/>
      <c r="D17" s="51"/>
      <c r="E17" s="111">
        <f>Premiums_Claims!E27</f>
        <v>5059301</v>
      </c>
      <c r="F17" s="111">
        <f>Premiums_Claims!F27</f>
        <v>4979863</v>
      </c>
      <c r="G17" s="109">
        <f>Premiums_Claims!G27</f>
        <v>4901679.1509</v>
      </c>
      <c r="H17" s="111">
        <f>Premiums_Claims!H27</f>
        <v>4824722.78823087</v>
      </c>
      <c r="I17" s="111">
        <f>Premiums_Claims!I27</f>
        <v>4748974.640455645</v>
      </c>
      <c r="J17" s="111">
        <f>Premiums_Claims!J27</f>
        <v>4674415.738600491</v>
      </c>
      <c r="K17" s="111">
        <f>Premiums_Claims!K27</f>
        <v>4601027.411504462</v>
      </c>
    </row>
    <row r="18">
      <c r="A18" s="106" t="s">
        <v>2401</v>
      </c>
      <c r="B18" s="51"/>
      <c r="C18" s="51"/>
      <c r="D18" s="51"/>
      <c r="E18" s="111">
        <f>Premiums_Claims!E28</f>
        <v>64553128</v>
      </c>
      <c r="F18" s="111">
        <f>Premiums_Claims!F28</f>
        <v>65224063</v>
      </c>
      <c r="G18" s="109">
        <f>Premiums_Claims!G28</f>
        <v>65902393.2552</v>
      </c>
      <c r="H18" s="111">
        <f>Premiums_Claims!H28</f>
        <v>66587778.14505408</v>
      </c>
      <c r="I18" s="111">
        <f>Premiums_Claims!I28</f>
        <v>67280291.03776264</v>
      </c>
      <c r="J18" s="111">
        <f>Premiums_Claims!J28</f>
        <v>67980006.06455538</v>
      </c>
      <c r="K18" s="111">
        <f>Premiums_Claims!K28</f>
        <v>68686998.12762675</v>
      </c>
    </row>
    <row r="19">
      <c r="A19" s="106" t="s">
        <v>2402</v>
      </c>
      <c r="B19" s="51"/>
      <c r="C19" s="51"/>
      <c r="D19" s="51"/>
      <c r="E19" s="111">
        <f>Premiums_Claims!E29</f>
        <v>2816214</v>
      </c>
      <c r="F19" s="111">
        <f>Premiums_Claims!F29</f>
        <v>2734994</v>
      </c>
      <c r="G19" s="109">
        <f>Premiums_Claims!G29</f>
        <v>2656226.1728</v>
      </c>
      <c r="H19" s="111">
        <f>Premiums_Claims!H29</f>
        <v>2579726.8590233596</v>
      </c>
      <c r="I19" s="111">
        <f>Premiums_Claims!I29</f>
        <v>2505430.725483487</v>
      </c>
      <c r="J19" s="111">
        <f>Premiums_Claims!J29</f>
        <v>2433274.3205895624</v>
      </c>
      <c r="K19" s="111">
        <f>Premiums_Claims!K29</f>
        <v>2363196.020156583</v>
      </c>
    </row>
    <row r="20">
      <c r="A20" s="106" t="s">
        <v>2403</v>
      </c>
      <c r="B20" s="51"/>
      <c r="C20" s="51"/>
      <c r="D20" s="51"/>
      <c r="E20" s="111">
        <f>Premiums_Claims!E30</f>
        <v>12790589</v>
      </c>
      <c r="F20" s="111">
        <f>Premiums_Claims!F30</f>
        <v>12943398</v>
      </c>
      <c r="G20" s="109">
        <f>Premiums_Claims!G30</f>
        <v>13097424.4362</v>
      </c>
      <c r="H20" s="111">
        <f>Premiums_Claims!H30</f>
        <v>13253283.78699078</v>
      </c>
      <c r="I20" s="111">
        <f>Premiums_Claims!I30</f>
        <v>13410997.86405597</v>
      </c>
      <c r="J20" s="111">
        <f>Premiums_Claims!J30</f>
        <v>13570588.738638237</v>
      </c>
      <c r="K20" s="111">
        <f>Premiums_Claims!K30</f>
        <v>13732078.744628033</v>
      </c>
    </row>
    <row r="21">
      <c r="A21" s="95" t="s">
        <v>2633</v>
      </c>
      <c r="B21" s="53"/>
      <c r="C21" s="53"/>
      <c r="D21" s="53"/>
      <c r="E21" s="89">
        <f>Premiums_Claims!E33</f>
        <v>361453646</v>
      </c>
      <c r="F21" s="89">
        <f>Premiums_Claims!F33</f>
        <v>381809758</v>
      </c>
      <c r="G21" s="104">
        <f>Premiums_Claims!G33</f>
        <v>404388826.80370003</v>
      </c>
      <c r="H21" s="89">
        <f>Premiums_Claims!H33</f>
        <v>429481054.9989513</v>
      </c>
      <c r="I21" s="89">
        <f>Premiums_Claims!I33</f>
        <v>457416626.8530184</v>
      </c>
      <c r="J21" s="89">
        <f>Premiums_Claims!J33</f>
        <v>488571267.34874195</v>
      </c>
      <c r="K21" s="89">
        <f>Premiums_Claims!K33</f>
        <v>523372606.5258051</v>
      </c>
    </row>
    <row r="22">
      <c r="A22" s="46"/>
      <c r="B22" s="46"/>
      <c r="C22" s="46"/>
      <c r="D22" s="46"/>
      <c r="E22" s="46"/>
      <c r="F22" s="46"/>
      <c r="G22" s="57"/>
      <c r="H22" s="46"/>
      <c r="I22" s="46"/>
      <c r="J22" s="46"/>
      <c r="K22" s="46"/>
    </row>
    <row r="23">
      <c r="A23" s="108" t="s">
        <v>2634</v>
      </c>
      <c r="B23" s="63"/>
      <c r="C23" s="63"/>
      <c r="D23" s="63"/>
      <c r="E23" s="63"/>
      <c r="F23" s="63"/>
      <c r="G23" s="66"/>
      <c r="H23" s="69"/>
      <c r="I23" s="69"/>
      <c r="J23" s="69"/>
      <c r="K23" s="69"/>
    </row>
    <row r="24">
      <c r="A24" s="106" t="s">
        <v>2635</v>
      </c>
      <c r="B24" s="67"/>
      <c r="C24" s="67"/>
      <c r="D24" s="67"/>
      <c r="E24" s="67"/>
      <c r="F24" s="67">
        <f>F9/E9-1</f>
        <v>0.027659405093907186</v>
      </c>
      <c r="G24" s="62"/>
      <c r="H24" s="67"/>
      <c r="I24" s="67"/>
      <c r="J24" s="67"/>
      <c r="K24" s="67"/>
    </row>
    <row r="25">
      <c r="A25" s="106" t="s">
        <v>2636</v>
      </c>
      <c r="B25" s="67"/>
      <c r="C25" s="67"/>
      <c r="D25" s="67"/>
      <c r="E25" s="67"/>
      <c r="F25" s="67">
        <f>F10/E10-1</f>
        <v>0.14074810160917495</v>
      </c>
      <c r="G25" s="62"/>
      <c r="H25" s="67"/>
      <c r="I25" s="67"/>
      <c r="J25" s="67"/>
      <c r="K25" s="67"/>
    </row>
    <row r="26">
      <c r="A26" s="106" t="s">
        <v>2637</v>
      </c>
      <c r="B26" s="67"/>
      <c r="C26" s="67"/>
      <c r="D26" s="67"/>
      <c r="E26" s="67"/>
      <c r="F26" s="67">
        <f>F11/E11-1</f>
        <v>0.03222166873655974</v>
      </c>
      <c r="G26" s="62"/>
      <c r="H26" s="67"/>
      <c r="I26" s="67"/>
      <c r="J26" s="67"/>
      <c r="K26" s="67"/>
    </row>
    <row r="27">
      <c r="A27" s="106" t="s">
        <v>2638</v>
      </c>
      <c r="B27" s="67"/>
      <c r="C27" s="67"/>
      <c r="D27" s="67"/>
      <c r="E27" s="67"/>
      <c r="F27" s="67">
        <f>F12/E12-1</f>
        <v>0.05246887358224561</v>
      </c>
      <c r="G27" s="62"/>
      <c r="H27" s="67"/>
      <c r="I27" s="67"/>
      <c r="J27" s="67"/>
      <c r="K27" s="67"/>
    </row>
    <row r="28">
      <c r="A28" s="106" t="s">
        <v>2639</v>
      </c>
      <c r="B28" s="67"/>
      <c r="C28" s="67"/>
      <c r="D28" s="67"/>
      <c r="E28" s="67"/>
      <c r="F28" s="67">
        <f>F13/E13-1</f>
        <v>-0.00017341829534756048</v>
      </c>
      <c r="G28" s="62"/>
      <c r="H28" s="67"/>
      <c r="I28" s="67"/>
      <c r="J28" s="67"/>
      <c r="K28" s="67"/>
    </row>
    <row r="29">
      <c r="A29" s="106" t="s">
        <v>2640</v>
      </c>
      <c r="B29" s="67"/>
      <c r="C29" s="67"/>
      <c r="D29" s="67"/>
      <c r="E29" s="67"/>
      <c r="F29" s="67">
        <f>F14/E14-1</f>
        <v>0.06356952237372426</v>
      </c>
      <c r="G29" s="62"/>
      <c r="H29" s="67"/>
      <c r="I29" s="67"/>
      <c r="J29" s="67"/>
      <c r="K29" s="67"/>
    </row>
    <row r="30">
      <c r="A30" s="106" t="s">
        <v>2641</v>
      </c>
      <c r="B30" s="67"/>
      <c r="C30" s="67"/>
      <c r="D30" s="67"/>
      <c r="E30" s="67"/>
      <c r="F30" s="67">
        <f>F15/E15-1</f>
        <v>0.006186811238134693</v>
      </c>
      <c r="G30" s="62"/>
      <c r="H30" s="67"/>
      <c r="I30" s="67"/>
      <c r="J30" s="67"/>
      <c r="K30" s="67"/>
    </row>
    <row r="31">
      <c r="A31" s="106" t="s">
        <v>2642</v>
      </c>
      <c r="B31" s="67"/>
      <c r="C31" s="67"/>
      <c r="D31" s="67"/>
      <c r="E31" s="67"/>
      <c r="F31" s="67">
        <f>F16/E16-1</f>
        <v>0.01389490205992816</v>
      </c>
      <c r="G31" s="62"/>
      <c r="H31" s="67"/>
      <c r="I31" s="67"/>
      <c r="J31" s="67"/>
      <c r="K31" s="67"/>
    </row>
    <row r="32">
      <c r="A32" s="106" t="s">
        <v>2643</v>
      </c>
      <c r="B32" s="67"/>
      <c r="C32" s="67"/>
      <c r="D32" s="67"/>
      <c r="E32" s="67"/>
      <c r="F32" s="67">
        <f>F17/E17-1</f>
        <v>-0.015701378510588726</v>
      </c>
      <c r="G32" s="62"/>
      <c r="H32" s="67"/>
      <c r="I32" s="67"/>
      <c r="J32" s="67"/>
      <c r="K32" s="67"/>
    </row>
    <row r="33">
      <c r="A33" s="106" t="s">
        <v>2644</v>
      </c>
      <c r="B33" s="67"/>
      <c r="C33" s="67"/>
      <c r="D33" s="67"/>
      <c r="E33" s="67"/>
      <c r="F33" s="67">
        <f>F18/E18-1</f>
        <v>0.01039353197570847</v>
      </c>
      <c r="G33" s="62"/>
      <c r="H33" s="67"/>
      <c r="I33" s="67"/>
      <c r="J33" s="67"/>
      <c r="K33" s="67"/>
    </row>
    <row r="34">
      <c r="A34" s="106" t="s">
        <v>2645</v>
      </c>
      <c r="B34" s="67"/>
      <c r="C34" s="67"/>
      <c r="D34" s="67"/>
      <c r="E34" s="67"/>
      <c r="F34" s="67">
        <f>F19/E19-1</f>
        <v>-0.028840137858841652</v>
      </c>
      <c r="G34" s="62"/>
      <c r="H34" s="67"/>
      <c r="I34" s="67"/>
      <c r="J34" s="67"/>
      <c r="K34" s="67"/>
    </row>
    <row r="35">
      <c r="A35" s="106" t="s">
        <v>2646</v>
      </c>
      <c r="B35" s="67"/>
      <c r="C35" s="67"/>
      <c r="D35" s="67"/>
      <c r="E35" s="67"/>
      <c r="F35" s="67">
        <f>F20/E20-1</f>
        <v>0.011946986960491124</v>
      </c>
      <c r="G35" s="62"/>
      <c r="H35" s="67"/>
      <c r="I35" s="67"/>
      <c r="J35" s="67"/>
      <c r="K35" s="67"/>
    </row>
    <row r="36">
      <c r="A36" s="46"/>
      <c r="B36" s="46"/>
      <c r="C36" s="46"/>
      <c r="D36" s="46"/>
      <c r="E36" s="46"/>
      <c r="F36" s="46"/>
      <c r="G36" s="57"/>
      <c r="H36" s="46"/>
      <c r="I36" s="46"/>
      <c r="J36" s="46"/>
      <c r="K36" s="46"/>
    </row>
    <row r="37">
      <c r="A37" s="106" t="s">
        <v>2647</v>
      </c>
      <c r="G37" s="57"/>
    </row>
    <row r="38">
      <c r="A38" s="106" t="s">
        <v>2648</v>
      </c>
      <c r="B38" s="67"/>
      <c r="C38" s="67"/>
      <c r="D38" s="67"/>
      <c r="E38" s="67"/>
      <c r="F38" s="67">
        <f>F9/F21</f>
        <v>0.22636417794225155</v>
      </c>
      <c r="G38" s="62"/>
      <c r="H38" s="67"/>
      <c r="I38" s="67"/>
      <c r="J38" s="67"/>
      <c r="K38" s="67"/>
    </row>
    <row r="39">
      <c r="A39" s="106" t="s">
        <v>2649</v>
      </c>
      <c r="B39" s="67"/>
      <c r="C39" s="67"/>
      <c r="D39" s="67"/>
      <c r="E39" s="67"/>
      <c r="F39" s="67">
        <f>F10/F21</f>
        <v>0.3011440058585407</v>
      </c>
      <c r="G39" s="62"/>
      <c r="H39" s="67"/>
      <c r="I39" s="67"/>
      <c r="J39" s="67"/>
      <c r="K39" s="67"/>
    </row>
    <row r="40">
      <c r="A40" s="106" t="s">
        <v>2650</v>
      </c>
      <c r="B40" s="67"/>
      <c r="C40" s="67"/>
      <c r="D40" s="67"/>
      <c r="E40" s="67"/>
      <c r="F40" s="67">
        <f>F11/F21</f>
        <v>0.05118406900433383</v>
      </c>
      <c r="G40" s="62"/>
      <c r="H40" s="67"/>
      <c r="I40" s="67"/>
      <c r="J40" s="67"/>
      <c r="K40" s="67"/>
    </row>
    <row r="41">
      <c r="A41" s="106" t="s">
        <v>2651</v>
      </c>
      <c r="B41" s="67"/>
      <c r="C41" s="67"/>
      <c r="D41" s="67"/>
      <c r="E41" s="67"/>
      <c r="F41" s="67">
        <f>F12/F21</f>
        <v>0.10794532653091596</v>
      </c>
      <c r="G41" s="62"/>
      <c r="H41" s="67"/>
      <c r="I41" s="67"/>
      <c r="J41" s="67"/>
      <c r="K41" s="67"/>
    </row>
    <row r="42">
      <c r="A42" s="106" t="s">
        <v>2652</v>
      </c>
      <c r="B42" s="67"/>
      <c r="C42" s="67"/>
      <c r="D42" s="67"/>
      <c r="E42" s="67"/>
      <c r="F42" s="67">
        <f>F13/F21</f>
        <v>0.014828397864048305</v>
      </c>
      <c r="G42" s="62"/>
      <c r="H42" s="67"/>
      <c r="I42" s="67"/>
      <c r="J42" s="67"/>
      <c r="K42" s="67"/>
    </row>
    <row r="43">
      <c r="A43" s="106" t="s">
        <v>2653</v>
      </c>
      <c r="B43" s="67"/>
      <c r="C43" s="67"/>
      <c r="D43" s="67"/>
      <c r="E43" s="67"/>
      <c r="F43" s="67">
        <f>F14/F21</f>
        <v>0.014663491130575034</v>
      </c>
      <c r="G43" s="62"/>
      <c r="H43" s="67"/>
      <c r="I43" s="67"/>
      <c r="J43" s="67"/>
      <c r="K43" s="67"/>
    </row>
    <row r="44">
      <c r="A44" s="106" t="s">
        <v>2654</v>
      </c>
      <c r="B44" s="67"/>
      <c r="C44" s="67"/>
      <c r="D44" s="67"/>
      <c r="E44" s="67"/>
      <c r="F44" s="67">
        <f>F15/F21</f>
        <v>0.04381042560991854</v>
      </c>
      <c r="G44" s="62"/>
      <c r="H44" s="67"/>
      <c r="I44" s="67"/>
      <c r="J44" s="67"/>
      <c r="K44" s="67"/>
    </row>
    <row r="45">
      <c r="A45" s="106" t="s">
        <v>2655</v>
      </c>
      <c r="B45" s="67"/>
      <c r="C45" s="67"/>
      <c r="D45" s="67"/>
      <c r="E45" s="67"/>
      <c r="F45" s="67">
        <f>F16/F21</f>
        <v>0.015125262985028266</v>
      </c>
      <c r="G45" s="62"/>
      <c r="H45" s="67"/>
      <c r="I45" s="67"/>
      <c r="J45" s="67"/>
      <c r="K45" s="67"/>
    </row>
    <row r="46">
      <c r="A46" s="106" t="s">
        <v>2656</v>
      </c>
      <c r="B46" s="67"/>
      <c r="C46" s="67"/>
      <c r="D46" s="67"/>
      <c r="E46" s="67"/>
      <c r="F46" s="67">
        <f>F17/F21</f>
        <v>0.013042786088248692</v>
      </c>
      <c r="G46" s="62"/>
      <c r="H46" s="67"/>
      <c r="I46" s="67"/>
      <c r="J46" s="67"/>
      <c r="K46" s="67"/>
    </row>
    <row r="47">
      <c r="A47" s="106" t="s">
        <v>2657</v>
      </c>
      <c r="B47" s="67"/>
      <c r="C47" s="67"/>
      <c r="D47" s="67"/>
      <c r="E47" s="67"/>
      <c r="F47" s="67">
        <f>F18/F21</f>
        <v>0.17082869579252608</v>
      </c>
      <c r="G47" s="62"/>
      <c r="H47" s="67"/>
      <c r="I47" s="67"/>
      <c r="J47" s="67"/>
      <c r="K47" s="67"/>
    </row>
    <row r="48">
      <c r="A48" s="106" t="s">
        <v>2658</v>
      </c>
      <c r="B48" s="67"/>
      <c r="C48" s="67"/>
      <c r="D48" s="67"/>
      <c r="E48" s="67"/>
      <c r="F48" s="67">
        <f>F19/F21</f>
        <v>0.007163237561885466</v>
      </c>
      <c r="G48" s="62"/>
      <c r="H48" s="67"/>
      <c r="I48" s="67"/>
      <c r="J48" s="67"/>
      <c r="K48" s="67"/>
    </row>
    <row r="49">
      <c r="A49" s="106" t="s">
        <v>2659</v>
      </c>
      <c r="B49" s="67"/>
      <c r="C49" s="67"/>
      <c r="D49" s="67"/>
      <c r="E49" s="67"/>
      <c r="F49" s="67">
        <f>F20/F21</f>
        <v>0.03390012363172761</v>
      </c>
      <c r="G49" s="62"/>
      <c r="H49" s="67"/>
      <c r="I49" s="67"/>
      <c r="J49" s="67"/>
      <c r="K49" s="67"/>
    </row>
    <row r="50">
      <c r="A50" s="46"/>
      <c r="B50" s="46"/>
      <c r="C50" s="46"/>
      <c r="D50" s="46"/>
      <c r="E50" s="46"/>
      <c r="F50" s="46"/>
      <c r="G50" s="57"/>
      <c r="H50" s="46"/>
      <c r="I50" s="46"/>
      <c r="J50" s="46"/>
      <c r="K50" s="46"/>
    </row>
    <row r="51">
      <c r="A51" s="108" t="s">
        <v>2660</v>
      </c>
      <c r="B51" s="63"/>
      <c r="C51" s="63"/>
      <c r="D51" s="63"/>
      <c r="E51" s="63"/>
      <c r="F51" s="63"/>
      <c r="G51" s="66"/>
      <c r="H51" s="69"/>
      <c r="I51" s="69"/>
      <c r="J51" s="69"/>
      <c r="K51" s="69"/>
    </row>
    <row r="52">
      <c r="A52" s="106" t="s">
        <v>2661</v>
      </c>
      <c r="B52" s="51"/>
      <c r="C52" s="51"/>
      <c r="D52" s="51"/>
      <c r="E52" s="111">
        <f>Premiums_Claims!E39</f>
        <v>820306455</v>
      </c>
      <c r="F52" s="111">
        <f>Premiums_Claims!F39</f>
        <v>885435473</v>
      </c>
      <c r="G52" s="109">
        <f>Premiums_Claims!G39</f>
        <v>955739049.5561999</v>
      </c>
      <c r="H52" s="111">
        <f>Premiums_Claims!H39</f>
        <v>1031624730.090962</v>
      </c>
      <c r="I52" s="111">
        <f>Premiums_Claims!I39</f>
        <v>1113535733.6601844</v>
      </c>
      <c r="J52" s="111">
        <f>Premiums_Claims!J39</f>
        <v>1201950470.912803</v>
      </c>
      <c r="K52" s="111">
        <f>Premiums_Claims!K39</f>
        <v>1297385338.3032794</v>
      </c>
    </row>
    <row r="53">
      <c r="A53" s="106" t="s">
        <v>2662</v>
      </c>
      <c r="B53" s="67"/>
      <c r="C53" s="67"/>
      <c r="D53" s="67"/>
      <c r="E53" s="68">
        <f>Premiums_Claims!E40/Premiums_Claims!E39</f>
        <v>-0.44846380003190395</v>
      </c>
      <c r="F53" s="68">
        <f>Premiums_Claims!F40/Premiums_Claims!F39</f>
        <v>-0.4816458420793358</v>
      </c>
      <c r="G53" s="82">
        <f>Premiums_Claims!G40/Premiums_Claims!G39</f>
        <v>-0.4816</v>
      </c>
      <c r="H53" s="68">
        <f>Premiums_Claims!H40/Premiums_Claims!H39</f>
        <v>-0.4816</v>
      </c>
      <c r="I53" s="68">
        <f>Premiums_Claims!I40/Premiums_Claims!I39</f>
        <v>-0.4816</v>
      </c>
      <c r="J53" s="68">
        <f>Premiums_Claims!J40/Premiums_Claims!J39</f>
        <v>-0.4816</v>
      </c>
      <c r="K53" s="68">
        <f>Premiums_Claims!K40/Premiums_Claims!K39</f>
        <v>-0.48160000000000003</v>
      </c>
    </row>
    <row r="54">
      <c r="A54" s="106" t="s">
        <v>2663</v>
      </c>
      <c r="B54" s="67"/>
      <c r="C54" s="67"/>
      <c r="D54" s="67"/>
      <c r="E54" s="68">
        <f>Premiums_Claims!E41/Premiums_Claims!E39</f>
        <v>-0.38378798323609437</v>
      </c>
      <c r="F54" s="68">
        <f>Premiums_Claims!F41/Premiums_Claims!F39</f>
        <v>-0.3538114470821523</v>
      </c>
      <c r="G54" s="82">
        <f>Premiums_Claims!G41/Premiums_Claims!G39</f>
        <v>-0.3538114470821523</v>
      </c>
      <c r="H54" s="68">
        <f>Premiums_Claims!H41/Premiums_Claims!H39</f>
        <v>-0.3538114470821523</v>
      </c>
      <c r="I54" s="68">
        <f>Premiums_Claims!I41/Premiums_Claims!I39</f>
        <v>-0.3538114470821523</v>
      </c>
      <c r="J54" s="68">
        <f>Premiums_Claims!J41/Premiums_Claims!J39</f>
        <v>-0.3538114470821523</v>
      </c>
      <c r="K54" s="68">
        <f>Premiums_Claims!K41/Premiums_Claims!K39</f>
        <v>-0.3538114470821523</v>
      </c>
    </row>
    <row r="55">
      <c r="A55" s="58" t="s">
        <v>2664</v>
      </c>
      <c r="B55" s="84"/>
      <c r="C55" s="84"/>
      <c r="D55" s="84"/>
      <c r="E55" s="83">
        <f>Premiums_Claims!E42/Premiums_Claims!E39</f>
        <v>0.1677482167320017</v>
      </c>
      <c r="F55" s="83">
        <f>Premiums_Claims!F42/Premiums_Claims!F39</f>
        <v>0.16454271083851188</v>
      </c>
      <c r="G55" s="75">
        <f>Premiums_Claims!G42/Premiums_Claims!G39</f>
        <v>0.1645885529178477</v>
      </c>
      <c r="H55" s="83">
        <f>Premiums_Claims!H42/Premiums_Claims!H39</f>
        <v>0.1645885529178477</v>
      </c>
      <c r="I55" s="83">
        <f>Premiums_Claims!I42/Premiums_Claims!I39</f>
        <v>0.16458855291784774</v>
      </c>
      <c r="J55" s="83">
        <f>Premiums_Claims!J42/Premiums_Claims!J39</f>
        <v>0.16458855291784774</v>
      </c>
      <c r="K55" s="83">
        <f>Premiums_Claims!K42/Premiums_Claims!K39</f>
        <v>0.16458855291784769</v>
      </c>
    </row>
    <row r="56">
      <c r="A56" s="106" t="s">
        <v>2665</v>
      </c>
      <c r="B56" s="67"/>
      <c r="C56" s="67"/>
      <c r="D56" s="67"/>
      <c r="E56" s="68">
        <f>EEFF!E62/EEFF!E50</f>
        <v>-0.10875472630530501</v>
      </c>
      <c r="F56" s="68">
        <f>EEFF!F62/EEFF!F50</f>
        <v>-0.10760001254207713</v>
      </c>
      <c r="G56" s="82">
        <f>Supuestos!G26</f>
        <v>-0.1076</v>
      </c>
      <c r="H56" s="68">
        <f>Supuestos!H26</f>
        <v>-0.1076</v>
      </c>
      <c r="I56" s="68">
        <f>Supuestos!I26</f>
        <v>-0.1076</v>
      </c>
      <c r="J56" s="68">
        <f>Supuestos!J26</f>
        <v>-0.1076</v>
      </c>
      <c r="K56" s="68">
        <f>Supuestos!K26</f>
        <v>-0.1076</v>
      </c>
    </row>
    <row r="57">
      <c r="A57" s="46"/>
      <c r="B57" s="46"/>
      <c r="C57" s="46"/>
      <c r="D57" s="46"/>
      <c r="E57" s="46"/>
      <c r="F57" s="46"/>
      <c r="G57" s="57"/>
      <c r="H57" s="46"/>
      <c r="I57" s="46"/>
      <c r="J57" s="46"/>
      <c r="K57" s="46"/>
    </row>
    <row r="58">
      <c r="A58" s="108" t="s">
        <v>2666</v>
      </c>
      <c r="B58" s="63"/>
      <c r="C58" s="63"/>
      <c r="D58" s="63"/>
      <c r="E58" s="63"/>
      <c r="F58" s="63"/>
      <c r="G58" s="66"/>
      <c r="H58" s="69"/>
      <c r="I58" s="69"/>
      <c r="J58" s="69"/>
      <c r="K58" s="69"/>
    </row>
    <row r="59">
      <c r="A59" s="106" t="s">
        <v>2667</v>
      </c>
      <c r="G59" s="57"/>
    </row>
    <row r="60">
      <c r="A60" s="106" t="s">
        <v>2668</v>
      </c>
      <c r="B60" s="68">
        <f>EEFF!B19/EEFF!B15</f>
        <v>-0.5188807536308698</v>
      </c>
      <c r="C60" s="68">
        <f>EEFF!C19/EEFF!C15</f>
        <v>-0.517878901099015</v>
      </c>
      <c r="D60" s="68">
        <f>EEFF!D19/EEFF!D15</f>
        <v>-0.5302528344093059</v>
      </c>
      <c r="E60" s="67"/>
      <c r="F60" s="67"/>
      <c r="G60" s="62"/>
      <c r="H60" s="67"/>
      <c r="I60" s="67"/>
      <c r="J60" s="67"/>
      <c r="K60" s="67"/>
    </row>
    <row r="61">
      <c r="A61" s="106" t="s">
        <v>2669</v>
      </c>
      <c r="B61" s="68">
        <f>EEFF!B20/EEFF!B15</f>
        <v>-0.30803479000582046</v>
      </c>
      <c r="C61" s="68">
        <f>EEFF!C20/EEFF!C15</f>
        <v>-0.3075941657795739</v>
      </c>
      <c r="D61" s="68">
        <f>EEFF!D20/EEFF!D15</f>
        <v>-0.3244742845263358</v>
      </c>
      <c r="E61" s="67"/>
      <c r="F61" s="67"/>
      <c r="G61" s="62"/>
      <c r="H61" s="67"/>
      <c r="I61" s="67"/>
      <c r="J61" s="67"/>
      <c r="K61" s="67"/>
    </row>
    <row r="62">
      <c r="A62" s="106" t="s">
        <v>2670</v>
      </c>
      <c r="B62" s="68">
        <f>EEFF!B21/EEFF!B15</f>
        <v>-0.0004916573071188407</v>
      </c>
      <c r="C62" s="68">
        <f>EEFF!C21/EEFF!C15</f>
        <v>-0.004143419086955304</v>
      </c>
      <c r="D62" s="68">
        <f>EEFF!D21/EEFF!D15</f>
        <v>-0.0031200524266959246</v>
      </c>
      <c r="E62" s="67"/>
      <c r="F62" s="67"/>
      <c r="G62" s="62"/>
      <c r="H62" s="67"/>
      <c r="I62" s="67"/>
      <c r="J62" s="67"/>
      <c r="K62" s="67"/>
    </row>
    <row r="63">
      <c r="A63" s="46"/>
      <c r="B63" s="46"/>
      <c r="C63" s="46"/>
      <c r="D63" s="46"/>
      <c r="E63" s="46"/>
      <c r="F63" s="46"/>
      <c r="G63" s="57"/>
      <c r="H63" s="46"/>
      <c r="I63" s="46"/>
      <c r="J63" s="46"/>
      <c r="K63" s="46"/>
    </row>
    <row r="64">
      <c r="A64" s="106" t="s">
        <v>2671</v>
      </c>
      <c r="G64" s="57"/>
    </row>
    <row r="65">
      <c r="A65" s="46"/>
      <c r="B65" s="46"/>
      <c r="C65" s="46"/>
      <c r="D65" s="46"/>
      <c r="E65" s="46"/>
      <c r="F65" s="46"/>
      <c r="G65" s="57"/>
      <c r="H65" s="46"/>
      <c r="I65" s="46"/>
      <c r="J65" s="46"/>
      <c r="K65" s="46"/>
    </row>
    <row r="66">
      <c r="A66" s="108" t="s">
        <v>2672</v>
      </c>
      <c r="B66" s="63"/>
      <c r="C66" s="63"/>
      <c r="D66" s="63"/>
      <c r="E66" s="63"/>
      <c r="F66" s="63"/>
      <c r="G66" s="66"/>
      <c r="H66" s="69"/>
      <c r="I66" s="69"/>
      <c r="J66" s="69"/>
      <c r="K66" s="69"/>
    </row>
    <row r="67">
      <c r="A67" s="106" t="s">
        <v>2673</v>
      </c>
      <c r="G67" s="57"/>
    </row>
    <row r="68">
      <c r="A68" s="106" t="s">
        <v>2674</v>
      </c>
      <c r="G68" s="57"/>
    </row>
    <row r="69">
      <c r="A69" s="106" t="s">
        <v>2675</v>
      </c>
      <c r="G69" s="57"/>
    </row>
  </sheetData>
</worksheet>
</file>

<file path=xl/worksheets/sheet13.xml><?xml version="1.0" encoding="utf-8"?>
<worksheet xmlns="http://schemas.openxmlformats.org/spreadsheetml/2006/main" xmlns:r="http://schemas.openxmlformats.org/officeDocument/2006/relationships">
  <dimension ref="A1:K33"/>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2676</v>
      </c>
      <c r="G2" s="57"/>
    </row>
    <row r="3">
      <c r="A3" s="106" t="s">
        <v>2677</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2678</v>
      </c>
      <c r="B7" s="63"/>
      <c r="C7" s="63"/>
      <c r="D7" s="63"/>
      <c r="E7" s="63"/>
      <c r="F7" s="63"/>
      <c r="G7" s="66"/>
      <c r="H7" s="69"/>
      <c r="I7" s="69"/>
      <c r="J7" s="69"/>
      <c r="K7" s="69"/>
    </row>
    <row r="8">
      <c r="A8" s="106" t="s">
        <v>2679</v>
      </c>
      <c r="G8" s="57"/>
    </row>
    <row r="9">
      <c r="A9" s="106" t="s">
        <v>2680</v>
      </c>
      <c r="G9" s="57"/>
    </row>
    <row r="10">
      <c r="A10" s="106" t="s">
        <v>2681</v>
      </c>
      <c r="G10" s="57"/>
    </row>
    <row r="11">
      <c r="A11" s="46"/>
      <c r="B11" s="46"/>
      <c r="C11" s="46"/>
      <c r="D11" s="46"/>
      <c r="E11" s="46"/>
      <c r="F11" s="46"/>
      <c r="G11" s="57"/>
      <c r="H11" s="46"/>
      <c r="I11" s="46"/>
      <c r="J11" s="46"/>
      <c r="K11" s="46"/>
    </row>
    <row r="12">
      <c r="A12" s="108" t="s">
        <v>2604</v>
      </c>
      <c r="B12" s="63"/>
      <c r="C12" s="63"/>
      <c r="D12" s="63"/>
      <c r="E12" s="63"/>
      <c r="F12" s="63"/>
      <c r="G12" s="66"/>
      <c r="H12" s="69"/>
      <c r="I12" s="69"/>
      <c r="J12" s="69"/>
      <c r="K12" s="69"/>
    </row>
    <row r="13">
      <c r="A13" s="106" t="s">
        <v>2682</v>
      </c>
      <c r="G13" s="57"/>
    </row>
    <row r="14">
      <c r="A14" s="106" t="s">
        <v>2683</v>
      </c>
      <c r="G14" s="57"/>
    </row>
    <row r="15">
      <c r="A15" s="46"/>
      <c r="B15" s="46"/>
      <c r="C15" s="46"/>
      <c r="D15" s="46"/>
      <c r="E15" s="46"/>
      <c r="F15" s="46"/>
      <c r="G15" s="57"/>
      <c r="H15" s="46"/>
      <c r="I15" s="46"/>
      <c r="J15" s="46"/>
      <c r="K15" s="46"/>
    </row>
    <row r="16">
      <c r="A16" s="108" t="s">
        <v>2684</v>
      </c>
      <c r="B16" s="63"/>
      <c r="C16" s="63"/>
      <c r="D16" s="63"/>
      <c r="E16" s="63"/>
      <c r="F16" s="63"/>
      <c r="G16" s="66"/>
      <c r="H16" s="69"/>
      <c r="I16" s="69"/>
      <c r="J16" s="69"/>
      <c r="K16" s="69"/>
    </row>
    <row r="17">
      <c r="A17" s="106" t="s">
        <v>2685</v>
      </c>
      <c r="B17" s="51"/>
      <c r="C17" s="51"/>
      <c r="D17" s="51"/>
      <c r="E17" s="74">
        <v>62386837</v>
      </c>
      <c r="F17" s="74">
        <v>83057721</v>
      </c>
      <c r="G17" s="52"/>
      <c r="H17" s="51"/>
      <c r="I17" s="51"/>
      <c r="J17" s="51"/>
      <c r="K17" s="51"/>
    </row>
    <row r="18">
      <c r="A18" s="106" t="s">
        <v>2686</v>
      </c>
      <c r="B18" s="51"/>
      <c r="C18" s="51"/>
      <c r="D18" s="51"/>
      <c r="E18" s="74">
        <v>178650732</v>
      </c>
      <c r="F18" s="74">
        <v>189739675</v>
      </c>
      <c r="G18" s="52"/>
      <c r="H18" s="51"/>
      <c r="I18" s="51"/>
      <c r="J18" s="51"/>
      <c r="K18" s="51"/>
    </row>
    <row r="19">
      <c r="A19" s="106" t="s">
        <v>2687</v>
      </c>
      <c r="B19" s="51"/>
      <c r="C19" s="51"/>
      <c r="D19" s="51"/>
      <c r="E19" s="74">
        <v>4611909</v>
      </c>
      <c r="F19" s="74">
        <v>3132551</v>
      </c>
      <c r="G19" s="52"/>
      <c r="H19" s="51"/>
      <c r="I19" s="51"/>
      <c r="J19" s="51"/>
      <c r="K19" s="51"/>
    </row>
    <row r="20">
      <c r="A20" s="106" t="s">
        <v>2688</v>
      </c>
      <c r="B20" s="51"/>
      <c r="C20" s="51"/>
      <c r="D20" s="51"/>
      <c r="E20" s="74">
        <v>191455</v>
      </c>
      <c r="F20" s="74">
        <v>2553262</v>
      </c>
      <c r="G20" s="52"/>
      <c r="H20" s="51"/>
      <c r="I20" s="51"/>
      <c r="J20" s="51"/>
      <c r="K20" s="51"/>
    </row>
    <row r="21">
      <c r="A21" s="46"/>
      <c r="B21" s="46"/>
      <c r="C21" s="46"/>
      <c r="D21" s="46"/>
      <c r="E21" s="46"/>
      <c r="F21" s="46"/>
      <c r="G21" s="57"/>
      <c r="H21" s="46"/>
      <c r="I21" s="46"/>
      <c r="J21" s="46"/>
      <c r="K21" s="46"/>
    </row>
    <row r="22">
      <c r="A22" s="106" t="s">
        <v>2689</v>
      </c>
      <c r="G22" s="57"/>
    </row>
    <row r="23">
      <c r="A23" s="106" t="s">
        <v>2690</v>
      </c>
      <c r="B23" s="51"/>
      <c r="C23" s="51"/>
      <c r="D23" s="51"/>
      <c r="E23" s="74">
        <v>140419999</v>
      </c>
      <c r="F23" s="74">
        <v>148121503</v>
      </c>
      <c r="G23" s="52"/>
      <c r="H23" s="51"/>
      <c r="I23" s="51"/>
      <c r="J23" s="51"/>
      <c r="K23" s="51"/>
    </row>
    <row r="24">
      <c r="A24" s="106" t="s">
        <v>2691</v>
      </c>
      <c r="B24" s="51"/>
      <c r="C24" s="51"/>
      <c r="D24" s="51"/>
      <c r="E24" s="111">
        <f>EEFF!E64</f>
        <v>140419999</v>
      </c>
      <c r="F24" s="111">
        <f>EEFF!F64</f>
        <v>148121503</v>
      </c>
      <c r="G24" s="52"/>
      <c r="H24" s="51"/>
      <c r="I24" s="51"/>
      <c r="J24" s="51"/>
      <c r="K24" s="51"/>
    </row>
    <row r="25">
      <c r="A25" s="106" t="s">
        <v>2692</v>
      </c>
      <c r="B25" s="51"/>
      <c r="C25" s="51"/>
      <c r="D25" s="51"/>
      <c r="E25" s="110">
        <f>E23-E24</f>
        <v>0</v>
      </c>
      <c r="F25" s="110">
        <f>F23-F24</f>
        <v>0</v>
      </c>
      <c r="G25" s="52"/>
      <c r="H25" s="51"/>
      <c r="I25" s="51"/>
      <c r="J25" s="51"/>
      <c r="K25" s="51"/>
    </row>
    <row r="26">
      <c r="A26" s="46"/>
      <c r="B26" s="46"/>
      <c r="C26" s="46"/>
      <c r="D26" s="46"/>
      <c r="E26" s="46"/>
      <c r="F26" s="46"/>
      <c r="G26" s="57"/>
      <c r="H26" s="46"/>
      <c r="I26" s="46"/>
      <c r="J26" s="46"/>
      <c r="K26" s="46"/>
    </row>
    <row r="27">
      <c r="A27" s="108" t="s">
        <v>2693</v>
      </c>
      <c r="B27" s="63"/>
      <c r="C27" s="63"/>
      <c r="D27" s="63"/>
      <c r="E27" s="63"/>
      <c r="F27" s="63"/>
      <c r="G27" s="66"/>
      <c r="H27" s="69"/>
      <c r="I27" s="69"/>
      <c r="J27" s="69"/>
      <c r="K27" s="69"/>
    </row>
    <row r="28">
      <c r="A28" s="106" t="s">
        <v>2694</v>
      </c>
      <c r="G28" s="57"/>
    </row>
    <row r="29">
      <c r="A29" s="106" t="s">
        <v>2695</v>
      </c>
      <c r="G29" s="57"/>
    </row>
    <row r="30">
      <c r="A30" s="46"/>
      <c r="B30" s="46"/>
      <c r="C30" s="46"/>
      <c r="D30" s="46"/>
      <c r="E30" s="46"/>
      <c r="F30" s="46"/>
      <c r="G30" s="57"/>
      <c r="H30" s="46"/>
      <c r="I30" s="46"/>
      <c r="J30" s="46"/>
      <c r="K30" s="46"/>
    </row>
    <row r="31">
      <c r="A31" s="108" t="s">
        <v>2696</v>
      </c>
      <c r="B31" s="63"/>
      <c r="C31" s="63"/>
      <c r="D31" s="63"/>
      <c r="E31" s="63"/>
      <c r="F31" s="63"/>
      <c r="G31" s="66"/>
      <c r="H31" s="69"/>
      <c r="I31" s="69"/>
      <c r="J31" s="69"/>
      <c r="K31" s="69"/>
    </row>
    <row r="32">
      <c r="A32" s="106" t="s">
        <v>2697</v>
      </c>
      <c r="G32" s="57"/>
    </row>
    <row r="33">
      <c r="A33" s="106" t="s">
        <v>2698</v>
      </c>
      <c r="G33" s="57"/>
    </row>
  </sheetData>
</worksheet>
</file>

<file path=xl/worksheets/sheet14.xml><?xml version="1.0" encoding="utf-8"?>
<worksheet xmlns="http://schemas.openxmlformats.org/spreadsheetml/2006/main" xmlns:r="http://schemas.openxmlformats.org/officeDocument/2006/relationships">
  <dimension ref="A1:K28"/>
  <sheetViews>
    <sheetView showGridLines="0" workbookViewId="0"/>
  </sheetViews>
  <sheetFormatPr defaultColWidth="8.375" defaultRowHeight="15"/>
  <cols>
    <col min="1" max="1" width="46.875" customWidth="1"/>
    <col min="2" max="11" width="14.375" customWidth="1"/>
  </cols>
  <sheetData>
    <row r="1">
      <c r="A1" s="108" t="s">
        <v>0</v>
      </c>
      <c r="B1" s="49"/>
      <c r="C1" s="49"/>
      <c r="D1" s="49"/>
      <c r="E1" s="49"/>
      <c r="F1" s="49"/>
      <c r="G1" s="64"/>
      <c r="H1" s="65"/>
      <c r="I1" s="65"/>
      <c r="J1" s="65"/>
      <c r="K1" s="65"/>
    </row>
    <row r="2">
      <c r="A2" s="106" t="s">
        <v>2699</v>
      </c>
      <c r="G2" s="57"/>
    </row>
    <row r="3">
      <c r="A3" s="106" t="s">
        <v>2700</v>
      </c>
      <c r="G3" s="57"/>
    </row>
    <row r="4">
      <c r="A4" s="46"/>
      <c r="B4" s="46"/>
      <c r="C4" s="46"/>
      <c r="D4" s="46"/>
      <c r="E4" s="46"/>
      <c r="F4" s="46"/>
      <c r="G4" s="57"/>
      <c r="H4" s="46"/>
      <c r="I4" s="46"/>
      <c r="J4" s="46"/>
      <c r="K4" s="46"/>
    </row>
    <row r="5">
      <c r="A5" s="108" t="s">
        <v>3</v>
      </c>
      <c r="B5" s="98" t="s">
        <v>4</v>
      </c>
      <c r="C5" s="98" t="s">
        <v>5</v>
      </c>
      <c r="D5" s="98" t="s">
        <v>6</v>
      </c>
      <c r="E5" s="98" t="s">
        <v>7</v>
      </c>
      <c r="F5" s="98" t="s">
        <v>8</v>
      </c>
      <c r="G5" s="115" t="s">
        <v>9</v>
      </c>
      <c r="H5" s="94" t="s">
        <v>10</v>
      </c>
      <c r="I5" s="94" t="s">
        <v>11</v>
      </c>
      <c r="J5" s="94" t="s">
        <v>12</v>
      </c>
      <c r="K5" s="94" t="s">
        <v>13</v>
      </c>
    </row>
    <row r="6">
      <c r="A6" s="46"/>
      <c r="B6" s="46"/>
      <c r="C6" s="46"/>
      <c r="D6" s="46"/>
      <c r="E6" s="46"/>
      <c r="F6" s="46"/>
      <c r="G6" s="57"/>
      <c r="H6" s="46"/>
      <c r="I6" s="46"/>
      <c r="J6" s="46"/>
      <c r="K6" s="46"/>
    </row>
    <row r="7">
      <c r="A7" s="108" t="s">
        <v>2701</v>
      </c>
      <c r="B7" s="63"/>
      <c r="C7" s="63"/>
      <c r="D7" s="63"/>
      <c r="E7" s="63"/>
      <c r="F7" s="63"/>
      <c r="G7" s="66"/>
      <c r="H7" s="69"/>
      <c r="I7" s="69"/>
      <c r="J7" s="69"/>
      <c r="K7" s="69"/>
    </row>
    <row r="8">
      <c r="A8" s="106" t="s">
        <v>2702</v>
      </c>
      <c r="B8" s="51"/>
      <c r="C8" s="51"/>
      <c r="D8" s="51"/>
      <c r="E8" s="74">
        <v>10146954</v>
      </c>
      <c r="F8" s="74">
        <v>10218363</v>
      </c>
      <c r="G8" s="52"/>
      <c r="H8" s="51"/>
      <c r="I8" s="51"/>
      <c r="J8" s="51"/>
      <c r="K8" s="51"/>
    </row>
    <row r="9">
      <c r="A9" s="46"/>
      <c r="B9" s="46"/>
      <c r="C9" s="46"/>
      <c r="D9" s="46"/>
      <c r="E9" s="46"/>
      <c r="F9" s="46"/>
      <c r="G9" s="57"/>
      <c r="H9" s="46"/>
      <c r="I9" s="46"/>
      <c r="J9" s="46"/>
      <c r="K9" s="46"/>
    </row>
    <row r="10">
      <c r="A10" s="106" t="s">
        <v>2703</v>
      </c>
      <c r="G10" s="57"/>
    </row>
    <row r="11">
      <c r="A11" s="58" t="s">
        <v>2606</v>
      </c>
      <c r="B11" s="72">
        <f>EEFF!B122</f>
        <v>1028705937</v>
      </c>
      <c r="C11" s="72">
        <f>EEFF!C122</f>
        <v>1016748180</v>
      </c>
      <c r="D11" s="72">
        <f>EEFF!D122</f>
        <v>1151376457</v>
      </c>
      <c r="E11" s="72">
        <f>EEFF!E122</f>
        <v>1371490800</v>
      </c>
      <c r="F11" s="72">
        <f>EEFF!F122</f>
        <v>1579781587</v>
      </c>
      <c r="G11" s="54"/>
      <c r="H11" s="47"/>
      <c r="I11" s="47"/>
      <c r="J11" s="47"/>
      <c r="K11" s="47"/>
    </row>
    <row r="12">
      <c r="A12" s="106" t="s">
        <v>2704</v>
      </c>
      <c r="B12" s="80"/>
      <c r="C12" s="80"/>
      <c r="D12" s="80"/>
      <c r="E12" s="80">
        <f>E11/E8</f>
        <v>135.16280846449092</v>
      </c>
      <c r="F12" s="80">
        <f>F11/F8</f>
        <v>154.60221828095166</v>
      </c>
      <c r="G12" s="79"/>
      <c r="H12" s="80"/>
      <c r="I12" s="80"/>
      <c r="J12" s="80"/>
      <c r="K12" s="80"/>
    </row>
    <row r="13">
      <c r="A13" s="46"/>
      <c r="B13" s="46"/>
      <c r="C13" s="46"/>
      <c r="D13" s="46"/>
      <c r="E13" s="46"/>
      <c r="F13" s="46"/>
      <c r="G13" s="57"/>
      <c r="H13" s="46"/>
      <c r="I13" s="46"/>
      <c r="J13" s="46"/>
      <c r="K13" s="46"/>
    </row>
    <row r="14">
      <c r="A14" s="106" t="s">
        <v>2705</v>
      </c>
      <c r="G14" s="57"/>
    </row>
    <row r="15">
      <c r="A15" s="46"/>
      <c r="B15" s="46"/>
      <c r="C15" s="46"/>
      <c r="D15" s="46"/>
      <c r="E15" s="46"/>
      <c r="F15" s="46"/>
      <c r="G15" s="57"/>
      <c r="H15" s="46"/>
      <c r="I15" s="46"/>
      <c r="J15" s="46"/>
      <c r="K15" s="46"/>
    </row>
    <row r="16">
      <c r="A16" s="108" t="s">
        <v>2706</v>
      </c>
      <c r="B16" s="63"/>
      <c r="C16" s="63"/>
      <c r="D16" s="63"/>
      <c r="E16" s="63"/>
      <c r="F16" s="63"/>
      <c r="G16" s="66"/>
      <c r="H16" s="69"/>
      <c r="I16" s="69"/>
      <c r="J16" s="69"/>
      <c r="K16" s="69"/>
    </row>
    <row r="17">
      <c r="A17" s="106" t="s">
        <v>2707</v>
      </c>
      <c r="B17" s="80"/>
      <c r="C17" s="80"/>
      <c r="D17" s="80"/>
      <c r="E17" s="80"/>
      <c r="F17" s="81">
        <v>126</v>
      </c>
      <c r="G17" s="79"/>
      <c r="H17" s="80"/>
      <c r="I17" s="80"/>
      <c r="J17" s="80"/>
      <c r="K17" s="80"/>
    </row>
    <row r="18">
      <c r="A18" s="46"/>
      <c r="B18" s="46"/>
      <c r="C18" s="46"/>
      <c r="D18" s="46"/>
      <c r="E18" s="46"/>
      <c r="F18" s="46"/>
      <c r="G18" s="57"/>
      <c r="H18" s="46"/>
      <c r="I18" s="46"/>
      <c r="J18" s="46"/>
      <c r="K18" s="46"/>
    </row>
    <row r="19">
      <c r="A19" s="106" t="s">
        <v>2708</v>
      </c>
      <c r="G19" s="57"/>
    </row>
    <row r="20">
      <c r="A20" s="106" t="s">
        <v>2709</v>
      </c>
      <c r="B20" s="77"/>
      <c r="C20" s="77"/>
      <c r="D20" s="77"/>
      <c r="E20" s="77"/>
      <c r="F20" s="77">
        <f>F17/F12</f>
        <v>0.8149947743377515</v>
      </c>
      <c r="G20" s="78"/>
      <c r="H20" s="77"/>
      <c r="I20" s="77"/>
      <c r="J20" s="77"/>
      <c r="K20" s="77"/>
    </row>
    <row r="21">
      <c r="A21" s="106" t="s">
        <v>2710</v>
      </c>
      <c r="B21" s="80"/>
      <c r="C21" s="80"/>
      <c r="D21" s="80"/>
      <c r="E21" s="80"/>
      <c r="F21" s="81">
        <v>140</v>
      </c>
      <c r="G21" s="79"/>
      <c r="H21" s="80"/>
      <c r="I21" s="80"/>
      <c r="J21" s="80"/>
      <c r="K21" s="80"/>
    </row>
    <row r="22">
      <c r="A22" s="46"/>
      <c r="B22" s="46"/>
      <c r="C22" s="46"/>
      <c r="D22" s="46"/>
      <c r="E22" s="46"/>
      <c r="F22" s="46"/>
      <c r="G22" s="57"/>
      <c r="H22" s="46"/>
      <c r="I22" s="46"/>
      <c r="J22" s="46"/>
      <c r="K22" s="46"/>
    </row>
    <row r="23">
      <c r="A23" s="106" t="s">
        <v>2711</v>
      </c>
      <c r="G23" s="57"/>
    </row>
    <row r="24">
      <c r="A24" s="106" t="s">
        <v>2712</v>
      </c>
      <c r="B24" s="77"/>
      <c r="C24" s="77"/>
      <c r="D24" s="77"/>
      <c r="E24" s="77"/>
      <c r="F24" s="77">
        <f>F21/F12</f>
        <v>0.9055497492641683</v>
      </c>
      <c r="G24" s="78"/>
      <c r="H24" s="77"/>
      <c r="I24" s="77"/>
      <c r="J24" s="77"/>
      <c r="K24" s="77"/>
    </row>
    <row r="25">
      <c r="A25" s="46"/>
      <c r="B25" s="46"/>
      <c r="C25" s="46"/>
      <c r="D25" s="46"/>
      <c r="E25" s="46"/>
      <c r="F25" s="46"/>
      <c r="G25" s="57"/>
      <c r="H25" s="46"/>
      <c r="I25" s="46"/>
      <c r="J25" s="46"/>
      <c r="K25" s="46"/>
    </row>
    <row r="26">
      <c r="A26" s="108" t="s">
        <v>2713</v>
      </c>
      <c r="B26" s="63"/>
      <c r="C26" s="63"/>
      <c r="D26" s="63"/>
      <c r="E26" s="63"/>
      <c r="F26" s="63"/>
      <c r="G26" s="66"/>
      <c r="H26" s="69"/>
      <c r="I26" s="69"/>
      <c r="J26" s="69"/>
      <c r="K26" s="69"/>
    </row>
    <row r="27">
      <c r="A27" s="106" t="s">
        <v>2714</v>
      </c>
      <c r="G27" s="57"/>
    </row>
    <row r="28">
      <c r="A28" s="106" t="s">
        <v>2715</v>
      </c>
      <c r="G28" s="57"/>
    </row>
  </sheetData>
</worksheet>
</file>

<file path=xl/worksheets/sheet15.xml><?xml version="1.0" encoding="utf-8"?>
<worksheet xmlns="http://schemas.openxmlformats.org/spreadsheetml/2006/main" xmlns:r="http://schemas.openxmlformats.org/officeDocument/2006/relationships">
  <dimension ref="A1:Q35"/>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108" t="s">
        <v>0</v>
      </c>
      <c r="B1" s="108"/>
      <c r="C1" s="108"/>
      <c r="D1" s="108"/>
      <c r="E1" s="108"/>
      <c r="F1" s="108"/>
      <c r="G1" s="108"/>
      <c r="H1" s="108"/>
      <c r="I1" s="108"/>
      <c r="J1" s="108"/>
      <c r="K1" s="108"/>
      <c r="L1" s="108"/>
      <c r="M1" s="114"/>
      <c r="N1" s="114"/>
      <c r="O1" s="114"/>
      <c r="P1" s="114"/>
      <c r="Q1" s="114"/>
    </row>
    <row r="2">
      <c r="A2" s="119" t="s">
        <v>2716</v>
      </c>
      <c r="B2" s="107"/>
      <c r="C2" s="107"/>
      <c r="D2" s="107"/>
      <c r="E2" s="107"/>
      <c r="F2" s="107"/>
      <c r="G2" s="107"/>
      <c r="H2" s="107"/>
      <c r="I2" s="107"/>
      <c r="J2" s="107"/>
      <c r="K2" s="107"/>
      <c r="L2" s="107"/>
      <c r="M2" s="107"/>
      <c r="N2" s="107"/>
      <c r="O2" s="107"/>
      <c r="P2" s="107"/>
      <c r="Q2" s="107"/>
    </row>
    <row r="3">
      <c r="A3" s="119" t="s">
        <v>2717</v>
      </c>
      <c r="B3" s="107"/>
      <c r="C3" s="107"/>
      <c r="D3" s="107"/>
      <c r="E3" s="107"/>
      <c r="F3" s="107"/>
      <c r="G3" s="107"/>
      <c r="H3" s="107"/>
      <c r="I3" s="107"/>
      <c r="J3" s="107"/>
      <c r="K3" s="107"/>
      <c r="L3" s="107"/>
      <c r="M3" s="107"/>
      <c r="N3" s="107"/>
      <c r="O3" s="107"/>
      <c r="P3" s="107"/>
      <c r="Q3" s="107"/>
    </row>
    <row r="4">
      <c r="A4" s="118" t="s">
        <v>2718</v>
      </c>
      <c r="B4" s="118" t="s">
        <v>2719</v>
      </c>
      <c r="C4" s="121" t="str">
        <f>IF(SUMPRODUCT(--ISERROR($C$6:$C$35))+COUNTIF($C$6:$C$35,"FAIL")&gt;0,"FAIL",IF(COUNTIF($C$6:$C$35,"PASS")=17,"PASS","FAIL"))</f>
        <v>PASS</v>
      </c>
      <c r="D4" s="107"/>
      <c r="E4" s="107"/>
      <c r="F4" s="107"/>
      <c r="G4" s="119" t="s">
        <v>2720</v>
      </c>
      <c r="H4" s="107"/>
      <c r="I4" s="107"/>
      <c r="J4" s="107"/>
      <c r="K4" s="107"/>
      <c r="L4" s="107"/>
      <c r="M4" s="107"/>
      <c r="N4" s="107"/>
      <c r="O4" s="107"/>
      <c r="P4" s="107"/>
      <c r="Q4" s="107"/>
    </row>
    <row r="5">
      <c r="A5" s="108" t="s">
        <v>2721</v>
      </c>
      <c r="B5" s="108" t="s">
        <v>2722</v>
      </c>
      <c r="C5" s="108" t="s">
        <v>2723</v>
      </c>
      <c r="D5" s="108" t="s">
        <v>2724</v>
      </c>
      <c r="E5" s="108" t="s">
        <v>2725</v>
      </c>
      <c r="F5" s="108" t="s">
        <v>2726</v>
      </c>
      <c r="G5" s="108" t="s">
        <v>2727</v>
      </c>
      <c r="H5" s="108" t="s">
        <v>4</v>
      </c>
      <c r="I5" s="108" t="s">
        <v>5</v>
      </c>
      <c r="J5" s="108" t="s">
        <v>6</v>
      </c>
      <c r="K5" s="108" t="s">
        <v>7</v>
      </c>
      <c r="L5" s="108" t="s">
        <v>8</v>
      </c>
      <c r="M5" s="115" t="s">
        <v>9</v>
      </c>
      <c r="N5" s="115" t="s">
        <v>10</v>
      </c>
      <c r="O5" s="115" t="s">
        <v>11</v>
      </c>
      <c r="P5" s="115" t="s">
        <v>12</v>
      </c>
      <c r="Q5" s="115" t="s">
        <v>13</v>
      </c>
    </row>
    <row r="6">
      <c r="A6" s="107"/>
      <c r="B6" s="107"/>
      <c r="C6" s="107"/>
      <c r="D6" s="107"/>
      <c r="E6" s="107"/>
      <c r="F6" s="107"/>
      <c r="G6" s="107"/>
      <c r="H6" s="107"/>
      <c r="I6" s="107"/>
      <c r="J6" s="107"/>
      <c r="K6" s="107"/>
      <c r="L6" s="107"/>
      <c r="M6" s="107"/>
      <c r="N6" s="107"/>
      <c r="O6" s="107"/>
      <c r="P6" s="107"/>
      <c r="Q6" s="107"/>
    </row>
    <row r="7">
      <c r="A7" s="108" t="s">
        <v>2728</v>
      </c>
      <c r="B7" s="108"/>
      <c r="C7" s="108"/>
      <c r="D7" s="108"/>
      <c r="E7" s="108"/>
      <c r="F7" s="108"/>
      <c r="G7" s="108"/>
      <c r="H7" s="108"/>
      <c r="I7" s="108"/>
      <c r="J7" s="108"/>
      <c r="K7" s="108"/>
      <c r="L7" s="108"/>
      <c r="M7" s="114"/>
      <c r="N7" s="114"/>
      <c r="O7" s="114"/>
      <c r="P7" s="114"/>
      <c r="Q7" s="114"/>
    </row>
    <row r="8">
      <c r="A8" s="106" t="s">
        <v>2729</v>
      </c>
      <c r="B8" s="106" t="s">
        <v>2730</v>
      </c>
      <c r="C8" s="113" t="str">
        <f>IF(SUMPRODUCT((ABS(H8:Q8)&gt;1000)*1)=0,"PASS","FAIL")</f>
        <v>PASS</v>
      </c>
      <c r="D8" s="106" t="s">
        <v>2731</v>
      </c>
      <c r="E8" s="106" t="s">
        <v>2732</v>
      </c>
      <c r="F8" s="106">
        <v>0</v>
      </c>
      <c r="G8" s="106" t="s">
        <v>2733</v>
      </c>
      <c r="H8" s="111">
        <f>ModeloFinanciero!B89-ModeloFinanciero!B122</f>
        <v>0</v>
      </c>
      <c r="I8" s="111">
        <f>ModeloFinanciero!C89-ModeloFinanciero!C122</f>
        <v>0</v>
      </c>
      <c r="J8" s="111">
        <f>ModeloFinanciero!D89-ModeloFinanciero!D122</f>
        <v>0</v>
      </c>
      <c r="K8" s="111">
        <f>ModeloFinanciero!E89-ModeloFinanciero!E122</f>
        <v>0</v>
      </c>
      <c r="L8" s="111">
        <f>ModeloFinanciero!F89-ModeloFinanciero!F122</f>
        <v>0</v>
      </c>
      <c r="M8" s="109">
        <f>ModeloFinanciero!G89-ModeloFinanciero!G122</f>
        <v>0</v>
      </c>
      <c r="N8" s="111">
        <f>ModeloFinanciero!H89-ModeloFinanciero!H122</f>
        <v>0</v>
      </c>
      <c r="O8" s="111">
        <f>ModeloFinanciero!I89-ModeloFinanciero!I122</f>
        <v>0</v>
      </c>
      <c r="P8" s="111">
        <f>ModeloFinanciero!J89-ModeloFinanciero!J122</f>
        <v>0</v>
      </c>
      <c r="Q8" s="111">
        <f>ModeloFinanciero!K89-ModeloFinanciero!K122</f>
        <v>0</v>
      </c>
    </row>
    <row r="9">
      <c r="A9" s="106" t="s">
        <v>2734</v>
      </c>
      <c r="B9" s="106" t="s">
        <v>2735</v>
      </c>
      <c r="C9" s="113" t="s">
        <v>2736</v>
      </c>
      <c r="D9" s="106" t="s">
        <v>2731</v>
      </c>
      <c r="E9" s="106" t="s">
        <v>2732</v>
      </c>
      <c r="F9" s="117" t="s">
        <v>2737</v>
      </c>
      <c r="G9" s="106" t="s">
        <v>2738</v>
      </c>
      <c r="H9" s="111">
        <f>EEFF!B219-EEFF!B73</f>
        <v>-50335044</v>
      </c>
      <c r="I9" s="111">
        <f>EEFF!C219-EEFF!C73</f>
        <v>-53465410</v>
      </c>
      <c r="J9" s="111">
        <f>EEFF!D219-EEFF!D73</f>
        <v>-56584218</v>
      </c>
      <c r="K9" s="111">
        <f>EEFF!E219-EEFF!E73</f>
        <v>0</v>
      </c>
      <c r="L9" s="111">
        <f>EEFF!F219-EEFF!F73</f>
        <v>0</v>
      </c>
      <c r="M9" s="112"/>
      <c r="N9" s="110"/>
      <c r="O9" s="110"/>
      <c r="P9" s="110"/>
      <c r="Q9" s="110"/>
    </row>
    <row r="10">
      <c r="A10" s="106" t="s">
        <v>2739</v>
      </c>
      <c r="B10" s="106" t="s">
        <v>2740</v>
      </c>
      <c r="C10" s="113" t="s">
        <v>2741</v>
      </c>
      <c r="D10" s="106" t="s">
        <v>2731</v>
      </c>
      <c r="E10" s="106" t="s">
        <v>2732</v>
      </c>
      <c r="F10" s="106">
        <v>0</v>
      </c>
      <c r="G10" s="106" t="s">
        <v>2742</v>
      </c>
      <c r="H10" s="111">
        <f>ModeloFinanciero!B195+ModeloFinanciero!B205+ModeloFinanciero!B178-(ModeloFinanciero!B214-ModeloFinanciero!B212)</f>
        <v>-168900808</v>
      </c>
      <c r="I10" s="111">
        <f>ModeloFinanciero!C195+ModeloFinanciero!C205+ModeloFinanciero!C178-(ModeloFinanciero!C214-ModeloFinanciero!C212)</f>
        <v>37232071</v>
      </c>
      <c r="J10" s="111">
        <f>ModeloFinanciero!D195+ModeloFinanciero!D205+ModeloFinanciero!D178-(ModeloFinanciero!D214-ModeloFinanciero!D212)</f>
        <v>-62834289</v>
      </c>
      <c r="K10" s="111">
        <f>ModeloFinanciero!E195+ModeloFinanciero!E205+ModeloFinanciero!E178-(ModeloFinanciero!E214-ModeloFinanciero!E212)</f>
        <v>63361284</v>
      </c>
      <c r="L10" s="111">
        <f>ModeloFinanciero!F195+ModeloFinanciero!F205+ModeloFinanciero!F178-(ModeloFinanciero!F214-ModeloFinanciero!F212)</f>
        <v>142114442</v>
      </c>
      <c r="M10" s="109">
        <f>ModeloFinanciero!G195+ModeloFinanciero!G205+ModeloFinanciero!G178-(ModeloFinanciero!G214-ModeloFinanciero!G212)</f>
        <v>142114442</v>
      </c>
      <c r="N10" s="111">
        <f>ModeloFinanciero!H195+ModeloFinanciero!H205+ModeloFinanciero!H178-(ModeloFinanciero!H214-ModeloFinanciero!H212)</f>
        <v>142114442</v>
      </c>
      <c r="O10" s="111">
        <f>ModeloFinanciero!I195+ModeloFinanciero!I205+ModeloFinanciero!I178-(ModeloFinanciero!I214-ModeloFinanciero!I212)</f>
        <v>142114442</v>
      </c>
      <c r="P10" s="111">
        <f>ModeloFinanciero!J195+ModeloFinanciero!J205+ModeloFinanciero!J178-(ModeloFinanciero!J214-ModeloFinanciero!J212)</f>
        <v>142114442</v>
      </c>
      <c r="Q10" s="111">
        <f>ModeloFinanciero!K195+ModeloFinanciero!K205+ModeloFinanciero!K178-(ModeloFinanciero!K214-ModeloFinanciero!K212)</f>
        <v>142114442</v>
      </c>
    </row>
    <row r="11">
      <c r="A11" s="106" t="s">
        <v>2743</v>
      </c>
      <c r="B11" s="106" t="s">
        <v>2744</v>
      </c>
      <c r="C11" s="113" t="str">
        <f>IF(SUMPRODUCT((ABS(H11:Q11)&gt;1000)*1)=0,"PASS","FAIL")</f>
        <v>PASS</v>
      </c>
      <c r="D11" s="106" t="s">
        <v>2731</v>
      </c>
      <c r="E11" s="106" t="s">
        <v>2732</v>
      </c>
      <c r="F11" s="106">
        <v>0</v>
      </c>
      <c r="G11" s="106" t="s">
        <v>2745</v>
      </c>
      <c r="H11" s="111">
        <f>ModeloFinanciero!B66-ModeloFinanciero!B126</f>
        <v>0</v>
      </c>
      <c r="I11" s="111">
        <f>ModeloFinanciero!C66-ModeloFinanciero!C126</f>
        <v>0</v>
      </c>
      <c r="J11" s="111">
        <f>ModeloFinanciero!D66-ModeloFinanciero!D126</f>
        <v>0</v>
      </c>
      <c r="K11" s="111">
        <f>ModeloFinanciero!E66-ModeloFinanciero!E126</f>
        <v>0</v>
      </c>
      <c r="L11" s="111">
        <f>ModeloFinanciero!F66-ModeloFinanciero!F126</f>
        <v>0</v>
      </c>
      <c r="M11" s="112"/>
      <c r="N11" s="110"/>
      <c r="O11" s="110"/>
      <c r="P11" s="110"/>
      <c r="Q11" s="110"/>
    </row>
    <row r="12">
      <c r="A12" s="106" t="s">
        <v>2746</v>
      </c>
      <c r="B12" s="106" t="s">
        <v>2747</v>
      </c>
      <c r="C12" s="113" t="s">
        <v>2741</v>
      </c>
      <c r="D12" s="106" t="s">
        <v>2731</v>
      </c>
      <c r="E12" s="106" t="s">
        <v>2732</v>
      </c>
      <c r="F12" s="106">
        <v>0</v>
      </c>
      <c r="G12" s="106" t="s">
        <v>2748</v>
      </c>
      <c r="H12" s="111">
        <f>ModeloFinanciero!B66-(ModeloFinanciero!B62-ABS(ModeloFinanciero!B47))</f>
        <v>90668869</v>
      </c>
      <c r="I12" s="111">
        <f>ModeloFinanciero!C66-(ModeloFinanciero!C62-ABS(ModeloFinanciero!C47))</f>
        <v>73516760</v>
      </c>
      <c r="J12" s="111">
        <f>ModeloFinanciero!D66-(ModeloFinanciero!D62-ABS(ModeloFinanciero!D47))</f>
        <v>108026436</v>
      </c>
      <c r="K12" s="111">
        <f>ModeloFinanciero!E66-(ModeloFinanciero!E62-ABS(ModeloFinanciero!E47))</f>
        <v>-15774202</v>
      </c>
      <c r="L12" s="111">
        <f>ModeloFinanciero!F66-(ModeloFinanciero!F62-ABS(ModeloFinanciero!F47))</f>
        <v>19032340</v>
      </c>
      <c r="M12" s="109">
        <f>ModeloFinanciero!G66-(ModeloFinanciero!G62-ABS(ModeloFinanciero!G47))</f>
        <v>-13510188.139780492</v>
      </c>
      <c r="N12" s="111">
        <f>ModeloFinanciero!H66-(ModeloFinanciero!H62-ABS(ModeloFinanciero!H47))</f>
        <v>-14614931.72458464</v>
      </c>
      <c r="O12" s="111">
        <f>ModeloFinanciero!I66-(ModeloFinanciero!I62-ABS(ModeloFinanciero!I47))</f>
        <v>-15807391.95002228</v>
      </c>
      <c r="P12" s="111">
        <f>ModeloFinanciero!J66-(ModeloFinanciero!J62-ABS(ModeloFinanciero!J47))</f>
        <v>-17094533.517359644</v>
      </c>
      <c r="Q12" s="111">
        <f>ModeloFinanciero!K66-(ModeloFinanciero!K62-ABS(ModeloFinanciero!K47))</f>
        <v>-18483874.125143588</v>
      </c>
    </row>
    <row r="13">
      <c r="A13" s="106" t="s">
        <v>2749</v>
      </c>
      <c r="B13" s="106" t="s">
        <v>2750</v>
      </c>
      <c r="C13" s="113" t="s">
        <v>2736</v>
      </c>
      <c r="D13" s="106" t="s">
        <v>2731</v>
      </c>
      <c r="E13" s="106" t="s">
        <v>2732</v>
      </c>
      <c r="F13" s="117" t="s">
        <v>2751</v>
      </c>
      <c r="G13" s="106" t="s">
        <v>2752</v>
      </c>
      <c r="H13" s="110"/>
      <c r="I13" s="111">
        <f>EEFF!C121-EEFF!B121-(EEFF!C68+EEFF!C177+EEFF!C178+EEFF!C212+EEFF!C213)</f>
        <v>-5392734</v>
      </c>
      <c r="J13" s="111">
        <f>EEFF!D121-EEFF!C121-(EEFF!D68+EEFF!D177+EEFF!D178+EEFF!D212+EEFF!D213)</f>
        <v>-8076368</v>
      </c>
      <c r="K13" s="111">
        <f>EEFF!E121-EEFF!D121-(EEFF!E68+EEFF!E177+EEFF!E178+EEFF!E212+EEFF!E213)</f>
        <v>31091159</v>
      </c>
      <c r="L13" s="111">
        <f>EEFF!F121-EEFF!E121-(EEFF!F68+EEFF!F177+EEFF!F178+EEFF!F212+EEFF!F213)</f>
        <v>15653369</v>
      </c>
      <c r="M13" s="112"/>
      <c r="N13" s="110"/>
      <c r="O13" s="110"/>
      <c r="P13" s="110"/>
      <c r="Q13" s="110"/>
    </row>
    <row r="14">
      <c r="A14" s="106" t="s">
        <v>2753</v>
      </c>
      <c r="B14" s="106" t="s">
        <v>2744</v>
      </c>
      <c r="C14" s="113" t="str">
        <f>IF(SUMPRODUCT((ABS(H14:Q14)&gt;1000)*1)=0,"PASS","FAIL")</f>
        <v>PASS</v>
      </c>
      <c r="D14" s="106" t="s">
        <v>2731</v>
      </c>
      <c r="E14" s="106" t="s">
        <v>2732</v>
      </c>
      <c r="F14" s="106">
        <v>0</v>
      </c>
      <c r="G14" s="106" t="s">
        <v>2754</v>
      </c>
      <c r="H14" s="111">
        <f>SUM(ModeloFinanciero!B112,ModeloFinanciero!B113,ModeloFinanciero!B114,ModeloFinanciero!B115,ModeloFinanciero!B116,ModeloFinanciero!B117,ModeloFinanciero!B118,ModeloFinanciero!B120)-ModeloFinanciero!B121</f>
        <v>0</v>
      </c>
      <c r="I14" s="111">
        <f>SUM(ModeloFinanciero!C112,ModeloFinanciero!C113,ModeloFinanciero!C114,ModeloFinanciero!C115,ModeloFinanciero!C116,ModeloFinanciero!C117,ModeloFinanciero!C118,ModeloFinanciero!C120)-ModeloFinanciero!C121</f>
        <v>0</v>
      </c>
      <c r="J14" s="111">
        <f>SUM(ModeloFinanciero!D112,ModeloFinanciero!D113,ModeloFinanciero!D114,ModeloFinanciero!D115,ModeloFinanciero!D116,ModeloFinanciero!D117,ModeloFinanciero!D118,ModeloFinanciero!D120)-ModeloFinanciero!D121</f>
        <v>0</v>
      </c>
      <c r="K14" s="111">
        <f>SUM(ModeloFinanciero!E112,ModeloFinanciero!E113,ModeloFinanciero!E114,ModeloFinanciero!E115,ModeloFinanciero!E116,ModeloFinanciero!E117,ModeloFinanciero!E118,ModeloFinanciero!E120)-ModeloFinanciero!E121</f>
        <v>0</v>
      </c>
      <c r="L14" s="111">
        <f>SUM(ModeloFinanciero!F112,ModeloFinanciero!F113,ModeloFinanciero!F114,ModeloFinanciero!F115,ModeloFinanciero!F116,ModeloFinanciero!F117,ModeloFinanciero!F118,ModeloFinanciero!F120)-ModeloFinanciero!F121</f>
        <v>0</v>
      </c>
      <c r="M14" s="109">
        <f>SUM(ModeloFinanciero!G112,ModeloFinanciero!G113,ModeloFinanciero!G114,ModeloFinanciero!G115,ModeloFinanciero!G116,ModeloFinanciero!G117,ModeloFinanciero!G118,ModeloFinanciero!G120)-ModeloFinanciero!G121</f>
        <v>0</v>
      </c>
      <c r="N14" s="111">
        <f>SUM(ModeloFinanciero!H112,ModeloFinanciero!H113,ModeloFinanciero!H114,ModeloFinanciero!H115,ModeloFinanciero!H116,ModeloFinanciero!H117,ModeloFinanciero!H118,ModeloFinanciero!H120)-ModeloFinanciero!H121</f>
        <v>0</v>
      </c>
      <c r="O14" s="111">
        <f>SUM(ModeloFinanciero!I112,ModeloFinanciero!I113,ModeloFinanciero!I114,ModeloFinanciero!I115,ModeloFinanciero!I116,ModeloFinanciero!I117,ModeloFinanciero!I118,ModeloFinanciero!I120)-ModeloFinanciero!I121</f>
        <v>0</v>
      </c>
      <c r="P14" s="111">
        <f>SUM(ModeloFinanciero!J112,ModeloFinanciero!J113,ModeloFinanciero!J114,ModeloFinanciero!J115,ModeloFinanciero!J116,ModeloFinanciero!J117,ModeloFinanciero!J118,ModeloFinanciero!J120)-ModeloFinanciero!J121</f>
        <v>0</v>
      </c>
      <c r="Q14" s="111">
        <f>SUM(ModeloFinanciero!K112,ModeloFinanciero!K113,ModeloFinanciero!K114,ModeloFinanciero!K115,ModeloFinanciero!K116,ModeloFinanciero!K117,ModeloFinanciero!K118,ModeloFinanciero!K120)-ModeloFinanciero!K121</f>
        <v>0</v>
      </c>
    </row>
    <row r="15">
      <c r="A15" s="106" t="s">
        <v>2755</v>
      </c>
      <c r="B15" s="106" t="s">
        <v>2744</v>
      </c>
      <c r="C15" s="113" t="str">
        <f>IF(SUMPRODUCT((ABS(H15:Q15)&gt;1000)*1)=0,"PASS","FAIL")</f>
        <v>PASS</v>
      </c>
      <c r="D15" s="106" t="s">
        <v>2731</v>
      </c>
      <c r="E15" s="106" t="s">
        <v>2732</v>
      </c>
      <c r="F15" s="106">
        <v>0</v>
      </c>
      <c r="G15" s="106" t="s">
        <v>2756</v>
      </c>
      <c r="H15" s="111">
        <f>SUM(ModeloFinanciero!B70,ModeloFinanciero!B71,ModeloFinanciero!B72,ModeloFinanciero!B73,ModeloFinanciero!B74,ModeloFinanciero!B75,ModeloFinanciero!B76,ModeloFinanciero!B77,ModeloFinanciero!B78,ModeloFinanciero!B79,ModeloFinanciero!B80,ModeloFinanciero!B81,ModeloFinanciero!B82,ModeloFinanciero!B83,ModeloFinanciero!B84,ModeloFinanciero!B85,ModeloFinanciero!B86,ModeloFinanciero!B87,ModeloFinanciero!B88)-ModeloFinanciero!B89</f>
        <v>0</v>
      </c>
      <c r="I15" s="111">
        <f>SUM(ModeloFinanciero!C70,ModeloFinanciero!C71,ModeloFinanciero!C72,ModeloFinanciero!C73,ModeloFinanciero!C74,ModeloFinanciero!C75,ModeloFinanciero!C76,ModeloFinanciero!C77,ModeloFinanciero!C78,ModeloFinanciero!C79,ModeloFinanciero!C80,ModeloFinanciero!C81,ModeloFinanciero!C82,ModeloFinanciero!C83,ModeloFinanciero!C84,ModeloFinanciero!C85,ModeloFinanciero!C86,ModeloFinanciero!C87,ModeloFinanciero!C88)-ModeloFinanciero!C89</f>
        <v>0</v>
      </c>
      <c r="J15" s="111">
        <f>SUM(ModeloFinanciero!D70,ModeloFinanciero!D71,ModeloFinanciero!D72,ModeloFinanciero!D73,ModeloFinanciero!D74,ModeloFinanciero!D75,ModeloFinanciero!D76,ModeloFinanciero!D77,ModeloFinanciero!D78,ModeloFinanciero!D79,ModeloFinanciero!D80,ModeloFinanciero!D81,ModeloFinanciero!D82,ModeloFinanciero!D83,ModeloFinanciero!D84,ModeloFinanciero!D85,ModeloFinanciero!D86,ModeloFinanciero!D87,ModeloFinanciero!D88)-ModeloFinanciero!D89</f>
        <v>0</v>
      </c>
      <c r="K15" s="111">
        <f>SUM(ModeloFinanciero!E70,ModeloFinanciero!E71,ModeloFinanciero!E72,ModeloFinanciero!E73,ModeloFinanciero!E74,ModeloFinanciero!E75,ModeloFinanciero!E76,ModeloFinanciero!E77,ModeloFinanciero!E78,ModeloFinanciero!E79,ModeloFinanciero!E80,ModeloFinanciero!E81,ModeloFinanciero!E82,ModeloFinanciero!E83,ModeloFinanciero!E84,ModeloFinanciero!E85,ModeloFinanciero!E86,ModeloFinanciero!E87,ModeloFinanciero!E88)-ModeloFinanciero!E89</f>
        <v>0</v>
      </c>
      <c r="L15" s="111">
        <f>SUM(ModeloFinanciero!F70,ModeloFinanciero!F71,ModeloFinanciero!F72,ModeloFinanciero!F73,ModeloFinanciero!F74,ModeloFinanciero!F75,ModeloFinanciero!F76,ModeloFinanciero!F77,ModeloFinanciero!F78,ModeloFinanciero!F79,ModeloFinanciero!F80,ModeloFinanciero!F81,ModeloFinanciero!F82,ModeloFinanciero!F83,ModeloFinanciero!F84,ModeloFinanciero!F85,ModeloFinanciero!F86,ModeloFinanciero!F87,ModeloFinanciero!F88)-ModeloFinanciero!F89</f>
        <v>0</v>
      </c>
      <c r="M15" s="109">
        <f>SUM(ModeloFinanciero!G70,ModeloFinanciero!G71,ModeloFinanciero!G72,ModeloFinanciero!G73,ModeloFinanciero!G74,ModeloFinanciero!G75,ModeloFinanciero!G76,ModeloFinanciero!G77,ModeloFinanciero!G78,ModeloFinanciero!G79,ModeloFinanciero!G80,ModeloFinanciero!G81,ModeloFinanciero!G82,ModeloFinanciero!G83,ModeloFinanciero!G84,ModeloFinanciero!G85,ModeloFinanciero!G86,ModeloFinanciero!G87,ModeloFinanciero!G88)-ModeloFinanciero!G89</f>
        <v>0</v>
      </c>
      <c r="N15" s="111">
        <f>SUM(ModeloFinanciero!H70,ModeloFinanciero!H71,ModeloFinanciero!H72,ModeloFinanciero!H73,ModeloFinanciero!H74,ModeloFinanciero!H75,ModeloFinanciero!H76,ModeloFinanciero!H77,ModeloFinanciero!H78,ModeloFinanciero!H79,ModeloFinanciero!H80,ModeloFinanciero!H81,ModeloFinanciero!H82,ModeloFinanciero!H83,ModeloFinanciero!H84,ModeloFinanciero!H85,ModeloFinanciero!H86,ModeloFinanciero!H87,ModeloFinanciero!H88)-ModeloFinanciero!H89</f>
        <v>0</v>
      </c>
      <c r="O15" s="111">
        <f>SUM(ModeloFinanciero!I70,ModeloFinanciero!I71,ModeloFinanciero!I72,ModeloFinanciero!I73,ModeloFinanciero!I74,ModeloFinanciero!I75,ModeloFinanciero!I76,ModeloFinanciero!I77,ModeloFinanciero!I78,ModeloFinanciero!I79,ModeloFinanciero!I80,ModeloFinanciero!I81,ModeloFinanciero!I82,ModeloFinanciero!I83,ModeloFinanciero!I84,ModeloFinanciero!I85,ModeloFinanciero!I86,ModeloFinanciero!I87,ModeloFinanciero!I88)-ModeloFinanciero!I89</f>
        <v>0</v>
      </c>
      <c r="P15" s="111">
        <f>SUM(ModeloFinanciero!J70,ModeloFinanciero!J71,ModeloFinanciero!J72,ModeloFinanciero!J73,ModeloFinanciero!J74,ModeloFinanciero!J75,ModeloFinanciero!J76,ModeloFinanciero!J77,ModeloFinanciero!J78,ModeloFinanciero!J79,ModeloFinanciero!J80,ModeloFinanciero!J81,ModeloFinanciero!J82,ModeloFinanciero!J83,ModeloFinanciero!J84,ModeloFinanciero!J85,ModeloFinanciero!J86,ModeloFinanciero!J87,ModeloFinanciero!J88)-ModeloFinanciero!J89</f>
        <v>0</v>
      </c>
      <c r="Q15" s="111">
        <f>SUM(ModeloFinanciero!K70,ModeloFinanciero!K71,ModeloFinanciero!K72,ModeloFinanciero!K73,ModeloFinanciero!K74,ModeloFinanciero!K75,ModeloFinanciero!K76,ModeloFinanciero!K77,ModeloFinanciero!K78,ModeloFinanciero!K79,ModeloFinanciero!K80,ModeloFinanciero!K81,ModeloFinanciero!K82,ModeloFinanciero!K83,ModeloFinanciero!K84,ModeloFinanciero!K85,ModeloFinanciero!K86,ModeloFinanciero!K87,ModeloFinanciero!K88)-ModeloFinanciero!K89</f>
        <v>0</v>
      </c>
    </row>
    <row r="16">
      <c r="A16" s="106" t="s">
        <v>2757</v>
      </c>
      <c r="B16" s="106" t="s">
        <v>2744</v>
      </c>
      <c r="C16" s="113" t="s">
        <v>2741</v>
      </c>
      <c r="D16" s="106" t="s">
        <v>2731</v>
      </c>
      <c r="E16" s="106" t="s">
        <v>2732</v>
      </c>
      <c r="F16" s="106">
        <v>0</v>
      </c>
      <c r="G16" s="106" t="s">
        <v>2758</v>
      </c>
      <c r="H16" s="111">
        <f>ModeloFinanciero!B111+ModeloFinanciero!B121-ModeloFinanciero!B122</f>
        <v>-2137495289</v>
      </c>
      <c r="I16" s="111">
        <f>ModeloFinanciero!C111+ModeloFinanciero!C121-ModeloFinanciero!C122</f>
        <v>-2294825394</v>
      </c>
      <c r="J16" s="111">
        <f>ModeloFinanciero!D111+ModeloFinanciero!D121-ModeloFinanciero!D122</f>
        <v>-2377500871</v>
      </c>
      <c r="K16" s="111">
        <f>ModeloFinanciero!E111+ModeloFinanciero!E121-ModeloFinanciero!E122</f>
        <v>0</v>
      </c>
      <c r="L16" s="111">
        <f>ModeloFinanciero!F111+ModeloFinanciero!F121-ModeloFinanciero!F122</f>
        <v>0</v>
      </c>
      <c r="M16" s="109">
        <f>ModeloFinanciero!G111+ModeloFinanciero!G121-ModeloFinanciero!G122</f>
        <v>0</v>
      </c>
      <c r="N16" s="111">
        <f>ModeloFinanciero!H111+ModeloFinanciero!H121-ModeloFinanciero!H122</f>
        <v>0</v>
      </c>
      <c r="O16" s="111">
        <f>ModeloFinanciero!I111+ModeloFinanciero!I121-ModeloFinanciero!I122</f>
        <v>0</v>
      </c>
      <c r="P16" s="111">
        <f>ModeloFinanciero!J111+ModeloFinanciero!J121-ModeloFinanciero!J122</f>
        <v>0</v>
      </c>
      <c r="Q16" s="111">
        <f>ModeloFinanciero!K111+ModeloFinanciero!K121-ModeloFinanciero!K122</f>
        <v>0</v>
      </c>
    </row>
    <row r="17">
      <c r="A17" s="106" t="s">
        <v>2759</v>
      </c>
      <c r="B17" s="106" t="s">
        <v>2760</v>
      </c>
      <c r="C17" s="113" t="str">
        <f>IF(SUMPRODUCT((ABS(H17:Q17)&gt;100000)*1)=0,"PASS","FAIL")</f>
        <v>PASS</v>
      </c>
      <c r="D17" s="106" t="s">
        <v>2731</v>
      </c>
      <c r="E17" s="106" t="s">
        <v>2761</v>
      </c>
      <c r="F17" s="106">
        <v>0</v>
      </c>
      <c r="G17" s="106" t="s">
        <v>2762</v>
      </c>
      <c r="H17" s="111">
        <f>ModeloFinanciero!B89-EEFF!B92</f>
        <v>0</v>
      </c>
      <c r="I17" s="111">
        <f>ModeloFinanciero!C89-EEFF!C92</f>
        <v>0</v>
      </c>
      <c r="J17" s="111">
        <f>ModeloFinanciero!D89-EEFF!D92</f>
        <v>0</v>
      </c>
      <c r="K17" s="111">
        <f>ModeloFinanciero!E89-EEFF!E92</f>
        <v>0</v>
      </c>
      <c r="L17" s="111">
        <f>ModeloFinanciero!F89-EEFF!F92</f>
        <v>0</v>
      </c>
      <c r="M17" s="112"/>
      <c r="N17" s="110"/>
      <c r="O17" s="110"/>
      <c r="P17" s="110"/>
      <c r="Q17" s="110"/>
    </row>
    <row r="18">
      <c r="A18" s="106" t="s">
        <v>2763</v>
      </c>
      <c r="B18" s="106" t="s">
        <v>2764</v>
      </c>
      <c r="C18" s="113" t="str">
        <f>IF(SUMPRODUCT((ABS(H18:Q18)&gt;0)*1)=0,"PASS","FAIL")</f>
        <v>PASS</v>
      </c>
      <c r="D18" s="106" t="s">
        <v>2731</v>
      </c>
      <c r="E18" s="106" t="s">
        <v>2765</v>
      </c>
      <c r="F18" s="106" t="s">
        <v>2765</v>
      </c>
      <c r="G18" s="106" t="s">
        <v>2766</v>
      </c>
      <c r="H18" s="110">
        <f>0</f>
        <v>0</v>
      </c>
      <c r="I18" s="110">
        <f>0</f>
        <v>0</v>
      </c>
      <c r="J18" s="110">
        <f>0</f>
        <v>0</v>
      </c>
      <c r="K18" s="110">
        <f>0</f>
        <v>0</v>
      </c>
      <c r="L18" s="110">
        <f>0</f>
        <v>0</v>
      </c>
      <c r="M18" s="112">
        <f>0</f>
        <v>0</v>
      </c>
      <c r="N18" s="110">
        <f>0</f>
        <v>0</v>
      </c>
      <c r="O18" s="110">
        <f>0</f>
        <v>0</v>
      </c>
      <c r="P18" s="110">
        <f>0</f>
        <v>0</v>
      </c>
      <c r="Q18" s="110">
        <f>0</f>
        <v>0</v>
      </c>
    </row>
    <row r="19">
      <c r="A19" s="106" t="s">
        <v>2767</v>
      </c>
      <c r="B19" s="106" t="s">
        <v>2768</v>
      </c>
      <c r="C19" s="113" t="str">
        <f>IF(SUMPRODUCT((ABS(H19:Q19)&gt;0)*1)=0,"PASS","FAIL")</f>
        <v>PASS</v>
      </c>
      <c r="D19" s="106" t="s">
        <v>2731</v>
      </c>
      <c r="E19" s="106" t="s">
        <v>2765</v>
      </c>
      <c r="F19" s="106" t="s">
        <v>2765</v>
      </c>
      <c r="G19" s="106" t="s">
        <v>2769</v>
      </c>
      <c r="H19" s="110">
        <f>COUNTIF($C$6:$C$18,"FAIL")+COUNTIF($C$20:$C$35,"FAIL")</f>
        <v>0</v>
      </c>
      <c r="I19" s="110">
        <f>COUNTIF($C$6:$C$18,"FAIL")+COUNTIF($C$20:$C$35,"FAIL")</f>
        <v>0</v>
      </c>
      <c r="J19" s="110">
        <f>COUNTIF($C$6:$C$18,"FAIL")+COUNTIF($C$20:$C$35,"FAIL")</f>
        <v>0</v>
      </c>
      <c r="K19" s="110">
        <f>COUNTIF($C$6:$C$18,"FAIL")+COUNTIF($C$20:$C$35,"FAIL")</f>
        <v>0</v>
      </c>
      <c r="L19" s="110">
        <f>COUNTIF($C$6:$C$18,"FAIL")+COUNTIF($C$20:$C$35,"FAIL")</f>
        <v>0</v>
      </c>
      <c r="M19" s="112">
        <f>COUNTIF($C$6:$C$18,"FAIL")+COUNTIF($C$20:$C$35,"FAIL")</f>
        <v>0</v>
      </c>
      <c r="N19" s="110">
        <f>COUNTIF($C$6:$C$18,"FAIL")+COUNTIF($C$20:$C$35,"FAIL")</f>
        <v>0</v>
      </c>
      <c r="O19" s="110">
        <f>COUNTIF($C$6:$C$18,"FAIL")+COUNTIF($C$20:$C$35,"FAIL")</f>
        <v>0</v>
      </c>
      <c r="P19" s="110">
        <f>COUNTIF($C$6:$C$18,"FAIL")+COUNTIF($C$20:$C$35,"FAIL")</f>
        <v>0</v>
      </c>
      <c r="Q19" s="110">
        <f>COUNTIF($C$6:$C$18,"FAIL")+COUNTIF($C$20:$C$35,"FAIL")</f>
        <v>0</v>
      </c>
    </row>
    <row r="20">
      <c r="A20" s="107"/>
      <c r="B20" s="107"/>
      <c r="C20" s="107"/>
      <c r="D20" s="107"/>
      <c r="E20" s="107"/>
      <c r="F20" s="107"/>
      <c r="G20" s="107"/>
      <c r="H20" s="107"/>
      <c r="I20" s="107"/>
      <c r="J20" s="107"/>
      <c r="K20" s="107"/>
      <c r="L20" s="107"/>
      <c r="M20" s="107"/>
      <c r="N20" s="107"/>
      <c r="O20" s="107"/>
      <c r="P20" s="107"/>
      <c r="Q20" s="107"/>
    </row>
    <row r="21">
      <c r="A21" s="108" t="s">
        <v>2770</v>
      </c>
      <c r="B21" s="108"/>
      <c r="C21" s="108"/>
      <c r="D21" s="108"/>
      <c r="E21" s="108"/>
      <c r="F21" s="108"/>
      <c r="G21" s="108"/>
      <c r="H21" s="108"/>
      <c r="I21" s="108"/>
      <c r="J21" s="108"/>
      <c r="K21" s="108"/>
      <c r="L21" s="108"/>
      <c r="M21" s="114"/>
      <c r="N21" s="114"/>
      <c r="O21" s="114"/>
      <c r="P21" s="114"/>
      <c r="Q21" s="114"/>
    </row>
    <row r="22">
      <c r="A22" s="106" t="s">
        <v>2771</v>
      </c>
      <c r="B22" s="106" t="s">
        <v>2772</v>
      </c>
      <c r="C22" s="113" t="s">
        <v>2741</v>
      </c>
      <c r="D22" s="106" t="s">
        <v>2731</v>
      </c>
      <c r="E22" s="106" t="s">
        <v>2732</v>
      </c>
      <c r="F22" s="106">
        <v>0</v>
      </c>
      <c r="G22" s="106" t="s">
        <v>2773</v>
      </c>
      <c r="H22" s="110">
        <f>0</f>
        <v>0</v>
      </c>
      <c r="I22" s="110">
        <f>0</f>
        <v>0</v>
      </c>
      <c r="J22" s="110">
        <f>0</f>
        <v>0</v>
      </c>
      <c r="K22" s="110">
        <f>0</f>
        <v>0</v>
      </c>
      <c r="L22" s="110">
        <f>0</f>
        <v>0</v>
      </c>
      <c r="M22" s="112">
        <f>0</f>
        <v>0</v>
      </c>
      <c r="N22" s="110">
        <f>0</f>
        <v>0</v>
      </c>
      <c r="O22" s="110">
        <f>0</f>
        <v>0</v>
      </c>
      <c r="P22" s="110">
        <f>0</f>
        <v>0</v>
      </c>
      <c r="Q22" s="110">
        <f>0</f>
        <v>0</v>
      </c>
    </row>
    <row r="23">
      <c r="A23" s="107"/>
      <c r="B23" s="107"/>
      <c r="C23" s="107"/>
      <c r="D23" s="107"/>
      <c r="E23" s="107"/>
      <c r="F23" s="107"/>
      <c r="G23" s="107"/>
      <c r="H23" s="107"/>
      <c r="I23" s="107"/>
      <c r="J23" s="107"/>
      <c r="K23" s="107"/>
      <c r="L23" s="107"/>
      <c r="M23" s="107"/>
      <c r="N23" s="107"/>
      <c r="O23" s="107"/>
      <c r="P23" s="107"/>
      <c r="Q23" s="107"/>
    </row>
    <row r="24">
      <c r="A24" s="108" t="s">
        <v>2774</v>
      </c>
      <c r="B24" s="108"/>
      <c r="C24" s="108"/>
      <c r="D24" s="108"/>
      <c r="E24" s="108"/>
      <c r="F24" s="108"/>
      <c r="G24" s="108"/>
      <c r="H24" s="108"/>
      <c r="I24" s="108"/>
      <c r="J24" s="108"/>
      <c r="K24" s="108"/>
      <c r="L24" s="108"/>
      <c r="M24" s="114"/>
      <c r="N24" s="114"/>
      <c r="O24" s="114"/>
      <c r="P24" s="114"/>
      <c r="Q24" s="114"/>
    </row>
    <row r="25">
      <c r="A25" s="106" t="s">
        <v>2775</v>
      </c>
      <c r="B25" s="106" t="s">
        <v>2776</v>
      </c>
      <c r="C25" s="113" t="str">
        <f>IF(SUMPRODUCT((ABS(H25:Q25)&gt;1000)*1)=0,"PASS","FAIL")</f>
        <v>PASS</v>
      </c>
      <c r="D25" s="106" t="s">
        <v>2731</v>
      </c>
      <c r="E25" s="106" t="s">
        <v>2732</v>
      </c>
      <c r="F25" s="106">
        <v>0</v>
      </c>
      <c r="G25" s="106" t="s">
        <v>2777</v>
      </c>
      <c r="H25" s="110"/>
      <c r="I25" s="110"/>
      <c r="J25" s="110"/>
      <c r="K25" s="111">
        <f>Premiums_Claims!E35</f>
        <v>0</v>
      </c>
      <c r="L25" s="111">
        <f>Premiums_Claims!F35</f>
        <v>0</v>
      </c>
      <c r="M25" s="109">
        <f>ModeloFinanciero!G48-Premiums_Claims!G39</f>
        <v>0</v>
      </c>
      <c r="N25" s="111">
        <f>ModeloFinanciero!H48-Premiums_Claims!H39</f>
        <v>0</v>
      </c>
      <c r="O25" s="111">
        <f>ModeloFinanciero!I48-Premiums_Claims!I39</f>
        <v>0</v>
      </c>
      <c r="P25" s="111">
        <f>ModeloFinanciero!J48-Premiums_Claims!J39</f>
        <v>0</v>
      </c>
      <c r="Q25" s="111">
        <f>ModeloFinanciero!K48-Premiums_Claims!K39</f>
        <v>0</v>
      </c>
    </row>
    <row r="26">
      <c r="A26" s="106" t="s">
        <v>2778</v>
      </c>
      <c r="B26" s="106" t="s">
        <v>2779</v>
      </c>
      <c r="C26" s="113" t="str">
        <f>IF(SUMPRODUCT((ABS(H26:Q26)&gt;1000)*1)=0,"PASS","FAIL")</f>
        <v>PASS</v>
      </c>
      <c r="D26" s="106" t="s">
        <v>2731</v>
      </c>
      <c r="E26" s="106" t="s">
        <v>2732</v>
      </c>
      <c r="F26" s="106">
        <v>0</v>
      </c>
      <c r="G26" s="106" t="s">
        <v>2780</v>
      </c>
      <c r="H26" s="110"/>
      <c r="I26" s="110"/>
      <c r="J26" s="110"/>
      <c r="K26" s="111">
        <f>Claims_Reserves!E35</f>
        <v>0</v>
      </c>
      <c r="L26" s="111">
        <f>Claims_Reserves!F35</f>
        <v>0</v>
      </c>
      <c r="M26" s="112"/>
      <c r="N26" s="110"/>
      <c r="O26" s="110"/>
      <c r="P26" s="110"/>
      <c r="Q26" s="110"/>
    </row>
    <row r="27">
      <c r="A27" s="106" t="s">
        <v>2781</v>
      </c>
      <c r="B27" s="106" t="s">
        <v>2782</v>
      </c>
      <c r="C27" s="113" t="str">
        <f>IF(SUMPRODUCT((ABS(H27:Q27)&gt;1000)*1)=0,"PASS","FAIL")</f>
        <v>PASS</v>
      </c>
      <c r="D27" s="106" t="s">
        <v>2731</v>
      </c>
      <c r="E27" s="106" t="s">
        <v>2732</v>
      </c>
      <c r="F27" s="106">
        <v>0</v>
      </c>
      <c r="G27" s="106" t="s">
        <v>2783</v>
      </c>
      <c r="H27" s="111">
        <f>Premiums_Claims!B12</f>
        <v>0</v>
      </c>
      <c r="I27" s="111">
        <f>Premiums_Claims!C12</f>
        <v>0</v>
      </c>
      <c r="J27" s="111">
        <f>Premiums_Claims!D12</f>
        <v>0</v>
      </c>
      <c r="K27" s="111">
        <f>Premiums_Claims!E12</f>
        <v>0</v>
      </c>
      <c r="L27" s="111">
        <f>Premiums_Claims!F12</f>
        <v>0</v>
      </c>
      <c r="M27" s="112"/>
      <c r="N27" s="110"/>
      <c r="O27" s="110"/>
      <c r="P27" s="110"/>
      <c r="Q27" s="110"/>
    </row>
    <row r="28">
      <c r="A28" s="106" t="s">
        <v>2784</v>
      </c>
      <c r="B28" s="106" t="s">
        <v>2785</v>
      </c>
      <c r="C28" s="113" t="str">
        <f>IF(SUMPRODUCT((ABS(H28:Q28)&gt;1000)*1)=0,"PASS","FAIL")</f>
        <v>PASS</v>
      </c>
      <c r="D28" s="106" t="s">
        <v>2731</v>
      </c>
      <c r="E28" s="106" t="s">
        <v>2732</v>
      </c>
      <c r="F28" s="106">
        <v>0</v>
      </c>
      <c r="G28" s="106" t="s">
        <v>2783</v>
      </c>
      <c r="H28" s="111">
        <f>Premiums_Claims!B44</f>
        <v>0</v>
      </c>
      <c r="I28" s="111">
        <f>Premiums_Claims!C44</f>
        <v>0</v>
      </c>
      <c r="J28" s="111">
        <f>Premiums_Claims!D44</f>
        <v>0</v>
      </c>
      <c r="K28" s="111">
        <f>Premiums_Claims!E44</f>
        <v>0</v>
      </c>
      <c r="L28" s="111">
        <f>Premiums_Claims!F44</f>
        <v>0</v>
      </c>
      <c r="M28" s="112"/>
      <c r="N28" s="110"/>
      <c r="O28" s="110"/>
      <c r="P28" s="110"/>
      <c r="Q28" s="110"/>
    </row>
    <row r="29">
      <c r="A29" s="106" t="s">
        <v>2786</v>
      </c>
      <c r="B29" s="106" t="s">
        <v>2787</v>
      </c>
      <c r="C29" s="113" t="str">
        <f>IF(SUMPRODUCT((ABS(H29:Q29)&gt;1000)*1)=0,"PASS","FAIL")</f>
        <v>PASS</v>
      </c>
      <c r="D29" s="106" t="s">
        <v>2731</v>
      </c>
      <c r="E29" s="106" t="s">
        <v>2732</v>
      </c>
      <c r="F29" s="106">
        <v>0</v>
      </c>
      <c r="G29" s="106" t="s">
        <v>2783</v>
      </c>
      <c r="H29" s="111">
        <f>Premiums_Claims!B56</f>
        <v>0</v>
      </c>
      <c r="I29" s="111">
        <f>Premiums_Claims!C56</f>
        <v>0</v>
      </c>
      <c r="J29" s="111">
        <f>Premiums_Claims!D56</f>
        <v>0</v>
      </c>
      <c r="K29" s="111">
        <f>Premiums_Claims!E56</f>
        <v>0</v>
      </c>
      <c r="L29" s="111">
        <f>Premiums_Claims!F56</f>
        <v>0</v>
      </c>
      <c r="M29" s="112"/>
      <c r="N29" s="110"/>
      <c r="O29" s="110"/>
      <c r="P29" s="110"/>
      <c r="Q29" s="110"/>
    </row>
    <row r="30">
      <c r="A30" s="106" t="s">
        <v>2788</v>
      </c>
      <c r="B30" s="106" t="s">
        <v>2789</v>
      </c>
      <c r="C30" s="113" t="str">
        <f>IF(SUMPRODUCT((ABS(H30:Q30)&gt;1000)*1)=0,"PASS","FAIL")</f>
        <v>PASS</v>
      </c>
      <c r="D30" s="106" t="s">
        <v>2731</v>
      </c>
      <c r="E30" s="106" t="s">
        <v>2732</v>
      </c>
      <c r="F30" s="106">
        <v>0</v>
      </c>
      <c r="G30" s="106" t="s">
        <v>2783</v>
      </c>
      <c r="H30" s="110"/>
      <c r="I30" s="110"/>
      <c r="J30" s="110"/>
      <c r="K30" s="111">
        <f>Claims_Reserves!E49</f>
        <v>0</v>
      </c>
      <c r="L30" s="111">
        <f>Claims_Reserves!F49</f>
        <v>0</v>
      </c>
      <c r="M30" s="112"/>
      <c r="N30" s="110"/>
      <c r="O30" s="110"/>
      <c r="P30" s="110"/>
      <c r="Q30" s="110"/>
    </row>
    <row r="31">
      <c r="A31" s="106" t="s">
        <v>2790</v>
      </c>
      <c r="B31" s="106" t="s">
        <v>2791</v>
      </c>
      <c r="C31" s="113" t="str">
        <f>IF(SUMPRODUCT((ABS(H31:Q31)&gt;1000)*1)=0,"PASS","FAIL")</f>
        <v>PASS</v>
      </c>
      <c r="D31" s="106" t="s">
        <v>2731</v>
      </c>
      <c r="E31" s="106" t="s">
        <v>2732</v>
      </c>
      <c r="F31" s="106">
        <v>0</v>
      </c>
      <c r="G31" s="106" t="s">
        <v>2783</v>
      </c>
      <c r="H31" s="110"/>
      <c r="I31" s="110"/>
      <c r="J31" s="110"/>
      <c r="K31" s="110"/>
      <c r="L31" s="111">
        <f>Claims_Reserves!F80</f>
        <v>0</v>
      </c>
      <c r="M31" s="112"/>
      <c r="N31" s="110"/>
      <c r="O31" s="110"/>
      <c r="P31" s="110"/>
      <c r="Q31" s="110"/>
    </row>
    <row r="32">
      <c r="A32" s="106" t="s">
        <v>2792</v>
      </c>
      <c r="B32" s="106" t="s">
        <v>2793</v>
      </c>
      <c r="C32" s="113" t="str">
        <f>IF(SUMPRODUCT((ABS(H32:Q32)&gt;1000)*1)=0,"PASS","FAIL")</f>
        <v>PASS</v>
      </c>
      <c r="D32" s="106" t="s">
        <v>2731</v>
      </c>
      <c r="E32" s="106" t="s">
        <v>2732</v>
      </c>
      <c r="F32" s="106">
        <v>0</v>
      </c>
      <c r="G32" s="106" t="s">
        <v>2783</v>
      </c>
      <c r="H32" s="110"/>
      <c r="I32" s="110"/>
      <c r="J32" s="110"/>
      <c r="K32" s="111">
        <f>Investments!E18</f>
        <v>0</v>
      </c>
      <c r="L32" s="111">
        <f>Investments!F18</f>
        <v>0</v>
      </c>
      <c r="M32" s="112"/>
      <c r="N32" s="110"/>
      <c r="O32" s="110"/>
      <c r="P32" s="110"/>
      <c r="Q32" s="110"/>
    </row>
    <row r="33">
      <c r="A33" s="106" t="s">
        <v>2794</v>
      </c>
      <c r="B33" s="106" t="s">
        <v>2795</v>
      </c>
      <c r="C33" s="113" t="str">
        <f>IF(SUMPRODUCT((ABS(H33:Q33)&gt;1000)*1)=0,"PASS","FAIL")</f>
        <v>PASS</v>
      </c>
      <c r="D33" s="106" t="s">
        <v>2731</v>
      </c>
      <c r="E33" s="106" t="s">
        <v>2732</v>
      </c>
      <c r="F33" s="106">
        <v>0</v>
      </c>
      <c r="G33" s="106" t="s">
        <v>2783</v>
      </c>
      <c r="H33" s="110"/>
      <c r="I33" s="110"/>
      <c r="J33" s="110"/>
      <c r="K33" s="110"/>
      <c r="L33" s="110"/>
      <c r="M33" s="109">
        <f>Investment_Float!G28</f>
        <v>0</v>
      </c>
      <c r="N33" s="111">
        <f>Investment_Float!H28</f>
        <v>0</v>
      </c>
      <c r="O33" s="111">
        <f>Investment_Float!I28</f>
        <v>0</v>
      </c>
      <c r="P33" s="111">
        <f>Investment_Float!J28</f>
        <v>0</v>
      </c>
      <c r="Q33" s="111">
        <f>Investment_Float!K28</f>
        <v>0</v>
      </c>
    </row>
    <row r="34">
      <c r="A34" s="106" t="s">
        <v>2796</v>
      </c>
      <c r="B34" s="106" t="s">
        <v>2797</v>
      </c>
      <c r="C34" s="113" t="s">
        <v>2741</v>
      </c>
      <c r="D34" s="106" t="s">
        <v>2798</v>
      </c>
      <c r="E34" s="106" t="s">
        <v>2765</v>
      </c>
      <c r="F34" s="106" t="s">
        <v>211</v>
      </c>
      <c r="G34" s="106" t="s">
        <v>2799</v>
      </c>
      <c r="H34" s="110">
        <f>0</f>
        <v>0</v>
      </c>
      <c r="I34" s="110">
        <f>0</f>
        <v>0</v>
      </c>
      <c r="J34" s="110">
        <f>0</f>
        <v>0</v>
      </c>
      <c r="K34" s="110">
        <f>0</f>
        <v>0</v>
      </c>
      <c r="L34" s="110">
        <f>0</f>
        <v>0</v>
      </c>
      <c r="M34" s="112">
        <f>0</f>
        <v>0</v>
      </c>
      <c r="N34" s="110">
        <f>0</f>
        <v>0</v>
      </c>
      <c r="O34" s="110">
        <f>0</f>
        <v>0</v>
      </c>
      <c r="P34" s="110">
        <f>0</f>
        <v>0</v>
      </c>
      <c r="Q34" s="110">
        <f>0</f>
        <v>0</v>
      </c>
    </row>
    <row r="35">
      <c r="A35" s="106" t="s">
        <v>2800</v>
      </c>
      <c r="B35" s="106" t="s">
        <v>2801</v>
      </c>
      <c r="C35" s="113" t="str">
        <f>IF(SUMPRODUCT((ABS(H35:Q35)&gt;1)*1)=0,"PASS","FAIL")</f>
        <v>PASS</v>
      </c>
      <c r="D35" s="106" t="s">
        <v>2731</v>
      </c>
      <c r="E35" s="106" t="s">
        <v>2802</v>
      </c>
      <c r="F35" s="106" t="s">
        <v>2803</v>
      </c>
      <c r="G35" s="106" t="s">
        <v>2804</v>
      </c>
      <c r="H35" s="110"/>
      <c r="I35" s="110"/>
      <c r="J35" s="110"/>
      <c r="K35" s="111">
        <f>ABS(Puente_NIIF17!D12)+ABS(Puente_NIIF17!B19)+ABS(Puente_NIIF17!B21)+ABS(Puente_NIIF17!B29)</f>
        <v>0</v>
      </c>
      <c r="L35" s="110"/>
      <c r="M35" s="112"/>
      <c r="N35" s="110"/>
      <c r="O35" s="110"/>
      <c r="P35" s="110"/>
      <c r="Q35" s="110"/>
    </row>
  </sheetData>
</worksheet>
</file>

<file path=xl/worksheets/sheet16.xml><?xml version="1.0" encoding="utf-8"?>
<worksheet xmlns="http://schemas.openxmlformats.org/spreadsheetml/2006/main" xmlns:r="http://schemas.openxmlformats.org/officeDocument/2006/relationships">
  <dimension ref="A1:M158"/>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122" t="s">
        <v>0</v>
      </c>
      <c r="B1" s="119"/>
      <c r="C1" s="119"/>
      <c r="D1" s="119"/>
      <c r="E1" s="119"/>
      <c r="F1" s="119"/>
      <c r="G1" s="119"/>
      <c r="H1" s="119"/>
      <c r="I1" s="119"/>
      <c r="J1" s="119"/>
      <c r="K1" s="119"/>
      <c r="L1" s="119"/>
      <c r="M1" s="119"/>
    </row>
    <row r="2">
      <c r="A2" s="119" t="s">
        <v>2805</v>
      </c>
      <c r="B2" s="119"/>
      <c r="C2" s="119"/>
      <c r="D2" s="119"/>
      <c r="E2" s="119"/>
      <c r="F2" s="119"/>
      <c r="G2" s="119"/>
      <c r="H2" s="119"/>
      <c r="I2" s="119"/>
      <c r="J2" s="119"/>
      <c r="K2" s="119"/>
      <c r="L2" s="119"/>
      <c r="M2" s="119"/>
    </row>
    <row r="3">
      <c r="A3" s="119" t="s">
        <v>2806</v>
      </c>
      <c r="B3" s="119"/>
      <c r="C3" s="119"/>
      <c r="D3" s="119"/>
      <c r="E3" s="119"/>
      <c r="F3" s="119"/>
      <c r="G3" s="119"/>
      <c r="H3" s="119"/>
      <c r="I3" s="119"/>
      <c r="J3" s="119"/>
      <c r="K3" s="119"/>
      <c r="L3" s="119"/>
      <c r="M3" s="119"/>
    </row>
    <row r="4">
      <c r="A4" s="121" t="s">
        <v>2807</v>
      </c>
      <c r="B4" s="121" t="s">
        <v>2808</v>
      </c>
      <c r="C4" s="121" t="s">
        <v>2809</v>
      </c>
      <c r="D4" s="121" t="s">
        <v>2810</v>
      </c>
      <c r="E4" s="121" t="s">
        <v>2811</v>
      </c>
      <c r="F4" s="121" t="s">
        <v>2812</v>
      </c>
      <c r="G4" s="121" t="s">
        <v>2813</v>
      </c>
      <c r="H4" s="121" t="s">
        <v>2814</v>
      </c>
      <c r="I4" s="121" t="s">
        <v>2815</v>
      </c>
      <c r="J4" s="121" t="s">
        <v>2816</v>
      </c>
      <c r="K4" s="121" t="s">
        <v>2723</v>
      </c>
      <c r="L4" s="121" t="s">
        <v>2817</v>
      </c>
      <c r="M4" s="121" t="s">
        <v>2727</v>
      </c>
    </row>
    <row r="5">
      <c r="A5" s="119" t="s">
        <v>2818</v>
      </c>
      <c r="B5" s="119" t="s">
        <v>2819</v>
      </c>
      <c r="C5" s="119" t="s">
        <v>2820</v>
      </c>
      <c r="D5" s="119"/>
      <c r="E5" s="119"/>
      <c r="F5" s="119"/>
      <c r="G5" s="119"/>
      <c r="H5" s="119" t="s">
        <v>2821</v>
      </c>
      <c r="I5" s="119" t="s">
        <v>2822</v>
      </c>
      <c r="J5" s="119" t="s">
        <v>211</v>
      </c>
      <c r="K5" s="123" t="s">
        <v>293</v>
      </c>
      <c r="L5" s="119" t="s">
        <v>1218</v>
      </c>
      <c r="M5" s="119" t="s">
        <v>2823</v>
      </c>
    </row>
    <row r="6">
      <c r="A6" s="119" t="s">
        <v>2824</v>
      </c>
      <c r="B6" s="119" t="s">
        <v>2825</v>
      </c>
      <c r="C6" s="119" t="s">
        <v>2820</v>
      </c>
      <c r="D6" s="119" t="s">
        <v>286</v>
      </c>
      <c r="E6" s="119" t="s">
        <v>285</v>
      </c>
      <c r="F6" s="119"/>
      <c r="G6" s="119" t="s">
        <v>288</v>
      </c>
      <c r="H6" s="119" t="s">
        <v>2826</v>
      </c>
      <c r="I6" s="119" t="s">
        <v>2827</v>
      </c>
      <c r="J6" s="119" t="s">
        <v>2828</v>
      </c>
      <c r="K6" s="123" t="s">
        <v>293</v>
      </c>
      <c r="L6" s="119" t="s">
        <v>2829</v>
      </c>
      <c r="M6" s="119" t="s">
        <v>2830</v>
      </c>
    </row>
    <row r="7">
      <c r="A7" s="119" t="s">
        <v>2831</v>
      </c>
      <c r="B7" s="119" t="s">
        <v>2825</v>
      </c>
      <c r="C7" s="119" t="s">
        <v>2820</v>
      </c>
      <c r="D7" s="119" t="s">
        <v>885</v>
      </c>
      <c r="E7" s="119" t="s">
        <v>884</v>
      </c>
      <c r="F7" s="119"/>
      <c r="G7" s="119" t="s">
        <v>288</v>
      </c>
      <c r="H7" s="119" t="s">
        <v>2826</v>
      </c>
      <c r="I7" s="119" t="s">
        <v>2827</v>
      </c>
      <c r="J7" s="119" t="s">
        <v>2832</v>
      </c>
      <c r="K7" s="123" t="s">
        <v>293</v>
      </c>
      <c r="L7" s="119" t="s">
        <v>2833</v>
      </c>
      <c r="M7" s="119" t="s">
        <v>2834</v>
      </c>
    </row>
    <row r="8">
      <c r="A8" s="119" t="s">
        <v>2835</v>
      </c>
      <c r="B8" s="119" t="s">
        <v>2825</v>
      </c>
      <c r="C8" s="119" t="s">
        <v>2820</v>
      </c>
      <c r="D8" s="119" t="s">
        <v>1069</v>
      </c>
      <c r="E8" s="119" t="s">
        <v>1068</v>
      </c>
      <c r="F8" s="119"/>
      <c r="G8" s="119" t="s">
        <v>288</v>
      </c>
      <c r="H8" s="119" t="s">
        <v>2826</v>
      </c>
      <c r="I8" s="119" t="s">
        <v>2827</v>
      </c>
      <c r="J8" s="119" t="s">
        <v>2836</v>
      </c>
      <c r="K8" s="123" t="s">
        <v>293</v>
      </c>
      <c r="L8" s="119" t="s">
        <v>2837</v>
      </c>
      <c r="M8" s="119" t="s">
        <v>2838</v>
      </c>
    </row>
    <row r="9">
      <c r="A9" s="119" t="s">
        <v>2839</v>
      </c>
      <c r="B9" s="119" t="s">
        <v>2825</v>
      </c>
      <c r="C9" s="119" t="s">
        <v>2820</v>
      </c>
      <c r="D9" s="119" t="s">
        <v>1216</v>
      </c>
      <c r="E9" s="119" t="s">
        <v>1215</v>
      </c>
      <c r="F9" s="119"/>
      <c r="G9" s="119" t="s">
        <v>288</v>
      </c>
      <c r="H9" s="119" t="s">
        <v>2826</v>
      </c>
      <c r="I9" s="119" t="s">
        <v>2827</v>
      </c>
      <c r="J9" s="119" t="s">
        <v>2840</v>
      </c>
      <c r="K9" s="123" t="s">
        <v>293</v>
      </c>
      <c r="L9" s="119" t="s">
        <v>2841</v>
      </c>
      <c r="M9" s="119" t="s">
        <v>2842</v>
      </c>
    </row>
    <row r="10">
      <c r="A10" s="119" t="s">
        <v>2843</v>
      </c>
      <c r="B10" s="119" t="s">
        <v>2825</v>
      </c>
      <c r="C10" s="119" t="s">
        <v>2820</v>
      </c>
      <c r="D10" s="119" t="s">
        <v>1798</v>
      </c>
      <c r="E10" s="119" t="s">
        <v>1797</v>
      </c>
      <c r="F10" s="119"/>
      <c r="G10" s="119" t="s">
        <v>288</v>
      </c>
      <c r="H10" s="119" t="s">
        <v>2826</v>
      </c>
      <c r="I10" s="119" t="s">
        <v>2827</v>
      </c>
      <c r="J10" s="119" t="s">
        <v>2844</v>
      </c>
      <c r="K10" s="123" t="s">
        <v>293</v>
      </c>
      <c r="L10" s="119" t="s">
        <v>2845</v>
      </c>
      <c r="M10" s="119" t="s">
        <v>2846</v>
      </c>
    </row>
    <row r="11">
      <c r="A11" s="119" t="s">
        <v>2847</v>
      </c>
      <c r="B11" s="119" t="s">
        <v>2848</v>
      </c>
      <c r="C11" s="119" t="s">
        <v>2820</v>
      </c>
      <c r="D11" s="119" t="s">
        <v>286</v>
      </c>
      <c r="E11" s="119" t="s">
        <v>285</v>
      </c>
      <c r="F11" s="119" t="s">
        <v>365</v>
      </c>
      <c r="G11" s="119" t="s">
        <v>2849</v>
      </c>
      <c r="H11" s="119" t="s">
        <v>2850</v>
      </c>
      <c r="I11" s="119" t="s">
        <v>366</v>
      </c>
      <c r="J11" s="119" t="s">
        <v>2828</v>
      </c>
      <c r="K11" s="123" t="s">
        <v>293</v>
      </c>
      <c r="L11" s="119" t="s">
        <v>1799</v>
      </c>
      <c r="M11" s="119"/>
    </row>
    <row r="12">
      <c r="A12" s="119" t="s">
        <v>2851</v>
      </c>
      <c r="B12" s="119" t="s">
        <v>2848</v>
      </c>
      <c r="C12" s="119" t="s">
        <v>2820</v>
      </c>
      <c r="D12" s="119" t="s">
        <v>286</v>
      </c>
      <c r="E12" s="119" t="s">
        <v>285</v>
      </c>
      <c r="F12" s="119" t="s">
        <v>373</v>
      </c>
      <c r="G12" s="119" t="s">
        <v>2852</v>
      </c>
      <c r="H12" s="119" t="s">
        <v>2850</v>
      </c>
      <c r="I12" s="119" t="s">
        <v>374</v>
      </c>
      <c r="J12" s="119" t="s">
        <v>2828</v>
      </c>
      <c r="K12" s="123" t="s">
        <v>293</v>
      </c>
      <c r="L12" s="119" t="s">
        <v>1238</v>
      </c>
      <c r="M12" s="119"/>
    </row>
    <row r="13">
      <c r="A13" s="119" t="s">
        <v>2853</v>
      </c>
      <c r="B13" s="119" t="s">
        <v>2848</v>
      </c>
      <c r="C13" s="119" t="s">
        <v>2820</v>
      </c>
      <c r="D13" s="119" t="s">
        <v>286</v>
      </c>
      <c r="E13" s="119" t="s">
        <v>285</v>
      </c>
      <c r="F13" s="119" t="s">
        <v>378</v>
      </c>
      <c r="G13" s="119" t="s">
        <v>2854</v>
      </c>
      <c r="H13" s="119" t="s">
        <v>2850</v>
      </c>
      <c r="I13" s="119" t="s">
        <v>379</v>
      </c>
      <c r="J13" s="119" t="s">
        <v>2828</v>
      </c>
      <c r="K13" s="123" t="s">
        <v>293</v>
      </c>
      <c r="L13" s="119" t="s">
        <v>373</v>
      </c>
      <c r="M13" s="119"/>
    </row>
    <row r="14">
      <c r="A14" s="119" t="s">
        <v>2855</v>
      </c>
      <c r="B14" s="119" t="s">
        <v>2848</v>
      </c>
      <c r="C14" s="119" t="s">
        <v>2820</v>
      </c>
      <c r="D14" s="119" t="s">
        <v>286</v>
      </c>
      <c r="E14" s="119" t="s">
        <v>285</v>
      </c>
      <c r="F14" s="119" t="s">
        <v>398</v>
      </c>
      <c r="G14" s="119" t="s">
        <v>2856</v>
      </c>
      <c r="H14" s="119" t="s">
        <v>2850</v>
      </c>
      <c r="I14" s="119" t="s">
        <v>399</v>
      </c>
      <c r="J14" s="119" t="s">
        <v>2828</v>
      </c>
      <c r="K14" s="123" t="s">
        <v>293</v>
      </c>
      <c r="L14" s="119" t="s">
        <v>872</v>
      </c>
      <c r="M14" s="119"/>
    </row>
    <row r="15">
      <c r="A15" s="119" t="s">
        <v>2857</v>
      </c>
      <c r="B15" s="119" t="s">
        <v>2848</v>
      </c>
      <c r="C15" s="119" t="s">
        <v>2820</v>
      </c>
      <c r="D15" s="119" t="s">
        <v>286</v>
      </c>
      <c r="E15" s="119" t="s">
        <v>285</v>
      </c>
      <c r="F15" s="119" t="s">
        <v>449</v>
      </c>
      <c r="G15" s="119" t="s">
        <v>2858</v>
      </c>
      <c r="H15" s="119" t="s">
        <v>2850</v>
      </c>
      <c r="I15" s="119" t="s">
        <v>450</v>
      </c>
      <c r="J15" s="119" t="s">
        <v>2828</v>
      </c>
      <c r="K15" s="123" t="s">
        <v>293</v>
      </c>
      <c r="L15" s="119" t="s">
        <v>498</v>
      </c>
      <c r="M15" s="119"/>
    </row>
    <row r="16">
      <c r="A16" s="119" t="s">
        <v>2859</v>
      </c>
      <c r="B16" s="119" t="s">
        <v>2848</v>
      </c>
      <c r="C16" s="119" t="s">
        <v>2820</v>
      </c>
      <c r="D16" s="119" t="s">
        <v>286</v>
      </c>
      <c r="E16" s="119" t="s">
        <v>285</v>
      </c>
      <c r="F16" s="119" t="s">
        <v>477</v>
      </c>
      <c r="G16" s="119" t="s">
        <v>2860</v>
      </c>
      <c r="H16" s="119" t="s">
        <v>2850</v>
      </c>
      <c r="I16" s="119" t="s">
        <v>478</v>
      </c>
      <c r="J16" s="119" t="s">
        <v>2828</v>
      </c>
      <c r="K16" s="123" t="s">
        <v>293</v>
      </c>
      <c r="L16" s="119" t="s">
        <v>315</v>
      </c>
      <c r="M16" s="119"/>
    </row>
    <row r="17">
      <c r="A17" s="119" t="s">
        <v>2861</v>
      </c>
      <c r="B17" s="119" t="s">
        <v>2848</v>
      </c>
      <c r="C17" s="119" t="s">
        <v>2820</v>
      </c>
      <c r="D17" s="119" t="s">
        <v>286</v>
      </c>
      <c r="E17" s="119" t="s">
        <v>285</v>
      </c>
      <c r="F17" s="119" t="s">
        <v>487</v>
      </c>
      <c r="G17" s="119" t="s">
        <v>2862</v>
      </c>
      <c r="H17" s="119" t="s">
        <v>2850</v>
      </c>
      <c r="I17" s="119" t="s">
        <v>488</v>
      </c>
      <c r="J17" s="119" t="s">
        <v>2828</v>
      </c>
      <c r="K17" s="123" t="s">
        <v>293</v>
      </c>
      <c r="L17" s="119" t="s">
        <v>1238</v>
      </c>
      <c r="M17" s="119"/>
    </row>
    <row r="18">
      <c r="A18" s="119" t="s">
        <v>2863</v>
      </c>
      <c r="B18" s="119" t="s">
        <v>2848</v>
      </c>
      <c r="C18" s="119" t="s">
        <v>2820</v>
      </c>
      <c r="D18" s="119" t="s">
        <v>286</v>
      </c>
      <c r="E18" s="119" t="s">
        <v>285</v>
      </c>
      <c r="F18" s="119" t="s">
        <v>492</v>
      </c>
      <c r="G18" s="119" t="s">
        <v>2864</v>
      </c>
      <c r="H18" s="119" t="s">
        <v>2850</v>
      </c>
      <c r="I18" s="119" t="s">
        <v>493</v>
      </c>
      <c r="J18" s="119" t="s">
        <v>2828</v>
      </c>
      <c r="K18" s="123" t="s">
        <v>293</v>
      </c>
      <c r="L18" s="119" t="s">
        <v>1238</v>
      </c>
      <c r="M18" s="119"/>
    </row>
    <row r="19">
      <c r="A19" s="119" t="s">
        <v>2865</v>
      </c>
      <c r="B19" s="119" t="s">
        <v>2848</v>
      </c>
      <c r="C19" s="119" t="s">
        <v>2820</v>
      </c>
      <c r="D19" s="119" t="s">
        <v>286</v>
      </c>
      <c r="E19" s="119" t="s">
        <v>285</v>
      </c>
      <c r="F19" s="119" t="s">
        <v>498</v>
      </c>
      <c r="G19" s="119" t="s">
        <v>2866</v>
      </c>
      <c r="H19" s="119" t="s">
        <v>2850</v>
      </c>
      <c r="I19" s="119" t="s">
        <v>499</v>
      </c>
      <c r="J19" s="119" t="s">
        <v>2828</v>
      </c>
      <c r="K19" s="123" t="s">
        <v>293</v>
      </c>
      <c r="L19" s="119" t="s">
        <v>365</v>
      </c>
      <c r="M19" s="119"/>
    </row>
    <row r="20">
      <c r="A20" s="119" t="s">
        <v>2867</v>
      </c>
      <c r="B20" s="119" t="s">
        <v>2848</v>
      </c>
      <c r="C20" s="119" t="s">
        <v>2820</v>
      </c>
      <c r="D20" s="119" t="s">
        <v>286</v>
      </c>
      <c r="E20" s="119" t="s">
        <v>285</v>
      </c>
      <c r="F20" s="119" t="s">
        <v>514</v>
      </c>
      <c r="G20" s="119" t="s">
        <v>2868</v>
      </c>
      <c r="H20" s="119" t="s">
        <v>2850</v>
      </c>
      <c r="I20" s="119" t="s">
        <v>515</v>
      </c>
      <c r="J20" s="119" t="s">
        <v>2828</v>
      </c>
      <c r="K20" s="123" t="s">
        <v>293</v>
      </c>
      <c r="L20" s="119" t="s">
        <v>887</v>
      </c>
      <c r="M20" s="119"/>
    </row>
    <row r="21">
      <c r="A21" s="119" t="s">
        <v>2869</v>
      </c>
      <c r="B21" s="119" t="s">
        <v>2848</v>
      </c>
      <c r="C21" s="119" t="s">
        <v>2820</v>
      </c>
      <c r="D21" s="119" t="s">
        <v>286</v>
      </c>
      <c r="E21" s="119" t="s">
        <v>285</v>
      </c>
      <c r="F21" s="119" t="s">
        <v>523</v>
      </c>
      <c r="G21" s="119" t="s">
        <v>2870</v>
      </c>
      <c r="H21" s="119" t="s">
        <v>2850</v>
      </c>
      <c r="I21" s="119" t="s">
        <v>524</v>
      </c>
      <c r="J21" s="119" t="s">
        <v>2828</v>
      </c>
      <c r="K21" s="123" t="s">
        <v>293</v>
      </c>
      <c r="L21" s="119" t="s">
        <v>1238</v>
      </c>
      <c r="M21" s="119"/>
    </row>
    <row r="22">
      <c r="A22" s="119" t="s">
        <v>2871</v>
      </c>
      <c r="B22" s="119" t="s">
        <v>2848</v>
      </c>
      <c r="C22" s="119" t="s">
        <v>2820</v>
      </c>
      <c r="D22" s="119" t="s">
        <v>286</v>
      </c>
      <c r="E22" s="119" t="s">
        <v>285</v>
      </c>
      <c r="F22" s="119" t="s">
        <v>529</v>
      </c>
      <c r="G22" s="119" t="s">
        <v>2872</v>
      </c>
      <c r="H22" s="119" t="s">
        <v>2850</v>
      </c>
      <c r="I22" s="119" t="s">
        <v>530</v>
      </c>
      <c r="J22" s="119" t="s">
        <v>2828</v>
      </c>
      <c r="K22" s="123" t="s">
        <v>293</v>
      </c>
      <c r="L22" s="119" t="s">
        <v>1238</v>
      </c>
      <c r="M22" s="119"/>
    </row>
    <row r="23">
      <c r="A23" s="119" t="s">
        <v>2873</v>
      </c>
      <c r="B23" s="119" t="s">
        <v>2848</v>
      </c>
      <c r="C23" s="119" t="s">
        <v>2820</v>
      </c>
      <c r="D23" s="119" t="s">
        <v>286</v>
      </c>
      <c r="E23" s="119" t="s">
        <v>285</v>
      </c>
      <c r="F23" s="119" t="s">
        <v>534</v>
      </c>
      <c r="G23" s="119" t="s">
        <v>2874</v>
      </c>
      <c r="H23" s="119" t="s">
        <v>2850</v>
      </c>
      <c r="I23" s="119" t="s">
        <v>535</v>
      </c>
      <c r="J23" s="119" t="s">
        <v>2828</v>
      </c>
      <c r="K23" s="123" t="s">
        <v>293</v>
      </c>
      <c r="L23" s="119" t="s">
        <v>1238</v>
      </c>
      <c r="M23" s="119"/>
    </row>
    <row r="24">
      <c r="A24" s="119" t="s">
        <v>2875</v>
      </c>
      <c r="B24" s="119" t="s">
        <v>2848</v>
      </c>
      <c r="C24" s="119" t="s">
        <v>2820</v>
      </c>
      <c r="D24" s="119" t="s">
        <v>286</v>
      </c>
      <c r="E24" s="119" t="s">
        <v>285</v>
      </c>
      <c r="F24" s="119" t="s">
        <v>541</v>
      </c>
      <c r="G24" s="119" t="s">
        <v>2876</v>
      </c>
      <c r="H24" s="119" t="s">
        <v>2850</v>
      </c>
      <c r="I24" s="119" t="s">
        <v>542</v>
      </c>
      <c r="J24" s="119" t="s">
        <v>2828</v>
      </c>
      <c r="K24" s="123" t="s">
        <v>293</v>
      </c>
      <c r="L24" s="119" t="s">
        <v>449</v>
      </c>
      <c r="M24" s="119"/>
    </row>
    <row r="25">
      <c r="A25" s="119" t="s">
        <v>2877</v>
      </c>
      <c r="B25" s="119" t="s">
        <v>2848</v>
      </c>
      <c r="C25" s="119" t="s">
        <v>2820</v>
      </c>
      <c r="D25" s="119" t="s">
        <v>286</v>
      </c>
      <c r="E25" s="119" t="s">
        <v>285</v>
      </c>
      <c r="F25" s="119" t="s">
        <v>562</v>
      </c>
      <c r="G25" s="119" t="s">
        <v>2878</v>
      </c>
      <c r="H25" s="119" t="s">
        <v>2850</v>
      </c>
      <c r="I25" s="119" t="s">
        <v>563</v>
      </c>
      <c r="J25" s="119" t="s">
        <v>2828</v>
      </c>
      <c r="K25" s="123" t="s">
        <v>293</v>
      </c>
      <c r="L25" s="119" t="s">
        <v>1238</v>
      </c>
      <c r="M25" s="119"/>
    </row>
    <row r="26">
      <c r="A26" s="119" t="s">
        <v>2879</v>
      </c>
      <c r="B26" s="119" t="s">
        <v>2848</v>
      </c>
      <c r="C26" s="119" t="s">
        <v>2820</v>
      </c>
      <c r="D26" s="119" t="s">
        <v>286</v>
      </c>
      <c r="E26" s="119" t="s">
        <v>285</v>
      </c>
      <c r="F26" s="119" t="s">
        <v>567</v>
      </c>
      <c r="G26" s="119" t="s">
        <v>2880</v>
      </c>
      <c r="H26" s="119" t="s">
        <v>2850</v>
      </c>
      <c r="I26" s="119" t="s">
        <v>568</v>
      </c>
      <c r="J26" s="119" t="s">
        <v>2828</v>
      </c>
      <c r="K26" s="123" t="s">
        <v>293</v>
      </c>
      <c r="L26" s="119" t="s">
        <v>373</v>
      </c>
      <c r="M26" s="119"/>
    </row>
    <row r="27">
      <c r="A27" s="119" t="s">
        <v>2881</v>
      </c>
      <c r="B27" s="119" t="s">
        <v>2848</v>
      </c>
      <c r="C27" s="119" t="s">
        <v>2820</v>
      </c>
      <c r="D27" s="119" t="s">
        <v>286</v>
      </c>
      <c r="E27" s="119" t="s">
        <v>285</v>
      </c>
      <c r="F27" s="119" t="s">
        <v>587</v>
      </c>
      <c r="G27" s="119" t="s">
        <v>288</v>
      </c>
      <c r="H27" s="119" t="s">
        <v>2850</v>
      </c>
      <c r="I27" s="119" t="s">
        <v>588</v>
      </c>
      <c r="J27" s="119" t="s">
        <v>2828</v>
      </c>
      <c r="K27" s="123" t="s">
        <v>293</v>
      </c>
      <c r="L27" s="119" t="s">
        <v>1238</v>
      </c>
      <c r="M27" s="119"/>
    </row>
    <row r="28">
      <c r="A28" s="119" t="s">
        <v>2882</v>
      </c>
      <c r="B28" s="119" t="s">
        <v>2848</v>
      </c>
      <c r="C28" s="119" t="s">
        <v>2820</v>
      </c>
      <c r="D28" s="119" t="s">
        <v>286</v>
      </c>
      <c r="E28" s="119" t="s">
        <v>285</v>
      </c>
      <c r="F28" s="119" t="s">
        <v>591</v>
      </c>
      <c r="G28" s="119" t="s">
        <v>2883</v>
      </c>
      <c r="H28" s="119" t="s">
        <v>2850</v>
      </c>
      <c r="I28" s="119" t="s">
        <v>592</v>
      </c>
      <c r="J28" s="119" t="s">
        <v>2828</v>
      </c>
      <c r="K28" s="123" t="s">
        <v>293</v>
      </c>
      <c r="L28" s="119" t="s">
        <v>487</v>
      </c>
      <c r="M28" s="119"/>
    </row>
    <row r="29">
      <c r="A29" s="119" t="s">
        <v>2884</v>
      </c>
      <c r="B29" s="119" t="s">
        <v>2848</v>
      </c>
      <c r="C29" s="119" t="s">
        <v>2820</v>
      </c>
      <c r="D29" s="119" t="s">
        <v>286</v>
      </c>
      <c r="E29" s="119" t="s">
        <v>285</v>
      </c>
      <c r="F29" s="119" t="s">
        <v>615</v>
      </c>
      <c r="G29" s="119" t="s">
        <v>2885</v>
      </c>
      <c r="H29" s="119" t="s">
        <v>2850</v>
      </c>
      <c r="I29" s="119" t="s">
        <v>616</v>
      </c>
      <c r="J29" s="119" t="s">
        <v>2828</v>
      </c>
      <c r="K29" s="123" t="s">
        <v>293</v>
      </c>
      <c r="L29" s="119" t="s">
        <v>2886</v>
      </c>
      <c r="M29" s="119"/>
    </row>
    <row r="30">
      <c r="A30" s="119" t="s">
        <v>2887</v>
      </c>
      <c r="B30" s="119" t="s">
        <v>2848</v>
      </c>
      <c r="C30" s="119" t="s">
        <v>2820</v>
      </c>
      <c r="D30" s="119" t="s">
        <v>286</v>
      </c>
      <c r="E30" s="119" t="s">
        <v>285</v>
      </c>
      <c r="F30" s="119" t="s">
        <v>706</v>
      </c>
      <c r="G30" s="119" t="s">
        <v>2888</v>
      </c>
      <c r="H30" s="119" t="s">
        <v>2850</v>
      </c>
      <c r="I30" s="119" t="s">
        <v>707</v>
      </c>
      <c r="J30" s="119" t="s">
        <v>2828</v>
      </c>
      <c r="K30" s="123" t="s">
        <v>293</v>
      </c>
      <c r="L30" s="119" t="s">
        <v>2889</v>
      </c>
      <c r="M30" s="119"/>
    </row>
    <row r="31">
      <c r="A31" s="119" t="s">
        <v>2890</v>
      </c>
      <c r="B31" s="119" t="s">
        <v>2848</v>
      </c>
      <c r="C31" s="119" t="s">
        <v>2820</v>
      </c>
      <c r="D31" s="119" t="s">
        <v>286</v>
      </c>
      <c r="E31" s="119" t="s">
        <v>285</v>
      </c>
      <c r="F31" s="119" t="s">
        <v>768</v>
      </c>
      <c r="G31" s="119" t="s">
        <v>288</v>
      </c>
      <c r="H31" s="119" t="s">
        <v>2850</v>
      </c>
      <c r="I31" s="119" t="s">
        <v>769</v>
      </c>
      <c r="J31" s="119" t="s">
        <v>2828</v>
      </c>
      <c r="K31" s="123" t="s">
        <v>293</v>
      </c>
      <c r="L31" s="119" t="s">
        <v>2891</v>
      </c>
      <c r="M31" s="119"/>
    </row>
    <row r="32">
      <c r="A32" s="119" t="s">
        <v>2892</v>
      </c>
      <c r="B32" s="119" t="s">
        <v>2848</v>
      </c>
      <c r="C32" s="119" t="s">
        <v>2820</v>
      </c>
      <c r="D32" s="119" t="s">
        <v>286</v>
      </c>
      <c r="E32" s="119" t="s">
        <v>285</v>
      </c>
      <c r="F32" s="119" t="s">
        <v>845</v>
      </c>
      <c r="G32" s="119" t="s">
        <v>288</v>
      </c>
      <c r="H32" s="119" t="s">
        <v>2850</v>
      </c>
      <c r="I32" s="119" t="s">
        <v>846</v>
      </c>
      <c r="J32" s="119" t="s">
        <v>2828</v>
      </c>
      <c r="K32" s="123" t="s">
        <v>293</v>
      </c>
      <c r="L32" s="119" t="s">
        <v>887</v>
      </c>
      <c r="M32" s="119"/>
    </row>
    <row r="33">
      <c r="A33" s="119" t="s">
        <v>2893</v>
      </c>
      <c r="B33" s="119" t="s">
        <v>2848</v>
      </c>
      <c r="C33" s="119" t="s">
        <v>2820</v>
      </c>
      <c r="D33" s="119" t="s">
        <v>286</v>
      </c>
      <c r="E33" s="119" t="s">
        <v>285</v>
      </c>
      <c r="F33" s="119" t="s">
        <v>852</v>
      </c>
      <c r="G33" s="119" t="s">
        <v>288</v>
      </c>
      <c r="H33" s="119" t="s">
        <v>2850</v>
      </c>
      <c r="I33" s="119" t="s">
        <v>853</v>
      </c>
      <c r="J33" s="119" t="s">
        <v>2828</v>
      </c>
      <c r="K33" s="123" t="s">
        <v>293</v>
      </c>
      <c r="L33" s="119" t="s">
        <v>365</v>
      </c>
      <c r="M33" s="119"/>
    </row>
    <row r="34">
      <c r="A34" s="119" t="s">
        <v>2894</v>
      </c>
      <c r="B34" s="119" t="s">
        <v>2848</v>
      </c>
      <c r="C34" s="119" t="s">
        <v>2820</v>
      </c>
      <c r="D34" s="119" t="s">
        <v>286</v>
      </c>
      <c r="E34" s="119" t="s">
        <v>285</v>
      </c>
      <c r="F34" s="119" t="s">
        <v>866</v>
      </c>
      <c r="G34" s="119" t="s">
        <v>2895</v>
      </c>
      <c r="H34" s="119" t="s">
        <v>2850</v>
      </c>
      <c r="I34" s="119" t="s">
        <v>867</v>
      </c>
      <c r="J34" s="119" t="s">
        <v>2828</v>
      </c>
      <c r="K34" s="123" t="s">
        <v>293</v>
      </c>
      <c r="L34" s="119" t="s">
        <v>1238</v>
      </c>
      <c r="M34" s="119"/>
    </row>
    <row r="35">
      <c r="A35" s="119" t="s">
        <v>2896</v>
      </c>
      <c r="B35" s="119" t="s">
        <v>2848</v>
      </c>
      <c r="C35" s="119" t="s">
        <v>2820</v>
      </c>
      <c r="D35" s="119" t="s">
        <v>286</v>
      </c>
      <c r="E35" s="119" t="s">
        <v>285</v>
      </c>
      <c r="F35" s="119" t="s">
        <v>872</v>
      </c>
      <c r="G35" s="119" t="s">
        <v>2897</v>
      </c>
      <c r="H35" s="119" t="s">
        <v>2850</v>
      </c>
      <c r="I35" s="119" t="s">
        <v>873</v>
      </c>
      <c r="J35" s="119" t="s">
        <v>2828</v>
      </c>
      <c r="K35" s="123" t="s">
        <v>293</v>
      </c>
      <c r="L35" s="119" t="s">
        <v>323</v>
      </c>
      <c r="M35" s="119"/>
    </row>
    <row r="36">
      <c r="A36" s="119" t="s">
        <v>2898</v>
      </c>
      <c r="B36" s="119" t="s">
        <v>2848</v>
      </c>
      <c r="C36" s="119" t="s">
        <v>2820</v>
      </c>
      <c r="D36" s="119" t="s">
        <v>286</v>
      </c>
      <c r="E36" s="119" t="s">
        <v>285</v>
      </c>
      <c r="F36" s="119" t="s">
        <v>289</v>
      </c>
      <c r="G36" s="119" t="s">
        <v>2899</v>
      </c>
      <c r="H36" s="119" t="s">
        <v>2850</v>
      </c>
      <c r="I36" s="119" t="s">
        <v>290</v>
      </c>
      <c r="J36" s="119" t="s">
        <v>2828</v>
      </c>
      <c r="K36" s="123" t="s">
        <v>293</v>
      </c>
      <c r="L36" s="119" t="s">
        <v>492</v>
      </c>
      <c r="M36" s="119"/>
    </row>
    <row r="37">
      <c r="A37" s="119" t="s">
        <v>2900</v>
      </c>
      <c r="B37" s="119" t="s">
        <v>2848</v>
      </c>
      <c r="C37" s="119" t="s">
        <v>2820</v>
      </c>
      <c r="D37" s="119" t="s">
        <v>286</v>
      </c>
      <c r="E37" s="119" t="s">
        <v>285</v>
      </c>
      <c r="F37" s="119" t="s">
        <v>315</v>
      </c>
      <c r="G37" s="119" t="s">
        <v>2901</v>
      </c>
      <c r="H37" s="119" t="s">
        <v>2850</v>
      </c>
      <c r="I37" s="119" t="s">
        <v>316</v>
      </c>
      <c r="J37" s="119" t="s">
        <v>2828</v>
      </c>
      <c r="K37" s="123" t="s">
        <v>293</v>
      </c>
      <c r="L37" s="119" t="s">
        <v>887</v>
      </c>
      <c r="M37" s="119"/>
    </row>
    <row r="38">
      <c r="A38" s="119" t="s">
        <v>2902</v>
      </c>
      <c r="B38" s="119" t="s">
        <v>2848</v>
      </c>
      <c r="C38" s="119" t="s">
        <v>2820</v>
      </c>
      <c r="D38" s="119" t="s">
        <v>286</v>
      </c>
      <c r="E38" s="119" t="s">
        <v>285</v>
      </c>
      <c r="F38" s="119" t="s">
        <v>323</v>
      </c>
      <c r="G38" s="119" t="s">
        <v>2903</v>
      </c>
      <c r="H38" s="119" t="s">
        <v>2850</v>
      </c>
      <c r="I38" s="119" t="s">
        <v>324</v>
      </c>
      <c r="J38" s="119" t="s">
        <v>2828</v>
      </c>
      <c r="K38" s="123" t="s">
        <v>293</v>
      </c>
      <c r="L38" s="119" t="s">
        <v>973</v>
      </c>
      <c r="M38" s="119"/>
    </row>
    <row r="39">
      <c r="A39" s="119" t="s">
        <v>2904</v>
      </c>
      <c r="B39" s="119" t="s">
        <v>2848</v>
      </c>
      <c r="C39" s="119" t="s">
        <v>2820</v>
      </c>
      <c r="D39" s="119" t="s">
        <v>885</v>
      </c>
      <c r="E39" s="119" t="s">
        <v>884</v>
      </c>
      <c r="F39" s="119" t="s">
        <v>373</v>
      </c>
      <c r="G39" s="119" t="s">
        <v>2905</v>
      </c>
      <c r="H39" s="119" t="s">
        <v>2850</v>
      </c>
      <c r="I39" s="119" t="s">
        <v>374</v>
      </c>
      <c r="J39" s="119" t="s">
        <v>2832</v>
      </c>
      <c r="K39" s="123" t="s">
        <v>293</v>
      </c>
      <c r="L39" s="119" t="s">
        <v>487</v>
      </c>
      <c r="M39" s="119"/>
    </row>
    <row r="40">
      <c r="A40" s="119" t="s">
        <v>2906</v>
      </c>
      <c r="B40" s="119" t="s">
        <v>2848</v>
      </c>
      <c r="C40" s="119" t="s">
        <v>2820</v>
      </c>
      <c r="D40" s="119" t="s">
        <v>885</v>
      </c>
      <c r="E40" s="119" t="s">
        <v>884</v>
      </c>
      <c r="F40" s="119" t="s">
        <v>398</v>
      </c>
      <c r="G40" s="119" t="s">
        <v>2907</v>
      </c>
      <c r="H40" s="119" t="s">
        <v>2850</v>
      </c>
      <c r="I40" s="119" t="s">
        <v>399</v>
      </c>
      <c r="J40" s="119" t="s">
        <v>2832</v>
      </c>
      <c r="K40" s="123" t="s">
        <v>293</v>
      </c>
      <c r="L40" s="119" t="s">
        <v>866</v>
      </c>
      <c r="M40" s="119"/>
    </row>
    <row r="41">
      <c r="A41" s="119" t="s">
        <v>2908</v>
      </c>
      <c r="B41" s="119" t="s">
        <v>2848</v>
      </c>
      <c r="C41" s="119" t="s">
        <v>2820</v>
      </c>
      <c r="D41" s="119" t="s">
        <v>885</v>
      </c>
      <c r="E41" s="119" t="s">
        <v>884</v>
      </c>
      <c r="F41" s="119" t="s">
        <v>449</v>
      </c>
      <c r="G41" s="119" t="s">
        <v>2909</v>
      </c>
      <c r="H41" s="119" t="s">
        <v>2850</v>
      </c>
      <c r="I41" s="119" t="s">
        <v>450</v>
      </c>
      <c r="J41" s="119" t="s">
        <v>2832</v>
      </c>
      <c r="K41" s="123" t="s">
        <v>293</v>
      </c>
      <c r="L41" s="119" t="s">
        <v>492</v>
      </c>
      <c r="M41" s="119"/>
    </row>
    <row r="42">
      <c r="A42" s="119" t="s">
        <v>2910</v>
      </c>
      <c r="B42" s="119" t="s">
        <v>2848</v>
      </c>
      <c r="C42" s="119" t="s">
        <v>2820</v>
      </c>
      <c r="D42" s="119" t="s">
        <v>885</v>
      </c>
      <c r="E42" s="119" t="s">
        <v>884</v>
      </c>
      <c r="F42" s="119" t="s">
        <v>477</v>
      </c>
      <c r="G42" s="119" t="s">
        <v>2911</v>
      </c>
      <c r="H42" s="119" t="s">
        <v>2850</v>
      </c>
      <c r="I42" s="119" t="s">
        <v>478</v>
      </c>
      <c r="J42" s="119" t="s">
        <v>2832</v>
      </c>
      <c r="K42" s="123" t="s">
        <v>293</v>
      </c>
      <c r="L42" s="119" t="s">
        <v>315</v>
      </c>
      <c r="M42" s="119"/>
    </row>
    <row r="43">
      <c r="A43" s="119" t="s">
        <v>2912</v>
      </c>
      <c r="B43" s="119" t="s">
        <v>2848</v>
      </c>
      <c r="C43" s="119" t="s">
        <v>2820</v>
      </c>
      <c r="D43" s="119" t="s">
        <v>885</v>
      </c>
      <c r="E43" s="119" t="s">
        <v>884</v>
      </c>
      <c r="F43" s="119" t="s">
        <v>487</v>
      </c>
      <c r="G43" s="119" t="s">
        <v>2913</v>
      </c>
      <c r="H43" s="119" t="s">
        <v>2850</v>
      </c>
      <c r="I43" s="119" t="s">
        <v>488</v>
      </c>
      <c r="J43" s="119" t="s">
        <v>2832</v>
      </c>
      <c r="K43" s="123" t="s">
        <v>293</v>
      </c>
      <c r="L43" s="119" t="s">
        <v>1238</v>
      </c>
      <c r="M43" s="119"/>
    </row>
    <row r="44">
      <c r="A44" s="119" t="s">
        <v>2914</v>
      </c>
      <c r="B44" s="119" t="s">
        <v>2848</v>
      </c>
      <c r="C44" s="119" t="s">
        <v>2820</v>
      </c>
      <c r="D44" s="119" t="s">
        <v>885</v>
      </c>
      <c r="E44" s="119" t="s">
        <v>884</v>
      </c>
      <c r="F44" s="119" t="s">
        <v>492</v>
      </c>
      <c r="G44" s="119" t="s">
        <v>2915</v>
      </c>
      <c r="H44" s="119" t="s">
        <v>2850</v>
      </c>
      <c r="I44" s="119" t="s">
        <v>493</v>
      </c>
      <c r="J44" s="119" t="s">
        <v>2832</v>
      </c>
      <c r="K44" s="123" t="s">
        <v>293</v>
      </c>
      <c r="L44" s="119" t="s">
        <v>1238</v>
      </c>
      <c r="M44" s="119"/>
    </row>
    <row r="45">
      <c r="A45" s="119" t="s">
        <v>2916</v>
      </c>
      <c r="B45" s="119" t="s">
        <v>2848</v>
      </c>
      <c r="C45" s="119" t="s">
        <v>2820</v>
      </c>
      <c r="D45" s="119" t="s">
        <v>885</v>
      </c>
      <c r="E45" s="119" t="s">
        <v>884</v>
      </c>
      <c r="F45" s="119" t="s">
        <v>498</v>
      </c>
      <c r="G45" s="119" t="s">
        <v>2868</v>
      </c>
      <c r="H45" s="119" t="s">
        <v>2850</v>
      </c>
      <c r="I45" s="119" t="s">
        <v>499</v>
      </c>
      <c r="J45" s="119" t="s">
        <v>2832</v>
      </c>
      <c r="K45" s="123" t="s">
        <v>293</v>
      </c>
      <c r="L45" s="119" t="s">
        <v>365</v>
      </c>
      <c r="M45" s="119"/>
    </row>
    <row r="46">
      <c r="A46" s="119" t="s">
        <v>2917</v>
      </c>
      <c r="B46" s="119" t="s">
        <v>2848</v>
      </c>
      <c r="C46" s="119" t="s">
        <v>2820</v>
      </c>
      <c r="D46" s="119" t="s">
        <v>885</v>
      </c>
      <c r="E46" s="119" t="s">
        <v>884</v>
      </c>
      <c r="F46" s="119" t="s">
        <v>514</v>
      </c>
      <c r="G46" s="119" t="s">
        <v>2918</v>
      </c>
      <c r="H46" s="119" t="s">
        <v>2850</v>
      </c>
      <c r="I46" s="119" t="s">
        <v>515</v>
      </c>
      <c r="J46" s="119" t="s">
        <v>2832</v>
      </c>
      <c r="K46" s="123" t="s">
        <v>293</v>
      </c>
      <c r="L46" s="119" t="s">
        <v>323</v>
      </c>
      <c r="M46" s="119"/>
    </row>
    <row r="47">
      <c r="A47" s="119" t="s">
        <v>2919</v>
      </c>
      <c r="B47" s="119" t="s">
        <v>2848</v>
      </c>
      <c r="C47" s="119" t="s">
        <v>2820</v>
      </c>
      <c r="D47" s="119" t="s">
        <v>885</v>
      </c>
      <c r="E47" s="119" t="s">
        <v>884</v>
      </c>
      <c r="F47" s="119" t="s">
        <v>529</v>
      </c>
      <c r="G47" s="119" t="s">
        <v>2920</v>
      </c>
      <c r="H47" s="119" t="s">
        <v>2850</v>
      </c>
      <c r="I47" s="119" t="s">
        <v>530</v>
      </c>
      <c r="J47" s="119" t="s">
        <v>2832</v>
      </c>
      <c r="K47" s="123" t="s">
        <v>293</v>
      </c>
      <c r="L47" s="119" t="s">
        <v>1238</v>
      </c>
      <c r="M47" s="119"/>
    </row>
    <row r="48">
      <c r="A48" s="119" t="s">
        <v>2921</v>
      </c>
      <c r="B48" s="119" t="s">
        <v>2848</v>
      </c>
      <c r="C48" s="119" t="s">
        <v>2820</v>
      </c>
      <c r="D48" s="119" t="s">
        <v>885</v>
      </c>
      <c r="E48" s="119" t="s">
        <v>884</v>
      </c>
      <c r="F48" s="119" t="s">
        <v>534</v>
      </c>
      <c r="G48" s="119" t="s">
        <v>2922</v>
      </c>
      <c r="H48" s="119" t="s">
        <v>2850</v>
      </c>
      <c r="I48" s="119" t="s">
        <v>535</v>
      </c>
      <c r="J48" s="119" t="s">
        <v>2832</v>
      </c>
      <c r="K48" s="123" t="s">
        <v>293</v>
      </c>
      <c r="L48" s="119" t="s">
        <v>1238</v>
      </c>
      <c r="M48" s="119"/>
    </row>
    <row r="49">
      <c r="A49" s="119" t="s">
        <v>2923</v>
      </c>
      <c r="B49" s="119" t="s">
        <v>2848</v>
      </c>
      <c r="C49" s="119" t="s">
        <v>2820</v>
      </c>
      <c r="D49" s="119" t="s">
        <v>885</v>
      </c>
      <c r="E49" s="119" t="s">
        <v>884</v>
      </c>
      <c r="F49" s="119" t="s">
        <v>541</v>
      </c>
      <c r="G49" s="119" t="s">
        <v>2924</v>
      </c>
      <c r="H49" s="119" t="s">
        <v>2850</v>
      </c>
      <c r="I49" s="119" t="s">
        <v>542</v>
      </c>
      <c r="J49" s="119" t="s">
        <v>2832</v>
      </c>
      <c r="K49" s="123" t="s">
        <v>293</v>
      </c>
      <c r="L49" s="119" t="s">
        <v>487</v>
      </c>
      <c r="M49" s="119"/>
    </row>
    <row r="50">
      <c r="A50" s="119" t="s">
        <v>2925</v>
      </c>
      <c r="B50" s="119" t="s">
        <v>2848</v>
      </c>
      <c r="C50" s="119" t="s">
        <v>2820</v>
      </c>
      <c r="D50" s="119" t="s">
        <v>885</v>
      </c>
      <c r="E50" s="119" t="s">
        <v>884</v>
      </c>
      <c r="F50" s="119" t="s">
        <v>562</v>
      </c>
      <c r="G50" s="119" t="s">
        <v>2926</v>
      </c>
      <c r="H50" s="119" t="s">
        <v>2850</v>
      </c>
      <c r="I50" s="119" t="s">
        <v>563</v>
      </c>
      <c r="J50" s="119" t="s">
        <v>2832</v>
      </c>
      <c r="K50" s="123" t="s">
        <v>293</v>
      </c>
      <c r="L50" s="119" t="s">
        <v>1238</v>
      </c>
      <c r="M50" s="119"/>
    </row>
    <row r="51">
      <c r="A51" s="119" t="s">
        <v>2927</v>
      </c>
      <c r="B51" s="119" t="s">
        <v>2848</v>
      </c>
      <c r="C51" s="119" t="s">
        <v>2820</v>
      </c>
      <c r="D51" s="119" t="s">
        <v>885</v>
      </c>
      <c r="E51" s="119" t="s">
        <v>884</v>
      </c>
      <c r="F51" s="119" t="s">
        <v>567</v>
      </c>
      <c r="G51" s="119" t="s">
        <v>2928</v>
      </c>
      <c r="H51" s="119" t="s">
        <v>2850</v>
      </c>
      <c r="I51" s="119" t="s">
        <v>568</v>
      </c>
      <c r="J51" s="119" t="s">
        <v>2832</v>
      </c>
      <c r="K51" s="123" t="s">
        <v>293</v>
      </c>
      <c r="L51" s="119" t="s">
        <v>378</v>
      </c>
      <c r="M51" s="119"/>
    </row>
    <row r="52">
      <c r="A52" s="119" t="s">
        <v>2929</v>
      </c>
      <c r="B52" s="119" t="s">
        <v>2848</v>
      </c>
      <c r="C52" s="119" t="s">
        <v>2820</v>
      </c>
      <c r="D52" s="119" t="s">
        <v>885</v>
      </c>
      <c r="E52" s="119" t="s">
        <v>884</v>
      </c>
      <c r="F52" s="119" t="s">
        <v>587</v>
      </c>
      <c r="G52" s="119" t="s">
        <v>288</v>
      </c>
      <c r="H52" s="119" t="s">
        <v>2850</v>
      </c>
      <c r="I52" s="119" t="s">
        <v>588</v>
      </c>
      <c r="J52" s="119" t="s">
        <v>2832</v>
      </c>
      <c r="K52" s="123" t="s">
        <v>293</v>
      </c>
      <c r="L52" s="119" t="s">
        <v>1238</v>
      </c>
      <c r="M52" s="119"/>
    </row>
    <row r="53">
      <c r="A53" s="119" t="s">
        <v>2930</v>
      </c>
      <c r="B53" s="119" t="s">
        <v>2848</v>
      </c>
      <c r="C53" s="119" t="s">
        <v>2820</v>
      </c>
      <c r="D53" s="119" t="s">
        <v>885</v>
      </c>
      <c r="E53" s="119" t="s">
        <v>884</v>
      </c>
      <c r="F53" s="119" t="s">
        <v>591</v>
      </c>
      <c r="G53" s="119" t="s">
        <v>2931</v>
      </c>
      <c r="H53" s="119" t="s">
        <v>2850</v>
      </c>
      <c r="I53" s="119" t="s">
        <v>592</v>
      </c>
      <c r="J53" s="119" t="s">
        <v>2832</v>
      </c>
      <c r="K53" s="123" t="s">
        <v>293</v>
      </c>
      <c r="L53" s="119" t="s">
        <v>289</v>
      </c>
      <c r="M53" s="119"/>
    </row>
    <row r="54">
      <c r="A54" s="119" t="s">
        <v>2932</v>
      </c>
      <c r="B54" s="119" t="s">
        <v>2848</v>
      </c>
      <c r="C54" s="119" t="s">
        <v>2820</v>
      </c>
      <c r="D54" s="119" t="s">
        <v>885</v>
      </c>
      <c r="E54" s="119" t="s">
        <v>884</v>
      </c>
      <c r="F54" s="119" t="s">
        <v>973</v>
      </c>
      <c r="G54" s="119" t="s">
        <v>2933</v>
      </c>
      <c r="H54" s="119" t="s">
        <v>2850</v>
      </c>
      <c r="I54" s="119" t="s">
        <v>974</v>
      </c>
      <c r="J54" s="119" t="s">
        <v>2832</v>
      </c>
      <c r="K54" s="123" t="s">
        <v>293</v>
      </c>
      <c r="L54" s="119" t="s">
        <v>289</v>
      </c>
      <c r="M54" s="119"/>
    </row>
    <row r="55">
      <c r="A55" s="119" t="s">
        <v>2934</v>
      </c>
      <c r="B55" s="119" t="s">
        <v>2848</v>
      </c>
      <c r="C55" s="119" t="s">
        <v>2820</v>
      </c>
      <c r="D55" s="119" t="s">
        <v>885</v>
      </c>
      <c r="E55" s="119" t="s">
        <v>884</v>
      </c>
      <c r="F55" s="119" t="s">
        <v>615</v>
      </c>
      <c r="G55" s="119" t="s">
        <v>2935</v>
      </c>
      <c r="H55" s="119" t="s">
        <v>2850</v>
      </c>
      <c r="I55" s="119" t="s">
        <v>616</v>
      </c>
      <c r="J55" s="119" t="s">
        <v>2832</v>
      </c>
      <c r="K55" s="123" t="s">
        <v>293</v>
      </c>
      <c r="L55" s="119" t="s">
        <v>2936</v>
      </c>
      <c r="M55" s="119"/>
    </row>
    <row r="56">
      <c r="A56" s="119" t="s">
        <v>2937</v>
      </c>
      <c r="B56" s="119" t="s">
        <v>2848</v>
      </c>
      <c r="C56" s="119" t="s">
        <v>2820</v>
      </c>
      <c r="D56" s="119" t="s">
        <v>885</v>
      </c>
      <c r="E56" s="119" t="s">
        <v>884</v>
      </c>
      <c r="F56" s="119" t="s">
        <v>887</v>
      </c>
      <c r="G56" s="119" t="s">
        <v>2938</v>
      </c>
      <c r="H56" s="119" t="s">
        <v>2850</v>
      </c>
      <c r="I56" s="119" t="s">
        <v>888</v>
      </c>
      <c r="J56" s="119" t="s">
        <v>2832</v>
      </c>
      <c r="K56" s="123" t="s">
        <v>293</v>
      </c>
      <c r="L56" s="119" t="s">
        <v>514</v>
      </c>
      <c r="M56" s="119"/>
    </row>
    <row r="57">
      <c r="A57" s="119" t="s">
        <v>2939</v>
      </c>
      <c r="B57" s="119" t="s">
        <v>2848</v>
      </c>
      <c r="C57" s="119" t="s">
        <v>2820</v>
      </c>
      <c r="D57" s="119" t="s">
        <v>885</v>
      </c>
      <c r="E57" s="119" t="s">
        <v>884</v>
      </c>
      <c r="F57" s="119" t="s">
        <v>315</v>
      </c>
      <c r="G57" s="119" t="s">
        <v>2901</v>
      </c>
      <c r="H57" s="119" t="s">
        <v>2850</v>
      </c>
      <c r="I57" s="119" t="s">
        <v>912</v>
      </c>
      <c r="J57" s="119" t="s">
        <v>2832</v>
      </c>
      <c r="K57" s="123" t="s">
        <v>293</v>
      </c>
      <c r="L57" s="119" t="s">
        <v>887</v>
      </c>
      <c r="M57" s="119"/>
    </row>
    <row r="58">
      <c r="A58" s="119" t="s">
        <v>2940</v>
      </c>
      <c r="B58" s="119" t="s">
        <v>2848</v>
      </c>
      <c r="C58" s="119" t="s">
        <v>2820</v>
      </c>
      <c r="D58" s="119" t="s">
        <v>885</v>
      </c>
      <c r="E58" s="119" t="s">
        <v>884</v>
      </c>
      <c r="F58" s="119" t="s">
        <v>323</v>
      </c>
      <c r="G58" s="119" t="s">
        <v>2941</v>
      </c>
      <c r="H58" s="119" t="s">
        <v>2850</v>
      </c>
      <c r="I58" s="119" t="s">
        <v>324</v>
      </c>
      <c r="J58" s="119" t="s">
        <v>2832</v>
      </c>
      <c r="K58" s="123" t="s">
        <v>293</v>
      </c>
      <c r="L58" s="119" t="s">
        <v>289</v>
      </c>
      <c r="M58" s="119"/>
    </row>
    <row r="59">
      <c r="A59" s="119" t="s">
        <v>2942</v>
      </c>
      <c r="B59" s="119" t="s">
        <v>2848</v>
      </c>
      <c r="C59" s="119" t="s">
        <v>2820</v>
      </c>
      <c r="D59" s="119" t="s">
        <v>885</v>
      </c>
      <c r="E59" s="119" t="s">
        <v>884</v>
      </c>
      <c r="F59" s="119" t="s">
        <v>915</v>
      </c>
      <c r="G59" s="119" t="s">
        <v>2943</v>
      </c>
      <c r="H59" s="119" t="s">
        <v>2850</v>
      </c>
      <c r="I59" s="119" t="s">
        <v>916</v>
      </c>
      <c r="J59" s="119" t="s">
        <v>2832</v>
      </c>
      <c r="K59" s="123" t="s">
        <v>293</v>
      </c>
      <c r="L59" s="119" t="s">
        <v>365</v>
      </c>
      <c r="M59" s="119"/>
    </row>
    <row r="60">
      <c r="A60" s="119" t="s">
        <v>2944</v>
      </c>
      <c r="B60" s="119" t="s">
        <v>2848</v>
      </c>
      <c r="C60" s="119" t="s">
        <v>2820</v>
      </c>
      <c r="D60" s="119" t="s">
        <v>885</v>
      </c>
      <c r="E60" s="119" t="s">
        <v>884</v>
      </c>
      <c r="F60" s="119" t="s">
        <v>921</v>
      </c>
      <c r="G60" s="119" t="s">
        <v>2945</v>
      </c>
      <c r="H60" s="119" t="s">
        <v>2850</v>
      </c>
      <c r="I60" s="119" t="s">
        <v>922</v>
      </c>
      <c r="J60" s="119" t="s">
        <v>2832</v>
      </c>
      <c r="K60" s="123" t="s">
        <v>293</v>
      </c>
      <c r="L60" s="119" t="s">
        <v>514</v>
      </c>
      <c r="M60" s="119"/>
    </row>
    <row r="61">
      <c r="A61" s="119" t="s">
        <v>2946</v>
      </c>
      <c r="B61" s="119" t="s">
        <v>2848</v>
      </c>
      <c r="C61" s="119" t="s">
        <v>2820</v>
      </c>
      <c r="D61" s="119" t="s">
        <v>1069</v>
      </c>
      <c r="E61" s="119" t="s">
        <v>1068</v>
      </c>
      <c r="F61" s="119" t="s">
        <v>373</v>
      </c>
      <c r="G61" s="119" t="s">
        <v>2947</v>
      </c>
      <c r="H61" s="119" t="s">
        <v>2850</v>
      </c>
      <c r="I61" s="119" t="s">
        <v>374</v>
      </c>
      <c r="J61" s="119" t="s">
        <v>2836</v>
      </c>
      <c r="K61" s="123" t="s">
        <v>293</v>
      </c>
      <c r="L61" s="119" t="s">
        <v>449</v>
      </c>
      <c r="M61" s="119"/>
    </row>
    <row r="62">
      <c r="A62" s="119" t="s">
        <v>2948</v>
      </c>
      <c r="B62" s="119" t="s">
        <v>2848</v>
      </c>
      <c r="C62" s="119" t="s">
        <v>2820</v>
      </c>
      <c r="D62" s="119" t="s">
        <v>1069</v>
      </c>
      <c r="E62" s="119" t="s">
        <v>1068</v>
      </c>
      <c r="F62" s="119" t="s">
        <v>398</v>
      </c>
      <c r="G62" s="119" t="s">
        <v>2949</v>
      </c>
      <c r="H62" s="119" t="s">
        <v>2850</v>
      </c>
      <c r="I62" s="119" t="s">
        <v>399</v>
      </c>
      <c r="J62" s="119" t="s">
        <v>2836</v>
      </c>
      <c r="K62" s="123" t="s">
        <v>293</v>
      </c>
      <c r="L62" s="119" t="s">
        <v>866</v>
      </c>
      <c r="M62" s="119"/>
    </row>
    <row r="63">
      <c r="A63" s="119" t="s">
        <v>2950</v>
      </c>
      <c r="B63" s="119" t="s">
        <v>2848</v>
      </c>
      <c r="C63" s="119" t="s">
        <v>2820</v>
      </c>
      <c r="D63" s="119" t="s">
        <v>1069</v>
      </c>
      <c r="E63" s="119" t="s">
        <v>1068</v>
      </c>
      <c r="F63" s="119" t="s">
        <v>449</v>
      </c>
      <c r="G63" s="119" t="s">
        <v>2951</v>
      </c>
      <c r="H63" s="119" t="s">
        <v>2850</v>
      </c>
      <c r="I63" s="119" t="s">
        <v>450</v>
      </c>
      <c r="J63" s="119" t="s">
        <v>2836</v>
      </c>
      <c r="K63" s="123" t="s">
        <v>293</v>
      </c>
      <c r="L63" s="119" t="s">
        <v>487</v>
      </c>
      <c r="M63" s="119"/>
    </row>
    <row r="64">
      <c r="A64" s="119" t="s">
        <v>2952</v>
      </c>
      <c r="B64" s="119" t="s">
        <v>2848</v>
      </c>
      <c r="C64" s="119" t="s">
        <v>2820</v>
      </c>
      <c r="D64" s="119" t="s">
        <v>1069</v>
      </c>
      <c r="E64" s="119" t="s">
        <v>1068</v>
      </c>
      <c r="F64" s="119" t="s">
        <v>477</v>
      </c>
      <c r="G64" s="119" t="s">
        <v>2953</v>
      </c>
      <c r="H64" s="119" t="s">
        <v>2850</v>
      </c>
      <c r="I64" s="119" t="s">
        <v>478</v>
      </c>
      <c r="J64" s="119" t="s">
        <v>2836</v>
      </c>
      <c r="K64" s="123" t="s">
        <v>293</v>
      </c>
      <c r="L64" s="119" t="s">
        <v>315</v>
      </c>
      <c r="M64" s="119"/>
    </row>
    <row r="65">
      <c r="A65" s="119" t="s">
        <v>2954</v>
      </c>
      <c r="B65" s="119" t="s">
        <v>2848</v>
      </c>
      <c r="C65" s="119" t="s">
        <v>2820</v>
      </c>
      <c r="D65" s="119" t="s">
        <v>1069</v>
      </c>
      <c r="E65" s="119" t="s">
        <v>1068</v>
      </c>
      <c r="F65" s="119" t="s">
        <v>487</v>
      </c>
      <c r="G65" s="119" t="s">
        <v>2915</v>
      </c>
      <c r="H65" s="119" t="s">
        <v>2850</v>
      </c>
      <c r="I65" s="119" t="s">
        <v>488</v>
      </c>
      <c r="J65" s="119" t="s">
        <v>2836</v>
      </c>
      <c r="K65" s="123" t="s">
        <v>293</v>
      </c>
      <c r="L65" s="119" t="s">
        <v>1238</v>
      </c>
      <c r="M65" s="119"/>
    </row>
    <row r="66">
      <c r="A66" s="119" t="s">
        <v>2955</v>
      </c>
      <c r="B66" s="119" t="s">
        <v>2848</v>
      </c>
      <c r="C66" s="119" t="s">
        <v>2820</v>
      </c>
      <c r="D66" s="119" t="s">
        <v>1069</v>
      </c>
      <c r="E66" s="119" t="s">
        <v>1068</v>
      </c>
      <c r="F66" s="119" t="s">
        <v>492</v>
      </c>
      <c r="G66" s="119" t="s">
        <v>2956</v>
      </c>
      <c r="H66" s="119" t="s">
        <v>2850</v>
      </c>
      <c r="I66" s="119" t="s">
        <v>493</v>
      </c>
      <c r="J66" s="119" t="s">
        <v>2836</v>
      </c>
      <c r="K66" s="123" t="s">
        <v>293</v>
      </c>
      <c r="L66" s="119" t="s">
        <v>1238</v>
      </c>
      <c r="M66" s="119"/>
    </row>
    <row r="67">
      <c r="A67" s="119" t="s">
        <v>2957</v>
      </c>
      <c r="B67" s="119" t="s">
        <v>2848</v>
      </c>
      <c r="C67" s="119" t="s">
        <v>2820</v>
      </c>
      <c r="D67" s="119" t="s">
        <v>1069</v>
      </c>
      <c r="E67" s="119" t="s">
        <v>1068</v>
      </c>
      <c r="F67" s="119" t="s">
        <v>498</v>
      </c>
      <c r="G67" s="119" t="s">
        <v>2958</v>
      </c>
      <c r="H67" s="119" t="s">
        <v>2850</v>
      </c>
      <c r="I67" s="119" t="s">
        <v>499</v>
      </c>
      <c r="J67" s="119" t="s">
        <v>2836</v>
      </c>
      <c r="K67" s="123" t="s">
        <v>293</v>
      </c>
      <c r="L67" s="119" t="s">
        <v>365</v>
      </c>
      <c r="M67" s="119"/>
    </row>
    <row r="68">
      <c r="A68" s="119" t="s">
        <v>2959</v>
      </c>
      <c r="B68" s="119" t="s">
        <v>2848</v>
      </c>
      <c r="C68" s="119" t="s">
        <v>2820</v>
      </c>
      <c r="D68" s="119" t="s">
        <v>1069</v>
      </c>
      <c r="E68" s="119" t="s">
        <v>1068</v>
      </c>
      <c r="F68" s="119" t="s">
        <v>514</v>
      </c>
      <c r="G68" s="119" t="s">
        <v>2960</v>
      </c>
      <c r="H68" s="119" t="s">
        <v>2850</v>
      </c>
      <c r="I68" s="119" t="s">
        <v>515</v>
      </c>
      <c r="J68" s="119" t="s">
        <v>2836</v>
      </c>
      <c r="K68" s="123" t="s">
        <v>293</v>
      </c>
      <c r="L68" s="119" t="s">
        <v>289</v>
      </c>
      <c r="M68" s="119"/>
    </row>
    <row r="69">
      <c r="A69" s="119" t="s">
        <v>2961</v>
      </c>
      <c r="B69" s="119" t="s">
        <v>2848</v>
      </c>
      <c r="C69" s="119" t="s">
        <v>2820</v>
      </c>
      <c r="D69" s="119" t="s">
        <v>1069</v>
      </c>
      <c r="E69" s="119" t="s">
        <v>1068</v>
      </c>
      <c r="F69" s="119" t="s">
        <v>523</v>
      </c>
      <c r="G69" s="119" t="s">
        <v>2920</v>
      </c>
      <c r="H69" s="119" t="s">
        <v>2850</v>
      </c>
      <c r="I69" s="119" t="s">
        <v>524</v>
      </c>
      <c r="J69" s="119" t="s">
        <v>2836</v>
      </c>
      <c r="K69" s="123" t="s">
        <v>293</v>
      </c>
      <c r="L69" s="119" t="s">
        <v>1238</v>
      </c>
      <c r="M69" s="119"/>
    </row>
    <row r="70">
      <c r="A70" s="119" t="s">
        <v>2962</v>
      </c>
      <c r="B70" s="119" t="s">
        <v>2848</v>
      </c>
      <c r="C70" s="119" t="s">
        <v>2820</v>
      </c>
      <c r="D70" s="119" t="s">
        <v>1069</v>
      </c>
      <c r="E70" s="119" t="s">
        <v>1068</v>
      </c>
      <c r="F70" s="119" t="s">
        <v>529</v>
      </c>
      <c r="G70" s="119" t="s">
        <v>2922</v>
      </c>
      <c r="H70" s="119" t="s">
        <v>2850</v>
      </c>
      <c r="I70" s="119" t="s">
        <v>530</v>
      </c>
      <c r="J70" s="119" t="s">
        <v>2836</v>
      </c>
      <c r="K70" s="123" t="s">
        <v>293</v>
      </c>
      <c r="L70" s="119" t="s">
        <v>1238</v>
      </c>
      <c r="M70" s="119"/>
    </row>
    <row r="71">
      <c r="A71" s="119" t="s">
        <v>2963</v>
      </c>
      <c r="B71" s="119" t="s">
        <v>2848</v>
      </c>
      <c r="C71" s="119" t="s">
        <v>2820</v>
      </c>
      <c r="D71" s="119" t="s">
        <v>1069</v>
      </c>
      <c r="E71" s="119" t="s">
        <v>1068</v>
      </c>
      <c r="F71" s="119" t="s">
        <v>534</v>
      </c>
      <c r="G71" s="119" t="s">
        <v>2964</v>
      </c>
      <c r="H71" s="119" t="s">
        <v>2850</v>
      </c>
      <c r="I71" s="119" t="s">
        <v>535</v>
      </c>
      <c r="J71" s="119" t="s">
        <v>2836</v>
      </c>
      <c r="K71" s="123" t="s">
        <v>293</v>
      </c>
      <c r="L71" s="119" t="s">
        <v>1238</v>
      </c>
      <c r="M71" s="119"/>
    </row>
    <row r="72">
      <c r="A72" s="119" t="s">
        <v>2965</v>
      </c>
      <c r="B72" s="119" t="s">
        <v>2848</v>
      </c>
      <c r="C72" s="119" t="s">
        <v>2820</v>
      </c>
      <c r="D72" s="119" t="s">
        <v>1069</v>
      </c>
      <c r="E72" s="119" t="s">
        <v>1068</v>
      </c>
      <c r="F72" s="119" t="s">
        <v>541</v>
      </c>
      <c r="G72" s="119" t="s">
        <v>2966</v>
      </c>
      <c r="H72" s="119" t="s">
        <v>2850</v>
      </c>
      <c r="I72" s="119" t="s">
        <v>542</v>
      </c>
      <c r="J72" s="119" t="s">
        <v>2836</v>
      </c>
      <c r="K72" s="123" t="s">
        <v>293</v>
      </c>
      <c r="L72" s="119" t="s">
        <v>487</v>
      </c>
      <c r="M72" s="119"/>
    </row>
    <row r="73">
      <c r="A73" s="119" t="s">
        <v>2967</v>
      </c>
      <c r="B73" s="119" t="s">
        <v>2848</v>
      </c>
      <c r="C73" s="119" t="s">
        <v>2820</v>
      </c>
      <c r="D73" s="119" t="s">
        <v>1069</v>
      </c>
      <c r="E73" s="119" t="s">
        <v>1068</v>
      </c>
      <c r="F73" s="119" t="s">
        <v>562</v>
      </c>
      <c r="G73" s="119" t="s">
        <v>2968</v>
      </c>
      <c r="H73" s="119" t="s">
        <v>2850</v>
      </c>
      <c r="I73" s="119" t="s">
        <v>563</v>
      </c>
      <c r="J73" s="119" t="s">
        <v>2836</v>
      </c>
      <c r="K73" s="123" t="s">
        <v>293</v>
      </c>
      <c r="L73" s="119" t="s">
        <v>1238</v>
      </c>
      <c r="M73" s="119"/>
    </row>
    <row r="74">
      <c r="A74" s="119" t="s">
        <v>2969</v>
      </c>
      <c r="B74" s="119" t="s">
        <v>2848</v>
      </c>
      <c r="C74" s="119" t="s">
        <v>2820</v>
      </c>
      <c r="D74" s="119" t="s">
        <v>1069</v>
      </c>
      <c r="E74" s="119" t="s">
        <v>1068</v>
      </c>
      <c r="F74" s="119" t="s">
        <v>567</v>
      </c>
      <c r="G74" s="119" t="s">
        <v>2970</v>
      </c>
      <c r="H74" s="119" t="s">
        <v>2850</v>
      </c>
      <c r="I74" s="119" t="s">
        <v>568</v>
      </c>
      <c r="J74" s="119" t="s">
        <v>2836</v>
      </c>
      <c r="K74" s="123" t="s">
        <v>293</v>
      </c>
      <c r="L74" s="119" t="s">
        <v>378</v>
      </c>
      <c r="M74" s="119"/>
    </row>
    <row r="75">
      <c r="A75" s="119" t="s">
        <v>2971</v>
      </c>
      <c r="B75" s="119" t="s">
        <v>2848</v>
      </c>
      <c r="C75" s="119" t="s">
        <v>2820</v>
      </c>
      <c r="D75" s="119" t="s">
        <v>1069</v>
      </c>
      <c r="E75" s="119" t="s">
        <v>1068</v>
      </c>
      <c r="F75" s="119" t="s">
        <v>587</v>
      </c>
      <c r="G75" s="119" t="s">
        <v>288</v>
      </c>
      <c r="H75" s="119" t="s">
        <v>2850</v>
      </c>
      <c r="I75" s="119" t="s">
        <v>588</v>
      </c>
      <c r="J75" s="119" t="s">
        <v>2836</v>
      </c>
      <c r="K75" s="123" t="s">
        <v>293</v>
      </c>
      <c r="L75" s="119" t="s">
        <v>1238</v>
      </c>
      <c r="M75" s="119"/>
    </row>
    <row r="76">
      <c r="A76" s="119" t="s">
        <v>2972</v>
      </c>
      <c r="B76" s="119" t="s">
        <v>2848</v>
      </c>
      <c r="C76" s="119" t="s">
        <v>2820</v>
      </c>
      <c r="D76" s="119" t="s">
        <v>1069</v>
      </c>
      <c r="E76" s="119" t="s">
        <v>1068</v>
      </c>
      <c r="F76" s="119" t="s">
        <v>591</v>
      </c>
      <c r="G76" s="119" t="s">
        <v>2973</v>
      </c>
      <c r="H76" s="119" t="s">
        <v>2850</v>
      </c>
      <c r="I76" s="119" t="s">
        <v>592</v>
      </c>
      <c r="J76" s="119" t="s">
        <v>2836</v>
      </c>
      <c r="K76" s="123" t="s">
        <v>293</v>
      </c>
      <c r="L76" s="119" t="s">
        <v>289</v>
      </c>
      <c r="M76" s="119"/>
    </row>
    <row r="77">
      <c r="A77" s="119" t="s">
        <v>2974</v>
      </c>
      <c r="B77" s="119" t="s">
        <v>2848</v>
      </c>
      <c r="C77" s="119" t="s">
        <v>2820</v>
      </c>
      <c r="D77" s="119" t="s">
        <v>1069</v>
      </c>
      <c r="E77" s="119" t="s">
        <v>1068</v>
      </c>
      <c r="F77" s="119" t="s">
        <v>973</v>
      </c>
      <c r="G77" s="119" t="s">
        <v>2975</v>
      </c>
      <c r="H77" s="119" t="s">
        <v>2850</v>
      </c>
      <c r="I77" s="119" t="s">
        <v>974</v>
      </c>
      <c r="J77" s="119" t="s">
        <v>2836</v>
      </c>
      <c r="K77" s="123" t="s">
        <v>293</v>
      </c>
      <c r="L77" s="119" t="s">
        <v>289</v>
      </c>
      <c r="M77" s="119"/>
    </row>
    <row r="78">
      <c r="A78" s="119" t="s">
        <v>2976</v>
      </c>
      <c r="B78" s="119" t="s">
        <v>2848</v>
      </c>
      <c r="C78" s="119" t="s">
        <v>2820</v>
      </c>
      <c r="D78" s="119" t="s">
        <v>1069</v>
      </c>
      <c r="E78" s="119" t="s">
        <v>1068</v>
      </c>
      <c r="F78" s="119" t="s">
        <v>615</v>
      </c>
      <c r="G78" s="119" t="s">
        <v>2977</v>
      </c>
      <c r="H78" s="119" t="s">
        <v>2850</v>
      </c>
      <c r="I78" s="119" t="s">
        <v>616</v>
      </c>
      <c r="J78" s="119" t="s">
        <v>2836</v>
      </c>
      <c r="K78" s="123" t="s">
        <v>293</v>
      </c>
      <c r="L78" s="119" t="s">
        <v>2978</v>
      </c>
      <c r="M78" s="119"/>
    </row>
    <row r="79">
      <c r="A79" s="119" t="s">
        <v>2979</v>
      </c>
      <c r="B79" s="119" t="s">
        <v>2848</v>
      </c>
      <c r="C79" s="119" t="s">
        <v>2820</v>
      </c>
      <c r="D79" s="119" t="s">
        <v>1069</v>
      </c>
      <c r="E79" s="119" t="s">
        <v>1068</v>
      </c>
      <c r="F79" s="119" t="s">
        <v>706</v>
      </c>
      <c r="G79" s="119" t="s">
        <v>2980</v>
      </c>
      <c r="H79" s="119" t="s">
        <v>2850</v>
      </c>
      <c r="I79" s="119" t="s">
        <v>707</v>
      </c>
      <c r="J79" s="119" t="s">
        <v>2836</v>
      </c>
      <c r="K79" s="123" t="s">
        <v>293</v>
      </c>
      <c r="L79" s="119" t="s">
        <v>2889</v>
      </c>
      <c r="M79" s="119"/>
    </row>
    <row r="80">
      <c r="A80" s="119" t="s">
        <v>2981</v>
      </c>
      <c r="B80" s="119" t="s">
        <v>2848</v>
      </c>
      <c r="C80" s="119" t="s">
        <v>2820</v>
      </c>
      <c r="D80" s="119" t="s">
        <v>1069</v>
      </c>
      <c r="E80" s="119" t="s">
        <v>1068</v>
      </c>
      <c r="F80" s="119" t="s">
        <v>768</v>
      </c>
      <c r="G80" s="119" t="s">
        <v>288</v>
      </c>
      <c r="H80" s="119" t="s">
        <v>2850</v>
      </c>
      <c r="I80" s="119" t="s">
        <v>769</v>
      </c>
      <c r="J80" s="119" t="s">
        <v>2836</v>
      </c>
      <c r="K80" s="123" t="s">
        <v>293</v>
      </c>
      <c r="L80" s="119" t="s">
        <v>2982</v>
      </c>
      <c r="M80" s="119"/>
    </row>
    <row r="81">
      <c r="A81" s="119" t="s">
        <v>2983</v>
      </c>
      <c r="B81" s="119" t="s">
        <v>2848</v>
      </c>
      <c r="C81" s="119" t="s">
        <v>2820</v>
      </c>
      <c r="D81" s="119" t="s">
        <v>1069</v>
      </c>
      <c r="E81" s="119" t="s">
        <v>1068</v>
      </c>
      <c r="F81" s="119" t="s">
        <v>852</v>
      </c>
      <c r="G81" s="119" t="s">
        <v>2984</v>
      </c>
      <c r="H81" s="119" t="s">
        <v>2850</v>
      </c>
      <c r="I81" s="119" t="s">
        <v>1187</v>
      </c>
      <c r="J81" s="119" t="s">
        <v>2836</v>
      </c>
      <c r="K81" s="123" t="s">
        <v>293</v>
      </c>
      <c r="L81" s="119" t="s">
        <v>2246</v>
      </c>
      <c r="M81" s="119"/>
    </row>
    <row r="82">
      <c r="A82" s="119" t="s">
        <v>2985</v>
      </c>
      <c r="B82" s="119" t="s">
        <v>2848</v>
      </c>
      <c r="C82" s="119" t="s">
        <v>2820</v>
      </c>
      <c r="D82" s="119" t="s">
        <v>1069</v>
      </c>
      <c r="E82" s="119" t="s">
        <v>1068</v>
      </c>
      <c r="F82" s="119" t="s">
        <v>887</v>
      </c>
      <c r="G82" s="119" t="s">
        <v>2986</v>
      </c>
      <c r="H82" s="119" t="s">
        <v>2850</v>
      </c>
      <c r="I82" s="119" t="s">
        <v>888</v>
      </c>
      <c r="J82" s="119" t="s">
        <v>2836</v>
      </c>
      <c r="K82" s="123" t="s">
        <v>293</v>
      </c>
      <c r="L82" s="119" t="s">
        <v>378</v>
      </c>
      <c r="M82" s="119"/>
    </row>
    <row r="83">
      <c r="A83" s="119" t="s">
        <v>2987</v>
      </c>
      <c r="B83" s="119" t="s">
        <v>2848</v>
      </c>
      <c r="C83" s="119" t="s">
        <v>2820</v>
      </c>
      <c r="D83" s="119" t="s">
        <v>1069</v>
      </c>
      <c r="E83" s="119" t="s">
        <v>1068</v>
      </c>
      <c r="F83" s="119" t="s">
        <v>289</v>
      </c>
      <c r="G83" s="119" t="s">
        <v>2901</v>
      </c>
      <c r="H83" s="119" t="s">
        <v>2850</v>
      </c>
      <c r="I83" s="119" t="s">
        <v>290</v>
      </c>
      <c r="J83" s="119" t="s">
        <v>2836</v>
      </c>
      <c r="K83" s="123" t="s">
        <v>293</v>
      </c>
      <c r="L83" s="119" t="s">
        <v>315</v>
      </c>
      <c r="M83" s="119"/>
    </row>
    <row r="84">
      <c r="A84" s="119" t="s">
        <v>2988</v>
      </c>
      <c r="B84" s="119" t="s">
        <v>2848</v>
      </c>
      <c r="C84" s="119" t="s">
        <v>2820</v>
      </c>
      <c r="D84" s="119" t="s">
        <v>1069</v>
      </c>
      <c r="E84" s="119" t="s">
        <v>1068</v>
      </c>
      <c r="F84" s="119" t="s">
        <v>315</v>
      </c>
      <c r="G84" s="119" t="s">
        <v>2989</v>
      </c>
      <c r="H84" s="119" t="s">
        <v>2850</v>
      </c>
      <c r="I84" s="119" t="s">
        <v>912</v>
      </c>
      <c r="J84" s="119" t="s">
        <v>2836</v>
      </c>
      <c r="K84" s="123" t="s">
        <v>293</v>
      </c>
      <c r="L84" s="119" t="s">
        <v>887</v>
      </c>
      <c r="M84" s="119"/>
    </row>
    <row r="85">
      <c r="A85" s="119" t="s">
        <v>2990</v>
      </c>
      <c r="B85" s="119" t="s">
        <v>2848</v>
      </c>
      <c r="C85" s="119" t="s">
        <v>2820</v>
      </c>
      <c r="D85" s="119" t="s">
        <v>1069</v>
      </c>
      <c r="E85" s="119" t="s">
        <v>1068</v>
      </c>
      <c r="F85" s="119" t="s">
        <v>323</v>
      </c>
      <c r="G85" s="119" t="s">
        <v>2991</v>
      </c>
      <c r="H85" s="119" t="s">
        <v>2850</v>
      </c>
      <c r="I85" s="119" t="s">
        <v>324</v>
      </c>
      <c r="J85" s="119" t="s">
        <v>2836</v>
      </c>
      <c r="K85" s="123" t="s">
        <v>293</v>
      </c>
      <c r="L85" s="119" t="s">
        <v>289</v>
      </c>
      <c r="M85" s="119"/>
    </row>
    <row r="86">
      <c r="A86" s="119" t="s">
        <v>2992</v>
      </c>
      <c r="B86" s="119" t="s">
        <v>2848</v>
      </c>
      <c r="C86" s="119" t="s">
        <v>2820</v>
      </c>
      <c r="D86" s="119" t="s">
        <v>1069</v>
      </c>
      <c r="E86" s="119" t="s">
        <v>1068</v>
      </c>
      <c r="F86" s="119" t="s">
        <v>915</v>
      </c>
      <c r="G86" s="119" t="s">
        <v>2993</v>
      </c>
      <c r="H86" s="119" t="s">
        <v>2850</v>
      </c>
      <c r="I86" s="119" t="s">
        <v>916</v>
      </c>
      <c r="J86" s="119" t="s">
        <v>2836</v>
      </c>
      <c r="K86" s="123" t="s">
        <v>293</v>
      </c>
      <c r="L86" s="119" t="s">
        <v>365</v>
      </c>
      <c r="M86" s="119"/>
    </row>
    <row r="87">
      <c r="A87" s="119" t="s">
        <v>2994</v>
      </c>
      <c r="B87" s="119" t="s">
        <v>2848</v>
      </c>
      <c r="C87" s="119" t="s">
        <v>2820</v>
      </c>
      <c r="D87" s="119" t="s">
        <v>1069</v>
      </c>
      <c r="E87" s="119" t="s">
        <v>1068</v>
      </c>
      <c r="F87" s="119" t="s">
        <v>921</v>
      </c>
      <c r="G87" s="119" t="s">
        <v>2995</v>
      </c>
      <c r="H87" s="119" t="s">
        <v>2850</v>
      </c>
      <c r="I87" s="119" t="s">
        <v>922</v>
      </c>
      <c r="J87" s="119" t="s">
        <v>2836</v>
      </c>
      <c r="K87" s="123" t="s">
        <v>293</v>
      </c>
      <c r="L87" s="119" t="s">
        <v>514</v>
      </c>
      <c r="M87" s="119"/>
    </row>
    <row r="88">
      <c r="A88" s="119" t="s">
        <v>2996</v>
      </c>
      <c r="B88" s="119" t="s">
        <v>2848</v>
      </c>
      <c r="C88" s="119" t="s">
        <v>2820</v>
      </c>
      <c r="D88" s="119" t="s">
        <v>1216</v>
      </c>
      <c r="E88" s="119" t="s">
        <v>1215</v>
      </c>
      <c r="F88" s="119" t="s">
        <v>1218</v>
      </c>
      <c r="G88" s="119" t="s">
        <v>2997</v>
      </c>
      <c r="H88" s="119" t="s">
        <v>2850</v>
      </c>
      <c r="I88" s="119" t="s">
        <v>1219</v>
      </c>
      <c r="J88" s="119" t="s">
        <v>2840</v>
      </c>
      <c r="K88" s="123" t="s">
        <v>293</v>
      </c>
      <c r="L88" s="119" t="s">
        <v>398</v>
      </c>
      <c r="M88" s="119"/>
    </row>
    <row r="89">
      <c r="A89" s="119" t="s">
        <v>2998</v>
      </c>
      <c r="B89" s="119" t="s">
        <v>2848</v>
      </c>
      <c r="C89" s="119" t="s">
        <v>2820</v>
      </c>
      <c r="D89" s="119" t="s">
        <v>1216</v>
      </c>
      <c r="E89" s="119" t="s">
        <v>1215</v>
      </c>
      <c r="F89" s="119" t="s">
        <v>365</v>
      </c>
      <c r="G89" s="119" t="s">
        <v>2999</v>
      </c>
      <c r="H89" s="119" t="s">
        <v>2850</v>
      </c>
      <c r="I89" s="119" t="s">
        <v>366</v>
      </c>
      <c r="J89" s="119" t="s">
        <v>2840</v>
      </c>
      <c r="K89" s="123" t="s">
        <v>293</v>
      </c>
      <c r="L89" s="119" t="s">
        <v>514</v>
      </c>
      <c r="M89" s="119"/>
    </row>
    <row r="90">
      <c r="A90" s="119" t="s">
        <v>3000</v>
      </c>
      <c r="B90" s="119" t="s">
        <v>2848</v>
      </c>
      <c r="C90" s="119" t="s">
        <v>2820</v>
      </c>
      <c r="D90" s="119" t="s">
        <v>1216</v>
      </c>
      <c r="E90" s="119" t="s">
        <v>1215</v>
      </c>
      <c r="F90" s="119" t="s">
        <v>398</v>
      </c>
      <c r="G90" s="119" t="s">
        <v>3001</v>
      </c>
      <c r="H90" s="119" t="s">
        <v>2850</v>
      </c>
      <c r="I90" s="119" t="s">
        <v>1655</v>
      </c>
      <c r="J90" s="119" t="s">
        <v>2840</v>
      </c>
      <c r="K90" s="123" t="s">
        <v>293</v>
      </c>
      <c r="L90" s="119" t="s">
        <v>866</v>
      </c>
      <c r="M90" s="119"/>
    </row>
    <row r="91">
      <c r="A91" s="119" t="s">
        <v>3002</v>
      </c>
      <c r="B91" s="119" t="s">
        <v>2848</v>
      </c>
      <c r="C91" s="119" t="s">
        <v>2820</v>
      </c>
      <c r="D91" s="119" t="s">
        <v>1216</v>
      </c>
      <c r="E91" s="119" t="s">
        <v>1215</v>
      </c>
      <c r="F91" s="119" t="s">
        <v>449</v>
      </c>
      <c r="G91" s="119" t="s">
        <v>3003</v>
      </c>
      <c r="H91" s="119" t="s">
        <v>2850</v>
      </c>
      <c r="I91" s="119" t="s">
        <v>450</v>
      </c>
      <c r="J91" s="119" t="s">
        <v>2840</v>
      </c>
      <c r="K91" s="123" t="s">
        <v>293</v>
      </c>
      <c r="L91" s="119" t="s">
        <v>477</v>
      </c>
      <c r="M91" s="119"/>
    </row>
    <row r="92">
      <c r="A92" s="119" t="s">
        <v>3004</v>
      </c>
      <c r="B92" s="119" t="s">
        <v>2848</v>
      </c>
      <c r="C92" s="119" t="s">
        <v>2820</v>
      </c>
      <c r="D92" s="119" t="s">
        <v>1216</v>
      </c>
      <c r="E92" s="119" t="s">
        <v>1215</v>
      </c>
      <c r="F92" s="119" t="s">
        <v>477</v>
      </c>
      <c r="G92" s="119" t="s">
        <v>3005</v>
      </c>
      <c r="H92" s="119" t="s">
        <v>2850</v>
      </c>
      <c r="I92" s="119" t="s">
        <v>478</v>
      </c>
      <c r="J92" s="119" t="s">
        <v>2840</v>
      </c>
      <c r="K92" s="123" t="s">
        <v>293</v>
      </c>
      <c r="L92" s="119" t="s">
        <v>887</v>
      </c>
      <c r="M92" s="119"/>
    </row>
    <row r="93">
      <c r="A93" s="119" t="s">
        <v>3006</v>
      </c>
      <c r="B93" s="119" t="s">
        <v>2848</v>
      </c>
      <c r="C93" s="119" t="s">
        <v>2820</v>
      </c>
      <c r="D93" s="119" t="s">
        <v>1216</v>
      </c>
      <c r="E93" s="119" t="s">
        <v>1215</v>
      </c>
      <c r="F93" s="119" t="s">
        <v>487</v>
      </c>
      <c r="G93" s="119" t="s">
        <v>3007</v>
      </c>
      <c r="H93" s="119" t="s">
        <v>2850</v>
      </c>
      <c r="I93" s="119" t="s">
        <v>488</v>
      </c>
      <c r="J93" s="119" t="s">
        <v>2840</v>
      </c>
      <c r="K93" s="123" t="s">
        <v>293</v>
      </c>
      <c r="L93" s="119" t="s">
        <v>1238</v>
      </c>
      <c r="M93" s="119"/>
    </row>
    <row r="94">
      <c r="A94" s="119" t="s">
        <v>3008</v>
      </c>
      <c r="B94" s="119" t="s">
        <v>2848</v>
      </c>
      <c r="C94" s="119" t="s">
        <v>2820</v>
      </c>
      <c r="D94" s="119" t="s">
        <v>1216</v>
      </c>
      <c r="E94" s="119" t="s">
        <v>1215</v>
      </c>
      <c r="F94" s="119" t="s">
        <v>492</v>
      </c>
      <c r="G94" s="119" t="s">
        <v>2862</v>
      </c>
      <c r="H94" s="119" t="s">
        <v>2850</v>
      </c>
      <c r="I94" s="119" t="s">
        <v>493</v>
      </c>
      <c r="J94" s="119" t="s">
        <v>2840</v>
      </c>
      <c r="K94" s="123" t="s">
        <v>293</v>
      </c>
      <c r="L94" s="119" t="s">
        <v>1238</v>
      </c>
      <c r="M94" s="119"/>
    </row>
    <row r="95">
      <c r="A95" s="119" t="s">
        <v>3009</v>
      </c>
      <c r="B95" s="119" t="s">
        <v>2848</v>
      </c>
      <c r="C95" s="119" t="s">
        <v>2820</v>
      </c>
      <c r="D95" s="119" t="s">
        <v>1216</v>
      </c>
      <c r="E95" s="119" t="s">
        <v>1215</v>
      </c>
      <c r="F95" s="119" t="s">
        <v>498</v>
      </c>
      <c r="G95" s="119" t="s">
        <v>2953</v>
      </c>
      <c r="H95" s="119" t="s">
        <v>2850</v>
      </c>
      <c r="I95" s="119" t="s">
        <v>499</v>
      </c>
      <c r="J95" s="119" t="s">
        <v>2840</v>
      </c>
      <c r="K95" s="123" t="s">
        <v>293</v>
      </c>
      <c r="L95" s="119" t="s">
        <v>365</v>
      </c>
      <c r="M95" s="119"/>
    </row>
    <row r="96">
      <c r="A96" s="119" t="s">
        <v>3010</v>
      </c>
      <c r="B96" s="119" t="s">
        <v>2848</v>
      </c>
      <c r="C96" s="119" t="s">
        <v>2820</v>
      </c>
      <c r="D96" s="119" t="s">
        <v>1216</v>
      </c>
      <c r="E96" s="119" t="s">
        <v>1215</v>
      </c>
      <c r="F96" s="119" t="s">
        <v>514</v>
      </c>
      <c r="G96" s="119" t="s">
        <v>3011</v>
      </c>
      <c r="H96" s="119" t="s">
        <v>2850</v>
      </c>
      <c r="I96" s="119" t="s">
        <v>515</v>
      </c>
      <c r="J96" s="119" t="s">
        <v>2840</v>
      </c>
      <c r="K96" s="123" t="s">
        <v>293</v>
      </c>
      <c r="L96" s="119" t="s">
        <v>887</v>
      </c>
      <c r="M96" s="119"/>
    </row>
    <row r="97">
      <c r="A97" s="119" t="s">
        <v>3012</v>
      </c>
      <c r="B97" s="119" t="s">
        <v>2848</v>
      </c>
      <c r="C97" s="119" t="s">
        <v>2820</v>
      </c>
      <c r="D97" s="119" t="s">
        <v>1216</v>
      </c>
      <c r="E97" s="119" t="s">
        <v>1215</v>
      </c>
      <c r="F97" s="119" t="s">
        <v>1238</v>
      </c>
      <c r="G97" s="119" t="s">
        <v>3013</v>
      </c>
      <c r="H97" s="119" t="s">
        <v>2850</v>
      </c>
      <c r="I97" s="119" t="s">
        <v>1239</v>
      </c>
      <c r="J97" s="119" t="s">
        <v>2840</v>
      </c>
      <c r="K97" s="123" t="s">
        <v>293</v>
      </c>
      <c r="L97" s="119" t="s">
        <v>3014</v>
      </c>
      <c r="M97" s="119"/>
    </row>
    <row r="98">
      <c r="A98" s="119" t="s">
        <v>3015</v>
      </c>
      <c r="B98" s="119" t="s">
        <v>2848</v>
      </c>
      <c r="C98" s="119" t="s">
        <v>2820</v>
      </c>
      <c r="D98" s="119" t="s">
        <v>1216</v>
      </c>
      <c r="E98" s="119" t="s">
        <v>1215</v>
      </c>
      <c r="F98" s="119" t="s">
        <v>523</v>
      </c>
      <c r="G98" s="119" t="s">
        <v>3016</v>
      </c>
      <c r="H98" s="119" t="s">
        <v>2850</v>
      </c>
      <c r="I98" s="119" t="s">
        <v>524</v>
      </c>
      <c r="J98" s="119" t="s">
        <v>2840</v>
      </c>
      <c r="K98" s="123" t="s">
        <v>293</v>
      </c>
      <c r="L98" s="119" t="s">
        <v>1238</v>
      </c>
      <c r="M98" s="119"/>
    </row>
    <row r="99">
      <c r="A99" s="119" t="s">
        <v>3017</v>
      </c>
      <c r="B99" s="119" t="s">
        <v>2848</v>
      </c>
      <c r="C99" s="119" t="s">
        <v>2820</v>
      </c>
      <c r="D99" s="119" t="s">
        <v>1216</v>
      </c>
      <c r="E99" s="119" t="s">
        <v>1215</v>
      </c>
      <c r="F99" s="119" t="s">
        <v>529</v>
      </c>
      <c r="G99" s="119" t="s">
        <v>2870</v>
      </c>
      <c r="H99" s="119" t="s">
        <v>2850</v>
      </c>
      <c r="I99" s="119" t="s">
        <v>530</v>
      </c>
      <c r="J99" s="119" t="s">
        <v>2840</v>
      </c>
      <c r="K99" s="123" t="s">
        <v>293</v>
      </c>
      <c r="L99" s="119" t="s">
        <v>1238</v>
      </c>
      <c r="M99" s="119"/>
    </row>
    <row r="100">
      <c r="A100" s="119" t="s">
        <v>3018</v>
      </c>
      <c r="B100" s="119" t="s">
        <v>2848</v>
      </c>
      <c r="C100" s="119" t="s">
        <v>2820</v>
      </c>
      <c r="D100" s="119" t="s">
        <v>1216</v>
      </c>
      <c r="E100" s="119" t="s">
        <v>1215</v>
      </c>
      <c r="F100" s="119" t="s">
        <v>534</v>
      </c>
      <c r="G100" s="119" t="s">
        <v>2872</v>
      </c>
      <c r="H100" s="119" t="s">
        <v>2850</v>
      </c>
      <c r="I100" s="119" t="s">
        <v>535</v>
      </c>
      <c r="J100" s="119" t="s">
        <v>2840</v>
      </c>
      <c r="K100" s="123" t="s">
        <v>293</v>
      </c>
      <c r="L100" s="119" t="s">
        <v>1238</v>
      </c>
      <c r="M100" s="119"/>
    </row>
    <row r="101">
      <c r="A101" s="119" t="s">
        <v>3019</v>
      </c>
      <c r="B101" s="119" t="s">
        <v>2848</v>
      </c>
      <c r="C101" s="119" t="s">
        <v>2820</v>
      </c>
      <c r="D101" s="119" t="s">
        <v>1216</v>
      </c>
      <c r="E101" s="119" t="s">
        <v>1215</v>
      </c>
      <c r="F101" s="119" t="s">
        <v>541</v>
      </c>
      <c r="G101" s="119" t="s">
        <v>3020</v>
      </c>
      <c r="H101" s="119" t="s">
        <v>2850</v>
      </c>
      <c r="I101" s="119" t="s">
        <v>542</v>
      </c>
      <c r="J101" s="119" t="s">
        <v>2840</v>
      </c>
      <c r="K101" s="123" t="s">
        <v>293</v>
      </c>
      <c r="L101" s="119" t="s">
        <v>477</v>
      </c>
      <c r="M101" s="119"/>
    </row>
    <row r="102">
      <c r="A102" s="119" t="s">
        <v>3021</v>
      </c>
      <c r="B102" s="119" t="s">
        <v>2848</v>
      </c>
      <c r="C102" s="119" t="s">
        <v>2820</v>
      </c>
      <c r="D102" s="119" t="s">
        <v>1216</v>
      </c>
      <c r="E102" s="119" t="s">
        <v>1215</v>
      </c>
      <c r="F102" s="119" t="s">
        <v>562</v>
      </c>
      <c r="G102" s="119" t="s">
        <v>3022</v>
      </c>
      <c r="H102" s="119" t="s">
        <v>2850</v>
      </c>
      <c r="I102" s="119" t="s">
        <v>563</v>
      </c>
      <c r="J102" s="119" t="s">
        <v>2840</v>
      </c>
      <c r="K102" s="123" t="s">
        <v>293</v>
      </c>
      <c r="L102" s="119" t="s">
        <v>1238</v>
      </c>
      <c r="M102" s="119"/>
    </row>
    <row r="103">
      <c r="A103" s="119" t="s">
        <v>3023</v>
      </c>
      <c r="B103" s="119" t="s">
        <v>2848</v>
      </c>
      <c r="C103" s="119" t="s">
        <v>2820</v>
      </c>
      <c r="D103" s="119" t="s">
        <v>1216</v>
      </c>
      <c r="E103" s="119" t="s">
        <v>1215</v>
      </c>
      <c r="F103" s="119" t="s">
        <v>567</v>
      </c>
      <c r="G103" s="119" t="s">
        <v>3024</v>
      </c>
      <c r="H103" s="119" t="s">
        <v>2850</v>
      </c>
      <c r="I103" s="119" t="s">
        <v>1678</v>
      </c>
      <c r="J103" s="119" t="s">
        <v>2840</v>
      </c>
      <c r="K103" s="123" t="s">
        <v>293</v>
      </c>
      <c r="L103" s="119" t="s">
        <v>373</v>
      </c>
      <c r="M103" s="119"/>
    </row>
    <row r="104">
      <c r="A104" s="119" t="s">
        <v>3025</v>
      </c>
      <c r="B104" s="119" t="s">
        <v>2848</v>
      </c>
      <c r="C104" s="119" t="s">
        <v>2820</v>
      </c>
      <c r="D104" s="119" t="s">
        <v>1216</v>
      </c>
      <c r="E104" s="119" t="s">
        <v>1215</v>
      </c>
      <c r="F104" s="119" t="s">
        <v>587</v>
      </c>
      <c r="G104" s="119" t="s">
        <v>288</v>
      </c>
      <c r="H104" s="119" t="s">
        <v>2850</v>
      </c>
      <c r="I104" s="119" t="s">
        <v>588</v>
      </c>
      <c r="J104" s="119" t="s">
        <v>2840</v>
      </c>
      <c r="K104" s="123" t="s">
        <v>293</v>
      </c>
      <c r="L104" s="119" t="s">
        <v>1238</v>
      </c>
      <c r="M104" s="119"/>
    </row>
    <row r="105">
      <c r="A105" s="119" t="s">
        <v>3026</v>
      </c>
      <c r="B105" s="119" t="s">
        <v>2848</v>
      </c>
      <c r="C105" s="119" t="s">
        <v>2820</v>
      </c>
      <c r="D105" s="119" t="s">
        <v>1216</v>
      </c>
      <c r="E105" s="119" t="s">
        <v>1215</v>
      </c>
      <c r="F105" s="119" t="s">
        <v>591</v>
      </c>
      <c r="G105" s="119" t="s">
        <v>3027</v>
      </c>
      <c r="H105" s="119" t="s">
        <v>2850</v>
      </c>
      <c r="I105" s="119" t="s">
        <v>592</v>
      </c>
      <c r="J105" s="119" t="s">
        <v>2840</v>
      </c>
      <c r="K105" s="123" t="s">
        <v>293</v>
      </c>
      <c r="L105" s="119" t="s">
        <v>289</v>
      </c>
      <c r="M105" s="119"/>
    </row>
    <row r="106">
      <c r="A106" s="119" t="s">
        <v>3028</v>
      </c>
      <c r="B106" s="119" t="s">
        <v>2848</v>
      </c>
      <c r="C106" s="119" t="s">
        <v>2820</v>
      </c>
      <c r="D106" s="119" t="s">
        <v>1216</v>
      </c>
      <c r="E106" s="119" t="s">
        <v>1215</v>
      </c>
      <c r="F106" s="119" t="s">
        <v>973</v>
      </c>
      <c r="G106" s="119" t="s">
        <v>3029</v>
      </c>
      <c r="H106" s="119" t="s">
        <v>2850</v>
      </c>
      <c r="I106" s="119" t="s">
        <v>974</v>
      </c>
      <c r="J106" s="119" t="s">
        <v>2840</v>
      </c>
      <c r="K106" s="123" t="s">
        <v>293</v>
      </c>
      <c r="L106" s="119" t="s">
        <v>289</v>
      </c>
      <c r="M106" s="119"/>
    </row>
    <row r="107">
      <c r="A107" s="119" t="s">
        <v>3030</v>
      </c>
      <c r="B107" s="119" t="s">
        <v>2848</v>
      </c>
      <c r="C107" s="119" t="s">
        <v>2820</v>
      </c>
      <c r="D107" s="119" t="s">
        <v>1216</v>
      </c>
      <c r="E107" s="119" t="s">
        <v>1215</v>
      </c>
      <c r="F107" s="119" t="s">
        <v>615</v>
      </c>
      <c r="G107" s="119" t="s">
        <v>3031</v>
      </c>
      <c r="H107" s="119" t="s">
        <v>2850</v>
      </c>
      <c r="I107" s="119" t="s">
        <v>616</v>
      </c>
      <c r="J107" s="119" t="s">
        <v>2840</v>
      </c>
      <c r="K107" s="123" t="s">
        <v>293</v>
      </c>
      <c r="L107" s="119" t="s">
        <v>3032</v>
      </c>
      <c r="M107" s="119"/>
    </row>
    <row r="108">
      <c r="A108" s="119" t="s">
        <v>3033</v>
      </c>
      <c r="B108" s="119" t="s">
        <v>2848</v>
      </c>
      <c r="C108" s="119" t="s">
        <v>2820</v>
      </c>
      <c r="D108" s="119" t="s">
        <v>1216</v>
      </c>
      <c r="E108" s="119" t="s">
        <v>1215</v>
      </c>
      <c r="F108" s="119" t="s">
        <v>706</v>
      </c>
      <c r="G108" s="119" t="s">
        <v>3034</v>
      </c>
      <c r="H108" s="119" t="s">
        <v>2850</v>
      </c>
      <c r="I108" s="119" t="s">
        <v>707</v>
      </c>
      <c r="J108" s="119" t="s">
        <v>2840</v>
      </c>
      <c r="K108" s="123" t="s">
        <v>293</v>
      </c>
      <c r="L108" s="119" t="s">
        <v>3035</v>
      </c>
      <c r="M108" s="119"/>
    </row>
    <row r="109">
      <c r="A109" s="119" t="s">
        <v>3036</v>
      </c>
      <c r="B109" s="119" t="s">
        <v>2848</v>
      </c>
      <c r="C109" s="119" t="s">
        <v>2820</v>
      </c>
      <c r="D109" s="119" t="s">
        <v>1216</v>
      </c>
      <c r="E109" s="119" t="s">
        <v>1215</v>
      </c>
      <c r="F109" s="119" t="s">
        <v>768</v>
      </c>
      <c r="G109" s="119" t="s">
        <v>3037</v>
      </c>
      <c r="H109" s="119" t="s">
        <v>2850</v>
      </c>
      <c r="I109" s="119" t="s">
        <v>769</v>
      </c>
      <c r="J109" s="119" t="s">
        <v>2840</v>
      </c>
      <c r="K109" s="123" t="s">
        <v>293</v>
      </c>
      <c r="L109" s="119" t="s">
        <v>3038</v>
      </c>
      <c r="M109" s="119"/>
    </row>
    <row r="110">
      <c r="A110" s="119" t="s">
        <v>3039</v>
      </c>
      <c r="B110" s="119" t="s">
        <v>2848</v>
      </c>
      <c r="C110" s="119" t="s">
        <v>2820</v>
      </c>
      <c r="D110" s="119" t="s">
        <v>1216</v>
      </c>
      <c r="E110" s="119" t="s">
        <v>1215</v>
      </c>
      <c r="F110" s="119" t="s">
        <v>289</v>
      </c>
      <c r="G110" s="119" t="s">
        <v>3040</v>
      </c>
      <c r="H110" s="119" t="s">
        <v>2850</v>
      </c>
      <c r="I110" s="119" t="s">
        <v>290</v>
      </c>
      <c r="J110" s="119" t="s">
        <v>2840</v>
      </c>
      <c r="K110" s="123" t="s">
        <v>293</v>
      </c>
      <c r="L110" s="119" t="s">
        <v>315</v>
      </c>
      <c r="M110" s="119"/>
    </row>
    <row r="111">
      <c r="A111" s="119" t="s">
        <v>3041</v>
      </c>
      <c r="B111" s="119" t="s">
        <v>2848</v>
      </c>
      <c r="C111" s="119" t="s">
        <v>2820</v>
      </c>
      <c r="D111" s="119" t="s">
        <v>1216</v>
      </c>
      <c r="E111" s="119" t="s">
        <v>1215</v>
      </c>
      <c r="F111" s="119" t="s">
        <v>315</v>
      </c>
      <c r="G111" s="119" t="s">
        <v>3042</v>
      </c>
      <c r="H111" s="119" t="s">
        <v>2850</v>
      </c>
      <c r="I111" s="119" t="s">
        <v>1644</v>
      </c>
      <c r="J111" s="119" t="s">
        <v>2840</v>
      </c>
      <c r="K111" s="123" t="s">
        <v>293</v>
      </c>
      <c r="L111" s="119" t="s">
        <v>887</v>
      </c>
      <c r="M111" s="119"/>
    </row>
    <row r="112">
      <c r="A112" s="119" t="s">
        <v>3043</v>
      </c>
      <c r="B112" s="119" t="s">
        <v>2848</v>
      </c>
      <c r="C112" s="119" t="s">
        <v>2820</v>
      </c>
      <c r="D112" s="119" t="s">
        <v>1216</v>
      </c>
      <c r="E112" s="119" t="s">
        <v>1215</v>
      </c>
      <c r="F112" s="119" t="s">
        <v>323</v>
      </c>
      <c r="G112" s="119" t="s">
        <v>3044</v>
      </c>
      <c r="H112" s="119" t="s">
        <v>2850</v>
      </c>
      <c r="I112" s="119" t="s">
        <v>324</v>
      </c>
      <c r="J112" s="119" t="s">
        <v>2840</v>
      </c>
      <c r="K112" s="123" t="s">
        <v>293</v>
      </c>
      <c r="L112" s="119" t="s">
        <v>289</v>
      </c>
      <c r="M112" s="119"/>
    </row>
    <row r="113">
      <c r="A113" s="119" t="s">
        <v>3045</v>
      </c>
      <c r="B113" s="119" t="s">
        <v>2848</v>
      </c>
      <c r="C113" s="119" t="s">
        <v>2820</v>
      </c>
      <c r="D113" s="119" t="s">
        <v>1216</v>
      </c>
      <c r="E113" s="119" t="s">
        <v>1215</v>
      </c>
      <c r="F113" s="119" t="s">
        <v>915</v>
      </c>
      <c r="G113" s="119" t="s">
        <v>3046</v>
      </c>
      <c r="H113" s="119" t="s">
        <v>2850</v>
      </c>
      <c r="I113" s="119" t="s">
        <v>916</v>
      </c>
      <c r="J113" s="119" t="s">
        <v>2840</v>
      </c>
      <c r="K113" s="123" t="s">
        <v>293</v>
      </c>
      <c r="L113" s="119" t="s">
        <v>315</v>
      </c>
      <c r="M113" s="119"/>
    </row>
    <row r="114">
      <c r="A114" s="119" t="s">
        <v>3047</v>
      </c>
      <c r="B114" s="119" t="s">
        <v>2848</v>
      </c>
      <c r="C114" s="119" t="s">
        <v>2820</v>
      </c>
      <c r="D114" s="119" t="s">
        <v>1216</v>
      </c>
      <c r="E114" s="119" t="s">
        <v>1215</v>
      </c>
      <c r="F114" s="119" t="s">
        <v>921</v>
      </c>
      <c r="G114" s="119" t="s">
        <v>3048</v>
      </c>
      <c r="H114" s="119" t="s">
        <v>2850</v>
      </c>
      <c r="I114" s="119" t="s">
        <v>922</v>
      </c>
      <c r="J114" s="119" t="s">
        <v>2840</v>
      </c>
      <c r="K114" s="123" t="s">
        <v>293</v>
      </c>
      <c r="L114" s="119" t="s">
        <v>449</v>
      </c>
      <c r="M114" s="119"/>
    </row>
    <row r="115">
      <c r="A115" s="119" t="s">
        <v>3049</v>
      </c>
      <c r="B115" s="119" t="s">
        <v>2848</v>
      </c>
      <c r="C115" s="119" t="s">
        <v>2820</v>
      </c>
      <c r="D115" s="119" t="s">
        <v>1798</v>
      </c>
      <c r="E115" s="119" t="s">
        <v>1797</v>
      </c>
      <c r="F115" s="119" t="s">
        <v>365</v>
      </c>
      <c r="G115" s="119" t="s">
        <v>3050</v>
      </c>
      <c r="H115" s="119" t="s">
        <v>2850</v>
      </c>
      <c r="I115" s="119" t="s">
        <v>1899</v>
      </c>
      <c r="J115" s="119" t="s">
        <v>2844</v>
      </c>
      <c r="K115" s="123" t="s">
        <v>293</v>
      </c>
      <c r="L115" s="119" t="s">
        <v>3051</v>
      </c>
      <c r="M115" s="119"/>
    </row>
    <row r="116">
      <c r="A116" s="119" t="s">
        <v>3052</v>
      </c>
      <c r="B116" s="119" t="s">
        <v>2848</v>
      </c>
      <c r="C116" s="119" t="s">
        <v>2820</v>
      </c>
      <c r="D116" s="119" t="s">
        <v>1798</v>
      </c>
      <c r="E116" s="119" t="s">
        <v>1797</v>
      </c>
      <c r="F116" s="119" t="s">
        <v>378</v>
      </c>
      <c r="G116" s="119" t="s">
        <v>3053</v>
      </c>
      <c r="H116" s="119" t="s">
        <v>2850</v>
      </c>
      <c r="I116" s="119" t="s">
        <v>2093</v>
      </c>
      <c r="J116" s="119" t="s">
        <v>2844</v>
      </c>
      <c r="K116" s="123" t="s">
        <v>293</v>
      </c>
      <c r="L116" s="119" t="s">
        <v>373</v>
      </c>
      <c r="M116" s="119"/>
    </row>
    <row r="117">
      <c r="A117" s="119" t="s">
        <v>3054</v>
      </c>
      <c r="B117" s="119" t="s">
        <v>2848</v>
      </c>
      <c r="C117" s="119" t="s">
        <v>2820</v>
      </c>
      <c r="D117" s="119" t="s">
        <v>1798</v>
      </c>
      <c r="E117" s="119" t="s">
        <v>1797</v>
      </c>
      <c r="F117" s="119" t="s">
        <v>449</v>
      </c>
      <c r="G117" s="119" t="s">
        <v>3055</v>
      </c>
      <c r="H117" s="119" t="s">
        <v>2850</v>
      </c>
      <c r="I117" s="119" t="s">
        <v>2100</v>
      </c>
      <c r="J117" s="119" t="s">
        <v>2844</v>
      </c>
      <c r="K117" s="123" t="s">
        <v>293</v>
      </c>
      <c r="L117" s="119" t="s">
        <v>921</v>
      </c>
      <c r="M117" s="119"/>
    </row>
    <row r="118">
      <c r="A118" s="119" t="s">
        <v>3056</v>
      </c>
      <c r="B118" s="119" t="s">
        <v>2848</v>
      </c>
      <c r="C118" s="119" t="s">
        <v>2820</v>
      </c>
      <c r="D118" s="119" t="s">
        <v>1798</v>
      </c>
      <c r="E118" s="119" t="s">
        <v>1797</v>
      </c>
      <c r="F118" s="119" t="s">
        <v>477</v>
      </c>
      <c r="G118" s="119" t="s">
        <v>2956</v>
      </c>
      <c r="H118" s="119" t="s">
        <v>2850</v>
      </c>
      <c r="I118" s="119" t="s">
        <v>2106</v>
      </c>
      <c r="J118" s="119" t="s">
        <v>2844</v>
      </c>
      <c r="K118" s="123" t="s">
        <v>293</v>
      </c>
      <c r="L118" s="119" t="s">
        <v>1238</v>
      </c>
      <c r="M118" s="119"/>
    </row>
    <row r="119">
      <c r="A119" s="119" t="s">
        <v>3057</v>
      </c>
      <c r="B119" s="119" t="s">
        <v>2848</v>
      </c>
      <c r="C119" s="119" t="s">
        <v>2820</v>
      </c>
      <c r="D119" s="119" t="s">
        <v>1798</v>
      </c>
      <c r="E119" s="119" t="s">
        <v>1797</v>
      </c>
      <c r="F119" s="119" t="s">
        <v>487</v>
      </c>
      <c r="G119" s="119" t="s">
        <v>3016</v>
      </c>
      <c r="H119" s="119" t="s">
        <v>2850</v>
      </c>
      <c r="I119" s="119" t="s">
        <v>2108</v>
      </c>
      <c r="J119" s="119" t="s">
        <v>2844</v>
      </c>
      <c r="K119" s="123" t="s">
        <v>293</v>
      </c>
      <c r="L119" s="119" t="s">
        <v>1238</v>
      </c>
      <c r="M119" s="119"/>
    </row>
    <row r="120">
      <c r="A120" s="119" t="s">
        <v>3058</v>
      </c>
      <c r="B120" s="119" t="s">
        <v>2848</v>
      </c>
      <c r="C120" s="119" t="s">
        <v>2820</v>
      </c>
      <c r="D120" s="119" t="s">
        <v>1798</v>
      </c>
      <c r="E120" s="119" t="s">
        <v>1797</v>
      </c>
      <c r="F120" s="119" t="s">
        <v>492</v>
      </c>
      <c r="G120" s="119" t="s">
        <v>3059</v>
      </c>
      <c r="H120" s="119" t="s">
        <v>2850</v>
      </c>
      <c r="I120" s="119" t="s">
        <v>2110</v>
      </c>
      <c r="J120" s="119" t="s">
        <v>2844</v>
      </c>
      <c r="K120" s="123" t="s">
        <v>293</v>
      </c>
      <c r="L120" s="119" t="s">
        <v>915</v>
      </c>
      <c r="M120" s="119"/>
    </row>
    <row r="121">
      <c r="A121" s="119" t="s">
        <v>3060</v>
      </c>
      <c r="B121" s="119" t="s">
        <v>2848</v>
      </c>
      <c r="C121" s="119" t="s">
        <v>2820</v>
      </c>
      <c r="D121" s="119" t="s">
        <v>1798</v>
      </c>
      <c r="E121" s="119" t="s">
        <v>1797</v>
      </c>
      <c r="F121" s="119" t="s">
        <v>498</v>
      </c>
      <c r="G121" s="119" t="s">
        <v>3061</v>
      </c>
      <c r="H121" s="119" t="s">
        <v>2850</v>
      </c>
      <c r="I121" s="119" t="s">
        <v>2116</v>
      </c>
      <c r="J121" s="119" t="s">
        <v>2844</v>
      </c>
      <c r="K121" s="123" t="s">
        <v>293</v>
      </c>
      <c r="L121" s="119" t="s">
        <v>3062</v>
      </c>
      <c r="M121" s="119"/>
    </row>
    <row r="122">
      <c r="A122" s="119" t="s">
        <v>3063</v>
      </c>
      <c r="B122" s="119" t="s">
        <v>2848</v>
      </c>
      <c r="C122" s="119" t="s">
        <v>2820</v>
      </c>
      <c r="D122" s="119" t="s">
        <v>1798</v>
      </c>
      <c r="E122" s="119" t="s">
        <v>1797</v>
      </c>
      <c r="F122" s="119" t="s">
        <v>529</v>
      </c>
      <c r="G122" s="119" t="s">
        <v>3064</v>
      </c>
      <c r="H122" s="119" t="s">
        <v>2850</v>
      </c>
      <c r="I122" s="119" t="s">
        <v>2184</v>
      </c>
      <c r="J122" s="119" t="s">
        <v>2844</v>
      </c>
      <c r="K122" s="123" t="s">
        <v>293</v>
      </c>
      <c r="L122" s="119" t="s">
        <v>1799</v>
      </c>
      <c r="M122" s="119"/>
    </row>
    <row r="123">
      <c r="A123" s="119" t="s">
        <v>3065</v>
      </c>
      <c r="B123" s="119" t="s">
        <v>2848</v>
      </c>
      <c r="C123" s="119" t="s">
        <v>2820</v>
      </c>
      <c r="D123" s="119" t="s">
        <v>1798</v>
      </c>
      <c r="E123" s="119" t="s">
        <v>1797</v>
      </c>
      <c r="F123" s="119" t="s">
        <v>534</v>
      </c>
      <c r="G123" s="119" t="s">
        <v>699</v>
      </c>
      <c r="H123" s="119" t="s">
        <v>2850</v>
      </c>
      <c r="I123" s="119" t="s">
        <v>2186</v>
      </c>
      <c r="J123" s="119" t="s">
        <v>2844</v>
      </c>
      <c r="K123" s="123" t="s">
        <v>293</v>
      </c>
      <c r="L123" s="119" t="s">
        <v>1218</v>
      </c>
      <c r="M123" s="119"/>
    </row>
    <row r="124">
      <c r="A124" s="119" t="s">
        <v>3066</v>
      </c>
      <c r="B124" s="119" t="s">
        <v>2848</v>
      </c>
      <c r="C124" s="119" t="s">
        <v>2820</v>
      </c>
      <c r="D124" s="119" t="s">
        <v>1798</v>
      </c>
      <c r="E124" s="119" t="s">
        <v>1797</v>
      </c>
      <c r="F124" s="119" t="s">
        <v>541</v>
      </c>
      <c r="G124" s="119" t="s">
        <v>3067</v>
      </c>
      <c r="H124" s="119" t="s">
        <v>2850</v>
      </c>
      <c r="I124" s="119" t="s">
        <v>2188</v>
      </c>
      <c r="J124" s="119" t="s">
        <v>2844</v>
      </c>
      <c r="K124" s="123" t="s">
        <v>293</v>
      </c>
      <c r="L124" s="119" t="s">
        <v>541</v>
      </c>
      <c r="M124" s="119"/>
    </row>
    <row r="125">
      <c r="A125" s="119" t="s">
        <v>3068</v>
      </c>
      <c r="B125" s="119" t="s">
        <v>2848</v>
      </c>
      <c r="C125" s="119" t="s">
        <v>2820</v>
      </c>
      <c r="D125" s="119" t="s">
        <v>1798</v>
      </c>
      <c r="E125" s="119" t="s">
        <v>1797</v>
      </c>
      <c r="F125" s="119" t="s">
        <v>562</v>
      </c>
      <c r="G125" s="119" t="s">
        <v>3069</v>
      </c>
      <c r="H125" s="119" t="s">
        <v>2850</v>
      </c>
      <c r="I125" s="119" t="s">
        <v>2206</v>
      </c>
      <c r="J125" s="119" t="s">
        <v>2844</v>
      </c>
      <c r="K125" s="123" t="s">
        <v>293</v>
      </c>
      <c r="L125" s="119" t="s">
        <v>1238</v>
      </c>
      <c r="M125" s="119"/>
    </row>
    <row r="126">
      <c r="A126" s="119" t="s">
        <v>3070</v>
      </c>
      <c r="B126" s="119" t="s">
        <v>2848</v>
      </c>
      <c r="C126" s="119" t="s">
        <v>2820</v>
      </c>
      <c r="D126" s="119" t="s">
        <v>1798</v>
      </c>
      <c r="E126" s="119" t="s">
        <v>1797</v>
      </c>
      <c r="F126" s="119" t="s">
        <v>567</v>
      </c>
      <c r="G126" s="119" t="s">
        <v>3071</v>
      </c>
      <c r="H126" s="119" t="s">
        <v>2850</v>
      </c>
      <c r="I126" s="119" t="s">
        <v>2209</v>
      </c>
      <c r="J126" s="119" t="s">
        <v>2844</v>
      </c>
      <c r="K126" s="123" t="s">
        <v>293</v>
      </c>
      <c r="L126" s="119" t="s">
        <v>378</v>
      </c>
      <c r="M126" s="119"/>
    </row>
    <row r="127">
      <c r="A127" s="119" t="s">
        <v>3072</v>
      </c>
      <c r="B127" s="119" t="s">
        <v>2848</v>
      </c>
      <c r="C127" s="119" t="s">
        <v>2820</v>
      </c>
      <c r="D127" s="119" t="s">
        <v>1798</v>
      </c>
      <c r="E127" s="119" t="s">
        <v>1797</v>
      </c>
      <c r="F127" s="119" t="s">
        <v>973</v>
      </c>
      <c r="G127" s="119" t="s">
        <v>3073</v>
      </c>
      <c r="H127" s="119" t="s">
        <v>2850</v>
      </c>
      <c r="I127" s="119" t="s">
        <v>2217</v>
      </c>
      <c r="J127" s="119" t="s">
        <v>2844</v>
      </c>
      <c r="K127" s="123" t="s">
        <v>293</v>
      </c>
      <c r="L127" s="119" t="s">
        <v>378</v>
      </c>
      <c r="M127" s="119"/>
    </row>
    <row r="128">
      <c r="A128" s="119" t="s">
        <v>3074</v>
      </c>
      <c r="B128" s="119" t="s">
        <v>2848</v>
      </c>
      <c r="C128" s="119" t="s">
        <v>2820</v>
      </c>
      <c r="D128" s="119" t="s">
        <v>1798</v>
      </c>
      <c r="E128" s="119" t="s">
        <v>1797</v>
      </c>
      <c r="F128" s="119" t="s">
        <v>615</v>
      </c>
      <c r="G128" s="119" t="s">
        <v>3075</v>
      </c>
      <c r="H128" s="119" t="s">
        <v>2850</v>
      </c>
      <c r="I128" s="119" t="s">
        <v>2225</v>
      </c>
      <c r="J128" s="119" t="s">
        <v>2844</v>
      </c>
      <c r="K128" s="123" t="s">
        <v>293</v>
      </c>
      <c r="L128" s="119" t="s">
        <v>562</v>
      </c>
      <c r="M128" s="119"/>
    </row>
    <row r="129">
      <c r="A129" s="119" t="s">
        <v>3076</v>
      </c>
      <c r="B129" s="119" t="s">
        <v>2848</v>
      </c>
      <c r="C129" s="119" t="s">
        <v>2820</v>
      </c>
      <c r="D129" s="119" t="s">
        <v>1798</v>
      </c>
      <c r="E129" s="119" t="s">
        <v>1797</v>
      </c>
      <c r="F129" s="119" t="s">
        <v>1799</v>
      </c>
      <c r="G129" s="119" t="s">
        <v>3077</v>
      </c>
      <c r="H129" s="119" t="s">
        <v>2850</v>
      </c>
      <c r="I129" s="119" t="s">
        <v>1800</v>
      </c>
      <c r="J129" s="119" t="s">
        <v>2844</v>
      </c>
      <c r="K129" s="123" t="s">
        <v>293</v>
      </c>
      <c r="L129" s="119" t="s">
        <v>3078</v>
      </c>
      <c r="M129" s="119"/>
    </row>
    <row r="130">
      <c r="A130" s="119" t="s">
        <v>3079</v>
      </c>
      <c r="B130" s="119" t="s">
        <v>2848</v>
      </c>
      <c r="C130" s="119" t="s">
        <v>2820</v>
      </c>
      <c r="D130" s="119" t="s">
        <v>1798</v>
      </c>
      <c r="E130" s="119" t="s">
        <v>1797</v>
      </c>
      <c r="F130" s="119" t="s">
        <v>2246</v>
      </c>
      <c r="G130" s="119" t="s">
        <v>288</v>
      </c>
      <c r="H130" s="119" t="s">
        <v>2850</v>
      </c>
      <c r="I130" s="119" t="s">
        <v>2247</v>
      </c>
      <c r="J130" s="119" t="s">
        <v>2844</v>
      </c>
      <c r="K130" s="123" t="s">
        <v>293</v>
      </c>
      <c r="L130" s="119" t="s">
        <v>1238</v>
      </c>
      <c r="M130" s="119"/>
    </row>
    <row r="131">
      <c r="A131" s="119" t="s">
        <v>3080</v>
      </c>
      <c r="B131" s="119" t="s">
        <v>2848</v>
      </c>
      <c r="C131" s="119" t="s">
        <v>2820</v>
      </c>
      <c r="D131" s="119" t="s">
        <v>1798</v>
      </c>
      <c r="E131" s="119" t="s">
        <v>1797</v>
      </c>
      <c r="F131" s="119" t="s">
        <v>706</v>
      </c>
      <c r="G131" s="119" t="s">
        <v>3081</v>
      </c>
      <c r="H131" s="119" t="s">
        <v>2850</v>
      </c>
      <c r="I131" s="119" t="s">
        <v>2250</v>
      </c>
      <c r="J131" s="119" t="s">
        <v>2844</v>
      </c>
      <c r="K131" s="123" t="s">
        <v>293</v>
      </c>
      <c r="L131" s="119" t="s">
        <v>449</v>
      </c>
      <c r="M131" s="119"/>
    </row>
    <row r="132">
      <c r="A132" s="119" t="s">
        <v>3082</v>
      </c>
      <c r="B132" s="119" t="s">
        <v>2848</v>
      </c>
      <c r="C132" s="119" t="s">
        <v>2820</v>
      </c>
      <c r="D132" s="119" t="s">
        <v>1798</v>
      </c>
      <c r="E132" s="119" t="s">
        <v>1797</v>
      </c>
      <c r="F132" s="119" t="s">
        <v>768</v>
      </c>
      <c r="G132" s="119" t="s">
        <v>288</v>
      </c>
      <c r="H132" s="119" t="s">
        <v>2850</v>
      </c>
      <c r="I132" s="119" t="s">
        <v>2266</v>
      </c>
      <c r="J132" s="119" t="s">
        <v>2844</v>
      </c>
      <c r="K132" s="123" t="s">
        <v>293</v>
      </c>
      <c r="L132" s="119" t="s">
        <v>1799</v>
      </c>
      <c r="M132" s="119"/>
    </row>
    <row r="133">
      <c r="A133" s="119" t="s">
        <v>3083</v>
      </c>
      <c r="B133" s="119" t="s">
        <v>2848</v>
      </c>
      <c r="C133" s="119" t="s">
        <v>2820</v>
      </c>
      <c r="D133" s="119" t="s">
        <v>1798</v>
      </c>
      <c r="E133" s="119" t="s">
        <v>1797</v>
      </c>
      <c r="F133" s="119" t="s">
        <v>845</v>
      </c>
      <c r="G133" s="119" t="s">
        <v>3084</v>
      </c>
      <c r="H133" s="119" t="s">
        <v>2850</v>
      </c>
      <c r="I133" s="119" t="s">
        <v>2270</v>
      </c>
      <c r="J133" s="119" t="s">
        <v>2844</v>
      </c>
      <c r="K133" s="123" t="s">
        <v>293</v>
      </c>
      <c r="L133" s="119" t="s">
        <v>872</v>
      </c>
      <c r="M133" s="119"/>
    </row>
    <row r="134">
      <c r="A134" s="119" t="s">
        <v>3085</v>
      </c>
      <c r="B134" s="119" t="s">
        <v>2848</v>
      </c>
      <c r="C134" s="119" t="s">
        <v>2820</v>
      </c>
      <c r="D134" s="119" t="s">
        <v>1798</v>
      </c>
      <c r="E134" s="119" t="s">
        <v>1797</v>
      </c>
      <c r="F134" s="119" t="s">
        <v>915</v>
      </c>
      <c r="G134" s="119" t="s">
        <v>3086</v>
      </c>
      <c r="H134" s="119" t="s">
        <v>2850</v>
      </c>
      <c r="I134" s="119" t="s">
        <v>1880</v>
      </c>
      <c r="J134" s="119" t="s">
        <v>2844</v>
      </c>
      <c r="K134" s="123" t="s">
        <v>293</v>
      </c>
      <c r="L134" s="119" t="s">
        <v>477</v>
      </c>
      <c r="M134" s="119"/>
    </row>
    <row r="135">
      <c r="A135" s="119" t="s">
        <v>3087</v>
      </c>
      <c r="B135" s="119" t="s">
        <v>2848</v>
      </c>
      <c r="C135" s="119" t="s">
        <v>2820</v>
      </c>
      <c r="D135" s="119" t="s">
        <v>1798</v>
      </c>
      <c r="E135" s="119" t="s">
        <v>1797</v>
      </c>
      <c r="F135" s="119" t="s">
        <v>921</v>
      </c>
      <c r="G135" s="119" t="s">
        <v>3088</v>
      </c>
      <c r="H135" s="119" t="s">
        <v>2850</v>
      </c>
      <c r="I135" s="119" t="s">
        <v>1891</v>
      </c>
      <c r="J135" s="119" t="s">
        <v>2844</v>
      </c>
      <c r="K135" s="123" t="s">
        <v>293</v>
      </c>
      <c r="L135" s="119" t="s">
        <v>498</v>
      </c>
      <c r="M135" s="119"/>
    </row>
    <row r="136">
      <c r="A136" s="119" t="s">
        <v>3089</v>
      </c>
      <c r="B136" s="119" t="s">
        <v>3090</v>
      </c>
      <c r="C136" s="119" t="s">
        <v>2820</v>
      </c>
      <c r="D136" s="119"/>
      <c r="E136" s="119"/>
      <c r="F136" s="119"/>
      <c r="G136" s="119"/>
      <c r="H136" s="119" t="s">
        <v>3091</v>
      </c>
      <c r="I136" s="119" t="s">
        <v>3092</v>
      </c>
      <c r="J136" s="119" t="s">
        <v>211</v>
      </c>
      <c r="K136" s="123" t="s">
        <v>293</v>
      </c>
      <c r="L136" s="119" t="s">
        <v>887</v>
      </c>
      <c r="M136" s="119" t="s">
        <v>49</v>
      </c>
    </row>
    <row r="137">
      <c r="A137" s="119" t="s">
        <v>3093</v>
      </c>
      <c r="B137" s="119" t="s">
        <v>3090</v>
      </c>
      <c r="C137" s="119" t="s">
        <v>2820</v>
      </c>
      <c r="D137" s="119"/>
      <c r="E137" s="119"/>
      <c r="F137" s="119"/>
      <c r="G137" s="119"/>
      <c r="H137" s="119" t="s">
        <v>3091</v>
      </c>
      <c r="I137" s="119" t="s">
        <v>3094</v>
      </c>
      <c r="J137" s="119" t="s">
        <v>211</v>
      </c>
      <c r="K137" s="123" t="s">
        <v>293</v>
      </c>
      <c r="L137" s="119" t="s">
        <v>1218</v>
      </c>
      <c r="M137" s="119" t="s">
        <v>3095</v>
      </c>
    </row>
    <row r="138">
      <c r="A138" s="119" t="s">
        <v>3096</v>
      </c>
      <c r="B138" s="119" t="s">
        <v>3090</v>
      </c>
      <c r="C138" s="119" t="s">
        <v>2820</v>
      </c>
      <c r="D138" s="119"/>
      <c r="E138" s="119"/>
      <c r="F138" s="119"/>
      <c r="G138" s="119"/>
      <c r="H138" s="119" t="s">
        <v>3091</v>
      </c>
      <c r="I138" s="119" t="s">
        <v>3097</v>
      </c>
      <c r="J138" s="119" t="s">
        <v>211</v>
      </c>
      <c r="K138" s="123" t="s">
        <v>293</v>
      </c>
      <c r="L138" s="119" t="s">
        <v>887</v>
      </c>
      <c r="M138" s="119" t="s">
        <v>59</v>
      </c>
    </row>
    <row r="139">
      <c r="A139" s="119" t="s">
        <v>3098</v>
      </c>
      <c r="B139" s="119" t="s">
        <v>3090</v>
      </c>
      <c r="C139" s="119" t="s">
        <v>2820</v>
      </c>
      <c r="D139" s="119"/>
      <c r="E139" s="119"/>
      <c r="F139" s="119"/>
      <c r="G139" s="119"/>
      <c r="H139" s="119" t="s">
        <v>3091</v>
      </c>
      <c r="I139" s="119" t="s">
        <v>3099</v>
      </c>
      <c r="J139" s="119" t="s">
        <v>211</v>
      </c>
      <c r="K139" s="123" t="s">
        <v>293</v>
      </c>
      <c r="L139" s="119" t="s">
        <v>1218</v>
      </c>
      <c r="M139" s="119" t="s">
        <v>3100</v>
      </c>
    </row>
    <row r="140">
      <c r="A140" s="119" t="s">
        <v>3101</v>
      </c>
      <c r="B140" s="119" t="s">
        <v>3090</v>
      </c>
      <c r="C140" s="119" t="s">
        <v>2820</v>
      </c>
      <c r="D140" s="119"/>
      <c r="E140" s="119"/>
      <c r="F140" s="119"/>
      <c r="G140" s="119"/>
      <c r="H140" s="119" t="s">
        <v>3091</v>
      </c>
      <c r="I140" s="119" t="s">
        <v>3102</v>
      </c>
      <c r="J140" s="119" t="s">
        <v>211</v>
      </c>
      <c r="K140" s="123" t="s">
        <v>293</v>
      </c>
      <c r="L140" s="119" t="s">
        <v>315</v>
      </c>
      <c r="M140" s="119" t="s">
        <v>58</v>
      </c>
    </row>
    <row r="141">
      <c r="A141" s="119" t="s">
        <v>3103</v>
      </c>
      <c r="B141" s="119" t="s">
        <v>3104</v>
      </c>
      <c r="C141" s="119" t="s">
        <v>2820</v>
      </c>
      <c r="D141" s="119"/>
      <c r="E141" s="119"/>
      <c r="F141" s="119"/>
      <c r="G141" s="119"/>
      <c r="H141" s="119" t="s">
        <v>3105</v>
      </c>
      <c r="I141" s="119" t="s">
        <v>3106</v>
      </c>
      <c r="J141" s="119" t="s">
        <v>211</v>
      </c>
      <c r="K141" s="123" t="s">
        <v>293</v>
      </c>
      <c r="L141" s="119" t="s">
        <v>2886</v>
      </c>
      <c r="M141" s="119" t="s">
        <v>3107</v>
      </c>
    </row>
    <row r="142">
      <c r="A142" s="119" t="s">
        <v>3108</v>
      </c>
      <c r="B142" s="119" t="s">
        <v>3104</v>
      </c>
      <c r="C142" s="119" t="s">
        <v>2820</v>
      </c>
      <c r="D142" s="119"/>
      <c r="E142" s="119"/>
      <c r="F142" s="119"/>
      <c r="G142" s="119"/>
      <c r="H142" s="119" t="s">
        <v>3109</v>
      </c>
      <c r="I142" s="119" t="s">
        <v>3106</v>
      </c>
      <c r="J142" s="119" t="s">
        <v>211</v>
      </c>
      <c r="K142" s="123" t="s">
        <v>293</v>
      </c>
      <c r="L142" s="119" t="s">
        <v>3110</v>
      </c>
      <c r="M142" s="119" t="s">
        <v>3107</v>
      </c>
    </row>
    <row r="143">
      <c r="A143" s="119" t="s">
        <v>3111</v>
      </c>
      <c r="B143" s="119" t="s">
        <v>3104</v>
      </c>
      <c r="C143" s="119" t="s">
        <v>2820</v>
      </c>
      <c r="D143" s="119"/>
      <c r="E143" s="119"/>
      <c r="F143" s="119"/>
      <c r="G143" s="119"/>
      <c r="H143" s="119" t="s">
        <v>3112</v>
      </c>
      <c r="I143" s="119" t="s">
        <v>3106</v>
      </c>
      <c r="J143" s="119" t="s">
        <v>211</v>
      </c>
      <c r="K143" s="123" t="s">
        <v>293</v>
      </c>
      <c r="L143" s="119" t="s">
        <v>3113</v>
      </c>
      <c r="M143" s="119" t="s">
        <v>3107</v>
      </c>
    </row>
    <row r="144">
      <c r="A144" s="119" t="s">
        <v>3114</v>
      </c>
      <c r="B144" s="119" t="s">
        <v>3104</v>
      </c>
      <c r="C144" s="119" t="s">
        <v>2820</v>
      </c>
      <c r="D144" s="119"/>
      <c r="E144" s="119"/>
      <c r="F144" s="119"/>
      <c r="G144" s="119"/>
      <c r="H144" s="119" t="s">
        <v>3115</v>
      </c>
      <c r="I144" s="119" t="s">
        <v>3106</v>
      </c>
      <c r="J144" s="119" t="s">
        <v>211</v>
      </c>
      <c r="K144" s="123" t="s">
        <v>293</v>
      </c>
      <c r="L144" s="119" t="s">
        <v>3116</v>
      </c>
      <c r="M144" s="119" t="s">
        <v>3107</v>
      </c>
    </row>
    <row r="145">
      <c r="A145" s="119" t="s">
        <v>3117</v>
      </c>
      <c r="B145" s="119" t="s">
        <v>3104</v>
      </c>
      <c r="C145" s="119" t="s">
        <v>2820</v>
      </c>
      <c r="D145" s="119"/>
      <c r="E145" s="119"/>
      <c r="F145" s="119"/>
      <c r="G145" s="119"/>
      <c r="H145" s="119" t="s">
        <v>3118</v>
      </c>
      <c r="I145" s="119" t="s">
        <v>3106</v>
      </c>
      <c r="J145" s="119" t="s">
        <v>211</v>
      </c>
      <c r="K145" s="123" t="s">
        <v>293</v>
      </c>
      <c r="L145" s="119" t="s">
        <v>2246</v>
      </c>
      <c r="M145" s="119" t="s">
        <v>3107</v>
      </c>
    </row>
    <row r="146">
      <c r="A146" s="119" t="s">
        <v>3119</v>
      </c>
      <c r="B146" s="119" t="s">
        <v>3104</v>
      </c>
      <c r="C146" s="119" t="s">
        <v>2820</v>
      </c>
      <c r="D146" s="119"/>
      <c r="E146" s="119"/>
      <c r="F146" s="119"/>
      <c r="G146" s="119"/>
      <c r="H146" s="119" t="s">
        <v>3120</v>
      </c>
      <c r="I146" s="119" t="s">
        <v>3106</v>
      </c>
      <c r="J146" s="119" t="s">
        <v>211</v>
      </c>
      <c r="K146" s="123" t="s">
        <v>293</v>
      </c>
      <c r="L146" s="119" t="s">
        <v>3121</v>
      </c>
      <c r="M146" s="119" t="s">
        <v>3107</v>
      </c>
    </row>
    <row r="147">
      <c r="A147" s="119" t="s">
        <v>3122</v>
      </c>
      <c r="B147" s="119" t="s">
        <v>3104</v>
      </c>
      <c r="C147" s="119" t="s">
        <v>2820</v>
      </c>
      <c r="D147" s="119"/>
      <c r="E147" s="119"/>
      <c r="F147" s="119"/>
      <c r="G147" s="119"/>
      <c r="H147" s="119" t="s">
        <v>3123</v>
      </c>
      <c r="I147" s="119" t="s">
        <v>3106</v>
      </c>
      <c r="J147" s="119" t="s">
        <v>211</v>
      </c>
      <c r="K147" s="123" t="s">
        <v>293</v>
      </c>
      <c r="L147" s="119" t="s">
        <v>3124</v>
      </c>
      <c r="M147" s="119" t="s">
        <v>3107</v>
      </c>
    </row>
    <row r="148">
      <c r="A148" s="119" t="s">
        <v>3125</v>
      </c>
      <c r="B148" s="119" t="s">
        <v>3104</v>
      </c>
      <c r="C148" s="119" t="s">
        <v>2820</v>
      </c>
      <c r="D148" s="119"/>
      <c r="E148" s="119"/>
      <c r="F148" s="119"/>
      <c r="G148" s="119"/>
      <c r="H148" s="119" t="s">
        <v>3126</v>
      </c>
      <c r="I148" s="119" t="s">
        <v>3106</v>
      </c>
      <c r="J148" s="119" t="s">
        <v>211</v>
      </c>
      <c r="K148" s="123" t="s">
        <v>293</v>
      </c>
      <c r="L148" s="119" t="s">
        <v>845</v>
      </c>
      <c r="M148" s="119" t="s">
        <v>3107</v>
      </c>
    </row>
    <row r="149">
      <c r="A149" s="119" t="s">
        <v>3127</v>
      </c>
      <c r="B149" s="119" t="s">
        <v>3104</v>
      </c>
      <c r="C149" s="119" t="s">
        <v>2820</v>
      </c>
      <c r="D149" s="119"/>
      <c r="E149" s="119"/>
      <c r="F149" s="119"/>
      <c r="G149" s="119"/>
      <c r="H149" s="119" t="s">
        <v>3128</v>
      </c>
      <c r="I149" s="119" t="s">
        <v>3106</v>
      </c>
      <c r="J149" s="119" t="s">
        <v>211</v>
      </c>
      <c r="K149" s="123" t="s">
        <v>293</v>
      </c>
      <c r="L149" s="119" t="s">
        <v>973</v>
      </c>
      <c r="M149" s="119" t="s">
        <v>3107</v>
      </c>
    </row>
    <row r="150">
      <c r="A150" s="119" t="s">
        <v>3129</v>
      </c>
      <c r="B150" s="119" t="s">
        <v>3130</v>
      </c>
      <c r="C150" s="119" t="s">
        <v>2820</v>
      </c>
      <c r="D150" s="119"/>
      <c r="E150" s="119"/>
      <c r="F150" s="119"/>
      <c r="G150" s="119"/>
      <c r="H150" s="119" t="s">
        <v>3120</v>
      </c>
      <c r="I150" s="119" t="s">
        <v>3131</v>
      </c>
      <c r="J150" s="120" t="s">
        <v>3132</v>
      </c>
      <c r="K150" s="121" t="s">
        <v>2741</v>
      </c>
      <c r="L150" s="119" t="s">
        <v>1218</v>
      </c>
      <c r="M150" s="119" t="s">
        <v>3133</v>
      </c>
    </row>
    <row r="151">
      <c r="A151" s="119" t="s">
        <v>3134</v>
      </c>
      <c r="B151" s="119" t="s">
        <v>3130</v>
      </c>
      <c r="C151" s="119" t="s">
        <v>2820</v>
      </c>
      <c r="D151" s="119"/>
      <c r="E151" s="119"/>
      <c r="F151" s="119"/>
      <c r="G151" s="119"/>
      <c r="H151" s="119" t="s">
        <v>3120</v>
      </c>
      <c r="I151" s="119" t="s">
        <v>3135</v>
      </c>
      <c r="J151" s="120" t="s">
        <v>3132</v>
      </c>
      <c r="K151" s="123" t="s">
        <v>293</v>
      </c>
      <c r="L151" s="119" t="s">
        <v>1218</v>
      </c>
      <c r="M151" s="119" t="s">
        <v>3136</v>
      </c>
    </row>
    <row r="152">
      <c r="A152" s="119" t="s">
        <v>3137</v>
      </c>
      <c r="B152" s="119" t="s">
        <v>3130</v>
      </c>
      <c r="C152" s="119" t="s">
        <v>2820</v>
      </c>
      <c r="D152" s="119"/>
      <c r="E152" s="119"/>
      <c r="F152" s="119"/>
      <c r="G152" s="119"/>
      <c r="H152" s="119" t="s">
        <v>3120</v>
      </c>
      <c r="I152" s="119" t="s">
        <v>3138</v>
      </c>
      <c r="J152" s="120" t="s">
        <v>3132</v>
      </c>
      <c r="K152" s="123" t="s">
        <v>293</v>
      </c>
      <c r="L152" s="119" t="s">
        <v>1218</v>
      </c>
      <c r="M152" s="119" t="s">
        <v>3139</v>
      </c>
    </row>
    <row r="153">
      <c r="A153" s="119" t="s">
        <v>3140</v>
      </c>
      <c r="B153" s="119" t="s">
        <v>3130</v>
      </c>
      <c r="C153" s="119" t="s">
        <v>2820</v>
      </c>
      <c r="D153" s="119"/>
      <c r="E153" s="119"/>
      <c r="F153" s="119"/>
      <c r="G153" s="119"/>
      <c r="H153" s="119" t="s">
        <v>3123</v>
      </c>
      <c r="I153" s="119" t="s">
        <v>3141</v>
      </c>
      <c r="J153" s="120" t="s">
        <v>3132</v>
      </c>
      <c r="K153" s="123" t="s">
        <v>293</v>
      </c>
      <c r="L153" s="119" t="s">
        <v>1218</v>
      </c>
      <c r="M153" s="119" t="s">
        <v>3142</v>
      </c>
    </row>
    <row r="154">
      <c r="A154" s="119" t="s">
        <v>3143</v>
      </c>
      <c r="B154" s="119" t="s">
        <v>3130</v>
      </c>
      <c r="C154" s="119" t="s">
        <v>2820</v>
      </c>
      <c r="D154" s="119"/>
      <c r="E154" s="119"/>
      <c r="F154" s="119"/>
      <c r="G154" s="119"/>
      <c r="H154" s="119" t="s">
        <v>3144</v>
      </c>
      <c r="I154" s="119" t="s">
        <v>3145</v>
      </c>
      <c r="J154" s="120" t="s">
        <v>3132</v>
      </c>
      <c r="K154" s="123" t="s">
        <v>293</v>
      </c>
      <c r="L154" s="119" t="s">
        <v>1218</v>
      </c>
      <c r="M154" s="119" t="s">
        <v>3146</v>
      </c>
    </row>
    <row r="155">
      <c r="A155" s="119" t="s">
        <v>3147</v>
      </c>
      <c r="B155" s="119" t="s">
        <v>3130</v>
      </c>
      <c r="C155" s="119" t="s">
        <v>2820</v>
      </c>
      <c r="D155" s="119"/>
      <c r="E155" s="119"/>
      <c r="F155" s="119"/>
      <c r="G155" s="119"/>
      <c r="H155" s="119" t="s">
        <v>3120</v>
      </c>
      <c r="I155" s="119" t="s">
        <v>3148</v>
      </c>
      <c r="J155" s="120" t="s">
        <v>3132</v>
      </c>
      <c r="K155" s="123" t="s">
        <v>293</v>
      </c>
      <c r="L155" s="119" t="s">
        <v>1218</v>
      </c>
      <c r="M155" s="119" t="s">
        <v>3149</v>
      </c>
    </row>
    <row r="156">
      <c r="A156" s="119" t="s">
        <v>3150</v>
      </c>
      <c r="B156" s="119" t="s">
        <v>3130</v>
      </c>
      <c r="C156" s="119" t="s">
        <v>2820</v>
      </c>
      <c r="D156" s="119"/>
      <c r="E156" s="119"/>
      <c r="F156" s="119"/>
      <c r="G156" s="119"/>
      <c r="H156" s="119" t="s">
        <v>3128</v>
      </c>
      <c r="I156" s="119" t="s">
        <v>3151</v>
      </c>
      <c r="J156" s="120" t="s">
        <v>3132</v>
      </c>
      <c r="K156" s="123" t="s">
        <v>293</v>
      </c>
      <c r="L156" s="119" t="s">
        <v>1218</v>
      </c>
      <c r="M156" s="119" t="s">
        <v>3152</v>
      </c>
    </row>
    <row r="157">
      <c r="A157" s="119" t="s">
        <v>3153</v>
      </c>
      <c r="B157" s="119" t="s">
        <v>3130</v>
      </c>
      <c r="C157" s="119" t="s">
        <v>2820</v>
      </c>
      <c r="D157" s="119"/>
      <c r="E157" s="119"/>
      <c r="F157" s="119"/>
      <c r="G157" s="119"/>
      <c r="H157" s="119" t="s">
        <v>3154</v>
      </c>
      <c r="I157" s="119" t="s">
        <v>3155</v>
      </c>
      <c r="J157" s="120" t="s">
        <v>3132</v>
      </c>
      <c r="K157" s="123" t="s">
        <v>293</v>
      </c>
      <c r="L157" s="119" t="s">
        <v>1218</v>
      </c>
      <c r="M157" s="119" t="s">
        <v>3156</v>
      </c>
    </row>
    <row r="158">
      <c r="A158" s="119" t="s">
        <v>3157</v>
      </c>
      <c r="B158" s="119" t="s">
        <v>3130</v>
      </c>
      <c r="C158" s="119" t="s">
        <v>2820</v>
      </c>
      <c r="D158" s="119"/>
      <c r="E158" s="119"/>
      <c r="F158" s="119"/>
      <c r="G158" s="119"/>
      <c r="H158" s="119" t="s">
        <v>3128</v>
      </c>
      <c r="I158" s="119" t="s">
        <v>3158</v>
      </c>
      <c r="J158" s="120" t="s">
        <v>3132</v>
      </c>
      <c r="K158" s="123" t="s">
        <v>293</v>
      </c>
      <c r="L158" s="119" t="s">
        <v>1218</v>
      </c>
      <c r="M158" s="119" t="s">
        <v>3159</v>
      </c>
    </row>
  </sheetData>
</worksheet>
</file>

<file path=xl/worksheets/sheet17.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122" t="s">
        <v>0</v>
      </c>
      <c r="B1" s="119"/>
      <c r="C1" s="119"/>
      <c r="D1" s="119"/>
      <c r="E1" s="119"/>
      <c r="F1" s="119"/>
      <c r="G1" s="119"/>
      <c r="H1" s="119"/>
    </row>
    <row r="2">
      <c r="A2" s="119" t="s">
        <v>3160</v>
      </c>
      <c r="B2" s="119"/>
      <c r="C2" s="119"/>
      <c r="D2" s="119"/>
      <c r="E2" s="119"/>
      <c r="F2" s="119"/>
      <c r="G2" s="119"/>
      <c r="H2" s="119"/>
    </row>
    <row r="3">
      <c r="A3" s="121" t="s">
        <v>3161</v>
      </c>
      <c r="B3" s="121"/>
      <c r="C3" s="121"/>
      <c r="D3" s="121"/>
      <c r="E3" s="121"/>
      <c r="F3" s="121"/>
      <c r="G3" s="121"/>
      <c r="H3" s="121"/>
    </row>
    <row r="4">
      <c r="A4" s="119"/>
      <c r="B4" s="119"/>
      <c r="C4" s="119"/>
      <c r="D4" s="119"/>
      <c r="E4" s="119"/>
      <c r="F4" s="119"/>
      <c r="G4" s="119"/>
      <c r="H4" s="119"/>
    </row>
    <row r="5">
      <c r="A5" s="119"/>
      <c r="B5" s="119"/>
      <c r="C5" s="119"/>
      <c r="D5" s="119"/>
      <c r="E5" s="119"/>
      <c r="F5" s="119"/>
      <c r="G5" s="119"/>
      <c r="H5" s="119"/>
    </row>
    <row r="6">
      <c r="A6" s="119"/>
      <c r="B6" s="119"/>
      <c r="C6" s="119"/>
      <c r="D6" s="119"/>
      <c r="E6" s="119"/>
      <c r="F6" s="119"/>
      <c r="G6" s="119"/>
      <c r="H6" s="119"/>
    </row>
    <row r="7">
      <c r="A7" s="119"/>
      <c r="B7" s="119"/>
      <c r="C7" s="119"/>
      <c r="D7" s="119"/>
      <c r="E7" s="119"/>
      <c r="F7" s="119"/>
      <c r="G7" s="119"/>
      <c r="H7" s="119"/>
    </row>
    <row r="8">
      <c r="A8" s="119"/>
      <c r="B8" s="119"/>
      <c r="C8" s="119"/>
      <c r="D8" s="119"/>
      <c r="E8" s="119"/>
      <c r="F8" s="119"/>
      <c r="G8" s="119"/>
      <c r="H8" s="119"/>
    </row>
    <row r="9">
      <c r="A9" s="119"/>
      <c r="B9" s="119"/>
      <c r="C9" s="119"/>
      <c r="D9" s="119"/>
      <c r="E9" s="119"/>
      <c r="F9" s="119"/>
      <c r="G9" s="119"/>
      <c r="H9" s="119"/>
    </row>
    <row r="10">
      <c r="A10" s="119"/>
      <c r="B10" s="119"/>
      <c r="C10" s="119"/>
      <c r="D10" s="119"/>
      <c r="E10" s="119"/>
      <c r="F10" s="119"/>
      <c r="G10" s="119"/>
      <c r="H10" s="119"/>
    </row>
    <row r="11">
      <c r="A11" s="119"/>
      <c r="B11" s="119"/>
      <c r="C11" s="119"/>
      <c r="D11" s="119"/>
      <c r="E11" s="119"/>
      <c r="F11" s="119"/>
      <c r="G11" s="119"/>
      <c r="H11" s="119"/>
    </row>
    <row r="12">
      <c r="A12" s="119"/>
      <c r="B12" s="119"/>
      <c r="C12" s="119"/>
      <c r="D12" s="119"/>
      <c r="E12" s="119"/>
      <c r="F12" s="119"/>
      <c r="G12" s="119"/>
      <c r="H12" s="119"/>
    </row>
    <row r="13">
      <c r="A13" s="119"/>
      <c r="B13" s="119"/>
      <c r="C13" s="119"/>
      <c r="D13" s="119"/>
      <c r="E13" s="119"/>
      <c r="F13" s="119"/>
      <c r="G13" s="119"/>
      <c r="H13" s="119"/>
    </row>
    <row r="14">
      <c r="A14" s="119"/>
      <c r="B14" s="119"/>
      <c r="C14" s="119"/>
      <c r="D14" s="119"/>
      <c r="E14" s="119"/>
      <c r="F14" s="119"/>
      <c r="G14" s="119"/>
      <c r="H14" s="119"/>
    </row>
    <row r="15">
      <c r="A15" s="119"/>
      <c r="B15" s="119"/>
      <c r="C15" s="119"/>
      <c r="D15" s="119"/>
      <c r="E15" s="119"/>
      <c r="F15" s="119"/>
      <c r="G15" s="119"/>
      <c r="H15" s="119"/>
    </row>
    <row r="16">
      <c r="A16" s="119"/>
      <c r="B16" s="119"/>
      <c r="C16" s="119"/>
      <c r="D16" s="119"/>
      <c r="E16" s="119"/>
      <c r="F16" s="119"/>
      <c r="G16" s="119"/>
      <c r="H16" s="119"/>
    </row>
    <row r="17">
      <c r="A17" s="119"/>
      <c r="B17" s="119"/>
      <c r="C17" s="119"/>
      <c r="D17" s="119"/>
      <c r="E17" s="119"/>
      <c r="F17" s="119"/>
      <c r="G17" s="119"/>
      <c r="H17" s="119"/>
    </row>
    <row r="18">
      <c r="A18" s="119"/>
      <c r="B18" s="120"/>
      <c r="C18" s="119"/>
      <c r="D18" s="119"/>
      <c r="E18" s="119"/>
      <c r="F18" s="119"/>
      <c r="G18" s="119"/>
      <c r="H18" s="119"/>
    </row>
    <row r="19">
      <c r="A19" s="119"/>
      <c r="B19" s="120"/>
      <c r="C19" s="119"/>
      <c r="D19" s="119"/>
      <c r="E19" s="119"/>
      <c r="F19" s="119"/>
      <c r="G19" s="119"/>
      <c r="H19" s="119"/>
    </row>
    <row r="20">
      <c r="A20" s="119"/>
      <c r="B20" s="120"/>
      <c r="C20" s="119"/>
      <c r="D20" s="119"/>
      <c r="E20" s="119"/>
      <c r="F20" s="119"/>
      <c r="G20" s="119"/>
      <c r="H20" s="119"/>
    </row>
    <row r="21">
      <c r="A21" s="119"/>
      <c r="B21" s="120"/>
      <c r="C21" s="119"/>
      <c r="D21" s="119"/>
      <c r="E21" s="119"/>
      <c r="F21" s="119"/>
      <c r="G21" s="119"/>
      <c r="H21" s="119"/>
    </row>
    <row r="22">
      <c r="A22" s="119"/>
      <c r="B22" s="120"/>
      <c r="C22" s="119"/>
      <c r="D22" s="119"/>
      <c r="E22" s="119"/>
      <c r="F22" s="119"/>
      <c r="G22" s="119"/>
      <c r="H22" s="119"/>
    </row>
    <row r="23">
      <c r="A23" s="119"/>
      <c r="B23" s="120"/>
      <c r="C23" s="119"/>
      <c r="D23" s="119"/>
      <c r="E23" s="119"/>
      <c r="F23" s="119"/>
      <c r="G23" s="119"/>
      <c r="H23" s="119"/>
    </row>
    <row r="24">
      <c r="A24" s="119"/>
      <c r="B24" s="120"/>
      <c r="C24" s="119"/>
      <c r="D24" s="119"/>
      <c r="E24" s="119"/>
      <c r="F24" s="119"/>
      <c r="G24" s="119"/>
      <c r="H24" s="119"/>
    </row>
    <row r="25">
      <c r="A25" s="119"/>
      <c r="B25" s="120"/>
      <c r="C25" s="119"/>
      <c r="D25" s="119"/>
      <c r="E25" s="119"/>
      <c r="F25" s="119"/>
      <c r="G25" s="119"/>
      <c r="H25" s="119"/>
    </row>
    <row r="26">
      <c r="A26" s="119"/>
      <c r="B26" s="120"/>
      <c r="C26" s="119"/>
      <c r="D26" s="119"/>
      <c r="E26" s="119"/>
      <c r="F26" s="119"/>
      <c r="G26" s="119"/>
      <c r="H26" s="119"/>
    </row>
    <row r="27">
      <c r="A27" s="119"/>
      <c r="B27" s="120"/>
      <c r="C27" s="119"/>
      <c r="D27" s="119"/>
      <c r="E27" s="119"/>
      <c r="F27" s="119"/>
      <c r="G27" s="119"/>
      <c r="H27" s="119"/>
    </row>
    <row r="28">
      <c r="A28" s="119"/>
      <c r="B28" s="120"/>
      <c r="C28" s="119"/>
      <c r="D28" s="119"/>
      <c r="E28" s="119"/>
      <c r="F28" s="119"/>
      <c r="G28" s="119"/>
      <c r="H28" s="119"/>
    </row>
    <row r="29">
      <c r="A29" s="119"/>
      <c r="B29" s="120"/>
      <c r="C29" s="119"/>
      <c r="D29" s="119"/>
      <c r="E29" s="119"/>
      <c r="F29" s="119"/>
      <c r="G29" s="119"/>
      <c r="H29" s="119"/>
    </row>
    <row r="30">
      <c r="A30" s="119"/>
      <c r="B30" s="120"/>
      <c r="C30" s="119"/>
      <c r="D30" s="119"/>
      <c r="E30" s="119"/>
      <c r="F30" s="119"/>
      <c r="G30" s="119"/>
      <c r="H30" s="119"/>
    </row>
    <row r="31">
      <c r="A31" s="119"/>
      <c r="B31" s="120"/>
      <c r="C31" s="119"/>
      <c r="D31" s="119"/>
      <c r="E31" s="119"/>
      <c r="F31" s="119"/>
      <c r="G31" s="119"/>
      <c r="H31" s="119"/>
    </row>
    <row r="32">
      <c r="A32" s="119"/>
      <c r="B32" s="120"/>
      <c r="C32" s="119"/>
      <c r="D32" s="119"/>
      <c r="E32" s="119"/>
      <c r="F32" s="119"/>
      <c r="G32" s="119"/>
      <c r="H32" s="119"/>
    </row>
    <row r="33">
      <c r="A33" s="119"/>
      <c r="B33" s="119"/>
      <c r="C33" s="119"/>
      <c r="D33" s="119"/>
      <c r="E33" s="119"/>
      <c r="F33" s="119"/>
      <c r="G33" s="119"/>
      <c r="H33" s="119"/>
    </row>
  </sheetData>
</worksheet>
</file>

<file path=xl/worksheets/sheet18.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124" t="s">
        <v>3162</v>
      </c>
      <c r="B1" s="124" t="s">
        <v>3163</v>
      </c>
      <c r="C1" s="124" t="s">
        <v>3164</v>
      </c>
      <c r="D1" s="124" t="s">
        <v>3165</v>
      </c>
      <c r="E1" s="124" t="s">
        <v>3166</v>
      </c>
      <c r="F1" s="124" t="s">
        <v>3167</v>
      </c>
    </row>
    <row r="2">
      <c r="A2" s="125">
        <v>1</v>
      </c>
      <c r="B2" s="126">
        <v>46324.35932467593</v>
      </c>
      <c r="C2" s="125" t="s">
        <v>3168</v>
      </c>
      <c r="D2" s="125" t="s">
        <v>3169</v>
      </c>
      <c r="E2" s="125" t="s">
        <v>3170</v>
      </c>
      <c r="F2" s="125" t="s">
        <v>3171</v>
      </c>
    </row>
  </sheetData>
</worksheet>
</file>