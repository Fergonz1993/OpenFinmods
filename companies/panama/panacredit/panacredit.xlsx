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Notas_EEFF" sheetId="2" r:id="rId5"/>
    <sheet name="Supuestos" sheetId="3" r:id="rId6"/>
    <sheet name="ModeloFinanciero" sheetId="4" r:id="rId7"/>
    <sheet name="_CHECKS" sheetId="5" r:id="rId8"/>
    <sheet name="Source_Register" sheetId="6" r:id="rId9"/>
    <sheet name="_CHANGELOG" sheetId="7" r:id="rId10"/>
    <sheet name="MD&amp;A" sheetId="8" r:id="rId11"/>
    <sheet name="Claude Code Log" sheetId="9" r:id="rId12"/>
  </sheets>
  <calcPr calcId="0"/>
</workbook>
</file>

<file path=xl/sharedStrings.xml><?xml version="1.0" encoding="utf-8"?>
<sst xmlns="http://schemas.openxmlformats.org/spreadsheetml/2006/main" count="15589" uniqueCount="1632">
  <si>
    <t>Corporación de Finanzas del País, S.A. (PANACREDIT) y Subsidiarias</t>
  </si>
  <si>
    <t>Estados Financieros Consolidados Auditados FY21-FY25</t>
  </si>
  <si>
    <t>en B/. (a la par con US$), sin escala</t>
  </si>
  <si>
    <t>Años</t>
  </si>
  <si>
    <t>FY21A</t>
  </si>
  <si>
    <t>FY22A</t>
  </si>
  <si>
    <t>FY23A</t>
  </si>
  <si>
    <t>FY24A</t>
  </si>
  <si>
    <t>FY25A</t>
  </si>
  <si>
    <t>FY26E</t>
  </si>
  <si>
    <t>FY27E</t>
  </si>
  <si>
    <t>FY28E</t>
  </si>
  <si>
    <t>FY29E</t>
  </si>
  <si>
    <t>FY30E</t>
  </si>
  <si>
    <t>Estado Consolidado de Resultados</t>
  </si>
  <si>
    <t>Intereses ganados</t>
  </si>
  <si>
    <t>Comisiones ganadas</t>
  </si>
  <si>
    <t>Total de ingresos por intereses y comisiones</t>
  </si>
  <si>
    <t>Gastos por intereses</t>
  </si>
  <si>
    <t>Total de gastos por intereses</t>
  </si>
  <si>
    <t>Total de ingresos por intereses y comisiones, neto</t>
  </si>
  <si>
    <t>Provisión para pérdidas en préstamos</t>
  </si>
  <si>
    <t>(Reversión de) provisión para pérdidas en inversiones a costo amortizado</t>
  </si>
  <si>
    <t>Provisión para bienes adjudicados</t>
  </si>
  <si>
    <t>Ingreso neto por intereses, después de provisiones</t>
  </si>
  <si>
    <t>Ganancia en valuación de inversiones</t>
  </si>
  <si>
    <t>Otros ingresos</t>
  </si>
  <si>
    <t>Total de otros ingresos, neto</t>
  </si>
  <si>
    <t>Salarios y otros gastos de personal</t>
  </si>
  <si>
    <t>Impuestos varios</t>
  </si>
  <si>
    <t>Depreciación y amortización</t>
  </si>
  <si>
    <t>Publicidad y mercadeo</t>
  </si>
  <si>
    <t>Arrendamientos por activos de bajo valor</t>
  </si>
  <si>
    <t>Servicio de electricidad, agua y comunicaciones</t>
  </si>
  <si>
    <t>Reparación y mantenimiento</t>
  </si>
  <si>
    <t>Honorarios y servicios profesionales</t>
  </si>
  <si>
    <t>Otros</t>
  </si>
  <si>
    <t>Total de gastos generales y administrativos</t>
  </si>
  <si>
    <t>Utilidad antes de impuesto sobre la renta</t>
  </si>
  <si>
    <t>Impuesto sobre la renta, neto</t>
  </si>
  <si>
    <t>Utilidad neta</t>
  </si>
  <si>
    <t>Estado Consolidado de Situación Financiera</t>
  </si>
  <si>
    <t>Efectivo y depósitos en bancos</t>
  </si>
  <si>
    <t>Inversiones a valor razonable con cambios en resultados</t>
  </si>
  <si>
    <t>Inversiones a valor razonable con cambios en otras utilidades integrales</t>
  </si>
  <si>
    <t>Inversiones a costo amortizado</t>
  </si>
  <si>
    <t>Préstamos por cobrar a costo amortizado, neto</t>
  </si>
  <si>
    <t>Propiedades, mobiliario, equipo y mejoras, neto</t>
  </si>
  <si>
    <t>Activos por derecho de uso, neto</t>
  </si>
  <si>
    <t>Impuesto sobre la renta diferido</t>
  </si>
  <si>
    <t>Plusvalía</t>
  </si>
  <si>
    <t>Activos intangibles</t>
  </si>
  <si>
    <t>Otros activos</t>
  </si>
  <si>
    <t>Total de activos</t>
  </si>
  <si>
    <t>Financiamientos recibidos</t>
  </si>
  <si>
    <t>Valores comerciales negociables</t>
  </si>
  <si>
    <t>Bonos corporativos por pagar</t>
  </si>
  <si>
    <t>Bonos perpetuos</t>
  </si>
  <si>
    <t>Documentos por pagar</t>
  </si>
  <si>
    <t>Obligaciones bursátiles</t>
  </si>
  <si>
    <t>Pasivo por impuesto corriente</t>
  </si>
  <si>
    <t>Pasivos por arrendamientos</t>
  </si>
  <si>
    <t>Provisión para prestaciones laborales</t>
  </si>
  <si>
    <t>Otros pasivos</t>
  </si>
  <si>
    <t>Total de pasivos</t>
  </si>
  <si>
    <t>Acciones comunes</t>
  </si>
  <si>
    <t>Acciones preferidas</t>
  </si>
  <si>
    <t>Reservas de capital voluntario</t>
  </si>
  <si>
    <t>Reserva de inversiones en valores</t>
  </si>
  <si>
    <t>Impuesto complementario</t>
  </si>
  <si>
    <t>Utilidades no distribuidas</t>
  </si>
  <si>
    <t>Total de patrimonio</t>
  </si>
  <si>
    <t>Total de pasivos y patrimonio</t>
  </si>
  <si>
    <t>Estado Consolidado de Flujos de Efectivo</t>
  </si>
  <si>
    <t>(Reversión de) provisión para pérdidas de inversiones</t>
  </si>
  <si>
    <t>Ganancia en venta de mobiliarios y equipos</t>
  </si>
  <si>
    <t>Ganancia en venta de inversiones a VRCR</t>
  </si>
  <si>
    <t>Ganancia en valuación de inversiones a VRCR</t>
  </si>
  <si>
    <t>Impuesto sobre la renta</t>
  </si>
  <si>
    <t>Ingreso por intereses y comisiones, neto</t>
  </si>
  <si>
    <t>Inversiones en valores</t>
  </si>
  <si>
    <t>Depósitos a plazo mayor a 90 días</t>
  </si>
  <si>
    <t>Préstamos</t>
  </si>
  <si>
    <t>Intereses pagados</t>
  </si>
  <si>
    <t>Intereses y comisiones cobrados</t>
  </si>
  <si>
    <t>Impuesto sobre la renta pagado</t>
  </si>
  <si>
    <t>Flujos de efectivo de las actividades de operación</t>
  </si>
  <si>
    <t>Adquisición de subsidiaria, neto del efectivo adquirido</t>
  </si>
  <si>
    <t>Adquisición de equipo, mobiliario, y mejoras</t>
  </si>
  <si>
    <t>Venta de mobiliario y equipo</t>
  </si>
  <si>
    <t>Adquisición de activos intangibles</t>
  </si>
  <si>
    <t>Adquisición de inversiones en valores</t>
  </si>
  <si>
    <t>Redención y venta de inversiones en valores</t>
  </si>
  <si>
    <t>Flujos de efectivo de las actividades de inversión</t>
  </si>
  <si>
    <t>Pagos a financiamientos recibidos y emisiones de deuda</t>
  </si>
  <si>
    <t>Nuevos financiamientos recibidos y emisiones de deuda</t>
  </si>
  <si>
    <t>Pagos de pasivos por arrendamientos</t>
  </si>
  <si>
    <t>Dividendos pagados de acciones comunes y preferidas</t>
  </si>
  <si>
    <t>Emisión de acciones preferidas</t>
  </si>
  <si>
    <t>Flujos de efectivo de las actividades de financiamiento</t>
  </si>
  <si>
    <t>Disminución neta en efectivo y equivalentes de efectivo</t>
  </si>
  <si>
    <t>Efectivo y equivalentes de efectivo al inicio del año</t>
  </si>
  <si>
    <t>Efectivo y equivalentes de efectivo al final del año</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</si>
  <si>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</si>
  <si>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</si>
  <si>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</si>
  <si>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</si>
  <si>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</si>
  <si>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</si>
  <si>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</si>
  <si>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</si>
  <si>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</si>
  <si>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</si>
  <si>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</si>
  <si>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</si>
  <si>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</si>
  <si>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</si>
  <si>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</si>
  <si>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</si>
  <si>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</si>
  <si>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</si>
  <si>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</si>
  <si>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</si>
  <si>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</si>
  <si>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</si>
  <si>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2022</t>
  </si>
  <si>
    <t>INA_CFPAIS_2022_0.pdf</t>
  </si>
  <si>
    <t>page-41</t>
  </si>
  <si>
    <t>markdown.md</t>
  </si>
  <si>
    <t>1</t>
  </si>
  <si>
    <t>1. Información general</t>
  </si>
  <si>
    <t>Corporación de Finanzas del País, S.A. (PANACREDIT) (la “Compañía”) es una sociedad anónima registrada en la República de Panamá. Las oficinas principales de la Compañía están ubicadas en el edificio Panacredit en calle 50, ciudad de Panamá, y cuenta con 17 sucursales y oficinas ubicadas en distintos puntos estratégicos en Ciudad de Panamá y en el interior del país, ubicadas en Penonomé, Chitré, Santiago y David. Los estados financieros consolidados comprenden la información financiera de la Compañía y su subsidiaria.</t>
  </si>
  <si>
    <t>OK</t>
  </si>
  <si>
    <t>La Compañía inició operaciones a partir del 1 de abril de 2008, y dentro del giro principal del negocio están el otorgamiento de créditos de consumo, principalmente préstamos personales por descuento directo, préstamos con garantía hipotecaria, préstamos de autos, financiamiento comercial, fundamentalmente a pequeñas y medianas empresas; operaciones de factoring o descuentos de facturas locales y leasing, principalmente a través de su nombre comercial “Panacredit”.</t>
  </si>
  <si>
    <t>Su subsidiaria Argentia RE Cell C. inició operaciones a partir del 19 de octubre de 2018, y su principal actividad es la de asumir reaseguros de compañías de seguros cedentes. La subsidiaria está ubicada en St. James, Barbados.</t>
  </si>
  <si>
    <t>## Aspectos regulatorios:</t>
  </si>
  <si>
    <t>La Compañía cuenta con licencia No.164 de 20 de diciembre de 2007 para operar como empresa financiera e inscrita en el Registro de Empresas Financieras del Ministerio de Comercio e Industrias de Panamá (MICI).</t>
  </si>
  <si>
    <t>La Compañía está sujeto a la supervisión de la Dirección General de Empresas Financieras del Ministerio de Comercio e Industrias de Panamá (MICI) por su calidad de empresas financieras en Panamá, y a través de la Superintendencia del Mercado de Valores de Panamá por ser un emisor activo por medio de Valores Comerciales Negociables (VCNs), Bonos Corporativos, Bonos Perpetuos y Acciones Preferidas.</t>
  </si>
  <si>
    <t>A partir del 2015 es regulada por la Superintendencia de Bancos de Panamá, en relación a blanqueo de capitales de acuerdo a la Ley No.23 del 27 de abril de 2015.</t>
  </si>
  <si>
    <t>## Aprobación de los estados financieros consolidados:</t>
  </si>
  <si>
    <t>Los estados financieros consolidados de la Compañía fueron aprobados para su emisión por la Junta Directiva el 2 de marzo de 2023.</t>
  </si>
  <si>
    <t>- 5 -</t>
  </si>
  <si>
    <t>page-42</t>
  </si>
  <si>
    <t>2</t>
  </si>
  <si>
    <t>2. Base de preparación</t>
  </si>
  <si>
    <t>Políticas contables</t>
  </si>
  <si>
    <t>### Declaración de cumplimiento</t>
  </si>
  <si>
    <t>Los estados financieros consolidados de la Compañía han sido preparados de conformidad con las Normas Internacionales de Información Financiera (NIIF), tal como han sido emitidos por el Consejo de Normas Internacionales de Contabilidad. Así también, han sido preparados bajo la hipótesis de que la Compañía opera sobre la base de un negocio en marcha.</t>
  </si>
  <si>
    <t>Los estados financieros consolidados de la Compañía han sido preparados sobre la base del devengado y del costo histórico, excepto por algunas inversiones en valores medidas a valor razonable con cambios en resultados (VRCR).</t>
  </si>
  <si>
    <t>### Moneda funcional de presentación</t>
  </si>
  <si>
    <t>Estos estados financieros consolidados están presentados en Balboas (B/.). El Balboa es la unidad monetaria de la República de Panamá, y está a la par y es de libre cambio con el Dólar (USD) de los Estados Unidos de América. La República de Panamá no emite papel moneda propio y en su lugar utiliza el Dólar de los Estados Unidos de América como moneda de curso legal.</t>
  </si>
  <si>
    <t>### Uso de juicios y estimaciones</t>
  </si>
  <si>
    <t>En la preparación de estos estados financieros consolidados, la administración ha realizado juicios, estimaciones y supuestos que afectan la aplicación de las políticas contables de la Compañía y los montos reportados de activos, pasivos, ingresos y gastos. Los resultados actuales pueden diferir de estas estimaciones.</t>
  </si>
  <si>
    <t>Las estimaciones y los supuestos subyacentes se revisan de forma continua. Las revisiones a estas estimaciones son reconocidas de forma prospectiva.</t>
  </si>
  <si>
    <t>La información sobre los juicios realizados en la aplicación de políticas contables que tengan los efectos más significativos sobre los montos reconocidos en los estados financieros consolidados son los siguientes:</t>
  </si>
  <si>
    <t>### Pérdida de crédito esperada (PCE):</t>
  </si>
  <si>
    <t>Se establecen los criterios para determinar si el riesgo de crédito de un activo financiero aumentó significativamente desde el reconocimiento inicial, determinando la metodología para incorporar la información prospectiva en la medición de la PCE y la selección y aprobación de los modelos utilizados para medir la PCE.</t>
  </si>
  <si>
    <t>### Clasificación de los activos financieros:</t>
  </si>
  <si>
    <t>Se realiza una evaluación de los modelos de negocios en los cuales se mantienen los activos y evaluación de los términos contractuales de los activos financieros son SPPI sobre el monto del principal adeudado.</t>
  </si>
  <si>
    <t>- 6 -</t>
  </si>
  <si>
    <t>page-43</t>
  </si>
  <si>
    <t>## Supuestos e incertidumbres de estimación:</t>
  </si>
  <si>
    <t>La información sobre supuestos e incertidumbres de estimación a la fecha sobre el que se informa que tienen un riesgo significativo de resultar en un ajuste material al valor en libros de activos y pasivos dentro del próximo año financiero se describe a continuación:</t>
  </si>
  <si>
    <t>### Deterioro de instrumentos financieros:</t>
  </si>
  <si>
    <t>La determinación de los supuestos en el modelo de medición de PCE, incluidos los supuestos claves utilizados en la estimación de los flujos de efectivo recuperables e incorporación de la información prospectiva.</t>
  </si>
  <si>
    <t>### Medición del valor razonable:</t>
  </si>
  <si>
    <t>La medición del valor razonable de las inversiones en valores medidas a valor razonable con cambios en resultados (VRCR) con supuestos significativos no observables.</t>
  </si>
  <si>
    <t>3</t>
  </si>
  <si>
    <t>3. Políticas de contables significativas</t>
  </si>
  <si>
    <t>### Nuevas Normas adoptadas al 1 de enero de 2022</t>
  </si>
  <si>
    <t>Algunos pronunciamientos contables que son efectivas a partir del 1 de enero de 2022 y que, por lo tanto, han sido adoptadas, no tienen un impacto significativo en la situación financiera consolidada o los resultados consolidados de la Compañía.</t>
  </si>
  <si>
    <t>### Normas emitidas pero aún no son efectivas</t>
  </si>
  <si>
    <t>A la fecha de autorización de estos estados financieros consolidados, el Consejo de Normas Internacionales de Información Financiera (NIIF) ha publicado varias Normas nuevas pero aún no efectivas, y enmiendas a las Normas e Interpretaciones existentes. Ninguna de estas Normas o enmiendas a las Normas existentes ha sido adoptada anticipadamente por la Compañía y no se han emitido Interpretaciones que sean aplicables y deban ser tenidas en cuenta por la Compañía al final del período sobre el que se informa.</t>
  </si>
  <si>
    <t>La administración anticipa que todos los pronunciamientos relevantes serán adoptados para el primer período que inicie en o después de la fecha efectiva del pronunciamiento. Las nuevas Normas, enmiendas e Interpretaciones no adoptadas en el período actual no han sido reveladas ya que no se espera que tengan un impacto material en los estados financieros consolidados de la Compañía.</t>
  </si>
  <si>
    <t>### Base de consolidación</t>
  </si>
  <si>
    <t>Los estados financieros consolidados de la Compañía comprende la información financiera de PANACREDIT y su subsidiaria al 31 de diciembre de 2022. Esta subsidiaria tiene fecha de período sobre el que se informa 31 de diciembre de cada año.</t>
  </si>
  <si>
    <t>- 7 -</t>
  </si>
  <si>
    <t>page-44</t>
  </si>
  <si>
    <t>Todos los saldos y transacciones entre la Compañía y su subsidiaria son eliminadas en la consolidación incluyendo cualquier ganancia o pérdida no realizada, si hubiese. En caso donde las pérdidas no realizadas en las ventas de activos intra-grupo son reversadas en la consolidación, el activo subyacente es también evaluado por deterioro desde una perspectiva a nivel de la Compañía. Los montos reportados en los estados financieros de la subsidiaria son ajustados para mantener la consistencia con las políticas contables adoptadas por la Compañía.</t>
  </si>
  <si>
    <t>## Información por segmentos</t>
  </si>
  <si>
    <t>Un segmento de negocio es un componente de la Compañía, cuyos resultados operativos son revisados regularmente por la Administración de la Compañía, para la toma de decisiones acerca de los recursos que serán asignados al segmento y evaluar así su desempeño, y para el cual se tiene disponible información financiera para este propósito.</t>
  </si>
  <si>
    <t>La Compañía tiene dos segmentos principales: préstamos de consumo, comercial e inversiones y otros activos financieros. En la identificación de la información por segmentos, la administración generalmente utiliza los productos financieros que ofrece la Compañía.</t>
  </si>
  <si>
    <t>## Efectivo y depósitos en bancos</t>
  </si>
  <si>
    <t>El efectivo y depósitos en bancos comprenden el efectivo en caja, saldos no restringidos y depósitos en instituciones financieras que son fácilmente convertibles en efectivo con vencimientos originales de tres meses o menos desde la fecha de adquisición, no está sujeto a un riesgo significativo de cambios en su valor razonable, y es utilizado por la Compañía en la administración de sus compromisos a corto plazo. El efectivo y depósitos en bancos se presenta al costo amortizado en el estado consolidado de situación financiera de la Compañía.</t>
  </si>
  <si>
    <t>## Activos financieros y pasivos financieros</t>
  </si>
  <si>
    <t>### Reconocimiento y medición inicial:</t>
  </si>
  <si>
    <t>La Compañía reconoce inicialmente los préstamos de clientes y financiamientos recibidos en la fecha en que estos son originados. Todos los otros instrumentos financieros son reconocidos a la fecha de la transacción, la cual es la fecha en la que la Compañía se convierte en una parte de las disposiciones contractuales del instrumento.</t>
  </si>
  <si>
    <t>Un activo financiero o un pasivo financiero se mide inicialmente al valor razonable más los costos de transacción que sean directamente atribuibles a su adquisición o emisión. El valor razonable de un instrumento financiero en el reconocimiento inicial es generalmente su precio de transacción.</t>
  </si>
  <si>
    <t>- 8 -</t>
  </si>
  <si>
    <t>page-45</t>
  </si>
  <si>
    <t>En el reconocimiento inicial, un activo financiero es clasificado como: costo amortizado, valor razonable con cambios en otros resultados integrales (VRCORI) o valor razonable con cambios en resultados (VRCR).</t>
  </si>
  <si>
    <t>Un activo financiero es medido al costo amortizado si mantiene ambas condiciones y este no esté clasificado como valor razonable con cambios en resultados (VRCR):</t>
  </si>
  <si>
    <t>- El activo se mantiene dentro de un modelo de negocio cuyo objetivo es mantener activos para cobrar los flujos de efectivo contractuales; y - Los términos contractuales del activo financiero dan lugar en fechas especificadas a flujos de efectivo que son solamente pagos de principal e intereses (SPPI).</t>
  </si>
  <si>
    <t>La Compañía no cuenta con activos financieros medidos a valor razonable con cambios en otros resultados integrales (VRCORI).</t>
  </si>
  <si>
    <t>Los otros activos financieros son clasificados, como medidos, al valor razonable con cambios en resultados (VRCR) y costo amortizado.</t>
  </si>
  <si>
    <t>Además, en el reconocimiento inicial, la Compañía puede designar irrevocablemente un activo financiero que de otro modo cumpla con los requisitos para medirse al costo amortizado como el VRCR si al hacerlo elimina o reduce significativamente una asimetría contable que de otro modo surgiría.</t>
  </si>
  <si>
    <t>## Evaluación del modelo de negocio:</t>
  </si>
  <si>
    <t>La Compañía realiza una evaluación del objetivo de un modelo de negocio en el que un activo se mantiene a nivel de cartera porque refleja mejor la forma en que se administra el negocio y se proporciona información a la administración que incluye:</t>
  </si>
  <si>
    <t>- Políticas y objetivos establecidos para la cartera y el funcionamiento de estas políticas; - Cómo se evalúa e informa a la administración el rendimiento de la cartera; - Los riesgos que afectan el rendimiento del modelo de negocio y su estrategia sobre cómo se administran esos riesgos; - Cómo se compensa; y - La frecuencia, volumen y período de venta en períodos anteriores, las razones de dichas ventas y sus expectativas sobre actividades de ventas futuras. Sin embargo, la información sobre estas ventas no se considera de forma aislada, sino como parte de una evaluación general de cómo se logra el objetivo declarado de la Compañía para administrar los activos financieros y cómo se realizan los flujos de efectivo.</t>
  </si>
  <si>
    <t>Una evaluación de los modelos de negocios para administrar los activos financieros es fundamental para la clasificación de un activo financiero. La Compañía determina el modelo de negocio a un nivel que refleja cómo los grupos de activos financieros se administran juntos para lograr un objetivo empresarial particular.</t>
  </si>
  <si>
    <t>- 9 -</t>
  </si>
  <si>
    <t>page-46</t>
  </si>
  <si>
    <t>Los activos financieros que se mantienen para negociación y cuyo desempeño se evalúa sobre la base del valor razonable se miden a valor razonable con cambios en resultados (VRCR) porque no se mantienen para cobrar flujos de efectivo contractuales ni para cobrar flujos de efectivo contractuales y vender activos financieros.</t>
  </si>
  <si>
    <t>El negocio de préstamos a clientes comprende principalmente préstamos que se mantienen para cobrar flujos de efectivo contractuales. Los préstamos a clientes comprenden principalmente de crédito de consumo a través de productos como préstamos personales, hipotecarios, arrendamientos financieros y comerciales a pequeñas y medianas entidades.</t>
  </si>
  <si>
    <t>Evaluación sobre si los flujos de efectivo contractuales son únicamente pagos de principal e intereses (SPPI):</t>
  </si>
  <si>
    <t>Para propósitos de esta evaluación, el "principal" se define como el valor razonable del activo financiero en el reconocimiento inicial. Los "intereses" se define como la contraprestación por el valor del dinero en el tiempo y por el riesgo de crédito asociado con el monto principal adeudado durante un período de tiempo particular y por otros riesgos y costos de préstamos básicos; así como el margen de utilidad.</t>
  </si>
  <si>
    <t>Al evaluar si los flujos de efectivo contractuales son únicamente pagos de principal e intereses, la Compañía considera los términos contractuales del instrumento. Esto incluye evaluar si el activo financiero contiene un término contractual que podría cambiar la oportunidad o el monto de los flujos de efectivo contractuales de tal manera que no cumpliría con esta condición. Al realizar la evaluación, la Compañía considera:</t>
  </si>
  <si>
    <t>- Eventos contingentes que cambiarían la cantidad y el programa de flujos de efectivo; - Características del financiamiento; - Plazos de pago anticipado y prórroga; - Términos que limitan el derecho de la Compañía a flujos de efectivo de activos específicos; y - Características que modifican la consideración del valor temporal del dinero.</t>
  </si>
  <si>
    <t>En algunos casos, los préstamos otorgados por la Compañía que están garantizados por un colateral del cliente limitan el derecho de la Compañía a los flujos de efectivo de la garantía subyacente. La Compañía aplica su juicio al evaluar si los préstamos cumplen el criterio "SPPI". La Compañía normalmente considera la siguiente información al realizar este juicio:</t>
  </si>
  <si>
    <t>- Si el acuerdo contractual define específicamente los montos y fechas de los pagos en efectivo del préstamo a clientes; - El valor razonable de la garantía relacionada al monto del activo financiero garantizado; - La capacidad y la voluntariedad del cliente de realizar pagos contractuales, a pesar de una disminución del valor de la garantía; - La medida en que la garantía representa la totalidad o una parte sustancial de los activos del cliente que se otorga el préstamo a clientes; y - Si la Compañía se beneficiará de algún beneficio de los activos subyacentes.</t>
  </si>
  <si>
    <t>- 10 -</t>
  </si>
  <si>
    <t>page-47</t>
  </si>
  <si>
    <t>Si el modelo de negocios, bajo el cual la Compañía mantiene los activos financieros cambia, los activos financieros afectados se reclasifican. Los requisitos de clasificación y medición relacionados con la nueva categoría se aplican prospectivamente desde el primer periodo de presentación de informes luego del cambio en el modelo de negocios que resulta en la reclasificación de los activos financieros.</t>
  </si>
  <si>
    <t>Reconocimiento de la baja en cuenta:</t>
  </si>
  <si>
    <t>La Compañía da de baja un activo financiero cuando vencen los derechos contractuales a los flujos de efectivo del activo financiero o transfiere los derechos a recibir los flujos de efectivo contractuales en una transacción en la que sustancialmente todos los riesgos y beneficios de la propiedad del activo financiero se transfieren o en el cual la Compañía no transfiere ni retiene sustancialmente todos los riesgos y beneficios inherentes a la propiedad y no retiene el control del activo financiero.</t>
  </si>
  <si>
    <t>En el momento de la baja en cuentas de un activo financiero, la diferencia entre el valor en libros del activo (o el importe en libros asignado a la parte del activo dado de baja) y la suma (i) de la contraprestación recibida (incluyendo cualquier activo nuevo obtenido menos cualquier pasivo nuevo asumido) y (ii) cualquier ganancia o pérdida que se haya reconocido en otro resultado integral es reconocido en resultados.</t>
  </si>
  <si>
    <t>La Compañía da de baja un pasivo financiero cuando sus obligaciones contractuales se liquidan, cancelan o caducan.</t>
  </si>
  <si>
    <t>Modificaciones de activos financieros y pasivos financieros:</t>
  </si>
  <si>
    <t>Si se modifican los términos de un activo financiero, la Compañía evalúa si los flujos de efectivo del activo modificado son sustancialmente diferentes.</t>
  </si>
  <si>
    <t>Si los flujos de efectivo son sustancialmente diferentes, entonces los derechos contractuales a los flujos de efectivo del activo financiero original se considerarán vencidos. En este caso, el activo financiero original se da de baja y un nuevo activo financiero se reconoce a valor razonable más cualquier costo de transacción elegible. Los honorarios recibidos como parte de la modificación se contabilizan de la siguiente manera:</t>
  </si>
  <si>
    <t>- Las comisiones y honorarios que se consideran para determinar el valor razonable del nuevo activo y que representan el reembolso de los costos de transacción elegibles se incluye en la medición inicial del activo; y - Los otros costos de la transacción correspondiente a honorarios o comisiones se incluyen en resultados como parte de la ganancia o pérdida por baja en cuentas.</t>
  </si>
  <si>
    <t>- 11 -</t>
  </si>
  <si>
    <t>page-48</t>
  </si>
  <si>
    <t>Si los flujos de efectivo se modifican cuando el cliente se encuentra en dificultades financieras, entonces el objetivo de la modificación suele ser maximizar la recuperación de los términos contractuales originales en lugar de originar un nuevo activo con términos sustancialmente diferentes. Si la Compañía planea modificar un activo financiero de una manera que resulte en la condonación de los flujos de efectivo, entonces primero considera si una parte del activo debe cancelarse antes de que tenga lugar la modificación. Este enfoque impacta el resultado de la evaluación cuantitativa y significa que los criterios de baja en cuentas generalmente no se cumplen en tales casos.</t>
  </si>
  <si>
    <t>Si la modificación de un activo financiero medido al costo amortizado no da como resultado la baja del activo financiero, entonces la Compañía primero recalcula el valor en libros bruto del activo financiero utilizando la tasa de interés efectiva original del activo y reconoce el ajuste resultante como una modificación de ganancia o pérdida en resultados. Para los activos financieros de tasa variable, la tasa de interés efectiva original utilizado para calcular la ganancia o pérdida por modificación se ajusta para reflejar los términos actuales del mercado en el momento de la modificación. Cualquier costo incurrido y de modificación recibidas ajustan el valor en libros bruto del activo financiero modificado y se amortizan durante el plazo restante del activo financiero modificado.</t>
  </si>
  <si>
    <t>Si tal modificación se lleva a cabo debido a dificultades financieras del cliente, entonces el resultado se presenta junto con la pérdida por deterioro. En otros casos, se presenta como ingresos por intereses calculados bajo el método de la tasa de interés efectiva.</t>
  </si>
  <si>
    <t>La Compañía da de baja un pasivo financiero cuando se modifican sus términos y los flujos de efectivo del pasivo modificado son sustancialmente diferentes. En este caso, un nuevo pasivo financiero basado en los términos modificados se reconoce a valor razonable. La diferencia entre el valor en libros del pasivo financiero dado de baja y la contraprestación pagada se reconoce en resultados. La contraprestación pagada incluye los activos no financieros transferidos, si los hubiere, incluido el nuevo pasivo financiero modificado.</t>
  </si>
  <si>
    <t>Si la modificación de un pasivo financiero no se contabiliza como baja en cuentas, entonces el costo amortizado del pasivo se recalcula descontando los flujos de efectivo modificados a la tasa de interés efectiva original y la ganancia o pérdida resultante se reconoce en resultados. Para los pasivos financieros de tasa flotante, la tasa de interés efectiva original utilizado para calcular la ganancia o pérdida por modificación se ajusta para reflejar los términos actuales del mercado en el momento de la modificación. Todos los costos y comisiones incurridos se reconocen como un ajuste al valor en libros del pasivo y se amortizan durante el plazo restante del pasivo financiero modificado volviendo a calcular la tasa de interés efectiva del instrumento.</t>
  </si>
  <si>
    <t>- 12 -</t>
  </si>
  <si>
    <t>page-49</t>
  </si>
  <si>
    <t>## Reforma del tipo de interés de referencia:</t>
  </si>
  <si>
    <t>Si la base para determinar los flujos de efectivo contractuales de un activo financiero o pasivo financiero medido al costo amortizado cambia como resultado de la reforma de la tasa de interés de referencia, entonces la Compañía actualiza la tasa de interés efectiva del activo financiero o pasivo financiero para reflejar el cambio que es requerido por la reforma. La reforma de la tasa de interés de referencia requiere un cambio en la base para determinar los flujos de efectivo contractuales si se cumplen las siguientes condiciones:</t>
  </si>
  <si>
    <t>- El cambio es necesario como consecuencia directa de la reforma; y - La nueva base para determinar los flujos de efectivo contractuales es económicamente equivalente a la base anterior, es decir, la base inmediatamente antes del cambio.</t>
  </si>
  <si>
    <t>Si se realizan cambios en un activo financiero o pasivo financiero además de cambios en la base para determinar los flujos de efectivo contractuales requeridos por la reforma de la tasa de interés de referencia, entonces la Compañía actualiza primero la tasa de interés efectiva del activo financiero o pasivo financiero para reflejar el cambio que requiere la reforma de la tasa de interés de referencia. Posteriormente, la Compañía aplica las políticas sobre contabilización de modificaciones establecidas anteriormente a los cambios adicionales.</t>
  </si>
  <si>
    <t>Los activos financieros y pasivos financieros se compensan y el importe neto se presenta en el estado consolidado de situación financiera cuando, y solo cuando, la Compañía tiene actualmente un derecho legalmente exigible de compensar los importes y tiene la intención de liquidarlos por el importe neto o por realizar el activo y liquidar el pasivo simultáneamente.</t>
  </si>
  <si>
    <t>Los ingresos y gastos se presentan sobre una base neta solo cuando lo permiten las NIIF, o para las ganancias y pérdidas que surgen de un grupo de transacciones similares.</t>
  </si>
  <si>
    <t>## Medición del valor razonable:</t>
  </si>
  <si>
    <t>El valor razonable es el precio que se recibiría por vender un activo o que se pagaría por transferir un pasivo en una transacción ordenada entre participantes del mercado en la fecha de medición en el principal o, en su ausencia, en el mercado más ventajoso para el que la Compañía tiene acceso en esa fecha. El valor razonable de un pasivo refleja su riesgo de incumplimiento.</t>
  </si>
  <si>
    <t>Cuando hay uno disponible, la Compañía mide el valor razonable de un instrumento utilizando el precio cotizado en un mercado activo para ese instrumento. Un mercado se considera "activo" si las transacciones del activo o pasivo se realizan con suficiente frecuencia y volumen para proporcionar información de precios de forma continua.</t>
  </si>
  <si>
    <t>Si no existe un precio cotizado en un mercado activo, entonces la Compañía utiliza técnicas de valoración que maximizan el uso de entradas observables relevantes y minimizan el uso de entradas no observables. La técnica de valoración elegida incorpora todos los factores que los participantes del mercado tendrían en cuenta al fijar el precio de una transacción.</t>
  </si>
  <si>
    <t>- 13 -</t>
  </si>
  <si>
    <t>page-50</t>
  </si>
  <si>
    <t>La mejor evidencia del valor razonable de un instrumento financiero en el reconocimiento inicial es normalmente el precio de la transacción. Si la Compañía determina que el valor razonable en el reconocimiento inicial difiere del precio de la transacción y el valor razonable no se evidencia ni por un precio cotizado en un mercado activo para un activo o pasivo idéntico ni basado en una técnica de valuación para la cual se juzga cualquier insumo no observable para ser insignificante en relación con la diferencia, entonces el instrumento financiero se mide inicialmente a valor razonable, ajustado para diferir la diferencia entre el valor razonable en el reconocimiento inicial y el precio de la transacción. Posteriormente, esa diferencia se reconoce en resultados sobre una base adecuada durante la vida del instrumento, pero a más tardar cuando la valoración está totalmente respaldada por datos de mercado observables o se cierra la transacción.</t>
  </si>
  <si>
    <t>Si un activo medido a valor razonable tiene un precio de compra, entonces la Compañía mide los activos y las posiciones largas a un precio de compra.</t>
  </si>
  <si>
    <t>El valor razonable de un pasivo financiero con una característica que lo haga exigible no es inferior al valor a pagar exigible de inmediato, descontado a partir de la primera fecha en que se exigiría el pago del valor.</t>
  </si>
  <si>
    <t>La Compañía reconoce las transferencias entre niveles de la jerarquía de valor razonable al final del período sobre el que se informa durante el cual se ha producido el cambio.</t>
  </si>
  <si>
    <t>## Pérdida por deterioro:</t>
  </si>
  <si>
    <t>La Compañía reconoce las pérdidas por deterioro mediante la evaluación de pérdida de crédito esperada (PCE) en los activos financieros que son instrumentos de deuda.</t>
  </si>
  <si>
    <t>La Compañía mide las provisiones por pérdida por deterioro por un monto igual a las pérdidas de crédito esperadas durante la vida del instrumento, excepto por los siguientes instrumentos financieros, los cuales se son medidos bajo la PCE a 12 meses:</t>
  </si>
  <si>
    <t>- Inversiones en instrumentos de deuda que se determina que tienen un riesgo de crédito bajo al final del período sobre el que se informa; y - Otros instrumentos financieros en los que el riesgo de crédito no ha aumentado significativamente desde su reconocimiento inicial.</t>
  </si>
  <si>
    <t>La Compañía considera que un instrumento en inversión de deuda tiene un riesgo crediticio bajo cuando su calificación de riesgo crediticio es equivalente a la definición globalmente entendida de "grado de inversión". La Compañía no aplica la exención por bajo riesgo de crédito a ningún otro instrumento financiero.</t>
  </si>
  <si>
    <t>- 14 -</t>
  </si>
  <si>
    <t>page-51</t>
  </si>
  <si>
    <t>La pérdida de crédito esperada a 12 meses es la parte de la pérdida de crédito esperada de por vida que resulta de eventos de incumplimiento en un instrumento financiero que son posibles dentro de los 12 meses posteriores a la fecha sobre el que se informa. Los instrumentos financieros para los que se reconocen pérdidas de crédito esperadas a 12 meses se denominan "instrumentos financieros de la Fase 1". Los instrumentos financieros asignados a la Fase 1 no han experimentado un aumento significativo en el riesgo de crédito desde el reconocimiento inicial y no tienen deterioro de crédito.</t>
  </si>
  <si>
    <t>La pérdida de crédito esperada de por vida son las pérdidas crédito esperadas que resultan de todos los posibles eventos de incumplimiento durante la vida esperada del instrumento financiero o el período contractual máximo de exposición. Los instrumentos financieros para los que se reconocen pérdidas de crédito esperadas de por vida pero que no tienen deterioro de crédito se denominan "instrumentos financieros de la Fase 2". Los instrumentos financieros asignados a la Fase 2 son aquellos que han experimentado un aumento significativo en el riesgo de crédito desde el reconocimiento inicial, pero no tienen deterioro de crédito.</t>
  </si>
  <si>
    <t>Los instrumentos financieros para los cuales se reconocen PCE de por vida y tienen deterioro de crédito se denominan "instrumentos financieros de la Fase 3".</t>
  </si>
  <si>
    <t>## Medición de la pérdida de crédito esperada (PCE):</t>
  </si>
  <si>
    <t>La pérdida de crédito esperada son una estimación ponderada de la probabilidad de las pérdidas crediticias. Se miden de la siguiente manera:</t>
  </si>
  <si>
    <t>- Activos financieros que no tienen deterioro de crédito en la fecha sobre el que se informa: como el valor presente de todos los déficits de efectivo; - Activos financieros con deterioro de crédito en la fecha sobre el que se informa: como la diferencia entre el valor en libros bruto y el valor presente de los flujos de efectivo futuros estimados; y - Compromisos de préstamos no desembolsados: como el valor presente de la diferencia entre los flujos de efectivo contractuales que se adeudan a la Compañía en caso de disposición del compromiso y los flujos de efectivo que la Compañía espera recibir.</t>
  </si>
  <si>
    <t>Al descontar los flujos de efectivo futuros, se utilizan las siguientes tasas de descuento:</t>
  </si>
  <si>
    <t>- Activos financieros: tasa de interés efectiva original o una aproximación de la misma; y - Compromisos de préstamo no desembolsados: tasa de interés efectiva, o una aproximación, que se aplicará al activo financiero resultante del compromiso de préstamo.</t>
  </si>
  <si>
    <t>Cuando se descuenta los flujos de efectivo futuros, los préstamos a clientes se hacen en base a la tasa de descuento original o una aproximación de ella.</t>
  </si>
  <si>
    <t>- 15 -</t>
  </si>
  <si>
    <t>page-52</t>
  </si>
  <si>
    <t>## Activos financieros restructurados:</t>
  </si>
  <si>
    <t>Si los términos de un activo financiero se renegocian o modifican o un activo financiero existente se reemplaza por uno nuevo debido a dificultades financieras del cliente, entonces se evalúa si el activo financiero debe darse de baja en cuentas y las pérdidas de crédito esperadas se miden de la siguiente forma:</t>
  </si>
  <si>
    <t>- Si la reestructuración esperada no da lugar a la baja del activo existente, entonces los flujos de efectivo esperados que surgen del activo financiero modificado se incluyen en el cálculo de los déficits de efectivo del activo existente. - Si la reestructuración esperada da como resultado la baja del activo existente, entonces el valor razonable esperado del nuevo activo se trata como el flujo de efectivo final del activo financiero existente en el momento de su baja. Este monto se incluye en el cálculo de los déficits de efectivo del activo financiero existente que se descuentan desde la fecha esperada de baja hasta al final de la fecha sobre el que se informa utilizando la tasa de interés efectiva original del activo financiero existente.</t>
  </si>
  <si>
    <t>## Activos financieros con deterioro de crédito:</t>
  </si>
  <si>
    <t>Al final del período sobre el que se informa, la Compañía evalúa si los activos financieros contabilizados al costo amortizado tienen deterioro de crédito (denominado "activos financieros de la Fase 3"). Un activo financiero tiene "deterioro de crédito" cuando se han producido uno o más eventos que tienen un impacto perjudicial en los flujos de efectivo futuros estimados del activo financiero.</t>
  </si>
  <si>
    <t>La evidencia de que un activo financiero tiene deterioro de crédito incluye:</t>
  </si>
  <si>
    <t>- Dificultad financiera significativa del prestatario o emisor; - Un incumplimiento de contrato, como un incumplimiento o un evento vencido; - La reestructuración de un préstamo por parte de la Compañía en términos que la Compañía no consideraría de otra manera; - Es probable que el prestatario entre en quiebra o en otra reorganización financiera; o - La desaparición de un mercado activo de valores debido a dificultades financieras.</t>
  </si>
  <si>
    <t>Un préstamo que ha sido renegociado debido a un deterioro en la condición del cliente generalmente se considera con deterioro de crédito a menos que haya evidencia de que el riesgo de no recibir flujos de efectivo contractuales se ha reducido significativamente y no existen otros indicadores de deterioro. Además, un préstamo que está vencido por 90 días o más se considera con deterioro de crédito incluso cuando la definición regulatoria de incumplimiento es diferente.</t>
  </si>
  <si>
    <t>- 16 -</t>
  </si>
  <si>
    <t>page-53</t>
  </si>
  <si>
    <t>Presentación de la provisión de pérdida de crédito esperada (PCE) en el estado consolidado de situación financiera:</t>
  </si>
  <si>
    <t>Las provisiones para pérdida de crédito esperada (PCE) se presentan en el estado de consolidado de situación financiera de la siguiente manera:</t>
  </si>
  <si>
    <t>- Activos financieros medidos al costo amortizado: como una deducción del valor en libros bruto de los activos; y - Compromisos de préstamo: generalmente, como provisión.</t>
  </si>
  <si>
    <t>Reducción de la provisión:</t>
  </si>
  <si>
    <t>Los préstamos a clientes se dan de baja (ya sea en forma parcial o total) cuando no existe una expectativa razonable de recuperar un activo financiero en su totalidad o una parte del mismo. Este es generalmente el caso cuando la Compañía determina que el cliente no tiene activos o fuentes de ingresos que puedan generar suficientes flujos de efectivo para reembolsar los montos sujetos al castigo.</t>
  </si>
  <si>
    <t>Las recuperaciones de importes previamente cancelados se reconocen cuando se recibe efectivo y se incluyen en "pérdidas por deterioro de activos financieros" en resultados.</t>
  </si>
  <si>
    <t>Los activos financieros que se dan de baja aún podrían estar sujetos a actividades de cobrabilidad para cumplir con los procedimientos de la Compañía para la recuperación de los montos adeudados.</t>
  </si>
  <si>
    <t>Clasificación del valor razonable con cambios en resultados (VRCR):</t>
  </si>
  <si>
    <t>En el reconocimiento inicial, la Compañía ha designado ciertos activos financieros a VRCR porque esta designación elimina o reduce significativamente una asimetría contable que de otro modo surgiría.</t>
  </si>
  <si>
    <t>La Compañía no ha designado pasivos financieros al VRCR.</t>
  </si>
  <si>
    <t>Los préstamos a clientes en el estado consolidado de situación financiera incluyen préstamos medidos al costo amortizado. Inicialmente se miden a su valor razonable más los costos de transacción directos incrementales, y posteriormente a su costo amortizado utilizando el método de interés efectivo.</t>
  </si>
  <si>
    <t>La partida de inversiones en valores en el estado consolidado de situación financiera incluye:</t>
  </si>
  <si>
    <t>- inversiones en instrumentos de deuda medidas al costo amortizado: estos son inicialmente medidas al valor razonable más los costos de transacción directos incrementales, y posteriormente al costo amortizado utilizando el método de la tasa de interés efectiva; e - inversiones en instrumentos de deuda y de patrimonio clasificadas al VRCR: estos son medidos al valor razonable con cambios reconocidos inmediatamente en resultados.</t>
  </si>
  <si>
    <t>- 17 -</t>
  </si>
  <si>
    <t>page-54</t>
  </si>
  <si>
    <t>## Tasa de interés efectiva:</t>
  </si>
  <si>
    <t>Los ingresos y gastos por intereses se reconocen en resultados utilizando el método de interés efectivo. La "tasa de interés efectiva" es la tasa que descuenta exactamente los pagos en efectivo futuros o por recibir estimados a través de la vida esperada del instrumento financiero para:</t>
  </si>
  <si>
    <t>- El valor en libros bruto del activo financiero; o - El costo amortizado del pasivo financiero.</t>
  </si>
  <si>
    <t>Al calcular la tasa de interés efectiva para instrumentos financieros distintos a los activos crediticios deteriorados u originados, la Compañía estima los flujos de efectivo futuros considerando todos términos contractuales del instrumento financiero, pero no la pérdida de crédito esperada (PCE). Para activos financieros con deterioro crediticio originados, se calcula una tasa de interés efectiva ajustada al crédito utilizando flujos de efectivo futuros, incluido la pérdida de crédito esperada (PCE).</t>
  </si>
  <si>
    <t>El cálculo de la tasa de interés efectiva incluye los costos de transacción pagados o por recibir que son parte integral de la tasa de interés efectiva. Los costos de transacción incluyen incrementos costos que son directamente atribuibles a la adquisición o emisión de un activo financiero o pasivo financiero.</t>
  </si>
  <si>
    <t>## Costo amortizado y valor bruto en libros:</t>
  </si>
  <si>
    <t>El "costo amortizado" de un activo financiero o pasivo financiero es el monto al que el activo financiero o pasivo financiero se mide en el reconocimiento inicial menos los reembolsos del principal, más o menos la amortización acumulada utilizando el método de interés efectivo de cualquier diferencia entre ese monto inicial y el monto de vencimiento y, para los activos financieros, ajustado por cualquier provisión para pérdidas crediticias. El "valor en libros bruto de un activo financiero" es el costo amortizado de un activo financiero antes de ajustar por cualquier provisión para pérdidas crediticias esperada.</t>
  </si>
  <si>
    <t>## Cálculo de ingresos y gastos por intereses:</t>
  </si>
  <si>
    <t>La tasa de interés efectiva de un activo o pasivo financiero se calcula en el reconocimiento inicial de un activo financiero o pasivo financiero. Al calcular los ingresos y gastos por intereses, la tasa de interés efectiva se aplica al valor en libros bruto del activo (cuando el activo no tiene deterioro crediticio) o al costo amortizado del pasivo. La tasa de interés efectiva se revisa como resultado de una nueva estimación de los flujos de efectivo del instrumento a la tasa estimada para reflejar los cambios en las tasas de interés.</t>
  </si>
  <si>
    <t>Los ingresos por intereses se calculan aplicando la tasa de interés efectiva al costo amortizado del activo financiero. Si el activo ya no tiene deterioro crediticio, entonces el cálculo de los ingresos por intereses vuelve a la base bruta.</t>
  </si>
  <si>
    <t>- 18 -</t>
  </si>
  <si>
    <t>page-55</t>
  </si>
  <si>
    <t>Para los activos financieros que tenían deterioro de crédito, los ingresos por intereses se calculan por aplicando la tasa de interés efectiva ajustada al crédito al costo amortizado del activo. El cálculo de los ingresos por intereses no se revierte a una base bruta, incluso si mejora el riesgo crediticio del activo.</t>
  </si>
  <si>
    <t>Los ingresos por intereses calculados utilizando el método de la tasa de interés efectiva incluye los intereses de activos financieros y pasivos financieros medidos al costo amortizado.</t>
  </si>
  <si>
    <t>Los ingresos por comisiones y manejos que son parte integral de la tasa de interés efectiva de un activo financiero se incluyen en la tasa de interés efectiva.</t>
  </si>
  <si>
    <t>Un contrato con un cliente que da lugar a un instrumento financiero reconocido en los estados financieros consolidados de la Compañía puede estar parcialmente en el alcance de la NIIF 9 y parcialmente en el alcance de la NIIF 15. Si este es el caso, entonces la Compañía primero aplica la NIIF 9 para separar y medir la parte del contrato que está dentro del alcance de la NIIF 9 y luego aplicar la NIIF 15 al residual.</t>
  </si>
  <si>
    <t>## Impuesto sobre la renta</t>
  </si>
  <si>
    <t>El impuesto sobre la renta reconocido en resultados comprende la suma del impuesto diferido e impuesto corriente del período.</t>
  </si>
  <si>
    <t>El cálculo del impuesto corriente y del impuesto diferido está basado en la tasa de impuesto y las leyes fiscales que han sido emitidas o sustancialmente emitidas al final del período sobre el que se informa. El impuesto sobre la renta diferido es calculado utilizando el método de pasivo. El valor en libros del impuesto diferido se revisa al final de cada período sobre el que se informa sobre la base de su monto más probable y es ajustado si es necesario.</t>
  </si>
  <si>
    <t>El activo por impuesto diferido se reconoce en la medida en que sea probable que la pérdida fiscal subyacente o la diferencia temporal deducible se utilicen contra la renta gravable futura. Se evalúa en función de las proyecciones de la Compañía de los resultados operativos futuros, ajustados por ingresos y gastos no gravables/deducibles significativos.</t>
  </si>
  <si>
    <t>El pasivo por impuesto diferido generalmente se reconoce en su totalidad. La Compañía no compensa los activos y pasivos por impuestos diferidos a menos que tenga un derecho exigible legalmente para hacerlo y tenga la intención de liquidarlos sobre una base neta.</t>
  </si>
  <si>
    <t>- 19 -</t>
  </si>
  <si>
    <t>page-56</t>
  </si>
  <si>
    <t>De acuerdo con las disposiciones fiscales vigentes en la República de Panamá, las ganancias obtenidas por la Compañía por operaciones locales están sujetas al pago del impuesto sobre la renta. Adicionalmente, las ganancias obtenidas por operaciones internacionales y aquellas obtenidas por depósitos a plazo e intereses devengados de la inversión en obligaciones emitidas por el gobierno de la República de Panamá y operaciones en la Bolsa Latinoamericana de Valores están exentas del pago del impuesto sobre la renta.</t>
  </si>
  <si>
    <t>La Ley No.8 del 15 de marzo de 2010 refiere que la tasa fiscal para las entidades financieras es de 25% sobre la renta neta gravable, o sobre el total de ingresos superior a B/.1,500,000 determinen como base imponible el 25% de tasa fiscal sobre el 4.67% del total de ingresos. La Compañía considera el mayor para registrar el impuesto corriente, excepto cuando tenga la aprobación de la autoridad fiscal de no aplicación del cálculo alterno.</t>
  </si>
  <si>
    <t>B/.</t>
  </si>
  <si>
    <t>De acuerdo a las regulaciones fiscales vigentes, las declaraciones de impuesto sobre la renta están sujetas a revisión por la autoridad fiscal por los tres últimos años, incluyendo el año terminado al 31 de diciembre de 2022.</t>
  </si>
  <si>
    <t>Durante el año 2022, la Compañía realizó reclasificaciones en la presentación de sus ingresos y gastos que afectaban las cifras presentadas en el estado de ganancia o pérdida comparativos de 2021.</t>
  </si>
  <si>
    <t>4</t>
  </si>
  <si>
    <t>4. Administración de los riesgos financieros</t>
  </si>
  <si>
    <t>Riesgo financiero</t>
  </si>
  <si>
    <t>### Introducción y revisión general:</t>
  </si>
  <si>
    <t>La Compañía está expuesta a los siguientes riesgos de instrumentos financieros:</t>
  </si>
  <si>
    <t>- riesgo crediticio; - riesgo de liquidez; - riesgos de mercado; y - riesgo operacional.</t>
  </si>
  <si>
    <t>Esta nota presenta información sobre los objetivos, políticas y procesos de la Compañía para medir y administrar el riesgo.</t>
  </si>
  <si>
    <t>### Marco de información general sobre la administración del riesgo:</t>
  </si>
  <si>
    <t>La Junta Directiva de la Compañía tiene la responsabilidad general del establecimiento y la supervisión del marco de administración de riesgos de la Compañía. La administración ha creado una serie de comités integrales, quienes son responsables de aprobar y supervisar las políticas de administración de riesgos de la Compañía.</t>
  </si>
  <si>
    <t>- 20 -</t>
  </si>
  <si>
    <t>page-57</t>
  </si>
  <si>
    <t>Las políticas de administración de riesgos de la Compañía se establecen para identificar y analizar los riesgos que enfrenta la Compañía, para establecer límites y controles de riesgo adecuados, y para monitorear los riesgos y el cumplimiento de los límites. Las políticas y los sistemas de administración de riesgos se revisan periódicamente para reflejar los cambios en las condiciones del mercado y las actividades de la Compañía. La Compañía, a través de sus normas y procedimientos de formación y administración, tiene como objetivo desarrollar un entorno de control disciplinado y constructivo en el que todos los empleados comprendan sus funciones y obligaciones.</t>
  </si>
  <si>
    <t>El departamento de auditoría interna supervisa cómo la administración supervisa el cumplimiento de las políticas y procedimientos de administración de riesgos de la Compañía y revisa la idoneidad del marco de administración de riesgos en relación con los riesgos que enfrenta la Compañía. Así también lleva a cabo revisiones periódicas de controles y procedimientos de administración de riesgos y se informan a la Junta Directiva.</t>
  </si>
  <si>
    <t>El "riesgo de crédito" es el riesgo de pérdida financiera para la Compañía si un cliente o contraparte de un instrumento financiero no cumple con sus obligaciones contractuales y surge principalmente de los préstamos de la Compañía a clientes. A los efectos de la presentación de informes de administración de riesgos, la Compañía considera y consolida todos los elementos de la exposición al riesgo de crédito.</t>
  </si>
  <si>
    <t>## Riesgo de liquidación:</t>
  </si>
  <si>
    <t>Las actividades de la Compañía pueden dar lugar a riesgos en el momento de la liquidación de transacciones y operaciones. El "riesgo de liquidación" es el riesgo de pérdida debido al incumplimiento de una entidad de sus obligaciones de entregar efectivo u otros activos según lo acordado contractualmente.</t>
  </si>
  <si>
    <t>Para ciertos tipos de transacciones, la Compañía mitiga este riesgo mediante la realización de liquidación o compensación para asegurar que una operación se liquide solo cuando ambas partes hayan cumplido con sus obligaciones contractuales de liquidación. Los límites de liquidación forman parte del proceso de la aprobación de crédito descrito anteriormente.</t>
  </si>
  <si>
    <t>## Administración del riesgo de crédito:</t>
  </si>
  <si>
    <t>La Junta Directiva ha creado un Comité de Crédito para la supervisión del riesgo de crédito de la Compañía, y son responsables por lo siguiente:</t>
  </si>
  <si>
    <t>- Formulación de políticas crediticias; - Establecimiento de la estructura de aprobación y límites de autorización; - Revisión y evaluación de riesgo de crédito; - Limitación las concentraciones de exposición; - Desarrollo y mantenimiento de los procesos de medición de la PCE de la Compañía.</t>
  </si>
  <si>
    <t>- 21 -</t>
  </si>
  <si>
    <t>page-58</t>
  </si>
  <si>
    <t>Cada unidad de negocios requiere que implemente políticas y procedimientos de crédito de la Compañía. Cada unidad de negocios tiene un Gerente que informa sobre todos los asuntos relacionados con el crédito a la Junta Directiva y al Comité de Crédito de la Compañía. Este departamento es responsable de la calidad y el desempeño de su cartera de crédito y de monitorear y controlar todos los riesgos de crédito en sus carteras y portafolios.</t>
  </si>
  <si>
    <t>Las auditorias regulares de las unidades de negocios y sus procesos son realizados por el departamento de auditoría interna.</t>
  </si>
  <si>
    <t>El "riesgo de liquidez" es el riesgo de que la Compañía vaya a encontrar dificultades para cumplir con las obligaciones asociadas con sus pasivos financieros que se liquidan mediante la entrega de efectivo u otro activo financiero. El riesgo de liquidez surge de desajustes en el cronograma y los montos de los flujos de efectivo.</t>
  </si>
  <si>
    <t>## Administración del riesgo de liquidez:</t>
  </si>
  <si>
    <t>El riesgo de liquidez de la Compañía es administrado por el Comité de Activos y Pasivos (ALCO).</t>
  </si>
  <si>
    <t>El enfoque de la Compañía para administrar la liquidez es asegurar, en la medida de lo posible, que siempre tendrá suficiente liquidez para hacer frente a sus pasivos cuando vencen, tanto en condiciones normales como de estrés, sin incurrir en pérdidas inaceptables o sin riesgo de dañar la reputación de la Compañía. Los elementos clave de la estrategia de liquidez de la Compañía son los siguientes:</t>
  </si>
  <si>
    <t>- Poseer una cartera de activos de alta liquidez y diversificada. - Seguimiento a los descalces de plazos entre activos y pasivos al Gap de liquidez o calce financiero. En este análisis se realizan escenarios de "stress" basados en las dificultades que pudieran ocasionar una falta de liquidez.</t>
  </si>
  <si>
    <t>El "riesgo de mercado" es el riesgo de que los cambios en los precios de mercado, por ejemplo, tipos de interés y diferenciales crediticios y que afectarán los ingresos de la Compañía o el valor de sus tenencias de instrumentos financieros. El objetivo de la administración del riesgo de mercado de la Compañía es gestionar y controlar las exposiciones al riesgo de mercado dentro de parámetros aceptables para asegurar la solvencia de la Compañía al tiempo que se optimiza la rentabilidad del riesgo.</t>
  </si>
  <si>
    <t>- 22 -</t>
  </si>
  <si>
    <t>page-59</t>
  </si>
  <si>
    <t>## Administración del riesgo de mercado:</t>
  </si>
  <si>
    <t>La Compañía separa su exposición a los riesgos de mercado entre portafolios de negociación y aquellas que no son de negociación. El portafolio de negociación está principalmente en manos de la unidad de negocios e incluyen posiciones que surgen de la creación de mercado y toma de posiciones propias, junto con activos financieros y pasivos financieros que se administran sobre la base del valor razonable.</t>
  </si>
  <si>
    <t>Las políticas de administración de riesgo disponen el cumplimiento con límites por instrumentos financieros, con una debida gestión y seguimiento através de comités periódicos de Activos y Pasivos (ALCO).</t>
  </si>
  <si>
    <t>## Riesgo de tasa de interés:</t>
  </si>
  <si>
    <t>El principal riesgo al que están expuestas las carteras y portafolios que no son de negociación es el riesgo de pérdida por fluctuaciones en los flujos de efectivo futuros o valores razonables de los instrumentos financieros debido a un cambio en las tasas de interés de mercado. El riesgo de tasa de interés se gestiona principalmente mediante el seguimiento de las diferencias en las tasas de interés y mediante la existencia de límites preaprobados. El departamento financiero es el organismo de control del cumplimiento de estos límites y cuenta con la asistencia del departamento financiero en sus actividades de control diarias. Estas actividades diarias incluyen el seguimiento de los cambios en las exposiciones de tipos de interés de la Compañía, que incluyen el impacto de las obligaciones de deuda pendientes o previstas de la Compañía y los cambios en las exposiciones que surgen de la reforma del IBOR.</t>
  </si>
  <si>
    <t>El "riesgo operativo" es el riesgo de pérdidas directas o indirectas que surgen de una amplia variedad de causas asociadas con los procesos, el personal, la tecnología y la infraestructura de la Compañía, y de factores externos distintos de los riesgos de crédito, de mercado y de liquidez, tales como los que surgen de requisitos legales y reglamentarios y normas generalmente aceptados de comportamiento corporativo. Los riesgos operativos surgen de todas las operaciones de la Compañía.</t>
  </si>
  <si>
    <t>El objetivo de la Compañía es administrar el riesgo operativo con el fin de equilibrar la prevención de pérdidas financieras y daños a la reputación de la Compañía con la rentabilidad y la innovación generales. En todos los casos, la política de la Compañía requiere el cumplimiento de todos los requisitos legales y reglamentarios aplicables.</t>
  </si>
  <si>
    <t>- 23 -</t>
  </si>
  <si>
    <t>page-60</t>
  </si>
  <si>
    <t>La Junta Directiva es responsable del desarrollo e implementación de controles para abordar el riesgo operacional. Esta responsabilidad está respaldada por el desarrollo de normas generales de la Compañía para la gestión del riesgo operativo en las siguientes áreas:</t>
  </si>
  <si>
    <t>- Requisitos para una adecuada separación de funciones, incluida la autorización independiente de transacciones; - Requisitos para la conciliación y seguimiento de transacciones; - Cumplimiento de los requisitos legales y reglamentarios; - Documentación de controles y procedimientos; - Requisitos para la evaluación periódica de los riesgos operativos enfrentados y la idoneidad de los controles y procedimientos para abordar los riesgos identificados; - Requisitos para la comunicación de pérdidas operacionales y acciones correctivas; - Desarrollo de planes de contingencia; - Formación y desarrollo profesional; - Normas éticas y comerciales; y - Tecnología de la información y riesgos cibernéticos.</t>
  </si>
  <si>
    <t>5</t>
  </si>
  <si>
    <t>5. Revisión de los riesgos financieros</t>
  </si>
  <si>
    <t>Esta nota presenta información sobre la exposición de la Compañía a los riesgos financieros y la administración del capital de la Compañía. Para obtener información sobre el marco de administración de los riesgos financieros de la Compañía es requerido verlo en conjunto con la nota 4 en estos estados financieros consolidados.</t>
  </si>
  <si>
    <t>#### Análisis del riesgo de crédito:</t>
  </si>
  <si>
    <t>Los siguientes cuadros presentan información sobre la calidad de crédito de los activos financieros medidos al costo amortizado sin tener en cuenta las garantías u otras mejoras de crédito. A menos que se indique específicamente, para los activos financieros, los montos en la tabla representan valores en libros brutos.</t>
  </si>
  <si>
    <t>La explicación sobre los términos “Fase 1”, “Fase 2” y “Fase 3” está revelada en la nota 4 en estos estados financieros consolidados.</t>
  </si>
  <si>
    <t>#### Efectivo y depósitos en bancos:</t>
  </si>
  <si>
    <t>La Compañía mantenía depósitos en bancos al 31 de diciembre de 2022 por B/.59,335,404 (2021: B/.51,018,720). Los depósitos en bancos están colocados en instituciones financieras, los cuales cuentan con calificaciones de riesgo en los rangos de A+ y BB+ principalmente, basado en las agencias Standard &amp;amp; Poor’s, Moody’s y Fitch Ratings.</t>
  </si>
  <si>
    <t>- 24 -</t>
  </si>
  <si>
    <t>page-61</t>
  </si>
  <si>
    <t>Préstamos a clientes – medidos al costo amortizado:</t>
  </si>
  <si>
    <t>El cuadro a continuación presenta la información acerca de los riesgos por categoría basado en el tipo de producto ofrecido, saldos por cobrar y riesgo:</t>
  </si>
  <si>
    <t>tbl-17.html</t>
  </si>
  <si>
    <t>[tbl-17.html](tbl-17.html)</t>
  </si>
  <si>
    <t>Colaterales y otras mejoras de crédito:</t>
  </si>
  <si>
    <t>La Compañía mantiene garantías y otras mejoras de crédito contra algunas de sus exposiciones crediticias. La siguiente tabla muestra los principales tipos de garantías mantenidas contra diferentes tipos de activos financieros:</t>
  </si>
  <si>
    <t>tbl-18.html</t>
  </si>
  <si>
    <t>[tbl-18.html](tbl-18.html)</t>
  </si>
  <si>
    <t>page-62</t>
  </si>
  <si>
    <t>Activos obtenidos mediante la posesión del colateral:</t>
  </si>
  <si>
    <t>El detalle de los activos financieros y no financieros obtenidos por la Compañía durante el año producto de los colaterales mantenidos como seguridad ante los préstamos a clientes se presentan a continuación:</t>
  </si>
  <si>
    <t>tbl-19.html</t>
  </si>
  <si>
    <t>[tbl-19.html](tbl-19.html)</t>
  </si>
  <si>
    <t>La política de la Compañía es la realización prontamente del colateral de una manera ordenada, de la Compañía usualmente no utiliza los colaterales para sus operaciones.</t>
  </si>
  <si>
    <t>Montos producto de la Pérdida de Crédito Esperada (PCE):</t>
  </si>
  <si>
    <t>Incremento significativo en el riesgo de crédito:</t>
  </si>
  <si>
    <t>Al determinar si el riesgo de incumplimiento de un instrumento financiero ha aumentado significativamente desde el reconocimiento inicial, la Compañía considera información razonable y sustentable que es relevante y está disponible sin costo o esfuerzo indebido. Esto incluye información y análisis tanto cuantitativos como cualitativos, basados en la experiencia histórica de la Compañía y la evaluación crediticia de expertos e incluye la correspondiente información prospectiva.</t>
  </si>
  <si>
    <t>El objetivo de la evaluación es identificar si se ha producido un aumento significativo en el riesgo crediticio para una exposición comparando la probabilidad de incumplimiento (PD) restante de por vida al final de la fecha sobre el que se informa; con la probabilidad de incumplimiento (PD) restante durante el tiempo de vida para este momento que se estimó en el momento del reconocimiento inicial de la exposición.</t>
  </si>
  <si>
    <t>La Compañía utiliza criterios para determinar un aumento significativo en el riesgo de crédito:</t>
  </si>
  <si>
    <t>- Prueba cuantitativa basada en el movimiento en la probabilidad de incumplimiento (PD); - Indicadores cualitativos; y - Evaluación de las moras de más de 90 días.</t>
  </si>
  <si>
    <t>Grados de riesgo de crédito:</t>
  </si>
  <si>
    <t>La Compañía asigna cada exposición a un grado de riesgo de crédito con base en una variedad de datos que se determina que son predictivos del riesgo de incumplimiento y aplicando un juicio crediticio experimentado. Los grados de riesgo de crédito se definen utilizando factores cualitativos y cuantitativos que son indicativos de riesgo de incumplimiento. Estos factores varían de conformidad con la naturaleza de la exposición del crédito y el tipo de cliente.</t>
  </si>
  <si>
    <t>Los grados de riesgo de crédito se definen y calibran de manera que el riesgo de que ocurra un incumplimiento aumenta exponencialmente a medida que el grado de riesgo de crédito se deteriora.</t>
  </si>
  <si>
    <t>- 26 -</t>
  </si>
  <si>
    <t>page-63</t>
  </si>
  <si>
    <t>Cada exposición se asigna a un grado de riesgo de crédito en el reconocimiento inicial basado en la información disponible sobre el cliente. Las exposiciones están sujetas a un seguimiento continuo, lo que puede dar lugar a que una exposición se mueva a un grado de riesgo de crédito diferente. El monitoreo generalmente implica el uso de los siguientes datos de conformidad con las exposiciones generales:</t>
  </si>
  <si>
    <t>- Información obtenida durante el período de revisión del expediente del cliente; - Información de las agencias de referencias de crédito; - Políticas regulatorias, tecnológicas y económicas y actuales, y cambios significativos para el cliente que hayan afectado sus condiciones y sus actividades principales; y - Referencias e histórico de pagos.</t>
  </si>
  <si>
    <t>Generando la estructura temporal de la probabilidad de incumplimiento (PD):</t>
  </si>
  <si>
    <t>La Compañía ha incorporado escenarios macroeconómicos en el cálculo de la provisión para pérdidas crediticias esperadas con el fin de reflejar el efecto prospectivo. La inclusión de las condiciones macroeconómicas en los modelos de la provisión para pérdidas crediticias esperadas se hace a partir de metodologías que correlacionan el comportamiento histórico de la cartera con determinadas variables económicas.</t>
  </si>
  <si>
    <t>La Compañía recopila información sobre el desempeño y el incumplimiento sobre sus exposiciones al riesgo de crédito analizadas por tipo de producto y cliente, así como por clasificación de riesgo de crédito. Así también, la Compañía monitorea la efectividad de los criterios utilizados para identificar aumentos significativos en el riesgo crediticio mediante revisiones periódicas para confirmar que:</t>
  </si>
  <si>
    <t>- Los criterios son capaces de identificar aumentos significativos en el riesgo de crédito antes de que una exposición entre en incumplimiento; - Los criterios no se alinean con el momento en el que un activo tiene 30 días de vencimiento; - El tiempo medio entre la identificación de un aumento significativo del riesgo de crédito y el incumplimiento parece razonable; - Las exposiciones generalmente no se transfieren directamente de la medición de las pérdidas de crédito esperadas a 12 meses a las de crédito deteriorado; y - No existe una volatilidad injustificada en la provisión para pérdidas de transferencias entre la probabilidad de incumplimiento (PD) de 12 meses (Fase 1) y la probabilidad de incumplimiento (PD) de por vida (Fase 2).</t>
  </si>
  <si>
    <t>Definición de incumplimiento:</t>
  </si>
  <si>
    <t>La Compañía considera que un activo financiero está en incumplimiento cuando (i) es poco probable que el cliente pague sus obligaciones crediticias con la Compañía en su totalidad, sin que la Compañía recurra a acciones como la realización de garantías (si se mantiene alguna); o (ii) el cliente tiene más de 90 días de mora en cualquier obligación crediticia significativa con la Compañía.</t>
  </si>
  <si>
    <t>- 27 -</t>
  </si>
  <si>
    <t>page-64</t>
  </si>
  <si>
    <t>Al evaluar si un cliente está en incumplimiento, la Compañía considera indicadores:</t>
  </si>
  <si>
    <t>- Cualitativos; - Cuantitativos; y - Basado en datos desarrollados internamente y obtenidos de fuentes externas.</t>
  </si>
  <si>
    <t>Los insumos en la evaluación de si un instrumento financiero está en incumplimiento y su importancia pueden variar con el tiempo para reflejar cambios en las circunstancias.</t>
  </si>
  <si>
    <t>Incorporación de la información prospectiva:</t>
  </si>
  <si>
    <t>La Compañía incorpora información prospectiva tanto en la evaluación de si el riesgo crediticio de un instrumento ha aumentado significativamente desde su reconocimiento inicial como en la medición de las pérdidas de crédito esperadas.</t>
  </si>
  <si>
    <t>La Compañía formula tres escenarios económicos: un caso base, que es el escenario conservador (desarrollado internamente con base en previsiones), y dos escenarios menos probables, uno al optimista y otro a la pesimista. El escenario conservador está alineado con la información que utiliza la Compañía para otros fines como la planificación y presupuesto. La fuente de información considerada incluye datos económicos y previsiones publicadas por organismos internacionales. La Compañía ha utilizado la tasa de desempleo por 5.4%, el indicador mensual de actividad económica (IMAE) por 4.4% y la tasa de inflación por 1.1%, desde en los últimos tres años con el fin de evaluar la mejor estimación de la provisión para pérdidas crediticias esperadas bajo condiciones económicas futuras posibles.</t>
  </si>
  <si>
    <t>Activos financieros modificados:</t>
  </si>
  <si>
    <t>Los términos contractuales de un préstamo pueden modificarse por varias razones, incluidas las condiciones cambiantes del mercado, la retención de clientes y otros factores no relacionados con un deterioro crediticio actual o potencial del cliente. Un préstamo de cliente existente cuyos términos hayan sido modificados puede darse de baja y el préstamo de cliente renegociado reconocido como un nuevo préstamo a valor razonable de acuerdo con la política contable.</t>
  </si>
  <si>
    <t>Cuando se modifican los términos de un activo financiero y la modificación no da lugar a la baja en cuentas, la determinación de si el riesgo crediticio del activo ha aumentado significativamente refleja la comparación de:</t>
  </si>
  <si>
    <t>- Su probabilidad de incumplimiento (PD) restante de la vida útil al final de la fecha sobre el que se informa sobre la base de los términos modificados; con - La probabilidad de incumplimiento (PD) restante de la vida útil estimada en base a los datos del reconocimiento inicial y los términos contractuales originales.</t>
  </si>
  <si>
    <t>Cuando la modificación da como resultado la baja, se reconoce un nuevo préstamo y se asigna a la Fase 1 (asumiendo que no tiene deterioro crediticio en ese momento).</t>
  </si>
  <si>
    <t>- 28 -</t>
  </si>
  <si>
    <t>page-65</t>
  </si>
  <si>
    <t>La Compañía renegocia préstamos a clientes en dificultades financieras para maximizar las oportunidades de cobranza y minimizar el riesgo de incumplimiento. Según la política de la Compañía, la condonación de préstamos se concede de forma selectiva si el deudor se encuentra actualmente en incumplimiento de pago de su deuda o si existe un alto riesgo de incumplimiento, existe evidencia de que el deudor hizo todos los esfuerzos razonables para pagar según el contrato términos originales y se espera que el deudor pueda cumplir con los términos revisados.</t>
  </si>
  <si>
    <t>Los términos revisados generalmente incluyen extender el vencimiento, cambiar el momento de los pagos de intereses y modificar los términos de los convenios de préstamos. Estos préstamos están sujetos a la política de indulgencia. El Comité de Crédito de la Compañía revisa periódicamente los informes sobre las actividades.</t>
  </si>
  <si>
    <t>Para los activos financieros modificados como parte de la política de la Compañía, la estimación de la probabilidad de incumplimiento (PD) refleja si la modificación ha mejorado o restaurado la capacidad de la Compañía para cobrar intereses y capital y la experiencia previa de la Compañía de una acción de indulgencia similar. Como parte de este proceso, la Compañía evalúa el desempeño de pago del prestatario contra los términos contractuales modificados y considera varios indicadores de comportamiento.</t>
  </si>
  <si>
    <t>En general, la indulgencia es un indicador cualitativo de un aumento significativo en el riesgo de crédito y puede constituir evidencia de que una exposición tiene deterioro crediticio. Un cliente debe demostrar un comportamiento de pago consistentemente bueno durante un período de tiempo antes de que la exposición ya no se considere con deterioro crediticio/en mora o se considere que la probabilidad de incumplimiento (PD) ha disminuido de manera que se encuentre dentro de los rangos de la probabilidad de incumplimiento (PD) de 12 meses para el activo para ser considerado Fase 1.</t>
  </si>
  <si>
    <t>## Medición de la pérdida de crédito esperada:</t>
  </si>
  <si>
    <t>Los insumos clave en la medición de la pérdida de crédito esperada son la estructura de términos de las siguientes variables:</t>
  </si>
  <si>
    <t>- Probabilidad de incumplimiento (PD); - Pérdida dado el incumplimiento (PDI); y - Exposición en el deterioro (EED).</t>
  </si>
  <si>
    <t>Las pérdidas de crédito esperadas para exposiciones en la Fase 1 se calculan multiplicando la PD de 12 meses por la PDI y la EED. Las pérdidas de crédito esperada de por vida se calculan multiplicando la PD de por vida por la PDI y EED.</t>
  </si>
  <si>
    <t>La PDI es el porcentaje de exposición que finalmente espera perder la Compañía en caso de que se produzca un incumplimiento en un instrumento financiero. La PDI en el modelo considera la estructura, colaterales, industria del instrumento y los costos de recuperación del colateral si este es parte integral de los activos financieros. Para los préstamos garantizados, los colaterales son un insumo clave en la determinación de la PDI. Estos son calculados según los flujos descontados utilizando la tasa de interés efectiva.</t>
  </si>
  <si>
    <t>- 29 -</t>
  </si>
  <si>
    <t>page-66</t>
  </si>
  <si>
    <t>La EED representa la exposición esperada en el evento de un incumplimiento. La Compañía obtiene el EED a partir de la exposición actual de la contrapartida y los cambios potenciales al monto actual. La EED de un activo financiero es el valor en libros al momento del incumplimiento.</t>
  </si>
  <si>
    <t>Cuando se realiza el modelo de un parámetro se lleva a cabo de forma colectiva, los instrumentos financieros se agrupan sobre la base de características de riesgo compartidas, que pueden incluir:</t>
  </si>
  <si>
    <t>- Tipo de instrumento; - Grado de riesgo de crédito; - Tipo de garantía; - Fecha de reconocimiento inicial; - Plazo restante hasta el vencimiento; - Industria donde labora los clientes o realiza sus principales actividades económicas; y - Ubicación geográfica del cliente.</t>
  </si>
  <si>
    <t>Las agrupaciones están sujetas a revisiones periódicas para garantizar que las exposiciones dentro de un grupo en particular permanezcan adecuadamente homogéneas.</t>
  </si>
  <si>
    <t>Las siguientes tablas muestran conciliaciones desde el saldo inicial hasta el cierre de la provisión para pérdidas por clase de instrumento financiero. La base para determinar las transferencias por cambios en el riesgo de crédito se establece en nuestra política contable:</t>
  </si>
  <si>
    <t>## Préstamos a clientes medidos a costo amortizado:</t>
  </si>
  <si>
    <t>El movimiento de la reserva para pérdidas en préstamos se resume como sigue:</t>
  </si>
  <si>
    <t>tbl-20.html</t>
  </si>
  <si>
    <t>[tbl-20.html](tbl-20.html)</t>
  </si>
  <si>
    <t>- 30 -</t>
  </si>
  <si>
    <t>page-67</t>
  </si>
  <si>
    <t>Compensación de activos financieros y pasivos financieros:</t>
  </si>
  <si>
    <t>La información a revelar sobre la compensación de activos financieros y pasivos financieros incluye activos financieros y pasivos financieros que:</t>
  </si>
  <si>
    <t>- se compensan en el estado consolidado de situación financiera de la Compañía; o - están sujetos a un acuerdo maestro de compensación exigible o acuerdo similar que cubra instrumentos financieros similares, independientemente de si se compensan en el estado consolidado de situación financiera.</t>
  </si>
  <si>
    <t>Los importes brutos de los activos financieros y pasivos financieros y sus importes netos presentados en el estado consolidado de situación financiera de la Compañía se hacen sobre las bases presentadas a continuación:</t>
  </si>
  <si>
    <t>- préstamos a clientes e inversiones medidas a costo amortizado: costo amortizado; y - otras inversiones en valores: valor razonable.</t>
  </si>
  <si>
    <t>Al final de la fecha sobre el que se informa, la Compañía no ha realizado la compensación de activos financieros y pasivos financieros.</t>
  </si>
  <si>
    <t>El cuadro siguiente presenta el vencimiento contractual remanente de los activos financieros y pasivos financieros de la Compañía:</t>
  </si>
  <si>
    <t>tbl-21.html</t>
  </si>
  <si>
    <t>[tbl-21.html](tbl-21.html)</t>
  </si>
  <si>
    <t>- 31 -</t>
  </si>
  <si>
    <t>page-68</t>
  </si>
  <si>
    <t>tbl-22.html</t>
  </si>
  <si>
    <t>[tbl-22.html](tbl-22.html)</t>
  </si>
  <si>
    <t>Los montos presentados en el cuadro anterior corresponden a activos financieros y pasivos financieros no derivados cuya base de medición es el flujo de efectivo descontado, que incluye los pagos de intereses estimados.</t>
  </si>
  <si>
    <t>El siguiente cuadro presenta la distribución de los activos sujetos a riesgo de mercado en portafolio de negociación y no negociación. La Compañía no cuenta con pasivos que estén sujetos a riesgo de mercado.</t>
  </si>
  <si>
    <t>tbl-23.html</t>
  </si>
  <si>
    <t>[tbl-23.html](tbl-23.html)</t>
  </si>
  <si>
    <t>- 32 -</t>
  </si>
  <si>
    <t>page-69</t>
  </si>
  <si>
    <t># Riesgo de tasa de interés:</t>
  </si>
  <si>
    <t>La Compañía está expuesta a varios riesgos asociados con los efectos de las fluctuaciones que prevalecen en los niveles de tasa de interés y sus flujos de efectivo. La administración de la Compañía mantiene controles sobre el riesgo de tasa de interés. El riesgo de tasa de interés está incluido en el riesgo de mercado.</t>
  </si>
  <si>
    <t>La Compañía está expuesta a las fluctuaciones de las tasas de interés que podrían afectar de manera desventajosa la relación entre los intereses cobrados sobre los activos financieros y los intereses pagados sobre las fuentes de financiación.</t>
  </si>
  <si>
    <t>La tabla que aparece a continuación resume la exposición de la Compañía a los riesgos de la tasa de interés. Los activos financieros y pasivos financieros de la Compañía están incluidos en la tabla a su valor en libros brutos, clasificados por categorías por el que ocurra primero entre la nueva fijación de la tasa contractual o las fechas de vencimiento.</t>
  </si>
  <si>
    <t>tbl-24.html</t>
  </si>
  <si>
    <t>[tbl-24.html](tbl-24.html)</t>
  </si>
  <si>
    <t>page-70</t>
  </si>
  <si>
    <t>6</t>
  </si>
  <si>
    <t>6. Administración del capital</t>
  </si>
  <si>
    <t>Capital / patrimonio / dividendos</t>
  </si>
  <si>
    <t>Los objetivos de la Compañía cuando administra su capital es garantizar la capacidad para continuar como negocio en marcha, así como mantener una estructura de capital óptima que reduzca el costo de capital. La Compañía en cumplimiento con la Ley No.42 de 2001 que reglamenta las operaciones de empresas financieras debe mantener un capital pagado de B/.500,000. La Compañía mantiene un capital pagado de B/.5,500,000.</t>
  </si>
  <si>
    <t>7</t>
  </si>
  <si>
    <t>7. Valor razonable de los instrumentos financieros</t>
  </si>
  <si>
    <t>Instrumentos financieros</t>
  </si>
  <si>
    <t>La Compañía mide el valor razonable utilizando los siguientes niveles de jerarquía que reflejan la importancia de los insumos utilizados al hacer las mediciones:</t>
  </si>
  <si>
    <t>- Nivel 1: insumos que son precios de mercado cotizados (no ajustados) en mercados activos para instrumentos idénticos. - Nivel 2: insumos distintos de los precios cotizados incluidos en el Nivel 1 que son observables, ya sea directamente o indirectamente. Esta categoría incluye instrumentos valuados utilizando precios cotizados en mercados activos para instrumentos similares, precios cotizados para instrumentos idénticos o similares en mercados que no son activos y otras técnicas de valuación donde los insumos significativos son directamente o indirectamente observables en un mercado. - Nivel 3: insumos que no son observables. Esta categoría contempla todos los instrumentos en los que la técnica de valuación incluye variables no observables y los mismos tienen un efecto significativo en la medición del valor razonable. Esta categoría también incluye instrumentos que son valuados, basados en precios cotizados para instrumentos similares para los cuales hay que hacer ajustes significativos usando variables no observables, supuestos, o ajustes en los cuales se utilizan datos no observables o subjetivos cuando hay diferencias entre los instrumentos.</t>
  </si>
  <si>
    <t>Las técnicas de valuación incluyen valor presente neto y modelos de flujos descontados, comparaciones con instrumentos similares para los cuales haya precios de mercado observables y otros modelos de valuación. Los insumos y supuestos utilizados en las técnicas de valuación incluyen tasas de referencia libres de riesgo, márgenes crediticios y primas utilizadas para estimar las tasas de descuento.</t>
  </si>
  <si>
    <t>El objetivo de utilizar una técnica de valuación es estimar el precio al que tendría lugar una transacción ordenada de venta del activo o de transferencia del pasivo entre participantes del mercado en la fecha de la medición.</t>
  </si>
  <si>
    <t>La clasificación de la valorización del valor razonable se determinará sobre la base de la variable al nivel más bajo que sea relevante para la valoración del valor razonable en su totalidad. La relevancia de una variable se debe evaluar con respecto a la totalidad de la valoración del valor razonable.</t>
  </si>
  <si>
    <t>- 34 -</t>
  </si>
  <si>
    <t>page-71</t>
  </si>
  <si>
    <t>La Compañía ha establecido marco de controles para la medición del valor razonable. Este marco incluye las funciones de distintos departamentos, quienes reportan directamente al departamento financiero quien asume la responsabilidad de verificar los resultados de las valuaciones del valor razonable de las operaciones significativas de inversiones. Los controles específicos incluyen:</t>
  </si>
  <si>
    <t>- Verificación de los precios observables; - Revisión de los modelos de valuación y los cambios a los modelos (si hubo); - Análisis e investigación de los cambios significativos en la valuación; y - Revisión de los insumos no observables significativos, ajustes a la valuación y los cambios significativos a la medición al nivel 3 del valor razonable comparado con períodos anteriores.</t>
  </si>
  <si>
    <t>Cuando se utilice información de terceros, tal como los proveedores de precios que es utilizado para la medición del valor razonable, el departamento de tesorería evalúa y documenta las evidencias obtenidas a partir de estos proveedores de precios para tener evidencia de las conclusiones de dichas evaluaciones están de conformidad con las NIIF. Esto incluye:</t>
  </si>
  <si>
    <t>- Verificar que el corredor o proveedor de servicios es aprobado por la Compañía para uso de los precios de tipos de instrumentos financieros relevantes; - Entender como el valor razonable ha sido abordado en como este representa las transacciones actuales de mercado y si estos representan un precio cotizado en un mercado activo para instrumentos similares; y - Cuando los precios para instrumentos similares son utilizados para medir el valor razonable, obtener un entendimiento de como estos precios son ajustados para reflejar las características del instrumento sujeto a medición.</t>
  </si>
  <si>
    <t># Instrumentos financieros medidos a valor razonable - jerarquía del valor razonable:</t>
  </si>
  <si>
    <t>El siguiente cuadro se revela el análisis del valor razonable de los instrumentos financieros medidos a valor razonable por nivel de jerarquía por el cual ese valor razonable es clasificado. Los montos son basados en los montos reconocidos en el estado de situación financiera. El valor razonable incluye cualquier diferencia diferida entre el precio de la transacción y el valor razonable en el reconocimiento inicial cuando el valor razonable está basado en técnicas de valuación que utilizan insumos no observables.</t>
  </si>
  <si>
    <t>tbl-25.html</t>
  </si>
  <si>
    <t>[tbl-25.html](tbl-25.html)</t>
  </si>
  <si>
    <t>page-72</t>
  </si>
  <si>
    <t>Instrumentos financieros no medidos a valor razonable:</t>
  </si>
  <si>
    <t>El siguiente cuadro presenta el valor razonable de los instrumentos financieros no medidos a valor razonable y el análisis sobre ellos por nivel en la jerarquía del valor razonable por el cual fueron clasificados</t>
  </si>
  <si>
    <t>tbl-26.html</t>
  </si>
  <si>
    <t>[tbl-26.html](tbl-26.html)</t>
  </si>
  <si>
    <t>El valor razonable para los préstamos a clientes e inversiones medidas a costo amortizado representa el monto descontado de los flujos de efectivo futuros estimados futuros. Los flujos de efectivo provistos se descuentan a las tasas actuales de mercado para determinar su valor razonable, e incluye las tasas de intereses y pérdida por deterioro. En el caso de los préstamos a clientes garantizados, el valor razonable es medido basado en la valuación del colateral subyacente.</t>
  </si>
  <si>
    <t>Para mejorar la exactitud de la estimación del valor razonable de los préstamos a clientes, estos han sido catalogados como homogéneos y son agrupados por tener características similares tales como tipo de colateral, tipo de clientes o industrias y probabilidad de incumplimiento de los pagos.</t>
  </si>
  <si>
    <t>- 36 -</t>
  </si>
  <si>
    <t>page-73</t>
  </si>
  <si>
    <t>8</t>
  </si>
  <si>
    <t>8. Partes relacionadas</t>
  </si>
  <si>
    <t>Partes relacionadas</t>
  </si>
  <si>
    <t>**Saldos y transacciones con partes relacionadas:**</t>
  </si>
  <si>
    <t>Los saldos y transacciones con otras partes relacionadas se presentan a continuación:</t>
  </si>
  <si>
    <t>tbl-27.html</t>
  </si>
  <si>
    <t>[tbl-27.html](tbl-27.html)</t>
  </si>
  <si>
    <t>Los beneficios a empleados a corto plazo incluyen los salarios de los ejecutivos claves y directores y los honorarios profesionales.</t>
  </si>
  <si>
    <t>9</t>
  </si>
  <si>
    <t>9. Efectivo y depósitos en bancos</t>
  </si>
  <si>
    <t>Working capital</t>
  </si>
  <si>
    <t>El efectivo y depósitos en bancos se detallan a continuación:</t>
  </si>
  <si>
    <t>tbl-28.html</t>
  </si>
  <si>
    <t>[tbl-28.html](tbl-28.html)</t>
  </si>
  <si>
    <t>- 37 -</t>
  </si>
  <si>
    <t>page-74</t>
  </si>
  <si>
    <t>Para efecto de conciliación con el estado consolidado de flujos de efectivo y la partida de efectivo y depósitos en bancos presentada en el estado consolidado de situación financiera, se presenta la siguiente conciliación:</t>
  </si>
  <si>
    <t>tbl-29.html</t>
  </si>
  <si>
    <t>[tbl-29.html](tbl-29.html)</t>
  </si>
  <si>
    <t>10</t>
  </si>
  <si>
    <t>10. Inversiones en valores medidas a valor razonable con cambios en resultados</t>
  </si>
  <si>
    <t>Un detalle de las inversiones en valores medidas a valor razonable con cambios en resultados se presenta a continuación:</t>
  </si>
  <si>
    <t>tbl-30.html</t>
  </si>
  <si>
    <t>[tbl-30.html](tbl-30.html)</t>
  </si>
  <si>
    <t>11</t>
  </si>
  <si>
    <t>11. Inversiones en valores medidas a costo amortizado</t>
  </si>
  <si>
    <t>Costos / gastos</t>
  </si>
  <si>
    <t>Un detalle de las inversiones en valores medidas a costo amortizado se presenta así:</t>
  </si>
  <si>
    <t>tbl-31.html</t>
  </si>
  <si>
    <t>[tbl-31.html](tbl-31.html)</t>
  </si>
  <si>
    <t>- 38 -</t>
  </si>
  <si>
    <t>page-75</t>
  </si>
  <si>
    <t>12</t>
  </si>
  <si>
    <t>12. Préstamos a clientes</t>
  </si>
  <si>
    <t>Deuda / bonos / préstamos / leases</t>
  </si>
  <si>
    <t>Los préstamos a clientes se detallan a continuación:</t>
  </si>
  <si>
    <t>tbl-32.html</t>
  </si>
  <si>
    <t>[tbl-32.html](tbl-32.html)</t>
  </si>
  <si>
    <t>Los préstamos a clientes incluyen créditos por B/.9,106,469 (2021: B/.16,781,505) que mantienen pagarés que han sido endosados y transferidos a un fideicomiso de garantía como colaterales en la emisión de los bonos Serie AW y AZ.</t>
  </si>
  <si>
    <t>A continuación se presentan los préstamos por fecha de vencimiento:</t>
  </si>
  <si>
    <t>tbl-33.html</t>
  </si>
  <si>
    <t>[tbl-33.html](tbl-33.html)</t>
  </si>
  <si>
    <t>La morosidad de los préstamos por cobrar es la siguiente:</t>
  </si>
  <si>
    <t>tbl-34.html</t>
  </si>
  <si>
    <t>[tbl-34.html](tbl-34.html)</t>
  </si>
  <si>
    <t>- 39 -</t>
  </si>
  <si>
    <t>page-76</t>
  </si>
  <si>
    <t>13</t>
  </si>
  <si>
    <t>13. Financiamientos recibidos</t>
  </si>
  <si>
    <t>Los financiamientos recibidos se detallan a continuación:</t>
  </si>
  <si>
    <t>tbl-35.html</t>
  </si>
  <si>
    <t>[tbl-35.html](tbl-35.html)</t>
  </si>
  <si>
    <t>Los financiamientos recibidos están medidos a costo amortizado. Estas obligaciones están respaldadas con crédito general de la Compañía y fianza solidaria.</t>
  </si>
  <si>
    <t>14</t>
  </si>
  <si>
    <t>14. Documentos por pagar</t>
  </si>
  <si>
    <t>Los documentos por pagar ascienden a B/.12,605,818 (2021: B/.12,917,773) y consisten en pagarés negociado a una tasa de interés entre 4.25% y 8.00% (2021: 3.4% y 8.0%) con vencimiento entre 2023 a 2027.</t>
  </si>
  <si>
    <t>15</t>
  </si>
  <si>
    <t>15. Valores comerciales negociables</t>
  </si>
  <si>
    <t>Los valores comerciales negociables se presentan a continuación:</t>
  </si>
  <si>
    <t>tbl-36.html</t>
  </si>
  <si>
    <t>[tbl-36.html](tbl-36.html)</t>
  </si>
  <si>
    <t>- 40 -</t>
  </si>
  <si>
    <t>page-77</t>
  </si>
  <si>
    <t>El detalle por cantidad de series emitidas es el siguiente:</t>
  </si>
  <si>
    <t>tbl-37.html</t>
  </si>
  <si>
    <t>[tbl-37.html](tbl-37.html)</t>
  </si>
  <si>
    <t>Los términos y condiciones de los valores comerciales negociables es el siguiente:</t>
  </si>
  <si>
    <t>tbl-38.html</t>
  </si>
  <si>
    <t>[tbl-38.html](tbl-38.html)</t>
  </si>
  <si>
    <t>16</t>
  </si>
  <si>
    <t>16. Bonos corporativos</t>
  </si>
  <si>
    <t>Los bonos corporativos se presentan a continuación:</t>
  </si>
  <si>
    <t>tbl-39.html</t>
  </si>
  <si>
    <t>[tbl-39.html](tbl-39.html)</t>
  </si>
  <si>
    <t>- 41 -</t>
  </si>
  <si>
    <t>page-78</t>
  </si>
  <si>
    <t>tbl-40.html</t>
  </si>
  <si>
    <t>[tbl-40.html](tbl-40.html)</t>
  </si>
  <si>
    <t>Los términos y condiciones de los bonos corporativos es el siguiente:</t>
  </si>
  <si>
    <t>tbl-41.html</t>
  </si>
  <si>
    <t>[tbl-41.html](tbl-41.html)</t>
  </si>
  <si>
    <t>- 42 -</t>
  </si>
  <si>
    <t>page-79</t>
  </si>
  <si>
    <t>17</t>
  </si>
  <si>
    <t>17. Bonos perpetuos</t>
  </si>
  <si>
    <t>El detalle de los bonos perpetuos se presenta a continuación:</t>
  </si>
  <si>
    <t>tbl-42.html</t>
  </si>
  <si>
    <t>[tbl-42.html](tbl-42.html)</t>
  </si>
  <si>
    <t>Los términos y condiciones de los bonos perpetuos es el siguiente:</t>
  </si>
  <si>
    <t>tbl-43.html</t>
  </si>
  <si>
    <t>[tbl-43.html](tbl-43.html)</t>
  </si>
  <si>
    <t>- 43 -</t>
  </si>
  <si>
    <t>page-80</t>
  </si>
  <si>
    <t>18</t>
  </si>
  <si>
    <t>18. Patrimonio</t>
  </si>
  <si>
    <t>El capital en acciones está integrado de la siguiente manera:</t>
  </si>
  <si>
    <t>tbl-44.html</t>
  </si>
  <si>
    <t>[tbl-44.html](tbl-44.html)</t>
  </si>
  <si>
    <t>El detalle de las acciones comunes se presenta a continuación:</t>
  </si>
  <si>
    <t>tbl-45.html</t>
  </si>
  <si>
    <t>[tbl-45.html](tbl-45.html)</t>
  </si>
  <si>
    <t>El detalle de las acciones preferidas se presenta a continuación:</t>
  </si>
  <si>
    <t>tbl-46.html</t>
  </si>
  <si>
    <t>[tbl-46.html](tbl-46.html)</t>
  </si>
  <si>
    <t>- 44 -</t>
  </si>
  <si>
    <t>page-81</t>
  </si>
  <si>
    <t>Los términos y condiciones se presentan a continuación:</t>
  </si>
  <si>
    <t>tbl-47.html</t>
  </si>
  <si>
    <t>[tbl-47.html](tbl-47.html)</t>
  </si>
  <si>
    <t>El detalle de los dividendos declarados durante el año se presenta a continuación:</t>
  </si>
  <si>
    <t>tbl-48.html</t>
  </si>
  <si>
    <t>[tbl-48.html](tbl-48.html)</t>
  </si>
  <si>
    <t>## Reserva de capital voluntario:</t>
  </si>
  <si>
    <t>El movimiento de la reserva de capital voluntario durante el año se presenta a continuación:</t>
  </si>
  <si>
    <t>tbl-49.html</t>
  </si>
  <si>
    <t>[tbl-49.html](tbl-49.html)</t>
  </si>
  <si>
    <t>Al 31 de diciembre, la Junta Directiva aprobó a través de actas el aumento de la reserva de capital voluntario por B/.920,260 (2021: no hubo).</t>
  </si>
  <si>
    <t>- 45 -</t>
  </si>
  <si>
    <t>page-82</t>
  </si>
  <si>
    <t>## Ganancia básica por acción:</t>
  </si>
  <si>
    <t>La ganancia básica por acción mide el desempeño de la Compañía sobre el período reportado y la misma se calcula dividiendo la utilidad neta atribuible a los accionistas entre el número promedio ponderado de acciones en circulación durante el período.</t>
  </si>
  <si>
    <t>El cálculo de la ganancia básica por acción se presenta a continuación:</t>
  </si>
  <si>
    <t>tbl-50.html</t>
  </si>
  <si>
    <t>[tbl-50.html](tbl-50.html)</t>
  </si>
  <si>
    <t>19</t>
  </si>
  <si>
    <t>19. Gastos de personal</t>
  </si>
  <si>
    <t>Los gastos de personal se detallan a continuación:</t>
  </si>
  <si>
    <t>tbl-51.html</t>
  </si>
  <si>
    <t>[tbl-51.html](tbl-51.html)</t>
  </si>
  <si>
    <t>20</t>
  </si>
  <si>
    <t>20. Gastos generales y administrativos</t>
  </si>
  <si>
    <t>Los gastos generales y administrativos se detallan a continuación:</t>
  </si>
  <si>
    <t>tbl-52.html</t>
  </si>
  <si>
    <t>[tbl-52.html](tbl-52.html)</t>
  </si>
  <si>
    <t>- 46 -</t>
  </si>
  <si>
    <t>page-83</t>
  </si>
  <si>
    <t>21</t>
  </si>
  <si>
    <t>21. Gasto de impuesto sobre la renta</t>
  </si>
  <si>
    <t>Impuestos</t>
  </si>
  <si>
    <t>El gasto de impuesto sobre la renta se detalla a continuación:</t>
  </si>
  <si>
    <t>tbl-53.html</t>
  </si>
  <si>
    <t>[tbl-53.html](tbl-53.html)</t>
  </si>
  <si>
    <t>Impuesto sobre la renta corriente: La conciliación entre la utilidad financiera antes del impuesto sobre la renta y la utilidad neta fiscal se detalla a continuación:</t>
  </si>
  <si>
    <t>tbl-54.html</t>
  </si>
  <si>
    <t>[tbl-54.html](tbl-54.html)</t>
  </si>
  <si>
    <t>Impuesto sobre la renta diferido: El movimiento de los saldos de impuesto sobre la renta diferido se presenta a continuación:</t>
  </si>
  <si>
    <t>tbl-55.html</t>
  </si>
  <si>
    <t>[tbl-55.html](tbl-55.html)</t>
  </si>
  <si>
    <t>22</t>
  </si>
  <si>
    <t>22. Información por segmentos</t>
  </si>
  <si>
    <t>Segmentos</t>
  </si>
  <si>
    <t>La Compañía tiene tres líneas estratégicas que representan los segmentos operativos. Estas líneas estratégicas corresponden a los diferentes productos y servicios que ofrece la Compañía, y son administradas de forma separada basada en los informes internos de la administración.</t>
  </si>
  <si>
    <t>- 47 -</t>
  </si>
  <si>
    <t>page-84</t>
  </si>
  <si>
    <t>Los segmentos operativos y sus operaciones se presentan así:</t>
  </si>
  <si>
    <t>tbl-56.html</t>
  </si>
  <si>
    <t>[tbl-56.html](tbl-56.html)</t>
  </si>
  <si>
    <t>Los segmentos operativos antes de impuestos, tal como se incluye en los reportes internos de la administración son revisados por la Junta Directiva, y utilizada para medir el rendimiento y evaluar los resultados de cada segmento operativo con otras entidades en la misma industria donde opera la Compañía.</t>
  </si>
  <si>
    <t>tbl-57.html</t>
  </si>
  <si>
    <t>[tbl-57.html](tbl-57.html)</t>
  </si>
  <si>
    <t>La conciliación de la información por segmentos y los estados financieros consolidados se presenta a continuación:</t>
  </si>
  <si>
    <t>tbl-58.html</t>
  </si>
  <si>
    <t>[tbl-58.html](tbl-58.html)</t>
  </si>
  <si>
    <t>- 48 -</t>
  </si>
  <si>
    <t>page-85</t>
  </si>
  <si>
    <t>23</t>
  </si>
  <si>
    <t>23. Análisis de los cambios en las actividades de financiamiento durante el año</t>
  </si>
  <si>
    <t>Los cambios en las actividades de financiamiento durante el año se presenta a continuación:</t>
  </si>
  <si>
    <t>tbl-59.html</t>
  </si>
  <si>
    <t>[tbl-59.html](tbl-59.html)</t>
  </si>
  <si>
    <t>page-86</t>
  </si>
  <si>
    <t># Fideicomisos Corporación de Finanzas del País (MMG Bank Corporation como Agente Fiduciario)</t>
  </si>
  <si>
    <t>## Informe de los Auditores Independientes y Estados Financieros Combinados</t>
  </si>
  <si>
    <t>Por el año terminado al 31 de diciembre de 2022</t>
  </si>
  <si>
    <t>“Este documento ha sido preparado con el conocimiento de que su contenido será puesto a disposición del público inversionista y del público en general”</t>
  </si>
  <si>
    <t>page-87</t>
  </si>
  <si>
    <t>tbl-60.html</t>
  </si>
  <si>
    <t>[tbl-60.html](tbl-60.html)</t>
  </si>
  <si>
    <t>page-88</t>
  </si>
  <si>
    <t># INFORME DE LOS AUDITORES INDEPENDIENTES</t>
  </si>
  <si>
    <t>Al Agente Fiduciario de Fideicomisos Corporación de Finanzas del País Panamá, República de Panamá</t>
  </si>
  <si>
    <t>Hemos auditado los estados financieros combinados de Fideicomisos Corporación de Finanzas del País (el "Fideicomiso"), que comprenden el estado combinado de activos y fondos en fideicomiso al 31 de diciembre de 2022, y el estado combinado de cambios en los activos netos atribuibles al fideicomitente por el año terminado en esa fecha, y las notas a los estados financieros combinados, que incluye un resumen de las políticas contables significativas.</t>
  </si>
  <si>
    <t>En nuestra opinión, los estados financieros combinados que se acompañan presentan razonablemente, en todos sus aspectos importantes, la situación financiera combinada del Fideicomiso al 31 de diciembre de 2022, y su desempeño financiero combinado por el año terminado en esa fecha de conformidad con las Normas Internacionales de Información Financiera (NIIF).</t>
  </si>
  <si>
    <t>Hemos efectuado nuestra auditoría de conformidad con las Normas Internacionales de Auditoría (NIA). Nuestras responsabilidades con base en esas normas se describen con más detalle en la sección Responsabilidades del Auditor en Relación con la Auditoría de los Estados Financieros Combinados de nuestro informe. Somos independientes del Fideicomiso de conformidad con el Código de Ética para Profesionales de la Contabilidad del Consejo de Normas Internacionales de Ética para Contadores (Código de Ética del IESBA) junto con los requerimientos de ética, que son relevantes para nuestra auditoría de los estados financieros combinados en la República de Panamá, y hemos cumplido con nuestras otras responsabilidades éticas de conformidad con estos requerimientos y con el Código de Ética del IESBA. Consideramos que la evidencia de auditoría que hemos obtenido es suficiente y apropiada para proporcionar una base para nuestra opinión.</t>
  </si>
  <si>
    <t>page-89</t>
  </si>
  <si>
    <t># Responsabilidades de la Administración y de los Encargados del Gobierno del Fideicomiso sobre los Estados Financieros Combinados</t>
  </si>
  <si>
    <t>La Administración es responsable por la preparación y presentación razonable de estos estados financieros combinados de conformidad con las Normas Internacionales de Información Financiera (NIIF), y por el control interno que la administración determine necesario para permitir la preparación de estos estados financieros combinados que estén libres de error material, ya sea debido a fraude o error.</t>
  </si>
  <si>
    <t>En la preparación de los estados financieros combinados, la Administración es responsable de evaluar la capacidad del Fideicomiso para continuar como un negocio en marcha, revelando, en su caso, los asuntos relativos a su continuidad como un negocio en marcha y utilizando las bases contables de negocio en marcha, a menos que la Administración tenga la intención de liquidar el Fideicomiso o de cesar operaciones, o no tiene otra alternativa más realista de hacerlo.</t>
  </si>
  <si>
    <t>Los encargados del Gobierno Corporativo son responsables de la supervisión del proceso de información financiera del Fideicomiso.</t>
  </si>
  <si>
    <t>## Responsabilidades del Auditor en Relación con la Auditoría de los Estados Financieros Combinados</t>
  </si>
  <si>
    <t>Nuestros objetivos son obtener una seguridad razonable sobre si los estados financieros combinados en su conjunto están libres de errores materiales, ya sea debido a fraude o error, y emitir el informe de auditoría que contenga nuestra opinión. Seguridad razonable es un alto nivel de seguridad, pero no garantiza que una auditoría llevada a cabo de conformidad con las Normas Internacionales de Auditoría (NIA) siempre detectará un error material, cuando éste exista. Los errores pueden surgir de fraude o error y son considerados materiales si, individualmente o en su conjunto, podrían razonablemente esperarse que influyan en las decisiones financieras que tomen los usuarios con base en estos estados financieros combinados.</t>
  </si>
  <si>
    <t>Como parte de una auditoría de conformidad con las Normas Internacionales de Auditoría (NIA), aplicamos nuestro juicio profesional y mantenemos un escepticismo profesional durante toda la auditoría. Nosotros también:</t>
  </si>
  <si>
    <t>- Identificamos y evaluamos los riesgos de error material en los estados financieros combinados, ya sea debido a fraude o error, diseñamos y realizamos los procedimientos de auditoría que respondieron a esos riesgos, y obtuvimos evidencia de auditoría que sea suficiente y apropiada para proporcionar una base para nuestra opinión. El riesgo de no detectar un error material debido a fraude es mayor que uno resultante de un error, ya que el fraude involucra colusión, falsificación, omisiones intencionales, manifestaciones intencionalmente erróneas, o la evasión del control interno.</t>
  </si>
  <si>
    <t>- Obtuvimos un entendimiento del control interno relevante para la auditoría con el fin de diseñar los procedimientos de auditoría que sean apropiados en las circunstancias, pero no con el propósito de expresar una opinión sobre la efectividad del control interno del Fideicomiso.</t>
  </si>
  <si>
    <t>page-90</t>
  </si>
  <si>
    <t>- Evaluamos lo apropiado de las políticas contables utilizadas y la razonabilidad de las estimaciones contables y la correspondiente información revelada por la administración.</t>
  </si>
  <si>
    <t>- Concluimos sobre lo apropiado del uso por parte de la Administración de la base de contabilidad de negocio en marcha y, basándonos en la evidencia de auditoría obtenida, concluimos si existe o no una incertidumbre material relacionada con eventos o condiciones que puedan crear una duda importante sobre la capacidad del Fideicomiso para continuar como un negocio en marcha. Si concluimos que existe una incertidumbre material, se requiere que llamemos la atención en nuestro informe de auditoría sobre la información a revelar respectiva en los estados financieros combinados o; si dicha información a revelar no es adecuada o insuficiente, que modifique nuestra opinión. Nuestras conclusiones se basan en la evidencia de auditoría obtenida hasta la fecha de nuestro informe de auditoría. Sin embargo, eventos o condiciones futuras pueden causar que el Fideicomiso deje de continuar como un negocio en marcha.</t>
  </si>
  <si>
    <t>- Evaluamos la presentación en su conjunto, la estructura y el contenido de los estados financieros combinados, incluyendo la información revelada, y si los estados financieros combinados representan las transacciones y eventos subyacentes de un modo que logran una presentación razonable.</t>
  </si>
  <si>
    <t>Nos comunicamos con los encargados del Gobierno Corporativo de Fideicomiso en relación con, entre otros asuntos, el alcance planificado y el momento de realización de la auditoría, y los hallazgos importantes de la auditoría, incluyendo cualquier deficiencia significativa del control interno que identificamos durante nuestra auditoría.</t>
  </si>
  <si>
    <t>## Otros Requerimientos Legales y Reglamentarios</t>
  </si>
  <si>
    <t>En cumplimiento con la Ley 280 del 30 de diciembre de 2021, que regula la profesión de Contador Público Autorizado en la República de Panamá, declaramos lo siguiente:</t>
  </si>
  <si>
    <t>- Que la dirección, ejecución y supervisión de este trabajo de auditoría se ha realizado físicamente en la República de Panamá.</t>
  </si>
  <si>
    <t>- El socio encargado de la auditoría que ha elaborado este Informe de los Auditores Independientes es Jorge Cano Quiróz con número de idoneidad del Contador Público Autorizado (C.P.A.) No.3480.</t>
  </si>
  <si>
    <t>15 de marzo de 2023 Panamá, República de Panamá</t>
  </si>
  <si>
    <t>page-91</t>
  </si>
  <si>
    <t># Fideicomisos Corporación de Finanzas del País</t>
  </si>
  <si>
    <t>(MMG Bank Corporation como Agente Fiduciario)</t>
  </si>
  <si>
    <t>## Estado Combinado de Activos y Fondos en Fideicomisos</t>
  </si>
  <si>
    <t>31 de diciembre de 2022</t>
  </si>
  <si>
    <t>tbl-61.html</t>
  </si>
  <si>
    <t>[tbl-61.html](tbl-61.html)</t>
  </si>
  <si>
    <t>page-92</t>
  </si>
  <si>
    <t>## Estado Combinado de Cambios en los Activos Netos Atribuibles al Fideicomitente</t>
  </si>
  <si>
    <t>tbl-62.html</t>
  </si>
  <si>
    <t>[tbl-62.html](tbl-62.html)</t>
  </si>
  <si>
    <t>page-93</t>
  </si>
  <si>
    <t>Por el año terminado el 31 de diciembre de 2022 (Cifras en balboas)</t>
  </si>
  <si>
    <t>Los Fideicomisos Corporación de Finanzas del País (el "Fideicomiso") están conformados por dos (2) fideicomisos irrevocables constituidos conforme al Contrato de Fideicomiso de fecha del 19 de enero de 2016 y 1 de octubre de 2019 (los "Contratos de Fideicomisos") celebrado entre Corporación de Finanzas del País, S. A. como Fideicomitente y MMG Bank Corporation como Fiduciario. El Fiduciario es sociedad anónima incorporada en Panamá y está autorizada para dedicarse a la Administración de fideicomisos en o desde la República de Panamá de acuerdo con Resolución Fiduciaria No.SBP-FID.0009-2013 de 14 de junio de 2013. La oficina principal del Fiduciario está ubicada en el piso 22 del Edificio MMG Tower en Avenida Paseo del Mar en Costa del Este, en Ciudad de Panamá.</t>
  </si>
  <si>
    <t>El objetivo general de los Fideicomisos es garantizar con los bienes en fideicomiso el cumplimiento de las obligaciones del "Fideicomitente" a favor de los tenedores, derivadas de los bonos corporativos de hasta B/.50,000,000, correspondiente a las Series AW y AZ emitidas y en circulación y de los bonos corporativos hasta B/.100,000,000, que la fecha no mantiene series de bonos emitidas y en circulación, cuyo registro y oferta pública ha sido autorizada por la Superintendencia del Mercado de Valores de Panamá mediante resolución SMV No.20-16 de 19 de enero de 2016 y SMV No.387-19 de 27 de septiembre de 2019. El Fideicomiso está vigente hasta la fecha que todas las obligaciones garantizadas se extingan.</t>
  </si>
  <si>
    <t>El Fideicomitente mediante resolución SMV No.331-22 de 5 de octubre de 2022 autorizada por la Superintendencia del Mercado de Valores de Panamá dio por terminado el Registro de Bonos Corporativos de hasta B/.10,000,000, correspondiente a la Serie T autorizado mediante resolución CNV No.386-08 del 3 de diciembre de 2008.</t>
  </si>
  <si>
    <t>El negocio de fideicomiso en Panamá está regulado mediante la Ley No.1 del 5 de enero de 1984 como ha sido modificada por la Ley No.21 del 10 de mayo de 2017, así como resoluciones y acuerdos de la Superintendencia de Bancos de Panamá.</t>
  </si>
  <si>
    <t>El Fiduciario tendrá las siguientes obligaciones:</t>
  </si>
  <si>
    <t>- Notificar por escrito a la Fideicomitente, al agente de pago y transferencia y a la Superintendencia de Mercado de Valores de Panamá tan pronto la Fideicomitente incumpla con su obligación de dar y mantener en fideicomiso el porcentaje mínimo de créditos a que se refiere obligaciones de la Fideicomitente. - Distribuir los bienes de los Fideicomisos a los beneficiarios por intermedio del agente de pago, registro y transferencia, para pagar las sumas adeudadas por la Fideicomitente derivadas de los bonos registrados. - Devolver al Fideicomitente los bienes del Fideicomiso al haberse pagado todas las sumas de dinero derivadas de los bonos. - Observar y cumplir las demás obligaciones que como Fiduciario se le imponen según la ley de Fideicomisos.</t>
  </si>
  <si>
    <t>page-94</t>
  </si>
  <si>
    <t>## Notas a los Estados Financieros Combinados Por el año terminado el 31 de diciembre de 2022 (Cifras en balboas)</t>
  </si>
  <si>
    <t>El Fiduciario tendrá las siguientes facultades:</t>
  </si>
  <si>
    <t>- Ejecutar todas las medidas que estimen pertinentes y convenientes para la conservación de los bienes en Fideicomiso. - Deducir de los bienes de los Fideicomiso las sumas debidas a su favor por los servicios prestados en ocasión y en ejercicio de sus funciones como Fiduciario del Fideicomiso, así como en concepto de gastos, costos, y tributos causados por la celebración y ejecución del mismo. - Designar a uno o más Fiduciarios sustitutos en caso de que la Fideicomitente no lo nombre el plazo acordado. - Contratar la prestación de servicios profesionales que sean requeridos para el ejercicio de los derechos y obligaciones que adquiere bajo los Fideicomisos, incluyendo a manera de ejemplo, servicios legales, de contabilidad y auditoría, de común acuerdo con la Fideicomitente.</t>
  </si>
  <si>
    <t>El Fideicomitente tiene como obligación sustituir los documentos por cobrar con una morosidad mayor a 90 días por otros que se encuentren al día y que sumados a los existentes en los Fideicomisos cumplan con la cobertura, así como sustituir las garantías que requieran ser reemplazadas.</t>
  </si>
  <si>
    <t>### Aprobación de estados financieros combinados</t>
  </si>
  <si>
    <t>Los estados financieros combinados por el año terminado al 31 de diciembre de 2022 fueron aprobados por la Administración del Fideicomiso el 14 de marzo de 2023.</t>
  </si>
  <si>
    <t>Los estados financieros combinados han sido preparados de conformidad con las Normas Internacionales de Información Financiera (NIIF) emitidas por el Consejo de Normas Internacionales de Contabilidad (IASB). Asimismo, han sido preparados bajo la presunción de que el Fideicomiso opera sobre una base de negocio en marcha.</t>
  </si>
  <si>
    <t>### Moneda funcional y de presentación</t>
  </si>
  <si>
    <t>Los estados financieros combinados están expresados en Balboas (B/.), la unidad monetaria de la República de Panamá, la cual está a la par y es de libre cambio con el dólar (USD) de los Estados Unidos de América. La República de Panamá no emite papel moneda propio y, en su lugar, el dólar (USD) de los Estados Unidos de América es utilizado como moneda de curso legal y moneda funcional.</t>
  </si>
  <si>
    <t>Los estados financieros combinados de los Fideicomiso han sido preparados de conformidad a la base del costo histórico.</t>
  </si>
  <si>
    <t>page-95</t>
  </si>
  <si>
    <t>3. Políticas contables significativas</t>
  </si>
  <si>
    <t>### Normas emitidas pero aún no efectivas</t>
  </si>
  <si>
    <t>A la fecha de autorización de estos estados financieros combinados, el Consejo de Normas Internacionales de Contabilidad ha publicado varias Normas nuevas, pero aún no efectivas, y enmiendas a las Normas e Interpretaciones existentes. Ninguna de estas Normas o enmiendas a las Normas existentes ha sido adoptada anticipadamente y no se han emitido Interpretaciones que sean aplicables y deban ser tenidas en cuenta por el Fideicomiso al final del período sobre el que se informa.</t>
  </si>
  <si>
    <t>La Administración anticipa que todos los pronunciamientos relevantes serán adoptados en las políticas contables del Fideicomiso para el primer período que inicia después de la fecha efectiva del pronunciamiento. Las nuevas Normas, enmiendas e Interpretaciones, que no han sido adoptadas o listadas previamente no han sido reveladas en virtud de que no se espera que tengan un impacto material en los estados financieros combinados.</t>
  </si>
  <si>
    <t>### Principios de combinación</t>
  </si>
  <si>
    <t>Los estados financieros combinados incluyen información acerca de los fideicomisos bajo control común, pero excluyen información acerca del inversor controlador en cuestión, en este caso del Fiduciario.</t>
  </si>
  <si>
    <t>Cualquier operación y saldos entre ellas se eliminan en la combinación.</t>
  </si>
  <si>
    <t>### Instrumentos financieros</t>
  </si>
  <si>
    <t>page-96</t>
  </si>
  <si>
    <t># Notas a los Estados Financieros Combinados</t>
  </si>
  <si>
    <t># Por el año terminado el 31 de diciembre de 2022</t>
  </si>
  <si>
    <t>- el activo se mantiene dentro de un modelo de negocio cuyo objetivo es mantener activos para cobrar los flujos de efectivo contractuales; y - los términos contractuales del activo financiero dan lugar en fechas especificadas a flujos de efectivo que son solamente pagos de principal e intereses (SPPI).</t>
  </si>
  <si>
    <t>Cualquier otro activo financiero, si fuese el caso, será medido al valor razonable. Al final de la fecha sobre el que se informa, la administración no ha reconocido activos financieros a su valor razonable.</t>
  </si>
  <si>
    <t># Evaluación de modelo de negocios:</t>
  </si>
  <si>
    <t>El Fideicomiso realiza una evaluación del objetivo de un modelo de negocio en el que un activo se mantiene a nivel de cartera porque refleja mejor la forma en que se gestiona el negocio y se proporciona información a la administración que incluye:</t>
  </si>
  <si>
    <t>- las políticas y objetivos establecidos para la cartera y el funcionamiento de esas políticas en la práctica. En particular, si la estrategia de la administración se enfoca en obtener ingresos por intereses contractuales, manteniendo un perfil de tasa de interés particular, haciendo coincidir la duración de los activos financieros con la duración de los pasivos que están financiando esos activos u obteniendo flujos de efectivo a través de la venta de los activos; - cómo se evalúa e informa a la administración el rendimiento del activo financiero; - los riesgos que afectan el desempeño del modelo de negocio y su estrategia sobre cómo se administran esos riesgos; y - cómo se compensa.</t>
  </si>
  <si>
    <t>- las políticas y objetivos establecidos y el funcionamiento de esas políticas en la práctica. En particular, si la estrategia de la administración se enfoca en obtener ingresos por intereses contractuales, manteniendo un perfil de tasa de interés particular, haciendo coincidir la duración de los activos financieros; - cómo se evalúa e informa a la administración el rendimiento de la cartera; - los riesgos que afectan el desempeño del modelo de negocio y su estrategia sobre cómo se administran esos riesgos; - cómo se compensa (por ejemplo, si la compensación se basa en el valor razonable de los activos administrados o en los flujos de efectivo contractuales cobrados); y</t>
  </si>
  <si>
    <t>page-97</t>
  </si>
  <si>
    <t>### Evaluación sobre si los flujos de efectivo contractuales son únicamente pagos de principal e intereses (SPPI):</t>
  </si>
  <si>
    <t>- eventos contingentes que cambiarían la cantidad y el programa de flujos de efectivo; - características del financiamiento; - plazos de pago anticipado y prórroga; - términos que limitan el derecho del Fideicomiso a los flujos de efectivo de activos específicos (por ejemplo, préstamos sin garantías); y - características que modifican la consideración del valor temporal del dinero.</t>
  </si>
  <si>
    <t>Los activos financieros no son reclasificados posterior a su reconocimiento inicial, excepto en el período posterior el cual el Fideicomiso cambie su modelo de negocio para la administración de los activos financieros.</t>
  </si>
  <si>
    <t>### Reconocimiento de la baja en cuenta:</t>
  </si>
  <si>
    <t>#### Activos financieros:</t>
  </si>
  <si>
    <t>El Fideicomiso da de baja un activo financiero cuando vencen los derechos contractuales a los flujos de efectivo del activo financiero o transfiere los derechos a recibir los flujos de efectivo contractuales en una transacción en la que sustancialmente todos los riesgos y beneficios de la propiedad del activo financiero se transfieren o en el cual el Fideicomiso no transfiere ni retiene sustancialmente todos los riesgos y beneficios inherentes a la propiedad y no retiene el control del activo financiero.</t>
  </si>
  <si>
    <t>page-98</t>
  </si>
  <si>
    <t>El 'valor razonable' es el precio que se recibiría por vender un activo o que se pagaría por transferir un pasivo en una transacción ordenada entre participantes del mercado en la fecha de medición en el principal o, en su ausencia, en el mercado más ventajoso para el que el Fideicomiso tiene acceso en esa fecha. El valor razonable de un pasivo refleja su riesgo de incumplimiento.</t>
  </si>
  <si>
    <t>Cuando hay uno disponible, el Fideicomiso mide el valor razonable de un instrumento utilizando el precio cotizado en un mercado activo para ese instrumento. Un mercado se considera "activo" si las transacciones del activo o pasivo se realizan con suficiente frecuencia y volumen para proporcionar información de precios de forma continua.</t>
  </si>
  <si>
    <t>Si no existe un precio cotizado en un mercado activo, entonces el Fideicomiso utiliza técnicas de valoración que maximizan el uso de entradas observables relevantes y minimizan el uso de entradas no observables. La técnica de valoración elegida incorpora todos los factores que los participantes del mercado tendrían en cuenta al fijar el precio de una transacción.</t>
  </si>
  <si>
    <t>El Fideicomiso reconoce las transferencias entre niveles de la jerarquía de valor razonable al final del período sobre el que se informa durante el cual se ha producido el cambio.</t>
  </si>
  <si>
    <t>### Retiros de aportes a los fideicomisos</t>
  </si>
  <si>
    <t>Corresponden a todos los desembolsos que debe efectuar la Administradora de los Fideicomisos de conformidad y en cumplimiento con el Contrato de Fideicomiso, los cuales se reconocen como retiros de aportes al fondo del Fideicomiso conforme se desembolsan.</t>
  </si>
  <si>
    <t>page-99</t>
  </si>
  <si>
    <t>4. Administración del riesgo financieros</t>
  </si>
  <si>
    <t>El Fideicomiso está expuesto a los siguientes riesgos de instrumentos financieros:</t>
  </si>
  <si>
    <t>- riesgo crediticio y - riesgo de liquidez</t>
  </si>
  <si>
    <t>Esta nota presenta información sobre los objetivos, políticas y procesos del Fideicomiso para medir y administrar el riesgo.</t>
  </si>
  <si>
    <t>El Fideicomiso tiene la responsabilidad general del establecimiento y la supervisión del marco de administración de riesgos, por lo que tiene responsables para aprobar y supervisar las políticas de administración de riesgos.</t>
  </si>
  <si>
    <t>Los riesgos de instrumentos financieros del Fideicomiso son limitados basados en los montos en el estado combinado de activos y fondos en fideicomisos.</t>
  </si>
  <si>
    <t>Los fondos en Fideicomiso están expuestos al riesgo de crédito, que es el riesgo de que la contraparte no cumpla con los pagos de manera completa y a tiempo. Los activos financieros que potencialmente presenta riesgo crediticio para los Fideicomisos consisten en depósitos a la vista colocados en MMG Bank Corporation (el Banco).</t>
  </si>
  <si>
    <t>El siguiente cuadro contiene información sobre la calidad crediticia de los activos financieros medidos al costo amortizado sin tener en cuenta garantías o mejoras crediticias. Salvo se indique específicamente, los montos para los activos financieros representan su valor en libros.</t>
  </si>
  <si>
    <t>tbl-63.html</t>
  </si>
  <si>
    <t>[tbl-63.html](tbl-63.html)</t>
  </si>
  <si>
    <t>page-100</t>
  </si>
  <si>
    <t>El riesgo de liquidez se define como la incapacidad del Fideicomiso de cumplir con todas sus obligaciones por causa, entre otros, de un retiro inesperado de fondos por parte del Fideicomitente bajo las condiciones establecidas en las leyes para los retiros de la Administración del Fideicomiso, reducción del valor de las inversiones, excesiva concentración de pasivos en una fuente en particular, descalce entre activos y pasivos, y falta de liquidez de los activos. La Administración del Fideicomiso administra sus recursos líquidos para honrar sus pasivos a su vencimiento en condiciones normales. Los vencimientos de los activos son determinados con base al período remanente a la fecha del estado combinado de activos y fondos en fideicomiso hasta la fecha de vencimiento contractual.</t>
  </si>
  <si>
    <t>5. Valor razonable de los instrumentos financieros</t>
  </si>
  <si>
    <t>#### Modelo de valuación:</t>
  </si>
  <si>
    <t>El Fideicomiso mide los valores razonables utilizando la siguiente jerarquía de valor razonable, que refleja la importancia de los datos utilizados para realizar las mediciones:</t>
  </si>
  <si>
    <t>- Nivel 1: insumos que son precios de mercado cotizados (no ajustados) en mercados activos para instrumentos idénticos. - Nivel 2: insumos distintos de los precios cotizados incluidos en el Nivel 1 que son observables directamente (es decir, como precios) o indirectamente (es decir, derivados de precios). Esta categoría incluye instrumentos valuados usando: precios de mercado cotizados en mercados activos para instrumentos similares; precios cotizados para instrumentos idénticos o similares en mercados que se consideran menos activos; u otras técnicas de valoración en las que todos los datos importantes sean observables directa o indirectamente a partir de datos de mercado. - Nivel 3: entradas que no son observables. Esta categoría incluye todos los instrumentos para los cuales la técnica de valuación incluye entradas que no son observables y las entradas no observables tienen un efecto significativo en la valuación del instrumento. Esta categoría incluye instrumentos que se valúan con base en precios cotizados para instrumentos similares para los cuales se requieren ajustes o supuestos importantes no observables para reflejar las diferencias entre los instrumentos.</t>
  </si>
  <si>
    <t>Las técnicas de valoración incluyen modelos de valor actual neto y flujo de efectivo descontado, comparación con instrumentos similares para los que existen precios de mercado observables y otros modelos de valuación. Los supuestos e insumos utilizados en las técnicas de valoración incluyen tipos de interés de referencia y libres de riesgo, diferenciales de crédito y otras primas utilizadas para estimar tipos de descuento.</t>
  </si>
  <si>
    <t>El objetivo de las técnicas de valoración es llegar a una medición del valor razonable que refleje el precio que se recibiría por vender el activo o se pagaría por transferir el pasivo en una transacción ordenada entre participantes del mercado en la fecha de medición.</t>
  </si>
  <si>
    <t>page-101</t>
  </si>
  <si>
    <t>## Notas a los Estados Financieros Combinados Por el año terminado el 31 de diciembre de 2022 *(Cifras en balboas)*</t>
  </si>
  <si>
    <t>Las estimaciones del valor razonable obtenidas de los modelos se ajustan por cualquier otro factor, como el riesgo de liquidez o las incertidumbres del modelo, en la medida en que el Fideicomiso crea que un tercero participante del mercado los tomaría en cuenta al fijar el precio de una transacción. Los valores razonables reflejan el riesgo crediticio del instrumento e incluyen ajustes para tener en cuenta el riesgo crediticio del Fideicomiso y de la contraparte en su caso.</t>
  </si>
  <si>
    <t>Los insumos y los valores del modelo se calibran contra datos históricos y pronósticos publicados y, cuando sea posible, contra transacciones observadas actuales o recientes en diferentes instrumentos. Este proceso de calibración es intrínsecamente subjetivo y produce rangos de posibles insumos y estimaciones del valor razonable. La administración usa su juicio para seleccionar el punto más apropiado en el rango.</t>
  </si>
  <si>
    <t>El Fideicomiso no cuenta con instrumentos financieros medidos a valor razonable.</t>
  </si>
  <si>
    <t>La siguiente tabla establece los valores razonables de los instrumentos financieros que no se miden a valor razonable y los analiza por el nivel en la jerarquía de valor razonable en el que se clasifica cada medición del valor razonable:</t>
  </si>
  <si>
    <t>tbl-64.html</t>
  </si>
  <si>
    <t>[tbl-64.html](tbl-64.html)</t>
  </si>
  <si>
    <t>El valor razonable se incluye dentro del Nivel 3 de la jerarquía.</t>
  </si>
  <si>
    <t>El valor razonable se estima utilizando técnicas de flujo de efectivo descontado, aplicando las tasas que se ofrecen para depósitos con vencimientos similares.</t>
  </si>
  <si>
    <t>Cuando están disponibles, el valor razonable de los activos financieros se basa en transacciones de mercado observables. Cuando no se dispone de transacciones de mercado observables, el valor razonable se estima utilizando modelos de valuación, como técnicas de flujo de efectivo descontado. El insumo en las técnicas de valoración incluye pérdidas crediticias de por vida esperadas, tasas de interés, tasas de pago anticipado y diferenciales de mercado primario o secundario. Para activos financieros dependientes de garantías, el valor razonable se mide con base en el valor de la garantía subyacente.</t>
  </si>
  <si>
    <t>El valor en libros del efectivo es un aproximado a su valor razonable debido a su naturaleza de corto plazo y de bajo riesgo.</t>
  </si>
  <si>
    <t>page-102</t>
  </si>
  <si>
    <t>6. Saldos con partes relacionadas</t>
  </si>
  <si>
    <t>Los saldos más relevantes con partes relacionadas incluidos en los estados financieros combinados, se detallan a continuación:</t>
  </si>
  <si>
    <t>tbl-65.html</t>
  </si>
  <si>
    <t>[tbl-65.html](tbl-65.html)</t>
  </si>
  <si>
    <t>7. Derechos sobre documentos por cobrar</t>
  </si>
  <si>
    <t>El detalle de los derechos sobre documentos por cobrar se presenta a continuación:</t>
  </si>
  <si>
    <t>tbl-66.html</t>
  </si>
  <si>
    <t>[tbl-66.html](tbl-66.html)</t>
  </si>
  <si>
    <t>Los derechos sobre documentos por cobrar están compuestos por cartera de crédito cedidos al Fideicomiso mediante endoso de pagarés mantenidos en custodia.</t>
  </si>
  <si>
    <t>Las siguientes tablas muestran conciliaciones de la provisión para pérdidas por clase de instrumento financiero. La base para determinar las transferencias por cambios en el riesgo de crédito se establece en nuestra política contable:</t>
  </si>
  <si>
    <t>tbl-67.html</t>
  </si>
  <si>
    <t>[tbl-67.html](tbl-67.html)</t>
  </si>
  <si>
    <t>8. Eventos posteriores a la fecha sobre el que se informa</t>
  </si>
  <si>
    <t>No se ha presentado ningún evento significativo que requiera algún ajuste o que no requiriéndolo, deba revelarse, entre la fecha sobre el que se informa y la fecha de autorización.</t>
  </si>
  <si>
    <t>page-103</t>
  </si>
  <si>
    <t># CERTIFICACIÓN ## CORPORACIÓN DE FINANZAS DEL PAÍS, S.A. ### MMG BANK CORPORATION FIDBI-011 #### BONOS CORPORATIVOS ##### US$ 50.000,000.00</t>
  </si>
  <si>
    <t>En nuestra condición de agente fiduciario del fideicomiso de garantía constituido por CORPORACIÓN DE FINANZAS DEL PAÍS, S.A. (en adelante la “Emisora”) para garantizar el cumplimiento de las obligaciones de ésta, derivadas de los bonos corporativos de hasta Cincuenta Millones de Dólares con 00/100 (US$50.000,000.00), cuyo registro y oferta pública ha sido autorizada por la Superintendencia del Mercado de Valores mediante Resolución SMV No. 20-16 de 19 de enero de 2016, (en adelante los “Bonos”); por este medio certificamos que al 31 de diciembre de 2022:</t>
  </si>
  <si>
    <t>1. El saldo a capital de Bonos Serie AW y AZ emitidos y en circulación, garantizados por el fideicomiso de garantía, asciende a siete millones quinientos mil dólares con 00/100 (US$7,500,000.00).</t>
  </si>
  <si>
    <t>2. Los bienes del fideicomiso de garantía están compuestos por:</t>
  </si>
  <si>
    <t>A. Endoso mediante pagarés de cartera de préstamos por una suma total de nueve millones ciento seis mil trescientos sesenta y nueve dólares con 41/100 (US$ 9,106,369.41), la cual se encuentra vigente y no se encuentran en un estado de morosidad mayor de noventa (90) días calendario.</t>
  </si>
  <si>
    <t>B. Bienes del fideicomiso consistentes en dinero en efectivo por el monto de cien dólares con 00/100 (US$100.00).</t>
  </si>
  <si>
    <t>3. El patrimonio total administrado es de nueve millones ciento seis mil cuatrocientos sesenta y nueve dólares con 41/100 (US$ 9,106,469.41)</t>
  </si>
  <si>
    <t>4. La relación de la cobertura establecida en el Prospecto Informativo de los Bonos que resulta de dividir el patrimonio del fideicomiso entre el monto en circulación es de 121%, por lo que cumple con el mínimo requerido. Certificamos que la anterior cobertura considera como préstamos corrientes todos aquellos cedidos al Fideicomiso de Garantía que cumplan con los criterios de elegibilidad, independientemente que se hayan acogido a la nueva categoría de Préstamos Modificados aprobada por la Superintendencia de Bancos mediante Acuerdo 2-2020 como parte de las medidas adicionales, excepcionales y temporales adoptadas para contrarrestar la situación que afronta el país por el COVID-19.</t>
  </si>
  <si>
    <t>5. La cobertura histórica de los últimos trimestres fue de 153% en marzo de 2022 y 120% en junio y septiembre de 2022.</t>
  </si>
  <si>
    <t>6. Los bienes fiduciarios del Emisor mantienen su concentración en cartera de préstamos.</t>
  </si>
  <si>
    <t>La presente certificación ha sido emitida en la ciudad de Panamá, República de Panamá, el día veinticuatro (24) de enero de dos mil veintitrés (2023).</t>
  </si>
  <si>
    <t>MMG BANK CORPORATION, a título fiduciario.</t>
  </si>
  <si>
    <t>Mario de Diego Gambotti Firma Autorizada</t>
  </si>
  <si>
    <t>page-104</t>
  </si>
  <si>
    <t>## CORPORACIÓN DE FINANZAS DEL PAÍS, S.A.</t>
  </si>
  <si>
    <t>MMG BANK CORPORATION FIDBI-003</t>
  </si>
  <si>
    <t>US$ 10.000,000.00</t>
  </si>
  <si>
    <t>1. La Emisora no mantiene saldo a capital de Bonos emitidos y en circulación garantizados por lo tanto no mantiene patrimonio fideicomitido a la fecha. 2. Mediante Resolución SMV No. 331-22 de 5 de octubre de 2022, la Superintendencia del Mercado de Valores autorizó la terminación del registro de los Bonos.</t>
  </si>
  <si>
    <t>page-105</t>
  </si>
  <si>
    <t>### MMG BANK CORPORATION FID-018</t>
  </si>
  <si>
    <t>US$ 100,000,000.00</t>
  </si>
  <si>
    <t>En nuestra condición de agente fiduciario del Fideicomiso de Garantía constituido por CORPORACIÓN DE FINANZAS DEL PAÍS, S.A. (en adelante la “Emisora”) para garantizar el cumplimiento de las obligaciones de ésta, derivadas de los bonos corporativos de hasta Cien Millones de Dólares con 00/100 (US$100.000,000.00), cuyo registro y oferta pública ha sido autorizada por la Superintendencia del Mercado de Valores mediante Resolución SMV No. 387-19 de 27 de septiembre de 2019, (en adelante los “Bonos”); por este medio certificamos que al 31 de diciembre de 2022 la Emisora no ha emitido series de bonos con garantía.</t>
  </si>
  <si>
    <t>millones</t>
  </si>
  <si>
    <t>Respecto de bienes fiduciarios, el Emisor mantiene en el fideicomiso de garantía dinero en efectivo por el monto de Cien Dólares con 00/100 (US$100.00).</t>
  </si>
  <si>
    <t>page-106</t>
  </si>
  <si>
    <t># DECLARACIÓN NOTARIAL JURADA</t>
  </si>
  <si>
    <t>En la Ciudad de Panamá, Capital de la República y Cabecera del Circuito Notarial del mismo nombre, a los siete (7) días del mes de marzo de dos mil veintitrés (2023), ante mí, ERICK ANTONIO BARCIELA CHAMBERS, Notario Público Octavo del Circuito de Panamá, portador de la cédula de identidad personal número ocho-setecientos once-seiscientos noventa y cuatro (8-711-694), comparecieron personalmente los señores GUIDO JUVENAL MARTINELLI ENDARA varón, panameño, mayor de edad, casado, Presidente Ejecutivo, vecino de esta ciudad, portador de la cédula de identidad personal número ocho-trescientos trece-ochocientos sesenta y siete (8-313-867); BOLIVAR LUIS MARQUEZ CAMPODONICO varón, panameño, mayor de edad, casado, Licenciado en Publicidad, vecino de esta ciudad, portador de la cédula de identidad personal número ocho-cuatrocientos veintiséis-novecientos sesenta y nueve (8-426-969) y CARMEN ELENA DOMINGUEZ RODRIGUEZ, mujer, panameña, mayor de edad, soltera, Licenciada en Contabilidad, vecina de esta ciudad, portadora de la cédula de identidad personal número dos-ciento cuarenta y cinco-novecientos dieciocho (2-145-918) e idoneidad profesional No. 8650, actuando en su calidad de Presidente, Tesorero y Contadora Pública Autorizada respectivamente de CORPORACIÓN DE FINANZAS DEL PAÍS, S.A. sociedad anónima organizada y vigente de conformidad con las leyes de la República de Panamá, inscrita a la Ficha quinientos cincuenta y un mil ochocientos cuarenta y dos (551842), Documento número un m</t>
  </si>
  <si>
    <t>a) Que cada uno de los firmantes ha revisado el Estado Financiero Anual correspondiente a CORPORACION DE FINANZAS DEL PAIS, S.A.</t>
  </si>
  <si>
    <t>b) Que a sus juicios, los Estados Financieros, no contienen informaciones o declaraciones falsas sobre hechos de su importancia ni omiten información sobre hechos de importancia que deban ser divulgados en virtud del Decreto Ley Uno (1) del año mil novecientos noventa y nueve (1999), y sus reglamentos, o que deban ser divulgados para las declaraciones hechas en dicho</t>
  </si>
  <si>
    <t>page-107</t>
  </si>
  <si>
    <t>informe no sean tendenciosas o engañosas a la luz de las circunstancias en las que fueron hechas.</t>
  </si>
  <si>
    <t>c) Que a sus juicios, los Estados Financieros Anuales, y cualquier otra información financiera incluida en los mismos representan razonablemente en todos sus aspectos, la condición financiera y los resultados de las operaciones de CORPORACIÓN DE FINANZAS DEL PAÍS, S.A. para el período correspondiente del primero (1) de enero de dos mil veintidós (2022), al treinta y uno (31) de diciembre de dos mil veintidós (2022).</t>
  </si>
  <si>
    <t>d.1) Son responsables del establecimiento y mantenimiento de controles internos de la empresa.</t>
  </si>
  <si>
    <t>d.2) Han diseñado los mecanismos de control interno que garanticen que toda la información de importancia sobre CORPORACIÓN DE FINANZAS DEL PAÍS, S.A. sean hechas de su conocimiento, particularmente durante el período en que los reportes han sido preparados.</t>
  </si>
  <si>
    <t>d.3) Han evaluado la efectividad de los controles internos de CORPORACIÓN DE FINANZAS DEL PAÍS, S.A. dentro de los noventa (90) días previos a la emisión de los Estados Financieros.</t>
  </si>
  <si>
    <t>d.4) Han presentado en los Estados Financieros sus conclusiones sobre efectividad de los controles internos con base en las evaluaciones efectuadas a esa fecha.</t>
  </si>
  <si>
    <t>e) Que cada uno de los firmantes ha revelado a los auditores de CORPORACIÓN DE FINANZAS DEL PAÍS, S.A. lo siguiente:</t>
  </si>
  <si>
    <t>e.1) Todas las deficiencias significativas que surjan en el marco del diseño y operación de los controles internos, que puedan afectar negativamente la capacidad de CORPORACIÓN DE FINANZAS DEL PAÍS, S.A. para registrar, procesar y reportar información financiera e indicando a los auditores cualquier debilidad existente en los controles internos.</t>
  </si>
  <si>
    <t>e.2) Cualquier fraude de importancia o no, que involucre a la administración u otros empleados que ejerzan un rol significativo en la ejecución de los controles internos de CORPORACIÓN DE FINANZAS DEL PAÍS, S.A.</t>
  </si>
  <si>
    <t>f) Que cada uno de los firmantes ha revelado a los auditores externos, la existencia o no, de cambios significativos en los controles internos, de CORPORACIÓN DE FINANZAS DEL PAÍS, S.A., o cualesquiera otros factores que puedan afectar en forma importante tales controles con respecto a deficiencias o debilidades de importancia dentro de la empresa:</t>
  </si>
  <si>
    <t>page-108</t>
  </si>
  <si>
    <t>GUIDO JUVENAL MARTINELLI ENDARA---Cédula: 8-313-867--- BOLIVAR LUIS MARQUEZ, CAMPODONICO ---Cédula: 8-424-969--- CARMEN ELENA DOMINGUEZ RODRIGUEZ ---Cédula: 2-145-918---</t>
  </si>
  <si>
    <t>Esta declaración, la hacemos para que sea presentada ante la Superintendencia del Mercado de Valores de la República de Panamá.</t>
  </si>
  <si>
    <t>Leída como les fue esta Escritura Pública a los comparecientes en presencia de los testigos instrumentales, las señoras SELIDETH EMELINA DE LEÓN CARRASCO, mujer, panameña, mayor de edad, portadora de la cédula de identidad personal número seis-cincuenta y nueve-ciento cuarenta y siete (6-59-147), y ASHLEY POLETT VERGARA ORTIZ, mujer, panameña, mayor de edad, portadora de la cédula de identidad personal número ocho-novecientos treinta y uno-quinientos ocho (8-931-508), ambas mayores de edad, vecinas de esta Ciudad, a quienes conozco y son hábiles, la encontraron conforme, le impartieron su aprobación y firmaron todos ante mí, el Notario que doy fe.</t>
  </si>
  <si>
    <t>GUIDO JUVENAL MARTINELLI ENDARA</t>
  </si>
  <si>
    <t>BOLIVAR LUIS MARQUEZ CAMPODONICO</t>
  </si>
  <si>
    <t>CARMEN ELENA DOMINGUEZ RODRIGUEZ</t>
  </si>
  <si>
    <t>SELIDETH EMELINA DE LEÓN CARRASCO</t>
  </si>
  <si>
    <t>ASHLEY POLETT VERGARA ORTIZ</t>
  </si>
  <si>
    <t>ERICK ANTONIO BARCIELA CHAMBERS</t>
  </si>
  <si>
    <t>2023</t>
  </si>
  <si>
    <t>INA_CFPAIS_2023_0.pdf</t>
  </si>
  <si>
    <t>Corporación de Finanzas del País, S.A. (la "Compañía") es una sociedad anónima registrada en la República de Panamá. Las oficinas principales de la Compañía están ubicadas en el edificio Panacredit en calle 50 en Ciudad de Panamá, y cuenta con 17 sucursales y oficinas ubicadas en distintos puntos estratégicos en Ciudad de Panamá y en otras localidades en el interior del país como Penonomé, Chitré, Santiago y David. Los estados financieros consolidados comprenden la información financiera de la Compañía y sus subsidiarias.</t>
  </si>
  <si>
    <t>La principal actividad de negocio de la Compañía consiste en el otorgamiento de créditos de consumo, principalmente préstamos personales por descuento directo, préstamos con garantía hipotecaria, préstamos de autos, financiamiento comercial, fundamentalmente a pequeñas y medianas empresas; operaciones de factoring o descuentos de facturas locales y arrendamientos financieros principalmente a través de su nombre comercial "Panacredit".</t>
  </si>
  <si>
    <t>En el siguiente cuadro se presenta el detalle de las subsidiarias que componen el Grupo:</t>
  </si>
  <si>
    <t># Adquisición de subsidiaria:</t>
  </si>
  <si>
    <t>El 16 de febrero de 2023, la Compañía adquiere el 100% de las acciones y de derecho a voto de la entidad Acciones Integradas, S.A. de C.V. ubicada en la República de El Salvador. Como resultado, la participación de la Compañía pasó al 100% por lo que la Compañía obtiene el control de esta entidad.</t>
  </si>
  <si>
    <t>Los activos y pasivos identificables adquiridos en la fecha de adquisición son insumos (cartera de préstamos, activos no corrientes y similares) y su planilla operativa. La Compañía ha determinado que en conjunto tanto los insumos adquiridos y los procesos contribuyen significativamente a la capacidad de generar ingresos. La Compañía ha concluido que el conjunto adquirido es un negocio. Tomar el control de esta entidad permitirá aprovechar las bondades de una economía dolarizada.</t>
  </si>
  <si>
    <t>El detalle de la combinación de negocios se presenta a continuación:</t>
  </si>
  <si>
    <t>Efectivo dado como contraprestación transferida 2,292,865 Activos netos identificables (1,981,022) Plusvalía generada en la adquisición 311,843 Efectivo dado como contraprestación transferida 2,292,865 Efectivo adquirido (226,634) Efectivo neto desembolsado en la adquisición 2,066,231</t>
  </si>
  <si>
    <t>La Compañía ha incurrido en costos relacionados a la adquisición por B/.327,501 en asuntos legales y de debida diligencia. Estos costos han sido cargados a resultados.</t>
  </si>
  <si>
    <t>Activos adquiridos y pasivos asumidos identificables:</t>
  </si>
  <si>
    <t>El siguiente cuadro resume los montos reconocidos de activos adquiridos y pasivos asumidos en la fecha de adquisición:</t>
  </si>
  <si>
    <t>La Compañía está sujeto a la supervisión de la Dirección General de Empresas Financieras del Ministerio de Comercio e Industrias de Panamá (MICI) por su calidad de empresas financieras en Panamá, y a través de la Superintendencia del Mercado de Valores de Panamá por ser un emisor de instrumentos de deuda por medio de valores comerciales negociables, bonos corporativos, bonos perpetuos y acciones preferidas.</t>
  </si>
  <si>
    <t>A partir del 2015 es regulada por la Superintendencia de Bancos de Panamá por asuntos que pueda relacionarse a cumplimiento de asuntos relacionados a blanqueo de capitales de acuerdo a la Ley No.23 del 27 de abril de 2015.</t>
  </si>
  <si>
    <t>Los estados financieros consolidados de la Compañía fueron aprobados para su emisión por la administración y la Junta Directiva el 14 de marzo de 2024.</t>
  </si>
  <si>
    <t>Estos estados financieros consolidados han sido preparados de conformidad las Normas NIIF de Contabilidad emitidas por el Consejo de Normas Internacionales de Contabilidad.</t>
  </si>
  <si>
    <t>Estos estados financieros consolidados han sido preparados bajo la hipótesis que la Compañía opera como un negocio en marcha, ya que la administración concluye que la Compañía cuenta con los recursos adecuados para continuar como negocio en marcha en un futuro. Al realizar esta evaluación, la administración ha considerado cierta información que incluye: información prospectiva de rentabilidad, requerimientos regulatorios de capital exigidos por leyes y regulaciones y necesidad de financiamiento.</t>
  </si>
  <si>
    <t>Los estados financieros consolidados de la Compañía han sido preparados sobre la base del devengado y del costo histórico, excepto por inversiones en valores medidas a valor razonable con cambios en resultados (VRCR).</t>
  </si>
  <si>
    <t># Moneda funcional de presentación</t>
  </si>
  <si>
    <t>Estos estados financieros consolidados de la Compañía están presentados en Balboas (B/.). El Balboa es la unidad monetaria de la República de Panamá, y está a la par y es de libre cambio con el Dólar (USD) de los Estados Unidos de América. La República de Panamá no emite papel moneda propio y en su lugar utiliza el Dólar (USD) de los Estados Unidos de América como moneda de curso legal.</t>
  </si>
  <si>
    <t># Uso de juicios y estimaciones</t>
  </si>
  <si>
    <t>## Pérdida de crédito esperada (PCE):</t>
  </si>
  <si>
    <t>## Clasificación de los activos financieros:</t>
  </si>
  <si>
    <t>## Deterioro de instrumentos financieros:</t>
  </si>
  <si>
    <t>3. Políticas contables materiales</t>
  </si>
  <si>
    <t>La Compañía aplicado de forma consistente las siguientes políticas contables para todos los períodos presentados en estos estados financieros consolidados.</t>
  </si>
  <si>
    <t>Adicionalmente, la Compañía ha adoptado las modificaciones sobre Información a Revelar sobre Políticas Contables (Modificaciones a la NIC 1 y al Documento de la Práctica de las NIIF No.2) a partir del 1 de enero de 2023. Las modificaciones requieren de revelaciones sobre políticas contables "materiales" en lugar de "significativas". Sin embargo, las modificaciones no resultaron en cambios significativos a las políticas contables por sí mismas, estas impactaron la información sobre políticas contables en instrumentos financieros revelados en la nota 3 y 5 en estos estados financieros consolidados.</t>
  </si>
  <si>
    <t>## Cambios en las políticas contables materiales</t>
  </si>
  <si>
    <t>**Nuevas Normas adoptadas al 1 de enero de 2023:**</t>
  </si>
  <si>
    <t>Algunos pronunciamientos contables que son efectivos a partir del 1 de enero de 2023 y que, por lo tanto, han sido adoptados, no tienen un impacto significativo en la situación financiera consolidada o los resultados consolidados de la Compañía.</t>
  </si>
  <si>
    <t>**Normas emitidas pero aún no son efectivas:**</t>
  </si>
  <si>
    <t>A la fecha de autorización de estos estados financieros consolidados, el Consejo de Normas Internacionales de Contabilidad ha publicado varias Normas nuevas pero aún no efectivas, y enmiendas a las Normas e Interpretaciones existentes. Ninguna de estas Normas o enmiendas a las Normas existentes ha sido adoptada anticipadamente por la Compañía y no se han emitido Interpretaciones que sean aplicables y deban ser tenidas en cuenta por la Compañía al final del período sobre el que se informa.</t>
  </si>
  <si>
    <t>**Combinación de negocios:**</t>
  </si>
  <si>
    <t>La Compañía contabiliza una combinación de negocios utilizando el método de adquisición cuando un conjunto adquirido de actividades y activos cumplen con la definición de un negocio y el control es transferido a la Compañía.</t>
  </si>
  <si>
    <t>En la determinación si un conjunto adquirido de actividades y activos particulares es un negocio, la Compañía evalúa si el conjunto de actividades y activos adquiridos tienen la capacidad de generar retornos. La Compañía tiene una opción de aplicar una prueba de concentración que permite una evaluación simplificada si un conjunto adquirido de actividades y activos no es un negocio. La prueba de concentración opcional se cumple si sustancialmente todo el valor razonable de los activos adquiridos está concentrado en un activo identificable particular o grupo de activos identificables similares.</t>
  </si>
  <si>
    <t>La consideración transferida en una adquisición es generalmente medida al valor razonable, como son los activos netos identificables adquiridos. Cualquier plusvalía que surja, se realiza anualmente una prueba de deterioro. Cualquier ganancia en una compra en términos de ventaja es reconocido inmediatamente en resultados. Los costos de la transacción se lleva a gastos cuando se incurre, excepto si estos están relacionados a la emisión de una deuda o instrumento de patrimonio.</t>
  </si>
  <si>
    <t>La consideración transferida no incluye montos relacionados a relaciones preexistentes. Estos montos son reconocidos en resultados.</t>
  </si>
  <si>
    <t>Las subsidiarias son entidades controladas por la Compañía. La Compañía controla una entidad cuando está expuesto, o tiene derecho, a rendimientos variables procedentes de su implicación en la entidad y tiene la capacidad de influir en esos rendimientos a través de su poder sobre ésta. Los estados financieros de las subsidiarias son incluidos en los estados financieros consolidados desde la fecha en el cual inicia el control hasta la fecha en que el control cesa.</t>
  </si>
  <si>
    <t>Cuando una Compañía pierde control sobre una subsidiaria, se da de baja los activos y pasivos de la subsidiaria, y cualquier componente del patrimonio. Cualquier ganancia o pérdida resultante es reconocida en resultados. Cualquier inversión considerada en la que anteriormente fue subsidiaria es medida al valor razonable cuando se pierde el control.</t>
  </si>
  <si>
    <t>## Transacciones eliminadas en la consolidación:</t>
  </si>
  <si>
    <t>Todos los saldos y transacciones entre la Compañía y sus subsidiarias son eliminadas en la consolidación incluyendo cualquier ganancia o pérdida no realizada. En caso donde las pérdidas no realizadas en las ventas de activos dentro del grupo son reversadas en la consolidación, el activo subyacente es también evaluado por deterioro desde una perspectiva a nivel de la Compañía. Los montos reportados en los estados financieros de la subsidiaria son ajustados para mantener la consistencia con las políticas contables adoptadas por la Compañía.</t>
  </si>
  <si>
    <t>Un segmento de negocio es un componente de la Compañía, cuyos resultados operativos son revisados regularmente por la administración de la Compañía, para la toma de decisiones acerca de los recursos que serán asignados al segmento y evaluar así su desempeño, y para el cual se tiene disponible información financiera para este propósito.</t>
  </si>
  <si>
    <t>La Compañía tiene dos segmentos principales: préstamos de consumo, comercial e inversiones. En la identificación de la información por segmentos, la administración generalmente utiliza los productos financieros que ofrece la Compañía.</t>
  </si>
  <si>
    <t># Efectivo y depósitos en bancos</t>
  </si>
  <si>
    <t>El efectivo y depósitos en bancos comprenden el efectivo en caja, saldos no restringidos y depósitos en instituciones financieras que son fácilmente convertibles en efectivo con vencimientos originales de tres meses o menos desde la fecha de adquisición, no está sujeto a un riesgo significativo de cambios en su valor razonable, y es utilizado por la Compañía en la administración de sus compromisos a corto plazo.</t>
  </si>
  <si>
    <t>El efectivo y depósitos en bancos se presenta al costo amortizado en el estado consolidado de situación financiera de la Compañía.</t>
  </si>
  <si>
    <t># Activos financieros y pasivos financieros</t>
  </si>
  <si>
    <t>## Reconocimiento y medición inicial:</t>
  </si>
  <si>
    <t>Un activo financiero o un pasivo financiero se mide inicialmente al valor razonable más los costos de transacción que sean directamente atribuibles a su adquisición o emisión. El valor razonable de un instrumento financiero en el reconocimiento inicial es generalmente el precio de transacción.</t>
  </si>
  <si>
    <t>En el reconocimiento inicial, la Compañía puede designar irrevocablemente un activo financiero que de otro modo cumpla con los requisitos para medirse al costo amortizado como el VRCR si al hacerlo elimina o reduce significativamente una asimetría contable que de otro modo surgiría.</t>
  </si>
  <si>
    <t>Evaluación del modelo de negocio:</t>
  </si>
  <si>
    <t>Una evaluación de los modelos de negocios para administrar los activos financieros es fundamental para la clasificación de un activo financiero. La Compañía determina el modelo de negocio a un nivel que refleja cómo los grupos de activos financieros se administran juntos para lograr un objetivo de negocio particular.</t>
  </si>
  <si>
    <t>- Eventos contingentes que cambiarían la cantidad y el programa de flujos de efectivo; - Características del financiamiento; - Plazos de pago anticipado y prórroga; - Términos que limitan el derecho a flujos de efectivo de activos específicos; y - Características que modifican la consideración del valor temporal del dinero.</t>
  </si>
  <si>
    <t>En algunos casos, los préstamos otorgados por la Compañía que están garantizados por un colateral del cliente limitan el derecho de la Compañía a los flujos de efectivo de la garantía subyacente. La Compañía aplica su juicio al evaluar si los préstamos cumplen el criterio “SPPI”. La Compañía normalmente considera la siguiente información al realizar este juicio:</t>
  </si>
  <si>
    <t>## Reconocimiento de la baja en cuenta:</t>
  </si>
  <si>
    <t>## Modificaciones de activos financieros y pasivos financieros:</t>
  </si>
  <si>
    <t>Los ingresos y gastos se presentan sobre una base neta solo cuando lo permiten las Normas NIIF de Contabilidad, o para las ganancias y pérdidas que surgen de un grupo de transacciones similares.</t>
  </si>
  <si>
    <t>Cuando hay uno disponible, la Compañía mide el valor razonable de un instrumento utilizando el precio cotizado en un mercado activo para ese instrumento. Un mercado se considera "activo" si las transacciones del activo o pasivo se realizan con suficiente frecuencia y volumen para proporcionar información de precios de forma continua. Si no existe un precio cotizado en un mercado activo, entonces la Compañía utiliza técnicas de valoración que maximizan el uso de entradas observables relevantes y minimizan el uso de entradas no observables. La técnica de valoración elegida incorpora todos los factores que los participantes del mercado tendrían en cuenta al fijar el precio de una transacción.</t>
  </si>
  <si>
    <t>Activos financieros con deterioro de crédito:</t>
  </si>
  <si>
    <t>Presentación de la PCE en el estado consolidado de situación financiera:</t>
  </si>
  <si>
    <t>Las provisiones para la PCE se presentan en el estado de consolidado de situación financiera de la siguiente manera:</t>
  </si>
  <si>
    <t>Designado a valor razonable con cambios en resultados (VRCR):</t>
  </si>
  <si>
    <t>En el reconocimiento inicial, la Compañía puede designar activos financieros a medidos a VRCR porque esta designación eliminaría o reduciría significativamente una asimetría contable que de otro modo surgiría.</t>
  </si>
  <si>
    <t>La plusvalía que surja de la adquisición de subsidiarias es medida al costo menos cualquier pérdida por deterioro.</t>
  </si>
  <si>
    <t>La plusvalía es probado anualmente por deterioro. Para propósitos de la prueba de deterioro, la plusvalía que surge de una adquisición de negocios es distribuida a su unidad generadora de efectivo o grupos de unidades generadoras de efectivo que se espera que se beneficien de las sinergias de la combinación.</t>
  </si>
  <si>
    <t>El valor recuperable es el valor más alto de su valor en uso y de su valor razonable menos los costos de venta. El valor en uso está basado en la estimación de los flujos de efectivo futuros, descontados a su valor presenta utilizando una tasa de descuento que refleja la evaluación de mercado actual del valor del dinero en el tiempo y los riesgos específicos asociados a la plusvalía.</t>
  </si>
  <si>
    <t>Una pérdida por deterioro es reconocida en resultados si el valor en libros de la plusvalía excede a su valor recuperable. Una pérdida por deterioro de una plusvalía no se reversa.</t>
  </si>
  <si>
    <t># Emisión de deuda y otros pasivos financieros</t>
  </si>
  <si>
    <t>La emisión de deuda y otros pasivos financieros son la principal fuente de financiamientos de la Compañía, y clasifica sus instrumentos de patrimonio como pasivos financieros o instrumentos de patrimonio de conformidad con la sustancia de los términos contractuales de los instrumentos.</t>
  </si>
  <si>
    <t>La emisión de deuda y otros pasivos financieros son inicialmente medidos al valor razonable menos los costos de transacción incrementales directo. Posteriormente, estos son medidos al costo amortizado utilizando el método de interés efectivo.</t>
  </si>
  <si>
    <t>Al calcular la tasa de interés efectiva para instrumentos financieros distintos a los activos crediticios deteriorados u originados, la Compañía estima los flujos de efectivo futuros considerando todos términos contractuales del instrumento financiero, pero no la PCE. Para activos financieros con deterioro crediticio originados, se calcula una tasa de interés efectiva ajustada al crédito utilizando flujos de efectivo futuros, incluido la PCE.</t>
  </si>
  <si>
    <t>El "costo amortizado" de un activo financiero o pasivo financiero es el monto al que el activo financiero o pasivo financiero se mide en el reconocimiento inicial menos los reembolsos del principal, más o menos la amortización acumulada utilizando el método de interés efectivo de cualquier diferencia entre ese monto inicial y el monto de vencimiento y, para los activos financieros, ajustado por cualquier provisión para pérdidas crediticias. El "valor en libros bruto de un activo financiero" es el costo amortizado de un activo financiero antes de ajustar por cualquier provisión para PCE.</t>
  </si>
  <si>
    <t>La Ley No.8 del 15 de marzo de 2010 refiere que la tasa fiscal para las entidades financieras es de 25% sobre la renta neta gravable, o sobre el total de ingresos superior a B/.1,500,000 determinen como base imponible el 25% de tasa fiscal sobre el 4.67% del total de ingresos. La Compañía considera el mayor para registrar el impuesto corriente, excepto cuando tenga la aprobación de la autoridad fiscal de no aplicación del cálculo alternativo.</t>
  </si>
  <si>
    <t>De acuerdo a las regulaciones fiscales vigentes, las declaraciones de impuesto sobre la renta están sujetas a revisión por la autoridad fiscal por los tres últimos años, incluyendo el año terminado al 31 de diciembre de 2023.</t>
  </si>
  <si>
    <t>**Introducción y revisión general:**</t>
  </si>
  <si>
    <t>**Marco de información general sobre la administración del riesgo:**</t>
  </si>
  <si>
    <t>La Junta Directiva supervisa cómo la administración supervisa el cumplimiento de las políticas y procedimientos de administración de riesgos de la Compañía y revisa la idoneidad del marco de administración de riesgos en relación con los riesgos que enfrenta la Compañía.</t>
  </si>
  <si>
    <t>**Riesgo de liquidación:**</t>
  </si>
  <si>
    <t>Administración del riesgo de crédito:</t>
  </si>
  <si>
    <t>Administración del riesgo de liquidez:</t>
  </si>
  <si>
    <t>El riesgo de liquidez es administrado por el departamento financiero.</t>
  </si>
  <si>
    <t>- Poseer una cartera de activos de alta liquidez y diversificada. - Seguimiento a los descalces de plazos entre activos y pasivos a la brecha de liquidez o calce financiero. En este análisis se realizan escenarios de "stress" basados en las dificultades que pudieran ocasionar una falta de liquidez.</t>
  </si>
  <si>
    <t>Administración del riesgo de mercado:</t>
  </si>
  <si>
    <t>Las políticas de administración de riesgo disponen el cumplimiento con límites por instrumentos financieros, con una debida gestión y seguimiento a través de reuniones periódicas de la Junta Directiva de la Compañía.</t>
  </si>
  <si>
    <t>Riesgo de tasa de interés:</t>
  </si>
  <si>
    <t>- Requisitos para una adecuada separación de funciones; - Requisitos para la conciliación y seguimiento de transacciones; - Cumplimiento de los requisitos legales y reglamentarios; - Documentación de controles y procedimientos; - Requisitos para la evaluación periódica de los riesgos operativos enfrentados y la idoneidad de los controles y procedimientos para abordar los riesgos identificados; - Requisitos para la comunicación de pérdidas operacionales y acciones correctivas; - Desarrollo de planes de contingencia; - Formación y desarrollo profesional; - Normas éticas y comerciales; y - Tecnología de la información y riesgos cibernéticos.</t>
  </si>
  <si>
    <t>### Análisis del riesgo de crédito:</t>
  </si>
  <si>
    <t>### Efectivo y depósitos en bancos:</t>
  </si>
  <si>
    <t>La Compañía mantenía depósitos en bancos al 31 de diciembre de 2023 por B/.49,639,045 (2022: B/.59,335,404). Los depósitos en bancos están colocados en instituciones financieras, los cuales cuentan con calificaciones de riesgo en los rangos de A+ y BB+ principalmente basado en las agencias Standard &amp;amp; Poor's, Moody's y Fitch Ratings.</t>
  </si>
  <si>
    <t>### Inversiones en valores medidas a costo amortizado:</t>
  </si>
  <si>
    <t>El cuadro a continuación presenta la información acerca de los riesgos por categoría basado en las calificaciones de riesgo:</t>
  </si>
  <si>
    <t>La Compañía mantiene garantías y otros colaterales de créditos contra algunas de sus exposiciones crediticias. La siguiente tabla muestra los principales tipos de garantías mantenidas contra diferentes tipos de productos:</t>
  </si>
  <si>
    <t>El detalle de los activos obtenidos por el Grupo durante el año producto de los colaterales mantenidos como seguridad ante los préstamos a clientes se presentan a continuación:</t>
  </si>
  <si>
    <t>La política de la Compañía es la realización prontamente del colateral de una manera ordenada. de la Compañía usualmente no utiliza los colaterales para sus operaciones.</t>
  </si>
  <si>
    <t>Al determinar si el riesgo de incumplimiento de un instrumento financiero ha aumentado significativamente desde el reconocimiento inicial, la Compañía considera información razonable y sustentable que es relevante y está disponible sin costo o esfuerzo indebido. Esto incluye información y análisis tanto cuantitativos como cualitativos, basados en la experiencia histórica de la Compañía y la evaluación crediticia de terceros e incluye la correspondiente información prospectiva.</t>
  </si>
  <si>
    <t>- cualitativos; - cuantitativos; y - basado en datos desarrollados internamente y obtenidos de fuentes externas.</t>
  </si>
  <si>
    <t>La Compañía incorpora información prospectiva tanto en la evaluación de si el riesgo crediticio de un instrumento ha aumentado significativamente desde su reconocimiento inicial como en la medición de las PCE.</t>
  </si>
  <si>
    <t>Al tener la cartera de crédito diversificada, la cartera de préstamos utiliza una metodología que incorpora varios factores y los más relevantes es el IMAE (indicador mensual de actividad económica), tasa de desempleo y tasa de inflación.</t>
  </si>
  <si>
    <t>Cada una de estas variables tiene una valoración y ponderación dependiendo de los resultados que se obtengan al analizar la evolución histórica de las cifras económicas en Panamá.</t>
  </si>
  <si>
    <t>Préstamos a clientes medidos a costo amortizado:</t>
  </si>
  <si>
    <t>El movimiento de la reserva para pérdidas en préstamos a clientes se resume como sigue:</t>
  </si>
  <si>
    <t>El siguiente cuadro presenta la distribución de los activos sujetos a riesgo de mercado en portafolio de negociación y no negociación.</t>
  </si>
  <si>
    <t>La Compañía no cuenta con pasivos que estén sujetos a riesgo de mercado.</t>
  </si>
  <si>
    <t>Cuando se utilice información de terceros, tal como los proveedores de precios que es utilizado para la medición del valor razonable, el departamento de tesorería evalúa y documenta las evidencias obtenidas a partir de estos proveedores de precios para tener evidencia de las conclusiones de dichas evaluaciones están de conformidad con las Normas NIIF de Contabilidad. Esto incluye:</t>
  </si>
  <si>
    <t>Instrumentos financieros medidos a valor razonable – jerarquía del valor razonable:</t>
  </si>
  <si>
    <t>El siguiente cuadro presenta el valor razonable de los instrumentos financieros no medidos a valor razonable y el análisis sobre ellos por nivel en la jerarquía del valor razonable por el cual fueron clasificados:</t>
  </si>
  <si>
    <t>El valor razonable para los préstamos a clientes e inversiones medidas a costo amortizado representa el monto descontado de los flujos de efectivo futuros estimados. Los flujos de efectivo provistos se descuentan a las tasas actuales de mercado para determinar su valor razonable, e incluye las tasas de intereses y pérdida por deterioro. En el caso de los préstamos a clientes garantizados, el valor razonable es medido basado en la valuación del colateral subyacente.</t>
  </si>
  <si>
    <t>Para mejorar la exactitud de la estimación del valor razonable de los préstamos a clientes, estos han sido catalogados como homogéneos y son agrupados por tener características similares como tipo de colateral, tipo de clientes o industrias y probabilidad de incumplimiento de los pagos.</t>
  </si>
  <si>
    <t>Un detalle de las inversiones en valores medidas a VRCR se presenta a continuación:</t>
  </si>
  <si>
    <t>Los préstamos a clientes incluyen créditos por B/.9,094,530 (2022: B/.9,106,469) que mantienen pagarés que han sido endosados y transferidos a un fideicomiso de garantía como colaterales en la emisión de los bonos corporativos.</t>
  </si>
  <si>
    <t>13. Valores comerciales negociables</t>
  </si>
  <si>
    <t>14. Bonos corporativos</t>
  </si>
  <si>
    <t>15. Bonos perpetuos</t>
  </si>
  <si>
    <t>16. Financiamientos recibidos</t>
  </si>
  <si>
    <t>Los financiamientos recibidos están medidos a costo amortizado. Estas obligaciones están respaldadas con crédito general de la Compañía y fianza solidaria, con tasa SOFR más un margen negociado y tasa fija con vencimientos varios hasta el año 2026.</t>
  </si>
  <si>
    <t>17. Documentos por pagar</t>
  </si>
  <si>
    <t>Los documentos por pagar ascienden a B/.16,886,634 (2022: B/.12,605,818) y consisten en pagarés negociado a una tasa de interés entre 3.5% y 8.0% (2022: 4.3% y 8.0%) con vencimiento entre 2024 a 2027.</t>
  </si>
  <si>
    <t>18. Otros pasivos</t>
  </si>
  <si>
    <t>Los otros pasivos se presentan a continuación:</t>
  </si>
  <si>
    <t>19. Patrimonio</t>
  </si>
  <si>
    <t>Las acciones comunes están integradas de la siguiente manera:</t>
  </si>
  <si>
    <t>**Clase B – cantidad de acciones:**</t>
  </si>
  <si>
    <t>Reserva de capital voluntario:</t>
  </si>
  <si>
    <t>La Junta Directiva aprobó durante el año a través de actas el aumento de la reserva de capital voluntario por B/.1,332,384 (2022: B/.920,260).</t>
  </si>
  <si>
    <t>Ganancia básica por acción:</t>
  </si>
  <si>
    <t>La ganancia básica por acción mide el rendimiento de la Compañía sobre el período reportado y la misma se calcula dividiendo la utilidad neta atribuible a los accionistas entre el número promedio ponderado de acciones en circulación durante el período.</t>
  </si>
  <si>
    <t>20. Gastos de personal</t>
  </si>
  <si>
    <t>21. Gastos generales y administrativos</t>
  </si>
  <si>
    <t>22. Gasto de impuesto sobre la renta</t>
  </si>
  <si>
    <t>La reconciliación de la tasa fiscal efectiva y el gasto de impuesto sobre la renta presentado en resultados se presenta a continuación:</t>
  </si>
  <si>
    <t>El movimiento de los saldos de impuesto sobre la renta diferido se presenta a continuación:</t>
  </si>
  <si>
    <t>23. Información por segmentos</t>
  </si>
  <si>
    <t>### Base de segmentación:</t>
  </si>
  <si>
    <t>Préstamos de consumo Personal, hipotecario y auto</t>
  </si>
  <si>
    <t>Otros préstamos a clientes Arrendamientos, comercial y factoring</t>
  </si>
  <si>
    <t>### Información acerca de la información de segmentos:</t>
  </si>
  <si>
    <t>La información por segmentos se presenta más adelante. La utilidad por segmento antes de impuestos, tal como se incluye por información presentada internamente revisada por la Junta Directiva, es utilizada para realizar las mediciones que la administración considera apropiadas para tener información de los segmentos y compararlas con otras entidades que operan en la misma industria.</t>
  </si>
  <si>
    <t>Conciliación de la información por segmentos a la información a la información financiera:</t>
  </si>
  <si>
    <t>La conciliación de la información por segmentos reportados a la información presentada en los estados financieros consolidados se presentan a continuación:</t>
  </si>
  <si>
    <t>24</t>
  </si>
  <si>
    <t>24. Análisis de los cambios en las actividades de financiación durante el año</t>
  </si>
  <si>
    <t>Los cambios en las actividades de financiación durante el año se presenta a continuación:</t>
  </si>
  <si>
    <t>25</t>
  </si>
  <si>
    <t>25. Hechos ocurridos después del período sobre el que se informa</t>
  </si>
  <si>
    <t>La Compañía realizó la emisión de bonos corporativos y valores comerciales negociables por B/.30.7 millones a través de 32 emisiones y negociados a una tasa de interés entre 6.0% y 7.8% realizadas durante el año 2024 hasta la fecha de publicación y aprobación de estos estados financieros consolidados. Este hecho no implica ajuste al final del período sobre el que se informa.</t>
  </si>
  <si>
    <t>Informe de los Auditores Independientes y Estados Financieros Combinados</t>
  </si>
  <si>
    <t>Por el año terminado al 31 de diciembre de 2023</t>
  </si>
  <si>
    <t>A los Accionistas y Junta Directiva de Corporación de Finanzas del País, S.A. Panamá, República de Panamá</t>
  </si>
  <si>
    <t># Informe sobre la auditoría de los estados financieros</t>
  </si>
  <si>
    <t>Hemos auditado los estados financieros de Fideicomisos Corporación de Finanzas del País (el "Fideicomiso"), que comprenden el estado combinado de activos y fondos en fideicomisos al 31 de diciembre de 2023, y el estado combinado de cambios en los activos netos atribuibles al fideicomitente, por el año terminado en esa fecha, y las notas a los estados financieros, que incluye la información sobre las políticas contables materiales.</t>
  </si>
  <si>
    <t>En nuestra opinión, los estados financieros que se acompañan presentan razonablemente, en todos los aspectos materiales, la situación financiera de la Compañía al 31 de diciembre de 2023 y su desempeño financiero por el año terminado en esa fecha de conformidad con las Normas NIIF de Contabilidad emitidas por el Consejo de Normas Internacionales de Contabilidad.</t>
  </si>
  <si>
    <t>Hemos efectuado nuestra auditoría de conformidad con las Normas Internacionales de Auditoría (NIAs). Nuestras responsabilidades con base en esas normas se describen con más detalle en la sección Responsabilidades del Auditor en Relación con la Auditoría de los Estados Financieros de nuestro informe. Somos independientes del Fideicomiso de conformidad con el Código Internacional de Ética para Profesionales de la Contabilidad del Consejo de Normas Internacionales de Ética para Contadores (Código del IESBA), junto con los requerimientos de ética que son relevantes para nuestra auditoría de los estados financieros en la República de Panamá, y hemos cumplido con nuestras otras responsabilidades de ética de conformidad con estos requerimientos y del Código del IESBA. Consideramos que la evidencia de auditoría que hemos obtenido es suficiente y apropiada para proporcionar una base para nuestra opinión.</t>
  </si>
  <si>
    <t># Responsabilidades de la Administración y los Encargados del Gobierno Corporativo por los Estados Financieros</t>
  </si>
  <si>
    <t>La administración es responsable por la preparación y presentación razonable de los estados financieros de conformidad con las Normas NIIF de Contabilidad, y del control interno que la administración determine necesario para permitir la preparación de estos estados financieros que estén libres de error material, ya sea debido a fraude o error.</t>
  </si>
  <si>
    <t>En la preparación de los estados financieros, la administración es responsable de evaluar la capacidad de continuar como un negocio en marcha, revelando, según corresponda, los asuntos relacionados con el negocio en marcha y utilizando la base de contabilidad de negocio en marcha a menos que la administración tenga la intención liquidar el Fideicomiso o de cesar operaciones, o no tiene otra alternativa realista de hacerlo de hacerlo.</t>
  </si>
  <si>
    <t># Responsabilidades del Auditor en Relación con la Auditoría de los Estados Financieros</t>
  </si>
  <si>
    <t>Nuestros objetivos son obtener una seguridad razonable sobre si los estados financieros en su conjunto están libres de error material, ya sea debido a fraude o error, y emitir un informe de auditoría que incluye nuestra opinión. Seguridad razonable es un alto nivel de seguridad, pero no garantiza que una auditoría llevada a cabo de conformidad con las NIAs siempre detectará un error material cuando éste exista. Los errores pueden surgir de fraude o error y son considerados materiales si, individualmente o de forma agregada, puede preverse razonablemente que influyan en las decisiones económicas que los usuarios toman basándose en estos estados financieros.</t>
  </si>
  <si>
    <t>Como parte de una auditoría de conformidad con las NIAs, aplicamos nuestro juicio profesional y mantenemos un escepticismo profesional durante toda la auditoría. Nosotros también:</t>
  </si>
  <si>
    <t>- Identificamos y evaluamos los riesgos de error material en los estados financieros, ya sea debido a fraude o error, diseñamos y realizamos los procedimientos de auditoría que respondieron a esos riesgos, y obtuvimos evidencia de auditoría que es suficiente y apropiada para proporcionar una base para nuestra opinión. El riesgo de no detectar un error material debido a fraude es mayor que uno resultante de un error, ya que el fraude involucra colusión, falsificación, omisiones intencionales, manifestaciones intencionalmente erróneas, o la evasión del control interno.</t>
  </si>
  <si>
    <t>- Obtenemos un entendimiento del control interno relevante para la auditoría, con el fin de diseñar los procedimientos de auditoría que sean apropiados en las circunstancias, pero no con el propósito de expresar una opinión sobre la efectividad del control interno del Fideicomiso.</t>
  </si>
  <si>
    <t>- Evaluamos lo apropiado de las políticas contables utilizadas y la razonabilidad de las estimaciones contables y la correspondiente información revelada por la administración. - Concluimos sobre lo adecuado de la utilización, por la administración, de la base de contabilidad de negocio en marcha y, basándonos en la evidencia de auditoría obtenida, concluimos sobre si existe o no una incertidumbre material relacionada con eventos o condiciones que puedan generar duda significativa sobre la capacidad del Fideicomiso para continuar como un negocio en marcha. Si concluimos que existe una incertidumbre material, se requiere que llamemos la atención en nuestro informe de auditoría sobre la correspondiente información revelada en los estados financieros o, si dichas revelaciones no son adecuadas, que modifique nuestra opinión. Nuestras conclusiones se basan en la evidencia de auditoría obtenida hasta la fecha de nuestro informe de auditoría. Sin embargo, eventos o condiciones futuros pueden causar que el Fideicomiso deje de ser un negocio en marcha. - Evaluamos la presentación en su conjunto, la estructura y el contenido de los estados financieros, incluida la información revelada, y si los estados financieros representan las transacciones y eventos subyacentes de un modo que logran una presentación razonable.</t>
  </si>
  <si>
    <t>Nos comunicamos con los encargados del gobierno corporativo en relación con, entre otros asuntos, el alcance planificado y el momento de realización de la auditoría y los hallazgos significativos de auditoría, incluyendo cualquiera deficiencias significativas en el control interno que identificamos durante nuestra auditoría.</t>
  </si>
  <si>
    <t>## Otros Requerimientos Legales de Información</t>
  </si>
  <si>
    <t>En cumplimiento con la Ley 280 del 30 de diciembre de 2021, que regula la profesión del contador público autorizado en la República de Panamá, declaramos lo siguiente:</t>
  </si>
  <si>
    <t>- La dirección, ejecución y supervisión de este trabajo de auditoría se ha realizado físicamente en territorio panameño. - El socio de la auditoría que ha elaborado este informe de los auditores independientes es Jorge Cano Quiróz con número de idoneidad del contador público autorizado No.3480.</t>
  </si>
  <si>
    <t>8 de marzo de 2024</t>
  </si>
  <si>
    <t>Panamá, República de Panamá.</t>
  </si>
  <si>
    <t>Jorge Cano Quiróz Socio C.P.A. No.3480</t>
  </si>
  <si>
    <t>Por el año terminado al 31 de diciembre de 2023 (Cifras en Balboas)</t>
  </si>
  <si>
    <t>Por el año terminado el 31 de diciembre de 2023 (Cifras en balboas)</t>
  </si>
  <si>
    <t>- Notificar por escrito a la Fideicomitente, al agente de pago y transferencia y a la Superintendencia de Mercado de Valores de Panamá tan pronto la Fideicomitente incumpla con su obligación de dar y mantener en fideicomiso el porcentaje mínimo de créditos a que se refiere obligaciones de la Fideicomitente. - En caso de incumplimiento del Fideicomitente y consecuente ejecución de garantías, distribuir los bienes de los Fideicomisos a los beneficiarios por intermedio del agente de pago, registro y transferencia, para pagar las sumas adeudadas por la Fideicomitente derivadas de los bonos registrados, y devolver al Fideicomitente los bienes del Fideicomiso al haberse pagado todas las sumas de dinero derivadas de los bonos. - Observar y cumplir las demás obligaciones que como Fiduciario se le imponen según la ley de Fideicomisos.</t>
  </si>
  <si>
    <t>## Aprobación de estados financieros combinados</t>
  </si>
  <si>
    <t>Los estados financieros combinados por el año terminado al 31 de diciembre de 2023 fueron aprobados por la Administración del Fideicomiso el 8 de marzo de 2024.</t>
  </si>
  <si>
    <t>Los estados financieros combinados de los Fideicomisos han sido preparados de conformidad a la base del costo histórico.</t>
  </si>
  <si>
    <t>##### Activos financieros:</t>
  </si>
  <si>
    <t>##### Evaluación de modelo de negocios:</t>
  </si>
  <si>
    <t># Por el año terminado el 31 de diciembre de 2023</t>
  </si>
  <si>
    <t>## Evaluación de modelo de negocios:</t>
  </si>
  <si>
    <t>## Evaluación sobre si los flujos de efectivo contractuales son únicamente pagos de principal e intereses (SPPI):</t>
  </si>
  <si>
    <t>## Retiros de aportes a los fideicomisos</t>
  </si>
  <si>
    <t>Riesgo de liquidez: El riesgo de liquidez se define como la incapacidad del Fideicomiso de cumplir con todas sus obligaciones por causa, entre otros, de un retiro inesperado de fondos por parte del Fideicomitente bajo las condiciones establecidas en las leyes para los retiros de la Administración del Fideicomiso, reducción del valor de las inversiones, excesiva concentración de pasivos en una fuente en particular, descalce entre activos y pasivos, y falta de liquidez de los activos. La Administración del Fideicomiso administra sus recursos líquidos para honrar sus pasivos a su vencimiento en condiciones normales. Los vencimientos de los activos son determinados con base al período remanente a la fecha del estado combinado de activos y fondos en fideicomiso hasta la fecha de vencimiento contractual.</t>
  </si>
  <si>
    <t>Modelo de valuación: El Fideicomiso mide los valores razonables utilizando la siguiente jerarquía de valor razonable, que refleja la importancia de los datos utilizados para realizar las mediciones:</t>
  </si>
  <si>
    <t># Notas a los Estados Financieros Combinados Por el año terminado el 31 de diciembre de 2023 (Cifras en balboas)</t>
  </si>
  <si>
    <t># CERTIFICACIÓN CORPORACIÓN DE FINANZAS DEL PAÍS, S.A. MMG BANK CORPORATION FIDBI-011 BONOS CORPORATIVOS US$ 50,000,000.00</t>
  </si>
  <si>
    <t>MMG BANK CORPORATION MMG Tower, Piso 22 Avenida Paseo del Mar Costa del Este Tel.: (507) 265-7600 Fax: (507) 265-7601 Apdo. 0852-02453 World Trade Center República de Panamá www.mmgbank.com</t>
  </si>
  <si>
    <t>En nuestra condición de agente fiduciario del fideicomiso de garantía constituido por CORPORACIÓN DE FINANZAS DEL PAÍS, S.A. (en adelante la “Emisora”) para garantizar el cumplimiento de las obligaciones de ésta, derivadas de los bonos corporativos de hasta Cincuenta Millones de Dólares con 00/100 (US$50,000,000.00), cuyo registro y oferta pública ha sido autorizada por la Superintendencia del Mercado de Valores mediante Resolución SMV No. 20-16 de 19 de enero de 2016, (en adelante los “Bonos”); por este medio certificamos que al 31 de diciembre de 2023:</t>
  </si>
  <si>
    <t>a. Endoso mediante pagarés de cartera de préstamos por una suma total de nueve millones noventa y cuatro mil quinientos treinta dólares con 21/100 (US$ 9,094,530.21), la cual se encuentra vigente y no se encuentran en un estado de morosidad mayor de noventa (90) días calendario.</t>
  </si>
  <si>
    <t>b. Bienes del fideicomiso consistentes en dinero en efectivo por el monto de cien dólares con 00/100 (US$100.00).</t>
  </si>
  <si>
    <t>3. El patrimonio total administrado es de nueve millones noventa y cuatro mil seicientos treinta dólares con 21/100 (US$9,094,630.21).</t>
  </si>
  <si>
    <t>4. La relación de la cobertura establecida en el Prospecto Informativo de los Bonos que resulta de dividir el patrimonio del fideicomiso entre el monto en circulación es de 121%, por lo que cumple con el mínimo requerido. Certificamos que la anterior cobertura considera como préstamos corrientes todos aquellos cedidos al Fideicomiso de Garantía que cumplan con los criterios de elegibilidad, independientemente que se hayan acogido a la nueva categoría de Préstamos Modificados aprobada por la Superintendencia de Bancos mediante Acuerdo 2-2020 como parte de las medidas adicionales, excepcionales y temporales adoptadas para contrarrestar la situación que del COVID-19.</t>
  </si>
  <si>
    <t>5. La cobertura histórica de los últimos trimestres fue de 120% en septiembre de 2023, de 121% en junio de 2023 y 120% en marzo de 2023.</t>
  </si>
  <si>
    <t>La presente certificación ha sido emitida en la ciudad de Panamá, República de Panamá, el día veintidós (22) de enero de dos mil veinticuatro (2024).</t>
  </si>
  <si>
    <t>MMG Tower, Piso 22 Avenida Paseo del Mar Costa del Este Tel.: (507) 265-7600 Fax: (507) 265-7601 Apdo. 0832-02453 World Trade Center República de Panamá www.mmgbank.com</t>
  </si>
  <si>
    <t># CERTIFICACIÓN CORPORACIÓN DE FINANZAS DEL PAÍS, S.A. MMG BANK CORPORATION FID-018 BONOS CORPORATIVOS US$ 100,000,000.00</t>
  </si>
  <si>
    <t>En nuestra condición de agente fiduciario del Fideicomiso de Garantía constituido por CORPORACIÓN DE FINANZAS DEL PAÍS, S.A. (en adelante la “Emisora”) para garantizar el cumplimiento de las obligaciones de ésta, derivadas de los bonos corporativos de hasta Cien Millones de Dólares con 00/100 (US$100,000,000.00), cuyo registro y oferta pública ha sido autorizada por la Superintendencia del Mercado de Valores mediante Resolución SMV No. 387-19 de 27 de septiembre de 2019, (en adelante los “Bonos”); por este medio certificamos que al 31 de diciembre de 2023 la Emisora no mantiene series de bonos con garantía.</t>
  </si>
  <si>
    <t>Respecto de bienes fiduciarios, el Emisor mantiene en el fideicomiso de garantía dinero en efectivo por el monto de Cien dólares con 00/100 (US$100.00).</t>
  </si>
  <si>
    <t>VP de Administración, Contabilidad y Operaciones.</t>
  </si>
  <si>
    <t>En la Ciudad de Panamá, Capital de la República y Cabecera del Circuito Notarial del mismo nombre, a los siete (7) días del mes de marzo de dos mil veinticuatro (2024), ante mí, ERICK ANTONIO BARCIELA CHAMBERS, Notario Público Octavo del Circuito de Panamá, portador de la cédula de identidad personal número ocho-setecientos once-seiscientos noventa y cuatro (8-711-694), comparecieron personalmente los señores GUIDO JUVENAL MARTINELLI ENDARA varón, panameño, mayor de edad, casado, Presidente Ejecutivo, vecino de esta ciudad, portador de la cédula de identidad personal número ocho-trescientos trece-ochocientos sesenta y siete (8-313-867); BOLIVAR LUIS MARQUEZ CAMPODONICO varón, panameño, mayor de edad, casado, Licenciado en Publicidad, vecino de esta ciudad, portador de la cédula de identidad personal número ocho-cuatrocientos veintiséis-novecientos sesenta y nueve (8-426-969) y CARMEN ELENA DOMINGUEZ RODRIGUEZ, mujer, panameña, mayor de edad, soltera, Licenciada en Contabilidad, vecina de esta ciudad, portadora de la cédula de identidad personal número dos-ciento cuarenta y cinco-novecientos dieciocho (2-145-918) e idoneidad profesional No. 8650; actuando en su calidad de Presidente, Tesorero y Contador Pública Autorizada por sus siglas (CPA) respectivamente de CORPORACIÓN DE FINANZAS DEL PAÍS, S.A. sociedad anónima organizada y vigente de conformidad con las leyes de la República de Panamá, inscrita a la Ficha quinientos cincuenta y un mil ochocientos cuarenta y dos (551842),</t>
  </si>
  <si>
    <t>a) Que cada uno de los firmantes ha revisado el Estado Financiero Anual correspondiente a CORPORACIÓN DE FINANZAS DEL PAÍS, S.A.</t>
  </si>
  <si>
    <t>b) Que a sus juicios, los Estados Financieros, no contienen informaciones o declaraciones falsas sobre hechos de su importancia ni omiten información sobre hechos de importancia que deban ser divulgados en virtud del Decreto Ley Uno (1) del año mil novecientos noventa y nueve (1999), y sus reglamentos, o, que deban ser divulgados para las declaraciones hechas en dicho</t>
  </si>
  <si>
    <t>c) Que a sus juicios, los Estados Financieros Anuales, y cualquier otra información financiera incluida en los mismos representan razonablemente en todos sus aspectos, la condición financiera y los resultados de las operaciones de CORPORACIÓN DE FINANZAS DEL PAÍS, S.A. para el período correspondiente del primero (1) de enero de dos mil veintitrés (2023), al treinta y uno (31) de diciembre de dos mil veintitrés (2023).</t>
  </si>
  <si>
    <t>f) Que cada uno de los firmantes ha revelado a los auditores externos, la existencia o no, de cambios significativos en los controles internos, de CORPORACIÓN DE FINANZAS DEL PAÍS, S.A., o, cualesquiera otros factores que puedan afectar en forma importante tales controles con respecto a deficiencias o debilidades de importancia dentro de la empresa:</t>
  </si>
  <si>
    <t>GUIDO JUVENAL MARTINELLI ENDARA---Cédula: 8-313-867---</t>
  </si>
  <si>
    <t>BOLIVAR LUIS MARQUEZ, CAMPODONICO ---Cédula: 8-424-969---</t>
  </si>
  <si>
    <t>CARMEN ELENA DOMINGUEZ RODRIGUEZ ---Cédula: 2-145-918---</t>
  </si>
  <si>
    <t>2024</t>
  </si>
  <si>
    <t>INA_CFPAIS_2024_0.pdf</t>
  </si>
  <si>
    <t>1. Información General</t>
  </si>
  <si>
    <t>Corporación de Finanzas del País, S. A. (la “Compañía”) es una entidad financiera constituida de acuerdo a las leyes de la República de Panamá.</t>
  </si>
  <si>
    <t>La Compañía está sujeta a la supervisión de la Dirección General de Empresas Financieras del Ministerio de Comercio e Industrias de Panamá (MICI) por su calidad de empresa financiera en Panamá, y a través de la Superintendencia del Mercado de Valores de Panamá por ser un emisor de instrumentos de deuda por medio de valores comerciales negociables, bonos corporativos, bonos perpetuos y acciones preferidas.</t>
  </si>
  <si>
    <t>A partir del 2015 es regulada por la Superintendencia de Bancos de Panamá por asuntos que pueda relacionarse a cumplimiento de temas relacionados a blanqueo de capitales de acuerdo a la Ley No.23 del 27 de abril de 2015.</t>
  </si>
  <si>
    <t>La principal actividad de negocio de la Compañía consiste en el otorgamiento de créditos de consumo, principalmente préstamos personales por descuento directo, préstamos con garantía hipotecaria, préstamos de autos, financiamiento comercial, fundamentalmente a pequeñas y medianas empresas; operaciones de factoring o descuentos de facturas locales y arrendamientos financieros principalmente a través de su nombre comercial “Panacredit”.</t>
  </si>
  <si>
    <t>El 16 de febrero de 2023, la Compañía adquiere el 100% de las acciones y de derecho a voto de la entidad Acciones Integradas, S.A. de C.V. ubicada en la República de El Salvador.</t>
  </si>
  <si>
    <t>En el siguiente cuadro se presenta el detalle de las subsidiarias que componen la Compañía:</t>
  </si>
  <si>
    <t>Las oficinas principales de la Compañía están ubicadas en el edificio Panacredit en calle 50 en Ciudad de Panamá, y cuenta con 17 sucursales y oficinas ubicadas en distintos puntos estratégicos en Ciudad de Panamá y en otras localidades en el interior del país como Chorrera, Penonomé, Chitré, Santiago y David.</t>
  </si>
  <si>
    <t>2. Base de Preparación</t>
  </si>
  <si>
    <t>### (a) Declaración de Cumplimiento</t>
  </si>
  <si>
    <t>Los estados financieros consolidados de la Compañía, han sido preparados de conformidad con las Normas de Contabilidad NIIF, tal como han sido emitidas por el Consejo de Normas Internacionales de Contabilidad (Normas de Contabilidad NIIF).</t>
  </si>
  <si>
    <t>Estos estados financieros consolidados fueron aprobados por la Junta Directiva de la Compañía Controladora el 31 de marzo de 2025.</t>
  </si>
  <si>
    <t>Los estados financieros consolidados de la Compañía han sido preparados sobre la base del costo histórico, excepto por las inversiones en valores medidas a valor razonable con cambios en resultados (VRCR).</t>
  </si>
  <si>
    <t>### (c) Moneda Funcional y de Presentación</t>
  </si>
  <si>
    <t>Los estados financieros consolidados están expresados en Balboas (B/.),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 la cual se considera la moneda funcional de la Compañía.</t>
  </si>
  <si>
    <t>3. Resumen de Políticas de Contabilidad Materiales</t>
  </si>
  <si>
    <t>La Compañía ha aplicado de forma consistente las siguientes políticas contables para todos los períodos presentados en estos estados financieros consolidados.</t>
  </si>
  <si>
    <t>### (a) Cambios en las políticas contables materiales</t>
  </si>
  <si>
    <t>Nuevas Normas adoptadas al 1 de enero de 2024:</t>
  </si>
  <si>
    <t>Algunos pronunciamientos contables que son efectivos a partir del 1 de enero de 2024 y que, por lo tanto, han sido adoptados, no tienen un impacto significativo en la situación financiera consolidada o los resultados consolidados de la Compañía.</t>
  </si>
  <si>
    <t>Normas emitidas, pero aún no son efectivas:</t>
  </si>
  <si>
    <t>A la fecha de autorización de estos estados financieros consolidados, el Consejo de Normas Internacionales de Contabilidad ha publicado varias normas nuevas, pero aún no efectivas, y enmiendas a las Normas e Interpretaciones existentes. Ninguna de estas normas o enmiendas a las normas existentes ha sido adoptada anticipadamente por la Compañía y no se han emitido Interpretaciones que sean aplicables y deban ser tenidas en cuenta por la Compañía al final del período sobre el que se informa.</t>
  </si>
  <si>
    <t>3. Resumen de Políticas de Contabilidad Materiales, continuación</t>
  </si>
  <si>
    <t>### (b) Base de consolidación</t>
  </si>
  <si>
    <t>La consideración transferida en una adquisición es generalmente medida al valor razonable, como son los activos netos identificables adquiridos. Cualquier plusvalía que surja, se realiza anualmente una prueba de deterioro. Cualquier ganancia en una compra en términos de ventaja es reconocida inmediatamente en resultados. Los costos de la transacción se llevan a gastos cuando se incurre, excepto si estos están relacionados a la emisión de una deuda o instrumento de patrimonio.</t>
  </si>
  <si>
    <t>Las subsidiarias son entidades controladas por la Compañía. La Compañía controla una entidad cuando está expuesta, o tiene derecho, a rendimientos variables procedentes de su implicación en la entidad y tiene la capacidad de influir en esos rendimientos a través de su poder sobre ésta. Los estados financieros de las subsidiarias son incluidos en los estados financieros consolidados desde la fecha en el cual inicia el control hasta la fecha en que el control cesa.</t>
  </si>
  <si>
    <t>Cuando una compañía pierde control sobre una subsidiaria, se da de baja los activos y pasivos de la subsidiaria, y cualquier componente del patrimonio. Cualquier ganancia o pérdida resultante es reconocida en resultados. Cualquier inversión conservada en la que anteriormente fue subsidiaria es medida al valor razonable cuando se pierde el control.</t>
  </si>
  <si>
    <t>**Transacciones eliminadas en la consolidación:**</t>
  </si>
  <si>
    <t>Todos los saldos y transacciones entre la Compañía y sus subsidiarias son eliminadas en la consolidación incluyendo cualquier ganancia o pérdida no realizada. En caso donde las pérdidas no realizadas en las ventas con las subsidiarias, estas son reversadas en la consolidación, el activo subyacente es también evaluado por deterioro desde una perspectiva a nivel de la Compañía. Los montos reportados en los estados financieros de las subsidiarias son ajustados para mantener la consistencia con las políticas contables adoptadas por la Compañía.</t>
  </si>
  <si>
    <t>### (c) Información por segmentos</t>
  </si>
  <si>
    <t>### (d) Efectivo y depósitos en bancos</t>
  </si>
  <si>
    <t>El efectivo y depósitos en bancos comprenden el efectivo en caja, saldos no restringidos y depósitos en instituciones financieras que son fácilmente convertibles en efectivo con vencimientos originales de tres meses o menos desde la fecha de adquisición, estos no están sujetos a un riesgo significativo de cambios en su valor razonable, y son utilizados por la Compañía en la administración de sus compromisos a corto plazo.</t>
  </si>
  <si>
    <t>El efectivo y depósitos en bancos se presentan al costo amortizado en el estado consolidado de situación financiera de la Compañía.</t>
  </si>
  <si>
    <t>### (e) Activos financieros y pasivos financieros</t>
  </si>
  <si>
    <t>**Reconocimiento y medición inicial:**</t>
  </si>
  <si>
    <t>En el reconocimiento inicial, un activo financiero es clasificado como: medido a costo amortizado, valor razonable con cambios en otros resultados integrales (VRCORI) o valor razonable con cambios en resultados (VRCR).</t>
  </si>
  <si>
    <t>Un activo financiero es medido al costo amortizado si mantiene ambas condiciones y este no fue designado como valor razonable con cambios en resultados (VRCR):</t>
  </si>
  <si>
    <t>La Compañía no cuenta con activos financieros medidos a valor razonable con cambios en otros resultados integrales (VRCORI), debido a que su modelo negocio es mantener para cobrar flujo de efectivo contractual.</t>
  </si>
  <si>
    <t>### Evaluación del modelo de negocio:</t>
  </si>
  <si>
    <t>- Políticas y objetivos establecidos para la cartera y el funcionamiento de estas políticas; - Cómo se evalúa e informa a la administración el rendimiento de la cartera; - Los riesgos que afectan el rendimiento del modelo de negocio y su estrategia sobre cómo se administran esos riesgos; - Cómo se compensa a los administradores; y - La frecuencia, volumen y período de venta en períodos anteriores, las razones de dichas ventas y sus expectativas sobre actividades de ventas futuras. Sin embargo, la información sobre estas ventas no se considera de forma aislada, sino como parte de una evaluación general de cómo se logra el objetivo declarado de la Compañía para administrar los activos financieros y cómo se realizan los flujos de efectivo.</t>
  </si>
  <si>
    <t>El negocio de préstamos a clientes comprende principalmente préstamos que se mantienen para cobrar flujos de efectivo contractuales. Los préstamos a clientes comprenden principalmente de crédito de consumo a través de productos como préstamos personales, hipotecarios, autos, arrendamientos financieros y comerciales a pequeñas y medianas entidades.</t>
  </si>
  <si>
    <t>Para propósitos de esta evaluación, el “principal” se define como el valor razonable del activo financiero en el reconocimiento inicial. Los “intereses” se define como la contraprestación por el valor del dinero en el tiempo y por el riesgo de crédito asociado con el monto principal adeudado durante un período de tiempo particular y por otros riesgos y costos básicos de préstamos; así como el margen de utilidad.</t>
  </si>
  <si>
    <t>Si el modelo de negocios, bajo el cual la Compañía mantiene los activos financieros cambia, los activos financieros afectados se reclasifican. Los requisitos de clasificación y medición relacionados con la nueva categoría se aplican prospectivamente desde el primer período de presentación de informes luego del cambio en el modelo de negocios que resulta en la reclasificación de los activos financieros.</t>
  </si>
  <si>
    <t>#### Pasivos financieros:</t>
  </si>
  <si>
    <t>Modificaciones de activos y pasivos financieros:</t>
  </si>
  <si>
    <t>Si los flujos de efectivo son sustancialmente diferentes, entonces los derechos contractuales a los flujos de efectivo del activo financiero original se considerarán vencidos. En este caso, el activo financiero original se da de baja y un nuevo activo financiero se reconoce a valor razonable más cualquier costo de transacción aplicable. Los honorarios recibidos como parte de la modificación se contabilizan de la siguiente manera:</t>
  </si>
  <si>
    <t>- Las comisiones y honorarios que se consideran para determinar el valor razonable del nuevo activo y que representan el reembolso de los costos de transacción aplicables se incluye en la medición inicial del activo; y - Los otros costos de la transacción correspondiente a honorarios o comisiones se incluyen en resultados como parte de la ganancia o pérdida por baja en cuentas.</t>
  </si>
  <si>
    <t>Si los flujos de efectivo se modifican cuando el cliente se encuentra en dificultades financieras, entonces el objetivo de la modificación suele ser maximizar la recuperación de los términos contractuales originales en lugar de originar un nuevo activo con términos sustancialmente diferentes. Si la Compañía planea modificar un activo financiero de una manera que resulte en la condonación de los flujos de efectivo, entonces primero considera si una parte del activo debe castigarse antes de que tenga lugar la modificación. Este enfoque impacta el resultado de la evaluación cuantitativa y significa que los criterios de baja en cuentas generalmente no se cumplen en tales casos.</t>
  </si>
  <si>
    <t>Si la modificación de un activo financiero medido al costo amortizado no da como resultado la baja del activo financiero, entonces la Compañía primero recalcula el valor en libros bruto del activo financiero utilizando la tasa de interés efectiva original del activo y reconoce el ajuste resultante como una modificación de ganancia o pérdida en resultados. Para los activos financieros de tasa variable, la tasa de interés efectiva original utilizada para calcular la ganancia o pérdida por modificación se ajusta para reflejar los términos actuales del mercado en el momento de la modificación. Cualquier costo incurrido y de modificación recibidas ajustan el valor en libros bruto del activo financiero modificado y se amortizan durante el plazo restante del activo financiero modificado.</t>
  </si>
  <si>
    <t>Si la modificación de un pasivo financiero no se contabiliza como baja en cuentas, entonces el costo amortizado del pasivo se recalcula descontando los flujos de efectivo modificados a la tasa de interés efectiva original y la ganancia o pérdida resultante se reconoce en resultados. Para los pasivos financieros de tasa flotante, la tasa de interés efectiva original utilizada para calcular la ganancia o pérdida por modificación se ajusta para reflejar los términos actuales del mercado en el momento de la modificación. Todos los costos y comisiones incurridos se reconocen como un ajuste al valor en libros del pasivo y se amortizan durante el plazo restante del pasivo financiero modificado volviendo a calcular la tasa de interés efectiva del instrumento.</t>
  </si>
  <si>
    <t>Los activos financieros y pasivos financieros se compensan, y el importe neto se presenta en el estado consolidado de situación financiera cuando, y solo cuando, la Compañía tiene a determinada fecha un derecho legalmente exigible de compensar los importes y tiene la intención de liquidarlos por el importe neto o por realizar el activo y liquidar el pasivo simultáneamente.</t>
  </si>
  <si>
    <t>El valor razonable es el precio que se recibiría por vender un activo o que se pagaría por transferir un pasivo en una transacción ordenada entre participantes del mercado en la fecha de medición en el mercado principal o, en su ausencia, en el mercado más ventajoso al que la Compañía tiene acceso en esa fecha. El valor razonable de un pasivo refleja su riesgo de incumplimiento.</t>
  </si>
  <si>
    <t>Cuando hay uno disponible, la Compañía mide el valor razonable de un instrumento utilizando el precio cotizado en un mercado activo para ese instrumento. Un mercado se considera “activo” si las transacciones del activo o pasivo se realizan con suficiente frecuencia y volumen para proporcionar información de precios de forma continua.</t>
  </si>
  <si>
    <t>Si no existe un precio cotizado en un mercado activo, entonces la Compañía utiliza técnicas de valoración que maximizan el uso de insumos observables relevantes y minimizan el uso de insumos no observables. La técnica de valoración elegida incorpora todos los factores que los participantes del mercado tendrían en cuenta al fijar el precio de una transacción.</t>
  </si>
  <si>
    <t>La mejor evidencia del valor razonable de un instrumento financiero en el reconocimiento inicial es normalmente el precio de la transacción. Si la Compañía determina que el valor razonable en el reconocimiento inicial difiere del precio de la transacción y el valor razonable no se evidencia ni por un precio cotizado en un mercado activo para un activo o pasivo idéntico, ni basado en una técnica de valuación para la cual se considere cualquier insumo no observable es insignificante en relación con la diferencia, entonces el instrumento financiero se mide inicialmente a valor razonable, ajustado para reflejan la diferencia entre el valor razonable en el reconocimiento inicial y el precio de la transacción. Posteriormente, esa diferencia se reconoce en resultados sobre una base adecuada durante la vida del instrumento, pero a más tardar cuando la valoración esté totalmente respaldada por datos de mercado observables o se cierre la transacción.</t>
  </si>
  <si>
    <t>### Pérdida por deterioro:</t>
  </si>
  <si>
    <t>La Compañía mide las provisiones por pérdida por deterioro por un monto igual a las pérdidas de crédito esperadas durante la vida del instrumento, excepto por los siguientes instrumentos financieros, los cuales son medidos bajo la PCE a 12 meses:</t>
  </si>
  <si>
    <t>La Compañía considera que un instrumento en inversión de deuda tiene un riesgo crediticio bajo cuando su calificación de riesgo crediticio es equivalente a la definición globalmente entendida de “grado de inversión”. La Compañía no aplica la exención por bajo riesgo de crédito a ningún otro instrumento financiero.</t>
  </si>
  <si>
    <t>La pérdida de crédito esperada a 12 meses es la parte de la pérdida de crédito esperada que resulta de eventos de incumplimiento en un instrumento financiero que son posibles dentro de los 12 meses posteriores a la fecha sobre la que se informa. Los instrumentos financieros para los cuales se reconocen pérdidas de crédito esperadas a 12 meses se denominan “instrumentos financieros de la Fase 1”. Los instrumentos financieros asignados a la Fase 1 no han experimentado un aumento significativo en el riesgo de crédito desde el reconocimiento inicial y no tienen deterioro de crédito.</t>
  </si>
  <si>
    <t>La pérdida de crédito esperada de por vida son aquellas que resultan de todos los posibles eventos de incumplimiento durante la vida esperada del instrumento financiero o el período contractual máximo de exposición. Los instrumentos financieros denominados a la Fase 2 son aquellos que han experimentado un aumento significativo en el riesgo de crédito desde el reconocimiento inicial, pero no tienen deterioro de crédito.</t>
  </si>
  <si>
    <t>Los instrumentos financieros para los cuales se reconocen PCE de por vida y tienen deterioro de crédito se denominan “instrumentos financieros de la Fase 3”.</t>
  </si>
  <si>
    <t>### Medición de la pérdida de crédito esperada (PCE):</t>
  </si>
  <si>
    <t>- Activos financieros que no tienen deterioro de crédito en la fecha sobre el que se informa como el valor presente de todos los déficits de efectivo; (la diferencia entre los flujos de efectivo que se deben a la Compañía según contrato y los flujos de efectivos que la Compañía espera recuperar) - Activos financieros con deterioro de crédito en la fecha sobre el que se informa: como la diferencia entre el valor en libros bruto y el valor presente de los flujos de efectivo futuros estimados; y</t>
  </si>
  <si>
    <t>### Activos financieros restructurados:</t>
  </si>
  <si>
    <t>Si los términos de un activo financiero se renegocian o modifican, o un activo financiero existente se reemplaza por uno nuevo debido a dificultades financieras del cliente, se evalúa si el activo financiero debe darse de baja en cuentas y las pérdidas de crédito esperadas se miden de la siguiente forma:</t>
  </si>
  <si>
    <t>### Activos financieros con deterioro de crédito:</t>
  </si>
  <si>
    <t>Al final del período sobre el que se informa, la Compañía evalúa si los activos financieros contabilizados al costo amortizado tienen deterioro de crédito (denominado “activos financieros de la Fase 3”). Un activo financiero tiene “deterioro de crédito” cuando se han producido uno o más eventos que tienen un impacto perjudicial en los flujos de efectivo futuros estimados del activo financiero.</t>
  </si>
  <si>
    <t>- Dificultad financiera significativa del prestatario o emisor; - Un incumplimiento de contrato, como un incumplimiento o un evento vencido; - La reestructuración de un préstamo por parte de la Compañía en términos que la Compañía no consideraría de otra manera; - Es probable que el prestatario entre en quiebra o en otra reorganización financiera; - La desaparición de un mercado activo de valores debido a dificultades financieras.</t>
  </si>
  <si>
    <t>Un préstamo que ha sido renegociado debido a un deterioro en la condición del cliente generalmente se considera con deterioro de crédito, a menos que haya evidencia de que el riesgo de no recibir flujos de efectivo contractuales se ha reducido significativamente y no existan otros indicadores de deterioro. Además, un préstamo que esté vencido por 90 días o más se considera con deterioro de crédito, incluso cuando la definición regulatoria de incumplimiento es diferente.</t>
  </si>
  <si>
    <t>### Presentación de la PCE en el estado consolidado de situación financiera:</t>
  </si>
  <si>
    <t>Las provisiones para la PCE se presentan en el estado consolidado de situación financiera de la siguiente manera:</t>
  </si>
  <si>
    <t>- Activos financieros medidos al costo amortizado: como una deducción del valor en libros bruto de los activos.</t>
  </si>
  <si>
    <t>#### Reducción de la provisión:</t>
  </si>
  <si>
    <t>Los préstamos a clientes se dan de baja (ya sea en forma parcial o total) cuando no existe una expectativa razonable de recuperar el activo en su totalidad o una parte del mismo. Este es generalmente el caso cuando la Compañía determina que el cliente no tiene activos o fuentes de ingresos que puedan generar suficientes flujos de efectivo para reembolsar los montos sujetos al castigo.</t>
  </si>
  <si>
    <t>Las recuperaciones de importes previamente castigados se reconocen cuando se recibe efectivo y se incluyen en la reserva para pérdidas en activos financieros.</t>
  </si>
  <si>
    <t>Los activos financieros que se dan de baja aún podrían estar sujetos a actividades de cobrabilidad.</t>
  </si>
  <si>
    <t>## (f) Inversiones en valores</t>
  </si>
  <si>
    <t>- inversiones en instrumentos de deuda medidas al costo amortizado: estas son inicialmente medidas al valor razonable más los costos de transacción directos incrementales, y posteriormente al costo amortizado utilizando el método de la tasa de interés efectiva; e</t>
  </si>
  <si>
    <t>(3) Resumen de Políticas de Contabilidad Materiales, continuación</t>
  </si>
  <si>
    <t>- inversiones en instrumentos de deuda y de patrimonio clasificadas al VRCR: estos son medidos al valor razonable, con cambios reconocidos inmediatamente en resultados.</t>
  </si>
  <si>
    <t>La plusvalía es probada anualmente por deterioro. Para propósitos de la prueba de deterioro, la plusvalía que surge de una adquisición de negocios es distribuida a su unidad generadora de efectivo o grupos de unidades generadoras de efectivo (UGE) que se espera que se beneficien de las sinergias de la combinación.</t>
  </si>
  <si>
    <t>El valor recuperable de un activo o UGE, es el valor más alto de su valor en uso y de su valor razonable menos los costos de venta. El valor en uso está basado en la estimación de los flujos de efectivo futuros, descontados a su valor presente utilizando una tasa de descuento que refleja la evaluación de mercado actual del valor del dinero en el tiempo y los riesgos específicos asociados al activo o UGE.</t>
  </si>
  <si>
    <t>Una pérdida por deterioro es reconocida en resultados si el valor en libros del activo o la UGE excede a su valor recuperable. Una pérdida por deterioro de una plusvalía no se reversa.</t>
  </si>
  <si>
    <t>(h) Emisión de deuda y otros pasivos financieros</t>
  </si>
  <si>
    <t>Tasa de interés efectiva:</t>
  </si>
  <si>
    <t>### Costo amortizado y valor bruto en libros:</t>
  </si>
  <si>
    <t>El “costo amortizado” de un activo financiero o pasivo financiero es el monto al que el activo financiero o pasivo financiero se mide en el reconocimiento inicial menos los reembolsos del principal, más o menos la amortización acumulada utilizando el método de interés efectivo de cualquier diferencia entre ese monto inicial y el monto de vencimiento y, para los activos financieros, ajustado por cualquier provisión para pérdidas crediticias esperadas. El “valor en libros bruto de un activo financiero” es el costo amortizado de un activo financiero antes de ajustar por cualquier provisión para PCE.</t>
  </si>
  <si>
    <t>### Cálculo de ingresos y gastos por intereses:</t>
  </si>
  <si>
    <t>Los ingresos por intereses para activos deteriorados se calculan aplicando la tasa de interés efectiva al costo amortizado del activo financiero. Si el activo ya no tiene deterioro crediticio, entonces el cálculo de los ingresos por intereses vuelve a la base bruta.</t>
  </si>
  <si>
    <t>Para los activos financieros que tenían deterioro de crédito, los ingresos por intereses se calculan aplicando la tasa de interés efectiva ajustada al costo amortizado del activo. El cálculo de los ingresos por intereses no se revierte a una base bruta, incluso si mejora el riesgo crediticio del activo.</t>
  </si>
  <si>
    <t>**Comisiones y manejos:**</t>
  </si>
  <si>
    <t>### (i) Impuesto sobre la renta</t>
  </si>
  <si>
    <t>El cálculo del impuesto corriente y del impuesto diferido se basa en la tasa de impuesto y las leyes fiscales que han sido emitidas o sustancialmente emitidas al final del período sobre el que se informa. El impuesto sobre la renta diferido es calculado sobre las diferencias temporarias de acuerdo con la NIC 12 de impuesto a las ganancias. El valor en libros del impuesto diferido se revisa al final de cada período sobre el que se informa basándose en su monto más probable y se ajusta si es necesario.</t>
  </si>
  <si>
    <t>De acuerdo a las regulaciones fiscales vigentes, las declaraciones de impuesto sobre la renta están sujetas a revisión por la autoridad fiscal por los tres últimos años, incluyendo el año terminado al 31 de diciembre de 2024.</t>
  </si>
  <si>
    <t>4. Administración de Riesgos Financieros</t>
  </si>
  <si>
    <t>La administración de riesgos financieros es parte fundamental de la Compañía, para lo cual se cuenta con una infraestructura para la gestión de los riesgos de forma integral con el fin de asegurar el crecimiento responsable y sostenible a través del tiempo, mantener la confianza de sus grupos de interés; así como para asegurar con razonable certeza el cumplimiento de las metas a corto, mediano y largo plazo, por medio de un balance entre el cumplimiento de objetivos y la toma de riesgos, alineados con la estrategia corporativa.</t>
  </si>
  <si>
    <t>## Clasificación de los activos financieros</t>
  </si>
  <si>
    <t>La siguiente tabla proporciona una conciliación entre las partidas en el estado consolidado de situación financiera y las categorías de instrumentos financieros</t>
  </si>
  <si>
    <t>Las inversiones medidas a valor razonable con cambios en resultados fueron así clasificadas por no cumplir con solamente pagos de principal e intereses (SPPI).</t>
  </si>
  <si>
    <t>La Compañía está expuesta a los siguientes riesgos provenientes de los instrumentos financieros:</t>
  </si>
  <si>
    <t>- Riesgo de crédito, - Riesgo de liquidez, - Riesgo de mercado y - Riesgo operativo.</t>
  </si>
  <si>
    <t>4. Administración de Riesgo Financieros, continuación</t>
  </si>
  <si>
    <t>### (a) Riesgo de crédito</t>
  </si>
  <si>
    <t>El "riesgo de crédito" es el riesgo de pérdida para la Compañía si un cliente o contraparte de un instrumento financiero no cumple con sus obligaciones contractuales y surge principalmente de los préstamos de la Compañía a clientes. A los efectos de la presentación de informes de administración de riesgos, la Compañía considera y consolida todos los elementos de la exposición al riesgo de crédito.</t>
  </si>
  <si>
    <t>Para propósitos de gestión de riesgos, la Compañía considera y consolida todos los elementos de exposición de riesgo de crédito: riesgo del deudor, riesgo país y riesgo del sector o industria. El riesgo de crédito que surge al mantener valores es manejado independientemente, pero informado como un componente de la exposición del riesgo de crédito.</t>
  </si>
  <si>
    <t>Los comités respectivos asignados por la Junta Directiva de la Compañía supervisan periódicamente la condición financiera de los deudores, que representan un riesgo de crédito para la Compañía. El Comité de Crédito de la Compañía está conformado por miembros de la Junta Directiva, personal de administración de crédito, y por representantes de las áreas de negocio. Este Comité está encargado de desarrollar los cambios a las políticas de crédito y de presentarlos a la Junta Directiva de la Compañía.</t>
  </si>
  <si>
    <t>La Compañía ha establecido algunos procedimientos para administrar el riesgo de crédito, como se resume a continuación:</t>
  </si>
  <si>
    <t>### Formulación de políticas de crédito</t>
  </si>
  <si>
    <t>Las políticas de crédito son emitidas y revisadas por recomendación de cualquiera de los miembros del Comité de Crédito de la Compañía, así como por las áreas de control, quienes deberán sugerirlo por escrito, considerando los siguientes factores:</t>
  </si>
  <si>
    <t>- Cambios en las condiciones del mercado - Factores de riesgos - Cambios en las leyes y regulaciones - Cambios en las condiciones financieras y en las disponibilidades de crédito - Otros factores que sean relevantes en el momento</t>
  </si>
  <si>
    <t>Todo cambio de políticas o formulación de nuevas políticas deben ser aprobadas por el Comité de Riesgos de la Compañía, el cual, a su vez, lo presenta a la Junta Directiva de la Compañía para su aprobación, quienes emiten un memorando de instrucción para su divulgación e implementación posterior.</t>
  </si>
  <si>
    <t>### Establecimiento de límites de autorización</t>
  </si>
  <si>
    <t>Los límites de autorización de los créditos son establecidos dependiendo la representatividad de cada monto en el capital de la Compañía. Estos niveles de límites son recomendados por el Comité de Crédito de la Compañía, quienes a su vez someten los mismos a la aprobación de la Junta Directiva de la Compañía.</t>
  </si>
  <si>
    <t>### Límites de exposición</t>
  </si>
  <si>
    <t>Para limitar la exposición, se han definido límites máximos ante un deudor individual o grupo económico, que han sido fijados en base a los fondos de capital de la Compañía.</t>
  </si>
  <si>
    <t>### Límites de concentración</t>
  </si>
  <si>
    <t>Para limitar la concentración por actividad, se han aprobado límites de exposición basados en la distribución del capital y la orientación estratégica que se le desea dar a la cartera de crédito.</t>
  </si>
  <si>
    <t>### Límites máximos por contraparte</t>
  </si>
  <si>
    <t>En cuanto a las exposiciones por contrapartes, se han definido límites basados en la calificación de riesgo de la contraparte, como una proporción del capital de la Compañía.</t>
  </si>
  <si>
    <t>### Información de calidad de la cartera</t>
  </si>
  <si>
    <t>#### Calidad de cartera de depósitos en bancos</t>
  </si>
  <si>
    <t>La Compañía mantiene depósitos colocados en bancos por $50,372,362 al 31 de diciembre de 2024 (2023: $50,670,697). Los depósitos colocados son mantenidos en bancos centrales y otras instituciones financieras, los cuales en su mayoría cuentan con calificaciones de riesgo entre AA- y BBB, basado en las agencias Standard &amp;amp; Poor's, Moody's, y/o Fitch Ratings.</t>
  </si>
  <si>
    <t>### Calidad de cartera de inversiones en valores</t>
  </si>
  <si>
    <t>- Inversiones a costo amortizado</t>
  </si>
  <si>
    <t>La cartera de inversiones a costo amortizado, su calidad del crédito se monitorea según la calificación de riesgo internacional o local del emisor proporcionada por las agencias Standard &amp;amp; Poor's, Moody's, y/o Fitch Ratings, se resume a continuación una tabla de calificaciones de las agencias:</t>
  </si>
  <si>
    <t>El siguiente cuadro resume las calificaciones de la cartera de inversiones a CA:</t>
  </si>
  <si>
    <t>La Nota 3 contiene una explicación de la medición de la calidad de los instrumentos financieros, los cuales incluyen la cartera de préstamos.</t>
  </si>
  <si>
    <t>Las siguientes tablas analizan las carteras de préstamos de la Compañía:</t>
  </si>
  <si>
    <t>Los instrumentos financieros para los cuales se reconocen pérdidas de crédito esperadas se denominan por Fase y se encuentran explicadas en la nota 3(e).</t>
  </si>
  <si>
    <t>### Incorporación de información prospectiva ('Forward Looking')</t>
  </si>
  <si>
    <t>La NIIF 9 recalca la necesidad de reflejar las condiciones actuales y futuras del cliente. Es por ello que postula la incorporación de factores de 'forward looking', que incluyan efectos macroeconómicos en las estimaciones. Por este motivo, el cálculo de las PCE se realiza bajo el marco de diferentes escenarios macroeconómicos, dentro de los cuales pueda presentarse, o no, una pérdida. El propósito de estimar las PCE no es estimar el escenario más desfavorable ni estimar el escenario más favorable. En su lugar, una estimación de las PCE reflejará siempre la posibilidad de que ocurra o no una pérdida crediticia. La consideración de modelos 'forward looking' permite evaluar distintos escenarios de pérdidas crediticias mitigando potenciales sesgos y subjetividades.</t>
  </si>
  <si>
    <t>La siguiente tabla muestra una reconciliación de los saldos iniciales y finales del año al 31 de diciembre de 2024, del deterioro en activos financieros.</t>
  </si>
  <si>
    <t>En los cuadros anteriores, se han detallado los factores de mayor exposición al riesgo e información de préstamos y las premisas utilizadas para estas revelaciones que son las siguientes:</t>
  </si>
  <si>
    <t>- **Préstamos modificados:** Son aquellos a los cuales se ha hecho una modificación debido a algún deterioro en la condición financiera del deudor, y donde la Compañía considera conceder alguna variación en los términos originales del crédito (saldo, plazo, plan de pago, tasas y garantías). Estos préstamos, una vez modificados, se mantienen en la clasificación de riesgo en la que se encontraban antes de la modificación, independientemente de cualquier mejoría en la condición del deudor posterior a la modificación por parte de la Compañía, por un plazo de 180 días.</t>
  </si>
  <si>
    <t>- **Castigos:** La Compañía revisa periódicamente su cartera de préstamos deteriorada para identificar aquellos créditos que ameritan ser castigados en función de la incobrabilidad del saldo. Para los préstamos de consumo no garantizados, los castigos se efectúan en función del nivel de morosidad acumulada.</t>
  </si>
  <si>
    <t>Los préstamos castigados al 31 de diciembre de 2024 por un monto de B/.4,085,869 (2023: B/.4,217,181) aún están sujetos a actividades de gestión de cobro.</t>
  </si>
  <si>
    <t>## Concentración Riesgo de Crédito</t>
  </si>
  <si>
    <t>La Compañía monitorea la concentración de riesgo de crédito por sector y ubicación geográfica. El análisis de la concentración de los riesgos de crédito a la fecha del estado consolidado de situación financiera es la siguiente:</t>
  </si>
  <si>
    <t>[tbl-26.html](tbl-26.html) [tbl-27.html](tbl-27.html)</t>
  </si>
  <si>
    <t>La concentración geográfica de los préstamos está basada en la ubicación del deudor. La concentración geográfica de los depósitos en bancos se basa en la ubicación de la sede de la institución bancaria respectiva.</t>
  </si>
  <si>
    <t>*Garantías y otras mejoras para reducir el riesgo de crédito y su efecto financiero*</t>
  </si>
  <si>
    <t>La Compañía mantiene garantías y otras mejoras para reducir el riesgo de crédito, para asegurar el cobro de sus activos financieros expuestos al riesgo de crédito.</t>
  </si>
  <si>
    <t>La tabla a continuación presenta los principales tipos de garantías tomadas con respecto a distintos tipos de activos financieros.</t>
  </si>
  <si>
    <t>[tbl-28.html](tbl-28.html) [tbl-29.html](tbl-29.html)</t>
  </si>
  <si>
    <t>A continuación, se presentan los activos no financieros que la Compañía tomó en posesión de garantías colaterales durante el año para asegurar el cobro:</t>
  </si>
  <si>
    <t>## (b) Riesgo de Liquidez o Financiamiento</t>
  </si>
  <si>
    <t>Es el riesgo de que la Compañía no cuente con la disponibilidad para hacerle frente a sus obligaciones de pago asociados con sus pasivos financieros cuando llegan a su fecha de vencimiento y para reemplazar los fondos cuando éstos son retirados. La consecuencia puede ser el fracaso para cumplir con sus obligaciones de repagar a los depositantes y los compromisos para prestar.</t>
  </si>
  <si>
    <t>## Proceso de administración del riesgo de liquidez</t>
  </si>
  <si>
    <t>El proceso de administración del riesgo de liquidez, llevado a cabo en la Compañía, incluye:</t>
  </si>
  <si>
    <t>- Administrar y dar seguimiento a los flujos futuros de efectivo para asegurar que los requerimientos de suministro de efectivo puedan ser cumplidos. Esto incluye la reposición de fondos a medida que vencen o son tomados prestados a los clientes. - Dar seguimiento a los reportes de liquidez de acuerdo a políticas internas y regulatorias; - Administración de la concentración y el perfil de los vencimientos de las deudas.</t>
  </si>
  <si>
    <t>La siguiente tabla detalla los activos y pasivos financieros y los compromisos de préstamos no reconocidos en agrupaciones de vencimiento contractual por el período remanente desde la fecha del estado consolidado de situación financiera.</t>
  </si>
  <si>
    <t>Los flujos esperados reales de estos instrumentos pueden variar en relación a este cuadro:</t>
  </si>
  <si>
    <t>### (c) Riesgo de Mercado</t>
  </si>
  <si>
    <t>Es el riesgo, de que el valor de un activo financiero de la Compañía se reduzca debido a cambios en las tasas de interés, en las tasas de cambio monetario, por movimientos en los precios de las acciones o por el impacto de otras variables financieras que están fuera del control de la Compañía. El objetivo de la administración del riesgo de mercado es el de administrar y vigilar las exposiciones de riesgo, y que las mismas se mantengan dentro de los parámetros aceptables optimizando el retorno del riesgo.</t>
  </si>
  <si>
    <t>Las políticas de administración de riesgo establecen el cumplimiento de límites por instrumento financiero, límites respecto al monto máximo de pérdida a partir del cual se requiere el cierre de las posiciones que causaron dicha pérdida y el requerimiento que, salvo aprobación de la Junta Directiva de la Compañía, sustancialmente todos los activos y pasivos estén denominados en Dólares de Estados Unidos de América o en Balboas.</t>
  </si>
  <si>
    <t>### Administración de Riesgo de Mercado:</t>
  </si>
  <si>
    <t>Las políticas de inversión de la Compañía disponen del cumplimiento de límites individuales por tipo de activo, por deudor y plazos máximos.</t>
  </si>
  <si>
    <t>A continuación, se presentan detalladamente la composición y análisis de cada uno de los tipos de riesgo de mercado:</t>
  </si>
  <si>
    <t>- **Riesgo de tasa de cambio:**</t>
  </si>
  <si>
    <t>Es el riesgo de que el valor de un instrumento financiero fluctúe como consecuencia de variaciones en las tasas de cambio de las monedas extranjeras y otras variables financieras, así como la reacción de los participantes de los mercados a eventos políticos y económicos. Para efectos de las NIIF, este riesgo no procede de instrumentos financieros que no son partidas monetarias, ni tampoco de instrumentos financieros denominados en la moneda funcional.</t>
  </si>
  <si>
    <t>El análisis de sensibilidad para el riesgo de tasa de cambio está considerado principalmente en la medición de la posición dentro de una moneda específica. Consiste en verificar cuánto representaría la posición en la moneda funcional sobre la moneda a la cual se estaría convirtiendo y en consecuencias, la mezcla del riesgo de tasa de cambio.</t>
  </si>
  <si>
    <t>Al 31 de diciembre de 2024, la Compañía no mantiene transacciones con exposición al riesgo de tasa de cambio.</t>
  </si>
  <si>
    <t>- **Riesgo de tasa de interés:**</t>
  </si>
  <si>
    <t>Son los riesgos que los flujos de efectivo futuros y el valor de un instrumento financiero fluctúen debido a cambios en las tasas de interés del mercado. El margen neto de interés de la Compañía puede variar como resultado de movimientos en las tasas de interés no anticipadas. Para mitigar este riesgo, el Departamento de Gestión del Riesgo ha fijado límites de exposición al riesgo de tasa de interés que puede ser asumido, los cuales son aprobados por la Junta Directiva de la Compañía. El cumplimiento de estos límites es monitoreado por el Comité de Riesgo de la Compañía.</t>
  </si>
  <si>
    <t>Para la administración de los riesgos de tasa de interés, la Compañía ha definido un intervalo en los límites para vigilar la sensibilidad en los activos y pasivos financieros. La estimación del impacto de cambio de interés por categoría se realiza bajo el supuesto del aumento o disminución de 50 puntos básicos (pb) en los activos y pasivos financieros.</t>
  </si>
  <si>
    <t>La tabla que se presenta a continuación refleja el impacto en resultados y en patrimonio al aplicar dichas variaciones en la tasa de interés.</t>
  </si>
  <si>
    <t>La tabla que aparece a continuación resume la exposición de la Compañía a los riesgos de tasas de interés. Los activos y pasivos de la Compañía están incluidos en la tabla a su valor en libros, clasificados por categorías por el que ocurra primero entre la nueva fijación de tasa contractual o las fechas de vencimiento:</t>
  </si>
  <si>
    <t>### (d) Riesgo Operacional</t>
  </si>
  <si>
    <t>Es la posibilidad de incurrir en pérdidas, directas o indirectas, por fallas o inadecuaciones en los procesos, el personal, la tecnología, la infraestructura, la información de gestión, los modelos utilizados o por factores externos, estén o no relacionados a riesgos de crédito, mercado y liquidez; tales como los que provienen de requerimientos legales, regulatorios y del comportamiento de los estándares corporativos generalmente aceptados.</t>
  </si>
  <si>
    <t>El objetivo de la Compañía es gestionar el Riesgo Operativo de forma oportuna, buscando evitar pérdidas financieras y daños en la reputación. Para ello, se han establecido políticas de gestión y administración de riesgos, aprobadas por el Comité de Riesgo, Gerencia General y la Junta Directiva de la Compañía.</t>
  </si>
  <si>
    <t>La estructura de administración del riesgo operacional ha sido diseñado para garantizar una adecuada segregación de responsabilidades entre los dueños, los ejecutores, las áreas de control y las áreas encargados de asegurar el cumplimiento de las políticas y procedimientos. Las unidades de negocios y servicios de la Compañía desempeñan un rol activo en la identificación, medición, control y monitoreo de los riesgos operacionales siendo responsables por comprender y monitorear estos riesgos dentro de sus actividades diarias.</t>
  </si>
  <si>
    <t>La implementación de esta estructura de administración de riesgos ha llevado a que la Compañía adopte una metodología de evaluación de procesos de negocios basados en riesgos, dicha metodología consiste en identificar las áreas y procesos claves en relación a los objetivos estratégicos, identificar riesgos inherentes al negocio y diagramar el ciclo del proceso para identificar riesgos y controles mitigantes. Este enfoque se apoya en herramientas tecnológicas que permiten documentar, cuantificar y monitorear los riesgos identificados en los diferentes procesos a través de matrices de riesgos. El Departamento de Auditoría Interna, a través de sus programas, realiza una labor de aseguramiento del cumplimiento de los procedimientos y controles identificados y junto al Departamento de Administración de Riesgos monitorean la severidad de los riesgos.</t>
  </si>
  <si>
    <t>Esta metodología tiene como objetivo fundamental añadir el máximo valor razonable en cada una de las actividades de la organización, disminuyendo la posibilidad de fallas y pérdidas.</t>
  </si>
  <si>
    <t>Para el establecimiento de dicha metodología, la Compañía ha destinado recursos para el fortalecimiento del control interno y estructura organizacional, permitiendo una independencia entre las áreas de negocio, control de riesgos y de registro.</t>
  </si>
  <si>
    <t>Lo anterior incluye una debida segregación funcional operativa en el registro, conciliación y autorización transaccional, la cual está documentada a través de políticas definidas, procesos y procedimientos que incluyen estándares de control y de seguridad.</t>
  </si>
  <si>
    <t>2025</t>
  </si>
  <si>
    <t>INA_CFPAIS_2025_0.pdf</t>
  </si>
  <si>
    <t>Estos estados financieros consolidados fueron aprobados por la administración de la Compañía Controladora el 20 de marzo de 2026.</t>
  </si>
  <si>
    <t>Nuevas Normas adoptadas al 1 de enero de 2025:</t>
  </si>
  <si>
    <t>Algunos pronunciamientos contables que son efectivos a partir del 1 de enero de 2025 y que, por lo tanto, han sido adoptados, no tienen un impacto significativo en la situación financiera consolidada o los resultados consolidados de la Compañía.</t>
  </si>
  <si>
    <t>- Inversiones en instrumentos de deuda medidas al costo amortizado: estas son inicialmente medidas al valor razonable más los costos de transacción directos incrementales, y posteriormente al costo amortizado utilizando el método de la tasa de interés efectiva; e</t>
  </si>
  <si>
    <t>- inversiones en instrumentos de deuda y de patrimonio clasificadas al VRCR: estos son medidos al valor razonable, con cambios reconocidos inmediatamente en resultados. - inversiones en instrumentos de deuda y de patrimonio clasificados a VRCOUI: es medido a VRCOUI solo si cumple con las siguientes condiciones y no ha sido designado como a valor razonable con cambios en resultados: - El activo es mantenido dentro de un modelo de negocio cuyo objetivo es cobrar los flujos de efectivo contractuales y vender estos activos financieros; y - Los términos contractuales del activo financiero establecen fechas específicas para los flujos de efectivo derivados solamente de pagos de principal e intereses sobre el saldo vigente.</t>
  </si>
  <si>
    <t>## (h) Emisión de deuda y otros pasivos financieros</t>
  </si>
  <si>
    <t>**Tasa de interés efectiva:**</t>
  </si>
  <si>
    <t>Los ingresos y gastos por intereses se reconocen en resultados utilizando el método de interés efectivo. La “tasa de interés efectiva” es la tasa que descuenta exactamente los pagos en efectivo futuros o por recibir estimados a través de la vida esperada del instrumento financiero para:</t>
  </si>
  <si>
    <t>**Costo amortizado y valor bruto en libros:**</t>
  </si>
  <si>
    <t>**Cálculo de ingresos y gastos por intereses:**</t>
  </si>
  <si>
    <t>### Comisiones y manejos:</t>
  </si>
  <si>
    <t>### (j) Impuesto sobre la renta</t>
  </si>
  <si>
    <t>De acuerdo a las regulaciones fiscales vigentes, las declaraciones de impuesto sobre la renta están sujetas a revisión por la autoridad fiscal por los tres últimos años, incluyendo el año terminado al 31 de diciembre de 2025.</t>
  </si>
  <si>
    <t>### Clasificación de los activos financieros</t>
  </si>
  <si>
    <t>- Riesgo de crédito, - Riesgo de liquidez, - Riesgo de mercado y - Riesgo operativo</t>
  </si>
  <si>
    <t>El riesgo de crédito es el riesgo de pérdida para la Compañía si un cliente o contraparte de un instrumento financiero no cumple con sus obligaciones contractuales y surge principalmente de los préstamos de la Compañía a clientes. A los efectos de la presentación de informes de administración de riesgos, la Compañía considera y consolida todos los elementos de la exposición al riesgo de crédito.</t>
  </si>
  <si>
    <t>**Calidad de cartera de depósitos en bancos**</t>
  </si>
  <si>
    <t>Al 31 de diciembre de 2025, la Compañía mantiene depósitos colocados en bancos por $54,041,375 (2024: $50,372,362). Los depósitos colocados son mantenidos en bancos centrales y otras instituciones financieras, los cuales en su mayoría cuentan con calificaciones de riesgo entre AA- y BBB, basado en las agencias Standard &amp;amp; Poor's, Moody's, y/o Fitch Ratings.</t>
  </si>
  <si>
    <t>**Calidad de cartera de inversiones en valores**</t>
  </si>
  <si>
    <t>- **Inversiones a costo amortizado**</t>
  </si>
  <si>
    <t>[tbl-25.html](tbl-25.html) [tbl-26.html](tbl-26.html)</t>
  </si>
  <si>
    <t>Proyección de condiciones futuras</t>
  </si>
  <si>
    <t>A continuación, se describen los escenarios optimistas, base y pesimista, junto con los principales riesgos tomados en consideración para definirlos.</t>
  </si>
  <si>
    <t>A continuación, se detallan los escenarios para el país:</t>
  </si>
  <si>
    <t>Las ponderaciones de probabilidad de escenario aplicadas en la medición de la Pérdida Crediticia Esperada (PCE), son las siguientes:</t>
  </si>
  <si>
    <t>Periódicamente, la Compañía lleva a cabo pruebas de sensibilidad para calibrar su determinación de los escenarios representativos al alza y a la baja. Una revisión completa es realizada al menos anualmente en el diseño de los escenarios.</t>
  </si>
  <si>
    <t>La Compañía ha identificado y documentado los factores clave del riesgo de crédito y las pérdidas crediticias para cada cartera de instrumentos financieros y, utilizando un análisis de datos históricos, ha estimado relaciones entre variables macroeconómicas, probabilidad de incumplimiento y pérdidas crediticias esperadas.</t>
  </si>
  <si>
    <t>Los principales indicadores utilizados en la sensibilización del riesgo de crédito para las carteras de crédito son: Producto Interno Bruto, Tasa de Desempleo, Índice Mensual de Actividad Económica, Tasa de Inflación.</t>
  </si>
  <si>
    <t>La Compañía estima cada factor clave para el riesgo de crédito durante el período de pronóstico activo de un año.</t>
  </si>
  <si>
    <t>La siguiente tabla enumera los supuestos macroeconómicos utilizados en los escenarios base, optimista y pesimista, durante el período de pronóstico.</t>
  </si>
  <si>
    <t>## Sensibilidad de la PCE a condiciones futuras</t>
  </si>
  <si>
    <t>Las Perdida Crediticias Esperadas son sensibles a los juicios y suposiciones hechas con respecto a la formulación de la perspectiva prospectiva, y cómo estos escenarios se incorporan en los cálculos. La administración realiza un análisis de sensibilidad en la PCE reconocida en sus principales activos financieros.</t>
  </si>
  <si>
    <t>El siguiente cuadro muestra el impacto estimado en la reserva para pérdidas en préstamos, causado por movimientos de la economía afectando la tasa de desempleo en 1% y 2%, variable que se considera como la más importante dentro de la información financiera prospectiva del modelo de la reserva.</t>
  </si>
  <si>
    <t>## Incorporación de información prospectiva ('Forward Looking')</t>
  </si>
  <si>
    <t>La siguiente tabla muestra una reconciliación de los saldos iniciales y finales del año al 31 de diciembre de 2025, del deterioro en activos financieros.</t>
  </si>
  <si>
    <t>Son aquellos a los cuales se ha hecho una modificación debido a algún deterioro en la condición financiera del deudor, y donde la Compañía considera conceder alguna variación en los términos originales del crédito (saldo, plazo, plan de pago, tasas y garantías). Estos préstamos, una vez modificados, se mantienen en la clasificación de riesgo en la que se encontraban antes de la modificación, independientemente de cualquier mejoría en la condición del deudor posterior a la modificación por parte de la Compañía, por un plazo de 180 días.</t>
  </si>
  <si>
    <t>La Compañía revisa periódicamente su cartera de préstamos deteriorada para identificar aquellos créditos que ameritan ser castigados en función de la incobrabilidad del saldo. Para los préstamos de consumo no garantizados, los castigos se efectúan en función del nivel de morosidad acumulada.</t>
  </si>
  <si>
    <t>Los préstamos castigados al 31 de diciembre de 2025 por un monto de B/.4,855,272 (2024: B/.4,085,869) aún están sujetos a actividades de gestión de cobro.</t>
  </si>
  <si>
    <t>### Concentración Riesgo de Crédito</t>
  </si>
  <si>
    <t>[tbl-34.html](tbl-34.html) [tbl-35.html](tbl-35.html)</t>
  </si>
  <si>
    <t>**Garantías y otras mejoras para reducir el riesgo de crédito y su efecto financiero**</t>
  </si>
  <si>
    <t>[tbl-36.html](tbl-36.html) [tbl-37.html](tbl-37.html)</t>
  </si>
  <si>
    <t>### Proceso de administración del riesgo de liquidez</t>
  </si>
  <si>
    <t>La siguiente tabla detalla los activos y pasivos financieros y los compromisos de préstamos no reconocidos en agrupaciones de vencimiento contractual por el período remanente desde la fecha del estado consolidado de situación financiera. Los flujos esperados reales de estos instrumentos pueden variar en relación a este cuadro:</t>
  </si>
  <si>
    <t># Administración de Riesgo de Mercado:</t>
  </si>
  <si>
    <t>Para la administración de los riesgos de tasa de interés, la Compañía ha definido un intervalo en los límites para vigilar la sensibilidad en los activos y pasivos financieros. La estimación del impacto de cambio de interés por categoría se realiza bajo el supuesto del aumento o disminución de 100 y 200 puntos básicos (pb) en los activos y pasivos financieros.</t>
  </si>
  <si>
    <t>## (d) Riesgo Operacional</t>
  </si>
  <si>
    <t>COLOR KEY: Input (azul) · Fórmula (negro) · Link inter-hoja (verde)</t>
  </si>
  <si>
    <t>Escenario (1=Base, 2=Bull, 3=Bear)</t>
  </si>
  <si>
    <t xml:space="preserve">  Selector escenario</t>
  </si>
  <si>
    <t>caso</t>
  </si>
  <si>
    <t>NOT_DISCLOSED</t>
  </si>
  <si>
    <t>Derivación mecánica declarada por el plan.</t>
  </si>
  <si>
    <t xml:space="preserve">  Escenario activo</t>
  </si>
  <si>
    <t>moneda del modelo</t>
  </si>
  <si>
    <t>Selector de caso activo C5: Base/Bull/Bear.</t>
  </si>
  <si>
    <t>Unidad</t>
  </si>
  <si>
    <t>Fuente / nota</t>
  </si>
  <si>
    <t>Rationale</t>
  </si>
  <si>
    <t>A. INGRESO POR INTERESES — CRECIMIENTO (% YoY)</t>
  </si>
  <si>
    <t xml:space="preserve">  Total de ingresos por intereses y comisiones — driver activo</t>
  </si>
  <si>
    <t xml:space="preserve">    Bear</t>
  </si>
  <si>
    <t>Escenario driver citado; NOT_DISCLOSED si no hay fuente explícita.</t>
  </si>
  <si>
    <t xml:space="preserve">    Base</t>
  </si>
  <si>
    <t xml:space="preserve">    Bull</t>
  </si>
  <si>
    <t xml:space="preserve">  Total de ingresos por intereses y comisiones (hist, ref EEFF)</t>
  </si>
  <si>
    <t>EEFF (citado por fórmula viva)</t>
  </si>
  <si>
    <t>Mirror histórico desde fuente citada.</t>
  </si>
  <si>
    <t>B. GASTO POR INTERESES (% de ingreso x int.)</t>
  </si>
  <si>
    <t xml:space="preserve">  Gastos por intereses — driver activo</t>
  </si>
  <si>
    <t xml:space="preserve">  Gastos por intereses ÷ ingresos (hist, ref EEFF)</t>
  </si>
  <si>
    <t>%</t>
  </si>
  <si>
    <t>C. GASTOS GENERALES (% de ingreso x int.)</t>
  </si>
  <si>
    <t xml:space="preserve">  Total de gastos generales y administrativos — driver activo</t>
  </si>
  <si>
    <t xml:space="preserve">  Total de gastos generales y administrativos ÷ ingresos (hist, ref EEFF)</t>
  </si>
  <si>
    <t>D. CARTERA / YIELD / NIM / RIESGO</t>
  </si>
  <si>
    <t>Prestamos netos - crecimiento activo</t>
  </si>
  <si>
    <t xml:space="preserve">  Prestamos netos (hist, ref EEFF)</t>
  </si>
  <si>
    <t xml:space="preserve">  Portfolio yield - driver activo</t>
  </si>
  <si>
    <t>Comisiones yield - driver activo</t>
  </si>
  <si>
    <t>Costo de fondos - driver activo</t>
  </si>
  <si>
    <t>Costo de riesgo / provision - driver activo</t>
  </si>
  <si>
    <t>G&amp;A / ingresos - eficiencia activa</t>
  </si>
  <si>
    <t>_CHECKS panel — non-bank-lender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</si>
  <si>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</si>
  <si>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</si>
  <si>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</si>
  <si>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</si>
  <si>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</si>
  <si>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</si>
  <si>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</si>
  <si>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</si>
  <si>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</si>
  <si>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</si>
  <si>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</si>
  <si>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</si>
  <si>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</si>
  <si>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</si>
  <si>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</si>
  <si>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</si>
  <si>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</si>
  <si>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</si>
  <si>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</si>
  <si>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KNOWN_RESIDUAL</t>
  </si>
  <si>
    <t>-28938651 @ FY25A</t>
  </si>
  <si>
    <t>G7a cash tie: Known Panacredit CF-to-BS structural debt lane; signed as visible known residual.</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</si>
  <si>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</si>
  <si>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</si>
  <si>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</si>
  <si>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</si>
  <si>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</si>
  <si>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</si>
  <si>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</si>
  <si>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</si>
  <si>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SOURCE_GAP</t>
  </si>
  <si>
    <t>Sign convention diagnostic remains visible; tax-sign taxonomy is not a signed hard-control anchor.</t>
  </si>
  <si>
    <t>RE_ROLLFORWARD</t>
  </si>
  <si>
    <t>UNIVERSAL | expected 0; hard_tie_tolerance. | source applies_to: all 16 with RE row</t>
  </si>
  <si>
    <t>-1848213 @ FY23A</t>
  </si>
  <si>
    <t>G7c retained earnings roll: Reserve/investment valuation/complementary-tax movement suspected; signed as visible known residual.</t>
  </si>
  <si>
    <t>EQUITY_TOTAL_TIE</t>
  </si>
  <si>
    <t>Componentes de patrimonio verificados numéricamente contra EEFF (partición exacta, todos los años hist).</t>
  </si>
  <si>
    <t>BS_LINEITEM_SUM_ASSETS</t>
  </si>
  <si>
    <t>Partición top-level de activos verificada numéricamente contra EEFF (suma exacta a total de activos, todos los años hist).</t>
  </si>
  <si>
    <t>BS_LINEITEM_SUM_LIAB_EQUITY</t>
  </si>
  <si>
    <t>Pasivos + patrimonio verificados numéricamente contra EEFF (todos los años hist).</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</si>
  <si>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</si>
  <si>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</si>
  <si>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</si>
  <si>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</si>
  <si>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</si>
  <si>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</si>
  <si>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</si>
  <si>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</si>
  <si>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</si>
  <si>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</si>
  <si>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</si>
  <si>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</si>
  <si>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</si>
  <si>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</si>
  <si>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</si>
  <si>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</si>
  <si>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</si>
  <si>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</si>
  <si>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NON-BANK-LENDER CHECKS</t>
  </si>
  <si>
    <t>BANK_NET_LOANS</t>
  </si>
  <si>
    <t>ARCHETYPE | expected 0; hard_tie_tolerance. | source applies_to: bank, non-bank-lender with loan book</t>
  </si>
  <si>
    <t>No semantic anchors resolved for BANK_NET_LOANS.</t>
  </si>
  <si>
    <t>BANK_ALLOWANCE</t>
  </si>
  <si>
    <t>ARCHETYPE | expected 0 under observed sign convention. | source applies_to: bank, non-bank-lender</t>
  </si>
  <si>
    <t>No semantic anchors resolved for BANK_ALLOWANCE.</t>
  </si>
  <si>
    <t>BANK_NII_TIE</t>
  </si>
  <si>
    <t>ARCHETYPE | expected 0; hard_tie_tolerance. | source applies_to: bank, non-bank-lender where NIM build exists</t>
  </si>
  <si>
    <t>No semantic anchors resolved for BANK_NII_TIE.</t>
  </si>
  <si>
    <t>BANK_NPL_COVERAGE</t>
  </si>
  <si>
    <t>ARCHETYPE | must be &gt;=0. | source applies_to: bank, non-bank-lender where NPL coverage is material</t>
  </si>
  <si>
    <t>0 cushion</t>
  </si>
  <si>
    <t>&gt;=0</t>
  </si>
  <si>
    <t>No semantic anchors resolved for BANK_NPL_COVERAGE.</t>
  </si>
  <si>
    <t>Source_Register — non-bank-lender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</si>
  <si>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</si>
  <si>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</si>
  <si>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</si>
  <si>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</si>
  <si>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</si>
  <si>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</si>
  <si>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</si>
  <si>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</si>
  <si>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</si>
  <si>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</si>
  <si>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</si>
  <si>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</si>
  <si>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OCR_ROOT:panacredit</t>
  </si>
  <si>
    <t>OCR_ROOT</t>
  </si>
  <si>
    <t>CFPAIS</t>
  </si>
  <si>
    <t>EEFF; Notas_EEFF</t>
  </si>
  <si>
    <t>OCR of the published filings; OCR of the published filings</t>
  </si>
  <si>
    <t>Annual reports (INA) of panacredit</t>
  </si>
  <si>
    <t>EEFF_FILING:ina_cfpais_2022_0</t>
  </si>
  <si>
    <t>EEFF_FILING</t>
  </si>
  <si>
    <t>EEFF; Notas_EEFF; MD&amp;A</t>
  </si>
  <si>
    <t>00-index.md; 01-eeff.md; 02-notas.md; 03-mda.md; 09-otros.md</t>
  </si>
  <si>
    <t>FY22 (A)</t>
  </si>
  <si>
    <t>108</t>
  </si>
  <si>
    <t>markdown.md sha256=6e31d3375f7e9ace...</t>
  </si>
  <si>
    <t>EEFF_FILING:ina_cfpais_2023_0</t>
  </si>
  <si>
    <t>FY23 (A)</t>
  </si>
  <si>
    <t>106</t>
  </si>
  <si>
    <t>markdown.md sha256=8c31407000317145...</t>
  </si>
  <si>
    <t>EEFF_FILING:ina_cfpais_2024_0</t>
  </si>
  <si>
    <t>FY24 (A)</t>
  </si>
  <si>
    <t>102</t>
  </si>
  <si>
    <t>markdown.md sha256=91f473de33cbfbf9...</t>
  </si>
  <si>
    <t>EEFF_FILING:ina_cfpais_2025_0</t>
  </si>
  <si>
    <t>FY25 (A)</t>
  </si>
  <si>
    <t>112</t>
  </si>
  <si>
    <t>markdown.md sha256=9cef84601c972bf9...</t>
  </si>
  <si>
    <t>EEFF_FILING:prospecto_definitivo_bonos_50mm_smv332_24</t>
  </si>
  <si>
    <t>Prospecto Definitivo Bonos 50MM SMV332-24.pdf</t>
  </si>
  <si>
    <t>80</t>
  </si>
  <si>
    <t>markdown.md sha256=30717f9fe0311aab...</t>
  </si>
  <si>
    <t>NOTA:INA_CFPAIS_2022_0.pdf#1</t>
  </si>
  <si>
    <t>NOTA</t>
  </si>
  <si>
    <t>Notas_EEFF</t>
  </si>
  <si>
    <t>NOTA:INA_CFPAIS_2022_0.pdf#10</t>
  </si>
  <si>
    <t>markdown.md; tbl-30.html</t>
  </si>
  <si>
    <t>NOTA:INA_CFPAIS_2022_0.pdf#11</t>
  </si>
  <si>
    <t>markdown.md; tbl-31.html</t>
  </si>
  <si>
    <t>NOTA:INA_CFPAIS_2022_0.pdf#12</t>
  </si>
  <si>
    <t>markdown.md; tbl-32.html; tbl-33.html; +1 more</t>
  </si>
  <si>
    <t>NOTA:INA_CFPAIS_2022_0.pdf#13</t>
  </si>
  <si>
    <t>markdown.md; tbl-35.html</t>
  </si>
  <si>
    <t>NOTA:INA_CFPAIS_2022_0.pdf#14</t>
  </si>
  <si>
    <t>NOTA:INA_CFPAIS_2022_0.pdf#15</t>
  </si>
  <si>
    <t>markdown.md; tbl-36.html; tbl-37.html; +1 more</t>
  </si>
  <si>
    <t>NOTA:INA_CFPAIS_2022_0.pdf#16</t>
  </si>
  <si>
    <t>markdown.md; tbl-39.html; tbl-40.html; +1 more</t>
  </si>
  <si>
    <t>NOTA:INA_CFPAIS_2022_0.pdf#17</t>
  </si>
  <si>
    <t>markdown.md; tbl-42.html; tbl-43.html</t>
  </si>
  <si>
    <t>NOTA:INA_CFPAIS_2022_0.pdf#18</t>
  </si>
  <si>
    <t>markdown.md; tbl-44.html; tbl-45.html; +5 more</t>
  </si>
  <si>
    <t>NOTA:INA_CFPAIS_2022_0.pdf#19</t>
  </si>
  <si>
    <t>markdown.md; tbl-51.html</t>
  </si>
  <si>
    <t>NOTA:INA_CFPAIS_2022_0.pdf#2</t>
  </si>
  <si>
    <t>NOTA:INA_CFPAIS_2022_0.pdf#20</t>
  </si>
  <si>
    <t>markdown.md; tbl-52.html</t>
  </si>
  <si>
    <t>NOTA:INA_CFPAIS_2022_0.pdf#21</t>
  </si>
  <si>
    <t>markdown.md; tbl-53.html; tbl-54.html; +1 more</t>
  </si>
  <si>
    <t>NOTA:INA_CFPAIS_2022_0.pdf#22</t>
  </si>
  <si>
    <t>markdown.md; tbl-56.html; tbl-57.html; +1 more</t>
  </si>
  <si>
    <t>NOTA:INA_CFPAIS_2022_0.pdf#23</t>
  </si>
  <si>
    <t>markdown.md; tbl-59.html; tbl-60.html; +2 more</t>
  </si>
  <si>
    <t>38</t>
  </si>
  <si>
    <t>NOTA:INA_CFPAIS_2022_0.pdf#3</t>
  </si>
  <si>
    <t>164</t>
  </si>
  <si>
    <t>NOTA:INA_CFPAIS_2022_0.pdf#4</t>
  </si>
  <si>
    <t>markdown.md; tbl-63.html</t>
  </si>
  <si>
    <t>47</t>
  </si>
  <si>
    <t>NOTA:INA_CFPAIS_2022_0.pdf#5</t>
  </si>
  <si>
    <t>markdown.md; tbl-17.html; tbl-18.html; +7 more</t>
  </si>
  <si>
    <t>104</t>
  </si>
  <si>
    <t>NOTA:INA_CFPAIS_2022_0.pdf#6</t>
  </si>
  <si>
    <t>markdown.md; tbl-65.html</t>
  </si>
  <si>
    <t>NOTA:INA_CFPAIS_2022_0.pdf#7</t>
  </si>
  <si>
    <t>markdown.md; tbl-25.html; tbl-26.html; +2 more</t>
  </si>
  <si>
    <t>NOTA:INA_CFPAIS_2022_0.pdf#8</t>
  </si>
  <si>
    <t>markdown.md; tbl-27.html</t>
  </si>
  <si>
    <t>49</t>
  </si>
  <si>
    <t>NOTA:INA_CFPAIS_2022_0.pdf#9</t>
  </si>
  <si>
    <t>markdown.md; tbl-28.html; tbl-29.html</t>
  </si>
  <si>
    <t>NOTA:INA_CFPAIS_2023_0.pdf#1</t>
  </si>
  <si>
    <t>markdown.md; tbl-17.html; tbl-18.html</t>
  </si>
  <si>
    <t>31</t>
  </si>
  <si>
    <t>NOTA:INA_CFPAIS_2023_0.pdf#10</t>
  </si>
  <si>
    <t>NOTA:INA_CFPAIS_2023_0.pdf#11</t>
  </si>
  <si>
    <t>markdown.md; tbl-32.html</t>
  </si>
  <si>
    <t>NOTA:INA_CFPAIS_2023_0.pdf#12</t>
  </si>
  <si>
    <t>markdown.md; tbl-33.html</t>
  </si>
  <si>
    <t>NOTA:INA_CFPAIS_2023_0.pdf#13</t>
  </si>
  <si>
    <t>markdown.md; tbl-34.html; tbl-35.html; +1 more</t>
  </si>
  <si>
    <t>NOTA:INA_CFPAIS_2023_0.pdf#14</t>
  </si>
  <si>
    <t>markdown.md; tbl-37.html; tbl-38.html; +1 more</t>
  </si>
  <si>
    <t>NOTA:INA_CFPAIS_2023_0.pdf#15</t>
  </si>
  <si>
    <t>markdown.md; tbl-40.html; tbl-41.html</t>
  </si>
  <si>
    <t>NOTA:INA_CFPAIS_2023_0.pdf#16</t>
  </si>
  <si>
    <t>markdown.md; tbl-42.html</t>
  </si>
  <si>
    <t>NOTA:INA_CFPAIS_2023_0.pdf#17</t>
  </si>
  <si>
    <t>NOTA:INA_CFPAIS_2023_0.pdf#18</t>
  </si>
  <si>
    <t>markdown.md; tbl-43.html</t>
  </si>
  <si>
    <t>NOTA:INA_CFPAIS_2023_0.pdf#19</t>
  </si>
  <si>
    <t>markdown.md; tbl-44.html; tbl-45.html; +7 more</t>
  </si>
  <si>
    <t>NOTA:INA_CFPAIS_2023_0.pdf#2</t>
  </si>
  <si>
    <t>NOTA:INA_CFPAIS_2023_0.pdf#21</t>
  </si>
  <si>
    <t>markdown.md; tbl-53.html</t>
  </si>
  <si>
    <t>NOTA:INA_CFPAIS_2023_0.pdf#22</t>
  </si>
  <si>
    <t>markdown.md; tbl-54.html; tbl-55.html; +1 more</t>
  </si>
  <si>
    <t>NOTA:INA_CFPAIS_2023_0.pdf#23</t>
  </si>
  <si>
    <t>markdown.md; tbl-57.html; tbl-58.html</t>
  </si>
  <si>
    <t>NOTA:INA_CFPAIS_2023_0.pdf#24</t>
  </si>
  <si>
    <t>markdown.md; tbl-59.html</t>
  </si>
  <si>
    <t>NOTA:INA_CFPAIS_2023_0.pdf#25</t>
  </si>
  <si>
    <t>markdown.md; tbl-60.html; tbl-61.html; +1 more</t>
  </si>
  <si>
    <t>34</t>
  </si>
  <si>
    <t>NOTA:INA_CFPAIS_2023_0.pdf#3</t>
  </si>
  <si>
    <t>161</t>
  </si>
  <si>
    <t>NOTA:INA_CFPAIS_2023_0.pdf#4</t>
  </si>
  <si>
    <t>markdown.md; tbl-63.html; tbl-64.html</t>
  </si>
  <si>
    <t>58</t>
  </si>
  <si>
    <t>NOTA:INA_CFPAIS_2023_0.pdf#5</t>
  </si>
  <si>
    <t>markdown.md; tbl-19.html; tbl-20.html; +6 more</t>
  </si>
  <si>
    <t>79</t>
  </si>
  <si>
    <t>NOTA:INA_CFPAIS_2023_0.pdf#6</t>
  </si>
  <si>
    <t>NOTA:INA_CFPAIS_2023_0.pdf#7</t>
  </si>
  <si>
    <t>markdown.md; tbl-27.html; tbl-28.html; +2 more</t>
  </si>
  <si>
    <t>65</t>
  </si>
  <si>
    <t>NOTA:INA_CFPAIS_2023_0.pdf#8</t>
  </si>
  <si>
    <t>markdown.md; tbl-29.html</t>
  </si>
  <si>
    <t>NOTA:INA_CFPAIS_2023_0.pdf#9</t>
  </si>
  <si>
    <t>NOTA:INA_CFPAIS_2024_0.pdf#1</t>
  </si>
  <si>
    <t>markdown.md; tbl-18.html</t>
  </si>
  <si>
    <t>NOTA:INA_CFPAIS_2024_0.pdf#2</t>
  </si>
  <si>
    <t>NOTA:INA_CFPAIS_2024_0.pdf#3</t>
  </si>
  <si>
    <t>127</t>
  </si>
  <si>
    <t>NOTA:INA_CFPAIS_2024_0.pdf#4</t>
  </si>
  <si>
    <t>markdown.md; tbl-19.html; tbl-20.html; +11 more</t>
  </si>
  <si>
    <t>92</t>
  </si>
  <si>
    <t>NOTA:INA_CFPAIS_2025_0.pdf#1</t>
  </si>
  <si>
    <t>markdown.md; tbl-21.html</t>
  </si>
  <si>
    <t>NOTA:INA_CFPAIS_2025_0.pdf#2</t>
  </si>
  <si>
    <t>NOTA:INA_CFPAIS_2025_0.pdf#3</t>
  </si>
  <si>
    <t>91</t>
  </si>
  <si>
    <t>NOTA:INA_CFPAIS_2025_0.pdf#4</t>
  </si>
  <si>
    <t>markdown.md; tbl-22.html; tbl-23.html; +16 more</t>
  </si>
  <si>
    <t>DRIVER:EEFF (citado por fórmula viva)</t>
  </si>
  <si>
    <t>DRIVER_OTHER</t>
  </si>
  <si>
    <t>Supuestos</t>
  </si>
  <si>
    <t>Total de ingresos por intereses y comisiones (hist, ref EEFF)</t>
  </si>
  <si>
    <t>Unclassified _source citation shape: EEFF (citado por fórmula viva)</t>
  </si>
  <si>
    <t>DRIVER:NOT_DISCLOSED</t>
  </si>
  <si>
    <t>Selector escenario</t>
  </si>
  <si>
    <t>Unclassified _source citation shape: NOT_DISCLOSED</t>
  </si>
  <si>
    <t>_CHANGELOG — generation record for panacredit.</t>
  </si>
  <si>
    <t>Internal build history omitted from the public export. Record public changes below.</t>
  </si>
  <si>
    <t>MD&amp;A — Informe de Actualización INA_CFPAIS_2025_0 (índice verbatim del mirror OCR; la narrativa completa vive en el mirror)</t>
  </si>
  <si>
    <t>Fuente: mirror OCR INA_CFPAIS_2025_0, sección MD&amp;A · sha256=e50a67131278bfbe… · linaje completo en Source_Register.</t>
  </si>
  <si>
    <t>A. ÍNDICE DE SECCIONES DEL MD&amp;A (verbatim, con página del filing)</t>
  </si>
  <si>
    <t>· Panacredit  (pág. 1)</t>
  </si>
  <si>
    <t>· INFORME DE ACTUALIZACIÓN ANUAL IN-A  (pág. 2)</t>
  </si>
  <si>
    <t>· PRIMERA PARTE  (pág. 13)</t>
  </si>
  <si>
    <t xml:space="preserve">  · I. INFORMACION FINANCIERA DEL EMISOR  (pág. 13)</t>
  </si>
  <si>
    <t xml:space="preserve">  · II. ANALISIS DE RESULTADOS FINANCIEROS Y OPERATIVOS  (pág. 13)</t>
  </si>
  <si>
    <t xml:space="preserve">  · III. DIRECTORES, DIGNATARIOS, EJECUTIVOS, ADMINISTRADORES, ASESORES Y EMPLEADOS  (pág. 13)</t>
  </si>
  <si>
    <t xml:space="preserve">  · IV. ACCIONISTAS PRINCIPALES  (pág. 13)</t>
  </si>
  <si>
    <t xml:space="preserve">  · V. PARTES RELACIONADAS, VINCULOS Y AFILIACIONES  (pág. 13)</t>
  </si>
  <si>
    <t xml:space="preserve">  · VI. TRATAMIENTO FISCAL  (pág. 13)</t>
  </si>
  <si>
    <t xml:space="preserve">  · VII. ESTRUCTURA DE CAPITALIZACIÓN  (pág. 13)</t>
  </si>
  <si>
    <t xml:space="preserve">  · B. Pacto Social y Estatutos del Solicitante  (pág. 17)</t>
  </si>
  <si>
    <t xml:space="preserve">  · C. Descripción del Negocio  (pág. 17)</t>
  </si>
  <si>
    <t xml:space="preserve">  · D. Estructura Organizativa  (pág. 17)</t>
  </si>
  <si>
    <t xml:space="preserve">  · E. Propiedad, Planta y Equipo  (pág. 18)</t>
  </si>
  <si>
    <t xml:space="preserve">  · F. Activos Intangibles.  (pág. 18)</t>
  </si>
  <si>
    <t xml:space="preserve">  · G. Investigación y Desarrollo, Patentes, Licencias, Etc.  (pág. 18)</t>
  </si>
  <si>
    <t xml:space="preserve">  · H. Información sobre Tendencias y Estrategia 2025  (pág. 18)</t>
  </si>
  <si>
    <t xml:space="preserve">  · Indicadores altos de liquidez:  (pág. 19)</t>
  </si>
  <si>
    <t xml:space="preserve">  · Calidad de la cartera de crédito:  (pág. 19)</t>
  </si>
  <si>
    <t xml:space="preserve">  · Fondeo y flujo de caja:  (pág. 19)</t>
  </si>
  <si>
    <t xml:space="preserve">  · Resultados razonables:  (pág. 19)</t>
  </si>
  <si>
    <t xml:space="preserve">  · II. ANÁLISIS DE RESULTADOS FINANCIEROS Y OPERATIVOS  (pág. 20)</t>
  </si>
  <si>
    <t xml:space="preserve">    · A. Liquidez  (pág. 20)</t>
  </si>
  <si>
    <t xml:space="preserve">    · B. Recursos de Capital  (pág. 20)</t>
  </si>
  <si>
    <t xml:space="preserve">    · C. Resultados de Operaciones  (pág. 20)</t>
  </si>
  <si>
    <t xml:space="preserve">  · D. Análisis de Perspectivas  (pág. 21)</t>
  </si>
  <si>
    <t xml:space="preserve">    · A. Identidad  (pág. 21)</t>
  </si>
  <si>
    <t xml:space="preserve">  · Ramón Martínez-Acha – Director, Vicepresidente  (pág. 22)</t>
  </si>
  <si>
    <t xml:space="preserve">  · Tito Enrique Dutari M. – Director, Secretario  (pág. 22)</t>
  </si>
  <si>
    <t xml:space="preserve">  · Gabriel de Obarrio de la Guardia — Director Independiente  (pág. 24)</t>
  </si>
  <si>
    <t xml:space="preserve">  · José Mann – Director Independiente  (pág. 25)</t>
  </si>
  <si>
    <t xml:space="preserve">  · Rodolfo de Obarrio E. – Director Independiente Suplente  (pág. 25)</t>
  </si>
  <si>
    <t xml:space="preserve">  · CASA DE VALORES  (pág. 27)</t>
  </si>
  <si>
    <t xml:space="preserve">  · AGENTE DE PAGO, REGISTRO Y TRANSFERENCIA  (pág. 27)</t>
  </si>
  <si>
    <t xml:space="preserve">  · AGENTE FIDUCIARIO  (pág. 27)</t>
  </si>
  <si>
    <t xml:space="preserve">  · E. Propiedad Accionaria  (pág. 29)</t>
  </si>
  <si>
    <t xml:space="preserve">    · B. Presentación tabular de la composición accionaria del emisor:  (pág. 29)</t>
  </si>
  <si>
    <t xml:space="preserve">    · C. Persona Controladora  (pág. 29)</t>
  </si>
  <si>
    <t xml:space="preserve">    · D. Cambios en el control accionario  (pág. 29)</t>
  </si>
  <si>
    <t xml:space="preserve">    · A. Identificación de negocios o contratos con partes relacionadas  (pág. 30)</t>
  </si>
  <si>
    <t xml:space="preserve">    · B. Interés de expertos y asesores  (pág. 30)</t>
  </si>
  <si>
    <t xml:space="preserve">    · A. Resumen de la estructura de capitalización  (pág. 30)</t>
  </si>
  <si>
    <t xml:space="preserve">  · B. Descripción y derechos de los títulos  (pág. 31)</t>
  </si>
  <si>
    <t xml:space="preserve">    · i. Acciones y títulos de participación:  (pág. 31)</t>
  </si>
  <si>
    <t xml:space="preserve">    · ii. Títulos de deuda  (pág. 31)</t>
  </si>
  <si>
    <t xml:space="preserve">    · iii. Listado bursátil  (pág. 31)</t>
  </si>
  <si>
    <t xml:space="preserve">  · C. Información de mercado  (pág. 31)</t>
  </si>
  <si>
    <t xml:space="preserve">  · --TERCERA PARTE--  (pág. 33)</t>
  </si>
  <si>
    <t xml:space="preserve">    · I. ESTADOS FINANCIEROS AUDITADOS  (pág. 33)</t>
  </si>
  <si>
    <t xml:space="preserve">  · I. DIVULGACION  (pág. 34)</t>
  </si>
  <si>
    <t>Doctrina: hoja índice/verbatim — sin narrativa inventada; cifras solo del filing (NOT_DISCLOSED donde no hay dato).</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</si>
  <si>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</si>
  <si>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</si>
  <si>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</si>
  <si>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</si>
  <si>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</si>
  <si>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</si>
  <si>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</si>
  <si>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</si>
  <si>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_CHECKS: 1 cell written, at G12; Source_Register: 3 cells written, at A2, I5, M5; _CHANGELOG: data A1:H33 -&gt; A1:A3 (rows 33 -&gt; 3, columns 8 -&gt; 1), 205 cells written, at A2, A3, B3, C3, D3, E3, F3, G3, H3, A4, B4, C4, D4, E4, F4 and 190 more.
Other actions: clear x1.
Agent: OpenFinmods export</t>
  </si>
  <si>
    <t>Compare against source and review public copy</t>
  </si>
</sst>
</file>

<file path=xl/styles.xml><?xml version="1.0" encoding="utf-8"?>
<styleSheet xmlns="http://schemas.openxmlformats.org/spreadsheetml/2006/main">
  <numFmts count="8">
    <numFmt numFmtId="164" formatCode="General"/>
    <numFmt numFmtId="165" formatCode="#,##0;(#,##0);-"/>
    <numFmt numFmtId="166" formatCode="@"/>
    <numFmt numFmtId="167" formatCode="#,##0;[Red](#,##0);-"/>
    <numFmt numFmtId="168" formatCode="0.0%"/>
    <numFmt numFmtId="169" formatCode="0"/>
    <numFmt numFmtId="170" formatCode="yyyy-mm-dd"/>
    <numFmt numFmtId="171" formatCode="yyyy\-mm\-dd hh:mm"/>
  </numFmts>
  <fonts count="13">
    <font>
      <sz val="11"/>
      <color theme="1"/>
      <name val="Calibri"/>
      <family val="2"/>
      <scheme val="minor"/>
    </font>
    <font>
      <sz val="11"/>
      <color rgb="FF000000"/>
      <name val="Calibri"/>
      <family val="2"/>
      <scheme val="minor"/>
    </font>
    <font>
      <b val="0"/>
      <i val="0"/>
      <strike val="0"/>
      <sz val="10"/>
      <name val="Arial"/>
    </font>
    <font>
      <b val="0"/>
      <i val="0"/>
      <strike val="0"/>
      <sz val="10"/>
      <color rgb="FF0432FF"/>
      <name val="Arial"/>
    </font>
    <font>
      <b/>
      <i val="0"/>
      <strike val="0"/>
      <sz val="10"/>
      <color rgb="FF000000"/>
      <name val="Arial"/>
    </font>
    <font>
      <b val="0"/>
      <i val="0"/>
      <strike val="0"/>
      <sz val="10"/>
      <color rgb="FF000000"/>
      <name val="Arial"/>
    </font>
    <font>
      <b/>
      <i val="0"/>
      <strike val="0"/>
      <sz val="10"/>
      <color rgb="FF0432FF"/>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i val="0"/>
      <strike val="0"/>
      <sz val="10"/>
      <color rgb="FF000000"/>
      <name val="Arial"/>
      <family val="2"/>
      <scheme val="minor"/>
    </font>
    <font>
      <b val="0"/>
      <i val="0"/>
      <strike val="0"/>
      <sz val="10"/>
      <color rgb="FF000000"/>
      <name val="Arial"/>
      <family val="2"/>
      <scheme val="minor"/>
    </font>
  </fonts>
  <fills count="5">
    <fill>
      <patternFill patternType="none"/>
    </fill>
    <fill>
      <patternFill patternType="gray125"/>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s>
  <borders count="4">
    <border/>
    <border>
      <top style="thin">
        <color rgb="FF000000"/>
      </top>
    </border>
    <border>
      <left style="thin">
        <color rgb="FF000000"/>
      </left>
    </border>
    <border>
      <left style="thin">
        <color rgb="FF000000"/>
      </left>
      <top style="thin">
        <color rgb="FF000000"/>
      </top>
    </border>
  </borders>
  <cellStyleXfs count="1">
    <xf numFmtId="0" fontId="1" fillId="0" borderId="0"/>
  </cellStyleXfs>
  <cellXfs count="525">
    <xf numFmtId="0" fontId="1" fillId="0" borderId="0" xfId="0" applyFont="1"/>
    <xf numFmtId="164" fontId="2" fillId="0" borderId="0" xfId="0" applyNumberFormat="1" applyFont="1"/>
    <xf numFmtId="165" fontId="3" fillId="0" borderId="0" xfId="0" applyNumberFormat="1" applyFont="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6" fillId="0" borderId="1" xfId="0" applyNumberFormat="1" applyFont="1" applyBorder="1" applyAlignment="1">
      <alignment horizontal="right" vertical="bottom" textRotation="0" indent="0" readingOrder="0"/>
    </xf>
    <xf numFmtId="165" fontId="3" fillId="0" borderId="2" xfId="0" applyNumberFormat="1" applyFont="1" applyBorder="1" applyAlignment="1">
      <alignment horizontal="right" vertical="bottom" textRotation="0" indent="0" readingOrder="0"/>
    </xf>
    <xf numFmtId="164" fontId="4" fillId="0" borderId="1" xfId="0" applyNumberFormat="1" applyFont="1" applyBorder="1" applyAlignment="1">
      <alignment horizontal="left" vertical="bottom" textRotation="0" indent="0" readingOrder="0"/>
    </xf>
    <xf numFmtId="164" fontId="4" fillId="3" borderId="2" xfId="0" applyNumberFormat="1" applyFont="1" applyFill="1" applyBorder="1" applyAlignment="1">
      <alignment horizontal="right" vertical="bottom" textRotation="0" indent="0" readingOrder="0"/>
    </xf>
    <xf numFmtId="164" fontId="4" fillId="3" borderId="0" xfId="0" applyNumberFormat="1" applyFont="1" applyFill="1" applyAlignment="1">
      <alignment horizontal="right" vertical="bottom" textRotation="0" indent="0" readingOrder="0"/>
    </xf>
    <xf numFmtId="164" fontId="2" fillId="0" borderId="2" xfId="0" applyNumberFormat="1" applyFont="1" applyBorder="1"/>
    <xf numFmtId="165" fontId="6" fillId="0" borderId="3" xfId="0" applyNumberFormat="1" applyFont="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4" fontId="4"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5" fillId="0" borderId="0" xfId="0" applyNumberFormat="1" applyFont="1"/>
    <xf numFmtId="164" fontId="4" fillId="3" borderId="0" xfId="0" applyNumberFormat="1" applyFont="1" applyFill="1" applyAlignment="1">
      <alignment horizontal="left" vertical="top" textRotation="0" wrapText="1" indent="0" readingOrder="0"/>
    </xf>
    <xf numFmtId="164" fontId="8" fillId="0" borderId="0" xfId="0" applyNumberFormat="1" applyFont="1"/>
    <xf numFmtId="168"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2" fillId="0" borderId="0" xfId="0" applyNumberFormat="1" applyFont="1"/>
    <xf numFmtId="168" fontId="5" fillId="0" borderId="0" xfId="0" applyNumberFormat="1" applyFont="1" applyAlignment="1">
      <alignment horizontal="right" vertical="bottom" textRotation="0" indent="0" readingOrder="0"/>
    </xf>
    <xf numFmtId="164" fontId="4" fillId="3" borderId="0" xfId="0" applyNumberFormat="1" applyFont="1" applyFill="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2" borderId="0" xfId="0" applyNumberFormat="1" applyFont="1" applyFill="1"/>
    <xf numFmtId="164" fontId="4" fillId="2" borderId="0" xfId="0" applyNumberFormat="1" applyFont="1" applyFill="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4" fontId="4" fillId="3" borderId="2" xfId="0" applyNumberFormat="1" applyFont="1" applyFill="1" applyBorder="1" applyAlignment="1">
      <alignment horizontal="right" vertical="bottom" textRotation="0" indent="0" readingOrder="0"/>
    </xf>
    <xf numFmtId="164" fontId="2" fillId="3" borderId="0" xfId="0" applyNumberFormat="1" applyFont="1" applyFill="1"/>
    <xf numFmtId="168" fontId="3" fillId="4" borderId="2" xfId="0" applyNumberFormat="1" applyFont="1" applyFill="1" applyBorder="1" applyAlignment="1">
      <alignment horizontal="right" vertical="bottom" textRotation="0" indent="0" readingOrder="0"/>
    </xf>
    <xf numFmtId="164" fontId="2" fillId="0" borderId="2" xfId="0" applyNumberFormat="1" applyFont="1" applyBorder="1"/>
    <xf numFmtId="164" fontId="4" fillId="2"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3" borderId="2" xfId="0" applyNumberFormat="1" applyFont="1" applyFill="1" applyBorder="1"/>
    <xf numFmtId="165" fontId="7" fillId="0" borderId="0" xfId="0" applyNumberFormat="1" applyFont="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4" fontId="4" fillId="3" borderId="0" xfId="0" applyNumberFormat="1" applyFont="1" applyFill="1" applyAlignment="1">
      <alignment horizontal="right" vertical="bottom" textRotation="0" indent="0" readingOrder="0"/>
    </xf>
    <xf numFmtId="164" fontId="2" fillId="0" borderId="0" xfId="0" applyNumberFormat="1" applyFont="1"/>
    <xf numFmtId="165" fontId="9" fillId="0" borderId="1" xfId="0" applyNumberFormat="1" applyFont="1" applyBorder="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4" fillId="3" borderId="2" xfId="0" applyNumberFormat="1" applyFont="1" applyFill="1" applyBorder="1" applyAlignment="1">
      <alignment horizontal="right" vertical="bottom" textRotation="0" indent="0" readingOrder="0"/>
    </xf>
    <xf numFmtId="164" fontId="4" fillId="0" borderId="1" xfId="0" applyNumberFormat="1" applyFont="1" applyBorder="1" applyAlignment="1">
      <alignment horizontal="left" vertical="bottom" textRotation="0" indent="0" readingOrder="0"/>
    </xf>
    <xf numFmtId="164" fontId="4" fillId="2" borderId="0" xfId="0" applyNumberFormat="1" applyFont="1" applyFill="1" applyAlignment="1">
      <alignment horizontal="right" vertical="bottom" textRotation="0" indent="0" readingOrder="0"/>
    </xf>
    <xf numFmtId="164" fontId="2" fillId="3" borderId="0" xfId="0" applyNumberFormat="1" applyFont="1" applyFill="1"/>
    <xf numFmtId="164" fontId="2" fillId="2" borderId="0" xfId="0" applyNumberFormat="1" applyFont="1" applyFill="1"/>
    <xf numFmtId="164" fontId="2" fillId="0" borderId="2" xfId="0" applyNumberFormat="1" applyFont="1" applyBorder="1"/>
    <xf numFmtId="164" fontId="4" fillId="2" borderId="0" xfId="0" applyNumberFormat="1" applyFont="1" applyFill="1" applyAlignment="1">
      <alignment horizontal="left" vertical="bottom" textRotation="0" indent="0" readingOrder="0"/>
    </xf>
    <xf numFmtId="164" fontId="2" fillId="3" borderId="2" xfId="0" applyNumberFormat="1" applyFont="1" applyFill="1" applyBorder="1"/>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4" fontId="4" fillId="2" borderId="0" xfId="0" applyNumberFormat="1" applyFont="1" applyFill="1" applyAlignment="1">
      <alignment horizontal="left" vertical="top" textRotation="0" wrapText="1" indent="0" readingOrder="0"/>
    </xf>
    <xf numFmtId="164" fontId="4" fillId="3" borderId="0" xfId="0" applyNumberFormat="1" applyFont="1" applyFill="1" applyAlignment="1">
      <alignment horizontal="left" vertical="top" textRotation="0" wrapText="1" indent="0" readingOrder="0"/>
    </xf>
    <xf numFmtId="164" fontId="8" fillId="0" borderId="0" xfId="0" applyNumberFormat="1" applyFont="1"/>
    <xf numFmtId="164" fontId="5" fillId="0" borderId="0" xfId="0" applyNumberFormat="1" applyFont="1"/>
    <xf numFmtId="168" fontId="5"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4" fontId="2" fillId="0" borderId="0" xfId="0" applyNumberFormat="1" applyFont="1"/>
    <xf numFmtId="169" fontId="5" fillId="0" borderId="0" xfId="0" applyNumberFormat="1" applyFont="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4" fontId="2" fillId="3" borderId="0" xfId="0" applyNumberFormat="1" applyFont="1" applyFill="1"/>
    <xf numFmtId="168"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2" borderId="0" xfId="0" applyNumberFormat="1" applyFont="1" applyFill="1"/>
    <xf numFmtId="164" fontId="5" fillId="0" borderId="0" xfId="0" applyNumberFormat="1" applyFont="1" applyAlignment="1">
      <alignment horizontal="left" vertical="bottom" textRotation="0" indent="0" readingOrder="0"/>
    </xf>
    <xf numFmtId="164" fontId="2" fillId="0" borderId="2" xfId="0" applyNumberFormat="1" applyFont="1" applyBorder="1"/>
    <xf numFmtId="164" fontId="4" fillId="3" borderId="0" xfId="0" applyNumberFormat="1" applyFont="1" applyFill="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4" fontId="2" fillId="3" borderId="2" xfId="0" applyNumberFormat="1" applyFont="1" applyFill="1" applyBorder="1"/>
    <xf numFmtId="168" fontId="5" fillId="0" borderId="2" xfId="0" applyNumberFormat="1" applyFont="1" applyBorder="1" applyAlignment="1">
      <alignment horizontal="right" vertical="bottom" textRotation="0" indent="0" readingOrder="0"/>
    </xf>
    <xf numFmtId="164" fontId="4" fillId="3" borderId="2" xfId="0" applyNumberFormat="1" applyFont="1" applyFill="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2" borderId="0" xfId="0" applyNumberFormat="1" applyFont="1" applyFill="1"/>
    <xf numFmtId="164" fontId="4" fillId="0" borderId="1" xfId="0" applyNumberFormat="1" applyFont="1" applyBorder="1" applyAlignment="1">
      <alignment horizontal="left" vertical="bottom" textRotation="0" indent="0" readingOrder="0"/>
    </xf>
    <xf numFmtId="164" fontId="2" fillId="0" borderId="0" xfId="0" applyNumberFormat="1" applyFont="1"/>
    <xf numFmtId="165" fontId="4" fillId="0" borderId="3" xfId="0" applyNumberFormat="1" applyFont="1" applyBorder="1" applyAlignment="1">
      <alignment horizontal="right" vertical="bottom" textRotation="0" indent="0" readingOrder="0"/>
    </xf>
    <xf numFmtId="164" fontId="4" fillId="3" borderId="2" xfId="0" applyNumberFormat="1" applyFont="1" applyFill="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4" fontId="2" fillId="3" borderId="0" xfId="0" applyNumberFormat="1" applyFont="1" applyFill="1"/>
    <xf numFmtId="164" fontId="4" fillId="3" borderId="0" xfId="0" applyNumberFormat="1" applyFont="1" applyFill="1" applyAlignment="1">
      <alignment horizontal="right" vertical="bottom" textRotation="0" indent="0" readingOrder="0"/>
    </xf>
    <xf numFmtId="164" fontId="2" fillId="3" borderId="2" xfId="0" applyNumberFormat="1" applyFont="1" applyFill="1" applyBorder="1"/>
    <xf numFmtId="165" fontId="9" fillId="0" borderId="3" xfId="0" applyNumberFormat="1" applyFont="1" applyBorder="1" applyAlignment="1">
      <alignment horizontal="right" vertical="bottom" textRotation="0" indent="0" readingOrder="0"/>
    </xf>
    <xf numFmtId="164" fontId="2" fillId="0" borderId="2" xfId="0" applyNumberFormat="1" applyFont="1" applyBorder="1"/>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4" fontId="4" fillId="2" borderId="0" xfId="0" applyNumberFormat="1" applyFont="1" applyFill="1" applyAlignment="1">
      <alignment horizontal="left" vertical="top" textRotation="0" wrapText="1" indent="0" readingOrder="0"/>
    </xf>
    <xf numFmtId="164" fontId="4" fillId="3" borderId="0" xfId="0" applyNumberFormat="1" applyFont="1" applyFill="1" applyAlignment="1">
      <alignment horizontal="left" vertical="top" textRotation="0" wrapText="1" indent="0" readingOrder="0"/>
    </xf>
    <xf numFmtId="164" fontId="4" fillId="0" borderId="0" xfId="0" applyNumberFormat="1" applyFont="1"/>
    <xf numFmtId="164" fontId="5" fillId="0" borderId="0" xfId="0" applyNumberFormat="1" applyFont="1"/>
    <xf numFmtId="168" fontId="3" fillId="4"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2" borderId="0" xfId="0" applyNumberFormat="1" applyFont="1" applyFill="1"/>
    <xf numFmtId="168" fontId="5"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2" fillId="0" borderId="0" xfId="0" applyNumberFormat="1" applyFont="1"/>
    <xf numFmtId="169" fontId="5" fillId="0" borderId="0" xfId="0" applyNumberFormat="1" applyFont="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4" fillId="3" borderId="0" xfId="0" applyNumberFormat="1" applyFont="1" applyFill="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0" borderId="2" xfId="0" applyNumberFormat="1" applyFont="1" applyBorder="1"/>
    <xf numFmtId="164" fontId="2" fillId="3" borderId="0" xfId="0" applyNumberFormat="1" applyFont="1" applyFill="1"/>
    <xf numFmtId="168"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4" fontId="4" fillId="3" borderId="2" xfId="0" applyNumberFormat="1" applyFont="1" applyFill="1" applyBorder="1" applyAlignment="1">
      <alignment horizontal="right" vertical="bottom" textRotation="0" indent="0" readingOrder="0"/>
    </xf>
    <xf numFmtId="164" fontId="2" fillId="3" borderId="2" xfId="0" applyNumberFormat="1" applyFont="1" applyFill="1" applyBorder="1"/>
    <xf numFmtId="169" fontId="5"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4" fontId="2" fillId="2" borderId="0" xfId="0" applyNumberFormat="1" applyFont="1" applyFill="1"/>
    <xf numFmtId="164"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4" fillId="0" borderId="1" xfId="0" applyNumberFormat="1" applyFont="1" applyBorder="1" applyAlignment="1">
      <alignment horizontal="left" vertical="bottom" textRotation="0" indent="0" readingOrder="0"/>
    </xf>
    <xf numFmtId="165" fontId="9" fillId="0" borderId="1" xfId="0" applyNumberFormat="1" applyFont="1" applyBorder="1" applyAlignment="1">
      <alignment horizontal="right" vertical="bottom" textRotation="0" indent="0" readingOrder="0"/>
    </xf>
    <xf numFmtId="164" fontId="2" fillId="3" borderId="0" xfId="0" applyNumberFormat="1" applyFont="1" applyFill="1"/>
    <xf numFmtId="164" fontId="4" fillId="3" borderId="0" xfId="0" applyNumberFormat="1" applyFont="1" applyFill="1" applyAlignment="1">
      <alignment horizontal="right" vertical="bottom" textRotation="0" indent="0" readingOrder="0"/>
    </xf>
    <xf numFmtId="164" fontId="2" fillId="0" borderId="0" xfId="0" applyNumberFormat="1" applyFont="1"/>
    <xf numFmtId="165" fontId="9" fillId="0" borderId="3" xfId="0" applyNumberFormat="1" applyFont="1" applyBorder="1" applyAlignment="1">
      <alignment horizontal="right" vertical="bottom" textRotation="0" indent="0" readingOrder="0"/>
    </xf>
    <xf numFmtId="164" fontId="2" fillId="0" borderId="2" xfId="0" applyNumberFormat="1" applyFont="1" applyBorder="1"/>
    <xf numFmtId="164" fontId="4" fillId="2" borderId="0" xfId="0" applyNumberFormat="1" applyFont="1" applyFill="1" applyAlignment="1">
      <alignment horizontal="left" vertical="bottom" textRotation="0" indent="0" readingOrder="0"/>
    </xf>
    <xf numFmtId="164" fontId="2" fillId="3" borderId="2" xfId="0" applyNumberFormat="1" applyFont="1" applyFill="1" applyBorder="1"/>
    <xf numFmtId="164" fontId="4" fillId="3" borderId="2" xfId="0" applyNumberFormat="1" applyFont="1" applyFill="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4" fontId="2" fillId="2" borderId="0" xfId="0" applyNumberFormat="1" applyFont="1" applyFill="1"/>
    <xf numFmtId="164"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4" fillId="0" borderId="1" xfId="0" applyNumberFormat="1" applyFont="1" applyBorder="1" applyAlignment="1">
      <alignment horizontal="left" vertical="bottom" textRotation="0" indent="0" readingOrder="0"/>
    </xf>
    <xf numFmtId="165" fontId="9" fillId="0" borderId="1" xfId="0" applyNumberFormat="1" applyFont="1" applyBorder="1" applyAlignment="1">
      <alignment horizontal="right" vertical="bottom" textRotation="0" indent="0" readingOrder="0"/>
    </xf>
    <xf numFmtId="164" fontId="2" fillId="3" borderId="0" xfId="0" applyNumberFormat="1" applyFont="1" applyFill="1"/>
    <xf numFmtId="164" fontId="4" fillId="3" borderId="0" xfId="0" applyNumberFormat="1" applyFont="1" applyFill="1" applyAlignment="1">
      <alignment horizontal="right" vertical="bottom" textRotation="0" indent="0" readingOrder="0"/>
    </xf>
    <xf numFmtId="164" fontId="2" fillId="0" borderId="0" xfId="0" applyNumberFormat="1" applyFont="1"/>
    <xf numFmtId="165" fontId="9" fillId="0" borderId="3" xfId="0" applyNumberFormat="1" applyFont="1" applyBorder="1" applyAlignment="1">
      <alignment horizontal="right" vertical="bottom" textRotation="0" indent="0" readingOrder="0"/>
    </xf>
    <xf numFmtId="164" fontId="2" fillId="0" borderId="2" xfId="0" applyNumberFormat="1" applyFont="1" applyBorder="1"/>
    <xf numFmtId="164" fontId="4" fillId="2" borderId="0" xfId="0" applyNumberFormat="1" applyFont="1" applyFill="1" applyAlignment="1">
      <alignment horizontal="left" vertical="bottom" textRotation="0" indent="0" readingOrder="0"/>
    </xf>
    <xf numFmtId="164" fontId="2" fillId="3" borderId="2" xfId="0" applyNumberFormat="1" applyFont="1" applyFill="1" applyBorder="1"/>
    <xf numFmtId="164" fontId="4" fillId="3" borderId="2" xfId="0" applyNumberFormat="1" applyFont="1" applyFill="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4" fontId="2" fillId="2" borderId="0" xfId="0" applyNumberFormat="1" applyFont="1" applyFill="1"/>
    <xf numFmtId="164"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4" fillId="0" borderId="1" xfId="0" applyNumberFormat="1" applyFont="1" applyBorder="1" applyAlignment="1">
      <alignment horizontal="left" vertical="bottom" textRotation="0" indent="0" readingOrder="0"/>
    </xf>
    <xf numFmtId="165" fontId="9" fillId="0" borderId="1" xfId="0" applyNumberFormat="1" applyFont="1" applyBorder="1" applyAlignment="1">
      <alignment horizontal="right" vertical="bottom" textRotation="0" indent="0" readingOrder="0"/>
    </xf>
    <xf numFmtId="164" fontId="2" fillId="3" borderId="0" xfId="0" applyNumberFormat="1" applyFont="1" applyFill="1"/>
    <xf numFmtId="164" fontId="4" fillId="3" borderId="0" xfId="0" applyNumberFormat="1" applyFont="1" applyFill="1" applyAlignment="1">
      <alignment horizontal="right" vertical="bottom" textRotation="0" indent="0" readingOrder="0"/>
    </xf>
    <xf numFmtId="164" fontId="2" fillId="0" borderId="0" xfId="0" applyNumberFormat="1" applyFont="1"/>
    <xf numFmtId="165" fontId="9" fillId="0" borderId="3" xfId="0" applyNumberFormat="1" applyFont="1" applyBorder="1" applyAlignment="1">
      <alignment horizontal="right" vertical="bottom" textRotation="0" indent="0" readingOrder="0"/>
    </xf>
    <xf numFmtId="164" fontId="2" fillId="0" borderId="2" xfId="0" applyNumberFormat="1" applyFont="1" applyBorder="1"/>
    <xf numFmtId="164" fontId="4" fillId="2" borderId="0" xfId="0" applyNumberFormat="1" applyFont="1" applyFill="1" applyAlignment="1">
      <alignment horizontal="left" vertical="bottom" textRotation="0" indent="0" readingOrder="0"/>
    </xf>
    <xf numFmtId="164" fontId="2" fillId="3" borderId="2" xfId="0" applyNumberFormat="1" applyFont="1" applyFill="1" applyBorder="1"/>
    <xf numFmtId="164" fontId="4" fillId="3" borderId="2" xfId="0" applyNumberFormat="1" applyFont="1" applyFill="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4" fontId="4" fillId="2" borderId="0" xfId="0" applyNumberFormat="1" applyFont="1" applyFill="1" applyAlignment="1">
      <alignment horizontal="left" vertical="top" textRotation="0" wrapText="1" indent="0" readingOrder="0"/>
    </xf>
    <xf numFmtId="164" fontId="5" fillId="0" borderId="0" xfId="0" applyNumberFormat="1" applyFont="1"/>
    <xf numFmtId="164" fontId="4" fillId="3" borderId="0" xfId="0" applyNumberFormat="1" applyFont="1" applyFill="1" applyAlignment="1">
      <alignment horizontal="left" vertical="top" textRotation="0" wrapText="1" indent="0" readingOrder="0"/>
    </xf>
    <xf numFmtId="164" fontId="4" fillId="0" borderId="0" xfId="0" applyNumberFormat="1" applyFont="1"/>
    <xf numFmtId="168"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2" borderId="0" xfId="0" applyNumberFormat="1" applyFont="1" applyFill="1"/>
    <xf numFmtId="168"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0" borderId="0" xfId="0" applyNumberFormat="1" applyFont="1"/>
    <xf numFmtId="164" fontId="4" fillId="3"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0" borderId="2" xfId="0" applyNumberFormat="1" applyFont="1" applyBorder="1"/>
    <xf numFmtId="168" fontId="3" fillId="4" borderId="2" xfId="0" applyNumberFormat="1" applyFont="1" applyFill="1" applyBorder="1" applyAlignment="1">
      <alignment horizontal="right" vertical="bottom" textRotation="0" indent="0" readingOrder="0"/>
    </xf>
    <xf numFmtId="164" fontId="2" fillId="3" borderId="0" xfId="0" applyNumberFormat="1" applyFont="1" applyFill="1"/>
    <xf numFmtId="168"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4" fontId="4" fillId="3" borderId="2" xfId="0" applyNumberFormat="1" applyFont="1" applyFill="1" applyBorder="1" applyAlignment="1">
      <alignment horizontal="right" vertical="bottom" textRotation="0" indent="0" readingOrder="0"/>
    </xf>
    <xf numFmtId="164" fontId="2" fillId="3" borderId="2" xfId="0" applyNumberFormat="1" applyFont="1" applyFill="1" applyBorder="1"/>
    <xf numFmtId="169" fontId="5"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4" fontId="2" fillId="2" borderId="0" xfId="0" applyNumberFormat="1" applyFont="1" applyFill="1"/>
    <xf numFmtId="164"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4" fillId="0" borderId="1" xfId="0" applyNumberFormat="1" applyFont="1" applyBorder="1" applyAlignment="1">
      <alignment horizontal="left" vertical="bottom" textRotation="0" indent="0" readingOrder="0"/>
    </xf>
    <xf numFmtId="165" fontId="9" fillId="0" borderId="1" xfId="0" applyNumberFormat="1" applyFont="1" applyBorder="1" applyAlignment="1">
      <alignment horizontal="right" vertical="bottom" textRotation="0" indent="0" readingOrder="0"/>
    </xf>
    <xf numFmtId="164" fontId="2" fillId="3" borderId="0" xfId="0" applyNumberFormat="1" applyFont="1" applyFill="1"/>
    <xf numFmtId="164" fontId="4" fillId="3" borderId="0" xfId="0" applyNumberFormat="1" applyFont="1" applyFill="1" applyAlignment="1">
      <alignment horizontal="right" vertical="bottom" textRotation="0" indent="0" readingOrder="0"/>
    </xf>
    <xf numFmtId="164" fontId="2" fillId="0" borderId="0" xfId="0" applyNumberFormat="1" applyFont="1"/>
    <xf numFmtId="165" fontId="9" fillId="0" borderId="3" xfId="0" applyNumberFormat="1" applyFont="1" applyBorder="1" applyAlignment="1">
      <alignment horizontal="right" vertical="bottom" textRotation="0" indent="0" readingOrder="0"/>
    </xf>
    <xf numFmtId="164" fontId="2" fillId="0" borderId="2" xfId="0" applyNumberFormat="1" applyFont="1" applyBorder="1"/>
    <xf numFmtId="164" fontId="4" fillId="2" borderId="0" xfId="0" applyNumberFormat="1" applyFont="1" applyFill="1" applyAlignment="1">
      <alignment horizontal="left" vertical="bottom" textRotation="0" indent="0" readingOrder="0"/>
    </xf>
    <xf numFmtId="164" fontId="2" fillId="3" borderId="2" xfId="0" applyNumberFormat="1" applyFont="1" applyFill="1" applyBorder="1"/>
    <xf numFmtId="164" fontId="4" fillId="3" borderId="2" xfId="0" applyNumberFormat="1" applyFont="1" applyFill="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4" fillId="2" borderId="0" xfId="0" applyNumberFormat="1" applyFont="1" applyFill="1" applyAlignment="1">
      <alignment horizontal="left" vertical="top" textRotation="0" wrapText="1" indent="0" readingOrder="0"/>
    </xf>
    <xf numFmtId="164" fontId="4" fillId="3" borderId="0" xfId="0" applyNumberFormat="1" applyFont="1" applyFill="1" applyAlignment="1">
      <alignment horizontal="left" vertical="top" textRotation="0" wrapText="1" indent="0" readingOrder="0"/>
    </xf>
    <xf numFmtId="164" fontId="5" fillId="0" borderId="0" xfId="0" applyNumberFormat="1" applyFont="1"/>
    <xf numFmtId="164" fontId="4" fillId="0" borderId="0" xfId="0" applyNumberFormat="1" applyFont="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4" fillId="3" borderId="0" xfId="0" applyNumberFormat="1" applyFont="1" applyFill="1" applyAlignment="1">
      <alignment horizontal="left" vertical="top" textRotation="0" wrapText="1" indent="0" readingOrder="0"/>
    </xf>
    <xf numFmtId="164" fontId="4" fillId="2" borderId="0" xfId="0" applyNumberFormat="1" applyFont="1" applyFill="1" applyAlignment="1">
      <alignment horizontal="left" vertical="top" textRotation="0" wrapText="1" indent="0" readingOrder="0"/>
    </xf>
    <xf numFmtId="164" fontId="4" fillId="0" borderId="0" xfId="0" applyNumberFormat="1" applyFont="1"/>
    <xf numFmtId="164" fontId="5" fillId="0" borderId="0" xfId="0" applyNumberFormat="1" applyFont="1"/>
    <xf numFmtId="165" fontId="7" fillId="0" borderId="0" xfId="0" applyNumberFormat="1" applyFont="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4" fontId="2" fillId="0" borderId="0" xfId="0" applyNumberFormat="1" applyFont="1"/>
    <xf numFmtId="164"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5" fontId="9" fillId="0" borderId="1" xfId="0" applyNumberFormat="1" applyFont="1" applyBorder="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4" fontId="2" fillId="3" borderId="0" xfId="0" applyNumberFormat="1" applyFont="1" applyFill="1"/>
    <xf numFmtId="165" fontId="4" fillId="0" borderId="3" xfId="0" applyNumberFormat="1" applyFont="1" applyBorder="1" applyAlignment="1">
      <alignment horizontal="right" vertical="bottom" textRotation="0" indent="0" readingOrder="0"/>
    </xf>
    <xf numFmtId="164" fontId="4" fillId="0" borderId="1" xfId="0" applyNumberFormat="1" applyFont="1" applyBorder="1" applyAlignment="1">
      <alignment horizontal="left" vertical="bottom" textRotation="0" indent="0" readingOrder="0"/>
    </xf>
    <xf numFmtId="164" fontId="4" fillId="3" borderId="0" xfId="0" applyNumberFormat="1" applyFont="1" applyFill="1" applyAlignment="1">
      <alignment horizontal="right" vertical="bottom" textRotation="0" indent="0" readingOrder="0"/>
    </xf>
    <xf numFmtId="165" fontId="9" fillId="0" borderId="3" xfId="0" applyNumberFormat="1" applyFont="1" applyBorder="1" applyAlignment="1">
      <alignment horizontal="right" vertical="bottom" textRotation="0" indent="0" readingOrder="0"/>
    </xf>
    <xf numFmtId="164" fontId="2" fillId="2" borderId="0" xfId="0" applyNumberFormat="1" applyFont="1" applyFill="1"/>
    <xf numFmtId="164" fontId="2" fillId="3" borderId="2" xfId="0" applyNumberFormat="1" applyFont="1" applyFill="1" applyBorder="1"/>
    <xf numFmtId="164" fontId="2" fillId="0" borderId="2" xfId="0" applyNumberFormat="1" applyFont="1" applyBorder="1"/>
    <xf numFmtId="164" fontId="4" fillId="3" borderId="2" xfId="0" applyNumberFormat="1" applyFont="1" applyFill="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4" fillId="2" borderId="0" xfId="0" applyNumberFormat="1" applyFont="1" applyFill="1" applyAlignment="1">
      <alignment horizontal="left" vertical="top" textRotation="0" wrapText="1" indent="0" readingOrder="0"/>
    </xf>
    <xf numFmtId="164" fontId="5" fillId="0" borderId="0" xfId="0" applyNumberFormat="1" applyFont="1"/>
    <xf numFmtId="164" fontId="4" fillId="3" borderId="0" xfId="0" applyNumberFormat="1" applyFont="1" applyFill="1" applyAlignment="1">
      <alignment horizontal="left" vertical="top" textRotation="0" wrapText="1" indent="0" readingOrder="0"/>
    </xf>
    <xf numFmtId="164" fontId="4" fillId="0" borderId="0" xfId="0" applyNumberFormat="1" applyFont="1"/>
    <xf numFmtId="164" fontId="2" fillId="0" borderId="0" xfId="0" applyNumberFormat="1" applyFont="1"/>
    <xf numFmtId="164" fontId="5" fillId="0" borderId="0" xfId="0" applyNumberFormat="1" applyFont="1" applyAlignment="1">
      <alignment horizontal="left" vertical="bottom" textRotation="0" indent="0" readingOrder="0"/>
    </xf>
    <xf numFmtId="164" fontId="2" fillId="2" borderId="0" xfId="0" applyNumberFormat="1" applyFont="1" applyFill="1"/>
    <xf numFmtId="168" fontId="5"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4" fillId="3" borderId="0" xfId="0" applyNumberFormat="1" applyFont="1" applyFill="1" applyAlignment="1">
      <alignment horizontal="right" vertical="bottom" textRotation="0" indent="0" readingOrder="0"/>
    </xf>
    <xf numFmtId="164" fontId="2" fillId="0" borderId="2" xfId="0" applyNumberFormat="1" applyFont="1" applyBorder="1"/>
    <xf numFmtId="168" fontId="3" fillId="4" borderId="0" xfId="0" applyNumberFormat="1" applyFont="1" applyFill="1" applyAlignment="1">
      <alignment horizontal="right" vertical="bottom" textRotation="0" indent="0" readingOrder="0"/>
    </xf>
    <xf numFmtId="164" fontId="2" fillId="3" borderId="0" xfId="0" applyNumberFormat="1" applyFont="1" applyFill="1"/>
    <xf numFmtId="169" fontId="5"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4" fontId="4" fillId="3" borderId="2" xfId="0" applyNumberFormat="1" applyFont="1" applyFill="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2" fillId="3" borderId="2" xfId="0" applyNumberFormat="1" applyFont="1" applyFill="1" applyBorder="1"/>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4" fontId="2" fillId="0" borderId="0" xfId="0" applyNumberFormat="1" applyFont="1"/>
    <xf numFmtId="164" fontId="4" fillId="3"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2" borderId="0" xfId="0" applyNumberFormat="1" applyFont="1" applyFill="1"/>
    <xf numFmtId="165" fontId="4" fillId="0" borderId="3"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4" fontId="4" fillId="2" borderId="0" xfId="0" applyNumberFormat="1" applyFont="1" applyFill="1" applyAlignment="1">
      <alignment horizontal="right" vertical="bottom" textRotation="0" indent="0" readingOrder="0"/>
    </xf>
    <xf numFmtId="164" fontId="2" fillId="3" borderId="0" xfId="0" applyNumberFormat="1" applyFont="1" applyFill="1"/>
    <xf numFmtId="164" fontId="4" fillId="0" borderId="1" xfId="0" applyNumberFormat="1" applyFont="1" applyBorder="1" applyAlignment="1">
      <alignment horizontal="left" vertical="bottom" textRotation="0" indent="0" readingOrder="0"/>
    </xf>
    <xf numFmtId="164" fontId="2" fillId="0" borderId="2" xfId="0" applyNumberFormat="1" applyFont="1" applyBorder="1"/>
    <xf numFmtId="164" fontId="4" fillId="3" borderId="2" xfId="0" applyNumberFormat="1" applyFont="1" applyFill="1" applyBorder="1" applyAlignment="1">
      <alignment horizontal="right" vertical="bottom" textRotation="0" indent="0" readingOrder="0"/>
    </xf>
    <xf numFmtId="164" fontId="2" fillId="3" borderId="2" xfId="0" applyNumberFormat="1" applyFont="1" applyFill="1" applyBorder="1"/>
    <xf numFmtId="165" fontId="7"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4" fillId="2" borderId="0" xfId="0" applyNumberFormat="1" applyFont="1" applyFill="1" applyAlignment="1">
      <alignment horizontal="left" vertical="top" textRotation="0" wrapText="1" indent="0" readingOrder="0"/>
    </xf>
    <xf numFmtId="164" fontId="5" fillId="0" borderId="0" xfId="0" applyNumberFormat="1" applyFont="1"/>
    <xf numFmtId="164" fontId="4" fillId="3" borderId="0" xfId="0" applyNumberFormat="1" applyFont="1" applyFill="1" applyAlignment="1">
      <alignment horizontal="left" vertical="top" textRotation="0" wrapText="1" indent="0" readingOrder="0"/>
    </xf>
    <xf numFmtId="164" fontId="4" fillId="0" borderId="0" xfId="0" applyNumberFormat="1" applyFont="1"/>
    <xf numFmtId="164" fontId="2" fillId="0" borderId="0" xfId="0" applyNumberFormat="1" applyFont="1"/>
    <xf numFmtId="164"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2" fillId="3" borderId="2" xfId="0" applyNumberFormat="1" applyFont="1" applyFill="1" applyBorder="1"/>
    <xf numFmtId="164" fontId="2" fillId="2" borderId="0" xfId="0" applyNumberFormat="1" applyFont="1" applyFill="1"/>
    <xf numFmtId="165" fontId="5" fillId="0" borderId="2"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4" fillId="3"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0" borderId="2" xfId="0" applyNumberFormat="1" applyFont="1" applyBorder="1"/>
    <xf numFmtId="164" fontId="2" fillId="3" borderId="0" xfId="0" applyNumberFormat="1" applyFont="1" applyFill="1"/>
    <xf numFmtId="164" fontId="4" fillId="2"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4" fontId="4" fillId="3" borderId="2" xfId="0" applyNumberFormat="1" applyFont="1" applyFill="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4" fontId="2" fillId="0" borderId="0" xfId="0" applyNumberFormat="1" applyFont="1"/>
    <xf numFmtId="164" fontId="4" fillId="3"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3" borderId="2" xfId="0" applyNumberFormat="1" applyFont="1" applyFill="1" applyBorder="1"/>
    <xf numFmtId="165" fontId="4" fillId="0" borderId="3"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4" fontId="4" fillId="2" borderId="0" xfId="0" applyNumberFormat="1" applyFont="1" applyFill="1" applyAlignment="1">
      <alignment horizontal="right" vertical="bottom" textRotation="0" indent="0" readingOrder="0"/>
    </xf>
    <xf numFmtId="164" fontId="2" fillId="3" borderId="0" xfId="0" applyNumberFormat="1" applyFont="1" applyFill="1"/>
    <xf numFmtId="164" fontId="4" fillId="0" borderId="1" xfId="0" applyNumberFormat="1" applyFont="1" applyBorder="1" applyAlignment="1">
      <alignment horizontal="left" vertical="bottom" textRotation="0" indent="0" readingOrder="0"/>
    </xf>
    <xf numFmtId="164" fontId="2" fillId="2" borderId="0" xfId="0" applyNumberFormat="1" applyFont="1" applyFill="1"/>
    <xf numFmtId="164" fontId="2" fillId="0" borderId="2" xfId="0" applyNumberFormat="1" applyFont="1" applyBorder="1"/>
    <xf numFmtId="164" fontId="4" fillId="3" borderId="2" xfId="0" applyNumberFormat="1" applyFont="1" applyFill="1" applyBorder="1" applyAlignment="1">
      <alignment horizontal="right" vertical="bottom" textRotation="0" indent="0" readingOrder="0"/>
    </xf>
    <xf numFmtId="165" fontId="7"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4" fillId="2" borderId="0" xfId="0" applyNumberFormat="1" applyFont="1" applyFill="1" applyAlignment="1">
      <alignment horizontal="left" vertical="top" textRotation="0" wrapText="1" indent="0" readingOrder="0"/>
    </xf>
    <xf numFmtId="164" fontId="5" fillId="0" borderId="0" xfId="0" applyNumberFormat="1" applyFont="1"/>
    <xf numFmtId="164" fontId="4" fillId="3" borderId="0" xfId="0" applyNumberFormat="1" applyFont="1" applyFill="1" applyAlignment="1">
      <alignment horizontal="left" vertical="top" textRotation="0" wrapText="1" indent="0" readingOrder="0"/>
    </xf>
    <xf numFmtId="164" fontId="4" fillId="0" borderId="0" xfId="0" applyNumberFormat="1" applyFont="1"/>
    <xf numFmtId="164" fontId="2" fillId="0" borderId="0" xfId="0" applyNumberFormat="1" applyFont="1"/>
    <xf numFmtId="164"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2" fillId="3" borderId="2" xfId="0" applyNumberFormat="1" applyFont="1" applyFill="1" applyBorder="1"/>
    <xf numFmtId="164" fontId="2" fillId="2" borderId="0" xfId="0" applyNumberFormat="1" applyFont="1" applyFill="1"/>
    <xf numFmtId="165" fontId="5" fillId="0" borderId="2"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4" fillId="3"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0" borderId="2" xfId="0" applyNumberFormat="1" applyFont="1" applyBorder="1"/>
    <xf numFmtId="164" fontId="2" fillId="3" borderId="0" xfId="0" applyNumberFormat="1" applyFont="1" applyFill="1"/>
    <xf numFmtId="164" fontId="4" fillId="2"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4" fontId="4" fillId="3" borderId="2" xfId="0" applyNumberFormat="1" applyFont="1" applyFill="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4" fontId="2" fillId="0" borderId="0" xfId="0" applyNumberFormat="1" applyFont="1"/>
    <xf numFmtId="164" fontId="4" fillId="3"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3" borderId="2" xfId="0" applyNumberFormat="1" applyFont="1" applyFill="1" applyBorder="1"/>
    <xf numFmtId="165" fontId="4" fillId="0" borderId="3"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4" fontId="4" fillId="2" borderId="0" xfId="0" applyNumberFormat="1" applyFont="1" applyFill="1" applyAlignment="1">
      <alignment horizontal="right" vertical="bottom" textRotation="0" indent="0" readingOrder="0"/>
    </xf>
    <xf numFmtId="164" fontId="2" fillId="3" borderId="0" xfId="0" applyNumberFormat="1" applyFont="1" applyFill="1"/>
    <xf numFmtId="164" fontId="4" fillId="0" borderId="1" xfId="0" applyNumberFormat="1" applyFont="1" applyBorder="1" applyAlignment="1">
      <alignment horizontal="left" vertical="bottom" textRotation="0" indent="0" readingOrder="0"/>
    </xf>
    <xf numFmtId="164" fontId="2" fillId="2" borderId="0" xfId="0" applyNumberFormat="1" applyFont="1" applyFill="1"/>
    <xf numFmtId="164" fontId="2" fillId="0" borderId="2" xfId="0" applyNumberFormat="1" applyFont="1" applyBorder="1"/>
    <xf numFmtId="164" fontId="4" fillId="3" borderId="2" xfId="0" applyNumberFormat="1" applyFont="1" applyFill="1" applyBorder="1" applyAlignment="1">
      <alignment horizontal="right" vertical="bottom" textRotation="0" indent="0" readingOrder="0"/>
    </xf>
    <xf numFmtId="165" fontId="7" fillId="0" borderId="2" xfId="0" applyNumberFormat="1" applyFont="1" applyBorder="1" applyAlignment="1">
      <alignment horizontal="right" vertical="bottom" textRotation="0" indent="0" readingOrder="0"/>
    </xf>
    <xf numFmtId="164" fontId="2" fillId="0" borderId="0" xfId="0" applyNumberFormat="1" applyFont="1"/>
    <xf numFmtId="168" fontId="3" fillId="4" borderId="0" xfId="0" applyNumberFormat="1" applyFont="1" applyFill="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2" borderId="0" xfId="0" applyNumberFormat="1" applyFont="1" applyFill="1"/>
    <xf numFmtId="168" fontId="5" fillId="0" borderId="2" xfId="0" applyNumberFormat="1" applyFont="1" applyBorder="1" applyAlignment="1">
      <alignment horizontal="right" vertical="bottom" textRotation="0" indent="0" readingOrder="0"/>
    </xf>
    <xf numFmtId="164" fontId="2" fillId="3" borderId="0" xfId="0" applyNumberFormat="1" applyFont="1" applyFill="1"/>
    <xf numFmtId="164" fontId="4" fillId="3" borderId="2" xfId="0" applyNumberFormat="1" applyFont="1" applyFill="1" applyBorder="1" applyAlignment="1">
      <alignment horizontal="right" vertical="bottom" textRotation="0" indent="0" readingOrder="0"/>
    </xf>
    <xf numFmtId="164" fontId="2" fillId="3" borderId="2" xfId="0" applyNumberFormat="1" applyFont="1" applyFill="1" applyBorder="1"/>
    <xf numFmtId="169" fontId="5" fillId="0" borderId="0" xfId="0" applyNumberFormat="1" applyFont="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4" fillId="3" borderId="0" xfId="0" applyNumberFormat="1" applyFont="1" applyFill="1" applyAlignment="1">
      <alignment horizontal="right" vertical="bottom" textRotation="0" indent="0" readingOrder="0"/>
    </xf>
    <xf numFmtId="164" fontId="2" fillId="0" borderId="2" xfId="0" applyNumberFormat="1" applyFont="1" applyBorder="1"/>
    <xf numFmtId="168" fontId="3" fillId="4" borderId="2" xfId="0" applyNumberFormat="1" applyFont="1" applyFill="1" applyBorder="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4" fillId="0" borderId="1" xfId="0" applyNumberFormat="1" applyFont="1" applyBorder="1" applyAlignment="1">
      <alignment horizontal="left" vertical="bottom" textRotation="0" indent="0" readingOrder="0"/>
    </xf>
    <xf numFmtId="164" fontId="2" fillId="2" borderId="0" xfId="0" applyNumberFormat="1" applyFont="1" applyFill="1"/>
    <xf numFmtId="164"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4" fontId="2" fillId="0" borderId="0" xfId="0" applyNumberFormat="1" applyFont="1"/>
    <xf numFmtId="165" fontId="9" fillId="0" borderId="1" xfId="0" applyNumberFormat="1" applyFont="1" applyBorder="1" applyAlignment="1">
      <alignment horizontal="right" vertical="bottom" textRotation="0" indent="0" readingOrder="0"/>
    </xf>
    <xf numFmtId="164" fontId="2" fillId="3" borderId="0" xfId="0" applyNumberFormat="1" applyFont="1" applyFill="1"/>
    <xf numFmtId="164" fontId="4" fillId="2" borderId="0" xfId="0" applyNumberFormat="1" applyFont="1" applyFill="1" applyAlignment="1">
      <alignment horizontal="left" vertical="bottom" textRotation="0" indent="0" readingOrder="0"/>
    </xf>
    <xf numFmtId="164" fontId="4" fillId="3" borderId="0" xfId="0" applyNumberFormat="1" applyFont="1" applyFill="1" applyAlignment="1">
      <alignment horizontal="right" vertical="bottom" textRotation="0" indent="0" readingOrder="0"/>
    </xf>
    <xf numFmtId="165" fontId="7" fillId="0" borderId="2" xfId="0" applyNumberFormat="1" applyFont="1" applyBorder="1" applyAlignment="1">
      <alignment horizontal="right" vertical="bottom" textRotation="0" indent="0" readingOrder="0"/>
    </xf>
    <xf numFmtId="164" fontId="2" fillId="3" borderId="2" xfId="0" applyNumberFormat="1" applyFont="1" applyFill="1" applyBorder="1"/>
    <xf numFmtId="164" fontId="4" fillId="3" borderId="2" xfId="0" applyNumberFormat="1" applyFont="1" applyFill="1" applyBorder="1" applyAlignment="1">
      <alignment horizontal="right" vertical="bottom" textRotation="0" indent="0" readingOrder="0"/>
    </xf>
    <xf numFmtId="164" fontId="2" fillId="0" borderId="2" xfId="0" applyNumberFormat="1" applyFont="1" applyBorder="1"/>
    <xf numFmtId="165" fontId="9" fillId="0" borderId="3"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5" fillId="0" borderId="0" xfId="0" applyNumberFormat="1" applyFont="1"/>
    <xf numFmtId="165" fontId="5" fillId="0" borderId="2" xfId="0" applyNumberFormat="1" applyFont="1" applyBorder="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center" vertical="bottom" textRotation="0" indent="0" readingOrder="0"/>
    </xf>
    <xf numFmtId="165" fontId="7" fillId="0" borderId="2" xfId="0" applyNumberFormat="1" applyFont="1" applyBorder="1" applyAlignment="1">
      <alignment horizontal="right" vertical="bottom" textRotation="0" indent="0" readingOrder="0"/>
    </xf>
    <xf numFmtId="164" fontId="4" fillId="3" borderId="2" xfId="0" applyNumberFormat="1" applyFont="1" applyFill="1" applyBorder="1" applyAlignment="1">
      <alignment horizontal="left" vertical="bottom" textRotation="0" indent="0" readingOrder="0"/>
    </xf>
    <xf numFmtId="164" fontId="4" fillId="3" borderId="2" xfId="0" applyNumberFormat="1" applyFont="1" applyFill="1" applyBorder="1" applyAlignment="1">
      <alignment horizontal="right" vertical="bottom" textRotation="0" indent="0" readingOrder="0"/>
    </xf>
    <xf numFmtId="164" fontId="4" fillId="0" borderId="0" xfId="0" applyNumberFormat="1" applyFont="1" applyAlignment="1">
      <alignment horizontal="left" vertical="bottom" textRotation="0" indent="0" readingOrder="0"/>
    </xf>
    <xf numFmtId="165" fontId="5" fillId="0" borderId="0" xfId="0" applyNumberFormat="1" applyFont="1" applyAlignment="1">
      <alignment horizontal="left" vertical="bottom" textRotation="0" indent="0" readingOrder="0"/>
    </xf>
    <xf numFmtId="164" fontId="4" fillId="0" borderId="0" xfId="0" applyNumberFormat="1" applyFont="1" applyAlignment="1">
      <alignment horizontal="center" vertical="bottom" textRotation="0" indent="0" readingOrder="0"/>
    </xf>
    <xf numFmtId="165"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10" fillId="0" borderId="0" xfId="0" applyNumberFormat="1" applyFont="1" applyAlignment="1">
      <alignment horizontal="left" vertical="bottom" textRotation="0" indent="0" readingOrder="0"/>
    </xf>
    <xf numFmtId="164" fontId="2" fillId="2" borderId="0" xfId="0" applyNumberFormat="1" applyFont="1" applyFill="1"/>
    <xf numFmtId="165" fontId="3" fillId="4" borderId="2" xfId="0" applyNumberFormat="1" applyFont="1" applyFill="1" applyBorder="1" applyAlignment="1">
      <alignment horizontal="right" vertical="bottom" textRotation="0" indent="0" readingOrder="0"/>
    </xf>
    <xf numFmtId="164" fontId="2" fillId="0" borderId="0" xfId="0" applyNumberFormat="1" applyFont="1"/>
    <xf numFmtId="164" fontId="4" fillId="2" borderId="0" xfId="0" applyNumberFormat="1" applyFont="1" applyFill="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4" fontId="2" fillId="3" borderId="0" xfId="0" applyNumberFormat="1" applyFont="1" applyFill="1"/>
    <xf numFmtId="164" fontId="4" fillId="3"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4" fontId="2" fillId="0" borderId="2" xfId="0" applyNumberFormat="1" applyFont="1" applyBorder="1"/>
    <xf numFmtId="164" fontId="4" fillId="0" borderId="0" xfId="0" applyNumberFormat="1" applyFont="1" applyAlignment="1">
      <alignment horizontal="left" vertical="bottom" textRotation="0" indent="0" readingOrder="0"/>
    </xf>
    <xf numFmtId="168" fontId="5" fillId="0" borderId="2" xfId="0" applyNumberFormat="1" applyFont="1" applyBorder="1" applyAlignment="1">
      <alignment horizontal="right" vertical="bottom" textRotation="0" indent="0" readingOrder="0"/>
    </xf>
    <xf numFmtId="164" fontId="2" fillId="3" borderId="2" xfId="0" applyNumberFormat="1" applyFont="1" applyFill="1" applyBorder="1"/>
    <xf numFmtId="164" fontId="4" fillId="3" borderId="2" xfId="0" applyNumberFormat="1" applyFont="1" applyFill="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4" fontId="2" fillId="2" borderId="0" xfId="0" applyNumberFormat="1" applyFont="1" applyFill="1"/>
    <xf numFmtId="165" fontId="5" fillId="0" borderId="0" xfId="0" applyNumberFormat="1" applyFont="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4" fontId="4" fillId="3" borderId="0" xfId="0" applyNumberFormat="1" applyFont="1" applyFill="1" applyAlignment="1">
      <alignment horizontal="right" vertical="bottom" textRotation="0" indent="0" readingOrder="0"/>
    </xf>
    <xf numFmtId="164" fontId="2" fillId="0" borderId="0" xfId="0" applyNumberFormat="1" applyFont="1"/>
    <xf numFmtId="164" fontId="4" fillId="0" borderId="1" xfId="0" applyNumberFormat="1" applyFont="1" applyBorder="1" applyAlignment="1">
      <alignment horizontal="left" vertical="bottom" textRotation="0" indent="0" readingOrder="0"/>
    </xf>
    <xf numFmtId="164" fontId="2" fillId="3" borderId="2" xfId="0" applyNumberFormat="1" applyFont="1" applyFill="1" applyBorder="1"/>
    <xf numFmtId="165" fontId="7" fillId="0" borderId="2" xfId="0" applyNumberFormat="1" applyFont="1" applyBorder="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4" fillId="3" borderId="2" xfId="0" applyNumberFormat="1" applyFont="1" applyFill="1" applyBorder="1" applyAlignment="1">
      <alignment horizontal="right" vertical="bottom" textRotation="0" indent="0" readingOrder="0"/>
    </xf>
    <xf numFmtId="164" fontId="4" fillId="2" borderId="0" xfId="0" applyNumberFormat="1" applyFont="1" applyFill="1" applyAlignment="1">
      <alignment horizontal="right" vertical="bottom" textRotation="0" indent="0" readingOrder="0"/>
    </xf>
    <xf numFmtId="164" fontId="2" fillId="0" borderId="2" xfId="0" applyNumberFormat="1" applyFont="1" applyBorder="1"/>
    <xf numFmtId="164" fontId="4" fillId="2" borderId="0" xfId="0" applyNumberFormat="1" applyFont="1" applyFill="1" applyAlignment="1">
      <alignment horizontal="left" vertical="bottom" textRotation="0" indent="0" readingOrder="0"/>
    </xf>
    <xf numFmtId="164" fontId="2" fillId="3" borderId="0" xfId="0" applyNumberFormat="1" applyFont="1" applyFill="1"/>
    <xf numFmtId="164" fontId="5" fillId="0" borderId="0" xfId="0" applyNumberFormat="1" applyFont="1" applyAlignment="1">
      <alignment horizontal="left" vertical="bottom" textRotation="0" indent="0" readingOrder="0"/>
    </xf>
    <xf numFmtId="164" fontId="4" fillId="2" borderId="0" xfId="0" applyNumberFormat="1" applyFont="1" applyFill="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xf numFmtId="164" fontId="5" fillId="0" borderId="0" xfId="0" applyNumberFormat="1" applyFont="1" applyAlignment="1">
      <alignment horizontal="center" vertical="bottom" textRotation="0" indent="0" readingOrder="0"/>
    </xf>
    <xf numFmtId="164" fontId="4" fillId="3" borderId="2" xfId="0" applyNumberFormat="1" applyFont="1" applyFill="1" applyBorder="1" applyAlignment="1">
      <alignment horizontal="left" vertical="bottom" textRotation="0" indent="0" readingOrder="0"/>
    </xf>
    <xf numFmtId="164" fontId="4" fillId="3" borderId="2" xfId="0" applyNumberFormat="1" applyFont="1" applyFill="1" applyBorder="1" applyAlignment="1">
      <alignment horizontal="right" vertical="bottom" textRotation="0" indent="0" readingOrder="0"/>
    </xf>
    <xf numFmtId="165" fontId="7"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5" fillId="0" borderId="2" xfId="0" applyNumberFormat="1" applyFont="1" applyBorder="1" applyAlignment="1">
      <alignment horizontal="right" vertical="bottom" textRotation="0" indent="0" readingOrder="0"/>
    </xf>
    <xf numFmtId="164" fontId="4" fillId="0" borderId="0" xfId="0" applyNumberFormat="1" applyFont="1" applyAlignment="1">
      <alignment horizontal="center" vertical="bottom" textRotation="0" indent="0" readingOrder="0"/>
    </xf>
    <xf numFmtId="164" fontId="4" fillId="0" borderId="0" xfId="0" applyNumberFormat="1" applyFont="1" applyAlignment="1">
      <alignment horizontal="left" vertical="bottom" textRotation="0" indent="0" readingOrder="0"/>
    </xf>
    <xf numFmtId="164" fontId="5" fillId="0" borderId="0" xfId="0" applyNumberFormat="1" applyFont="1"/>
    <xf numFmtId="164" fontId="4" fillId="0" borderId="0" xfId="0" applyNumberFormat="1" applyFont="1" applyAlignment="1">
      <alignment horizontal="center" vertical="bottom" textRotation="0" indent="0" readingOrder="0"/>
    </xf>
    <xf numFmtId="170" fontId="5" fillId="0" borderId="0" xfId="0" applyNumberFormat="1" applyFont="1"/>
    <xf numFmtId="164" fontId="4" fillId="0" borderId="0" xfId="0" applyNumberFormat="1" applyFont="1"/>
    <xf numFmtId="164" fontId="9" fillId="0" borderId="0" xfId="0" applyNumberFormat="1" applyFont="1" applyAlignment="1">
      <alignment horizontal="center" vertical="bottom" textRotation="0" indent="0" readingOrder="0"/>
    </xf>
    <xf numFmtId="164" fontId="5" fillId="0" borderId="0" xfId="0" applyNumberFormat="1" applyFont="1" applyAlignment="1">
      <alignment horizontal="left" vertical="bottom" textRotation="0" indent="0" readingOrder="0"/>
    </xf>
    <xf numFmtId="164" fontId="2" fillId="0" borderId="0" xfId="0" applyNumberFormat="1" applyFont="1"/>
    <xf numFmtId="164" fontId="2" fillId="2" borderId="0" xfId="0" applyNumberFormat="1" applyFont="1" applyFill="1"/>
    <xf numFmtId="164" fontId="4" fillId="2" borderId="0" xfId="0" applyNumberFormat="1" applyFont="1" applyFill="1" applyAlignment="1">
      <alignment horizontal="right" vertical="bottom" textRotation="0" indent="0" readingOrder="0"/>
    </xf>
    <xf numFmtId="164" fontId="4" fillId="2" borderId="0" xfId="0" applyNumberFormat="1" applyFont="1" applyFill="1" applyAlignment="1">
      <alignment horizontal="left" vertical="bottom" textRotation="0" indent="0" readingOrder="0"/>
    </xf>
    <xf numFmtId="164" fontId="4" fillId="2" borderId="0" xfId="0" applyNumberFormat="1" applyFont="1" applyFill="1" applyAlignment="1">
      <alignment horizontal="center" vertical="bottom" textRotation="0" indent="0" readingOrder="0"/>
    </xf>
    <xf numFmtId="164" fontId="4" fillId="3" borderId="0" xfId="0" applyNumberFormat="1" applyFont="1" applyFill="1" applyAlignment="1">
      <alignment horizontal="center" vertical="bottom" textRotation="0" indent="0" readingOrder="0"/>
    </xf>
    <xf numFmtId="164" fontId="4" fillId="3" borderId="2" xfId="0" applyNumberFormat="1" applyFont="1" applyFill="1" applyBorder="1" applyAlignment="1">
      <alignment horizontal="center" vertical="bottom" textRotation="0" indent="0" readingOrder="0"/>
    </xf>
    <xf numFmtId="0" fontId="11" fillId="0" borderId="0" xfId="0" applyFont="1" applyFill="1" applyProtection="1">
      <protection locked="1" hidden="0"/>
    </xf>
    <xf numFmtId="0" fontId="12" fillId="0" borderId="0" xfId="0" applyFont="1" applyFill="1" applyAlignment="1" applyProtection="1">
      <alignment vertical="top"/>
      <protection locked="1" hidden="0"/>
    </xf>
    <xf numFmtId="171" fontId="12"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6"/>
  <sheetViews>
    <sheetView showGridLines="0" tabSelected="1" workbookViewId="0"/>
  </sheetViews>
  <sheetFormatPr defaultColWidth="8.375" defaultRowHeight="15"/>
  <cols>
    <col min="1" max="1" width="43.125" customWidth="1"/>
    <col min="2" max="11" width="12.5" customWidth="1"/>
  </cols>
  <sheetData>
    <row r="1">
      <c r="A1" s="518" t="s">
        <v>0</v>
      </c>
      <c r="B1" s="3"/>
      <c r="C1" s="3"/>
      <c r="D1" s="3"/>
      <c r="E1" s="3"/>
      <c r="F1" s="3"/>
      <c r="G1" s="8"/>
      <c r="H1" s="9"/>
      <c r="I1" s="9"/>
      <c r="J1" s="9"/>
      <c r="K1" s="9"/>
    </row>
    <row r="2">
      <c r="A2" s="514" t="s">
        <v>1</v>
      </c>
      <c r="G2" s="10"/>
    </row>
    <row r="3">
      <c r="A3" s="514" t="s">
        <v>2</v>
      </c>
      <c r="G3" s="10"/>
    </row>
    <row r="4">
      <c r="A4" s="1"/>
      <c r="B4" s="1"/>
      <c r="C4" s="1"/>
      <c r="D4" s="1"/>
      <c r="E4" s="1"/>
      <c r="F4" s="1"/>
      <c r="G4" s="10"/>
      <c r="H4" s="1"/>
      <c r="I4" s="1"/>
      <c r="J4" s="1"/>
      <c r="K4" s="1"/>
    </row>
    <row r="5">
      <c r="A5" s="518" t="s">
        <v>3</v>
      </c>
      <c r="B5" s="519" t="s">
        <v>4</v>
      </c>
      <c r="C5" s="519" t="s">
        <v>5</v>
      </c>
      <c r="D5" s="519" t="s">
        <v>6</v>
      </c>
      <c r="E5" s="519" t="s">
        <v>7</v>
      </c>
      <c r="F5" s="519" t="s">
        <v>8</v>
      </c>
      <c r="G5" s="521" t="s">
        <v>9</v>
      </c>
      <c r="H5" s="520" t="s">
        <v>10</v>
      </c>
      <c r="I5" s="520" t="s">
        <v>11</v>
      </c>
      <c r="J5" s="520" t="s">
        <v>12</v>
      </c>
      <c r="K5" s="520" t="s">
        <v>13</v>
      </c>
    </row>
    <row r="6">
      <c r="A6" s="518" t="s">
        <v>14</v>
      </c>
      <c r="B6" s="3"/>
      <c r="C6" s="3"/>
      <c r="D6" s="3"/>
      <c r="E6" s="3"/>
      <c r="F6" s="3"/>
      <c r="G6" s="8"/>
      <c r="H6" s="9"/>
      <c r="I6" s="9"/>
      <c r="J6" s="9"/>
      <c r="K6" s="9"/>
    </row>
    <row r="7">
      <c r="A7" s="514" t="s">
        <v>15</v>
      </c>
      <c r="B7" s="2">
        <v>19760933</v>
      </c>
      <c r="C7" s="2">
        <v>24013816</v>
      </c>
      <c r="D7" s="2">
        <v>31354516</v>
      </c>
      <c r="E7" s="2">
        <v>36993609</v>
      </c>
      <c r="F7" s="2">
        <v>41706437</v>
      </c>
      <c r="G7" s="6"/>
      <c r="H7" s="2"/>
      <c r="I7" s="2"/>
      <c r="J7" s="2"/>
      <c r="K7" s="2"/>
    </row>
    <row r="8">
      <c r="A8" s="514" t="s">
        <v>16</v>
      </c>
      <c r="B8" s="2">
        <v>7681190</v>
      </c>
      <c r="C8" s="2">
        <v>9366601</v>
      </c>
      <c r="D8" s="2">
        <v>12465658</v>
      </c>
      <c r="E8" s="2">
        <v>13927593</v>
      </c>
      <c r="F8" s="2">
        <v>12923349</v>
      </c>
      <c r="G8" s="6"/>
      <c r="H8" s="2"/>
      <c r="I8" s="2"/>
      <c r="J8" s="2"/>
      <c r="K8" s="2"/>
    </row>
    <row r="9">
      <c r="A9" s="487" t="s">
        <v>17</v>
      </c>
      <c r="B9" s="5"/>
      <c r="C9" s="5"/>
      <c r="D9" s="5">
        <v>43820174</v>
      </c>
      <c r="E9" s="5">
        <v>50921202</v>
      </c>
      <c r="F9" s="5">
        <v>54629786</v>
      </c>
      <c r="G9" s="11"/>
      <c r="H9" s="5"/>
      <c r="I9" s="5"/>
      <c r="J9" s="5"/>
      <c r="K9" s="5"/>
    </row>
    <row r="10">
      <c r="A10" s="514" t="s">
        <v>18</v>
      </c>
      <c r="B10" s="2">
        <v>13459518</v>
      </c>
      <c r="C10" s="2">
        <v>14950862</v>
      </c>
      <c r="D10" s="2">
        <v>19286748</v>
      </c>
      <c r="E10" s="2">
        <v>24742945</v>
      </c>
      <c r="F10" s="2">
        <v>27201007</v>
      </c>
      <c r="G10" s="6"/>
      <c r="H10" s="2"/>
      <c r="I10" s="2"/>
      <c r="J10" s="2"/>
      <c r="K10" s="2"/>
    </row>
    <row r="11">
      <c r="A11" s="487" t="s">
        <v>19</v>
      </c>
      <c r="B11" s="5"/>
      <c r="C11" s="5"/>
      <c r="D11" s="5">
        <v>19286748</v>
      </c>
      <c r="E11" s="5">
        <v>24742945</v>
      </c>
      <c r="F11" s="5">
        <v>27201007</v>
      </c>
      <c r="G11" s="11"/>
      <c r="H11" s="5"/>
      <c r="I11" s="5"/>
      <c r="J11" s="5"/>
      <c r="K11" s="5"/>
    </row>
    <row r="12">
      <c r="A12" s="487" t="s">
        <v>20</v>
      </c>
      <c r="B12" s="5"/>
      <c r="C12" s="5"/>
      <c r="D12" s="5">
        <v>24533426</v>
      </c>
      <c r="E12" s="5">
        <v>26178257</v>
      </c>
      <c r="F12" s="5">
        <v>27428779</v>
      </c>
      <c r="G12" s="11"/>
      <c r="H12" s="5"/>
      <c r="I12" s="5"/>
      <c r="J12" s="5"/>
      <c r="K12" s="5"/>
    </row>
    <row r="13">
      <c r="A13" s="514" t="s">
        <v>21</v>
      </c>
      <c r="B13" s="2">
        <v>3675000</v>
      </c>
      <c r="C13" s="2">
        <v>3910000</v>
      </c>
      <c r="D13" s="2">
        <v>4847500</v>
      </c>
      <c r="E13" s="2">
        <v>5995466</v>
      </c>
      <c r="F13" s="2">
        <v>6437000</v>
      </c>
      <c r="G13" s="6"/>
      <c r="H13" s="2"/>
      <c r="I13" s="2"/>
      <c r="J13" s="2"/>
      <c r="K13" s="2"/>
    </row>
    <row r="14">
      <c r="A14" s="514" t="s">
        <v>22</v>
      </c>
      <c r="B14" s="2"/>
      <c r="C14" s="2"/>
      <c r="D14" s="2">
        <v>0</v>
      </c>
      <c r="E14" s="2">
        <v>17849</v>
      </c>
      <c r="F14" s="2">
        <v>-6344</v>
      </c>
      <c r="G14" s="6"/>
      <c r="H14" s="2"/>
      <c r="I14" s="2"/>
      <c r="J14" s="2"/>
      <c r="K14" s="2"/>
    </row>
    <row r="15">
      <c r="A15" s="514" t="s">
        <v>23</v>
      </c>
      <c r="B15" s="2">
        <v>370000</v>
      </c>
      <c r="C15" s="2">
        <v>350000</v>
      </c>
      <c r="D15" s="2">
        <v>390000</v>
      </c>
      <c r="E15" s="2">
        <v>420000</v>
      </c>
      <c r="F15" s="2">
        <v>60000</v>
      </c>
      <c r="G15" s="6"/>
      <c r="H15" s="2"/>
      <c r="I15" s="2"/>
      <c r="J15" s="2"/>
      <c r="K15" s="2"/>
    </row>
    <row r="16">
      <c r="A16" s="487" t="s">
        <v>24</v>
      </c>
      <c r="B16" s="5"/>
      <c r="C16" s="5"/>
      <c r="D16" s="5">
        <v>19295926</v>
      </c>
      <c r="E16" s="5">
        <v>19744942</v>
      </c>
      <c r="F16" s="5">
        <v>20938123</v>
      </c>
      <c r="G16" s="11"/>
      <c r="H16" s="5"/>
      <c r="I16" s="5"/>
      <c r="J16" s="5"/>
      <c r="K16" s="5"/>
    </row>
    <row r="17">
      <c r="A17" s="514" t="s">
        <v>25</v>
      </c>
      <c r="B17" s="2">
        <v>-20000</v>
      </c>
      <c r="C17" s="2">
        <v>-490000</v>
      </c>
      <c r="D17" s="2">
        <v>-600000</v>
      </c>
      <c r="E17" s="2">
        <v>849397</v>
      </c>
      <c r="F17" s="2">
        <v>440739</v>
      </c>
      <c r="G17" s="6"/>
      <c r="H17" s="2"/>
      <c r="I17" s="2"/>
      <c r="J17" s="2"/>
      <c r="K17" s="2"/>
    </row>
    <row r="18">
      <c r="A18" s="514" t="s">
        <v>26</v>
      </c>
      <c r="B18" s="2">
        <v>1654019</v>
      </c>
      <c r="C18" s="2">
        <v>2676655</v>
      </c>
      <c r="D18" s="2">
        <v>2971728</v>
      </c>
      <c r="E18" s="2">
        <v>3527350</v>
      </c>
      <c r="F18" s="2">
        <v>2917037</v>
      </c>
      <c r="G18" s="6"/>
      <c r="H18" s="2"/>
      <c r="I18" s="2"/>
      <c r="J18" s="2"/>
      <c r="K18" s="2"/>
    </row>
    <row r="19">
      <c r="A19" s="487" t="s">
        <v>27</v>
      </c>
      <c r="B19" s="5"/>
      <c r="C19" s="5"/>
      <c r="D19" s="5">
        <v>2371728</v>
      </c>
      <c r="E19" s="5">
        <v>4376747</v>
      </c>
      <c r="F19" s="5">
        <v>3357776</v>
      </c>
      <c r="G19" s="11"/>
      <c r="H19" s="5"/>
      <c r="I19" s="5"/>
      <c r="J19" s="5"/>
      <c r="K19" s="5"/>
    </row>
    <row r="20">
      <c r="A20" s="514" t="s">
        <v>28</v>
      </c>
      <c r="B20" s="2">
        <v>2702111</v>
      </c>
      <c r="C20" s="2">
        <v>4150613</v>
      </c>
      <c r="D20" s="2">
        <v>5339952</v>
      </c>
      <c r="E20" s="2">
        <v>6663071</v>
      </c>
      <c r="F20" s="2">
        <v>6791234</v>
      </c>
      <c r="G20" s="6"/>
      <c r="H20" s="2"/>
      <c r="I20" s="2"/>
      <c r="J20" s="2"/>
      <c r="K20" s="2"/>
    </row>
    <row r="21">
      <c r="A21" s="514" t="s">
        <v>29</v>
      </c>
      <c r="B21" s="2"/>
      <c r="C21" s="2"/>
      <c r="D21" s="2">
        <v>450020</v>
      </c>
      <c r="E21" s="2">
        <v>502974</v>
      </c>
      <c r="F21" s="2">
        <v>497149</v>
      </c>
      <c r="G21" s="6"/>
      <c r="H21" s="2"/>
      <c r="I21" s="2"/>
      <c r="J21" s="2"/>
      <c r="K21" s="2"/>
    </row>
    <row r="22">
      <c r="A22" s="514" t="s">
        <v>30</v>
      </c>
      <c r="B22" s="2">
        <v>592499</v>
      </c>
      <c r="C22" s="2">
        <v>691158</v>
      </c>
      <c r="D22" s="2">
        <v>967602</v>
      </c>
      <c r="E22" s="2">
        <v>1039519</v>
      </c>
      <c r="F22" s="2">
        <v>1073936</v>
      </c>
      <c r="G22" s="6"/>
      <c r="H22" s="2"/>
      <c r="I22" s="2"/>
      <c r="J22" s="2"/>
      <c r="K22" s="2"/>
    </row>
    <row r="23">
      <c r="A23" s="514" t="s">
        <v>31</v>
      </c>
      <c r="B23" s="2"/>
      <c r="C23" s="2"/>
      <c r="D23" s="2">
        <v>512348</v>
      </c>
      <c r="E23" s="2">
        <v>551309</v>
      </c>
      <c r="F23" s="2">
        <v>482250</v>
      </c>
      <c r="G23" s="6"/>
      <c r="H23" s="2"/>
      <c r="I23" s="2"/>
      <c r="J23" s="2"/>
      <c r="K23" s="2"/>
    </row>
    <row r="24">
      <c r="A24" s="514" t="s">
        <v>32</v>
      </c>
      <c r="B24" s="2"/>
      <c r="C24" s="2"/>
      <c r="D24" s="2">
        <v>553995</v>
      </c>
      <c r="E24" s="2">
        <v>661195</v>
      </c>
      <c r="F24" s="2">
        <v>755718</v>
      </c>
      <c r="G24" s="6"/>
      <c r="H24" s="2"/>
      <c r="I24" s="2"/>
      <c r="J24" s="2"/>
      <c r="K24" s="2"/>
    </row>
    <row r="25">
      <c r="A25" s="514" t="s">
        <v>33</v>
      </c>
      <c r="B25" s="2"/>
      <c r="C25" s="2"/>
      <c r="D25" s="2">
        <v>328341</v>
      </c>
      <c r="E25" s="2">
        <v>414413</v>
      </c>
      <c r="F25" s="2">
        <v>417694</v>
      </c>
      <c r="G25" s="6"/>
      <c r="H25" s="2"/>
      <c r="I25" s="2"/>
      <c r="J25" s="2"/>
      <c r="K25" s="2"/>
    </row>
    <row r="26">
      <c r="A26" s="514" t="s">
        <v>34</v>
      </c>
      <c r="B26" s="2"/>
      <c r="C26" s="2"/>
      <c r="D26" s="2">
        <v>345922</v>
      </c>
      <c r="E26" s="2">
        <v>357513</v>
      </c>
      <c r="F26" s="2">
        <v>395065</v>
      </c>
      <c r="G26" s="6"/>
      <c r="H26" s="2"/>
      <c r="I26" s="2"/>
      <c r="J26" s="2"/>
      <c r="K26" s="2"/>
    </row>
    <row r="27">
      <c r="A27" s="514" t="s">
        <v>35</v>
      </c>
      <c r="B27" s="2"/>
      <c r="C27" s="2"/>
      <c r="D27" s="2">
        <v>685363</v>
      </c>
      <c r="E27" s="2">
        <v>843843</v>
      </c>
      <c r="F27" s="2">
        <v>976597</v>
      </c>
      <c r="G27" s="6"/>
      <c r="H27" s="2"/>
      <c r="I27" s="2"/>
      <c r="J27" s="2"/>
      <c r="K27" s="2"/>
    </row>
    <row r="28">
      <c r="A28" s="514" t="s">
        <v>36</v>
      </c>
      <c r="B28" s="2"/>
      <c r="C28" s="2"/>
      <c r="D28" s="2">
        <v>2605570</v>
      </c>
      <c r="E28" s="2">
        <v>2829287</v>
      </c>
      <c r="F28" s="2">
        <v>2876235</v>
      </c>
      <c r="G28" s="6"/>
      <c r="H28" s="2"/>
      <c r="I28" s="2"/>
      <c r="J28" s="2"/>
      <c r="K28" s="2"/>
    </row>
    <row r="29">
      <c r="A29" s="487" t="s">
        <v>37</v>
      </c>
      <c r="B29" s="5">
        <v>6940231</v>
      </c>
      <c r="C29" s="5">
        <v>8703073</v>
      </c>
      <c r="D29" s="5">
        <v>11789113</v>
      </c>
      <c r="E29" s="5">
        <v>13863124</v>
      </c>
      <c r="F29" s="5">
        <v>14265878</v>
      </c>
      <c r="G29" s="11"/>
      <c r="H29" s="5"/>
      <c r="I29" s="5"/>
      <c r="J29" s="5"/>
      <c r="K29" s="5"/>
    </row>
    <row r="30">
      <c r="A30" s="487" t="s">
        <v>38</v>
      </c>
      <c r="B30" s="5">
        <v>4665645</v>
      </c>
      <c r="C30" s="5">
        <v>7653137</v>
      </c>
      <c r="D30" s="5">
        <v>9878541</v>
      </c>
      <c r="E30" s="5">
        <v>10258565</v>
      </c>
      <c r="F30" s="5">
        <v>10030021</v>
      </c>
      <c r="G30" s="11"/>
      <c r="H30" s="5"/>
      <c r="I30" s="5"/>
      <c r="J30" s="5"/>
      <c r="K30" s="5"/>
    </row>
    <row r="31">
      <c r="A31" s="514" t="s">
        <v>39</v>
      </c>
      <c r="B31" s="2">
        <v>42161</v>
      </c>
      <c r="C31" s="2">
        <v>-478846</v>
      </c>
      <c r="D31" s="2">
        <v>-730485</v>
      </c>
      <c r="E31" s="2">
        <v>-803240</v>
      </c>
      <c r="F31" s="2">
        <v>-957116</v>
      </c>
      <c r="G31" s="6"/>
      <c r="H31" s="2"/>
      <c r="I31" s="2"/>
      <c r="J31" s="2"/>
      <c r="K31" s="2"/>
    </row>
    <row r="32">
      <c r="A32" s="487" t="s">
        <v>40</v>
      </c>
      <c r="B32" s="5">
        <v>4707806</v>
      </c>
      <c r="C32" s="5">
        <v>7174291</v>
      </c>
      <c r="D32" s="5">
        <v>9148056</v>
      </c>
      <c r="E32" s="5">
        <v>9455325</v>
      </c>
      <c r="F32" s="5">
        <v>9072905</v>
      </c>
      <c r="G32" s="11"/>
      <c r="H32" s="5"/>
      <c r="I32" s="5"/>
      <c r="J32" s="5"/>
      <c r="K32" s="5"/>
    </row>
    <row r="33">
      <c r="A33" s="1"/>
      <c r="B33" s="1"/>
      <c r="C33" s="1"/>
      <c r="D33" s="1"/>
      <c r="E33" s="1"/>
      <c r="F33" s="1"/>
      <c r="G33" s="10"/>
      <c r="H33" s="1"/>
      <c r="I33" s="1"/>
      <c r="J33" s="1"/>
      <c r="K33" s="1"/>
    </row>
    <row r="34">
      <c r="A34" s="518" t="s">
        <v>3</v>
      </c>
      <c r="B34" s="519" t="s">
        <v>4</v>
      </c>
      <c r="C34" s="519" t="s">
        <v>5</v>
      </c>
      <c r="D34" s="519" t="s">
        <v>6</v>
      </c>
      <c r="E34" s="519" t="s">
        <v>7</v>
      </c>
      <c r="F34" s="519" t="s">
        <v>8</v>
      </c>
      <c r="G34" s="521" t="s">
        <v>9</v>
      </c>
      <c r="H34" s="520" t="s">
        <v>10</v>
      </c>
      <c r="I34" s="520" t="s">
        <v>11</v>
      </c>
      <c r="J34" s="520" t="s">
        <v>12</v>
      </c>
      <c r="K34" s="520" t="s">
        <v>13</v>
      </c>
    </row>
    <row r="35">
      <c r="A35" s="518" t="s">
        <v>41</v>
      </c>
      <c r="B35" s="3"/>
      <c r="C35" s="3"/>
      <c r="D35" s="3"/>
      <c r="E35" s="3"/>
      <c r="F35" s="3"/>
      <c r="G35" s="8"/>
      <c r="H35" s="9"/>
      <c r="I35" s="9"/>
      <c r="J35" s="9"/>
      <c r="K35" s="9"/>
    </row>
    <row r="36">
      <c r="A36" s="514" t="s">
        <v>42</v>
      </c>
      <c r="B36" s="2">
        <v>51019770</v>
      </c>
      <c r="C36" s="2">
        <v>59336554</v>
      </c>
      <c r="D36" s="2">
        <v>50672297</v>
      </c>
      <c r="E36" s="2">
        <v>50373962</v>
      </c>
      <c r="F36" s="2">
        <v>54042975</v>
      </c>
      <c r="G36" s="6"/>
      <c r="H36" s="2"/>
      <c r="I36" s="2"/>
      <c r="J36" s="2"/>
      <c r="K36" s="2"/>
    </row>
    <row r="37">
      <c r="A37" s="514" t="s">
        <v>43</v>
      </c>
      <c r="B37" s="2">
        <v>11874112</v>
      </c>
      <c r="C37" s="2">
        <v>12019089</v>
      </c>
      <c r="D37" s="2">
        <v>24940576</v>
      </c>
      <c r="E37" s="2">
        <v>31751384</v>
      </c>
      <c r="F37" s="2">
        <v>30841061</v>
      </c>
      <c r="G37" s="6"/>
      <c r="H37" s="2"/>
      <c r="I37" s="2"/>
      <c r="J37" s="2"/>
      <c r="K37" s="2"/>
    </row>
    <row r="38">
      <c r="A38" s="514" t="s">
        <v>44</v>
      </c>
      <c r="B38" s="2"/>
      <c r="C38" s="2"/>
      <c r="D38" s="2"/>
      <c r="E38" s="2">
        <v>0</v>
      </c>
      <c r="F38" s="2">
        <v>2443224</v>
      </c>
      <c r="G38" s="6"/>
      <c r="H38" s="2"/>
      <c r="I38" s="2"/>
      <c r="J38" s="2"/>
      <c r="K38" s="2"/>
    </row>
    <row r="39">
      <c r="A39" s="514" t="s">
        <v>45</v>
      </c>
      <c r="B39" s="2">
        <v>4813611</v>
      </c>
      <c r="C39" s="2">
        <v>15087171</v>
      </c>
      <c r="D39" s="2">
        <v>17787629</v>
      </c>
      <c r="E39" s="2">
        <v>14615074</v>
      </c>
      <c r="F39" s="2">
        <v>13731942</v>
      </c>
      <c r="G39" s="6"/>
      <c r="H39" s="2"/>
      <c r="I39" s="2"/>
      <c r="J39" s="2"/>
      <c r="K39" s="2"/>
    </row>
    <row r="40">
      <c r="A40" s="514" t="s">
        <v>46</v>
      </c>
      <c r="B40" s="2">
        <v>169258759</v>
      </c>
      <c r="C40" s="2">
        <v>201123133</v>
      </c>
      <c r="D40" s="2">
        <v>249844714</v>
      </c>
      <c r="E40" s="2">
        <v>293697141</v>
      </c>
      <c r="F40" s="2">
        <v>330675937</v>
      </c>
      <c r="G40" s="6"/>
      <c r="H40" s="2"/>
      <c r="I40" s="2"/>
      <c r="J40" s="2"/>
      <c r="K40" s="2"/>
    </row>
    <row r="41">
      <c r="A41" s="514" t="s">
        <v>47</v>
      </c>
      <c r="B41" s="2">
        <v>635534</v>
      </c>
      <c r="C41" s="2">
        <v>964183</v>
      </c>
      <c r="D41" s="2">
        <v>1713722</v>
      </c>
      <c r="E41" s="2">
        <v>1698467</v>
      </c>
      <c r="F41" s="2">
        <v>2078441</v>
      </c>
      <c r="G41" s="6"/>
      <c r="H41" s="2"/>
      <c r="I41" s="2"/>
      <c r="J41" s="2"/>
      <c r="K41" s="2"/>
    </row>
    <row r="42">
      <c r="A42" s="514" t="s">
        <v>48</v>
      </c>
      <c r="B42" s="2">
        <v>1388986</v>
      </c>
      <c r="C42" s="2">
        <v>1333232</v>
      </c>
      <c r="D42" s="2">
        <v>911230</v>
      </c>
      <c r="E42" s="2">
        <v>411245</v>
      </c>
      <c r="F42" s="2">
        <v>174042</v>
      </c>
      <c r="G42" s="6"/>
      <c r="H42" s="2"/>
      <c r="I42" s="2"/>
      <c r="J42" s="2"/>
      <c r="K42" s="2"/>
    </row>
    <row r="43">
      <c r="A43" s="514" t="s">
        <v>49</v>
      </c>
      <c r="B43" s="2">
        <v>1296186</v>
      </c>
      <c r="C43" s="2">
        <v>1794598</v>
      </c>
      <c r="D43" s="2">
        <v>2203644</v>
      </c>
      <c r="E43" s="2">
        <v>2706141</v>
      </c>
      <c r="F43" s="2">
        <v>3235826</v>
      </c>
      <c r="G43" s="6"/>
      <c r="H43" s="2"/>
      <c r="I43" s="2"/>
      <c r="J43" s="2"/>
      <c r="K43" s="2"/>
    </row>
    <row r="44">
      <c r="A44" s="514" t="s">
        <v>50</v>
      </c>
      <c r="B44" s="2"/>
      <c r="C44" s="2">
        <v>0</v>
      </c>
      <c r="D44" s="2">
        <v>311843</v>
      </c>
      <c r="E44" s="2">
        <v>311843</v>
      </c>
      <c r="F44" s="2">
        <v>311843</v>
      </c>
      <c r="G44" s="6"/>
      <c r="H44" s="2"/>
      <c r="I44" s="2"/>
      <c r="J44" s="2"/>
      <c r="K44" s="2"/>
    </row>
    <row r="45">
      <c r="A45" s="514" t="s">
        <v>51</v>
      </c>
      <c r="B45" s="2">
        <v>423552</v>
      </c>
      <c r="C45" s="2">
        <v>429752</v>
      </c>
      <c r="D45" s="2">
        <v>538906</v>
      </c>
      <c r="E45" s="2">
        <v>547852</v>
      </c>
      <c r="F45" s="2">
        <v>945826</v>
      </c>
      <c r="G45" s="6"/>
      <c r="H45" s="2"/>
      <c r="I45" s="2"/>
      <c r="J45" s="2"/>
      <c r="K45" s="2"/>
    </row>
    <row r="46">
      <c r="A46" s="514" t="s">
        <v>52</v>
      </c>
      <c r="B46" s="2">
        <v>4326380</v>
      </c>
      <c r="C46" s="2">
        <v>2973555</v>
      </c>
      <c r="D46" s="2">
        <v>4315151</v>
      </c>
      <c r="E46" s="2">
        <v>5546572</v>
      </c>
      <c r="F46" s="2">
        <v>6304812</v>
      </c>
      <c r="G46" s="6"/>
      <c r="H46" s="2"/>
      <c r="I46" s="2"/>
      <c r="J46" s="2"/>
      <c r="K46" s="2"/>
    </row>
    <row r="47">
      <c r="A47" s="487" t="s">
        <v>53</v>
      </c>
      <c r="B47" s="5">
        <v>245036890</v>
      </c>
      <c r="C47" s="5">
        <v>295061267</v>
      </c>
      <c r="D47" s="5">
        <v>353239712</v>
      </c>
      <c r="E47" s="5">
        <v>401659681</v>
      </c>
      <c r="F47" s="5">
        <v>444785929</v>
      </c>
      <c r="G47" s="11"/>
      <c r="H47" s="5"/>
      <c r="I47" s="5"/>
      <c r="J47" s="5"/>
      <c r="K47" s="5"/>
    </row>
    <row r="48">
      <c r="A48" s="514" t="s">
        <v>54</v>
      </c>
      <c r="B48" s="2">
        <v>16699995</v>
      </c>
      <c r="C48" s="2">
        <v>24753401</v>
      </c>
      <c r="D48" s="2">
        <v>39175942</v>
      </c>
      <c r="E48" s="2">
        <v>39379317</v>
      </c>
      <c r="F48" s="2">
        <v>30544893</v>
      </c>
      <c r="G48" s="6"/>
      <c r="H48" s="2"/>
      <c r="I48" s="2"/>
      <c r="J48" s="2"/>
      <c r="K48" s="2"/>
    </row>
    <row r="49">
      <c r="A49" s="514" t="s">
        <v>55</v>
      </c>
      <c r="B49" s="2">
        <v>35068408</v>
      </c>
      <c r="C49" s="2">
        <v>27321218</v>
      </c>
      <c r="D49" s="2">
        <v>48388455</v>
      </c>
      <c r="E49" s="2">
        <v>54284121</v>
      </c>
      <c r="F49" s="2">
        <v>60442410</v>
      </c>
      <c r="G49" s="6"/>
      <c r="H49" s="2"/>
      <c r="I49" s="2"/>
      <c r="J49" s="2"/>
      <c r="K49" s="2"/>
    </row>
    <row r="50">
      <c r="A50" s="514" t="s">
        <v>56</v>
      </c>
      <c r="B50" s="2">
        <v>138133557</v>
      </c>
      <c r="C50" s="2">
        <v>178307351</v>
      </c>
      <c r="D50" s="2">
        <v>189967478</v>
      </c>
      <c r="E50" s="2">
        <v>225902195</v>
      </c>
      <c r="F50" s="2">
        <v>261842525</v>
      </c>
      <c r="G50" s="6"/>
      <c r="H50" s="2"/>
      <c r="I50" s="2"/>
      <c r="J50" s="2"/>
      <c r="K50" s="2"/>
    </row>
    <row r="51">
      <c r="A51" s="514" t="s">
        <v>57</v>
      </c>
      <c r="B51" s="2">
        <v>5500000</v>
      </c>
      <c r="C51" s="2">
        <v>5500000</v>
      </c>
      <c r="D51" s="2">
        <v>5500000</v>
      </c>
      <c r="E51" s="2">
        <v>2417000</v>
      </c>
      <c r="F51" s="2">
        <v>2417000</v>
      </c>
      <c r="G51" s="6"/>
      <c r="H51" s="2"/>
      <c r="I51" s="2"/>
      <c r="J51" s="2"/>
      <c r="K51" s="2"/>
    </row>
    <row r="52">
      <c r="A52" s="514" t="s">
        <v>58</v>
      </c>
      <c r="B52" s="2">
        <v>12917773</v>
      </c>
      <c r="C52" s="2">
        <v>12605818</v>
      </c>
      <c r="D52" s="2">
        <v>16886634</v>
      </c>
      <c r="E52" s="2">
        <v>18509756</v>
      </c>
      <c r="F52" s="2">
        <v>21024789</v>
      </c>
      <c r="G52" s="6"/>
      <c r="H52" s="2"/>
      <c r="I52" s="2"/>
      <c r="J52" s="2"/>
      <c r="K52" s="2"/>
    </row>
    <row r="53">
      <c r="A53" s="514" t="s">
        <v>59</v>
      </c>
      <c r="B53" s="2"/>
      <c r="C53" s="2"/>
      <c r="D53" s="2"/>
      <c r="E53" s="2">
        <v>0</v>
      </c>
      <c r="F53" s="2">
        <v>1429160</v>
      </c>
      <c r="G53" s="6"/>
      <c r="H53" s="2"/>
      <c r="I53" s="2"/>
      <c r="J53" s="2"/>
      <c r="K53" s="2"/>
    </row>
    <row r="54">
      <c r="A54" s="514" t="s">
        <v>60</v>
      </c>
      <c r="B54" s="2">
        <v>380158</v>
      </c>
      <c r="C54" s="2">
        <v>427118</v>
      </c>
      <c r="D54" s="2">
        <v>49582</v>
      </c>
      <c r="E54" s="2">
        <v>101302</v>
      </c>
      <c r="F54" s="2">
        <v>251066</v>
      </c>
      <c r="G54" s="6"/>
      <c r="H54" s="2"/>
      <c r="I54" s="2"/>
      <c r="J54" s="2"/>
      <c r="K54" s="2"/>
    </row>
    <row r="55">
      <c r="A55" s="514" t="s">
        <v>61</v>
      </c>
      <c r="B55" s="2">
        <v>1427412</v>
      </c>
      <c r="C55" s="2">
        <v>1351485</v>
      </c>
      <c r="D55" s="2">
        <v>901713</v>
      </c>
      <c r="E55" s="2">
        <v>367169</v>
      </c>
      <c r="F55" s="2">
        <v>70535</v>
      </c>
      <c r="G55" s="6"/>
      <c r="H55" s="2"/>
      <c r="I55" s="2"/>
      <c r="J55" s="2"/>
      <c r="K55" s="2"/>
    </row>
    <row r="56">
      <c r="A56" s="514" t="s">
        <v>62</v>
      </c>
      <c r="B56" s="2">
        <v>453505</v>
      </c>
      <c r="C56" s="2">
        <v>579411</v>
      </c>
      <c r="D56" s="2"/>
      <c r="E56" s="2"/>
      <c r="F56" s="2"/>
      <c r="G56" s="6"/>
      <c r="H56" s="2"/>
      <c r="I56" s="2"/>
      <c r="J56" s="2"/>
      <c r="K56" s="2"/>
    </row>
    <row r="57">
      <c r="A57" s="514" t="s">
        <v>63</v>
      </c>
      <c r="B57" s="2">
        <v>2978091</v>
      </c>
      <c r="C57" s="2">
        <v>4859086</v>
      </c>
      <c r="D57" s="2">
        <v>5850501</v>
      </c>
      <c r="E57" s="2">
        <v>4883025</v>
      </c>
      <c r="F57" s="2">
        <v>4786974</v>
      </c>
      <c r="G57" s="6"/>
      <c r="H57" s="2"/>
      <c r="I57" s="2"/>
      <c r="J57" s="2"/>
      <c r="K57" s="2"/>
    </row>
    <row r="58">
      <c r="A58" s="487" t="s">
        <v>64</v>
      </c>
      <c r="B58" s="5">
        <v>213558899</v>
      </c>
      <c r="C58" s="5">
        <v>255704888</v>
      </c>
      <c r="D58" s="5">
        <v>306720305</v>
      </c>
      <c r="E58" s="5">
        <v>345843885</v>
      </c>
      <c r="F58" s="5">
        <v>382809352</v>
      </c>
      <c r="G58" s="11"/>
      <c r="H58" s="5"/>
      <c r="I58" s="5"/>
      <c r="J58" s="5"/>
      <c r="K58" s="5"/>
    </row>
    <row r="59">
      <c r="A59" s="514" t="s">
        <v>65</v>
      </c>
      <c r="B59" s="2">
        <v>5500000</v>
      </c>
      <c r="C59" s="2">
        <v>5500000</v>
      </c>
      <c r="D59" s="2">
        <v>5500000</v>
      </c>
      <c r="E59" s="2">
        <v>5500000</v>
      </c>
      <c r="F59" s="2">
        <v>5500000</v>
      </c>
      <c r="G59" s="6"/>
      <c r="H59" s="2"/>
      <c r="I59" s="2"/>
      <c r="J59" s="2"/>
      <c r="K59" s="2"/>
    </row>
    <row r="60">
      <c r="A60" s="514" t="s">
        <v>66</v>
      </c>
      <c r="B60" s="2">
        <v>10000000</v>
      </c>
      <c r="C60" s="2">
        <v>12732000</v>
      </c>
      <c r="D60" s="2">
        <v>13752000</v>
      </c>
      <c r="E60" s="2">
        <v>17320000</v>
      </c>
      <c r="F60" s="2">
        <v>18803000</v>
      </c>
      <c r="G60" s="6"/>
      <c r="H60" s="2"/>
      <c r="I60" s="2"/>
      <c r="J60" s="2"/>
      <c r="K60" s="2"/>
    </row>
    <row r="61">
      <c r="A61" s="514" t="s">
        <v>67</v>
      </c>
      <c r="B61" s="2">
        <v>2061947</v>
      </c>
      <c r="C61" s="2">
        <v>2982207</v>
      </c>
      <c r="D61" s="2">
        <v>4314591</v>
      </c>
      <c r="E61" s="2">
        <v>4619789</v>
      </c>
      <c r="F61" s="2">
        <v>5476767</v>
      </c>
      <c r="G61" s="6"/>
      <c r="H61" s="2"/>
      <c r="I61" s="2"/>
      <c r="J61" s="2"/>
      <c r="K61" s="2"/>
    </row>
    <row r="62">
      <c r="A62" s="514" t="s">
        <v>68</v>
      </c>
      <c r="B62" s="2"/>
      <c r="C62" s="2"/>
      <c r="D62" s="2"/>
      <c r="E62" s="2">
        <v>0</v>
      </c>
      <c r="F62" s="2">
        <v>-353970</v>
      </c>
      <c r="G62" s="6"/>
      <c r="H62" s="2"/>
      <c r="I62" s="2"/>
      <c r="J62" s="2"/>
      <c r="K62" s="2"/>
    </row>
    <row r="63">
      <c r="A63" s="514" t="s">
        <v>69</v>
      </c>
      <c r="B63" s="2">
        <v>-459195</v>
      </c>
      <c r="C63" s="2">
        <v>-544629</v>
      </c>
      <c r="D63" s="2"/>
      <c r="E63" s="2"/>
      <c r="F63" s="2"/>
      <c r="G63" s="6"/>
      <c r="H63" s="2"/>
      <c r="I63" s="2"/>
      <c r="J63" s="2"/>
      <c r="K63" s="2"/>
    </row>
    <row r="64">
      <c r="A64" s="514" t="s">
        <v>70</v>
      </c>
      <c r="B64" s="2">
        <v>14375239</v>
      </c>
      <c r="C64" s="2">
        <v>18686801</v>
      </c>
      <c r="D64" s="2">
        <v>22952816</v>
      </c>
      <c r="E64" s="2">
        <v>28376007</v>
      </c>
      <c r="F64" s="2">
        <v>32550780</v>
      </c>
      <c r="G64" s="6"/>
      <c r="H64" s="2"/>
      <c r="I64" s="2"/>
      <c r="J64" s="2"/>
      <c r="K64" s="2"/>
    </row>
    <row r="65">
      <c r="A65" s="487" t="s">
        <v>71</v>
      </c>
      <c r="B65" s="5">
        <v>31477991</v>
      </c>
      <c r="C65" s="5">
        <v>39356379</v>
      </c>
      <c r="D65" s="5">
        <v>46519407</v>
      </c>
      <c r="E65" s="5">
        <v>55815796</v>
      </c>
      <c r="F65" s="5">
        <v>61976577</v>
      </c>
      <c r="G65" s="11"/>
      <c r="H65" s="5"/>
      <c r="I65" s="5"/>
      <c r="J65" s="5"/>
      <c r="K65" s="5"/>
    </row>
    <row r="66">
      <c r="A66" s="487" t="s">
        <v>72</v>
      </c>
      <c r="B66" s="5">
        <v>245036890</v>
      </c>
      <c r="C66" s="5">
        <v>295061267</v>
      </c>
      <c r="D66" s="5">
        <v>353239712</v>
      </c>
      <c r="E66" s="5">
        <v>401659681</v>
      </c>
      <c r="F66" s="5">
        <v>444785929</v>
      </c>
      <c r="G66" s="11"/>
      <c r="H66" s="5"/>
      <c r="I66" s="5"/>
      <c r="J66" s="5"/>
      <c r="K66" s="5"/>
    </row>
    <row r="67">
      <c r="A67" s="1"/>
      <c r="B67" s="1"/>
      <c r="C67" s="1"/>
      <c r="D67" s="1"/>
      <c r="E67" s="1"/>
      <c r="F67" s="1"/>
      <c r="G67" s="10"/>
      <c r="H67" s="1"/>
      <c r="I67" s="1"/>
      <c r="J67" s="1"/>
      <c r="K67" s="1"/>
    </row>
    <row r="68">
      <c r="A68" s="518" t="s">
        <v>3</v>
      </c>
      <c r="B68" s="519" t="s">
        <v>4</v>
      </c>
      <c r="C68" s="519" t="s">
        <v>5</v>
      </c>
      <c r="D68" s="519" t="s">
        <v>6</v>
      </c>
      <c r="E68" s="519" t="s">
        <v>7</v>
      </c>
      <c r="F68" s="519" t="s">
        <v>8</v>
      </c>
      <c r="G68" s="521" t="s">
        <v>9</v>
      </c>
      <c r="H68" s="520" t="s">
        <v>10</v>
      </c>
      <c r="I68" s="520" t="s">
        <v>11</v>
      </c>
      <c r="J68" s="520" t="s">
        <v>12</v>
      </c>
      <c r="K68" s="520" t="s">
        <v>13</v>
      </c>
    </row>
    <row r="69">
      <c r="A69" s="518" t="s">
        <v>73</v>
      </c>
      <c r="B69" s="3"/>
      <c r="C69" s="3"/>
      <c r="D69" s="3"/>
      <c r="E69" s="3"/>
      <c r="F69" s="3"/>
      <c r="G69" s="8"/>
      <c r="H69" s="9"/>
      <c r="I69" s="9"/>
      <c r="J69" s="9"/>
      <c r="K69" s="9"/>
    </row>
    <row r="70">
      <c r="A70" s="514" t="s">
        <v>40</v>
      </c>
      <c r="B70" s="2">
        <v>4707806</v>
      </c>
      <c r="C70" s="2">
        <v>7174291</v>
      </c>
      <c r="D70" s="2">
        <v>9148056</v>
      </c>
      <c r="E70" s="2">
        <v>9455325</v>
      </c>
      <c r="F70" s="2">
        <v>9072905</v>
      </c>
      <c r="G70" s="6"/>
      <c r="H70" s="2"/>
      <c r="I70" s="2"/>
      <c r="J70" s="2"/>
      <c r="K70" s="2"/>
    </row>
    <row r="71">
      <c r="A71" s="514" t="s">
        <v>30</v>
      </c>
      <c r="B71" s="2">
        <v>592499</v>
      </c>
      <c r="C71" s="2">
        <v>691157</v>
      </c>
      <c r="D71" s="2">
        <v>967602</v>
      </c>
      <c r="E71" s="2">
        <v>1039518</v>
      </c>
      <c r="F71" s="2">
        <v>1073936</v>
      </c>
      <c r="G71" s="6"/>
      <c r="H71" s="2"/>
      <c r="I71" s="2"/>
      <c r="J71" s="2"/>
      <c r="K71" s="2"/>
    </row>
    <row r="72">
      <c r="A72" s="514" t="s">
        <v>21</v>
      </c>
      <c r="B72" s="2">
        <v>3675000</v>
      </c>
      <c r="C72" s="2">
        <v>3910000</v>
      </c>
      <c r="D72" s="2">
        <v>4847500</v>
      </c>
      <c r="E72" s="2">
        <v>5995466</v>
      </c>
      <c r="F72" s="2">
        <v>6437000</v>
      </c>
      <c r="G72" s="6"/>
      <c r="H72" s="2"/>
      <c r="I72" s="2"/>
      <c r="J72" s="2"/>
      <c r="K72" s="2"/>
    </row>
    <row r="73">
      <c r="A73" s="514" t="s">
        <v>23</v>
      </c>
      <c r="B73" s="2">
        <v>370000</v>
      </c>
      <c r="C73" s="2">
        <v>350000</v>
      </c>
      <c r="D73" s="2">
        <v>390000</v>
      </c>
      <c r="E73" s="2">
        <v>420000</v>
      </c>
      <c r="F73" s="2">
        <v>60000</v>
      </c>
      <c r="G73" s="6"/>
      <c r="H73" s="2"/>
      <c r="I73" s="2"/>
      <c r="J73" s="2"/>
      <c r="K73" s="2"/>
    </row>
    <row r="74">
      <c r="A74" s="514" t="s">
        <v>74</v>
      </c>
      <c r="B74" s="2"/>
      <c r="C74" s="2"/>
      <c r="D74" s="2">
        <v>0</v>
      </c>
      <c r="E74" s="2">
        <v>17849</v>
      </c>
      <c r="F74" s="2">
        <v>-6344</v>
      </c>
      <c r="G74" s="6"/>
      <c r="H74" s="2"/>
      <c r="I74" s="2"/>
      <c r="J74" s="2"/>
      <c r="K74" s="2"/>
    </row>
    <row r="75">
      <c r="A75" s="514" t="s">
        <v>75</v>
      </c>
      <c r="B75" s="2">
        <v>-862</v>
      </c>
      <c r="C75" s="2">
        <v>24000</v>
      </c>
      <c r="D75" s="2">
        <v>6305</v>
      </c>
      <c r="E75" s="2">
        <v>-4000</v>
      </c>
      <c r="F75" s="2">
        <v>-9775</v>
      </c>
      <c r="G75" s="6"/>
      <c r="H75" s="2"/>
      <c r="I75" s="2"/>
      <c r="J75" s="2"/>
      <c r="K75" s="2"/>
    </row>
    <row r="76">
      <c r="A76" s="514" t="s">
        <v>76</v>
      </c>
      <c r="B76" s="2"/>
      <c r="C76" s="2"/>
      <c r="D76" s="2"/>
      <c r="E76" s="2">
        <v>-44449</v>
      </c>
      <c r="F76" s="2">
        <v>-94965</v>
      </c>
      <c r="G76" s="6"/>
      <c r="H76" s="2"/>
      <c r="I76" s="2"/>
      <c r="J76" s="2"/>
      <c r="K76" s="2"/>
    </row>
    <row r="77">
      <c r="A77" s="514" t="s">
        <v>77</v>
      </c>
      <c r="B77" s="2">
        <v>20000</v>
      </c>
      <c r="C77" s="2">
        <v>490000</v>
      </c>
      <c r="D77" s="2">
        <v>600000</v>
      </c>
      <c r="E77" s="2">
        <v>-849397</v>
      </c>
      <c r="F77" s="2">
        <v>-440739</v>
      </c>
      <c r="G77" s="6"/>
      <c r="H77" s="2"/>
      <c r="I77" s="2"/>
      <c r="J77" s="2"/>
      <c r="K77" s="2"/>
    </row>
    <row r="78">
      <c r="A78" s="514" t="s">
        <v>78</v>
      </c>
      <c r="B78" s="2">
        <v>-42161</v>
      </c>
      <c r="C78" s="2">
        <v>478846</v>
      </c>
      <c r="D78" s="2">
        <v>730484</v>
      </c>
      <c r="E78" s="2">
        <v>803240</v>
      </c>
      <c r="F78" s="2">
        <v>957116</v>
      </c>
      <c r="G78" s="6"/>
      <c r="H78" s="2"/>
      <c r="I78" s="2"/>
      <c r="J78" s="2"/>
      <c r="K78" s="2"/>
    </row>
    <row r="79">
      <c r="A79" s="514" t="s">
        <v>79</v>
      </c>
      <c r="B79" s="2">
        <v>-6301415</v>
      </c>
      <c r="C79" s="2">
        <v>-9062954</v>
      </c>
      <c r="D79" s="2">
        <v>-24533426</v>
      </c>
      <c r="E79" s="2">
        <v>-26178257</v>
      </c>
      <c r="F79" s="2">
        <v>-27428989</v>
      </c>
      <c r="G79" s="6"/>
      <c r="H79" s="2"/>
      <c r="I79" s="2"/>
      <c r="J79" s="2"/>
      <c r="K79" s="2"/>
    </row>
    <row r="80">
      <c r="A80" s="514" t="s">
        <v>80</v>
      </c>
      <c r="B80" s="2">
        <v>-4321008</v>
      </c>
      <c r="C80" s="2">
        <v>-3992575</v>
      </c>
      <c r="D80" s="2">
        <v>-13521487</v>
      </c>
      <c r="E80" s="2">
        <v>-6762146</v>
      </c>
      <c r="F80" s="2">
        <v>-88938</v>
      </c>
      <c r="G80" s="6"/>
      <c r="H80" s="2"/>
      <c r="I80" s="2"/>
      <c r="J80" s="2"/>
      <c r="K80" s="2"/>
    </row>
    <row r="81">
      <c r="A81" s="514" t="s">
        <v>81</v>
      </c>
      <c r="B81" s="2">
        <v>-5200000</v>
      </c>
      <c r="C81" s="2">
        <v>3150000</v>
      </c>
      <c r="D81" s="2">
        <v>-2517658</v>
      </c>
      <c r="E81" s="2">
        <v>-2850000</v>
      </c>
      <c r="F81" s="2">
        <v>-10950000</v>
      </c>
      <c r="G81" s="6"/>
      <c r="H81" s="2"/>
      <c r="I81" s="2"/>
      <c r="J81" s="2"/>
      <c r="K81" s="2"/>
    </row>
    <row r="82">
      <c r="A82" s="514" t="s">
        <v>82</v>
      </c>
      <c r="B82" s="2">
        <v>-35605377</v>
      </c>
      <c r="C82" s="2">
        <v>-33700178</v>
      </c>
      <c r="D82" s="2">
        <v>-52434388</v>
      </c>
      <c r="E82" s="2">
        <v>-50117533</v>
      </c>
      <c r="F82" s="2">
        <v>-43262802</v>
      </c>
      <c r="G82" s="6"/>
      <c r="H82" s="2"/>
      <c r="I82" s="2"/>
      <c r="J82" s="2"/>
      <c r="K82" s="2"/>
    </row>
    <row r="83">
      <c r="A83" s="514" t="s">
        <v>52</v>
      </c>
      <c r="B83" s="2">
        <v>-1483218</v>
      </c>
      <c r="C83" s="2">
        <v>-679491</v>
      </c>
      <c r="D83" s="2">
        <v>-675084</v>
      </c>
      <c r="E83" s="2">
        <v>-823975</v>
      </c>
      <c r="F83" s="2">
        <v>-1106323</v>
      </c>
      <c r="G83" s="6"/>
      <c r="H83" s="2"/>
      <c r="I83" s="2"/>
      <c r="J83" s="2"/>
      <c r="K83" s="2"/>
    </row>
    <row r="84">
      <c r="A84" s="514" t="s">
        <v>63</v>
      </c>
      <c r="B84" s="2">
        <v>36797</v>
      </c>
      <c r="C84" s="2">
        <v>2006901</v>
      </c>
      <c r="D84" s="2">
        <v>374872</v>
      </c>
      <c r="E84" s="2">
        <v>-915756</v>
      </c>
      <c r="F84" s="2">
        <v>-96052</v>
      </c>
      <c r="G84" s="6"/>
      <c r="H84" s="2"/>
      <c r="I84" s="2"/>
      <c r="J84" s="2"/>
      <c r="K84" s="2"/>
    </row>
    <row r="85">
      <c r="A85" s="514" t="s">
        <v>83</v>
      </c>
      <c r="B85" s="2">
        <v>-12876453</v>
      </c>
      <c r="C85" s="2">
        <v>-14665029</v>
      </c>
      <c r="D85" s="2">
        <v>-18797986</v>
      </c>
      <c r="E85" s="2">
        <v>-24715926</v>
      </c>
      <c r="F85" s="2">
        <v>-27200797</v>
      </c>
      <c r="G85" s="6"/>
      <c r="H85" s="2"/>
      <c r="I85" s="2"/>
      <c r="J85" s="2"/>
      <c r="K85" s="2"/>
    </row>
    <row r="86">
      <c r="A86" s="514" t="s">
        <v>84</v>
      </c>
      <c r="B86" s="2">
        <v>16758617</v>
      </c>
      <c r="C86" s="2">
        <v>22640255</v>
      </c>
      <c r="D86" s="2">
        <v>44044102</v>
      </c>
      <c r="E86" s="2">
        <v>51204698</v>
      </c>
      <c r="F86" s="2">
        <v>54629786</v>
      </c>
      <c r="G86" s="6"/>
      <c r="H86" s="2"/>
      <c r="I86" s="2"/>
      <c r="J86" s="2"/>
      <c r="K86" s="2"/>
    </row>
    <row r="87">
      <c r="A87" s="514" t="s">
        <v>85</v>
      </c>
      <c r="B87" s="2">
        <v>-314589</v>
      </c>
      <c r="C87" s="2">
        <v>-929058</v>
      </c>
      <c r="D87" s="2">
        <v>-1517066</v>
      </c>
      <c r="E87" s="2">
        <v>-1307002</v>
      </c>
      <c r="F87" s="2">
        <v>-1082751</v>
      </c>
      <c r="G87" s="6"/>
      <c r="H87" s="2"/>
      <c r="I87" s="2"/>
      <c r="J87" s="2"/>
      <c r="K87" s="2"/>
    </row>
    <row r="88">
      <c r="A88" s="487" t="s">
        <v>86</v>
      </c>
      <c r="B88" s="5">
        <v>-34784364</v>
      </c>
      <c r="C88" s="5">
        <v>-22113835</v>
      </c>
      <c r="D88" s="5">
        <v>-52888174</v>
      </c>
      <c r="E88" s="5">
        <v>-45632345</v>
      </c>
      <c r="F88" s="5">
        <v>-39537732</v>
      </c>
      <c r="G88" s="11"/>
      <c r="H88" s="5"/>
      <c r="I88" s="5"/>
      <c r="J88" s="5"/>
      <c r="K88" s="5"/>
    </row>
    <row r="89">
      <c r="A89" s="514" t="s">
        <v>87</v>
      </c>
      <c r="B89" s="2"/>
      <c r="C89" s="2"/>
      <c r="D89" s="2">
        <v>-2066231</v>
      </c>
      <c r="E89" s="2">
        <v>0</v>
      </c>
      <c r="F89" s="2"/>
      <c r="G89" s="6"/>
      <c r="H89" s="2"/>
      <c r="I89" s="2"/>
      <c r="J89" s="2"/>
      <c r="K89" s="2"/>
    </row>
    <row r="90">
      <c r="A90" s="514" t="s">
        <v>88</v>
      </c>
      <c r="B90" s="2">
        <v>-108540</v>
      </c>
      <c r="C90" s="2">
        <v>-561210</v>
      </c>
      <c r="D90" s="2">
        <v>-1082639</v>
      </c>
      <c r="E90" s="2">
        <v>-424004</v>
      </c>
      <c r="F90" s="2">
        <v>-875517</v>
      </c>
      <c r="G90" s="6"/>
      <c r="H90" s="2"/>
      <c r="I90" s="2"/>
      <c r="J90" s="2"/>
      <c r="K90" s="2"/>
    </row>
    <row r="91">
      <c r="A91" s="514" t="s">
        <v>89</v>
      </c>
      <c r="B91" s="2"/>
      <c r="C91" s="2"/>
      <c r="D91" s="2"/>
      <c r="E91" s="2">
        <v>2760</v>
      </c>
      <c r="F91" s="2">
        <v>102381</v>
      </c>
      <c r="G91" s="6"/>
      <c r="H91" s="2"/>
      <c r="I91" s="2"/>
      <c r="J91" s="2"/>
      <c r="K91" s="2"/>
    </row>
    <row r="92">
      <c r="A92" s="514" t="s">
        <v>90</v>
      </c>
      <c r="B92" s="2">
        <v>-30353</v>
      </c>
      <c r="C92" s="2">
        <v>-61237</v>
      </c>
      <c r="D92" s="2">
        <v>-193531</v>
      </c>
      <c r="E92" s="2">
        <v>-111982</v>
      </c>
      <c r="F92" s="2">
        <v>-515594</v>
      </c>
      <c r="G92" s="6"/>
      <c r="H92" s="2"/>
      <c r="I92" s="2"/>
      <c r="J92" s="2"/>
      <c r="K92" s="2"/>
    </row>
    <row r="93">
      <c r="A93" s="514" t="s">
        <v>91</v>
      </c>
      <c r="B93" s="2">
        <v>-1050000</v>
      </c>
      <c r="C93" s="2">
        <v>-22450000</v>
      </c>
      <c r="D93" s="2">
        <v>-58835789</v>
      </c>
      <c r="E93" s="2">
        <v>-7150000</v>
      </c>
      <c r="F93" s="2">
        <v>-55052975</v>
      </c>
      <c r="G93" s="6"/>
      <c r="H93" s="2"/>
      <c r="I93" s="2"/>
      <c r="J93" s="2"/>
      <c r="K93" s="2"/>
    </row>
    <row r="94">
      <c r="A94" s="514" t="s">
        <v>92</v>
      </c>
      <c r="B94" s="2">
        <v>4351089</v>
      </c>
      <c r="C94" s="2">
        <v>15616150</v>
      </c>
      <c r="D94" s="2">
        <v>56217996</v>
      </c>
      <c r="E94" s="2">
        <v>10291566</v>
      </c>
      <c r="F94" s="2">
        <v>54244850</v>
      </c>
      <c r="G94" s="6"/>
      <c r="H94" s="2"/>
      <c r="I94" s="2"/>
      <c r="J94" s="2"/>
      <c r="K94" s="2"/>
    </row>
    <row r="95">
      <c r="A95" s="487" t="s">
        <v>93</v>
      </c>
      <c r="B95" s="5">
        <v>-1453641</v>
      </c>
      <c r="C95" s="5">
        <v>-6488417</v>
      </c>
      <c r="D95" s="5">
        <v>-5960194</v>
      </c>
      <c r="E95" s="5">
        <v>2608340</v>
      </c>
      <c r="F95" s="5">
        <v>-2096855</v>
      </c>
      <c r="G95" s="11"/>
      <c r="H95" s="5"/>
      <c r="I95" s="5"/>
      <c r="J95" s="5"/>
      <c r="K95" s="5"/>
    </row>
    <row r="96">
      <c r="A96" s="514" t="s">
        <v>94</v>
      </c>
      <c r="B96" s="2"/>
      <c r="C96" s="2"/>
      <c r="D96" s="2">
        <v>-111124902</v>
      </c>
      <c r="E96" s="2">
        <v>-208063672</v>
      </c>
      <c r="F96" s="2">
        <v>-197649897</v>
      </c>
      <c r="G96" s="6"/>
      <c r="H96" s="2"/>
      <c r="I96" s="2"/>
      <c r="J96" s="2"/>
      <c r="K96" s="2"/>
    </row>
    <row r="97">
      <c r="A97" s="514" t="s">
        <v>95</v>
      </c>
      <c r="B97" s="2"/>
      <c r="C97" s="2"/>
      <c r="D97" s="2">
        <v>161382743</v>
      </c>
      <c r="E97" s="2">
        <v>248632822</v>
      </c>
      <c r="F97" s="2">
        <v>234858285</v>
      </c>
      <c r="G97" s="6"/>
      <c r="H97" s="2"/>
      <c r="I97" s="2"/>
      <c r="J97" s="2"/>
      <c r="K97" s="2"/>
    </row>
    <row r="98">
      <c r="A98" s="514" t="s">
        <v>96</v>
      </c>
      <c r="B98" s="2">
        <v>-314350</v>
      </c>
      <c r="C98" s="2">
        <v>-447733</v>
      </c>
      <c r="D98" s="2">
        <v>-606360</v>
      </c>
      <c r="E98" s="2">
        <v>-534544</v>
      </c>
      <c r="F98" s="2">
        <v>-296634</v>
      </c>
      <c r="G98" s="6"/>
      <c r="H98" s="2"/>
      <c r="I98" s="2"/>
      <c r="J98" s="2"/>
      <c r="K98" s="2"/>
    </row>
    <row r="99">
      <c r="A99" s="514" t="s">
        <v>97</v>
      </c>
      <c r="B99" s="2">
        <v>-902262</v>
      </c>
      <c r="C99" s="2">
        <v>-1942469</v>
      </c>
      <c r="D99" s="2">
        <v>-3033828</v>
      </c>
      <c r="E99" s="2">
        <v>-3688255</v>
      </c>
      <c r="F99" s="2">
        <v>-4028047</v>
      </c>
      <c r="G99" s="6"/>
      <c r="H99" s="2"/>
      <c r="I99" s="2"/>
      <c r="J99" s="2"/>
      <c r="K99" s="2"/>
    </row>
    <row r="100">
      <c r="A100" s="514" t="s">
        <v>98</v>
      </c>
      <c r="B100" s="2">
        <v>2990000</v>
      </c>
      <c r="C100" s="2">
        <v>2732000</v>
      </c>
      <c r="D100" s="2">
        <v>1020000</v>
      </c>
      <c r="E100" s="2">
        <v>3568000</v>
      </c>
      <c r="F100" s="2">
        <v>1483000</v>
      </c>
      <c r="G100" s="6"/>
      <c r="H100" s="2"/>
      <c r="I100" s="2"/>
      <c r="J100" s="2"/>
      <c r="K100" s="2"/>
    </row>
    <row r="101">
      <c r="A101" s="514" t="s">
        <v>69</v>
      </c>
      <c r="B101" s="2">
        <v>0</v>
      </c>
      <c r="C101" s="2">
        <v>-85434</v>
      </c>
      <c r="D101" s="2">
        <v>28800</v>
      </c>
      <c r="E101" s="2">
        <v>-38681</v>
      </c>
      <c r="F101" s="2">
        <v>-13107</v>
      </c>
      <c r="G101" s="6"/>
      <c r="H101" s="2"/>
      <c r="I101" s="2"/>
      <c r="J101" s="2"/>
      <c r="K101" s="2"/>
    </row>
    <row r="102">
      <c r="A102" s="487" t="s">
        <v>99</v>
      </c>
      <c r="B102" s="5">
        <v>43186007</v>
      </c>
      <c r="C102" s="5">
        <v>40138586</v>
      </c>
      <c r="D102" s="5">
        <v>47666453</v>
      </c>
      <c r="E102" s="5">
        <v>39875670</v>
      </c>
      <c r="F102" s="5">
        <v>34353600</v>
      </c>
      <c r="G102" s="11"/>
      <c r="H102" s="5"/>
      <c r="I102" s="5"/>
      <c r="J102" s="5"/>
      <c r="K102" s="5"/>
    </row>
    <row r="103">
      <c r="A103" s="514" t="s">
        <v>100</v>
      </c>
      <c r="B103" s="2">
        <v>6948002</v>
      </c>
      <c r="C103" s="2">
        <v>11536334</v>
      </c>
      <c r="D103" s="2">
        <v>-11181915</v>
      </c>
      <c r="E103" s="2">
        <v>-3148335</v>
      </c>
      <c r="F103" s="2">
        <v>-7280987</v>
      </c>
      <c r="G103" s="6"/>
      <c r="H103" s="2"/>
      <c r="I103" s="2"/>
      <c r="J103" s="2"/>
      <c r="K103" s="2"/>
    </row>
    <row r="104">
      <c r="A104" s="514" t="s">
        <v>101</v>
      </c>
      <c r="B104" s="2">
        <v>28231225</v>
      </c>
      <c r="C104" s="2">
        <v>35179227</v>
      </c>
      <c r="D104" s="2">
        <v>46715561</v>
      </c>
      <c r="E104" s="2">
        <v>35533646</v>
      </c>
      <c r="F104" s="2">
        <v>32385311</v>
      </c>
      <c r="G104" s="6"/>
      <c r="H104" s="2"/>
      <c r="I104" s="2"/>
      <c r="J104" s="2"/>
      <c r="K104" s="2"/>
    </row>
    <row r="105">
      <c r="A105" s="487" t="s">
        <v>102</v>
      </c>
      <c r="B105" s="5">
        <v>35179227</v>
      </c>
      <c r="C105" s="5">
        <v>46715561</v>
      </c>
      <c r="D105" s="5">
        <v>35533646</v>
      </c>
      <c r="E105" s="5">
        <v>32385311</v>
      </c>
      <c r="F105" s="5">
        <v>25104324</v>
      </c>
      <c r="G105" s="11"/>
      <c r="H105" s="5"/>
      <c r="I105" s="5"/>
      <c r="J105" s="5"/>
      <c r="K105" s="5"/>
    </row>
    <row r="106">
      <c r="A106" s="1"/>
      <c r="B106" s="1"/>
      <c r="C106" s="1"/>
      <c r="D106" s="1"/>
      <c r="E106" s="1"/>
      <c r="F106" s="1"/>
      <c r="G106" s="10"/>
      <c r="H106" s="1"/>
      <c r="I106" s="1"/>
      <c r="J106" s="1"/>
      <c r="K106" s="1"/>
    </row>
  </sheetData>
</worksheet>
</file>

<file path=xl/worksheets/sheet2.xml><?xml version="1.0" encoding="utf-8"?>
<worksheet xmlns="http://schemas.openxmlformats.org/spreadsheetml/2006/main" xmlns:r="http://schemas.openxmlformats.org/officeDocument/2006/relationships">
  <dimension ref="A1:T1573"/>
  <sheetViews>
    <sheetView showGridLines="0" workbookViewId="0">
      <pane ySplit="5" topLeftCell="A6" activePane="bottomLeft" state="frozen"/>
    </sheetView>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512" t="s">
        <v>0</v>
      </c>
    </row>
    <row r="2">
      <c r="A2" s="509" t="s">
        <v>103</v>
      </c>
    </row>
    <row r="3">
      <c r="A3" s="509" t="s">
        <v>104</v>
      </c>
    </row>
    <row r="5">
      <c r="A5" s="364" t="s">
        <v>105</v>
      </c>
      <c r="B5" s="364" t="s">
        <v>106</v>
      </c>
      <c r="C5" s="364" t="s">
        <v>107</v>
      </c>
      <c r="D5" s="364" t="s">
        <v>108</v>
      </c>
      <c r="E5" s="364" t="s">
        <v>109</v>
      </c>
      <c r="F5" s="364" t="s">
        <v>110</v>
      </c>
      <c r="G5" s="364" t="s">
        <v>111</v>
      </c>
      <c r="H5" s="364" t="s">
        <v>112</v>
      </c>
      <c r="I5" s="364" t="s">
        <v>113</v>
      </c>
      <c r="J5" s="364" t="s">
        <v>114</v>
      </c>
      <c r="K5" s="364" t="s">
        <v>115</v>
      </c>
      <c r="L5" s="364" t="s">
        <v>116</v>
      </c>
      <c r="M5" s="364" t="s">
        <v>117</v>
      </c>
      <c r="N5" s="364" t="s">
        <v>118</v>
      </c>
      <c r="O5" s="364" t="s">
        <v>119</v>
      </c>
      <c r="P5" s="366" t="s">
        <v>120</v>
      </c>
      <c r="Q5" s="366" t="s">
        <v>121</v>
      </c>
      <c r="R5" s="364" t="s">
        <v>122</v>
      </c>
      <c r="S5" s="364" t="s">
        <v>123</v>
      </c>
      <c r="T5" s="364" t="s">
        <v>124</v>
      </c>
    </row>
    <row r="6">
      <c r="A6" s="360" t="s">
        <v>125</v>
      </c>
      <c r="B6" s="360" t="s">
        <v>126</v>
      </c>
      <c r="C6" s="360" t="s">
        <v>127</v>
      </c>
      <c r="D6" s="360" t="s">
        <v>128</v>
      </c>
      <c r="E6" s="360" t="s">
        <v>129</v>
      </c>
      <c r="F6" s="361" t="s">
        <v>130</v>
      </c>
      <c r="G6" s="360" t="s">
        <v>36</v>
      </c>
      <c r="H6" s="361"/>
      <c r="I6" s="361"/>
      <c r="J6" s="361" t="s">
        <v>131</v>
      </c>
      <c r="K6" s="363"/>
      <c r="L6" s="360"/>
      <c r="M6" s="360"/>
      <c r="N6" s="361"/>
      <c r="O6" s="361"/>
      <c r="P6" s="361"/>
      <c r="Q6" s="361"/>
      <c r="R6" s="362"/>
      <c r="S6" s="361"/>
      <c r="T6" s="360" t="s">
        <v>132</v>
      </c>
    </row>
    <row r="7" ht="34.5">
      <c r="A7" s="360" t="s">
        <v>125</v>
      </c>
      <c r="B7" s="360" t="s">
        <v>126</v>
      </c>
      <c r="C7" s="360" t="s">
        <v>127</v>
      </c>
      <c r="D7" s="360" t="s">
        <v>128</v>
      </c>
      <c r="E7" s="360" t="s">
        <v>129</v>
      </c>
      <c r="F7" s="361" t="s">
        <v>130</v>
      </c>
      <c r="G7" s="360" t="s">
        <v>36</v>
      </c>
      <c r="H7" s="361"/>
      <c r="I7" s="361"/>
      <c r="J7" s="361" t="s">
        <v>133</v>
      </c>
      <c r="K7" s="363"/>
      <c r="L7" s="360"/>
      <c r="M7" s="360"/>
      <c r="N7" s="361"/>
      <c r="O7" s="361"/>
      <c r="P7" s="361"/>
      <c r="Q7" s="361"/>
      <c r="R7" s="362"/>
      <c r="S7" s="361"/>
      <c r="T7" s="360" t="s">
        <v>132</v>
      </c>
    </row>
    <row r="8" ht="34.5">
      <c r="A8" s="360" t="s">
        <v>125</v>
      </c>
      <c r="B8" s="360" t="s">
        <v>126</v>
      </c>
      <c r="C8" s="360" t="s">
        <v>127</v>
      </c>
      <c r="D8" s="360" t="s">
        <v>128</v>
      </c>
      <c r="E8" s="360" t="s">
        <v>129</v>
      </c>
      <c r="F8" s="361" t="s">
        <v>130</v>
      </c>
      <c r="G8" s="360" t="s">
        <v>36</v>
      </c>
      <c r="H8" s="361"/>
      <c r="I8" s="361"/>
      <c r="J8" s="361" t="s">
        <v>134</v>
      </c>
      <c r="K8" s="363"/>
      <c r="L8" s="360"/>
      <c r="M8" s="360"/>
      <c r="N8" s="361"/>
      <c r="O8" s="361"/>
      <c r="P8" s="361"/>
      <c r="Q8" s="361"/>
      <c r="R8" s="362"/>
      <c r="S8" s="361"/>
      <c r="T8" s="360" t="s">
        <v>132</v>
      </c>
    </row>
    <row r="9" ht="34.5">
      <c r="A9" s="360" t="s">
        <v>125</v>
      </c>
      <c r="B9" s="360" t="s">
        <v>126</v>
      </c>
      <c r="C9" s="360" t="s">
        <v>127</v>
      </c>
      <c r="D9" s="360" t="s">
        <v>128</v>
      </c>
      <c r="E9" s="360" t="s">
        <v>129</v>
      </c>
      <c r="F9" s="361" t="s">
        <v>130</v>
      </c>
      <c r="G9" s="360" t="s">
        <v>36</v>
      </c>
      <c r="H9" s="361"/>
      <c r="I9" s="361"/>
      <c r="J9" s="361" t="s">
        <v>135</v>
      </c>
      <c r="K9" s="363"/>
      <c r="L9" s="360"/>
      <c r="M9" s="360"/>
      <c r="N9" s="361"/>
      <c r="O9" s="361"/>
      <c r="P9" s="361"/>
      <c r="Q9" s="361"/>
      <c r="R9" s="362"/>
      <c r="S9" s="361"/>
      <c r="T9" s="360" t="s">
        <v>132</v>
      </c>
    </row>
    <row r="10" ht="34.5">
      <c r="A10" s="360" t="s">
        <v>125</v>
      </c>
      <c r="B10" s="360" t="s">
        <v>126</v>
      </c>
      <c r="C10" s="360" t="s">
        <v>127</v>
      </c>
      <c r="D10" s="360" t="s">
        <v>128</v>
      </c>
      <c r="E10" s="360" t="s">
        <v>129</v>
      </c>
      <c r="F10" s="361" t="s">
        <v>130</v>
      </c>
      <c r="G10" s="360" t="s">
        <v>36</v>
      </c>
      <c r="H10" s="361"/>
      <c r="I10" s="361"/>
      <c r="J10" s="361" t="s">
        <v>136</v>
      </c>
      <c r="K10" s="363"/>
      <c r="L10" s="360"/>
      <c r="M10" s="360"/>
      <c r="N10" s="361"/>
      <c r="O10" s="361"/>
      <c r="P10" s="361"/>
      <c r="Q10" s="361"/>
      <c r="R10" s="362"/>
      <c r="S10" s="361"/>
      <c r="T10" s="360" t="s">
        <v>132</v>
      </c>
    </row>
    <row r="11" ht="34.5">
      <c r="A11" s="360" t="s">
        <v>125</v>
      </c>
      <c r="B11" s="360" t="s">
        <v>126</v>
      </c>
      <c r="C11" s="360" t="s">
        <v>127</v>
      </c>
      <c r="D11" s="360" t="s">
        <v>128</v>
      </c>
      <c r="E11" s="360" t="s">
        <v>129</v>
      </c>
      <c r="F11" s="361" t="s">
        <v>130</v>
      </c>
      <c r="G11" s="360" t="s">
        <v>36</v>
      </c>
      <c r="H11" s="361"/>
      <c r="I11" s="361"/>
      <c r="J11" s="361" t="s">
        <v>137</v>
      </c>
      <c r="K11" s="363"/>
      <c r="L11" s="360"/>
      <c r="M11" s="360"/>
      <c r="N11" s="361"/>
      <c r="O11" s="361"/>
      <c r="P11" s="361"/>
      <c r="Q11" s="361"/>
      <c r="R11" s="362"/>
      <c r="S11" s="361"/>
      <c r="T11" s="360" t="s">
        <v>132</v>
      </c>
    </row>
    <row r="12" ht="34.5">
      <c r="A12" s="360" t="s">
        <v>125</v>
      </c>
      <c r="B12" s="360" t="s">
        <v>126</v>
      </c>
      <c r="C12" s="360" t="s">
        <v>127</v>
      </c>
      <c r="D12" s="360" t="s">
        <v>128</v>
      </c>
      <c r="E12" s="360" t="s">
        <v>129</v>
      </c>
      <c r="F12" s="361" t="s">
        <v>130</v>
      </c>
      <c r="G12" s="360" t="s">
        <v>36</v>
      </c>
      <c r="H12" s="361"/>
      <c r="I12" s="361"/>
      <c r="J12" s="361" t="s">
        <v>138</v>
      </c>
      <c r="K12" s="363"/>
      <c r="L12" s="360"/>
      <c r="M12" s="360"/>
      <c r="N12" s="361"/>
      <c r="O12" s="361"/>
      <c r="P12" s="361"/>
      <c r="Q12" s="361"/>
      <c r="R12" s="362"/>
      <c r="S12" s="361"/>
      <c r="T12" s="360" t="s">
        <v>132</v>
      </c>
    </row>
    <row r="13" ht="34.5">
      <c r="A13" s="360" t="s">
        <v>125</v>
      </c>
      <c r="B13" s="360" t="s">
        <v>126</v>
      </c>
      <c r="C13" s="360" t="s">
        <v>127</v>
      </c>
      <c r="D13" s="360" t="s">
        <v>128</v>
      </c>
      <c r="E13" s="360" t="s">
        <v>129</v>
      </c>
      <c r="F13" s="361" t="s">
        <v>130</v>
      </c>
      <c r="G13" s="360" t="s">
        <v>36</v>
      </c>
      <c r="H13" s="361"/>
      <c r="I13" s="361"/>
      <c r="J13" s="361" t="s">
        <v>139</v>
      </c>
      <c r="K13" s="363"/>
      <c r="L13" s="360"/>
      <c r="M13" s="360"/>
      <c r="N13" s="361"/>
      <c r="O13" s="361"/>
      <c r="P13" s="361"/>
      <c r="Q13" s="361"/>
      <c r="R13" s="362"/>
      <c r="S13" s="361"/>
      <c r="T13" s="360" t="s">
        <v>132</v>
      </c>
    </row>
    <row r="14" ht="34.5">
      <c r="A14" s="360" t="s">
        <v>125</v>
      </c>
      <c r="B14" s="360" t="s">
        <v>126</v>
      </c>
      <c r="C14" s="360" t="s">
        <v>127</v>
      </c>
      <c r="D14" s="360" t="s">
        <v>128</v>
      </c>
      <c r="E14" s="360" t="s">
        <v>129</v>
      </c>
      <c r="F14" s="361" t="s">
        <v>130</v>
      </c>
      <c r="G14" s="360" t="s">
        <v>36</v>
      </c>
      <c r="H14" s="361"/>
      <c r="I14" s="361"/>
      <c r="J14" s="361" t="s">
        <v>140</v>
      </c>
      <c r="K14" s="363"/>
      <c r="L14" s="360"/>
      <c r="M14" s="360"/>
      <c r="N14" s="361"/>
      <c r="O14" s="361"/>
      <c r="P14" s="361"/>
      <c r="Q14" s="361"/>
      <c r="R14" s="362"/>
      <c r="S14" s="361"/>
      <c r="T14" s="360" t="s">
        <v>132</v>
      </c>
    </row>
    <row r="15" ht="34.5">
      <c r="A15" s="360" t="s">
        <v>125</v>
      </c>
      <c r="B15" s="360" t="s">
        <v>126</v>
      </c>
      <c r="C15" s="360" t="s">
        <v>127</v>
      </c>
      <c r="D15" s="360" t="s">
        <v>128</v>
      </c>
      <c r="E15" s="360" t="s">
        <v>129</v>
      </c>
      <c r="F15" s="361" t="s">
        <v>130</v>
      </c>
      <c r="G15" s="360" t="s">
        <v>36</v>
      </c>
      <c r="H15" s="361"/>
      <c r="I15" s="361"/>
      <c r="J15" s="361" t="s">
        <v>141</v>
      </c>
      <c r="K15" s="363"/>
      <c r="L15" s="360"/>
      <c r="M15" s="360"/>
      <c r="N15" s="361"/>
      <c r="O15" s="361"/>
      <c r="P15" s="361"/>
      <c r="Q15" s="361"/>
      <c r="R15" s="362"/>
      <c r="S15" s="361"/>
      <c r="T15" s="360" t="s">
        <v>132</v>
      </c>
    </row>
    <row r="16" ht="34.5">
      <c r="A16" s="360" t="s">
        <v>125</v>
      </c>
      <c r="B16" s="360" t="s">
        <v>126</v>
      </c>
      <c r="C16" s="360" t="s">
        <v>142</v>
      </c>
      <c r="D16" s="360" t="s">
        <v>128</v>
      </c>
      <c r="E16" s="360" t="s">
        <v>143</v>
      </c>
      <c r="F16" s="361" t="s">
        <v>144</v>
      </c>
      <c r="G16" s="360" t="s">
        <v>145</v>
      </c>
      <c r="H16" s="361"/>
      <c r="I16" s="361"/>
      <c r="J16" s="361" t="s">
        <v>146</v>
      </c>
      <c r="K16" s="363"/>
      <c r="L16" s="360"/>
      <c r="M16" s="360"/>
      <c r="N16" s="361"/>
      <c r="O16" s="361"/>
      <c r="P16" s="361"/>
      <c r="Q16" s="361"/>
      <c r="R16" s="362"/>
      <c r="S16" s="361"/>
      <c r="T16" s="360" t="s">
        <v>132</v>
      </c>
    </row>
    <row r="17" ht="34.5">
      <c r="A17" s="360" t="s">
        <v>125</v>
      </c>
      <c r="B17" s="360" t="s">
        <v>126</v>
      </c>
      <c r="C17" s="360" t="s">
        <v>142</v>
      </c>
      <c r="D17" s="360" t="s">
        <v>128</v>
      </c>
      <c r="E17" s="360" t="s">
        <v>143</v>
      </c>
      <c r="F17" s="361" t="s">
        <v>144</v>
      </c>
      <c r="G17" s="360" t="s">
        <v>145</v>
      </c>
      <c r="H17" s="361"/>
      <c r="I17" s="361"/>
      <c r="J17" s="361" t="s">
        <v>147</v>
      </c>
      <c r="K17" s="363"/>
      <c r="L17" s="360"/>
      <c r="M17" s="360"/>
      <c r="N17" s="361"/>
      <c r="O17" s="361"/>
      <c r="P17" s="361"/>
      <c r="Q17" s="361"/>
      <c r="R17" s="362"/>
      <c r="S17" s="361"/>
      <c r="T17" s="360" t="s">
        <v>132</v>
      </c>
    </row>
    <row r="18" ht="34.5">
      <c r="A18" s="360" t="s">
        <v>125</v>
      </c>
      <c r="B18" s="360" t="s">
        <v>126</v>
      </c>
      <c r="C18" s="360" t="s">
        <v>142</v>
      </c>
      <c r="D18" s="360" t="s">
        <v>128</v>
      </c>
      <c r="E18" s="360" t="s">
        <v>143</v>
      </c>
      <c r="F18" s="361" t="s">
        <v>144</v>
      </c>
      <c r="G18" s="360" t="s">
        <v>145</v>
      </c>
      <c r="H18" s="361"/>
      <c r="I18" s="361"/>
      <c r="J18" s="361" t="s">
        <v>148</v>
      </c>
      <c r="K18" s="363"/>
      <c r="L18" s="360"/>
      <c r="M18" s="360"/>
      <c r="N18" s="361"/>
      <c r="O18" s="361"/>
      <c r="P18" s="361"/>
      <c r="Q18" s="361"/>
      <c r="R18" s="362"/>
      <c r="S18" s="361"/>
      <c r="T18" s="360" t="s">
        <v>132</v>
      </c>
    </row>
    <row r="19" ht="34.5">
      <c r="A19" s="360" t="s">
        <v>125</v>
      </c>
      <c r="B19" s="360" t="s">
        <v>126</v>
      </c>
      <c r="C19" s="360" t="s">
        <v>142</v>
      </c>
      <c r="D19" s="360" t="s">
        <v>128</v>
      </c>
      <c r="E19" s="360" t="s">
        <v>143</v>
      </c>
      <c r="F19" s="361" t="s">
        <v>144</v>
      </c>
      <c r="G19" s="360" t="s">
        <v>145</v>
      </c>
      <c r="H19" s="361"/>
      <c r="I19" s="361"/>
      <c r="J19" s="361" t="s">
        <v>149</v>
      </c>
      <c r="K19" s="363"/>
      <c r="L19" s="360"/>
      <c r="M19" s="360"/>
      <c r="N19" s="361"/>
      <c r="O19" s="361"/>
      <c r="P19" s="361"/>
      <c r="Q19" s="361"/>
      <c r="R19" s="362"/>
      <c r="S19" s="361"/>
      <c r="T19" s="360" t="s">
        <v>132</v>
      </c>
    </row>
    <row r="20" ht="34.5">
      <c r="A20" s="360" t="s">
        <v>125</v>
      </c>
      <c r="B20" s="360" t="s">
        <v>126</v>
      </c>
      <c r="C20" s="360" t="s">
        <v>142</v>
      </c>
      <c r="D20" s="360" t="s">
        <v>128</v>
      </c>
      <c r="E20" s="360" t="s">
        <v>143</v>
      </c>
      <c r="F20" s="361" t="s">
        <v>144</v>
      </c>
      <c r="G20" s="360" t="s">
        <v>145</v>
      </c>
      <c r="H20" s="361"/>
      <c r="I20" s="361"/>
      <c r="J20" s="361" t="s">
        <v>150</v>
      </c>
      <c r="K20" s="363"/>
      <c r="L20" s="360"/>
      <c r="M20" s="360"/>
      <c r="N20" s="361"/>
      <c r="O20" s="361"/>
      <c r="P20" s="361"/>
      <c r="Q20" s="361"/>
      <c r="R20" s="362"/>
      <c r="S20" s="361"/>
      <c r="T20" s="360" t="s">
        <v>132</v>
      </c>
    </row>
    <row r="21" ht="34.5">
      <c r="A21" s="360" t="s">
        <v>125</v>
      </c>
      <c r="B21" s="360" t="s">
        <v>126</v>
      </c>
      <c r="C21" s="360" t="s">
        <v>142</v>
      </c>
      <c r="D21" s="360" t="s">
        <v>128</v>
      </c>
      <c r="E21" s="360" t="s">
        <v>143</v>
      </c>
      <c r="F21" s="361" t="s">
        <v>144</v>
      </c>
      <c r="G21" s="360" t="s">
        <v>145</v>
      </c>
      <c r="H21" s="361"/>
      <c r="I21" s="361"/>
      <c r="J21" s="361" t="s">
        <v>151</v>
      </c>
      <c r="K21" s="363"/>
      <c r="L21" s="360"/>
      <c r="M21" s="360"/>
      <c r="N21" s="361"/>
      <c r="O21" s="361"/>
      <c r="P21" s="361"/>
      <c r="Q21" s="361"/>
      <c r="R21" s="362"/>
      <c r="S21" s="361"/>
      <c r="T21" s="360" t="s">
        <v>132</v>
      </c>
    </row>
    <row r="22" ht="34.5">
      <c r="A22" s="360" t="s">
        <v>125</v>
      </c>
      <c r="B22" s="360" t="s">
        <v>126</v>
      </c>
      <c r="C22" s="360" t="s">
        <v>142</v>
      </c>
      <c r="D22" s="360" t="s">
        <v>128</v>
      </c>
      <c r="E22" s="360" t="s">
        <v>143</v>
      </c>
      <c r="F22" s="361" t="s">
        <v>144</v>
      </c>
      <c r="G22" s="360" t="s">
        <v>145</v>
      </c>
      <c r="H22" s="361"/>
      <c r="I22" s="361"/>
      <c r="J22" s="361" t="s">
        <v>152</v>
      </c>
      <c r="K22" s="363"/>
      <c r="L22" s="360"/>
      <c r="M22" s="360"/>
      <c r="N22" s="361"/>
      <c r="O22" s="361"/>
      <c r="P22" s="361"/>
      <c r="Q22" s="361"/>
      <c r="R22" s="362"/>
      <c r="S22" s="361"/>
      <c r="T22" s="360" t="s">
        <v>132</v>
      </c>
    </row>
    <row r="23" ht="34.5">
      <c r="A23" s="360" t="s">
        <v>125</v>
      </c>
      <c r="B23" s="360" t="s">
        <v>126</v>
      </c>
      <c r="C23" s="360" t="s">
        <v>142</v>
      </c>
      <c r="D23" s="360" t="s">
        <v>128</v>
      </c>
      <c r="E23" s="360" t="s">
        <v>143</v>
      </c>
      <c r="F23" s="361" t="s">
        <v>144</v>
      </c>
      <c r="G23" s="360" t="s">
        <v>145</v>
      </c>
      <c r="H23" s="361"/>
      <c r="I23" s="361"/>
      <c r="J23" s="361" t="s">
        <v>153</v>
      </c>
      <c r="K23" s="363"/>
      <c r="L23" s="360"/>
      <c r="M23" s="360"/>
      <c r="N23" s="361"/>
      <c r="O23" s="361"/>
      <c r="P23" s="361"/>
      <c r="Q23" s="361"/>
      <c r="R23" s="362"/>
      <c r="S23" s="361"/>
      <c r="T23" s="360" t="s">
        <v>132</v>
      </c>
    </row>
    <row r="24" ht="34.5">
      <c r="A24" s="360" t="s">
        <v>125</v>
      </c>
      <c r="B24" s="360" t="s">
        <v>126</v>
      </c>
      <c r="C24" s="360" t="s">
        <v>142</v>
      </c>
      <c r="D24" s="360" t="s">
        <v>128</v>
      </c>
      <c r="E24" s="360" t="s">
        <v>143</v>
      </c>
      <c r="F24" s="361" t="s">
        <v>144</v>
      </c>
      <c r="G24" s="360" t="s">
        <v>145</v>
      </c>
      <c r="H24" s="361"/>
      <c r="I24" s="361"/>
      <c r="J24" s="361" t="s">
        <v>154</v>
      </c>
      <c r="K24" s="363"/>
      <c r="L24" s="360"/>
      <c r="M24" s="360"/>
      <c r="N24" s="361"/>
      <c r="O24" s="361"/>
      <c r="P24" s="361"/>
      <c r="Q24" s="361"/>
      <c r="R24" s="362"/>
      <c r="S24" s="361"/>
      <c r="T24" s="360" t="s">
        <v>132</v>
      </c>
    </row>
    <row r="25" ht="34.5">
      <c r="A25" s="360" t="s">
        <v>125</v>
      </c>
      <c r="B25" s="360" t="s">
        <v>126</v>
      </c>
      <c r="C25" s="360" t="s">
        <v>142</v>
      </c>
      <c r="D25" s="360" t="s">
        <v>128</v>
      </c>
      <c r="E25" s="360" t="s">
        <v>143</v>
      </c>
      <c r="F25" s="361" t="s">
        <v>144</v>
      </c>
      <c r="G25" s="360" t="s">
        <v>145</v>
      </c>
      <c r="H25" s="361"/>
      <c r="I25" s="361"/>
      <c r="J25" s="361" t="s">
        <v>155</v>
      </c>
      <c r="K25" s="363"/>
      <c r="L25" s="360"/>
      <c r="M25" s="360"/>
      <c r="N25" s="361"/>
      <c r="O25" s="361"/>
      <c r="P25" s="361"/>
      <c r="Q25" s="361"/>
      <c r="R25" s="362"/>
      <c r="S25" s="361"/>
      <c r="T25" s="360" t="s">
        <v>132</v>
      </c>
    </row>
    <row r="26" ht="34.5">
      <c r="A26" s="360" t="s">
        <v>125</v>
      </c>
      <c r="B26" s="360" t="s">
        <v>126</v>
      </c>
      <c r="C26" s="360" t="s">
        <v>142</v>
      </c>
      <c r="D26" s="360" t="s">
        <v>128</v>
      </c>
      <c r="E26" s="360" t="s">
        <v>143</v>
      </c>
      <c r="F26" s="361" t="s">
        <v>144</v>
      </c>
      <c r="G26" s="360" t="s">
        <v>145</v>
      </c>
      <c r="H26" s="361"/>
      <c r="I26" s="361"/>
      <c r="J26" s="361" t="s">
        <v>156</v>
      </c>
      <c r="K26" s="363"/>
      <c r="L26" s="360"/>
      <c r="M26" s="360"/>
      <c r="N26" s="361"/>
      <c r="O26" s="361"/>
      <c r="P26" s="361"/>
      <c r="Q26" s="361"/>
      <c r="R26" s="362"/>
      <c r="S26" s="361"/>
      <c r="T26" s="360" t="s">
        <v>132</v>
      </c>
    </row>
    <row r="27" ht="34.5">
      <c r="A27" s="360" t="s">
        <v>125</v>
      </c>
      <c r="B27" s="360" t="s">
        <v>126</v>
      </c>
      <c r="C27" s="360" t="s">
        <v>142</v>
      </c>
      <c r="D27" s="360" t="s">
        <v>128</v>
      </c>
      <c r="E27" s="360" t="s">
        <v>143</v>
      </c>
      <c r="F27" s="361" t="s">
        <v>144</v>
      </c>
      <c r="G27" s="360" t="s">
        <v>145</v>
      </c>
      <c r="H27" s="361"/>
      <c r="I27" s="361"/>
      <c r="J27" s="361" t="s">
        <v>157</v>
      </c>
      <c r="K27" s="363"/>
      <c r="L27" s="360"/>
      <c r="M27" s="360"/>
      <c r="N27" s="361"/>
      <c r="O27" s="361"/>
      <c r="P27" s="361"/>
      <c r="Q27" s="361"/>
      <c r="R27" s="362"/>
      <c r="S27" s="361"/>
      <c r="T27" s="360" t="s">
        <v>132</v>
      </c>
    </row>
    <row r="28" ht="34.5">
      <c r="A28" s="360" t="s">
        <v>125</v>
      </c>
      <c r="B28" s="360" t="s">
        <v>126</v>
      </c>
      <c r="C28" s="360" t="s">
        <v>142</v>
      </c>
      <c r="D28" s="360" t="s">
        <v>128</v>
      </c>
      <c r="E28" s="360" t="s">
        <v>143</v>
      </c>
      <c r="F28" s="361" t="s">
        <v>144</v>
      </c>
      <c r="G28" s="360" t="s">
        <v>145</v>
      </c>
      <c r="H28" s="361"/>
      <c r="I28" s="361"/>
      <c r="J28" s="361" t="s">
        <v>158</v>
      </c>
      <c r="K28" s="363"/>
      <c r="L28" s="360"/>
      <c r="M28" s="360"/>
      <c r="N28" s="361"/>
      <c r="O28" s="361"/>
      <c r="P28" s="361"/>
      <c r="Q28" s="361"/>
      <c r="R28" s="362"/>
      <c r="S28" s="361"/>
      <c r="T28" s="360" t="s">
        <v>132</v>
      </c>
    </row>
    <row r="29" ht="34.5">
      <c r="A29" s="360" t="s">
        <v>125</v>
      </c>
      <c r="B29" s="360" t="s">
        <v>126</v>
      </c>
      <c r="C29" s="360" t="s">
        <v>142</v>
      </c>
      <c r="D29" s="360" t="s">
        <v>128</v>
      </c>
      <c r="E29" s="360" t="s">
        <v>143</v>
      </c>
      <c r="F29" s="361" t="s">
        <v>144</v>
      </c>
      <c r="G29" s="360" t="s">
        <v>145</v>
      </c>
      <c r="H29" s="361"/>
      <c r="I29" s="361"/>
      <c r="J29" s="361" t="s">
        <v>159</v>
      </c>
      <c r="K29" s="363"/>
      <c r="L29" s="360"/>
      <c r="M29" s="360"/>
      <c r="N29" s="361"/>
      <c r="O29" s="361"/>
      <c r="P29" s="361"/>
      <c r="Q29" s="361"/>
      <c r="R29" s="362"/>
      <c r="S29" s="361"/>
      <c r="T29" s="360" t="s">
        <v>132</v>
      </c>
    </row>
    <row r="30" ht="34.5">
      <c r="A30" s="360" t="s">
        <v>125</v>
      </c>
      <c r="B30" s="360" t="s">
        <v>126</v>
      </c>
      <c r="C30" s="360" t="s">
        <v>160</v>
      </c>
      <c r="D30" s="360" t="s">
        <v>128</v>
      </c>
      <c r="E30" s="360" t="s">
        <v>143</v>
      </c>
      <c r="F30" s="361" t="s">
        <v>144</v>
      </c>
      <c r="G30" s="360" t="s">
        <v>145</v>
      </c>
      <c r="H30" s="361"/>
      <c r="I30" s="361"/>
      <c r="J30" s="361" t="s">
        <v>161</v>
      </c>
      <c r="K30" s="363"/>
      <c r="L30" s="360"/>
      <c r="M30" s="360"/>
      <c r="N30" s="361"/>
      <c r="O30" s="361"/>
      <c r="P30" s="361"/>
      <c r="Q30" s="361"/>
      <c r="R30" s="362"/>
      <c r="S30" s="361"/>
      <c r="T30" s="360" t="s">
        <v>132</v>
      </c>
    </row>
    <row r="31" ht="34.5">
      <c r="A31" s="360" t="s">
        <v>125</v>
      </c>
      <c r="B31" s="360" t="s">
        <v>126</v>
      </c>
      <c r="C31" s="360" t="s">
        <v>160</v>
      </c>
      <c r="D31" s="360" t="s">
        <v>128</v>
      </c>
      <c r="E31" s="360" t="s">
        <v>143</v>
      </c>
      <c r="F31" s="361" t="s">
        <v>144</v>
      </c>
      <c r="G31" s="360" t="s">
        <v>145</v>
      </c>
      <c r="H31" s="361"/>
      <c r="I31" s="361"/>
      <c r="J31" s="361" t="s">
        <v>162</v>
      </c>
      <c r="K31" s="363"/>
      <c r="L31" s="360"/>
      <c r="M31" s="360"/>
      <c r="N31" s="361"/>
      <c r="O31" s="361"/>
      <c r="P31" s="361"/>
      <c r="Q31" s="361"/>
      <c r="R31" s="362"/>
      <c r="S31" s="361"/>
      <c r="T31" s="360" t="s">
        <v>132</v>
      </c>
    </row>
    <row r="32" ht="34.5">
      <c r="A32" s="360" t="s">
        <v>125</v>
      </c>
      <c r="B32" s="360" t="s">
        <v>126</v>
      </c>
      <c r="C32" s="360" t="s">
        <v>160</v>
      </c>
      <c r="D32" s="360" t="s">
        <v>128</v>
      </c>
      <c r="E32" s="360" t="s">
        <v>143</v>
      </c>
      <c r="F32" s="361" t="s">
        <v>144</v>
      </c>
      <c r="G32" s="360" t="s">
        <v>145</v>
      </c>
      <c r="H32" s="361"/>
      <c r="I32" s="361"/>
      <c r="J32" s="361" t="s">
        <v>163</v>
      </c>
      <c r="K32" s="363"/>
      <c r="L32" s="360"/>
      <c r="M32" s="360"/>
      <c r="N32" s="361"/>
      <c r="O32" s="361"/>
      <c r="P32" s="361"/>
      <c r="Q32" s="361"/>
      <c r="R32" s="362"/>
      <c r="S32" s="361"/>
      <c r="T32" s="360" t="s">
        <v>132</v>
      </c>
    </row>
    <row r="33" ht="34.5">
      <c r="A33" s="360" t="s">
        <v>125</v>
      </c>
      <c r="B33" s="360" t="s">
        <v>126</v>
      </c>
      <c r="C33" s="360" t="s">
        <v>160</v>
      </c>
      <c r="D33" s="360" t="s">
        <v>128</v>
      </c>
      <c r="E33" s="360" t="s">
        <v>143</v>
      </c>
      <c r="F33" s="361" t="s">
        <v>144</v>
      </c>
      <c r="G33" s="360" t="s">
        <v>145</v>
      </c>
      <c r="H33" s="361"/>
      <c r="I33" s="361"/>
      <c r="J33" s="361" t="s">
        <v>164</v>
      </c>
      <c r="K33" s="363"/>
      <c r="L33" s="360"/>
      <c r="M33" s="360"/>
      <c r="N33" s="361"/>
      <c r="O33" s="361"/>
      <c r="P33" s="361"/>
      <c r="Q33" s="361"/>
      <c r="R33" s="362"/>
      <c r="S33" s="361"/>
      <c r="T33" s="360" t="s">
        <v>132</v>
      </c>
    </row>
    <row r="34" ht="34.5">
      <c r="A34" s="360" t="s">
        <v>125</v>
      </c>
      <c r="B34" s="360" t="s">
        <v>126</v>
      </c>
      <c r="C34" s="360" t="s">
        <v>160</v>
      </c>
      <c r="D34" s="360" t="s">
        <v>128</v>
      </c>
      <c r="E34" s="360" t="s">
        <v>143</v>
      </c>
      <c r="F34" s="361" t="s">
        <v>144</v>
      </c>
      <c r="G34" s="360" t="s">
        <v>145</v>
      </c>
      <c r="H34" s="361"/>
      <c r="I34" s="361"/>
      <c r="J34" s="361" t="s">
        <v>165</v>
      </c>
      <c r="K34" s="363"/>
      <c r="L34" s="360"/>
      <c r="M34" s="360"/>
      <c r="N34" s="361"/>
      <c r="O34" s="361"/>
      <c r="P34" s="361"/>
      <c r="Q34" s="361"/>
      <c r="R34" s="362"/>
      <c r="S34" s="361"/>
      <c r="T34" s="360" t="s">
        <v>132</v>
      </c>
    </row>
    <row r="35" ht="34.5">
      <c r="A35" s="360" t="s">
        <v>125</v>
      </c>
      <c r="B35" s="360" t="s">
        <v>126</v>
      </c>
      <c r="C35" s="360" t="s">
        <v>160</v>
      </c>
      <c r="D35" s="360" t="s">
        <v>128</v>
      </c>
      <c r="E35" s="360" t="s">
        <v>143</v>
      </c>
      <c r="F35" s="361" t="s">
        <v>144</v>
      </c>
      <c r="G35" s="360" t="s">
        <v>145</v>
      </c>
      <c r="H35" s="361"/>
      <c r="I35" s="361"/>
      <c r="J35" s="361" t="s">
        <v>166</v>
      </c>
      <c r="K35" s="363"/>
      <c r="L35" s="360"/>
      <c r="M35" s="360"/>
      <c r="N35" s="361"/>
      <c r="O35" s="361"/>
      <c r="P35" s="361"/>
      <c r="Q35" s="361"/>
      <c r="R35" s="362"/>
      <c r="S35" s="361"/>
      <c r="T35" s="360" t="s">
        <v>132</v>
      </c>
    </row>
    <row r="36" ht="34.5">
      <c r="A36" s="360" t="s">
        <v>125</v>
      </c>
      <c r="B36" s="360" t="s">
        <v>126</v>
      </c>
      <c r="C36" s="360" t="s">
        <v>160</v>
      </c>
      <c r="D36" s="360" t="s">
        <v>128</v>
      </c>
      <c r="E36" s="360" t="s">
        <v>167</v>
      </c>
      <c r="F36" s="361" t="s">
        <v>168</v>
      </c>
      <c r="G36" s="360" t="s">
        <v>145</v>
      </c>
      <c r="H36" s="361"/>
      <c r="I36" s="361"/>
      <c r="J36" s="361" t="s">
        <v>169</v>
      </c>
      <c r="K36" s="363"/>
      <c r="L36" s="360"/>
      <c r="M36" s="360"/>
      <c r="N36" s="361"/>
      <c r="O36" s="361"/>
      <c r="P36" s="361"/>
      <c r="Q36" s="361"/>
      <c r="R36" s="362"/>
      <c r="S36" s="361"/>
      <c r="T36" s="360" t="s">
        <v>132</v>
      </c>
    </row>
    <row r="37" ht="34.5">
      <c r="A37" s="360" t="s">
        <v>125</v>
      </c>
      <c r="B37" s="360" t="s">
        <v>126</v>
      </c>
      <c r="C37" s="360" t="s">
        <v>160</v>
      </c>
      <c r="D37" s="360" t="s">
        <v>128</v>
      </c>
      <c r="E37" s="360" t="s">
        <v>167</v>
      </c>
      <c r="F37" s="361" t="s">
        <v>168</v>
      </c>
      <c r="G37" s="360" t="s">
        <v>145</v>
      </c>
      <c r="H37" s="361"/>
      <c r="I37" s="361"/>
      <c r="J37" s="361" t="s">
        <v>170</v>
      </c>
      <c r="K37" s="363"/>
      <c r="L37" s="360"/>
      <c r="M37" s="360"/>
      <c r="N37" s="361"/>
      <c r="O37" s="361"/>
      <c r="P37" s="361"/>
      <c r="Q37" s="361"/>
      <c r="R37" s="362"/>
      <c r="S37" s="361"/>
      <c r="T37" s="360" t="s">
        <v>132</v>
      </c>
    </row>
    <row r="38" ht="34.5">
      <c r="A38" s="360" t="s">
        <v>125</v>
      </c>
      <c r="B38" s="360" t="s">
        <v>126</v>
      </c>
      <c r="C38" s="360" t="s">
        <v>160</v>
      </c>
      <c r="D38" s="360" t="s">
        <v>128</v>
      </c>
      <c r="E38" s="360" t="s">
        <v>167</v>
      </c>
      <c r="F38" s="361" t="s">
        <v>168</v>
      </c>
      <c r="G38" s="360" t="s">
        <v>145</v>
      </c>
      <c r="H38" s="361"/>
      <c r="I38" s="361"/>
      <c r="J38" s="361" t="s">
        <v>171</v>
      </c>
      <c r="K38" s="363"/>
      <c r="L38" s="360"/>
      <c r="M38" s="360"/>
      <c r="N38" s="361"/>
      <c r="O38" s="361"/>
      <c r="P38" s="361"/>
      <c r="Q38" s="361"/>
      <c r="R38" s="362"/>
      <c r="S38" s="361"/>
      <c r="T38" s="360" t="s">
        <v>132</v>
      </c>
    </row>
    <row r="39" ht="34.5">
      <c r="A39" s="360" t="s">
        <v>125</v>
      </c>
      <c r="B39" s="360" t="s">
        <v>126</v>
      </c>
      <c r="C39" s="360" t="s">
        <v>160</v>
      </c>
      <c r="D39" s="360" t="s">
        <v>128</v>
      </c>
      <c r="E39" s="360" t="s">
        <v>167</v>
      </c>
      <c r="F39" s="361" t="s">
        <v>168</v>
      </c>
      <c r="G39" s="360" t="s">
        <v>145</v>
      </c>
      <c r="H39" s="361"/>
      <c r="I39" s="361"/>
      <c r="J39" s="361" t="s">
        <v>172</v>
      </c>
      <c r="K39" s="363"/>
      <c r="L39" s="360"/>
      <c r="M39" s="360"/>
      <c r="N39" s="361"/>
      <c r="O39" s="361"/>
      <c r="P39" s="361"/>
      <c r="Q39" s="361"/>
      <c r="R39" s="362"/>
      <c r="S39" s="361"/>
      <c r="T39" s="360" t="s">
        <v>132</v>
      </c>
    </row>
    <row r="40" ht="34.5">
      <c r="A40" s="360" t="s">
        <v>125</v>
      </c>
      <c r="B40" s="360" t="s">
        <v>126</v>
      </c>
      <c r="C40" s="360" t="s">
        <v>160</v>
      </c>
      <c r="D40" s="360" t="s">
        <v>128</v>
      </c>
      <c r="E40" s="360" t="s">
        <v>167</v>
      </c>
      <c r="F40" s="361" t="s">
        <v>168</v>
      </c>
      <c r="G40" s="360" t="s">
        <v>145</v>
      </c>
      <c r="H40" s="361"/>
      <c r="I40" s="361"/>
      <c r="J40" s="361" t="s">
        <v>173</v>
      </c>
      <c r="K40" s="363"/>
      <c r="L40" s="360"/>
      <c r="M40" s="360"/>
      <c r="N40" s="361"/>
      <c r="O40" s="361"/>
      <c r="P40" s="361"/>
      <c r="Q40" s="361"/>
      <c r="R40" s="362"/>
      <c r="S40" s="361"/>
      <c r="T40" s="360" t="s">
        <v>132</v>
      </c>
    </row>
    <row r="41" ht="34.5">
      <c r="A41" s="360" t="s">
        <v>125</v>
      </c>
      <c r="B41" s="360" t="s">
        <v>126</v>
      </c>
      <c r="C41" s="360" t="s">
        <v>160</v>
      </c>
      <c r="D41" s="360" t="s">
        <v>128</v>
      </c>
      <c r="E41" s="360" t="s">
        <v>167</v>
      </c>
      <c r="F41" s="361" t="s">
        <v>168</v>
      </c>
      <c r="G41" s="360" t="s">
        <v>145</v>
      </c>
      <c r="H41" s="361"/>
      <c r="I41" s="361"/>
      <c r="J41" s="361" t="s">
        <v>174</v>
      </c>
      <c r="K41" s="363"/>
      <c r="L41" s="360"/>
      <c r="M41" s="360"/>
      <c r="N41" s="361"/>
      <c r="O41" s="361"/>
      <c r="P41" s="361"/>
      <c r="Q41" s="361"/>
      <c r="R41" s="362"/>
      <c r="S41" s="361"/>
      <c r="T41" s="360" t="s">
        <v>132</v>
      </c>
    </row>
    <row r="42" ht="34.5">
      <c r="A42" s="360" t="s">
        <v>125</v>
      </c>
      <c r="B42" s="360" t="s">
        <v>126</v>
      </c>
      <c r="C42" s="360" t="s">
        <v>160</v>
      </c>
      <c r="D42" s="360" t="s">
        <v>128</v>
      </c>
      <c r="E42" s="360" t="s">
        <v>167</v>
      </c>
      <c r="F42" s="361" t="s">
        <v>168</v>
      </c>
      <c r="G42" s="360" t="s">
        <v>145</v>
      </c>
      <c r="H42" s="361"/>
      <c r="I42" s="361"/>
      <c r="J42" s="361" t="s">
        <v>175</v>
      </c>
      <c r="K42" s="363"/>
      <c r="L42" s="360"/>
      <c r="M42" s="360"/>
      <c r="N42" s="361"/>
      <c r="O42" s="361"/>
      <c r="P42" s="361"/>
      <c r="Q42" s="361"/>
      <c r="R42" s="362"/>
      <c r="S42" s="361"/>
      <c r="T42" s="360" t="s">
        <v>132</v>
      </c>
    </row>
    <row r="43" ht="34.5">
      <c r="A43" s="360" t="s">
        <v>125</v>
      </c>
      <c r="B43" s="360" t="s">
        <v>126</v>
      </c>
      <c r="C43" s="360" t="s">
        <v>160</v>
      </c>
      <c r="D43" s="360" t="s">
        <v>128</v>
      </c>
      <c r="E43" s="360" t="s">
        <v>167</v>
      </c>
      <c r="F43" s="361" t="s">
        <v>168</v>
      </c>
      <c r="G43" s="360" t="s">
        <v>145</v>
      </c>
      <c r="H43" s="361"/>
      <c r="I43" s="361"/>
      <c r="J43" s="361" t="s">
        <v>176</v>
      </c>
      <c r="K43" s="363"/>
      <c r="L43" s="360"/>
      <c r="M43" s="360"/>
      <c r="N43" s="361"/>
      <c r="O43" s="361"/>
      <c r="P43" s="361"/>
      <c r="Q43" s="361"/>
      <c r="R43" s="362"/>
      <c r="S43" s="361"/>
      <c r="T43" s="360" t="s">
        <v>132</v>
      </c>
    </row>
    <row r="44" ht="34.5">
      <c r="A44" s="360" t="s">
        <v>125</v>
      </c>
      <c r="B44" s="360" t="s">
        <v>126</v>
      </c>
      <c r="C44" s="360" t="s">
        <v>177</v>
      </c>
      <c r="D44" s="360" t="s">
        <v>128</v>
      </c>
      <c r="E44" s="360" t="s">
        <v>167</v>
      </c>
      <c r="F44" s="361" t="s">
        <v>168</v>
      </c>
      <c r="G44" s="360" t="s">
        <v>145</v>
      </c>
      <c r="H44" s="361"/>
      <c r="I44" s="361"/>
      <c r="J44" s="361" t="s">
        <v>178</v>
      </c>
      <c r="K44" s="363"/>
      <c r="L44" s="360"/>
      <c r="M44" s="360"/>
      <c r="N44" s="361"/>
      <c r="O44" s="361"/>
      <c r="P44" s="361"/>
      <c r="Q44" s="361"/>
      <c r="R44" s="362"/>
      <c r="S44" s="361"/>
      <c r="T44" s="360" t="s">
        <v>132</v>
      </c>
    </row>
    <row r="45" ht="34.5">
      <c r="A45" s="360" t="s">
        <v>125</v>
      </c>
      <c r="B45" s="360" t="s">
        <v>126</v>
      </c>
      <c r="C45" s="360" t="s">
        <v>177</v>
      </c>
      <c r="D45" s="360" t="s">
        <v>128</v>
      </c>
      <c r="E45" s="360" t="s">
        <v>167</v>
      </c>
      <c r="F45" s="361" t="s">
        <v>168</v>
      </c>
      <c r="G45" s="360" t="s">
        <v>145</v>
      </c>
      <c r="H45" s="361"/>
      <c r="I45" s="361"/>
      <c r="J45" s="361" t="s">
        <v>179</v>
      </c>
      <c r="K45" s="363"/>
      <c r="L45" s="360"/>
      <c r="M45" s="360"/>
      <c r="N45" s="361"/>
      <c r="O45" s="361"/>
      <c r="P45" s="361"/>
      <c r="Q45" s="361"/>
      <c r="R45" s="362"/>
      <c r="S45" s="361"/>
      <c r="T45" s="360" t="s">
        <v>132</v>
      </c>
    </row>
    <row r="46" ht="34.5">
      <c r="A46" s="360" t="s">
        <v>125</v>
      </c>
      <c r="B46" s="360" t="s">
        <v>126</v>
      </c>
      <c r="C46" s="360" t="s">
        <v>177</v>
      </c>
      <c r="D46" s="360" t="s">
        <v>128</v>
      </c>
      <c r="E46" s="360" t="s">
        <v>167</v>
      </c>
      <c r="F46" s="361" t="s">
        <v>168</v>
      </c>
      <c r="G46" s="360" t="s">
        <v>145</v>
      </c>
      <c r="H46" s="361"/>
      <c r="I46" s="361"/>
      <c r="J46" s="361" t="s">
        <v>180</v>
      </c>
      <c r="K46" s="363"/>
      <c r="L46" s="360"/>
      <c r="M46" s="360"/>
      <c r="N46" s="361"/>
      <c r="O46" s="361"/>
      <c r="P46" s="361"/>
      <c r="Q46" s="361"/>
      <c r="R46" s="362"/>
      <c r="S46" s="361"/>
      <c r="T46" s="360" t="s">
        <v>132</v>
      </c>
    </row>
    <row r="47" ht="34.5">
      <c r="A47" s="360" t="s">
        <v>125</v>
      </c>
      <c r="B47" s="360" t="s">
        <v>126</v>
      </c>
      <c r="C47" s="360" t="s">
        <v>177</v>
      </c>
      <c r="D47" s="360" t="s">
        <v>128</v>
      </c>
      <c r="E47" s="360" t="s">
        <v>167</v>
      </c>
      <c r="F47" s="361" t="s">
        <v>168</v>
      </c>
      <c r="G47" s="360" t="s">
        <v>145</v>
      </c>
      <c r="H47" s="361"/>
      <c r="I47" s="361"/>
      <c r="J47" s="361" t="s">
        <v>181</v>
      </c>
      <c r="K47" s="363"/>
      <c r="L47" s="360"/>
      <c r="M47" s="360"/>
      <c r="N47" s="361"/>
      <c r="O47" s="361"/>
      <c r="P47" s="361"/>
      <c r="Q47" s="361"/>
      <c r="R47" s="362"/>
      <c r="S47" s="361"/>
      <c r="T47" s="360" t="s">
        <v>132</v>
      </c>
    </row>
    <row r="48" ht="34.5">
      <c r="A48" s="360" t="s">
        <v>125</v>
      </c>
      <c r="B48" s="360" t="s">
        <v>126</v>
      </c>
      <c r="C48" s="360" t="s">
        <v>177</v>
      </c>
      <c r="D48" s="360" t="s">
        <v>128</v>
      </c>
      <c r="E48" s="360" t="s">
        <v>167</v>
      </c>
      <c r="F48" s="361" t="s">
        <v>168</v>
      </c>
      <c r="G48" s="360" t="s">
        <v>145</v>
      </c>
      <c r="H48" s="361"/>
      <c r="I48" s="361"/>
      <c r="J48" s="361" t="s">
        <v>182</v>
      </c>
      <c r="K48" s="363"/>
      <c r="L48" s="360"/>
      <c r="M48" s="360"/>
      <c r="N48" s="361"/>
      <c r="O48" s="361"/>
      <c r="P48" s="361"/>
      <c r="Q48" s="361"/>
      <c r="R48" s="362"/>
      <c r="S48" s="361"/>
      <c r="T48" s="360" t="s">
        <v>132</v>
      </c>
    </row>
    <row r="49" ht="34.5">
      <c r="A49" s="360" t="s">
        <v>125</v>
      </c>
      <c r="B49" s="360" t="s">
        <v>126</v>
      </c>
      <c r="C49" s="360" t="s">
        <v>177</v>
      </c>
      <c r="D49" s="360" t="s">
        <v>128</v>
      </c>
      <c r="E49" s="360" t="s">
        <v>167</v>
      </c>
      <c r="F49" s="361" t="s">
        <v>168</v>
      </c>
      <c r="G49" s="360" t="s">
        <v>145</v>
      </c>
      <c r="H49" s="361"/>
      <c r="I49" s="361"/>
      <c r="J49" s="361" t="s">
        <v>183</v>
      </c>
      <c r="K49" s="363"/>
      <c r="L49" s="360"/>
      <c r="M49" s="360"/>
      <c r="N49" s="361"/>
      <c r="O49" s="361"/>
      <c r="P49" s="361"/>
      <c r="Q49" s="361"/>
      <c r="R49" s="362"/>
      <c r="S49" s="361"/>
      <c r="T49" s="360" t="s">
        <v>132</v>
      </c>
    </row>
    <row r="50" ht="34.5">
      <c r="A50" s="360" t="s">
        <v>125</v>
      </c>
      <c r="B50" s="360" t="s">
        <v>126</v>
      </c>
      <c r="C50" s="360" t="s">
        <v>177</v>
      </c>
      <c r="D50" s="360" t="s">
        <v>128</v>
      </c>
      <c r="E50" s="360" t="s">
        <v>167</v>
      </c>
      <c r="F50" s="361" t="s">
        <v>168</v>
      </c>
      <c r="G50" s="360" t="s">
        <v>145</v>
      </c>
      <c r="H50" s="361"/>
      <c r="I50" s="361"/>
      <c r="J50" s="361" t="s">
        <v>184</v>
      </c>
      <c r="K50" s="363"/>
      <c r="L50" s="360"/>
      <c r="M50" s="360"/>
      <c r="N50" s="361"/>
      <c r="O50" s="361"/>
      <c r="P50" s="361"/>
      <c r="Q50" s="361"/>
      <c r="R50" s="362"/>
      <c r="S50" s="361"/>
      <c r="T50" s="360" t="s">
        <v>132</v>
      </c>
    </row>
    <row r="51" ht="34.5">
      <c r="A51" s="360" t="s">
        <v>125</v>
      </c>
      <c r="B51" s="360" t="s">
        <v>126</v>
      </c>
      <c r="C51" s="360" t="s">
        <v>177</v>
      </c>
      <c r="D51" s="360" t="s">
        <v>128</v>
      </c>
      <c r="E51" s="360" t="s">
        <v>167</v>
      </c>
      <c r="F51" s="361" t="s">
        <v>168</v>
      </c>
      <c r="G51" s="360" t="s">
        <v>145</v>
      </c>
      <c r="H51" s="361"/>
      <c r="I51" s="361"/>
      <c r="J51" s="361" t="s">
        <v>185</v>
      </c>
      <c r="K51" s="363"/>
      <c r="L51" s="360"/>
      <c r="M51" s="360"/>
      <c r="N51" s="361"/>
      <c r="O51" s="361"/>
      <c r="P51" s="361"/>
      <c r="Q51" s="361"/>
      <c r="R51" s="362"/>
      <c r="S51" s="361"/>
      <c r="T51" s="360" t="s">
        <v>132</v>
      </c>
    </row>
    <row r="52" ht="34.5">
      <c r="A52" s="360" t="s">
        <v>125</v>
      </c>
      <c r="B52" s="360" t="s">
        <v>126</v>
      </c>
      <c r="C52" s="360" t="s">
        <v>177</v>
      </c>
      <c r="D52" s="360" t="s">
        <v>128</v>
      </c>
      <c r="E52" s="360" t="s">
        <v>167</v>
      </c>
      <c r="F52" s="361" t="s">
        <v>168</v>
      </c>
      <c r="G52" s="360" t="s">
        <v>145</v>
      </c>
      <c r="H52" s="361"/>
      <c r="I52" s="361"/>
      <c r="J52" s="361" t="s">
        <v>186</v>
      </c>
      <c r="K52" s="363"/>
      <c r="L52" s="360"/>
      <c r="M52" s="360"/>
      <c r="N52" s="361"/>
      <c r="O52" s="361"/>
      <c r="P52" s="361"/>
      <c r="Q52" s="361"/>
      <c r="R52" s="362"/>
      <c r="S52" s="361"/>
      <c r="T52" s="360" t="s">
        <v>132</v>
      </c>
    </row>
    <row r="53" ht="34.5">
      <c r="A53" s="360" t="s">
        <v>125</v>
      </c>
      <c r="B53" s="360" t="s">
        <v>126</v>
      </c>
      <c r="C53" s="360" t="s">
        <v>177</v>
      </c>
      <c r="D53" s="360" t="s">
        <v>128</v>
      </c>
      <c r="E53" s="360" t="s">
        <v>167</v>
      </c>
      <c r="F53" s="361" t="s">
        <v>168</v>
      </c>
      <c r="G53" s="360" t="s">
        <v>145</v>
      </c>
      <c r="H53" s="361"/>
      <c r="I53" s="361"/>
      <c r="J53" s="361" t="s">
        <v>187</v>
      </c>
      <c r="K53" s="363"/>
      <c r="L53" s="360"/>
      <c r="M53" s="360"/>
      <c r="N53" s="361"/>
      <c r="O53" s="361"/>
      <c r="P53" s="361"/>
      <c r="Q53" s="361"/>
      <c r="R53" s="362"/>
      <c r="S53" s="361"/>
      <c r="T53" s="360" t="s">
        <v>132</v>
      </c>
    </row>
    <row r="54" ht="34.5">
      <c r="A54" s="360" t="s">
        <v>125</v>
      </c>
      <c r="B54" s="360" t="s">
        <v>126</v>
      </c>
      <c r="C54" s="360" t="s">
        <v>177</v>
      </c>
      <c r="D54" s="360" t="s">
        <v>128</v>
      </c>
      <c r="E54" s="360" t="s">
        <v>167</v>
      </c>
      <c r="F54" s="361" t="s">
        <v>168</v>
      </c>
      <c r="G54" s="360" t="s">
        <v>145</v>
      </c>
      <c r="H54" s="361"/>
      <c r="I54" s="361"/>
      <c r="J54" s="361" t="s">
        <v>188</v>
      </c>
      <c r="K54" s="363"/>
      <c r="L54" s="360"/>
      <c r="M54" s="360"/>
      <c r="N54" s="361"/>
      <c r="O54" s="361"/>
      <c r="P54" s="361"/>
      <c r="Q54" s="361"/>
      <c r="R54" s="362"/>
      <c r="S54" s="361"/>
      <c r="T54" s="360" t="s">
        <v>132</v>
      </c>
    </row>
    <row r="55" ht="34.5">
      <c r="A55" s="360" t="s">
        <v>125</v>
      </c>
      <c r="B55" s="360" t="s">
        <v>126</v>
      </c>
      <c r="C55" s="360" t="s">
        <v>189</v>
      </c>
      <c r="D55" s="360" t="s">
        <v>128</v>
      </c>
      <c r="E55" s="360" t="s">
        <v>167</v>
      </c>
      <c r="F55" s="361" t="s">
        <v>168</v>
      </c>
      <c r="G55" s="360" t="s">
        <v>145</v>
      </c>
      <c r="H55" s="361"/>
      <c r="I55" s="361"/>
      <c r="J55" s="361" t="s">
        <v>190</v>
      </c>
      <c r="K55" s="363"/>
      <c r="L55" s="360"/>
      <c r="M55" s="360"/>
      <c r="N55" s="361"/>
      <c r="O55" s="361"/>
      <c r="P55" s="361"/>
      <c r="Q55" s="361"/>
      <c r="R55" s="362"/>
      <c r="S55" s="361"/>
      <c r="T55" s="360" t="s">
        <v>132</v>
      </c>
    </row>
    <row r="56" ht="34.5">
      <c r="A56" s="360" t="s">
        <v>125</v>
      </c>
      <c r="B56" s="360" t="s">
        <v>126</v>
      </c>
      <c r="C56" s="360" t="s">
        <v>189</v>
      </c>
      <c r="D56" s="360" t="s">
        <v>128</v>
      </c>
      <c r="E56" s="360" t="s">
        <v>167</v>
      </c>
      <c r="F56" s="361" t="s">
        <v>168</v>
      </c>
      <c r="G56" s="360" t="s">
        <v>145</v>
      </c>
      <c r="H56" s="361"/>
      <c r="I56" s="361"/>
      <c r="J56" s="361" t="s">
        <v>191</v>
      </c>
      <c r="K56" s="363"/>
      <c r="L56" s="360"/>
      <c r="M56" s="360"/>
      <c r="N56" s="361"/>
      <c r="O56" s="361"/>
      <c r="P56" s="361"/>
      <c r="Q56" s="361"/>
      <c r="R56" s="362"/>
      <c r="S56" s="361"/>
      <c r="T56" s="360" t="s">
        <v>132</v>
      </c>
    </row>
    <row r="57" ht="34.5">
      <c r="A57" s="360" t="s">
        <v>125</v>
      </c>
      <c r="B57" s="360" t="s">
        <v>126</v>
      </c>
      <c r="C57" s="360" t="s">
        <v>189</v>
      </c>
      <c r="D57" s="360" t="s">
        <v>128</v>
      </c>
      <c r="E57" s="360" t="s">
        <v>167</v>
      </c>
      <c r="F57" s="361" t="s">
        <v>168</v>
      </c>
      <c r="G57" s="360" t="s">
        <v>145</v>
      </c>
      <c r="H57" s="361"/>
      <c r="I57" s="361"/>
      <c r="J57" s="361" t="s">
        <v>192</v>
      </c>
      <c r="K57" s="363"/>
      <c r="L57" s="360"/>
      <c r="M57" s="360"/>
      <c r="N57" s="361"/>
      <c r="O57" s="361"/>
      <c r="P57" s="361"/>
      <c r="Q57" s="361"/>
      <c r="R57" s="362"/>
      <c r="S57" s="361"/>
      <c r="T57" s="360" t="s">
        <v>132</v>
      </c>
    </row>
    <row r="58" ht="34.5">
      <c r="A58" s="360" t="s">
        <v>125</v>
      </c>
      <c r="B58" s="360" t="s">
        <v>126</v>
      </c>
      <c r="C58" s="360" t="s">
        <v>189</v>
      </c>
      <c r="D58" s="360" t="s">
        <v>128</v>
      </c>
      <c r="E58" s="360" t="s">
        <v>167</v>
      </c>
      <c r="F58" s="361" t="s">
        <v>168</v>
      </c>
      <c r="G58" s="360" t="s">
        <v>145</v>
      </c>
      <c r="H58" s="361"/>
      <c r="I58" s="361"/>
      <c r="J58" s="361" t="s">
        <v>193</v>
      </c>
      <c r="K58" s="363"/>
      <c r="L58" s="360"/>
      <c r="M58" s="360"/>
      <c r="N58" s="361"/>
      <c r="O58" s="361"/>
      <c r="P58" s="361"/>
      <c r="Q58" s="361"/>
      <c r="R58" s="362"/>
      <c r="S58" s="361"/>
      <c r="T58" s="360" t="s">
        <v>132</v>
      </c>
    </row>
    <row r="59" ht="34.5">
      <c r="A59" s="360" t="s">
        <v>125</v>
      </c>
      <c r="B59" s="360" t="s">
        <v>126</v>
      </c>
      <c r="C59" s="360" t="s">
        <v>189</v>
      </c>
      <c r="D59" s="360" t="s">
        <v>128</v>
      </c>
      <c r="E59" s="360" t="s">
        <v>167</v>
      </c>
      <c r="F59" s="361" t="s">
        <v>168</v>
      </c>
      <c r="G59" s="360" t="s">
        <v>145</v>
      </c>
      <c r="H59" s="361"/>
      <c r="I59" s="361"/>
      <c r="J59" s="361" t="s">
        <v>194</v>
      </c>
      <c r="K59" s="363"/>
      <c r="L59" s="360"/>
      <c r="M59" s="360"/>
      <c r="N59" s="361"/>
      <c r="O59" s="361"/>
      <c r="P59" s="361"/>
      <c r="Q59" s="361"/>
      <c r="R59" s="362"/>
      <c r="S59" s="361"/>
      <c r="T59" s="360" t="s">
        <v>132</v>
      </c>
    </row>
    <row r="60" ht="34.5">
      <c r="A60" s="360" t="s">
        <v>125</v>
      </c>
      <c r="B60" s="360" t="s">
        <v>126</v>
      </c>
      <c r="C60" s="360" t="s">
        <v>189</v>
      </c>
      <c r="D60" s="360" t="s">
        <v>128</v>
      </c>
      <c r="E60" s="360" t="s">
        <v>167</v>
      </c>
      <c r="F60" s="361" t="s">
        <v>168</v>
      </c>
      <c r="G60" s="360" t="s">
        <v>145</v>
      </c>
      <c r="H60" s="361"/>
      <c r="I60" s="361"/>
      <c r="J60" s="361" t="s">
        <v>195</v>
      </c>
      <c r="K60" s="363"/>
      <c r="L60" s="360"/>
      <c r="M60" s="360"/>
      <c r="N60" s="361"/>
      <c r="O60" s="361"/>
      <c r="P60" s="361"/>
      <c r="Q60" s="361"/>
      <c r="R60" s="362"/>
      <c r="S60" s="361"/>
      <c r="T60" s="360" t="s">
        <v>132</v>
      </c>
    </row>
    <row r="61" ht="34.5">
      <c r="A61" s="360" t="s">
        <v>125</v>
      </c>
      <c r="B61" s="360" t="s">
        <v>126</v>
      </c>
      <c r="C61" s="360" t="s">
        <v>189</v>
      </c>
      <c r="D61" s="360" t="s">
        <v>128</v>
      </c>
      <c r="E61" s="360" t="s">
        <v>167</v>
      </c>
      <c r="F61" s="361" t="s">
        <v>168</v>
      </c>
      <c r="G61" s="360" t="s">
        <v>145</v>
      </c>
      <c r="H61" s="361"/>
      <c r="I61" s="361"/>
      <c r="J61" s="361" t="s">
        <v>196</v>
      </c>
      <c r="K61" s="363"/>
      <c r="L61" s="360"/>
      <c r="M61" s="360"/>
      <c r="N61" s="361"/>
      <c r="O61" s="361"/>
      <c r="P61" s="361"/>
      <c r="Q61" s="361"/>
      <c r="R61" s="362"/>
      <c r="S61" s="361"/>
      <c r="T61" s="360" t="s">
        <v>132</v>
      </c>
    </row>
    <row r="62" ht="34.5">
      <c r="A62" s="360" t="s">
        <v>125</v>
      </c>
      <c r="B62" s="360" t="s">
        <v>126</v>
      </c>
      <c r="C62" s="360" t="s">
        <v>189</v>
      </c>
      <c r="D62" s="360" t="s">
        <v>128</v>
      </c>
      <c r="E62" s="360" t="s">
        <v>167</v>
      </c>
      <c r="F62" s="361" t="s">
        <v>168</v>
      </c>
      <c r="G62" s="360" t="s">
        <v>145</v>
      </c>
      <c r="H62" s="361"/>
      <c r="I62" s="361"/>
      <c r="J62" s="361" t="s">
        <v>197</v>
      </c>
      <c r="K62" s="363"/>
      <c r="L62" s="360"/>
      <c r="M62" s="360"/>
      <c r="N62" s="361"/>
      <c r="O62" s="361"/>
      <c r="P62" s="361"/>
      <c r="Q62" s="361"/>
      <c r="R62" s="362"/>
      <c r="S62" s="361"/>
      <c r="T62" s="360" t="s">
        <v>132</v>
      </c>
    </row>
    <row r="63" ht="34.5">
      <c r="A63" s="360" t="s">
        <v>125</v>
      </c>
      <c r="B63" s="360" t="s">
        <v>126</v>
      </c>
      <c r="C63" s="360" t="s">
        <v>189</v>
      </c>
      <c r="D63" s="360" t="s">
        <v>128</v>
      </c>
      <c r="E63" s="360" t="s">
        <v>167</v>
      </c>
      <c r="F63" s="361" t="s">
        <v>168</v>
      </c>
      <c r="G63" s="360" t="s">
        <v>145</v>
      </c>
      <c r="H63" s="361"/>
      <c r="I63" s="361"/>
      <c r="J63" s="361" t="s">
        <v>198</v>
      </c>
      <c r="K63" s="363"/>
      <c r="L63" s="360"/>
      <c r="M63" s="360"/>
      <c r="N63" s="361"/>
      <c r="O63" s="361"/>
      <c r="P63" s="361"/>
      <c r="Q63" s="361"/>
      <c r="R63" s="362"/>
      <c r="S63" s="361"/>
      <c r="T63" s="360" t="s">
        <v>132</v>
      </c>
    </row>
    <row r="64" ht="34.5">
      <c r="A64" s="360" t="s">
        <v>125</v>
      </c>
      <c r="B64" s="360" t="s">
        <v>126</v>
      </c>
      <c r="C64" s="360" t="s">
        <v>189</v>
      </c>
      <c r="D64" s="360" t="s">
        <v>128</v>
      </c>
      <c r="E64" s="360" t="s">
        <v>167</v>
      </c>
      <c r="F64" s="361" t="s">
        <v>168</v>
      </c>
      <c r="G64" s="360" t="s">
        <v>145</v>
      </c>
      <c r="H64" s="361"/>
      <c r="I64" s="361"/>
      <c r="J64" s="361" t="s">
        <v>199</v>
      </c>
      <c r="K64" s="363"/>
      <c r="L64" s="360"/>
      <c r="M64" s="360"/>
      <c r="N64" s="361"/>
      <c r="O64" s="361"/>
      <c r="P64" s="361"/>
      <c r="Q64" s="361"/>
      <c r="R64" s="362"/>
      <c r="S64" s="361"/>
      <c r="T64" s="360" t="s">
        <v>132</v>
      </c>
    </row>
    <row r="65" ht="34.5">
      <c r="A65" s="360" t="s">
        <v>125</v>
      </c>
      <c r="B65" s="360" t="s">
        <v>126</v>
      </c>
      <c r="C65" s="360" t="s">
        <v>189</v>
      </c>
      <c r="D65" s="360" t="s">
        <v>128</v>
      </c>
      <c r="E65" s="360" t="s">
        <v>167</v>
      </c>
      <c r="F65" s="361" t="s">
        <v>168</v>
      </c>
      <c r="G65" s="360" t="s">
        <v>145</v>
      </c>
      <c r="H65" s="361"/>
      <c r="I65" s="361"/>
      <c r="J65" s="361" t="s">
        <v>200</v>
      </c>
      <c r="K65" s="363"/>
      <c r="L65" s="360"/>
      <c r="M65" s="360"/>
      <c r="N65" s="361"/>
      <c r="O65" s="361"/>
      <c r="P65" s="361"/>
      <c r="Q65" s="361"/>
      <c r="R65" s="362"/>
      <c r="S65" s="361"/>
      <c r="T65" s="360" t="s">
        <v>132</v>
      </c>
    </row>
    <row r="66" ht="34.5">
      <c r="A66" s="360" t="s">
        <v>125</v>
      </c>
      <c r="B66" s="360" t="s">
        <v>126</v>
      </c>
      <c r="C66" s="360" t="s">
        <v>201</v>
      </c>
      <c r="D66" s="360" t="s">
        <v>128</v>
      </c>
      <c r="E66" s="360" t="s">
        <v>167</v>
      </c>
      <c r="F66" s="361" t="s">
        <v>168</v>
      </c>
      <c r="G66" s="360" t="s">
        <v>145</v>
      </c>
      <c r="H66" s="361"/>
      <c r="I66" s="361"/>
      <c r="J66" s="361" t="s">
        <v>202</v>
      </c>
      <c r="K66" s="363"/>
      <c r="L66" s="360"/>
      <c r="M66" s="360"/>
      <c r="N66" s="361"/>
      <c r="O66" s="361"/>
      <c r="P66" s="361"/>
      <c r="Q66" s="361"/>
      <c r="R66" s="362"/>
      <c r="S66" s="361"/>
      <c r="T66" s="360" t="s">
        <v>132</v>
      </c>
    </row>
    <row r="67" ht="34.5">
      <c r="A67" s="360" t="s">
        <v>125</v>
      </c>
      <c r="B67" s="360" t="s">
        <v>126</v>
      </c>
      <c r="C67" s="360" t="s">
        <v>201</v>
      </c>
      <c r="D67" s="360" t="s">
        <v>128</v>
      </c>
      <c r="E67" s="360" t="s">
        <v>167</v>
      </c>
      <c r="F67" s="361" t="s">
        <v>168</v>
      </c>
      <c r="G67" s="360" t="s">
        <v>145</v>
      </c>
      <c r="H67" s="361"/>
      <c r="I67" s="361"/>
      <c r="J67" s="361" t="s">
        <v>203</v>
      </c>
      <c r="K67" s="363"/>
      <c r="L67" s="360"/>
      <c r="M67" s="360"/>
      <c r="N67" s="361"/>
      <c r="O67" s="361"/>
      <c r="P67" s="361"/>
      <c r="Q67" s="361"/>
      <c r="R67" s="362"/>
      <c r="S67" s="361"/>
      <c r="T67" s="360" t="s">
        <v>132</v>
      </c>
    </row>
    <row r="68" ht="34.5">
      <c r="A68" s="360" t="s">
        <v>125</v>
      </c>
      <c r="B68" s="360" t="s">
        <v>126</v>
      </c>
      <c r="C68" s="360" t="s">
        <v>201</v>
      </c>
      <c r="D68" s="360" t="s">
        <v>128</v>
      </c>
      <c r="E68" s="360" t="s">
        <v>167</v>
      </c>
      <c r="F68" s="361" t="s">
        <v>168</v>
      </c>
      <c r="G68" s="360" t="s">
        <v>145</v>
      </c>
      <c r="H68" s="361"/>
      <c r="I68" s="361"/>
      <c r="J68" s="361" t="s">
        <v>204</v>
      </c>
      <c r="K68" s="363"/>
      <c r="L68" s="360"/>
      <c r="M68" s="360"/>
      <c r="N68" s="361"/>
      <c r="O68" s="361"/>
      <c r="P68" s="361"/>
      <c r="Q68" s="361"/>
      <c r="R68" s="362"/>
      <c r="S68" s="361"/>
      <c r="T68" s="360" t="s">
        <v>132</v>
      </c>
    </row>
    <row r="69" ht="34.5">
      <c r="A69" s="360" t="s">
        <v>125</v>
      </c>
      <c r="B69" s="360" t="s">
        <v>126</v>
      </c>
      <c r="C69" s="360" t="s">
        <v>201</v>
      </c>
      <c r="D69" s="360" t="s">
        <v>128</v>
      </c>
      <c r="E69" s="360" t="s">
        <v>167</v>
      </c>
      <c r="F69" s="361" t="s">
        <v>168</v>
      </c>
      <c r="G69" s="360" t="s">
        <v>145</v>
      </c>
      <c r="H69" s="361"/>
      <c r="I69" s="361"/>
      <c r="J69" s="361" t="s">
        <v>205</v>
      </c>
      <c r="K69" s="363"/>
      <c r="L69" s="360"/>
      <c r="M69" s="360"/>
      <c r="N69" s="361"/>
      <c r="O69" s="361"/>
      <c r="P69" s="361"/>
      <c r="Q69" s="361"/>
      <c r="R69" s="362"/>
      <c r="S69" s="361"/>
      <c r="T69" s="360" t="s">
        <v>132</v>
      </c>
    </row>
    <row r="70" ht="34.5">
      <c r="A70" s="360" t="s">
        <v>125</v>
      </c>
      <c r="B70" s="360" t="s">
        <v>126</v>
      </c>
      <c r="C70" s="360" t="s">
        <v>201</v>
      </c>
      <c r="D70" s="360" t="s">
        <v>128</v>
      </c>
      <c r="E70" s="360" t="s">
        <v>167</v>
      </c>
      <c r="F70" s="361" t="s">
        <v>168</v>
      </c>
      <c r="G70" s="360" t="s">
        <v>145</v>
      </c>
      <c r="H70" s="361"/>
      <c r="I70" s="361"/>
      <c r="J70" s="361" t="s">
        <v>206</v>
      </c>
      <c r="K70" s="363"/>
      <c r="L70" s="360"/>
      <c r="M70" s="360"/>
      <c r="N70" s="361"/>
      <c r="O70" s="361"/>
      <c r="P70" s="361"/>
      <c r="Q70" s="361"/>
      <c r="R70" s="362"/>
      <c r="S70" s="361"/>
      <c r="T70" s="360" t="s">
        <v>132</v>
      </c>
    </row>
    <row r="71" ht="34.5">
      <c r="A71" s="360" t="s">
        <v>125</v>
      </c>
      <c r="B71" s="360" t="s">
        <v>126</v>
      </c>
      <c r="C71" s="360" t="s">
        <v>201</v>
      </c>
      <c r="D71" s="360" t="s">
        <v>128</v>
      </c>
      <c r="E71" s="360" t="s">
        <v>167</v>
      </c>
      <c r="F71" s="361" t="s">
        <v>168</v>
      </c>
      <c r="G71" s="360" t="s">
        <v>145</v>
      </c>
      <c r="H71" s="361"/>
      <c r="I71" s="361"/>
      <c r="J71" s="361" t="s">
        <v>207</v>
      </c>
      <c r="K71" s="363"/>
      <c r="L71" s="360"/>
      <c r="M71" s="360"/>
      <c r="N71" s="361"/>
      <c r="O71" s="361"/>
      <c r="P71" s="361"/>
      <c r="Q71" s="361"/>
      <c r="R71" s="362"/>
      <c r="S71" s="361"/>
      <c r="T71" s="360" t="s">
        <v>132</v>
      </c>
    </row>
    <row r="72" ht="34.5">
      <c r="A72" s="360" t="s">
        <v>125</v>
      </c>
      <c r="B72" s="360" t="s">
        <v>126</v>
      </c>
      <c r="C72" s="360" t="s">
        <v>201</v>
      </c>
      <c r="D72" s="360" t="s">
        <v>128</v>
      </c>
      <c r="E72" s="360" t="s">
        <v>167</v>
      </c>
      <c r="F72" s="361" t="s">
        <v>168</v>
      </c>
      <c r="G72" s="360" t="s">
        <v>145</v>
      </c>
      <c r="H72" s="361"/>
      <c r="I72" s="361"/>
      <c r="J72" s="361" t="s">
        <v>208</v>
      </c>
      <c r="K72" s="363"/>
      <c r="L72" s="360"/>
      <c r="M72" s="360"/>
      <c r="N72" s="361"/>
      <c r="O72" s="361"/>
      <c r="P72" s="361"/>
      <c r="Q72" s="361"/>
      <c r="R72" s="362"/>
      <c r="S72" s="361"/>
      <c r="T72" s="360" t="s">
        <v>132</v>
      </c>
    </row>
    <row r="73" ht="34.5">
      <c r="A73" s="360" t="s">
        <v>125</v>
      </c>
      <c r="B73" s="360" t="s">
        <v>126</v>
      </c>
      <c r="C73" s="360" t="s">
        <v>201</v>
      </c>
      <c r="D73" s="360" t="s">
        <v>128</v>
      </c>
      <c r="E73" s="360" t="s">
        <v>167</v>
      </c>
      <c r="F73" s="361" t="s">
        <v>168</v>
      </c>
      <c r="G73" s="360" t="s">
        <v>145</v>
      </c>
      <c r="H73" s="361"/>
      <c r="I73" s="361"/>
      <c r="J73" s="361" t="s">
        <v>209</v>
      </c>
      <c r="K73" s="363"/>
      <c r="L73" s="360"/>
      <c r="M73" s="360"/>
      <c r="N73" s="361"/>
      <c r="O73" s="361"/>
      <c r="P73" s="361"/>
      <c r="Q73" s="361"/>
      <c r="R73" s="362"/>
      <c r="S73" s="361"/>
      <c r="T73" s="360" t="s">
        <v>132</v>
      </c>
    </row>
    <row r="74" ht="34.5">
      <c r="A74" s="360" t="s">
        <v>125</v>
      </c>
      <c r="B74" s="360" t="s">
        <v>126</v>
      </c>
      <c r="C74" s="360" t="s">
        <v>201</v>
      </c>
      <c r="D74" s="360" t="s">
        <v>128</v>
      </c>
      <c r="E74" s="360" t="s">
        <v>167</v>
      </c>
      <c r="F74" s="361" t="s">
        <v>168</v>
      </c>
      <c r="G74" s="360" t="s">
        <v>145</v>
      </c>
      <c r="H74" s="361"/>
      <c r="I74" s="361"/>
      <c r="J74" s="361" t="s">
        <v>210</v>
      </c>
      <c r="K74" s="363"/>
      <c r="L74" s="360"/>
      <c r="M74" s="360"/>
      <c r="N74" s="361"/>
      <c r="O74" s="361"/>
      <c r="P74" s="361"/>
      <c r="Q74" s="361"/>
      <c r="R74" s="362"/>
      <c r="S74" s="361"/>
      <c r="T74" s="360" t="s">
        <v>132</v>
      </c>
    </row>
    <row r="75" ht="34.5">
      <c r="A75" s="360" t="s">
        <v>125</v>
      </c>
      <c r="B75" s="360" t="s">
        <v>126</v>
      </c>
      <c r="C75" s="360" t="s">
        <v>211</v>
      </c>
      <c r="D75" s="360" t="s">
        <v>128</v>
      </c>
      <c r="E75" s="360" t="s">
        <v>167</v>
      </c>
      <c r="F75" s="361" t="s">
        <v>168</v>
      </c>
      <c r="G75" s="360" t="s">
        <v>145</v>
      </c>
      <c r="H75" s="361"/>
      <c r="I75" s="361"/>
      <c r="J75" s="361" t="s">
        <v>212</v>
      </c>
      <c r="K75" s="363"/>
      <c r="L75" s="360"/>
      <c r="M75" s="360"/>
      <c r="N75" s="361"/>
      <c r="O75" s="361"/>
      <c r="P75" s="361"/>
      <c r="Q75" s="361"/>
      <c r="R75" s="362"/>
      <c r="S75" s="361"/>
      <c r="T75" s="360" t="s">
        <v>132</v>
      </c>
    </row>
    <row r="76" ht="34.5">
      <c r="A76" s="360" t="s">
        <v>125</v>
      </c>
      <c r="B76" s="360" t="s">
        <v>126</v>
      </c>
      <c r="C76" s="360" t="s">
        <v>211</v>
      </c>
      <c r="D76" s="360" t="s">
        <v>128</v>
      </c>
      <c r="E76" s="360" t="s">
        <v>167</v>
      </c>
      <c r="F76" s="361" t="s">
        <v>168</v>
      </c>
      <c r="G76" s="360" t="s">
        <v>145</v>
      </c>
      <c r="H76" s="361"/>
      <c r="I76" s="361"/>
      <c r="J76" s="361" t="s">
        <v>213</v>
      </c>
      <c r="K76" s="363"/>
      <c r="L76" s="360"/>
      <c r="M76" s="360"/>
      <c r="N76" s="361"/>
      <c r="O76" s="361"/>
      <c r="P76" s="361"/>
      <c r="Q76" s="361"/>
      <c r="R76" s="362"/>
      <c r="S76" s="361"/>
      <c r="T76" s="360" t="s">
        <v>132</v>
      </c>
    </row>
    <row r="77" ht="34.5">
      <c r="A77" s="360" t="s">
        <v>125</v>
      </c>
      <c r="B77" s="360" t="s">
        <v>126</v>
      </c>
      <c r="C77" s="360" t="s">
        <v>211</v>
      </c>
      <c r="D77" s="360" t="s">
        <v>128</v>
      </c>
      <c r="E77" s="360" t="s">
        <v>167</v>
      </c>
      <c r="F77" s="361" t="s">
        <v>168</v>
      </c>
      <c r="G77" s="360" t="s">
        <v>145</v>
      </c>
      <c r="H77" s="361"/>
      <c r="I77" s="361"/>
      <c r="J77" s="361" t="s">
        <v>214</v>
      </c>
      <c r="K77" s="363"/>
      <c r="L77" s="360"/>
      <c r="M77" s="360"/>
      <c r="N77" s="361"/>
      <c r="O77" s="361"/>
      <c r="P77" s="361"/>
      <c r="Q77" s="361"/>
      <c r="R77" s="362"/>
      <c r="S77" s="361"/>
      <c r="T77" s="360" t="s">
        <v>132</v>
      </c>
    </row>
    <row r="78" ht="34.5">
      <c r="A78" s="360" t="s">
        <v>125</v>
      </c>
      <c r="B78" s="360" t="s">
        <v>126</v>
      </c>
      <c r="C78" s="360" t="s">
        <v>211</v>
      </c>
      <c r="D78" s="360" t="s">
        <v>128</v>
      </c>
      <c r="E78" s="360" t="s">
        <v>167</v>
      </c>
      <c r="F78" s="361" t="s">
        <v>168</v>
      </c>
      <c r="G78" s="360" t="s">
        <v>145</v>
      </c>
      <c r="H78" s="361"/>
      <c r="I78" s="361"/>
      <c r="J78" s="361" t="s">
        <v>215</v>
      </c>
      <c r="K78" s="363"/>
      <c r="L78" s="360"/>
      <c r="M78" s="360"/>
      <c r="N78" s="361"/>
      <c r="O78" s="361"/>
      <c r="P78" s="361"/>
      <c r="Q78" s="361"/>
      <c r="R78" s="362"/>
      <c r="S78" s="361"/>
      <c r="T78" s="360" t="s">
        <v>132</v>
      </c>
    </row>
    <row r="79" ht="34.5">
      <c r="A79" s="360" t="s">
        <v>125</v>
      </c>
      <c r="B79" s="360" t="s">
        <v>126</v>
      </c>
      <c r="C79" s="360" t="s">
        <v>211</v>
      </c>
      <c r="D79" s="360" t="s">
        <v>128</v>
      </c>
      <c r="E79" s="360" t="s">
        <v>167</v>
      </c>
      <c r="F79" s="361" t="s">
        <v>168</v>
      </c>
      <c r="G79" s="360" t="s">
        <v>145</v>
      </c>
      <c r="H79" s="361"/>
      <c r="I79" s="361"/>
      <c r="J79" s="361" t="s">
        <v>216</v>
      </c>
      <c r="K79" s="363"/>
      <c r="L79" s="360"/>
      <c r="M79" s="360"/>
      <c r="N79" s="361"/>
      <c r="O79" s="361"/>
      <c r="P79" s="361"/>
      <c r="Q79" s="361"/>
      <c r="R79" s="362"/>
      <c r="S79" s="361"/>
      <c r="T79" s="360" t="s">
        <v>132</v>
      </c>
    </row>
    <row r="80" ht="34.5">
      <c r="A80" s="360" t="s">
        <v>125</v>
      </c>
      <c r="B80" s="360" t="s">
        <v>126</v>
      </c>
      <c r="C80" s="360" t="s">
        <v>211</v>
      </c>
      <c r="D80" s="360" t="s">
        <v>128</v>
      </c>
      <c r="E80" s="360" t="s">
        <v>167</v>
      </c>
      <c r="F80" s="361" t="s">
        <v>168</v>
      </c>
      <c r="G80" s="360" t="s">
        <v>145</v>
      </c>
      <c r="H80" s="361"/>
      <c r="I80" s="361"/>
      <c r="J80" s="361" t="s">
        <v>217</v>
      </c>
      <c r="K80" s="363"/>
      <c r="L80" s="360"/>
      <c r="M80" s="360"/>
      <c r="N80" s="361"/>
      <c r="O80" s="361"/>
      <c r="P80" s="361"/>
      <c r="Q80" s="361"/>
      <c r="R80" s="362"/>
      <c r="S80" s="361"/>
      <c r="T80" s="360" t="s">
        <v>132</v>
      </c>
    </row>
    <row r="81" ht="34.5">
      <c r="A81" s="360" t="s">
        <v>125</v>
      </c>
      <c r="B81" s="360" t="s">
        <v>126</v>
      </c>
      <c r="C81" s="360" t="s">
        <v>211</v>
      </c>
      <c r="D81" s="360" t="s">
        <v>128</v>
      </c>
      <c r="E81" s="360" t="s">
        <v>167</v>
      </c>
      <c r="F81" s="361" t="s">
        <v>168</v>
      </c>
      <c r="G81" s="360" t="s">
        <v>145</v>
      </c>
      <c r="H81" s="361"/>
      <c r="I81" s="361"/>
      <c r="J81" s="361" t="s">
        <v>218</v>
      </c>
      <c r="K81" s="363"/>
      <c r="L81" s="360"/>
      <c r="M81" s="360"/>
      <c r="N81" s="361"/>
      <c r="O81" s="361"/>
      <c r="P81" s="361"/>
      <c r="Q81" s="361"/>
      <c r="R81" s="362"/>
      <c r="S81" s="361"/>
      <c r="T81" s="360" t="s">
        <v>132</v>
      </c>
    </row>
    <row r="82" ht="34.5">
      <c r="A82" s="360" t="s">
        <v>125</v>
      </c>
      <c r="B82" s="360" t="s">
        <v>126</v>
      </c>
      <c r="C82" s="360" t="s">
        <v>211</v>
      </c>
      <c r="D82" s="360" t="s">
        <v>128</v>
      </c>
      <c r="E82" s="360" t="s">
        <v>167</v>
      </c>
      <c r="F82" s="361" t="s">
        <v>168</v>
      </c>
      <c r="G82" s="360" t="s">
        <v>145</v>
      </c>
      <c r="H82" s="361"/>
      <c r="I82" s="361"/>
      <c r="J82" s="361" t="s">
        <v>219</v>
      </c>
      <c r="K82" s="363"/>
      <c r="L82" s="360"/>
      <c r="M82" s="360"/>
      <c r="N82" s="361"/>
      <c r="O82" s="361"/>
      <c r="P82" s="361"/>
      <c r="Q82" s="361"/>
      <c r="R82" s="362"/>
      <c r="S82" s="361"/>
      <c r="T82" s="360" t="s">
        <v>132</v>
      </c>
    </row>
    <row r="83" ht="34.5">
      <c r="A83" s="360" t="s">
        <v>125</v>
      </c>
      <c r="B83" s="360" t="s">
        <v>126</v>
      </c>
      <c r="C83" s="360" t="s">
        <v>211</v>
      </c>
      <c r="D83" s="360" t="s">
        <v>128</v>
      </c>
      <c r="E83" s="360" t="s">
        <v>167</v>
      </c>
      <c r="F83" s="361" t="s">
        <v>168</v>
      </c>
      <c r="G83" s="360" t="s">
        <v>145</v>
      </c>
      <c r="H83" s="361"/>
      <c r="I83" s="361"/>
      <c r="J83" s="361" t="s">
        <v>220</v>
      </c>
      <c r="K83" s="363"/>
      <c r="L83" s="360"/>
      <c r="M83" s="360"/>
      <c r="N83" s="361"/>
      <c r="O83" s="361"/>
      <c r="P83" s="361"/>
      <c r="Q83" s="361"/>
      <c r="R83" s="362"/>
      <c r="S83" s="361"/>
      <c r="T83" s="360" t="s">
        <v>132</v>
      </c>
    </row>
    <row r="84" ht="34.5">
      <c r="A84" s="360" t="s">
        <v>125</v>
      </c>
      <c r="B84" s="360" t="s">
        <v>126</v>
      </c>
      <c r="C84" s="360" t="s">
        <v>211</v>
      </c>
      <c r="D84" s="360" t="s">
        <v>128</v>
      </c>
      <c r="E84" s="360" t="s">
        <v>167</v>
      </c>
      <c r="F84" s="361" t="s">
        <v>168</v>
      </c>
      <c r="G84" s="360" t="s">
        <v>145</v>
      </c>
      <c r="H84" s="361"/>
      <c r="I84" s="361"/>
      <c r="J84" s="361" t="s">
        <v>221</v>
      </c>
      <c r="K84" s="363"/>
      <c r="L84" s="360"/>
      <c r="M84" s="360"/>
      <c r="N84" s="361"/>
      <c r="O84" s="361"/>
      <c r="P84" s="361"/>
      <c r="Q84" s="361"/>
      <c r="R84" s="362"/>
      <c r="S84" s="361"/>
      <c r="T84" s="360" t="s">
        <v>132</v>
      </c>
    </row>
    <row r="85" ht="34.5">
      <c r="A85" s="360" t="s">
        <v>125</v>
      </c>
      <c r="B85" s="360" t="s">
        <v>126</v>
      </c>
      <c r="C85" s="360" t="s">
        <v>222</v>
      </c>
      <c r="D85" s="360" t="s">
        <v>128</v>
      </c>
      <c r="E85" s="360" t="s">
        <v>167</v>
      </c>
      <c r="F85" s="361" t="s">
        <v>168</v>
      </c>
      <c r="G85" s="360" t="s">
        <v>145</v>
      </c>
      <c r="H85" s="361"/>
      <c r="I85" s="361"/>
      <c r="J85" s="361" t="s">
        <v>223</v>
      </c>
      <c r="K85" s="363"/>
      <c r="L85" s="360"/>
      <c r="M85" s="360"/>
      <c r="N85" s="361"/>
      <c r="O85" s="361"/>
      <c r="P85" s="361"/>
      <c r="Q85" s="361"/>
      <c r="R85" s="362"/>
      <c r="S85" s="361"/>
      <c r="T85" s="360" t="s">
        <v>132</v>
      </c>
    </row>
    <row r="86" ht="34.5">
      <c r="A86" s="360" t="s">
        <v>125</v>
      </c>
      <c r="B86" s="360" t="s">
        <v>126</v>
      </c>
      <c r="C86" s="360" t="s">
        <v>222</v>
      </c>
      <c r="D86" s="360" t="s">
        <v>128</v>
      </c>
      <c r="E86" s="360" t="s">
        <v>167</v>
      </c>
      <c r="F86" s="361" t="s">
        <v>168</v>
      </c>
      <c r="G86" s="360" t="s">
        <v>145</v>
      </c>
      <c r="H86" s="361"/>
      <c r="I86" s="361"/>
      <c r="J86" s="361" t="s">
        <v>224</v>
      </c>
      <c r="K86" s="363"/>
      <c r="L86" s="360"/>
      <c r="M86" s="360"/>
      <c r="N86" s="361"/>
      <c r="O86" s="361"/>
      <c r="P86" s="361"/>
      <c r="Q86" s="361"/>
      <c r="R86" s="362"/>
      <c r="S86" s="361"/>
      <c r="T86" s="360" t="s">
        <v>132</v>
      </c>
    </row>
    <row r="87" ht="34.5">
      <c r="A87" s="360" t="s">
        <v>125</v>
      </c>
      <c r="B87" s="360" t="s">
        <v>126</v>
      </c>
      <c r="C87" s="360" t="s">
        <v>222</v>
      </c>
      <c r="D87" s="360" t="s">
        <v>128</v>
      </c>
      <c r="E87" s="360" t="s">
        <v>167</v>
      </c>
      <c r="F87" s="361" t="s">
        <v>168</v>
      </c>
      <c r="G87" s="360" t="s">
        <v>145</v>
      </c>
      <c r="H87" s="361"/>
      <c r="I87" s="361"/>
      <c r="J87" s="361" t="s">
        <v>225</v>
      </c>
      <c r="K87" s="363"/>
      <c r="L87" s="360"/>
      <c r="M87" s="360"/>
      <c r="N87" s="361"/>
      <c r="O87" s="361"/>
      <c r="P87" s="361"/>
      <c r="Q87" s="361"/>
      <c r="R87" s="362"/>
      <c r="S87" s="361"/>
      <c r="T87" s="360" t="s">
        <v>132</v>
      </c>
    </row>
    <row r="88" ht="34.5">
      <c r="A88" s="360" t="s">
        <v>125</v>
      </c>
      <c r="B88" s="360" t="s">
        <v>126</v>
      </c>
      <c r="C88" s="360" t="s">
        <v>222</v>
      </c>
      <c r="D88" s="360" t="s">
        <v>128</v>
      </c>
      <c r="E88" s="360" t="s">
        <v>167</v>
      </c>
      <c r="F88" s="361" t="s">
        <v>168</v>
      </c>
      <c r="G88" s="360" t="s">
        <v>145</v>
      </c>
      <c r="H88" s="361"/>
      <c r="I88" s="361"/>
      <c r="J88" s="361" t="s">
        <v>226</v>
      </c>
      <c r="K88" s="363"/>
      <c r="L88" s="360"/>
      <c r="M88" s="360"/>
      <c r="N88" s="361"/>
      <c r="O88" s="361"/>
      <c r="P88" s="361"/>
      <c r="Q88" s="361"/>
      <c r="R88" s="362"/>
      <c r="S88" s="361"/>
      <c r="T88" s="360" t="s">
        <v>132</v>
      </c>
    </row>
    <row r="89" ht="34.5">
      <c r="A89" s="360" t="s">
        <v>125</v>
      </c>
      <c r="B89" s="360" t="s">
        <v>126</v>
      </c>
      <c r="C89" s="360" t="s">
        <v>222</v>
      </c>
      <c r="D89" s="360" t="s">
        <v>128</v>
      </c>
      <c r="E89" s="360" t="s">
        <v>167</v>
      </c>
      <c r="F89" s="361" t="s">
        <v>168</v>
      </c>
      <c r="G89" s="360" t="s">
        <v>145</v>
      </c>
      <c r="H89" s="361"/>
      <c r="I89" s="361"/>
      <c r="J89" s="361" t="s">
        <v>227</v>
      </c>
      <c r="K89" s="363"/>
      <c r="L89" s="360"/>
      <c r="M89" s="360"/>
      <c r="N89" s="361"/>
      <c r="O89" s="361"/>
      <c r="P89" s="361"/>
      <c r="Q89" s="361"/>
      <c r="R89" s="362"/>
      <c r="S89" s="361"/>
      <c r="T89" s="360" t="s">
        <v>132</v>
      </c>
    </row>
    <row r="90" ht="34.5">
      <c r="A90" s="360" t="s">
        <v>125</v>
      </c>
      <c r="B90" s="360" t="s">
        <v>126</v>
      </c>
      <c r="C90" s="360" t="s">
        <v>222</v>
      </c>
      <c r="D90" s="360" t="s">
        <v>128</v>
      </c>
      <c r="E90" s="360" t="s">
        <v>167</v>
      </c>
      <c r="F90" s="361" t="s">
        <v>168</v>
      </c>
      <c r="G90" s="360" t="s">
        <v>145</v>
      </c>
      <c r="H90" s="361"/>
      <c r="I90" s="361"/>
      <c r="J90" s="361" t="s">
        <v>228</v>
      </c>
      <c r="K90" s="363"/>
      <c r="L90" s="360"/>
      <c r="M90" s="360"/>
      <c r="N90" s="361"/>
      <c r="O90" s="361"/>
      <c r="P90" s="361"/>
      <c r="Q90" s="361"/>
      <c r="R90" s="362"/>
      <c r="S90" s="361"/>
      <c r="T90" s="360" t="s">
        <v>132</v>
      </c>
    </row>
    <row r="91" ht="34.5">
      <c r="A91" s="360" t="s">
        <v>125</v>
      </c>
      <c r="B91" s="360" t="s">
        <v>126</v>
      </c>
      <c r="C91" s="360" t="s">
        <v>229</v>
      </c>
      <c r="D91" s="360" t="s">
        <v>128</v>
      </c>
      <c r="E91" s="360" t="s">
        <v>167</v>
      </c>
      <c r="F91" s="361" t="s">
        <v>168</v>
      </c>
      <c r="G91" s="360" t="s">
        <v>145</v>
      </c>
      <c r="H91" s="361"/>
      <c r="I91" s="361"/>
      <c r="J91" s="361" t="s">
        <v>230</v>
      </c>
      <c r="K91" s="363"/>
      <c r="L91" s="360"/>
      <c r="M91" s="360"/>
      <c r="N91" s="361"/>
      <c r="O91" s="361"/>
      <c r="P91" s="361"/>
      <c r="Q91" s="361"/>
      <c r="R91" s="362"/>
      <c r="S91" s="361"/>
      <c r="T91" s="360" t="s">
        <v>132</v>
      </c>
    </row>
    <row r="92" ht="34.5">
      <c r="A92" s="360" t="s">
        <v>125</v>
      </c>
      <c r="B92" s="360" t="s">
        <v>126</v>
      </c>
      <c r="C92" s="360" t="s">
        <v>229</v>
      </c>
      <c r="D92" s="360" t="s">
        <v>128</v>
      </c>
      <c r="E92" s="360" t="s">
        <v>167</v>
      </c>
      <c r="F92" s="361" t="s">
        <v>168</v>
      </c>
      <c r="G92" s="360" t="s">
        <v>145</v>
      </c>
      <c r="H92" s="361"/>
      <c r="I92" s="361"/>
      <c r="J92" s="361" t="s">
        <v>231</v>
      </c>
      <c r="K92" s="363"/>
      <c r="L92" s="360"/>
      <c r="M92" s="360"/>
      <c r="N92" s="361"/>
      <c r="O92" s="361"/>
      <c r="P92" s="361"/>
      <c r="Q92" s="361"/>
      <c r="R92" s="362"/>
      <c r="S92" s="361"/>
      <c r="T92" s="360" t="s">
        <v>132</v>
      </c>
    </row>
    <row r="93" ht="34.5">
      <c r="A93" s="360" t="s">
        <v>125</v>
      </c>
      <c r="B93" s="360" t="s">
        <v>126</v>
      </c>
      <c r="C93" s="360" t="s">
        <v>229</v>
      </c>
      <c r="D93" s="360" t="s">
        <v>128</v>
      </c>
      <c r="E93" s="360" t="s">
        <v>167</v>
      </c>
      <c r="F93" s="361" t="s">
        <v>168</v>
      </c>
      <c r="G93" s="360" t="s">
        <v>145</v>
      </c>
      <c r="H93" s="361"/>
      <c r="I93" s="361"/>
      <c r="J93" s="361" t="s">
        <v>232</v>
      </c>
      <c r="K93" s="363"/>
      <c r="L93" s="360"/>
      <c r="M93" s="360"/>
      <c r="N93" s="361"/>
      <c r="O93" s="361"/>
      <c r="P93" s="361"/>
      <c r="Q93" s="361"/>
      <c r="R93" s="362"/>
      <c r="S93" s="361"/>
      <c r="T93" s="360" t="s">
        <v>132</v>
      </c>
    </row>
    <row r="94" ht="34.5">
      <c r="A94" s="360" t="s">
        <v>125</v>
      </c>
      <c r="B94" s="360" t="s">
        <v>126</v>
      </c>
      <c r="C94" s="360" t="s">
        <v>229</v>
      </c>
      <c r="D94" s="360" t="s">
        <v>128</v>
      </c>
      <c r="E94" s="360" t="s">
        <v>167</v>
      </c>
      <c r="F94" s="361" t="s">
        <v>168</v>
      </c>
      <c r="G94" s="360" t="s">
        <v>145</v>
      </c>
      <c r="H94" s="361"/>
      <c r="I94" s="361"/>
      <c r="J94" s="361" t="s">
        <v>233</v>
      </c>
      <c r="K94" s="363"/>
      <c r="L94" s="360"/>
      <c r="M94" s="360"/>
      <c r="N94" s="361"/>
      <c r="O94" s="361"/>
      <c r="P94" s="361"/>
      <c r="Q94" s="361"/>
      <c r="R94" s="362"/>
      <c r="S94" s="361"/>
      <c r="T94" s="360" t="s">
        <v>132</v>
      </c>
    </row>
    <row r="95" ht="34.5">
      <c r="A95" s="360" t="s">
        <v>125</v>
      </c>
      <c r="B95" s="360" t="s">
        <v>126</v>
      </c>
      <c r="C95" s="360" t="s">
        <v>229</v>
      </c>
      <c r="D95" s="360" t="s">
        <v>128</v>
      </c>
      <c r="E95" s="360" t="s">
        <v>167</v>
      </c>
      <c r="F95" s="361" t="s">
        <v>168</v>
      </c>
      <c r="G95" s="360" t="s">
        <v>145</v>
      </c>
      <c r="H95" s="361"/>
      <c r="I95" s="361"/>
      <c r="J95" s="361" t="s">
        <v>234</v>
      </c>
      <c r="K95" s="363"/>
      <c r="L95" s="360"/>
      <c r="M95" s="360"/>
      <c r="N95" s="361"/>
      <c r="O95" s="361"/>
      <c r="P95" s="361"/>
      <c r="Q95" s="361"/>
      <c r="R95" s="362"/>
      <c r="S95" s="361"/>
      <c r="T95" s="360" t="s">
        <v>132</v>
      </c>
    </row>
    <row r="96" ht="34.5">
      <c r="A96" s="360" t="s">
        <v>125</v>
      </c>
      <c r="B96" s="360" t="s">
        <v>126</v>
      </c>
      <c r="C96" s="360" t="s">
        <v>229</v>
      </c>
      <c r="D96" s="360" t="s">
        <v>128</v>
      </c>
      <c r="E96" s="360" t="s">
        <v>167</v>
      </c>
      <c r="F96" s="361" t="s">
        <v>168</v>
      </c>
      <c r="G96" s="360" t="s">
        <v>145</v>
      </c>
      <c r="H96" s="361"/>
      <c r="I96" s="361"/>
      <c r="J96" s="361" t="s">
        <v>235</v>
      </c>
      <c r="K96" s="363"/>
      <c r="L96" s="360"/>
      <c r="M96" s="360"/>
      <c r="N96" s="361"/>
      <c r="O96" s="361"/>
      <c r="P96" s="361"/>
      <c r="Q96" s="361"/>
      <c r="R96" s="362"/>
      <c r="S96" s="361"/>
      <c r="T96" s="360" t="s">
        <v>132</v>
      </c>
    </row>
    <row r="97" ht="34.5">
      <c r="A97" s="360" t="s">
        <v>125</v>
      </c>
      <c r="B97" s="360" t="s">
        <v>126</v>
      </c>
      <c r="C97" s="360" t="s">
        <v>229</v>
      </c>
      <c r="D97" s="360" t="s">
        <v>128</v>
      </c>
      <c r="E97" s="360" t="s">
        <v>167</v>
      </c>
      <c r="F97" s="361" t="s">
        <v>168</v>
      </c>
      <c r="G97" s="360" t="s">
        <v>145</v>
      </c>
      <c r="H97" s="361"/>
      <c r="I97" s="361"/>
      <c r="J97" s="361" t="s">
        <v>236</v>
      </c>
      <c r="K97" s="363"/>
      <c r="L97" s="360"/>
      <c r="M97" s="360"/>
      <c r="N97" s="361"/>
      <c r="O97" s="361"/>
      <c r="P97" s="361"/>
      <c r="Q97" s="361"/>
      <c r="R97" s="362"/>
      <c r="S97" s="361"/>
      <c r="T97" s="360" t="s">
        <v>132</v>
      </c>
    </row>
    <row r="98" ht="34.5">
      <c r="A98" s="360" t="s">
        <v>125</v>
      </c>
      <c r="B98" s="360" t="s">
        <v>126</v>
      </c>
      <c r="C98" s="360" t="s">
        <v>229</v>
      </c>
      <c r="D98" s="360" t="s">
        <v>128</v>
      </c>
      <c r="E98" s="360" t="s">
        <v>167</v>
      </c>
      <c r="F98" s="361" t="s">
        <v>168</v>
      </c>
      <c r="G98" s="360" t="s">
        <v>145</v>
      </c>
      <c r="H98" s="361"/>
      <c r="I98" s="361"/>
      <c r="J98" s="361" t="s">
        <v>237</v>
      </c>
      <c r="K98" s="363"/>
      <c r="L98" s="360"/>
      <c r="M98" s="360"/>
      <c r="N98" s="361"/>
      <c r="O98" s="361"/>
      <c r="P98" s="361"/>
      <c r="Q98" s="361"/>
      <c r="R98" s="362"/>
      <c r="S98" s="361"/>
      <c r="T98" s="360" t="s">
        <v>132</v>
      </c>
    </row>
    <row r="99" ht="34.5">
      <c r="A99" s="360" t="s">
        <v>125</v>
      </c>
      <c r="B99" s="360" t="s">
        <v>126</v>
      </c>
      <c r="C99" s="360" t="s">
        <v>229</v>
      </c>
      <c r="D99" s="360" t="s">
        <v>128</v>
      </c>
      <c r="E99" s="360" t="s">
        <v>167</v>
      </c>
      <c r="F99" s="361" t="s">
        <v>168</v>
      </c>
      <c r="G99" s="360" t="s">
        <v>145</v>
      </c>
      <c r="H99" s="361"/>
      <c r="I99" s="361"/>
      <c r="J99" s="361" t="s">
        <v>238</v>
      </c>
      <c r="K99" s="363"/>
      <c r="L99" s="360"/>
      <c r="M99" s="360"/>
      <c r="N99" s="361"/>
      <c r="O99" s="361"/>
      <c r="P99" s="361"/>
      <c r="Q99" s="361"/>
      <c r="R99" s="362"/>
      <c r="S99" s="361"/>
      <c r="T99" s="360" t="s">
        <v>132</v>
      </c>
    </row>
    <row r="100" ht="34.5">
      <c r="A100" s="360" t="s">
        <v>125</v>
      </c>
      <c r="B100" s="360" t="s">
        <v>126</v>
      </c>
      <c r="C100" s="360" t="s">
        <v>229</v>
      </c>
      <c r="D100" s="360" t="s">
        <v>128</v>
      </c>
      <c r="E100" s="360" t="s">
        <v>167</v>
      </c>
      <c r="F100" s="361" t="s">
        <v>168</v>
      </c>
      <c r="G100" s="360" t="s">
        <v>145</v>
      </c>
      <c r="H100" s="361"/>
      <c r="I100" s="361"/>
      <c r="J100" s="361" t="s">
        <v>239</v>
      </c>
      <c r="K100" s="363"/>
      <c r="L100" s="360"/>
      <c r="M100" s="360"/>
      <c r="N100" s="361"/>
      <c r="O100" s="361"/>
      <c r="P100" s="361"/>
      <c r="Q100" s="361"/>
      <c r="R100" s="362"/>
      <c r="S100" s="361"/>
      <c r="T100" s="360" t="s">
        <v>132</v>
      </c>
    </row>
    <row r="101" ht="34.5">
      <c r="A101" s="360" t="s">
        <v>125</v>
      </c>
      <c r="B101" s="360" t="s">
        <v>126</v>
      </c>
      <c r="C101" s="360" t="s">
        <v>229</v>
      </c>
      <c r="D101" s="360" t="s">
        <v>128</v>
      </c>
      <c r="E101" s="360" t="s">
        <v>167</v>
      </c>
      <c r="F101" s="361" t="s">
        <v>168</v>
      </c>
      <c r="G101" s="360" t="s">
        <v>145</v>
      </c>
      <c r="H101" s="361"/>
      <c r="I101" s="361"/>
      <c r="J101" s="361" t="s">
        <v>240</v>
      </c>
      <c r="K101" s="363"/>
      <c r="L101" s="360"/>
      <c r="M101" s="360"/>
      <c r="N101" s="361"/>
      <c r="O101" s="361"/>
      <c r="P101" s="361"/>
      <c r="Q101" s="361"/>
      <c r="R101" s="362"/>
      <c r="S101" s="361"/>
      <c r="T101" s="360" t="s">
        <v>132</v>
      </c>
    </row>
    <row r="102" ht="34.5">
      <c r="A102" s="360" t="s">
        <v>125</v>
      </c>
      <c r="B102" s="360" t="s">
        <v>126</v>
      </c>
      <c r="C102" s="360" t="s">
        <v>241</v>
      </c>
      <c r="D102" s="360" t="s">
        <v>128</v>
      </c>
      <c r="E102" s="360" t="s">
        <v>167</v>
      </c>
      <c r="F102" s="361" t="s">
        <v>168</v>
      </c>
      <c r="G102" s="360" t="s">
        <v>145</v>
      </c>
      <c r="H102" s="361"/>
      <c r="I102" s="361"/>
      <c r="J102" s="361" t="s">
        <v>242</v>
      </c>
      <c r="K102" s="363"/>
      <c r="L102" s="360"/>
      <c r="M102" s="360"/>
      <c r="N102" s="361"/>
      <c r="O102" s="361"/>
      <c r="P102" s="361"/>
      <c r="Q102" s="361"/>
      <c r="R102" s="362"/>
      <c r="S102" s="361"/>
      <c r="T102" s="360" t="s">
        <v>132</v>
      </c>
    </row>
    <row r="103" ht="34.5">
      <c r="A103" s="360" t="s">
        <v>125</v>
      </c>
      <c r="B103" s="360" t="s">
        <v>126</v>
      </c>
      <c r="C103" s="360" t="s">
        <v>241</v>
      </c>
      <c r="D103" s="360" t="s">
        <v>128</v>
      </c>
      <c r="E103" s="360" t="s">
        <v>167</v>
      </c>
      <c r="F103" s="361" t="s">
        <v>168</v>
      </c>
      <c r="G103" s="360" t="s">
        <v>145</v>
      </c>
      <c r="H103" s="361"/>
      <c r="I103" s="361"/>
      <c r="J103" s="361" t="s">
        <v>243</v>
      </c>
      <c r="K103" s="363"/>
      <c r="L103" s="360"/>
      <c r="M103" s="360"/>
      <c r="N103" s="361"/>
      <c r="O103" s="361"/>
      <c r="P103" s="361"/>
      <c r="Q103" s="361"/>
      <c r="R103" s="362"/>
      <c r="S103" s="361"/>
      <c r="T103" s="360" t="s">
        <v>132</v>
      </c>
    </row>
    <row r="104" ht="34.5">
      <c r="A104" s="360" t="s">
        <v>125</v>
      </c>
      <c r="B104" s="360" t="s">
        <v>126</v>
      </c>
      <c r="C104" s="360" t="s">
        <v>241</v>
      </c>
      <c r="D104" s="360" t="s">
        <v>128</v>
      </c>
      <c r="E104" s="360" t="s">
        <v>167</v>
      </c>
      <c r="F104" s="361" t="s">
        <v>168</v>
      </c>
      <c r="G104" s="360" t="s">
        <v>145</v>
      </c>
      <c r="H104" s="361"/>
      <c r="I104" s="361"/>
      <c r="J104" s="361" t="s">
        <v>244</v>
      </c>
      <c r="K104" s="363"/>
      <c r="L104" s="360"/>
      <c r="M104" s="360"/>
      <c r="N104" s="361"/>
      <c r="O104" s="361"/>
      <c r="P104" s="361"/>
      <c r="Q104" s="361"/>
      <c r="R104" s="362"/>
      <c r="S104" s="361"/>
      <c r="T104" s="360" t="s">
        <v>132</v>
      </c>
    </row>
    <row r="105" ht="34.5">
      <c r="A105" s="360" t="s">
        <v>125</v>
      </c>
      <c r="B105" s="360" t="s">
        <v>126</v>
      </c>
      <c r="C105" s="360" t="s">
        <v>241</v>
      </c>
      <c r="D105" s="360" t="s">
        <v>128</v>
      </c>
      <c r="E105" s="360" t="s">
        <v>167</v>
      </c>
      <c r="F105" s="361" t="s">
        <v>168</v>
      </c>
      <c r="G105" s="360" t="s">
        <v>145</v>
      </c>
      <c r="H105" s="361"/>
      <c r="I105" s="361"/>
      <c r="J105" s="361" t="s">
        <v>245</v>
      </c>
      <c r="K105" s="363"/>
      <c r="L105" s="360"/>
      <c r="M105" s="360"/>
      <c r="N105" s="361"/>
      <c r="O105" s="361"/>
      <c r="P105" s="361"/>
      <c r="Q105" s="361"/>
      <c r="R105" s="362"/>
      <c r="S105" s="361"/>
      <c r="T105" s="360" t="s">
        <v>132</v>
      </c>
    </row>
    <row r="106" ht="34.5">
      <c r="A106" s="360" t="s">
        <v>125</v>
      </c>
      <c r="B106" s="360" t="s">
        <v>126</v>
      </c>
      <c r="C106" s="360" t="s">
        <v>241</v>
      </c>
      <c r="D106" s="360" t="s">
        <v>128</v>
      </c>
      <c r="E106" s="360" t="s">
        <v>167</v>
      </c>
      <c r="F106" s="361" t="s">
        <v>168</v>
      </c>
      <c r="G106" s="360" t="s">
        <v>145</v>
      </c>
      <c r="H106" s="361"/>
      <c r="I106" s="361"/>
      <c r="J106" s="361" t="s">
        <v>246</v>
      </c>
      <c r="K106" s="363"/>
      <c r="L106" s="360"/>
      <c r="M106" s="360"/>
      <c r="N106" s="361"/>
      <c r="O106" s="361"/>
      <c r="P106" s="361"/>
      <c r="Q106" s="361"/>
      <c r="R106" s="362"/>
      <c r="S106" s="361"/>
      <c r="T106" s="360" t="s">
        <v>132</v>
      </c>
    </row>
    <row r="107" ht="34.5">
      <c r="A107" s="360" t="s">
        <v>125</v>
      </c>
      <c r="B107" s="360" t="s">
        <v>126</v>
      </c>
      <c r="C107" s="360" t="s">
        <v>241</v>
      </c>
      <c r="D107" s="360" t="s">
        <v>128</v>
      </c>
      <c r="E107" s="360" t="s">
        <v>167</v>
      </c>
      <c r="F107" s="361" t="s">
        <v>168</v>
      </c>
      <c r="G107" s="360" t="s">
        <v>145</v>
      </c>
      <c r="H107" s="361"/>
      <c r="I107" s="361"/>
      <c r="J107" s="361" t="s">
        <v>247</v>
      </c>
      <c r="K107" s="363"/>
      <c r="L107" s="360"/>
      <c r="M107" s="360"/>
      <c r="N107" s="361"/>
      <c r="O107" s="361"/>
      <c r="P107" s="361"/>
      <c r="Q107" s="361"/>
      <c r="R107" s="362"/>
      <c r="S107" s="361"/>
      <c r="T107" s="360" t="s">
        <v>132</v>
      </c>
    </row>
    <row r="108" ht="34.5">
      <c r="A108" s="360" t="s">
        <v>125</v>
      </c>
      <c r="B108" s="360" t="s">
        <v>126</v>
      </c>
      <c r="C108" s="360" t="s">
        <v>241</v>
      </c>
      <c r="D108" s="360" t="s">
        <v>128</v>
      </c>
      <c r="E108" s="360" t="s">
        <v>167</v>
      </c>
      <c r="F108" s="361" t="s">
        <v>168</v>
      </c>
      <c r="G108" s="360" t="s">
        <v>145</v>
      </c>
      <c r="H108" s="361"/>
      <c r="I108" s="361"/>
      <c r="J108" s="361" t="s">
        <v>248</v>
      </c>
      <c r="K108" s="363"/>
      <c r="L108" s="360"/>
      <c r="M108" s="360"/>
      <c r="N108" s="361"/>
      <c r="O108" s="361"/>
      <c r="P108" s="361"/>
      <c r="Q108" s="361"/>
      <c r="R108" s="362"/>
      <c r="S108" s="361"/>
      <c r="T108" s="360" t="s">
        <v>132</v>
      </c>
    </row>
    <row r="109" ht="34.5">
      <c r="A109" s="360" t="s">
        <v>125</v>
      </c>
      <c r="B109" s="360" t="s">
        <v>126</v>
      </c>
      <c r="C109" s="360" t="s">
        <v>241</v>
      </c>
      <c r="D109" s="360" t="s">
        <v>128</v>
      </c>
      <c r="E109" s="360" t="s">
        <v>167</v>
      </c>
      <c r="F109" s="361" t="s">
        <v>168</v>
      </c>
      <c r="G109" s="360" t="s">
        <v>145</v>
      </c>
      <c r="H109" s="361"/>
      <c r="I109" s="361"/>
      <c r="J109" s="361" t="s">
        <v>249</v>
      </c>
      <c r="K109" s="363"/>
      <c r="L109" s="360"/>
      <c r="M109" s="360"/>
      <c r="N109" s="361"/>
      <c r="O109" s="361"/>
      <c r="P109" s="361"/>
      <c r="Q109" s="361"/>
      <c r="R109" s="362"/>
      <c r="S109" s="361"/>
      <c r="T109" s="360" t="s">
        <v>132</v>
      </c>
    </row>
    <row r="110" ht="34.5">
      <c r="A110" s="360" t="s">
        <v>125</v>
      </c>
      <c r="B110" s="360" t="s">
        <v>126</v>
      </c>
      <c r="C110" s="360" t="s">
        <v>241</v>
      </c>
      <c r="D110" s="360" t="s">
        <v>128</v>
      </c>
      <c r="E110" s="360" t="s">
        <v>167</v>
      </c>
      <c r="F110" s="361" t="s">
        <v>168</v>
      </c>
      <c r="G110" s="360" t="s">
        <v>145</v>
      </c>
      <c r="H110" s="361"/>
      <c r="I110" s="361"/>
      <c r="J110" s="361" t="s">
        <v>250</v>
      </c>
      <c r="K110" s="363"/>
      <c r="L110" s="360"/>
      <c r="M110" s="360"/>
      <c r="N110" s="361"/>
      <c r="O110" s="361"/>
      <c r="P110" s="361"/>
      <c r="Q110" s="361"/>
      <c r="R110" s="362"/>
      <c r="S110" s="361"/>
      <c r="T110" s="360" t="s">
        <v>132</v>
      </c>
    </row>
    <row r="111" ht="34.5">
      <c r="A111" s="360" t="s">
        <v>125</v>
      </c>
      <c r="B111" s="360" t="s">
        <v>126</v>
      </c>
      <c r="C111" s="360" t="s">
        <v>241</v>
      </c>
      <c r="D111" s="360" t="s">
        <v>128</v>
      </c>
      <c r="E111" s="360" t="s">
        <v>167</v>
      </c>
      <c r="F111" s="361" t="s">
        <v>168</v>
      </c>
      <c r="G111" s="360" t="s">
        <v>145</v>
      </c>
      <c r="H111" s="361"/>
      <c r="I111" s="361"/>
      <c r="J111" s="361" t="s">
        <v>251</v>
      </c>
      <c r="K111" s="363"/>
      <c r="L111" s="360"/>
      <c r="M111" s="360"/>
      <c r="N111" s="361"/>
      <c r="O111" s="361"/>
      <c r="P111" s="361"/>
      <c r="Q111" s="361"/>
      <c r="R111" s="362"/>
      <c r="S111" s="361"/>
      <c r="T111" s="360" t="s">
        <v>132</v>
      </c>
    </row>
    <row r="112" ht="34.5">
      <c r="A112" s="360" t="s">
        <v>125</v>
      </c>
      <c r="B112" s="360" t="s">
        <v>126</v>
      </c>
      <c r="C112" s="360" t="s">
        <v>252</v>
      </c>
      <c r="D112" s="360" t="s">
        <v>128</v>
      </c>
      <c r="E112" s="360" t="s">
        <v>167</v>
      </c>
      <c r="F112" s="361" t="s">
        <v>168</v>
      </c>
      <c r="G112" s="360" t="s">
        <v>145</v>
      </c>
      <c r="H112" s="361"/>
      <c r="I112" s="361"/>
      <c r="J112" s="361" t="s">
        <v>253</v>
      </c>
      <c r="K112" s="363"/>
      <c r="L112" s="360"/>
      <c r="M112" s="360"/>
      <c r="N112" s="361"/>
      <c r="O112" s="361"/>
      <c r="P112" s="361"/>
      <c r="Q112" s="361"/>
      <c r="R112" s="362"/>
      <c r="S112" s="361"/>
      <c r="T112" s="360" t="s">
        <v>132</v>
      </c>
    </row>
    <row r="113" ht="34.5">
      <c r="A113" s="360" t="s">
        <v>125</v>
      </c>
      <c r="B113" s="360" t="s">
        <v>126</v>
      </c>
      <c r="C113" s="360" t="s">
        <v>252</v>
      </c>
      <c r="D113" s="360" t="s">
        <v>128</v>
      </c>
      <c r="E113" s="360" t="s">
        <v>167</v>
      </c>
      <c r="F113" s="361" t="s">
        <v>168</v>
      </c>
      <c r="G113" s="360" t="s">
        <v>145</v>
      </c>
      <c r="H113" s="361"/>
      <c r="I113" s="361"/>
      <c r="J113" s="361" t="s">
        <v>254</v>
      </c>
      <c r="K113" s="363"/>
      <c r="L113" s="360"/>
      <c r="M113" s="360"/>
      <c r="N113" s="361"/>
      <c r="O113" s="361"/>
      <c r="P113" s="361"/>
      <c r="Q113" s="361"/>
      <c r="R113" s="362"/>
      <c r="S113" s="361"/>
      <c r="T113" s="360" t="s">
        <v>132</v>
      </c>
    </row>
    <row r="114" ht="34.5">
      <c r="A114" s="360" t="s">
        <v>125</v>
      </c>
      <c r="B114" s="360" t="s">
        <v>126</v>
      </c>
      <c r="C114" s="360" t="s">
        <v>252</v>
      </c>
      <c r="D114" s="360" t="s">
        <v>128</v>
      </c>
      <c r="E114" s="360" t="s">
        <v>167</v>
      </c>
      <c r="F114" s="361" t="s">
        <v>168</v>
      </c>
      <c r="G114" s="360" t="s">
        <v>145</v>
      </c>
      <c r="H114" s="361"/>
      <c r="I114" s="361"/>
      <c r="J114" s="361" t="s">
        <v>255</v>
      </c>
      <c r="K114" s="363"/>
      <c r="L114" s="360"/>
      <c r="M114" s="360"/>
      <c r="N114" s="361"/>
      <c r="O114" s="361"/>
      <c r="P114" s="361"/>
      <c r="Q114" s="361"/>
      <c r="R114" s="362"/>
      <c r="S114" s="361"/>
      <c r="T114" s="360" t="s">
        <v>132</v>
      </c>
    </row>
    <row r="115" ht="34.5">
      <c r="A115" s="360" t="s">
        <v>125</v>
      </c>
      <c r="B115" s="360" t="s">
        <v>126</v>
      </c>
      <c r="C115" s="360" t="s">
        <v>252</v>
      </c>
      <c r="D115" s="360" t="s">
        <v>128</v>
      </c>
      <c r="E115" s="360" t="s">
        <v>167</v>
      </c>
      <c r="F115" s="361" t="s">
        <v>168</v>
      </c>
      <c r="G115" s="360" t="s">
        <v>145</v>
      </c>
      <c r="H115" s="361"/>
      <c r="I115" s="361"/>
      <c r="J115" s="361" t="s">
        <v>256</v>
      </c>
      <c r="K115" s="363"/>
      <c r="L115" s="360"/>
      <c r="M115" s="360"/>
      <c r="N115" s="361"/>
      <c r="O115" s="361"/>
      <c r="P115" s="361"/>
      <c r="Q115" s="361"/>
      <c r="R115" s="362"/>
      <c r="S115" s="361"/>
      <c r="T115" s="360" t="s">
        <v>132</v>
      </c>
    </row>
    <row r="116" ht="34.5">
      <c r="A116" s="360" t="s">
        <v>125</v>
      </c>
      <c r="B116" s="360" t="s">
        <v>126</v>
      </c>
      <c r="C116" s="360" t="s">
        <v>252</v>
      </c>
      <c r="D116" s="360" t="s">
        <v>128</v>
      </c>
      <c r="E116" s="360" t="s">
        <v>167</v>
      </c>
      <c r="F116" s="361" t="s">
        <v>168</v>
      </c>
      <c r="G116" s="360" t="s">
        <v>145</v>
      </c>
      <c r="H116" s="361"/>
      <c r="I116" s="361"/>
      <c r="J116" s="361" t="s">
        <v>257</v>
      </c>
      <c r="K116" s="363"/>
      <c r="L116" s="360"/>
      <c r="M116" s="360"/>
      <c r="N116" s="361"/>
      <c r="O116" s="361"/>
      <c r="P116" s="361"/>
      <c r="Q116" s="361"/>
      <c r="R116" s="362"/>
      <c r="S116" s="361"/>
      <c r="T116" s="360" t="s">
        <v>132</v>
      </c>
    </row>
    <row r="117" ht="34.5">
      <c r="A117" s="360" t="s">
        <v>125</v>
      </c>
      <c r="B117" s="360" t="s">
        <v>126</v>
      </c>
      <c r="C117" s="360" t="s">
        <v>252</v>
      </c>
      <c r="D117" s="360" t="s">
        <v>128</v>
      </c>
      <c r="E117" s="360" t="s">
        <v>167</v>
      </c>
      <c r="F117" s="361" t="s">
        <v>168</v>
      </c>
      <c r="G117" s="360" t="s">
        <v>145</v>
      </c>
      <c r="H117" s="361"/>
      <c r="I117" s="361"/>
      <c r="J117" s="361" t="s">
        <v>258</v>
      </c>
      <c r="K117" s="363"/>
      <c r="L117" s="360"/>
      <c r="M117" s="360"/>
      <c r="N117" s="361"/>
      <c r="O117" s="361"/>
      <c r="P117" s="361"/>
      <c r="Q117" s="361"/>
      <c r="R117" s="362"/>
      <c r="S117" s="361"/>
      <c r="T117" s="360" t="s">
        <v>132</v>
      </c>
    </row>
    <row r="118" ht="34.5">
      <c r="A118" s="360" t="s">
        <v>125</v>
      </c>
      <c r="B118" s="360" t="s">
        <v>126</v>
      </c>
      <c r="C118" s="360" t="s">
        <v>252</v>
      </c>
      <c r="D118" s="360" t="s">
        <v>128</v>
      </c>
      <c r="E118" s="360" t="s">
        <v>167</v>
      </c>
      <c r="F118" s="361" t="s">
        <v>168</v>
      </c>
      <c r="G118" s="360" t="s">
        <v>145</v>
      </c>
      <c r="H118" s="361"/>
      <c r="I118" s="361"/>
      <c r="J118" s="361" t="s">
        <v>259</v>
      </c>
      <c r="K118" s="363"/>
      <c r="L118" s="360"/>
      <c r="M118" s="360"/>
      <c r="N118" s="361"/>
      <c r="O118" s="361"/>
      <c r="P118" s="361"/>
      <c r="Q118" s="361"/>
      <c r="R118" s="362"/>
      <c r="S118" s="361"/>
      <c r="T118" s="360" t="s">
        <v>132</v>
      </c>
    </row>
    <row r="119" ht="34.5">
      <c r="A119" s="360" t="s">
        <v>125</v>
      </c>
      <c r="B119" s="360" t="s">
        <v>126</v>
      </c>
      <c r="C119" s="360" t="s">
        <v>252</v>
      </c>
      <c r="D119" s="360" t="s">
        <v>128</v>
      </c>
      <c r="E119" s="360" t="s">
        <v>167</v>
      </c>
      <c r="F119" s="361" t="s">
        <v>168</v>
      </c>
      <c r="G119" s="360" t="s">
        <v>145</v>
      </c>
      <c r="H119" s="361"/>
      <c r="I119" s="361"/>
      <c r="J119" s="361" t="s">
        <v>260</v>
      </c>
      <c r="K119" s="363"/>
      <c r="L119" s="360"/>
      <c r="M119" s="360"/>
      <c r="N119" s="361"/>
      <c r="O119" s="361"/>
      <c r="P119" s="361"/>
      <c r="Q119" s="361"/>
      <c r="R119" s="362"/>
      <c r="S119" s="361"/>
      <c r="T119" s="360" t="s">
        <v>132</v>
      </c>
    </row>
    <row r="120" ht="34.5">
      <c r="A120" s="360" t="s">
        <v>125</v>
      </c>
      <c r="B120" s="360" t="s">
        <v>126</v>
      </c>
      <c r="C120" s="360" t="s">
        <v>252</v>
      </c>
      <c r="D120" s="360" t="s">
        <v>128</v>
      </c>
      <c r="E120" s="360" t="s">
        <v>167</v>
      </c>
      <c r="F120" s="361" t="s">
        <v>168</v>
      </c>
      <c r="G120" s="360" t="s">
        <v>145</v>
      </c>
      <c r="H120" s="361"/>
      <c r="I120" s="361"/>
      <c r="J120" s="361" t="s">
        <v>261</v>
      </c>
      <c r="K120" s="363"/>
      <c r="L120" s="360"/>
      <c r="M120" s="360"/>
      <c r="N120" s="361"/>
      <c r="O120" s="361"/>
      <c r="P120" s="361"/>
      <c r="Q120" s="361"/>
      <c r="R120" s="362"/>
      <c r="S120" s="361"/>
      <c r="T120" s="360" t="s">
        <v>132</v>
      </c>
    </row>
    <row r="121" ht="34.5">
      <c r="A121" s="360" t="s">
        <v>125</v>
      </c>
      <c r="B121" s="360" t="s">
        <v>126</v>
      </c>
      <c r="C121" s="360" t="s">
        <v>252</v>
      </c>
      <c r="D121" s="360" t="s">
        <v>128</v>
      </c>
      <c r="E121" s="360" t="s">
        <v>167</v>
      </c>
      <c r="F121" s="361" t="s">
        <v>168</v>
      </c>
      <c r="G121" s="360" t="s">
        <v>145</v>
      </c>
      <c r="H121" s="361"/>
      <c r="I121" s="361"/>
      <c r="J121" s="361" t="s">
        <v>262</v>
      </c>
      <c r="K121" s="363"/>
      <c r="L121" s="360"/>
      <c r="M121" s="360"/>
      <c r="N121" s="361"/>
      <c r="O121" s="361"/>
      <c r="P121" s="361"/>
      <c r="Q121" s="361"/>
      <c r="R121" s="362"/>
      <c r="S121" s="361"/>
      <c r="T121" s="360" t="s">
        <v>132</v>
      </c>
    </row>
    <row r="122" ht="34.5">
      <c r="A122" s="360" t="s">
        <v>125</v>
      </c>
      <c r="B122" s="360" t="s">
        <v>126</v>
      </c>
      <c r="C122" s="360" t="s">
        <v>263</v>
      </c>
      <c r="D122" s="360" t="s">
        <v>128</v>
      </c>
      <c r="E122" s="360" t="s">
        <v>167</v>
      </c>
      <c r="F122" s="361" t="s">
        <v>168</v>
      </c>
      <c r="G122" s="360" t="s">
        <v>145</v>
      </c>
      <c r="H122" s="361"/>
      <c r="I122" s="361"/>
      <c r="J122" s="361" t="s">
        <v>264</v>
      </c>
      <c r="K122" s="363"/>
      <c r="L122" s="360"/>
      <c r="M122" s="360"/>
      <c r="N122" s="361"/>
      <c r="O122" s="361"/>
      <c r="P122" s="361"/>
      <c r="Q122" s="361"/>
      <c r="R122" s="362"/>
      <c r="S122" s="361"/>
      <c r="T122" s="360" t="s">
        <v>132</v>
      </c>
    </row>
    <row r="123" ht="34.5">
      <c r="A123" s="360" t="s">
        <v>125</v>
      </c>
      <c r="B123" s="360" t="s">
        <v>126</v>
      </c>
      <c r="C123" s="360" t="s">
        <v>263</v>
      </c>
      <c r="D123" s="360" t="s">
        <v>128</v>
      </c>
      <c r="E123" s="360" t="s">
        <v>167</v>
      </c>
      <c r="F123" s="361" t="s">
        <v>168</v>
      </c>
      <c r="G123" s="360" t="s">
        <v>145</v>
      </c>
      <c r="H123" s="361"/>
      <c r="I123" s="361"/>
      <c r="J123" s="361" t="s">
        <v>265</v>
      </c>
      <c r="K123" s="363"/>
      <c r="L123" s="360"/>
      <c r="M123" s="360"/>
      <c r="N123" s="361"/>
      <c r="O123" s="361"/>
      <c r="P123" s="361"/>
      <c r="Q123" s="361"/>
      <c r="R123" s="362"/>
      <c r="S123" s="361"/>
      <c r="T123" s="360" t="s">
        <v>132</v>
      </c>
    </row>
    <row r="124" ht="34.5">
      <c r="A124" s="360" t="s">
        <v>125</v>
      </c>
      <c r="B124" s="360" t="s">
        <v>126</v>
      </c>
      <c r="C124" s="360" t="s">
        <v>263</v>
      </c>
      <c r="D124" s="360" t="s">
        <v>128</v>
      </c>
      <c r="E124" s="360" t="s">
        <v>167</v>
      </c>
      <c r="F124" s="361" t="s">
        <v>168</v>
      </c>
      <c r="G124" s="360" t="s">
        <v>145</v>
      </c>
      <c r="H124" s="361"/>
      <c r="I124" s="361"/>
      <c r="J124" s="361" t="s">
        <v>266</v>
      </c>
      <c r="K124" s="363"/>
      <c r="L124" s="360"/>
      <c r="M124" s="360"/>
      <c r="N124" s="361"/>
      <c r="O124" s="361"/>
      <c r="P124" s="361"/>
      <c r="Q124" s="361"/>
      <c r="R124" s="362"/>
      <c r="S124" s="361"/>
      <c r="T124" s="360" t="s">
        <v>132</v>
      </c>
    </row>
    <row r="125" ht="34.5">
      <c r="A125" s="360" t="s">
        <v>125</v>
      </c>
      <c r="B125" s="360" t="s">
        <v>126</v>
      </c>
      <c r="C125" s="360" t="s">
        <v>263</v>
      </c>
      <c r="D125" s="360" t="s">
        <v>128</v>
      </c>
      <c r="E125" s="360" t="s">
        <v>167</v>
      </c>
      <c r="F125" s="361" t="s">
        <v>168</v>
      </c>
      <c r="G125" s="360" t="s">
        <v>145</v>
      </c>
      <c r="H125" s="361"/>
      <c r="I125" s="361"/>
      <c r="J125" s="361" t="s">
        <v>267</v>
      </c>
      <c r="K125" s="363"/>
      <c r="L125" s="360"/>
      <c r="M125" s="360"/>
      <c r="N125" s="361"/>
      <c r="O125" s="361"/>
      <c r="P125" s="361"/>
      <c r="Q125" s="361"/>
      <c r="R125" s="362"/>
      <c r="S125" s="361"/>
      <c r="T125" s="360" t="s">
        <v>132</v>
      </c>
    </row>
    <row r="126" ht="34.5">
      <c r="A126" s="360" t="s">
        <v>125</v>
      </c>
      <c r="B126" s="360" t="s">
        <v>126</v>
      </c>
      <c r="C126" s="360" t="s">
        <v>263</v>
      </c>
      <c r="D126" s="360" t="s">
        <v>128</v>
      </c>
      <c r="E126" s="360" t="s">
        <v>167</v>
      </c>
      <c r="F126" s="361" t="s">
        <v>168</v>
      </c>
      <c r="G126" s="360" t="s">
        <v>145</v>
      </c>
      <c r="H126" s="361"/>
      <c r="I126" s="361"/>
      <c r="J126" s="361" t="s">
        <v>268</v>
      </c>
      <c r="K126" s="363"/>
      <c r="L126" s="360"/>
      <c r="M126" s="360"/>
      <c r="N126" s="361"/>
      <c r="O126" s="361"/>
      <c r="P126" s="361"/>
      <c r="Q126" s="361"/>
      <c r="R126" s="362"/>
      <c r="S126" s="361"/>
      <c r="T126" s="360" t="s">
        <v>132</v>
      </c>
    </row>
    <row r="127" ht="34.5">
      <c r="A127" s="360" t="s">
        <v>125</v>
      </c>
      <c r="B127" s="360" t="s">
        <v>126</v>
      </c>
      <c r="C127" s="360" t="s">
        <v>263</v>
      </c>
      <c r="D127" s="360" t="s">
        <v>128</v>
      </c>
      <c r="E127" s="360" t="s">
        <v>167</v>
      </c>
      <c r="F127" s="361" t="s">
        <v>168</v>
      </c>
      <c r="G127" s="360" t="s">
        <v>145</v>
      </c>
      <c r="H127" s="361"/>
      <c r="I127" s="361"/>
      <c r="J127" s="361" t="s">
        <v>269</v>
      </c>
      <c r="K127" s="363"/>
      <c r="L127" s="360"/>
      <c r="M127" s="360"/>
      <c r="N127" s="361"/>
      <c r="O127" s="361"/>
      <c r="P127" s="361"/>
      <c r="Q127" s="361"/>
      <c r="R127" s="362"/>
      <c r="S127" s="361"/>
      <c r="T127" s="360" t="s">
        <v>132</v>
      </c>
    </row>
    <row r="128" ht="34.5">
      <c r="A128" s="360" t="s">
        <v>125</v>
      </c>
      <c r="B128" s="360" t="s">
        <v>126</v>
      </c>
      <c r="C128" s="360" t="s">
        <v>263</v>
      </c>
      <c r="D128" s="360" t="s">
        <v>128</v>
      </c>
      <c r="E128" s="360" t="s">
        <v>167</v>
      </c>
      <c r="F128" s="361" t="s">
        <v>168</v>
      </c>
      <c r="G128" s="360" t="s">
        <v>145</v>
      </c>
      <c r="H128" s="361"/>
      <c r="I128" s="361"/>
      <c r="J128" s="361" t="s">
        <v>270</v>
      </c>
      <c r="K128" s="363"/>
      <c r="L128" s="360"/>
      <c r="M128" s="360"/>
      <c r="N128" s="361"/>
      <c r="O128" s="361"/>
      <c r="P128" s="361"/>
      <c r="Q128" s="361"/>
      <c r="R128" s="362"/>
      <c r="S128" s="361"/>
      <c r="T128" s="360" t="s">
        <v>132</v>
      </c>
    </row>
    <row r="129" ht="34.5">
      <c r="A129" s="360" t="s">
        <v>125</v>
      </c>
      <c r="B129" s="360" t="s">
        <v>126</v>
      </c>
      <c r="C129" s="360" t="s">
        <v>263</v>
      </c>
      <c r="D129" s="360" t="s">
        <v>128</v>
      </c>
      <c r="E129" s="360" t="s">
        <v>167</v>
      </c>
      <c r="F129" s="361" t="s">
        <v>168</v>
      </c>
      <c r="G129" s="360" t="s">
        <v>145</v>
      </c>
      <c r="H129" s="361"/>
      <c r="I129" s="361"/>
      <c r="J129" s="361" t="s">
        <v>271</v>
      </c>
      <c r="K129" s="363"/>
      <c r="L129" s="360"/>
      <c r="M129" s="360"/>
      <c r="N129" s="361"/>
      <c r="O129" s="361"/>
      <c r="P129" s="361"/>
      <c r="Q129" s="361"/>
      <c r="R129" s="362"/>
      <c r="S129" s="361"/>
      <c r="T129" s="360" t="s">
        <v>132</v>
      </c>
    </row>
    <row r="130" ht="34.5">
      <c r="A130" s="360" t="s">
        <v>125</v>
      </c>
      <c r="B130" s="360" t="s">
        <v>126</v>
      </c>
      <c r="C130" s="360" t="s">
        <v>263</v>
      </c>
      <c r="D130" s="360" t="s">
        <v>128</v>
      </c>
      <c r="E130" s="360" t="s">
        <v>167</v>
      </c>
      <c r="F130" s="361" t="s">
        <v>168</v>
      </c>
      <c r="G130" s="360" t="s">
        <v>145</v>
      </c>
      <c r="H130" s="361"/>
      <c r="I130" s="361"/>
      <c r="J130" s="361" t="s">
        <v>272</v>
      </c>
      <c r="K130" s="363"/>
      <c r="L130" s="360"/>
      <c r="M130" s="360"/>
      <c r="N130" s="361"/>
      <c r="O130" s="361"/>
      <c r="P130" s="361"/>
      <c r="Q130" s="361"/>
      <c r="R130" s="362"/>
      <c r="S130" s="361"/>
      <c r="T130" s="360" t="s">
        <v>132</v>
      </c>
    </row>
    <row r="131" ht="34.5">
      <c r="A131" s="360" t="s">
        <v>125</v>
      </c>
      <c r="B131" s="360" t="s">
        <v>126</v>
      </c>
      <c r="C131" s="360" t="s">
        <v>273</v>
      </c>
      <c r="D131" s="360" t="s">
        <v>128</v>
      </c>
      <c r="E131" s="360" t="s">
        <v>167</v>
      </c>
      <c r="F131" s="361" t="s">
        <v>168</v>
      </c>
      <c r="G131" s="360" t="s">
        <v>145</v>
      </c>
      <c r="H131" s="361"/>
      <c r="I131" s="361"/>
      <c r="J131" s="361" t="s">
        <v>274</v>
      </c>
      <c r="K131" s="363"/>
      <c r="L131" s="360"/>
      <c r="M131" s="360"/>
      <c r="N131" s="361"/>
      <c r="O131" s="361"/>
      <c r="P131" s="361"/>
      <c r="Q131" s="361"/>
      <c r="R131" s="362"/>
      <c r="S131" s="361"/>
      <c r="T131" s="360" t="s">
        <v>132</v>
      </c>
    </row>
    <row r="132" ht="34.5">
      <c r="A132" s="360" t="s">
        <v>125</v>
      </c>
      <c r="B132" s="360" t="s">
        <v>126</v>
      </c>
      <c r="C132" s="360" t="s">
        <v>273</v>
      </c>
      <c r="D132" s="360" t="s">
        <v>128</v>
      </c>
      <c r="E132" s="360" t="s">
        <v>167</v>
      </c>
      <c r="F132" s="361" t="s">
        <v>168</v>
      </c>
      <c r="G132" s="360" t="s">
        <v>145</v>
      </c>
      <c r="H132" s="361"/>
      <c r="I132" s="361"/>
      <c r="J132" s="361" t="s">
        <v>275</v>
      </c>
      <c r="K132" s="363"/>
      <c r="L132" s="360"/>
      <c r="M132" s="360"/>
      <c r="N132" s="361"/>
      <c r="O132" s="361"/>
      <c r="P132" s="361"/>
      <c r="Q132" s="361"/>
      <c r="R132" s="362"/>
      <c r="S132" s="361"/>
      <c r="T132" s="360" t="s">
        <v>132</v>
      </c>
    </row>
    <row r="133" ht="34.5">
      <c r="A133" s="360" t="s">
        <v>125</v>
      </c>
      <c r="B133" s="360" t="s">
        <v>126</v>
      </c>
      <c r="C133" s="360" t="s">
        <v>273</v>
      </c>
      <c r="D133" s="360" t="s">
        <v>128</v>
      </c>
      <c r="E133" s="360" t="s">
        <v>167</v>
      </c>
      <c r="F133" s="361" t="s">
        <v>168</v>
      </c>
      <c r="G133" s="360" t="s">
        <v>145</v>
      </c>
      <c r="H133" s="361"/>
      <c r="I133" s="361"/>
      <c r="J133" s="361" t="s">
        <v>276</v>
      </c>
      <c r="K133" s="363"/>
      <c r="L133" s="360"/>
      <c r="M133" s="360"/>
      <c r="N133" s="361"/>
      <c r="O133" s="361"/>
      <c r="P133" s="361"/>
      <c r="Q133" s="361"/>
      <c r="R133" s="362"/>
      <c r="S133" s="361"/>
      <c r="T133" s="360" t="s">
        <v>132</v>
      </c>
    </row>
    <row r="134" ht="34.5">
      <c r="A134" s="360" t="s">
        <v>125</v>
      </c>
      <c r="B134" s="360" t="s">
        <v>126</v>
      </c>
      <c r="C134" s="360" t="s">
        <v>273</v>
      </c>
      <c r="D134" s="360" t="s">
        <v>128</v>
      </c>
      <c r="E134" s="360" t="s">
        <v>167</v>
      </c>
      <c r="F134" s="361" t="s">
        <v>168</v>
      </c>
      <c r="G134" s="360" t="s">
        <v>145</v>
      </c>
      <c r="H134" s="361"/>
      <c r="I134" s="361"/>
      <c r="J134" s="361" t="s">
        <v>277</v>
      </c>
      <c r="K134" s="363"/>
      <c r="L134" s="360"/>
      <c r="M134" s="360"/>
      <c r="N134" s="361"/>
      <c r="O134" s="361"/>
      <c r="P134" s="361"/>
      <c r="Q134" s="361"/>
      <c r="R134" s="362"/>
      <c r="S134" s="361"/>
      <c r="T134" s="360" t="s">
        <v>132</v>
      </c>
    </row>
    <row r="135" ht="34.5">
      <c r="A135" s="360" t="s">
        <v>125</v>
      </c>
      <c r="B135" s="360" t="s">
        <v>126</v>
      </c>
      <c r="C135" s="360" t="s">
        <v>273</v>
      </c>
      <c r="D135" s="360" t="s">
        <v>128</v>
      </c>
      <c r="E135" s="360" t="s">
        <v>167</v>
      </c>
      <c r="F135" s="361" t="s">
        <v>168</v>
      </c>
      <c r="G135" s="360" t="s">
        <v>145</v>
      </c>
      <c r="H135" s="361"/>
      <c r="I135" s="361"/>
      <c r="J135" s="361" t="s">
        <v>278</v>
      </c>
      <c r="K135" s="363"/>
      <c r="L135" s="360"/>
      <c r="M135" s="360"/>
      <c r="N135" s="361"/>
      <c r="O135" s="361"/>
      <c r="P135" s="361"/>
      <c r="Q135" s="361"/>
      <c r="R135" s="362"/>
      <c r="S135" s="361"/>
      <c r="T135" s="360" t="s">
        <v>132</v>
      </c>
    </row>
    <row r="136" ht="34.5">
      <c r="A136" s="360" t="s">
        <v>125</v>
      </c>
      <c r="B136" s="360" t="s">
        <v>126</v>
      </c>
      <c r="C136" s="360" t="s">
        <v>273</v>
      </c>
      <c r="D136" s="360" t="s">
        <v>128</v>
      </c>
      <c r="E136" s="360" t="s">
        <v>167</v>
      </c>
      <c r="F136" s="361" t="s">
        <v>168</v>
      </c>
      <c r="G136" s="360" t="s">
        <v>145</v>
      </c>
      <c r="H136" s="361"/>
      <c r="I136" s="361"/>
      <c r="J136" s="361" t="s">
        <v>279</v>
      </c>
      <c r="K136" s="363"/>
      <c r="L136" s="360"/>
      <c r="M136" s="360"/>
      <c r="N136" s="361"/>
      <c r="O136" s="361"/>
      <c r="P136" s="361"/>
      <c r="Q136" s="361"/>
      <c r="R136" s="362"/>
      <c r="S136" s="361"/>
      <c r="T136" s="360" t="s">
        <v>132</v>
      </c>
    </row>
    <row r="137" ht="34.5">
      <c r="A137" s="360" t="s">
        <v>125</v>
      </c>
      <c r="B137" s="360" t="s">
        <v>126</v>
      </c>
      <c r="C137" s="360" t="s">
        <v>273</v>
      </c>
      <c r="D137" s="360" t="s">
        <v>128</v>
      </c>
      <c r="E137" s="360" t="s">
        <v>167</v>
      </c>
      <c r="F137" s="361" t="s">
        <v>168</v>
      </c>
      <c r="G137" s="360" t="s">
        <v>145</v>
      </c>
      <c r="H137" s="361"/>
      <c r="I137" s="361"/>
      <c r="J137" s="361" t="s">
        <v>280</v>
      </c>
      <c r="K137" s="363"/>
      <c r="L137" s="360"/>
      <c r="M137" s="360"/>
      <c r="N137" s="361"/>
      <c r="O137" s="361"/>
      <c r="P137" s="361"/>
      <c r="Q137" s="361"/>
      <c r="R137" s="362"/>
      <c r="S137" s="361"/>
      <c r="T137" s="360" t="s">
        <v>132</v>
      </c>
    </row>
    <row r="138" ht="34.5">
      <c r="A138" s="360" t="s">
        <v>125</v>
      </c>
      <c r="B138" s="360" t="s">
        <v>126</v>
      </c>
      <c r="C138" s="360" t="s">
        <v>273</v>
      </c>
      <c r="D138" s="360" t="s">
        <v>128</v>
      </c>
      <c r="E138" s="360" t="s">
        <v>167</v>
      </c>
      <c r="F138" s="361" t="s">
        <v>168</v>
      </c>
      <c r="G138" s="360" t="s">
        <v>145</v>
      </c>
      <c r="H138" s="361"/>
      <c r="I138" s="361"/>
      <c r="J138" s="361" t="s">
        <v>281</v>
      </c>
      <c r="K138" s="363"/>
      <c r="L138" s="360"/>
      <c r="M138" s="360"/>
      <c r="N138" s="361"/>
      <c r="O138" s="361"/>
      <c r="P138" s="361"/>
      <c r="Q138" s="361"/>
      <c r="R138" s="362"/>
      <c r="S138" s="361"/>
      <c r="T138" s="360" t="s">
        <v>132</v>
      </c>
    </row>
    <row r="139" ht="34.5">
      <c r="A139" s="360" t="s">
        <v>125</v>
      </c>
      <c r="B139" s="360" t="s">
        <v>126</v>
      </c>
      <c r="C139" s="360" t="s">
        <v>273</v>
      </c>
      <c r="D139" s="360" t="s">
        <v>128</v>
      </c>
      <c r="E139" s="360" t="s">
        <v>167</v>
      </c>
      <c r="F139" s="361" t="s">
        <v>168</v>
      </c>
      <c r="G139" s="360" t="s">
        <v>145</v>
      </c>
      <c r="H139" s="361"/>
      <c r="I139" s="361"/>
      <c r="J139" s="361" t="s">
        <v>282</v>
      </c>
      <c r="K139" s="363"/>
      <c r="L139" s="360"/>
      <c r="M139" s="360"/>
      <c r="N139" s="361"/>
      <c r="O139" s="361"/>
      <c r="P139" s="361"/>
      <c r="Q139" s="361"/>
      <c r="R139" s="362"/>
      <c r="S139" s="361"/>
      <c r="T139" s="360" t="s">
        <v>132</v>
      </c>
    </row>
    <row r="140" ht="34.5">
      <c r="A140" s="360" t="s">
        <v>125</v>
      </c>
      <c r="B140" s="360" t="s">
        <v>126</v>
      </c>
      <c r="C140" s="360" t="s">
        <v>273</v>
      </c>
      <c r="D140" s="360" t="s">
        <v>128</v>
      </c>
      <c r="E140" s="360" t="s">
        <v>167</v>
      </c>
      <c r="F140" s="361" t="s">
        <v>168</v>
      </c>
      <c r="G140" s="360" t="s">
        <v>145</v>
      </c>
      <c r="H140" s="361"/>
      <c r="I140" s="361"/>
      <c r="J140" s="361" t="s">
        <v>283</v>
      </c>
      <c r="K140" s="363"/>
      <c r="L140" s="360"/>
      <c r="M140" s="360"/>
      <c r="N140" s="361"/>
      <c r="O140" s="361"/>
      <c r="P140" s="361"/>
      <c r="Q140" s="361"/>
      <c r="R140" s="362"/>
      <c r="S140" s="361"/>
      <c r="T140" s="360" t="s">
        <v>132</v>
      </c>
    </row>
    <row r="141" ht="34.5">
      <c r="A141" s="360" t="s">
        <v>125</v>
      </c>
      <c r="B141" s="360" t="s">
        <v>126</v>
      </c>
      <c r="C141" s="360" t="s">
        <v>273</v>
      </c>
      <c r="D141" s="360" t="s">
        <v>128</v>
      </c>
      <c r="E141" s="360" t="s">
        <v>167</v>
      </c>
      <c r="F141" s="361" t="s">
        <v>168</v>
      </c>
      <c r="G141" s="360" t="s">
        <v>145</v>
      </c>
      <c r="H141" s="361"/>
      <c r="I141" s="361"/>
      <c r="J141" s="361" t="s">
        <v>284</v>
      </c>
      <c r="K141" s="363"/>
      <c r="L141" s="360"/>
      <c r="M141" s="360"/>
      <c r="N141" s="361"/>
      <c r="O141" s="361"/>
      <c r="P141" s="361"/>
      <c r="Q141" s="361"/>
      <c r="R141" s="362"/>
      <c r="S141" s="361"/>
      <c r="T141" s="360" t="s">
        <v>132</v>
      </c>
    </row>
    <row r="142" ht="34.5">
      <c r="A142" s="360" t="s">
        <v>125</v>
      </c>
      <c r="B142" s="360" t="s">
        <v>126</v>
      </c>
      <c r="C142" s="360" t="s">
        <v>273</v>
      </c>
      <c r="D142" s="360" t="s">
        <v>128</v>
      </c>
      <c r="E142" s="360" t="s">
        <v>167</v>
      </c>
      <c r="F142" s="361" t="s">
        <v>168</v>
      </c>
      <c r="G142" s="360" t="s">
        <v>145</v>
      </c>
      <c r="H142" s="361"/>
      <c r="I142" s="361"/>
      <c r="J142" s="361" t="s">
        <v>285</v>
      </c>
      <c r="K142" s="363"/>
      <c r="L142" s="360"/>
      <c r="M142" s="360"/>
      <c r="N142" s="361"/>
      <c r="O142" s="361"/>
      <c r="P142" s="361"/>
      <c r="Q142" s="361"/>
      <c r="R142" s="362"/>
      <c r="S142" s="361"/>
      <c r="T142" s="360" t="s">
        <v>132</v>
      </c>
    </row>
    <row r="143" ht="34.5">
      <c r="A143" s="360" t="s">
        <v>125</v>
      </c>
      <c r="B143" s="360" t="s">
        <v>126</v>
      </c>
      <c r="C143" s="360" t="s">
        <v>273</v>
      </c>
      <c r="D143" s="360" t="s">
        <v>128</v>
      </c>
      <c r="E143" s="360" t="s">
        <v>167</v>
      </c>
      <c r="F143" s="361" t="s">
        <v>168</v>
      </c>
      <c r="G143" s="360" t="s">
        <v>145</v>
      </c>
      <c r="H143" s="361"/>
      <c r="I143" s="361"/>
      <c r="J143" s="361" t="s">
        <v>286</v>
      </c>
      <c r="K143" s="363"/>
      <c r="L143" s="360"/>
      <c r="M143" s="360"/>
      <c r="N143" s="361"/>
      <c r="O143" s="361"/>
      <c r="P143" s="361"/>
      <c r="Q143" s="361"/>
      <c r="R143" s="362"/>
      <c r="S143" s="361"/>
      <c r="T143" s="360" t="s">
        <v>132</v>
      </c>
    </row>
    <row r="144" ht="34.5">
      <c r="A144" s="360" t="s">
        <v>125</v>
      </c>
      <c r="B144" s="360" t="s">
        <v>126</v>
      </c>
      <c r="C144" s="360" t="s">
        <v>273</v>
      </c>
      <c r="D144" s="360" t="s">
        <v>128</v>
      </c>
      <c r="E144" s="360" t="s">
        <v>167</v>
      </c>
      <c r="F144" s="361" t="s">
        <v>168</v>
      </c>
      <c r="G144" s="360" t="s">
        <v>145</v>
      </c>
      <c r="H144" s="361"/>
      <c r="I144" s="361"/>
      <c r="J144" s="361" t="s">
        <v>287</v>
      </c>
      <c r="K144" s="363"/>
      <c r="L144" s="360"/>
      <c r="M144" s="360"/>
      <c r="N144" s="361"/>
      <c r="O144" s="361"/>
      <c r="P144" s="361"/>
      <c r="Q144" s="361"/>
      <c r="R144" s="362"/>
      <c r="S144" s="361"/>
      <c r="T144" s="360" t="s">
        <v>132</v>
      </c>
    </row>
    <row r="145" ht="34.5">
      <c r="A145" s="360" t="s">
        <v>125</v>
      </c>
      <c r="B145" s="360" t="s">
        <v>126</v>
      </c>
      <c r="C145" s="360" t="s">
        <v>288</v>
      </c>
      <c r="D145" s="360" t="s">
        <v>128</v>
      </c>
      <c r="E145" s="360" t="s">
        <v>167</v>
      </c>
      <c r="F145" s="361" t="s">
        <v>168</v>
      </c>
      <c r="G145" s="360" t="s">
        <v>145</v>
      </c>
      <c r="H145" s="361"/>
      <c r="I145" s="361"/>
      <c r="J145" s="361" t="s">
        <v>289</v>
      </c>
      <c r="K145" s="363"/>
      <c r="L145" s="360"/>
      <c r="M145" s="360"/>
      <c r="N145" s="361"/>
      <c r="O145" s="361"/>
      <c r="P145" s="361"/>
      <c r="Q145" s="361"/>
      <c r="R145" s="362"/>
      <c r="S145" s="361"/>
      <c r="T145" s="360" t="s">
        <v>132</v>
      </c>
    </row>
    <row r="146" ht="34.5">
      <c r="A146" s="360" t="s">
        <v>125</v>
      </c>
      <c r="B146" s="360" t="s">
        <v>126</v>
      </c>
      <c r="C146" s="360" t="s">
        <v>288</v>
      </c>
      <c r="D146" s="360" t="s">
        <v>128</v>
      </c>
      <c r="E146" s="360" t="s">
        <v>167</v>
      </c>
      <c r="F146" s="361" t="s">
        <v>168</v>
      </c>
      <c r="G146" s="360" t="s">
        <v>145</v>
      </c>
      <c r="H146" s="361"/>
      <c r="I146" s="361"/>
      <c r="J146" s="361" t="s">
        <v>290</v>
      </c>
      <c r="K146" s="363"/>
      <c r="L146" s="360"/>
      <c r="M146" s="360"/>
      <c r="N146" s="361"/>
      <c r="O146" s="361"/>
      <c r="P146" s="361"/>
      <c r="Q146" s="361"/>
      <c r="R146" s="362"/>
      <c r="S146" s="361"/>
      <c r="T146" s="360" t="s">
        <v>132</v>
      </c>
    </row>
    <row r="147" ht="34.5">
      <c r="A147" s="360" t="s">
        <v>125</v>
      </c>
      <c r="B147" s="360" t="s">
        <v>126</v>
      </c>
      <c r="C147" s="360" t="s">
        <v>288</v>
      </c>
      <c r="D147" s="360" t="s">
        <v>128</v>
      </c>
      <c r="E147" s="360" t="s">
        <v>167</v>
      </c>
      <c r="F147" s="361" t="s">
        <v>168</v>
      </c>
      <c r="G147" s="360" t="s">
        <v>145</v>
      </c>
      <c r="H147" s="361"/>
      <c r="I147" s="361"/>
      <c r="J147" s="361" t="s">
        <v>291</v>
      </c>
      <c r="K147" s="363"/>
      <c r="L147" s="360"/>
      <c r="M147" s="360"/>
      <c r="N147" s="361"/>
      <c r="O147" s="361"/>
      <c r="P147" s="361"/>
      <c r="Q147" s="361"/>
      <c r="R147" s="362"/>
      <c r="S147" s="361"/>
      <c r="T147" s="360" t="s">
        <v>132</v>
      </c>
    </row>
    <row r="148" ht="34.5">
      <c r="A148" s="360" t="s">
        <v>125</v>
      </c>
      <c r="B148" s="360" t="s">
        <v>126</v>
      </c>
      <c r="C148" s="360" t="s">
        <v>288</v>
      </c>
      <c r="D148" s="360" t="s">
        <v>128</v>
      </c>
      <c r="E148" s="360" t="s">
        <v>167</v>
      </c>
      <c r="F148" s="361" t="s">
        <v>168</v>
      </c>
      <c r="G148" s="360" t="s">
        <v>145</v>
      </c>
      <c r="H148" s="361"/>
      <c r="I148" s="361"/>
      <c r="J148" s="361" t="s">
        <v>292</v>
      </c>
      <c r="K148" s="363"/>
      <c r="L148" s="360"/>
      <c r="M148" s="360"/>
      <c r="N148" s="361"/>
      <c r="O148" s="361"/>
      <c r="P148" s="361"/>
      <c r="Q148" s="361"/>
      <c r="R148" s="362"/>
      <c r="S148" s="361"/>
      <c r="T148" s="360" t="s">
        <v>132</v>
      </c>
    </row>
    <row r="149" ht="34.5">
      <c r="A149" s="360" t="s">
        <v>125</v>
      </c>
      <c r="B149" s="360" t="s">
        <v>126</v>
      </c>
      <c r="C149" s="360" t="s">
        <v>288</v>
      </c>
      <c r="D149" s="360" t="s">
        <v>128</v>
      </c>
      <c r="E149" s="360" t="s">
        <v>167</v>
      </c>
      <c r="F149" s="361" t="s">
        <v>168</v>
      </c>
      <c r="G149" s="360" t="s">
        <v>145</v>
      </c>
      <c r="H149" s="361"/>
      <c r="I149" s="361"/>
      <c r="J149" s="361" t="s">
        <v>293</v>
      </c>
      <c r="K149" s="363"/>
      <c r="L149" s="360"/>
      <c r="M149" s="360"/>
      <c r="N149" s="361"/>
      <c r="O149" s="361"/>
      <c r="P149" s="361"/>
      <c r="Q149" s="361"/>
      <c r="R149" s="362"/>
      <c r="S149" s="361"/>
      <c r="T149" s="360" t="s">
        <v>132</v>
      </c>
    </row>
    <row r="150" ht="34.5">
      <c r="A150" s="360" t="s">
        <v>125</v>
      </c>
      <c r="B150" s="360" t="s">
        <v>126</v>
      </c>
      <c r="C150" s="360" t="s">
        <v>288</v>
      </c>
      <c r="D150" s="360" t="s">
        <v>128</v>
      </c>
      <c r="E150" s="360" t="s">
        <v>167</v>
      </c>
      <c r="F150" s="361" t="s">
        <v>168</v>
      </c>
      <c r="G150" s="360" t="s">
        <v>145</v>
      </c>
      <c r="H150" s="361"/>
      <c r="I150" s="361"/>
      <c r="J150" s="361" t="s">
        <v>294</v>
      </c>
      <c r="K150" s="363"/>
      <c r="L150" s="360"/>
      <c r="M150" s="360"/>
      <c r="N150" s="361"/>
      <c r="O150" s="361"/>
      <c r="P150" s="361"/>
      <c r="Q150" s="361"/>
      <c r="R150" s="362"/>
      <c r="S150" s="361"/>
      <c r="T150" s="360" t="s">
        <v>132</v>
      </c>
    </row>
    <row r="151" ht="34.5">
      <c r="A151" s="360" t="s">
        <v>125</v>
      </c>
      <c r="B151" s="360" t="s">
        <v>126</v>
      </c>
      <c r="C151" s="360" t="s">
        <v>288</v>
      </c>
      <c r="D151" s="360" t="s">
        <v>128</v>
      </c>
      <c r="E151" s="360" t="s">
        <v>167</v>
      </c>
      <c r="F151" s="361" t="s">
        <v>168</v>
      </c>
      <c r="G151" s="360" t="s">
        <v>145</v>
      </c>
      <c r="H151" s="361"/>
      <c r="I151" s="361"/>
      <c r="J151" s="361" t="s">
        <v>295</v>
      </c>
      <c r="K151" s="363"/>
      <c r="L151" s="360"/>
      <c r="M151" s="360"/>
      <c r="N151" s="361"/>
      <c r="O151" s="361"/>
      <c r="P151" s="361"/>
      <c r="Q151" s="361"/>
      <c r="R151" s="362"/>
      <c r="S151" s="361"/>
      <c r="T151" s="360" t="s">
        <v>132</v>
      </c>
    </row>
    <row r="152" ht="34.5">
      <c r="A152" s="360" t="s">
        <v>125</v>
      </c>
      <c r="B152" s="360" t="s">
        <v>126</v>
      </c>
      <c r="C152" s="360" t="s">
        <v>288</v>
      </c>
      <c r="D152" s="360" t="s">
        <v>128</v>
      </c>
      <c r="E152" s="360" t="s">
        <v>167</v>
      </c>
      <c r="F152" s="361" t="s">
        <v>168</v>
      </c>
      <c r="G152" s="360" t="s">
        <v>145</v>
      </c>
      <c r="H152" s="361"/>
      <c r="I152" s="361"/>
      <c r="J152" s="361" t="s">
        <v>296</v>
      </c>
      <c r="K152" s="363"/>
      <c r="L152" s="360"/>
      <c r="M152" s="360"/>
      <c r="N152" s="361"/>
      <c r="O152" s="361"/>
      <c r="P152" s="361"/>
      <c r="Q152" s="361"/>
      <c r="R152" s="362"/>
      <c r="S152" s="361"/>
      <c r="T152" s="360" t="s">
        <v>132</v>
      </c>
    </row>
    <row r="153" ht="34.5">
      <c r="A153" s="360" t="s">
        <v>125</v>
      </c>
      <c r="B153" s="360" t="s">
        <v>126</v>
      </c>
      <c r="C153" s="360" t="s">
        <v>288</v>
      </c>
      <c r="D153" s="360" t="s">
        <v>128</v>
      </c>
      <c r="E153" s="360" t="s">
        <v>167</v>
      </c>
      <c r="F153" s="361" t="s">
        <v>168</v>
      </c>
      <c r="G153" s="360" t="s">
        <v>145</v>
      </c>
      <c r="H153" s="361"/>
      <c r="I153" s="361"/>
      <c r="J153" s="361" t="s">
        <v>297</v>
      </c>
      <c r="K153" s="363"/>
      <c r="L153" s="360"/>
      <c r="M153" s="360"/>
      <c r="N153" s="361"/>
      <c r="O153" s="361"/>
      <c r="P153" s="361"/>
      <c r="Q153" s="361"/>
      <c r="R153" s="362"/>
      <c r="S153" s="361"/>
      <c r="T153" s="360" t="s">
        <v>132</v>
      </c>
    </row>
    <row r="154" ht="34.5">
      <c r="A154" s="360" t="s">
        <v>125</v>
      </c>
      <c r="B154" s="360" t="s">
        <v>126</v>
      </c>
      <c r="C154" s="360" t="s">
        <v>288</v>
      </c>
      <c r="D154" s="360" t="s">
        <v>128</v>
      </c>
      <c r="E154" s="360" t="s">
        <v>167</v>
      </c>
      <c r="F154" s="361" t="s">
        <v>168</v>
      </c>
      <c r="G154" s="360" t="s">
        <v>145</v>
      </c>
      <c r="H154" s="361"/>
      <c r="I154" s="361"/>
      <c r="J154" s="361" t="s">
        <v>298</v>
      </c>
      <c r="K154" s="363"/>
      <c r="L154" s="360"/>
      <c r="M154" s="360"/>
      <c r="N154" s="361"/>
      <c r="O154" s="361"/>
      <c r="P154" s="361"/>
      <c r="Q154" s="361"/>
      <c r="R154" s="362"/>
      <c r="S154" s="361"/>
      <c r="T154" s="360" t="s">
        <v>132</v>
      </c>
    </row>
    <row r="155" ht="34.5">
      <c r="A155" s="360" t="s">
        <v>125</v>
      </c>
      <c r="B155" s="360" t="s">
        <v>126</v>
      </c>
      <c r="C155" s="360" t="s">
        <v>288</v>
      </c>
      <c r="D155" s="360" t="s">
        <v>128</v>
      </c>
      <c r="E155" s="360" t="s">
        <v>167</v>
      </c>
      <c r="F155" s="361" t="s">
        <v>168</v>
      </c>
      <c r="G155" s="360" t="s">
        <v>145</v>
      </c>
      <c r="H155" s="361"/>
      <c r="I155" s="361"/>
      <c r="J155" s="361" t="s">
        <v>299</v>
      </c>
      <c r="K155" s="363"/>
      <c r="L155" s="360"/>
      <c r="M155" s="360"/>
      <c r="N155" s="361"/>
      <c r="O155" s="361"/>
      <c r="P155" s="361"/>
      <c r="Q155" s="361"/>
      <c r="R155" s="362"/>
      <c r="S155" s="361"/>
      <c r="T155" s="360" t="s">
        <v>132</v>
      </c>
    </row>
    <row r="156" ht="34.5">
      <c r="A156" s="360" t="s">
        <v>125</v>
      </c>
      <c r="B156" s="360" t="s">
        <v>126</v>
      </c>
      <c r="C156" s="360" t="s">
        <v>300</v>
      </c>
      <c r="D156" s="360" t="s">
        <v>128</v>
      </c>
      <c r="E156" s="360" t="s">
        <v>167</v>
      </c>
      <c r="F156" s="361" t="s">
        <v>168</v>
      </c>
      <c r="G156" s="360" t="s">
        <v>145</v>
      </c>
      <c r="H156" s="361"/>
      <c r="I156" s="361"/>
      <c r="J156" s="361" t="s">
        <v>301</v>
      </c>
      <c r="K156" s="363"/>
      <c r="L156" s="360"/>
      <c r="M156" s="360"/>
      <c r="N156" s="361"/>
      <c r="O156" s="361"/>
      <c r="P156" s="361"/>
      <c r="Q156" s="361"/>
      <c r="R156" s="362"/>
      <c r="S156" s="361"/>
      <c r="T156" s="360" t="s">
        <v>132</v>
      </c>
    </row>
    <row r="157" ht="34.5">
      <c r="A157" s="360" t="s">
        <v>125</v>
      </c>
      <c r="B157" s="360" t="s">
        <v>126</v>
      </c>
      <c r="C157" s="360" t="s">
        <v>300</v>
      </c>
      <c r="D157" s="360" t="s">
        <v>128</v>
      </c>
      <c r="E157" s="360" t="s">
        <v>167</v>
      </c>
      <c r="F157" s="361" t="s">
        <v>168</v>
      </c>
      <c r="G157" s="360" t="s">
        <v>145</v>
      </c>
      <c r="H157" s="361"/>
      <c r="I157" s="361"/>
      <c r="J157" s="361" t="s">
        <v>302</v>
      </c>
      <c r="K157" s="363"/>
      <c r="L157" s="360"/>
      <c r="M157" s="360"/>
      <c r="N157" s="361"/>
      <c r="O157" s="361"/>
      <c r="P157" s="361"/>
      <c r="Q157" s="361"/>
      <c r="R157" s="362"/>
      <c r="S157" s="361"/>
      <c r="T157" s="360" t="s">
        <v>132</v>
      </c>
    </row>
    <row r="158" ht="34.5">
      <c r="A158" s="360" t="s">
        <v>125</v>
      </c>
      <c r="B158" s="360" t="s">
        <v>126</v>
      </c>
      <c r="C158" s="360" t="s">
        <v>300</v>
      </c>
      <c r="D158" s="360" t="s">
        <v>128</v>
      </c>
      <c r="E158" s="360" t="s">
        <v>167</v>
      </c>
      <c r="F158" s="361" t="s">
        <v>168</v>
      </c>
      <c r="G158" s="360" t="s">
        <v>145</v>
      </c>
      <c r="H158" s="361"/>
      <c r="I158" s="361"/>
      <c r="J158" s="361" t="s">
        <v>303</v>
      </c>
      <c r="K158" s="363"/>
      <c r="L158" s="360"/>
      <c r="M158" s="360"/>
      <c r="N158" s="361"/>
      <c r="O158" s="361"/>
      <c r="P158" s="361"/>
      <c r="Q158" s="361"/>
      <c r="R158" s="362"/>
      <c r="S158" s="361"/>
      <c r="T158" s="360" t="s">
        <v>132</v>
      </c>
    </row>
    <row r="159" ht="34.5">
      <c r="A159" s="360" t="s">
        <v>125</v>
      </c>
      <c r="B159" s="360" t="s">
        <v>126</v>
      </c>
      <c r="C159" s="360" t="s">
        <v>300</v>
      </c>
      <c r="D159" s="360" t="s">
        <v>128</v>
      </c>
      <c r="E159" s="360" t="s">
        <v>167</v>
      </c>
      <c r="F159" s="361" t="s">
        <v>168</v>
      </c>
      <c r="G159" s="360" t="s">
        <v>145</v>
      </c>
      <c r="H159" s="361"/>
      <c r="I159" s="361"/>
      <c r="J159" s="361" t="s">
        <v>304</v>
      </c>
      <c r="K159" s="363"/>
      <c r="L159" s="360"/>
      <c r="M159" s="360"/>
      <c r="N159" s="361"/>
      <c r="O159" s="361"/>
      <c r="P159" s="361"/>
      <c r="Q159" s="361"/>
      <c r="R159" s="362"/>
      <c r="S159" s="361"/>
      <c r="T159" s="360" t="s">
        <v>132</v>
      </c>
    </row>
    <row r="160" ht="34.5">
      <c r="A160" s="360" t="s">
        <v>125</v>
      </c>
      <c r="B160" s="360" t="s">
        <v>126</v>
      </c>
      <c r="C160" s="360" t="s">
        <v>300</v>
      </c>
      <c r="D160" s="360" t="s">
        <v>128</v>
      </c>
      <c r="E160" s="360" t="s">
        <v>167</v>
      </c>
      <c r="F160" s="361" t="s">
        <v>168</v>
      </c>
      <c r="G160" s="360" t="s">
        <v>145</v>
      </c>
      <c r="H160" s="361"/>
      <c r="I160" s="361"/>
      <c r="J160" s="361" t="s">
        <v>305</v>
      </c>
      <c r="K160" s="363"/>
      <c r="L160" s="360"/>
      <c r="M160" s="360"/>
      <c r="N160" s="361"/>
      <c r="O160" s="361"/>
      <c r="P160" s="361"/>
      <c r="Q160" s="361"/>
      <c r="R160" s="362"/>
      <c r="S160" s="361"/>
      <c r="T160" s="360" t="s">
        <v>132</v>
      </c>
    </row>
    <row r="161" ht="34.5">
      <c r="A161" s="360" t="s">
        <v>125</v>
      </c>
      <c r="B161" s="360" t="s">
        <v>126</v>
      </c>
      <c r="C161" s="360" t="s">
        <v>300</v>
      </c>
      <c r="D161" s="360" t="s">
        <v>128</v>
      </c>
      <c r="E161" s="360" t="s">
        <v>167</v>
      </c>
      <c r="F161" s="361" t="s">
        <v>168</v>
      </c>
      <c r="G161" s="360" t="s">
        <v>145</v>
      </c>
      <c r="H161" s="361"/>
      <c r="I161" s="361"/>
      <c r="J161" s="361" t="s">
        <v>306</v>
      </c>
      <c r="K161" s="363"/>
      <c r="L161" s="360"/>
      <c r="M161" s="360"/>
      <c r="N161" s="361"/>
      <c r="O161" s="361"/>
      <c r="P161" s="361"/>
      <c r="Q161" s="361"/>
      <c r="R161" s="362"/>
      <c r="S161" s="361"/>
      <c r="T161" s="360" t="s">
        <v>132</v>
      </c>
    </row>
    <row r="162" ht="34.5">
      <c r="A162" s="360" t="s">
        <v>125</v>
      </c>
      <c r="B162" s="360" t="s">
        <v>126</v>
      </c>
      <c r="C162" s="360" t="s">
        <v>300</v>
      </c>
      <c r="D162" s="360" t="s">
        <v>128</v>
      </c>
      <c r="E162" s="360" t="s">
        <v>167</v>
      </c>
      <c r="F162" s="361" t="s">
        <v>168</v>
      </c>
      <c r="G162" s="360" t="s">
        <v>145</v>
      </c>
      <c r="H162" s="361"/>
      <c r="I162" s="361"/>
      <c r="J162" s="361" t="s">
        <v>307</v>
      </c>
      <c r="K162" s="363"/>
      <c r="L162" s="360"/>
      <c r="M162" s="360"/>
      <c r="N162" s="361"/>
      <c r="O162" s="361"/>
      <c r="P162" s="361"/>
      <c r="Q162" s="361"/>
      <c r="R162" s="362"/>
      <c r="S162" s="361"/>
      <c r="T162" s="360" t="s">
        <v>132</v>
      </c>
    </row>
    <row r="163" ht="34.5">
      <c r="A163" s="360" t="s">
        <v>125</v>
      </c>
      <c r="B163" s="360" t="s">
        <v>126</v>
      </c>
      <c r="C163" s="360" t="s">
        <v>300</v>
      </c>
      <c r="D163" s="360" t="s">
        <v>128</v>
      </c>
      <c r="E163" s="360" t="s">
        <v>167</v>
      </c>
      <c r="F163" s="361" t="s">
        <v>168</v>
      </c>
      <c r="G163" s="360" t="s">
        <v>145</v>
      </c>
      <c r="H163" s="361"/>
      <c r="I163" s="361"/>
      <c r="J163" s="361" t="s">
        <v>308</v>
      </c>
      <c r="K163" s="363"/>
      <c r="L163" s="360"/>
      <c r="M163" s="360"/>
      <c r="N163" s="361"/>
      <c r="O163" s="361"/>
      <c r="P163" s="361"/>
      <c r="Q163" s="361"/>
      <c r="R163" s="362"/>
      <c r="S163" s="361"/>
      <c r="T163" s="360" t="s">
        <v>132</v>
      </c>
    </row>
    <row r="164" ht="34.5">
      <c r="A164" s="360" t="s">
        <v>125</v>
      </c>
      <c r="B164" s="360" t="s">
        <v>126</v>
      </c>
      <c r="C164" s="360" t="s">
        <v>300</v>
      </c>
      <c r="D164" s="360" t="s">
        <v>128</v>
      </c>
      <c r="E164" s="360" t="s">
        <v>167</v>
      </c>
      <c r="F164" s="361" t="s">
        <v>168</v>
      </c>
      <c r="G164" s="360" t="s">
        <v>145</v>
      </c>
      <c r="H164" s="361"/>
      <c r="I164" s="361"/>
      <c r="J164" s="361" t="s">
        <v>309</v>
      </c>
      <c r="K164" s="363"/>
      <c r="L164" s="360"/>
      <c r="M164" s="360"/>
      <c r="N164" s="361"/>
      <c r="O164" s="361"/>
      <c r="P164" s="361"/>
      <c r="Q164" s="361"/>
      <c r="R164" s="362"/>
      <c r="S164" s="361"/>
      <c r="T164" s="360" t="s">
        <v>132</v>
      </c>
    </row>
    <row r="165" ht="34.5">
      <c r="A165" s="360" t="s">
        <v>125</v>
      </c>
      <c r="B165" s="360" t="s">
        <v>126</v>
      </c>
      <c r="C165" s="360" t="s">
        <v>300</v>
      </c>
      <c r="D165" s="360" t="s">
        <v>128</v>
      </c>
      <c r="E165" s="360" t="s">
        <v>167</v>
      </c>
      <c r="F165" s="361" t="s">
        <v>168</v>
      </c>
      <c r="G165" s="360" t="s">
        <v>145</v>
      </c>
      <c r="H165" s="361"/>
      <c r="I165" s="361"/>
      <c r="J165" s="361" t="s">
        <v>310</v>
      </c>
      <c r="K165" s="363"/>
      <c r="L165" s="360"/>
      <c r="M165" s="360"/>
      <c r="N165" s="361"/>
      <c r="O165" s="361"/>
      <c r="P165" s="361"/>
      <c r="Q165" s="361"/>
      <c r="R165" s="362"/>
      <c r="S165" s="361"/>
      <c r="T165" s="360" t="s">
        <v>132</v>
      </c>
    </row>
    <row r="166" ht="34.5">
      <c r="A166" s="360" t="s">
        <v>125</v>
      </c>
      <c r="B166" s="360" t="s">
        <v>126</v>
      </c>
      <c r="C166" s="360" t="s">
        <v>311</v>
      </c>
      <c r="D166" s="360" t="s">
        <v>128</v>
      </c>
      <c r="E166" s="360" t="s">
        <v>167</v>
      </c>
      <c r="F166" s="361" t="s">
        <v>168</v>
      </c>
      <c r="G166" s="360" t="s">
        <v>145</v>
      </c>
      <c r="H166" s="361"/>
      <c r="I166" s="361"/>
      <c r="J166" s="361" t="s">
        <v>312</v>
      </c>
      <c r="K166" s="363"/>
      <c r="L166" s="360"/>
      <c r="M166" s="360"/>
      <c r="N166" s="361"/>
      <c r="O166" s="361"/>
      <c r="P166" s="361"/>
      <c r="Q166" s="361"/>
      <c r="R166" s="362"/>
      <c r="S166" s="361"/>
      <c r="T166" s="360" t="s">
        <v>132</v>
      </c>
    </row>
    <row r="167" ht="34.5">
      <c r="A167" s="360" t="s">
        <v>125</v>
      </c>
      <c r="B167" s="360" t="s">
        <v>126</v>
      </c>
      <c r="C167" s="360" t="s">
        <v>311</v>
      </c>
      <c r="D167" s="360" t="s">
        <v>128</v>
      </c>
      <c r="E167" s="360" t="s">
        <v>167</v>
      </c>
      <c r="F167" s="361" t="s">
        <v>168</v>
      </c>
      <c r="G167" s="360" t="s">
        <v>145</v>
      </c>
      <c r="H167" s="361"/>
      <c r="I167" s="361"/>
      <c r="J167" s="361" t="s">
        <v>313</v>
      </c>
      <c r="K167" s="363">
        <v>1500000</v>
      </c>
      <c r="L167" s="360" t="s">
        <v>314</v>
      </c>
      <c r="M167" s="360"/>
      <c r="N167" s="361"/>
      <c r="O167" s="361"/>
      <c r="P167" s="361"/>
      <c r="Q167" s="361"/>
      <c r="R167" s="362"/>
      <c r="S167" s="361"/>
      <c r="T167" s="360" t="s">
        <v>132</v>
      </c>
    </row>
    <row r="168" ht="34.5">
      <c r="A168" s="360" t="s">
        <v>125</v>
      </c>
      <c r="B168" s="360" t="s">
        <v>126</v>
      </c>
      <c r="C168" s="360" t="s">
        <v>311</v>
      </c>
      <c r="D168" s="360" t="s">
        <v>128</v>
      </c>
      <c r="E168" s="360" t="s">
        <v>167</v>
      </c>
      <c r="F168" s="361" t="s">
        <v>168</v>
      </c>
      <c r="G168" s="360" t="s">
        <v>145</v>
      </c>
      <c r="H168" s="361"/>
      <c r="I168" s="361"/>
      <c r="J168" s="361" t="s">
        <v>315</v>
      </c>
      <c r="K168" s="363"/>
      <c r="L168" s="360"/>
      <c r="M168" s="360"/>
      <c r="N168" s="361"/>
      <c r="O168" s="361"/>
      <c r="P168" s="361"/>
      <c r="Q168" s="361"/>
      <c r="R168" s="362"/>
      <c r="S168" s="361"/>
      <c r="T168" s="360" t="s">
        <v>132</v>
      </c>
    </row>
    <row r="169" ht="34.5">
      <c r="A169" s="360" t="s">
        <v>125</v>
      </c>
      <c r="B169" s="360" t="s">
        <v>126</v>
      </c>
      <c r="C169" s="360" t="s">
        <v>311</v>
      </c>
      <c r="D169" s="360" t="s">
        <v>128</v>
      </c>
      <c r="E169" s="360" t="s">
        <v>167</v>
      </c>
      <c r="F169" s="361" t="s">
        <v>168</v>
      </c>
      <c r="G169" s="360" t="s">
        <v>145</v>
      </c>
      <c r="H169" s="361"/>
      <c r="I169" s="361"/>
      <c r="J169" s="361" t="s">
        <v>316</v>
      </c>
      <c r="K169" s="363"/>
      <c r="L169" s="360"/>
      <c r="M169" s="360"/>
      <c r="N169" s="361"/>
      <c r="O169" s="361"/>
      <c r="P169" s="361"/>
      <c r="Q169" s="361"/>
      <c r="R169" s="362"/>
      <c r="S169" s="361"/>
      <c r="T169" s="360" t="s">
        <v>132</v>
      </c>
    </row>
    <row r="170" ht="34.5">
      <c r="A170" s="360" t="s">
        <v>125</v>
      </c>
      <c r="B170" s="360" t="s">
        <v>126</v>
      </c>
      <c r="C170" s="360" t="s">
        <v>311</v>
      </c>
      <c r="D170" s="360" t="s">
        <v>128</v>
      </c>
      <c r="E170" s="360" t="s">
        <v>317</v>
      </c>
      <c r="F170" s="361" t="s">
        <v>318</v>
      </c>
      <c r="G170" s="360" t="s">
        <v>319</v>
      </c>
      <c r="H170" s="361"/>
      <c r="I170" s="361"/>
      <c r="J170" s="361" t="s">
        <v>320</v>
      </c>
      <c r="K170" s="363"/>
      <c r="L170" s="360"/>
      <c r="M170" s="360"/>
      <c r="N170" s="361"/>
      <c r="O170" s="361"/>
      <c r="P170" s="361"/>
      <c r="Q170" s="361"/>
      <c r="R170" s="362"/>
      <c r="S170" s="361"/>
      <c r="T170" s="360" t="s">
        <v>132</v>
      </c>
    </row>
    <row r="171" ht="34.5">
      <c r="A171" s="360" t="s">
        <v>125</v>
      </c>
      <c r="B171" s="360" t="s">
        <v>126</v>
      </c>
      <c r="C171" s="360" t="s">
        <v>311</v>
      </c>
      <c r="D171" s="360" t="s">
        <v>128</v>
      </c>
      <c r="E171" s="360" t="s">
        <v>317</v>
      </c>
      <c r="F171" s="361" t="s">
        <v>318</v>
      </c>
      <c r="G171" s="360" t="s">
        <v>319</v>
      </c>
      <c r="H171" s="361"/>
      <c r="I171" s="361"/>
      <c r="J171" s="361" t="s">
        <v>321</v>
      </c>
      <c r="K171" s="363"/>
      <c r="L171" s="360"/>
      <c r="M171" s="360"/>
      <c r="N171" s="361"/>
      <c r="O171" s="361"/>
      <c r="P171" s="361"/>
      <c r="Q171" s="361"/>
      <c r="R171" s="362"/>
      <c r="S171" s="361"/>
      <c r="T171" s="360" t="s">
        <v>132</v>
      </c>
    </row>
    <row r="172" ht="34.5">
      <c r="A172" s="360" t="s">
        <v>125</v>
      </c>
      <c r="B172" s="360" t="s">
        <v>126</v>
      </c>
      <c r="C172" s="360" t="s">
        <v>311</v>
      </c>
      <c r="D172" s="360" t="s">
        <v>128</v>
      </c>
      <c r="E172" s="360" t="s">
        <v>317</v>
      </c>
      <c r="F172" s="361" t="s">
        <v>318</v>
      </c>
      <c r="G172" s="360" t="s">
        <v>319</v>
      </c>
      <c r="H172" s="361"/>
      <c r="I172" s="361"/>
      <c r="J172" s="361" t="s">
        <v>322</v>
      </c>
      <c r="K172" s="363"/>
      <c r="L172" s="360"/>
      <c r="M172" s="360"/>
      <c r="N172" s="361"/>
      <c r="O172" s="361"/>
      <c r="P172" s="361"/>
      <c r="Q172" s="361"/>
      <c r="R172" s="362"/>
      <c r="S172" s="361"/>
      <c r="T172" s="360" t="s">
        <v>132</v>
      </c>
    </row>
    <row r="173" ht="34.5">
      <c r="A173" s="360" t="s">
        <v>125</v>
      </c>
      <c r="B173" s="360" t="s">
        <v>126</v>
      </c>
      <c r="C173" s="360" t="s">
        <v>311</v>
      </c>
      <c r="D173" s="360" t="s">
        <v>128</v>
      </c>
      <c r="E173" s="360" t="s">
        <v>317</v>
      </c>
      <c r="F173" s="361" t="s">
        <v>318</v>
      </c>
      <c r="G173" s="360" t="s">
        <v>319</v>
      </c>
      <c r="H173" s="361"/>
      <c r="I173" s="361"/>
      <c r="J173" s="361" t="s">
        <v>323</v>
      </c>
      <c r="K173" s="363"/>
      <c r="L173" s="360"/>
      <c r="M173" s="360"/>
      <c r="N173" s="361"/>
      <c r="O173" s="361"/>
      <c r="P173" s="361"/>
      <c r="Q173" s="361"/>
      <c r="R173" s="362"/>
      <c r="S173" s="361"/>
      <c r="T173" s="360" t="s">
        <v>132</v>
      </c>
    </row>
    <row r="174" ht="34.5">
      <c r="A174" s="360" t="s">
        <v>125</v>
      </c>
      <c r="B174" s="360" t="s">
        <v>126</v>
      </c>
      <c r="C174" s="360" t="s">
        <v>311</v>
      </c>
      <c r="D174" s="360" t="s">
        <v>128</v>
      </c>
      <c r="E174" s="360" t="s">
        <v>317</v>
      </c>
      <c r="F174" s="361" t="s">
        <v>318</v>
      </c>
      <c r="G174" s="360" t="s">
        <v>319</v>
      </c>
      <c r="H174" s="361"/>
      <c r="I174" s="361"/>
      <c r="J174" s="361" t="s">
        <v>324</v>
      </c>
      <c r="K174" s="363"/>
      <c r="L174" s="360"/>
      <c r="M174" s="360"/>
      <c r="N174" s="361"/>
      <c r="O174" s="361"/>
      <c r="P174" s="361"/>
      <c r="Q174" s="361"/>
      <c r="R174" s="362"/>
      <c r="S174" s="361"/>
      <c r="T174" s="360" t="s">
        <v>132</v>
      </c>
    </row>
    <row r="175" ht="34.5">
      <c r="A175" s="360" t="s">
        <v>125</v>
      </c>
      <c r="B175" s="360" t="s">
        <v>126</v>
      </c>
      <c r="C175" s="360" t="s">
        <v>311</v>
      </c>
      <c r="D175" s="360" t="s">
        <v>128</v>
      </c>
      <c r="E175" s="360" t="s">
        <v>317</v>
      </c>
      <c r="F175" s="361" t="s">
        <v>318</v>
      </c>
      <c r="G175" s="360" t="s">
        <v>319</v>
      </c>
      <c r="H175" s="361"/>
      <c r="I175" s="361"/>
      <c r="J175" s="361" t="s">
        <v>325</v>
      </c>
      <c r="K175" s="363"/>
      <c r="L175" s="360"/>
      <c r="M175" s="360"/>
      <c r="N175" s="361"/>
      <c r="O175" s="361"/>
      <c r="P175" s="361"/>
      <c r="Q175" s="361"/>
      <c r="R175" s="362"/>
      <c r="S175" s="361"/>
      <c r="T175" s="360" t="s">
        <v>132</v>
      </c>
    </row>
    <row r="176" ht="34.5">
      <c r="A176" s="360" t="s">
        <v>125</v>
      </c>
      <c r="B176" s="360" t="s">
        <v>126</v>
      </c>
      <c r="C176" s="360" t="s">
        <v>311</v>
      </c>
      <c r="D176" s="360" t="s">
        <v>128</v>
      </c>
      <c r="E176" s="360" t="s">
        <v>317</v>
      </c>
      <c r="F176" s="361" t="s">
        <v>318</v>
      </c>
      <c r="G176" s="360" t="s">
        <v>319</v>
      </c>
      <c r="H176" s="361"/>
      <c r="I176" s="361"/>
      <c r="J176" s="361" t="s">
        <v>326</v>
      </c>
      <c r="K176" s="363"/>
      <c r="L176" s="360"/>
      <c r="M176" s="360"/>
      <c r="N176" s="361"/>
      <c r="O176" s="361"/>
      <c r="P176" s="361"/>
      <c r="Q176" s="361"/>
      <c r="R176" s="362"/>
      <c r="S176" s="361"/>
      <c r="T176" s="360" t="s">
        <v>132</v>
      </c>
    </row>
    <row r="177" ht="34.5">
      <c r="A177" s="360" t="s">
        <v>125</v>
      </c>
      <c r="B177" s="360" t="s">
        <v>126</v>
      </c>
      <c r="C177" s="360" t="s">
        <v>327</v>
      </c>
      <c r="D177" s="360" t="s">
        <v>128</v>
      </c>
      <c r="E177" s="360" t="s">
        <v>317</v>
      </c>
      <c r="F177" s="361" t="s">
        <v>318</v>
      </c>
      <c r="G177" s="360" t="s">
        <v>319</v>
      </c>
      <c r="H177" s="361"/>
      <c r="I177" s="361"/>
      <c r="J177" s="361" t="s">
        <v>328</v>
      </c>
      <c r="K177" s="363"/>
      <c r="L177" s="360"/>
      <c r="M177" s="360"/>
      <c r="N177" s="361"/>
      <c r="O177" s="361"/>
      <c r="P177" s="361"/>
      <c r="Q177" s="361"/>
      <c r="R177" s="362"/>
      <c r="S177" s="361"/>
      <c r="T177" s="360" t="s">
        <v>132</v>
      </c>
    </row>
    <row r="178" ht="34.5">
      <c r="A178" s="360" t="s">
        <v>125</v>
      </c>
      <c r="B178" s="360" t="s">
        <v>126</v>
      </c>
      <c r="C178" s="360" t="s">
        <v>327</v>
      </c>
      <c r="D178" s="360" t="s">
        <v>128</v>
      </c>
      <c r="E178" s="360" t="s">
        <v>317</v>
      </c>
      <c r="F178" s="361" t="s">
        <v>318</v>
      </c>
      <c r="G178" s="360" t="s">
        <v>319</v>
      </c>
      <c r="H178" s="361"/>
      <c r="I178" s="361"/>
      <c r="J178" s="361" t="s">
        <v>329</v>
      </c>
      <c r="K178" s="363"/>
      <c r="L178" s="360"/>
      <c r="M178" s="360"/>
      <c r="N178" s="361"/>
      <c r="O178" s="361"/>
      <c r="P178" s="361"/>
      <c r="Q178" s="361"/>
      <c r="R178" s="362"/>
      <c r="S178" s="361"/>
      <c r="T178" s="360" t="s">
        <v>132</v>
      </c>
    </row>
    <row r="179" ht="34.5">
      <c r="A179" s="360" t="s">
        <v>125</v>
      </c>
      <c r="B179" s="360" t="s">
        <v>126</v>
      </c>
      <c r="C179" s="360" t="s">
        <v>327</v>
      </c>
      <c r="D179" s="360" t="s">
        <v>128</v>
      </c>
      <c r="E179" s="360" t="s">
        <v>317</v>
      </c>
      <c r="F179" s="361" t="s">
        <v>318</v>
      </c>
      <c r="G179" s="360" t="s">
        <v>319</v>
      </c>
      <c r="H179" s="361"/>
      <c r="I179" s="361"/>
      <c r="J179" s="361" t="s">
        <v>330</v>
      </c>
      <c r="K179" s="363"/>
      <c r="L179" s="360"/>
      <c r="M179" s="360"/>
      <c r="N179" s="361"/>
      <c r="O179" s="361"/>
      <c r="P179" s="361"/>
      <c r="Q179" s="361"/>
      <c r="R179" s="362"/>
      <c r="S179" s="361"/>
      <c r="T179" s="360" t="s">
        <v>132</v>
      </c>
    </row>
    <row r="180" ht="34.5">
      <c r="A180" s="360" t="s">
        <v>125</v>
      </c>
      <c r="B180" s="360" t="s">
        <v>126</v>
      </c>
      <c r="C180" s="360" t="s">
        <v>327</v>
      </c>
      <c r="D180" s="360" t="s">
        <v>128</v>
      </c>
      <c r="E180" s="360" t="s">
        <v>317</v>
      </c>
      <c r="F180" s="361" t="s">
        <v>318</v>
      </c>
      <c r="G180" s="360" t="s">
        <v>319</v>
      </c>
      <c r="H180" s="361"/>
      <c r="I180" s="361"/>
      <c r="J180" s="361" t="s">
        <v>331</v>
      </c>
      <c r="K180" s="363"/>
      <c r="L180" s="360"/>
      <c r="M180" s="360"/>
      <c r="N180" s="361"/>
      <c r="O180" s="361"/>
      <c r="P180" s="361"/>
      <c r="Q180" s="361"/>
      <c r="R180" s="362"/>
      <c r="S180" s="361"/>
      <c r="T180" s="360" t="s">
        <v>132</v>
      </c>
    </row>
    <row r="181" ht="34.5">
      <c r="A181" s="360" t="s">
        <v>125</v>
      </c>
      <c r="B181" s="360" t="s">
        <v>126</v>
      </c>
      <c r="C181" s="360" t="s">
        <v>327</v>
      </c>
      <c r="D181" s="360" t="s">
        <v>128</v>
      </c>
      <c r="E181" s="360" t="s">
        <v>317</v>
      </c>
      <c r="F181" s="361" t="s">
        <v>318</v>
      </c>
      <c r="G181" s="360" t="s">
        <v>319</v>
      </c>
      <c r="H181" s="361"/>
      <c r="I181" s="361"/>
      <c r="J181" s="361" t="s">
        <v>332</v>
      </c>
      <c r="K181" s="363"/>
      <c r="L181" s="360"/>
      <c r="M181" s="360"/>
      <c r="N181" s="361"/>
      <c r="O181" s="361"/>
      <c r="P181" s="361"/>
      <c r="Q181" s="361"/>
      <c r="R181" s="362"/>
      <c r="S181" s="361"/>
      <c r="T181" s="360" t="s">
        <v>132</v>
      </c>
    </row>
    <row r="182" ht="34.5">
      <c r="A182" s="360" t="s">
        <v>125</v>
      </c>
      <c r="B182" s="360" t="s">
        <v>126</v>
      </c>
      <c r="C182" s="360" t="s">
        <v>327</v>
      </c>
      <c r="D182" s="360" t="s">
        <v>128</v>
      </c>
      <c r="E182" s="360" t="s">
        <v>317</v>
      </c>
      <c r="F182" s="361" t="s">
        <v>318</v>
      </c>
      <c r="G182" s="360" t="s">
        <v>319</v>
      </c>
      <c r="H182" s="361"/>
      <c r="I182" s="361"/>
      <c r="J182" s="361" t="s">
        <v>333</v>
      </c>
      <c r="K182" s="363"/>
      <c r="L182" s="360"/>
      <c r="M182" s="360"/>
      <c r="N182" s="361"/>
      <c r="O182" s="361"/>
      <c r="P182" s="361"/>
      <c r="Q182" s="361"/>
      <c r="R182" s="362"/>
      <c r="S182" s="361"/>
      <c r="T182" s="360" t="s">
        <v>132</v>
      </c>
    </row>
    <row r="183" ht="34.5">
      <c r="A183" s="360" t="s">
        <v>125</v>
      </c>
      <c r="B183" s="360" t="s">
        <v>126</v>
      </c>
      <c r="C183" s="360" t="s">
        <v>327</v>
      </c>
      <c r="D183" s="360" t="s">
        <v>128</v>
      </c>
      <c r="E183" s="360" t="s">
        <v>317</v>
      </c>
      <c r="F183" s="361" t="s">
        <v>318</v>
      </c>
      <c r="G183" s="360" t="s">
        <v>319</v>
      </c>
      <c r="H183" s="361"/>
      <c r="I183" s="361"/>
      <c r="J183" s="361" t="s">
        <v>334</v>
      </c>
      <c r="K183" s="363"/>
      <c r="L183" s="360"/>
      <c r="M183" s="360"/>
      <c r="N183" s="361"/>
      <c r="O183" s="361"/>
      <c r="P183" s="361"/>
      <c r="Q183" s="361"/>
      <c r="R183" s="362"/>
      <c r="S183" s="361"/>
      <c r="T183" s="360" t="s">
        <v>132</v>
      </c>
    </row>
    <row r="184" ht="34.5">
      <c r="A184" s="360" t="s">
        <v>125</v>
      </c>
      <c r="B184" s="360" t="s">
        <v>126</v>
      </c>
      <c r="C184" s="360" t="s">
        <v>327</v>
      </c>
      <c r="D184" s="360" t="s">
        <v>128</v>
      </c>
      <c r="E184" s="360" t="s">
        <v>317</v>
      </c>
      <c r="F184" s="361" t="s">
        <v>318</v>
      </c>
      <c r="G184" s="360" t="s">
        <v>319</v>
      </c>
      <c r="H184" s="361"/>
      <c r="I184" s="361"/>
      <c r="J184" s="361" t="s">
        <v>335</v>
      </c>
      <c r="K184" s="363"/>
      <c r="L184" s="360"/>
      <c r="M184" s="360"/>
      <c r="N184" s="361"/>
      <c r="O184" s="361"/>
      <c r="P184" s="361"/>
      <c r="Q184" s="361"/>
      <c r="R184" s="362"/>
      <c r="S184" s="361"/>
      <c r="T184" s="360" t="s">
        <v>132</v>
      </c>
    </row>
    <row r="185" ht="34.5">
      <c r="A185" s="360" t="s">
        <v>125</v>
      </c>
      <c r="B185" s="360" t="s">
        <v>126</v>
      </c>
      <c r="C185" s="360" t="s">
        <v>327</v>
      </c>
      <c r="D185" s="360" t="s">
        <v>128</v>
      </c>
      <c r="E185" s="360" t="s">
        <v>317</v>
      </c>
      <c r="F185" s="361" t="s">
        <v>318</v>
      </c>
      <c r="G185" s="360" t="s">
        <v>319</v>
      </c>
      <c r="H185" s="361"/>
      <c r="I185" s="361"/>
      <c r="J185" s="361" t="s">
        <v>336</v>
      </c>
      <c r="K185" s="363"/>
      <c r="L185" s="360"/>
      <c r="M185" s="360"/>
      <c r="N185" s="361"/>
      <c r="O185" s="361"/>
      <c r="P185" s="361"/>
      <c r="Q185" s="361"/>
      <c r="R185" s="362"/>
      <c r="S185" s="361"/>
      <c r="T185" s="360" t="s">
        <v>132</v>
      </c>
    </row>
    <row r="186" ht="34.5">
      <c r="A186" s="360" t="s">
        <v>125</v>
      </c>
      <c r="B186" s="360" t="s">
        <v>126</v>
      </c>
      <c r="C186" s="360" t="s">
        <v>327</v>
      </c>
      <c r="D186" s="360" t="s">
        <v>128</v>
      </c>
      <c r="E186" s="360" t="s">
        <v>317</v>
      </c>
      <c r="F186" s="361" t="s">
        <v>318</v>
      </c>
      <c r="G186" s="360" t="s">
        <v>319</v>
      </c>
      <c r="H186" s="361"/>
      <c r="I186" s="361"/>
      <c r="J186" s="361" t="s">
        <v>337</v>
      </c>
      <c r="K186" s="363"/>
      <c r="L186" s="360"/>
      <c r="M186" s="360"/>
      <c r="N186" s="361"/>
      <c r="O186" s="361"/>
      <c r="P186" s="361"/>
      <c r="Q186" s="361"/>
      <c r="R186" s="362"/>
      <c r="S186" s="361"/>
      <c r="T186" s="360" t="s">
        <v>132</v>
      </c>
    </row>
    <row r="187" ht="34.5">
      <c r="A187" s="360" t="s">
        <v>125</v>
      </c>
      <c r="B187" s="360" t="s">
        <v>126</v>
      </c>
      <c r="C187" s="360" t="s">
        <v>338</v>
      </c>
      <c r="D187" s="360" t="s">
        <v>128</v>
      </c>
      <c r="E187" s="360" t="s">
        <v>317</v>
      </c>
      <c r="F187" s="361" t="s">
        <v>318</v>
      </c>
      <c r="G187" s="360" t="s">
        <v>319</v>
      </c>
      <c r="H187" s="361"/>
      <c r="I187" s="361"/>
      <c r="J187" s="361" t="s">
        <v>339</v>
      </c>
      <c r="K187" s="363"/>
      <c r="L187" s="360"/>
      <c r="M187" s="360"/>
      <c r="N187" s="361"/>
      <c r="O187" s="361"/>
      <c r="P187" s="361"/>
      <c r="Q187" s="361"/>
      <c r="R187" s="362"/>
      <c r="S187" s="361"/>
      <c r="T187" s="360" t="s">
        <v>132</v>
      </c>
    </row>
    <row r="188" ht="34.5">
      <c r="A188" s="360" t="s">
        <v>125</v>
      </c>
      <c r="B188" s="360" t="s">
        <v>126</v>
      </c>
      <c r="C188" s="360" t="s">
        <v>338</v>
      </c>
      <c r="D188" s="360" t="s">
        <v>128</v>
      </c>
      <c r="E188" s="360" t="s">
        <v>317</v>
      </c>
      <c r="F188" s="361" t="s">
        <v>318</v>
      </c>
      <c r="G188" s="360" t="s">
        <v>319</v>
      </c>
      <c r="H188" s="361"/>
      <c r="I188" s="361"/>
      <c r="J188" s="361" t="s">
        <v>340</v>
      </c>
      <c r="K188" s="363"/>
      <c r="L188" s="360"/>
      <c r="M188" s="360"/>
      <c r="N188" s="361"/>
      <c r="O188" s="361"/>
      <c r="P188" s="361"/>
      <c r="Q188" s="361"/>
      <c r="R188" s="362"/>
      <c r="S188" s="361"/>
      <c r="T188" s="360" t="s">
        <v>132</v>
      </c>
    </row>
    <row r="189" ht="34.5">
      <c r="A189" s="360" t="s">
        <v>125</v>
      </c>
      <c r="B189" s="360" t="s">
        <v>126</v>
      </c>
      <c r="C189" s="360" t="s">
        <v>338</v>
      </c>
      <c r="D189" s="360" t="s">
        <v>128</v>
      </c>
      <c r="E189" s="360" t="s">
        <v>317</v>
      </c>
      <c r="F189" s="361" t="s">
        <v>318</v>
      </c>
      <c r="G189" s="360" t="s">
        <v>319</v>
      </c>
      <c r="H189" s="361"/>
      <c r="I189" s="361"/>
      <c r="J189" s="361" t="s">
        <v>341</v>
      </c>
      <c r="K189" s="363"/>
      <c r="L189" s="360"/>
      <c r="M189" s="360"/>
      <c r="N189" s="361"/>
      <c r="O189" s="361"/>
      <c r="P189" s="361"/>
      <c r="Q189" s="361"/>
      <c r="R189" s="362"/>
      <c r="S189" s="361"/>
      <c r="T189" s="360" t="s">
        <v>132</v>
      </c>
    </row>
    <row r="190" ht="34.5">
      <c r="A190" s="360" t="s">
        <v>125</v>
      </c>
      <c r="B190" s="360" t="s">
        <v>126</v>
      </c>
      <c r="C190" s="360" t="s">
        <v>338</v>
      </c>
      <c r="D190" s="360" t="s">
        <v>128</v>
      </c>
      <c r="E190" s="360" t="s">
        <v>317</v>
      </c>
      <c r="F190" s="361" t="s">
        <v>318</v>
      </c>
      <c r="G190" s="360" t="s">
        <v>319</v>
      </c>
      <c r="H190" s="361"/>
      <c r="I190" s="361"/>
      <c r="J190" s="361" t="s">
        <v>342</v>
      </c>
      <c r="K190" s="363"/>
      <c r="L190" s="360"/>
      <c r="M190" s="360"/>
      <c r="N190" s="361"/>
      <c r="O190" s="361"/>
      <c r="P190" s="361"/>
      <c r="Q190" s="361"/>
      <c r="R190" s="362"/>
      <c r="S190" s="361"/>
      <c r="T190" s="360" t="s">
        <v>132</v>
      </c>
    </row>
    <row r="191" ht="34.5">
      <c r="A191" s="360" t="s">
        <v>125</v>
      </c>
      <c r="B191" s="360" t="s">
        <v>126</v>
      </c>
      <c r="C191" s="360" t="s">
        <v>338</v>
      </c>
      <c r="D191" s="360" t="s">
        <v>128</v>
      </c>
      <c r="E191" s="360" t="s">
        <v>317</v>
      </c>
      <c r="F191" s="361" t="s">
        <v>318</v>
      </c>
      <c r="G191" s="360" t="s">
        <v>319</v>
      </c>
      <c r="H191" s="361"/>
      <c r="I191" s="361"/>
      <c r="J191" s="361" t="s">
        <v>343</v>
      </c>
      <c r="K191" s="363"/>
      <c r="L191" s="360"/>
      <c r="M191" s="360"/>
      <c r="N191" s="361"/>
      <c r="O191" s="361"/>
      <c r="P191" s="361"/>
      <c r="Q191" s="361"/>
      <c r="R191" s="362"/>
      <c r="S191" s="361"/>
      <c r="T191" s="360" t="s">
        <v>132</v>
      </c>
    </row>
    <row r="192" ht="34.5">
      <c r="A192" s="360" t="s">
        <v>125</v>
      </c>
      <c r="B192" s="360" t="s">
        <v>126</v>
      </c>
      <c r="C192" s="360" t="s">
        <v>338</v>
      </c>
      <c r="D192" s="360" t="s">
        <v>128</v>
      </c>
      <c r="E192" s="360" t="s">
        <v>317</v>
      </c>
      <c r="F192" s="361" t="s">
        <v>318</v>
      </c>
      <c r="G192" s="360" t="s">
        <v>319</v>
      </c>
      <c r="H192" s="361"/>
      <c r="I192" s="361"/>
      <c r="J192" s="361" t="s">
        <v>344</v>
      </c>
      <c r="K192" s="363"/>
      <c r="L192" s="360"/>
      <c r="M192" s="360"/>
      <c r="N192" s="361"/>
      <c r="O192" s="361"/>
      <c r="P192" s="361"/>
      <c r="Q192" s="361"/>
      <c r="R192" s="362"/>
      <c r="S192" s="361"/>
      <c r="T192" s="360" t="s">
        <v>132</v>
      </c>
    </row>
    <row r="193" ht="34.5">
      <c r="A193" s="360" t="s">
        <v>125</v>
      </c>
      <c r="B193" s="360" t="s">
        <v>126</v>
      </c>
      <c r="C193" s="360" t="s">
        <v>338</v>
      </c>
      <c r="D193" s="360" t="s">
        <v>128</v>
      </c>
      <c r="E193" s="360" t="s">
        <v>317</v>
      </c>
      <c r="F193" s="361" t="s">
        <v>318</v>
      </c>
      <c r="G193" s="360" t="s">
        <v>319</v>
      </c>
      <c r="H193" s="361"/>
      <c r="I193" s="361"/>
      <c r="J193" s="361" t="s">
        <v>345</v>
      </c>
      <c r="K193" s="363"/>
      <c r="L193" s="360"/>
      <c r="M193" s="360"/>
      <c r="N193" s="361"/>
      <c r="O193" s="361"/>
      <c r="P193" s="361"/>
      <c r="Q193" s="361"/>
      <c r="R193" s="362"/>
      <c r="S193" s="361"/>
      <c r="T193" s="360" t="s">
        <v>132</v>
      </c>
    </row>
    <row r="194" ht="34.5">
      <c r="A194" s="360" t="s">
        <v>125</v>
      </c>
      <c r="B194" s="360" t="s">
        <v>126</v>
      </c>
      <c r="C194" s="360" t="s">
        <v>338</v>
      </c>
      <c r="D194" s="360" t="s">
        <v>128</v>
      </c>
      <c r="E194" s="360" t="s">
        <v>317</v>
      </c>
      <c r="F194" s="361" t="s">
        <v>318</v>
      </c>
      <c r="G194" s="360" t="s">
        <v>319</v>
      </c>
      <c r="H194" s="361"/>
      <c r="I194" s="361"/>
      <c r="J194" s="361" t="s">
        <v>346</v>
      </c>
      <c r="K194" s="363"/>
      <c r="L194" s="360"/>
      <c r="M194" s="360"/>
      <c r="N194" s="361"/>
      <c r="O194" s="361"/>
      <c r="P194" s="361"/>
      <c r="Q194" s="361"/>
      <c r="R194" s="362"/>
      <c r="S194" s="361"/>
      <c r="T194" s="360" t="s">
        <v>132</v>
      </c>
    </row>
    <row r="195" ht="34.5">
      <c r="A195" s="360" t="s">
        <v>125</v>
      </c>
      <c r="B195" s="360" t="s">
        <v>126</v>
      </c>
      <c r="C195" s="360" t="s">
        <v>338</v>
      </c>
      <c r="D195" s="360" t="s">
        <v>128</v>
      </c>
      <c r="E195" s="360" t="s">
        <v>317</v>
      </c>
      <c r="F195" s="361" t="s">
        <v>318</v>
      </c>
      <c r="G195" s="360" t="s">
        <v>319</v>
      </c>
      <c r="H195" s="361"/>
      <c r="I195" s="361"/>
      <c r="J195" s="361" t="s">
        <v>347</v>
      </c>
      <c r="K195" s="363"/>
      <c r="L195" s="360"/>
      <c r="M195" s="360"/>
      <c r="N195" s="361"/>
      <c r="O195" s="361"/>
      <c r="P195" s="361"/>
      <c r="Q195" s="361"/>
      <c r="R195" s="362"/>
      <c r="S195" s="361"/>
      <c r="T195" s="360" t="s">
        <v>132</v>
      </c>
    </row>
    <row r="196" ht="34.5">
      <c r="A196" s="360" t="s">
        <v>125</v>
      </c>
      <c r="B196" s="360" t="s">
        <v>126</v>
      </c>
      <c r="C196" s="360" t="s">
        <v>348</v>
      </c>
      <c r="D196" s="360" t="s">
        <v>128</v>
      </c>
      <c r="E196" s="360" t="s">
        <v>317</v>
      </c>
      <c r="F196" s="361" t="s">
        <v>318</v>
      </c>
      <c r="G196" s="360" t="s">
        <v>319</v>
      </c>
      <c r="H196" s="361"/>
      <c r="I196" s="361"/>
      <c r="J196" s="361" t="s">
        <v>349</v>
      </c>
      <c r="K196" s="363"/>
      <c r="L196" s="360"/>
      <c r="M196" s="360"/>
      <c r="N196" s="361"/>
      <c r="O196" s="361"/>
      <c r="P196" s="361"/>
      <c r="Q196" s="361"/>
      <c r="R196" s="362"/>
      <c r="S196" s="361"/>
      <c r="T196" s="360" t="s">
        <v>132</v>
      </c>
    </row>
    <row r="197" ht="34.5">
      <c r="A197" s="360" t="s">
        <v>125</v>
      </c>
      <c r="B197" s="360" t="s">
        <v>126</v>
      </c>
      <c r="C197" s="360" t="s">
        <v>348</v>
      </c>
      <c r="D197" s="360" t="s">
        <v>128</v>
      </c>
      <c r="E197" s="360" t="s">
        <v>317</v>
      </c>
      <c r="F197" s="361" t="s">
        <v>318</v>
      </c>
      <c r="G197" s="360" t="s">
        <v>319</v>
      </c>
      <c r="H197" s="361"/>
      <c r="I197" s="361"/>
      <c r="J197" s="361" t="s">
        <v>350</v>
      </c>
      <c r="K197" s="363"/>
      <c r="L197" s="360"/>
      <c r="M197" s="360"/>
      <c r="N197" s="361"/>
      <c r="O197" s="361"/>
      <c r="P197" s="361"/>
      <c r="Q197" s="361"/>
      <c r="R197" s="362"/>
      <c r="S197" s="361"/>
      <c r="T197" s="360" t="s">
        <v>132</v>
      </c>
    </row>
    <row r="198" ht="34.5">
      <c r="A198" s="360" t="s">
        <v>125</v>
      </c>
      <c r="B198" s="360" t="s">
        <v>126</v>
      </c>
      <c r="C198" s="360" t="s">
        <v>348</v>
      </c>
      <c r="D198" s="360" t="s">
        <v>128</v>
      </c>
      <c r="E198" s="360" t="s">
        <v>317</v>
      </c>
      <c r="F198" s="361" t="s">
        <v>318</v>
      </c>
      <c r="G198" s="360" t="s">
        <v>319</v>
      </c>
      <c r="H198" s="361"/>
      <c r="I198" s="361"/>
      <c r="J198" s="361" t="s">
        <v>351</v>
      </c>
      <c r="K198" s="363"/>
      <c r="L198" s="360"/>
      <c r="M198" s="360"/>
      <c r="N198" s="361"/>
      <c r="O198" s="361"/>
      <c r="P198" s="361"/>
      <c r="Q198" s="361"/>
      <c r="R198" s="362"/>
      <c r="S198" s="361"/>
      <c r="T198" s="360" t="s">
        <v>132</v>
      </c>
    </row>
    <row r="199" ht="34.5">
      <c r="A199" s="360" t="s">
        <v>125</v>
      </c>
      <c r="B199" s="360" t="s">
        <v>126</v>
      </c>
      <c r="C199" s="360" t="s">
        <v>348</v>
      </c>
      <c r="D199" s="360" t="s">
        <v>128</v>
      </c>
      <c r="E199" s="360" t="s">
        <v>317</v>
      </c>
      <c r="F199" s="361" t="s">
        <v>318</v>
      </c>
      <c r="G199" s="360" t="s">
        <v>319</v>
      </c>
      <c r="H199" s="361"/>
      <c r="I199" s="361"/>
      <c r="J199" s="361" t="s">
        <v>352</v>
      </c>
      <c r="K199" s="363"/>
      <c r="L199" s="360"/>
      <c r="M199" s="360"/>
      <c r="N199" s="361"/>
      <c r="O199" s="361"/>
      <c r="P199" s="361"/>
      <c r="Q199" s="361"/>
      <c r="R199" s="362"/>
      <c r="S199" s="361"/>
      <c r="T199" s="360" t="s">
        <v>132</v>
      </c>
    </row>
    <row r="200" ht="34.5">
      <c r="A200" s="360" t="s">
        <v>125</v>
      </c>
      <c r="B200" s="360" t="s">
        <v>126</v>
      </c>
      <c r="C200" s="360" t="s">
        <v>348</v>
      </c>
      <c r="D200" s="360" t="s">
        <v>128</v>
      </c>
      <c r="E200" s="360" t="s">
        <v>317</v>
      </c>
      <c r="F200" s="361" t="s">
        <v>318</v>
      </c>
      <c r="G200" s="360" t="s">
        <v>319</v>
      </c>
      <c r="H200" s="361"/>
      <c r="I200" s="361"/>
      <c r="J200" s="361" t="s">
        <v>353</v>
      </c>
      <c r="K200" s="363"/>
      <c r="L200" s="360"/>
      <c r="M200" s="360"/>
      <c r="N200" s="361"/>
      <c r="O200" s="361"/>
      <c r="P200" s="361"/>
      <c r="Q200" s="361"/>
      <c r="R200" s="362"/>
      <c r="S200" s="361"/>
      <c r="T200" s="360" t="s">
        <v>132</v>
      </c>
    </row>
    <row r="201" ht="34.5">
      <c r="A201" s="360" t="s">
        <v>125</v>
      </c>
      <c r="B201" s="360" t="s">
        <v>126</v>
      </c>
      <c r="C201" s="360" t="s">
        <v>348</v>
      </c>
      <c r="D201" s="360" t="s">
        <v>128</v>
      </c>
      <c r="E201" s="360" t="s">
        <v>317</v>
      </c>
      <c r="F201" s="361" t="s">
        <v>318</v>
      </c>
      <c r="G201" s="360" t="s">
        <v>319</v>
      </c>
      <c r="H201" s="361"/>
      <c r="I201" s="361"/>
      <c r="J201" s="361" t="s">
        <v>354</v>
      </c>
      <c r="K201" s="363"/>
      <c r="L201" s="360"/>
      <c r="M201" s="360"/>
      <c r="N201" s="361"/>
      <c r="O201" s="361"/>
      <c r="P201" s="361"/>
      <c r="Q201" s="361"/>
      <c r="R201" s="362"/>
      <c r="S201" s="361"/>
      <c r="T201" s="360" t="s">
        <v>132</v>
      </c>
    </row>
    <row r="202" ht="34.5">
      <c r="A202" s="360" t="s">
        <v>125</v>
      </c>
      <c r="B202" s="360" t="s">
        <v>126</v>
      </c>
      <c r="C202" s="360" t="s">
        <v>348</v>
      </c>
      <c r="D202" s="360" t="s">
        <v>128</v>
      </c>
      <c r="E202" s="360" t="s">
        <v>317</v>
      </c>
      <c r="F202" s="361" t="s">
        <v>318</v>
      </c>
      <c r="G202" s="360" t="s">
        <v>319</v>
      </c>
      <c r="H202" s="361"/>
      <c r="I202" s="361"/>
      <c r="J202" s="361" t="s">
        <v>355</v>
      </c>
      <c r="K202" s="363"/>
      <c r="L202" s="360"/>
      <c r="M202" s="360"/>
      <c r="N202" s="361"/>
      <c r="O202" s="361"/>
      <c r="P202" s="361"/>
      <c r="Q202" s="361"/>
      <c r="R202" s="362"/>
      <c r="S202" s="361"/>
      <c r="T202" s="360" t="s">
        <v>132</v>
      </c>
    </row>
    <row r="203" ht="34.5">
      <c r="A203" s="360" t="s">
        <v>125</v>
      </c>
      <c r="B203" s="360" t="s">
        <v>126</v>
      </c>
      <c r="C203" s="360" t="s">
        <v>348</v>
      </c>
      <c r="D203" s="360" t="s">
        <v>128</v>
      </c>
      <c r="E203" s="360" t="s">
        <v>317</v>
      </c>
      <c r="F203" s="361" t="s">
        <v>318</v>
      </c>
      <c r="G203" s="360" t="s">
        <v>319</v>
      </c>
      <c r="H203" s="361"/>
      <c r="I203" s="361"/>
      <c r="J203" s="361" t="s">
        <v>356</v>
      </c>
      <c r="K203" s="363"/>
      <c r="L203" s="360"/>
      <c r="M203" s="360"/>
      <c r="N203" s="361"/>
      <c r="O203" s="361"/>
      <c r="P203" s="361"/>
      <c r="Q203" s="361"/>
      <c r="R203" s="362"/>
      <c r="S203" s="361"/>
      <c r="T203" s="360" t="s">
        <v>132</v>
      </c>
    </row>
    <row r="204" ht="34.5">
      <c r="A204" s="360" t="s">
        <v>125</v>
      </c>
      <c r="B204" s="360" t="s">
        <v>126</v>
      </c>
      <c r="C204" s="360" t="s">
        <v>357</v>
      </c>
      <c r="D204" s="360" t="s">
        <v>128</v>
      </c>
      <c r="E204" s="360" t="s">
        <v>317</v>
      </c>
      <c r="F204" s="361" t="s">
        <v>318</v>
      </c>
      <c r="G204" s="360" t="s">
        <v>319</v>
      </c>
      <c r="H204" s="361"/>
      <c r="I204" s="361"/>
      <c r="J204" s="361" t="s">
        <v>358</v>
      </c>
      <c r="K204" s="363"/>
      <c r="L204" s="360"/>
      <c r="M204" s="360"/>
      <c r="N204" s="361"/>
      <c r="O204" s="361"/>
      <c r="P204" s="361"/>
      <c r="Q204" s="361"/>
      <c r="R204" s="362"/>
      <c r="S204" s="361"/>
      <c r="T204" s="360" t="s">
        <v>132</v>
      </c>
    </row>
    <row r="205" ht="34.5">
      <c r="A205" s="360" t="s">
        <v>125</v>
      </c>
      <c r="B205" s="360" t="s">
        <v>126</v>
      </c>
      <c r="C205" s="360" t="s">
        <v>357</v>
      </c>
      <c r="D205" s="360" t="s">
        <v>128</v>
      </c>
      <c r="E205" s="360" t="s">
        <v>317</v>
      </c>
      <c r="F205" s="361" t="s">
        <v>318</v>
      </c>
      <c r="G205" s="360" t="s">
        <v>319</v>
      </c>
      <c r="H205" s="361"/>
      <c r="I205" s="361"/>
      <c r="J205" s="361" t="s">
        <v>359</v>
      </c>
      <c r="K205" s="363"/>
      <c r="L205" s="360"/>
      <c r="M205" s="360"/>
      <c r="N205" s="361"/>
      <c r="O205" s="361"/>
      <c r="P205" s="361"/>
      <c r="Q205" s="361"/>
      <c r="R205" s="362"/>
      <c r="S205" s="361"/>
      <c r="T205" s="360" t="s">
        <v>132</v>
      </c>
    </row>
    <row r="206" ht="34.5">
      <c r="A206" s="360" t="s">
        <v>125</v>
      </c>
      <c r="B206" s="360" t="s">
        <v>126</v>
      </c>
      <c r="C206" s="360" t="s">
        <v>357</v>
      </c>
      <c r="D206" s="360" t="s">
        <v>128</v>
      </c>
      <c r="E206" s="360" t="s">
        <v>360</v>
      </c>
      <c r="F206" s="361" t="s">
        <v>361</v>
      </c>
      <c r="G206" s="360" t="s">
        <v>319</v>
      </c>
      <c r="H206" s="361"/>
      <c r="I206" s="361"/>
      <c r="J206" s="361" t="s">
        <v>362</v>
      </c>
      <c r="K206" s="363"/>
      <c r="L206" s="360"/>
      <c r="M206" s="360"/>
      <c r="N206" s="361"/>
      <c r="O206" s="361"/>
      <c r="P206" s="361"/>
      <c r="Q206" s="361"/>
      <c r="R206" s="362"/>
      <c r="S206" s="361"/>
      <c r="T206" s="360" t="s">
        <v>132</v>
      </c>
    </row>
    <row r="207" ht="34.5">
      <c r="A207" s="360" t="s">
        <v>125</v>
      </c>
      <c r="B207" s="360" t="s">
        <v>126</v>
      </c>
      <c r="C207" s="360" t="s">
        <v>357</v>
      </c>
      <c r="D207" s="360" t="s">
        <v>128</v>
      </c>
      <c r="E207" s="360" t="s">
        <v>360</v>
      </c>
      <c r="F207" s="361" t="s">
        <v>361</v>
      </c>
      <c r="G207" s="360" t="s">
        <v>319</v>
      </c>
      <c r="H207" s="361"/>
      <c r="I207" s="361"/>
      <c r="J207" s="361" t="s">
        <v>363</v>
      </c>
      <c r="K207" s="363"/>
      <c r="L207" s="360"/>
      <c r="M207" s="360"/>
      <c r="N207" s="361"/>
      <c r="O207" s="361"/>
      <c r="P207" s="361"/>
      <c r="Q207" s="361"/>
      <c r="R207" s="362"/>
      <c r="S207" s="361"/>
      <c r="T207" s="360" t="s">
        <v>132</v>
      </c>
    </row>
    <row r="208" ht="34.5">
      <c r="A208" s="360" t="s">
        <v>125</v>
      </c>
      <c r="B208" s="360" t="s">
        <v>126</v>
      </c>
      <c r="C208" s="360" t="s">
        <v>357</v>
      </c>
      <c r="D208" s="360" t="s">
        <v>128</v>
      </c>
      <c r="E208" s="360" t="s">
        <v>360</v>
      </c>
      <c r="F208" s="361" t="s">
        <v>361</v>
      </c>
      <c r="G208" s="360" t="s">
        <v>319</v>
      </c>
      <c r="H208" s="361"/>
      <c r="I208" s="361"/>
      <c r="J208" s="361" t="s">
        <v>364</v>
      </c>
      <c r="K208" s="363"/>
      <c r="L208" s="360"/>
      <c r="M208" s="360"/>
      <c r="N208" s="361"/>
      <c r="O208" s="361"/>
      <c r="P208" s="361"/>
      <c r="Q208" s="361"/>
      <c r="R208" s="362"/>
      <c r="S208" s="361"/>
      <c r="T208" s="360" t="s">
        <v>132</v>
      </c>
    </row>
    <row r="209" ht="34.5">
      <c r="A209" s="360" t="s">
        <v>125</v>
      </c>
      <c r="B209" s="360" t="s">
        <v>126</v>
      </c>
      <c r="C209" s="360" t="s">
        <v>357</v>
      </c>
      <c r="D209" s="360" t="s">
        <v>128</v>
      </c>
      <c r="E209" s="360" t="s">
        <v>360</v>
      </c>
      <c r="F209" s="361" t="s">
        <v>361</v>
      </c>
      <c r="G209" s="360" t="s">
        <v>319</v>
      </c>
      <c r="H209" s="361"/>
      <c r="I209" s="361"/>
      <c r="J209" s="361" t="s">
        <v>365</v>
      </c>
      <c r="K209" s="363"/>
      <c r="L209" s="360"/>
      <c r="M209" s="360"/>
      <c r="N209" s="361"/>
      <c r="O209" s="361"/>
      <c r="P209" s="361"/>
      <c r="Q209" s="361"/>
      <c r="R209" s="362"/>
      <c r="S209" s="361"/>
      <c r="T209" s="360" t="s">
        <v>132</v>
      </c>
    </row>
    <row r="210" ht="34.5">
      <c r="A210" s="360" t="s">
        <v>125</v>
      </c>
      <c r="B210" s="360" t="s">
        <v>126</v>
      </c>
      <c r="C210" s="360" t="s">
        <v>357</v>
      </c>
      <c r="D210" s="360" t="s">
        <v>128</v>
      </c>
      <c r="E210" s="360" t="s">
        <v>360</v>
      </c>
      <c r="F210" s="361" t="s">
        <v>361</v>
      </c>
      <c r="G210" s="360" t="s">
        <v>319</v>
      </c>
      <c r="H210" s="361"/>
      <c r="I210" s="361"/>
      <c r="J210" s="361" t="s">
        <v>366</v>
      </c>
      <c r="K210" s="363"/>
      <c r="L210" s="360"/>
      <c r="M210" s="360"/>
      <c r="N210" s="361"/>
      <c r="O210" s="361"/>
      <c r="P210" s="361"/>
      <c r="Q210" s="361"/>
      <c r="R210" s="362"/>
      <c r="S210" s="361"/>
      <c r="T210" s="360" t="s">
        <v>132</v>
      </c>
    </row>
    <row r="211" ht="34.5">
      <c r="A211" s="360" t="s">
        <v>125</v>
      </c>
      <c r="B211" s="360" t="s">
        <v>126</v>
      </c>
      <c r="C211" s="360" t="s">
        <v>357</v>
      </c>
      <c r="D211" s="360" t="s">
        <v>128</v>
      </c>
      <c r="E211" s="360" t="s">
        <v>360</v>
      </c>
      <c r="F211" s="361" t="s">
        <v>361</v>
      </c>
      <c r="G211" s="360" t="s">
        <v>319</v>
      </c>
      <c r="H211" s="361"/>
      <c r="I211" s="361"/>
      <c r="J211" s="361" t="s">
        <v>367</v>
      </c>
      <c r="K211" s="363">
        <v>59335404</v>
      </c>
      <c r="L211" s="360" t="s">
        <v>314</v>
      </c>
      <c r="M211" s="360"/>
      <c r="N211" s="361"/>
      <c r="O211" s="361"/>
      <c r="P211" s="361"/>
      <c r="Q211" s="361"/>
      <c r="R211" s="362"/>
      <c r="S211" s="361"/>
      <c r="T211" s="360" t="s">
        <v>132</v>
      </c>
    </row>
    <row r="212" ht="34.5">
      <c r="A212" s="360" t="s">
        <v>125</v>
      </c>
      <c r="B212" s="360" t="s">
        <v>126</v>
      </c>
      <c r="C212" s="360" t="s">
        <v>357</v>
      </c>
      <c r="D212" s="360" t="s">
        <v>128</v>
      </c>
      <c r="E212" s="360" t="s">
        <v>360</v>
      </c>
      <c r="F212" s="361" t="s">
        <v>361</v>
      </c>
      <c r="G212" s="360" t="s">
        <v>319</v>
      </c>
      <c r="H212" s="361"/>
      <c r="I212" s="361"/>
      <c r="J212" s="361" t="s">
        <v>368</v>
      </c>
      <c r="K212" s="363"/>
      <c r="L212" s="360"/>
      <c r="M212" s="360"/>
      <c r="N212" s="361"/>
      <c r="O212" s="361"/>
      <c r="P212" s="361"/>
      <c r="Q212" s="361"/>
      <c r="R212" s="362"/>
      <c r="S212" s="361"/>
      <c r="T212" s="360" t="s">
        <v>132</v>
      </c>
    </row>
    <row r="213" ht="34.5">
      <c r="A213" s="360" t="s">
        <v>125</v>
      </c>
      <c r="B213" s="360" t="s">
        <v>126</v>
      </c>
      <c r="C213" s="360" t="s">
        <v>369</v>
      </c>
      <c r="D213" s="360" t="s">
        <v>128</v>
      </c>
      <c r="E213" s="360" t="s">
        <v>360</v>
      </c>
      <c r="F213" s="361" t="s">
        <v>361</v>
      </c>
      <c r="G213" s="360" t="s">
        <v>319</v>
      </c>
      <c r="H213" s="361"/>
      <c r="I213" s="361"/>
      <c r="J213" s="361" t="s">
        <v>370</v>
      </c>
      <c r="K213" s="363"/>
      <c r="L213" s="360"/>
      <c r="M213" s="360"/>
      <c r="N213" s="361"/>
      <c r="O213" s="361"/>
      <c r="P213" s="361"/>
      <c r="Q213" s="361"/>
      <c r="R213" s="362"/>
      <c r="S213" s="361"/>
      <c r="T213" s="360" t="s">
        <v>132</v>
      </c>
    </row>
    <row r="214" ht="34.5">
      <c r="A214" s="360" t="s">
        <v>125</v>
      </c>
      <c r="B214" s="360" t="s">
        <v>126</v>
      </c>
      <c r="C214" s="360" t="s">
        <v>369</v>
      </c>
      <c r="D214" s="360" t="s">
        <v>128</v>
      </c>
      <c r="E214" s="360" t="s">
        <v>360</v>
      </c>
      <c r="F214" s="361" t="s">
        <v>361</v>
      </c>
      <c r="G214" s="360" t="s">
        <v>319</v>
      </c>
      <c r="H214" s="361"/>
      <c r="I214" s="361"/>
      <c r="J214" s="361" t="s">
        <v>371</v>
      </c>
      <c r="K214" s="363"/>
      <c r="L214" s="360"/>
      <c r="M214" s="360"/>
      <c r="N214" s="361"/>
      <c r="O214" s="361"/>
      <c r="P214" s="361"/>
      <c r="Q214" s="361"/>
      <c r="R214" s="362"/>
      <c r="S214" s="361"/>
      <c r="T214" s="360" t="s">
        <v>132</v>
      </c>
    </row>
    <row r="215" ht="34.5">
      <c r="A215" s="360" t="s">
        <v>125</v>
      </c>
      <c r="B215" s="360" t="s">
        <v>126</v>
      </c>
      <c r="C215" s="360" t="s">
        <v>369</v>
      </c>
      <c r="D215" s="360" t="s">
        <v>372</v>
      </c>
      <c r="E215" s="360" t="s">
        <v>360</v>
      </c>
      <c r="F215" s="361" t="s">
        <v>361</v>
      </c>
      <c r="G215" s="360" t="s">
        <v>319</v>
      </c>
      <c r="H215" s="361"/>
      <c r="I215" s="361"/>
      <c r="J215" s="361" t="s">
        <v>373</v>
      </c>
      <c r="K215" s="363"/>
      <c r="L215" s="360"/>
      <c r="M215" s="360"/>
      <c r="N215" s="361"/>
      <c r="O215" s="361"/>
      <c r="P215" s="361"/>
      <c r="Q215" s="361"/>
      <c r="R215" s="362"/>
      <c r="S215" s="361"/>
      <c r="T215" s="360" t="s">
        <v>132</v>
      </c>
    </row>
    <row r="216" ht="34.5">
      <c r="A216" s="360" t="s">
        <v>125</v>
      </c>
      <c r="B216" s="360" t="s">
        <v>126</v>
      </c>
      <c r="C216" s="360" t="s">
        <v>369</v>
      </c>
      <c r="D216" s="360" t="s">
        <v>128</v>
      </c>
      <c r="E216" s="360" t="s">
        <v>360</v>
      </c>
      <c r="F216" s="361" t="s">
        <v>361</v>
      </c>
      <c r="G216" s="360" t="s">
        <v>319</v>
      </c>
      <c r="H216" s="361"/>
      <c r="I216" s="361"/>
      <c r="J216" s="361" t="s">
        <v>374</v>
      </c>
      <c r="K216" s="363"/>
      <c r="L216" s="360"/>
      <c r="M216" s="360"/>
      <c r="N216" s="361"/>
      <c r="O216" s="361"/>
      <c r="P216" s="361"/>
      <c r="Q216" s="361"/>
      <c r="R216" s="362"/>
      <c r="S216" s="361"/>
      <c r="T216" s="360" t="s">
        <v>132</v>
      </c>
    </row>
    <row r="217" ht="34.5">
      <c r="A217" s="360" t="s">
        <v>125</v>
      </c>
      <c r="B217" s="360" t="s">
        <v>126</v>
      </c>
      <c r="C217" s="360" t="s">
        <v>369</v>
      </c>
      <c r="D217" s="360" t="s">
        <v>128</v>
      </c>
      <c r="E217" s="360" t="s">
        <v>360</v>
      </c>
      <c r="F217" s="361" t="s">
        <v>361</v>
      </c>
      <c r="G217" s="360" t="s">
        <v>319</v>
      </c>
      <c r="H217" s="361"/>
      <c r="I217" s="361"/>
      <c r="J217" s="361" t="s">
        <v>375</v>
      </c>
      <c r="K217" s="363"/>
      <c r="L217" s="360"/>
      <c r="M217" s="360"/>
      <c r="N217" s="361"/>
      <c r="O217" s="361"/>
      <c r="P217" s="361"/>
      <c r="Q217" s="361"/>
      <c r="R217" s="362"/>
      <c r="S217" s="361"/>
      <c r="T217" s="360" t="s">
        <v>132</v>
      </c>
    </row>
    <row r="218" ht="34.5">
      <c r="A218" s="360" t="s">
        <v>125</v>
      </c>
      <c r="B218" s="360" t="s">
        <v>126</v>
      </c>
      <c r="C218" s="360" t="s">
        <v>369</v>
      </c>
      <c r="D218" s="360" t="s">
        <v>376</v>
      </c>
      <c r="E218" s="360" t="s">
        <v>360</v>
      </c>
      <c r="F218" s="361" t="s">
        <v>361</v>
      </c>
      <c r="G218" s="360" t="s">
        <v>319</v>
      </c>
      <c r="H218" s="361"/>
      <c r="I218" s="361"/>
      <c r="J218" s="361" t="s">
        <v>377</v>
      </c>
      <c r="K218" s="363"/>
      <c r="L218" s="360"/>
      <c r="M218" s="360"/>
      <c r="N218" s="361"/>
      <c r="O218" s="361"/>
      <c r="P218" s="361"/>
      <c r="Q218" s="361"/>
      <c r="R218" s="362"/>
      <c r="S218" s="361"/>
      <c r="T218" s="360" t="s">
        <v>132</v>
      </c>
    </row>
    <row r="219" ht="34.5">
      <c r="A219" s="360" t="s">
        <v>125</v>
      </c>
      <c r="B219" s="360" t="s">
        <v>126</v>
      </c>
      <c r="C219" s="360" t="s">
        <v>378</v>
      </c>
      <c r="D219" s="360" t="s">
        <v>128</v>
      </c>
      <c r="E219" s="360" t="s">
        <v>360</v>
      </c>
      <c r="F219" s="361" t="s">
        <v>361</v>
      </c>
      <c r="G219" s="360" t="s">
        <v>319</v>
      </c>
      <c r="H219" s="361"/>
      <c r="I219" s="361"/>
      <c r="J219" s="361" t="s">
        <v>379</v>
      </c>
      <c r="K219" s="363"/>
      <c r="L219" s="360"/>
      <c r="M219" s="360"/>
      <c r="N219" s="361"/>
      <c r="O219" s="361"/>
      <c r="P219" s="361"/>
      <c r="Q219" s="361"/>
      <c r="R219" s="362"/>
      <c r="S219" s="361"/>
      <c r="T219" s="360" t="s">
        <v>132</v>
      </c>
    </row>
    <row r="220" ht="34.5">
      <c r="A220" s="360" t="s">
        <v>125</v>
      </c>
      <c r="B220" s="360" t="s">
        <v>126</v>
      </c>
      <c r="C220" s="360" t="s">
        <v>378</v>
      </c>
      <c r="D220" s="360" t="s">
        <v>128</v>
      </c>
      <c r="E220" s="360" t="s">
        <v>360</v>
      </c>
      <c r="F220" s="361" t="s">
        <v>361</v>
      </c>
      <c r="G220" s="360" t="s">
        <v>319</v>
      </c>
      <c r="H220" s="361"/>
      <c r="I220" s="361"/>
      <c r="J220" s="361" t="s">
        <v>380</v>
      </c>
      <c r="K220" s="363"/>
      <c r="L220" s="360"/>
      <c r="M220" s="360"/>
      <c r="N220" s="361"/>
      <c r="O220" s="361"/>
      <c r="P220" s="361"/>
      <c r="Q220" s="361"/>
      <c r="R220" s="362"/>
      <c r="S220" s="361"/>
      <c r="T220" s="360" t="s">
        <v>132</v>
      </c>
    </row>
    <row r="221" ht="34.5">
      <c r="A221" s="360" t="s">
        <v>125</v>
      </c>
      <c r="B221" s="360" t="s">
        <v>126</v>
      </c>
      <c r="C221" s="360" t="s">
        <v>378</v>
      </c>
      <c r="D221" s="360" t="s">
        <v>381</v>
      </c>
      <c r="E221" s="360" t="s">
        <v>360</v>
      </c>
      <c r="F221" s="361" t="s">
        <v>361</v>
      </c>
      <c r="G221" s="360" t="s">
        <v>319</v>
      </c>
      <c r="H221" s="361"/>
      <c r="I221" s="361"/>
      <c r="J221" s="361" t="s">
        <v>382</v>
      </c>
      <c r="K221" s="363"/>
      <c r="L221" s="360"/>
      <c r="M221" s="360"/>
      <c r="N221" s="361"/>
      <c r="O221" s="361"/>
      <c r="P221" s="361"/>
      <c r="Q221" s="361"/>
      <c r="R221" s="362"/>
      <c r="S221" s="361"/>
      <c r="T221" s="360" t="s">
        <v>132</v>
      </c>
    </row>
    <row r="222" ht="34.5">
      <c r="A222" s="360" t="s">
        <v>125</v>
      </c>
      <c r="B222" s="360" t="s">
        <v>126</v>
      </c>
      <c r="C222" s="360" t="s">
        <v>378</v>
      </c>
      <c r="D222" s="360" t="s">
        <v>128</v>
      </c>
      <c r="E222" s="360" t="s">
        <v>360</v>
      </c>
      <c r="F222" s="361" t="s">
        <v>361</v>
      </c>
      <c r="G222" s="360" t="s">
        <v>319</v>
      </c>
      <c r="H222" s="361"/>
      <c r="I222" s="361"/>
      <c r="J222" s="361" t="s">
        <v>383</v>
      </c>
      <c r="K222" s="363"/>
      <c r="L222" s="360"/>
      <c r="M222" s="360"/>
      <c r="N222" s="361"/>
      <c r="O222" s="361"/>
      <c r="P222" s="361"/>
      <c r="Q222" s="361"/>
      <c r="R222" s="362"/>
      <c r="S222" s="361"/>
      <c r="T222" s="360" t="s">
        <v>132</v>
      </c>
    </row>
    <row r="223" ht="34.5">
      <c r="A223" s="360" t="s">
        <v>125</v>
      </c>
      <c r="B223" s="360" t="s">
        <v>126</v>
      </c>
      <c r="C223" s="360" t="s">
        <v>378</v>
      </c>
      <c r="D223" s="360" t="s">
        <v>128</v>
      </c>
      <c r="E223" s="360" t="s">
        <v>360</v>
      </c>
      <c r="F223" s="361" t="s">
        <v>361</v>
      </c>
      <c r="G223" s="360" t="s">
        <v>319</v>
      </c>
      <c r="H223" s="361"/>
      <c r="I223" s="361"/>
      <c r="J223" s="361" t="s">
        <v>384</v>
      </c>
      <c r="K223" s="363"/>
      <c r="L223" s="360"/>
      <c r="M223" s="360"/>
      <c r="N223" s="361"/>
      <c r="O223" s="361"/>
      <c r="P223" s="361"/>
      <c r="Q223" s="361"/>
      <c r="R223" s="362"/>
      <c r="S223" s="361"/>
      <c r="T223" s="360" t="s">
        <v>132</v>
      </c>
    </row>
    <row r="224" ht="34.5">
      <c r="A224" s="360" t="s">
        <v>125</v>
      </c>
      <c r="B224" s="360" t="s">
        <v>126</v>
      </c>
      <c r="C224" s="360" t="s">
        <v>378</v>
      </c>
      <c r="D224" s="360" t="s">
        <v>128</v>
      </c>
      <c r="E224" s="360" t="s">
        <v>360</v>
      </c>
      <c r="F224" s="361" t="s">
        <v>361</v>
      </c>
      <c r="G224" s="360" t="s">
        <v>319</v>
      </c>
      <c r="H224" s="361"/>
      <c r="I224" s="361"/>
      <c r="J224" s="361" t="s">
        <v>385</v>
      </c>
      <c r="K224" s="363"/>
      <c r="L224" s="360"/>
      <c r="M224" s="360"/>
      <c r="N224" s="361"/>
      <c r="O224" s="361"/>
      <c r="P224" s="361"/>
      <c r="Q224" s="361"/>
      <c r="R224" s="362"/>
      <c r="S224" s="361"/>
      <c r="T224" s="360" t="s">
        <v>132</v>
      </c>
    </row>
    <row r="225" ht="34.5">
      <c r="A225" s="360" t="s">
        <v>125</v>
      </c>
      <c r="B225" s="360" t="s">
        <v>126</v>
      </c>
      <c r="C225" s="360" t="s">
        <v>378</v>
      </c>
      <c r="D225" s="360" t="s">
        <v>128</v>
      </c>
      <c r="E225" s="360" t="s">
        <v>360</v>
      </c>
      <c r="F225" s="361" t="s">
        <v>361</v>
      </c>
      <c r="G225" s="360" t="s">
        <v>319</v>
      </c>
      <c r="H225" s="361"/>
      <c r="I225" s="361"/>
      <c r="J225" s="361" t="s">
        <v>386</v>
      </c>
      <c r="K225" s="363"/>
      <c r="L225" s="360"/>
      <c r="M225" s="360"/>
      <c r="N225" s="361"/>
      <c r="O225" s="361"/>
      <c r="P225" s="361"/>
      <c r="Q225" s="361"/>
      <c r="R225" s="362"/>
      <c r="S225" s="361"/>
      <c r="T225" s="360" t="s">
        <v>132</v>
      </c>
    </row>
    <row r="226" ht="34.5">
      <c r="A226" s="360" t="s">
        <v>125</v>
      </c>
      <c r="B226" s="360" t="s">
        <v>126</v>
      </c>
      <c r="C226" s="360" t="s">
        <v>378</v>
      </c>
      <c r="D226" s="360" t="s">
        <v>128</v>
      </c>
      <c r="E226" s="360" t="s">
        <v>360</v>
      </c>
      <c r="F226" s="361" t="s">
        <v>361</v>
      </c>
      <c r="G226" s="360" t="s">
        <v>319</v>
      </c>
      <c r="H226" s="361"/>
      <c r="I226" s="361"/>
      <c r="J226" s="361" t="s">
        <v>387</v>
      </c>
      <c r="K226" s="363"/>
      <c r="L226" s="360"/>
      <c r="M226" s="360"/>
      <c r="N226" s="361"/>
      <c r="O226" s="361"/>
      <c r="P226" s="361"/>
      <c r="Q226" s="361"/>
      <c r="R226" s="362"/>
      <c r="S226" s="361"/>
      <c r="T226" s="360" t="s">
        <v>132</v>
      </c>
    </row>
    <row r="227" ht="34.5">
      <c r="A227" s="360" t="s">
        <v>125</v>
      </c>
      <c r="B227" s="360" t="s">
        <v>126</v>
      </c>
      <c r="C227" s="360" t="s">
        <v>378</v>
      </c>
      <c r="D227" s="360" t="s">
        <v>128</v>
      </c>
      <c r="E227" s="360" t="s">
        <v>360</v>
      </c>
      <c r="F227" s="361" t="s">
        <v>361</v>
      </c>
      <c r="G227" s="360" t="s">
        <v>319</v>
      </c>
      <c r="H227" s="361"/>
      <c r="I227" s="361"/>
      <c r="J227" s="361" t="s">
        <v>388</v>
      </c>
      <c r="K227" s="363"/>
      <c r="L227" s="360"/>
      <c r="M227" s="360"/>
      <c r="N227" s="361"/>
      <c r="O227" s="361"/>
      <c r="P227" s="361"/>
      <c r="Q227" s="361"/>
      <c r="R227" s="362"/>
      <c r="S227" s="361"/>
      <c r="T227" s="360" t="s">
        <v>132</v>
      </c>
    </row>
    <row r="228" ht="34.5">
      <c r="A228" s="360" t="s">
        <v>125</v>
      </c>
      <c r="B228" s="360" t="s">
        <v>126</v>
      </c>
      <c r="C228" s="360" t="s">
        <v>378</v>
      </c>
      <c r="D228" s="360" t="s">
        <v>128</v>
      </c>
      <c r="E228" s="360" t="s">
        <v>360</v>
      </c>
      <c r="F228" s="361" t="s">
        <v>361</v>
      </c>
      <c r="G228" s="360" t="s">
        <v>319</v>
      </c>
      <c r="H228" s="361"/>
      <c r="I228" s="361"/>
      <c r="J228" s="361" t="s">
        <v>389</v>
      </c>
      <c r="K228" s="363"/>
      <c r="L228" s="360"/>
      <c r="M228" s="360"/>
      <c r="N228" s="361"/>
      <c r="O228" s="361"/>
      <c r="P228" s="361"/>
      <c r="Q228" s="361"/>
      <c r="R228" s="362"/>
      <c r="S228" s="361"/>
      <c r="T228" s="360" t="s">
        <v>132</v>
      </c>
    </row>
    <row r="229" ht="34.5">
      <c r="A229" s="360" t="s">
        <v>125</v>
      </c>
      <c r="B229" s="360" t="s">
        <v>126</v>
      </c>
      <c r="C229" s="360" t="s">
        <v>378</v>
      </c>
      <c r="D229" s="360" t="s">
        <v>128</v>
      </c>
      <c r="E229" s="360" t="s">
        <v>360</v>
      </c>
      <c r="F229" s="361" t="s">
        <v>361</v>
      </c>
      <c r="G229" s="360" t="s">
        <v>319</v>
      </c>
      <c r="H229" s="361"/>
      <c r="I229" s="361"/>
      <c r="J229" s="361" t="s">
        <v>390</v>
      </c>
      <c r="K229" s="363"/>
      <c r="L229" s="360"/>
      <c r="M229" s="360"/>
      <c r="N229" s="361"/>
      <c r="O229" s="361"/>
      <c r="P229" s="361"/>
      <c r="Q229" s="361"/>
      <c r="R229" s="362"/>
      <c r="S229" s="361"/>
      <c r="T229" s="360" t="s">
        <v>132</v>
      </c>
    </row>
    <row r="230" ht="34.5">
      <c r="A230" s="360" t="s">
        <v>125</v>
      </c>
      <c r="B230" s="360" t="s">
        <v>126</v>
      </c>
      <c r="C230" s="360" t="s">
        <v>378</v>
      </c>
      <c r="D230" s="360" t="s">
        <v>128</v>
      </c>
      <c r="E230" s="360" t="s">
        <v>360</v>
      </c>
      <c r="F230" s="361" t="s">
        <v>361</v>
      </c>
      <c r="G230" s="360" t="s">
        <v>319</v>
      </c>
      <c r="H230" s="361"/>
      <c r="I230" s="361"/>
      <c r="J230" s="361" t="s">
        <v>391</v>
      </c>
      <c r="K230" s="363"/>
      <c r="L230" s="360"/>
      <c r="M230" s="360"/>
      <c r="N230" s="361"/>
      <c r="O230" s="361"/>
      <c r="P230" s="361"/>
      <c r="Q230" s="361"/>
      <c r="R230" s="362"/>
      <c r="S230" s="361"/>
      <c r="T230" s="360" t="s">
        <v>132</v>
      </c>
    </row>
    <row r="231" ht="34.5">
      <c r="A231" s="360" t="s">
        <v>125</v>
      </c>
      <c r="B231" s="360" t="s">
        <v>126</v>
      </c>
      <c r="C231" s="360" t="s">
        <v>378</v>
      </c>
      <c r="D231" s="360" t="s">
        <v>128</v>
      </c>
      <c r="E231" s="360" t="s">
        <v>360</v>
      </c>
      <c r="F231" s="361" t="s">
        <v>361</v>
      </c>
      <c r="G231" s="360" t="s">
        <v>319</v>
      </c>
      <c r="H231" s="361"/>
      <c r="I231" s="361"/>
      <c r="J231" s="361" t="s">
        <v>392</v>
      </c>
      <c r="K231" s="363"/>
      <c r="L231" s="360"/>
      <c r="M231" s="360"/>
      <c r="N231" s="361"/>
      <c r="O231" s="361"/>
      <c r="P231" s="361"/>
      <c r="Q231" s="361"/>
      <c r="R231" s="362"/>
      <c r="S231" s="361"/>
      <c r="T231" s="360" t="s">
        <v>132</v>
      </c>
    </row>
    <row r="232" ht="34.5">
      <c r="A232" s="360" t="s">
        <v>125</v>
      </c>
      <c r="B232" s="360" t="s">
        <v>126</v>
      </c>
      <c r="C232" s="360" t="s">
        <v>378</v>
      </c>
      <c r="D232" s="360" t="s">
        <v>128</v>
      </c>
      <c r="E232" s="360" t="s">
        <v>360</v>
      </c>
      <c r="F232" s="361" t="s">
        <v>361</v>
      </c>
      <c r="G232" s="360" t="s">
        <v>319</v>
      </c>
      <c r="H232" s="361"/>
      <c r="I232" s="361"/>
      <c r="J232" s="361" t="s">
        <v>393</v>
      </c>
      <c r="K232" s="363"/>
      <c r="L232" s="360"/>
      <c r="M232" s="360"/>
      <c r="N232" s="361"/>
      <c r="O232" s="361"/>
      <c r="P232" s="361"/>
      <c r="Q232" s="361"/>
      <c r="R232" s="362"/>
      <c r="S232" s="361"/>
      <c r="T232" s="360" t="s">
        <v>132</v>
      </c>
    </row>
    <row r="233" ht="34.5">
      <c r="A233" s="360" t="s">
        <v>125</v>
      </c>
      <c r="B233" s="360" t="s">
        <v>126</v>
      </c>
      <c r="C233" s="360" t="s">
        <v>394</v>
      </c>
      <c r="D233" s="360" t="s">
        <v>128</v>
      </c>
      <c r="E233" s="360" t="s">
        <v>360</v>
      </c>
      <c r="F233" s="361" t="s">
        <v>361</v>
      </c>
      <c r="G233" s="360" t="s">
        <v>319</v>
      </c>
      <c r="H233" s="361"/>
      <c r="I233" s="361"/>
      <c r="J233" s="361" t="s">
        <v>395</v>
      </c>
      <c r="K233" s="363"/>
      <c r="L233" s="360"/>
      <c r="M233" s="360"/>
      <c r="N233" s="361"/>
      <c r="O233" s="361"/>
      <c r="P233" s="361"/>
      <c r="Q233" s="361"/>
      <c r="R233" s="362"/>
      <c r="S233" s="361"/>
      <c r="T233" s="360" t="s">
        <v>132</v>
      </c>
    </row>
    <row r="234" ht="34.5">
      <c r="A234" s="360" t="s">
        <v>125</v>
      </c>
      <c r="B234" s="360" t="s">
        <v>126</v>
      </c>
      <c r="C234" s="360" t="s">
        <v>394</v>
      </c>
      <c r="D234" s="360" t="s">
        <v>128</v>
      </c>
      <c r="E234" s="360" t="s">
        <v>360</v>
      </c>
      <c r="F234" s="361" t="s">
        <v>361</v>
      </c>
      <c r="G234" s="360" t="s">
        <v>319</v>
      </c>
      <c r="H234" s="361"/>
      <c r="I234" s="361"/>
      <c r="J234" s="361" t="s">
        <v>396</v>
      </c>
      <c r="K234" s="363"/>
      <c r="L234" s="360"/>
      <c r="M234" s="360"/>
      <c r="N234" s="361"/>
      <c r="O234" s="361"/>
      <c r="P234" s="361"/>
      <c r="Q234" s="361"/>
      <c r="R234" s="362"/>
      <c r="S234" s="361"/>
      <c r="T234" s="360" t="s">
        <v>132</v>
      </c>
    </row>
    <row r="235" ht="34.5">
      <c r="A235" s="360" t="s">
        <v>125</v>
      </c>
      <c r="B235" s="360" t="s">
        <v>126</v>
      </c>
      <c r="C235" s="360" t="s">
        <v>394</v>
      </c>
      <c r="D235" s="360" t="s">
        <v>128</v>
      </c>
      <c r="E235" s="360" t="s">
        <v>360</v>
      </c>
      <c r="F235" s="361" t="s">
        <v>361</v>
      </c>
      <c r="G235" s="360" t="s">
        <v>319</v>
      </c>
      <c r="H235" s="361"/>
      <c r="I235" s="361"/>
      <c r="J235" s="361" t="s">
        <v>397</v>
      </c>
      <c r="K235" s="363"/>
      <c r="L235" s="360"/>
      <c r="M235" s="360"/>
      <c r="N235" s="361"/>
      <c r="O235" s="361"/>
      <c r="P235" s="361"/>
      <c r="Q235" s="361"/>
      <c r="R235" s="362"/>
      <c r="S235" s="361"/>
      <c r="T235" s="360" t="s">
        <v>132</v>
      </c>
    </row>
    <row r="236" ht="34.5">
      <c r="A236" s="360" t="s">
        <v>125</v>
      </c>
      <c r="B236" s="360" t="s">
        <v>126</v>
      </c>
      <c r="C236" s="360" t="s">
        <v>394</v>
      </c>
      <c r="D236" s="360" t="s">
        <v>128</v>
      </c>
      <c r="E236" s="360" t="s">
        <v>360</v>
      </c>
      <c r="F236" s="361" t="s">
        <v>361</v>
      </c>
      <c r="G236" s="360" t="s">
        <v>319</v>
      </c>
      <c r="H236" s="361"/>
      <c r="I236" s="361"/>
      <c r="J236" s="361" t="s">
        <v>398</v>
      </c>
      <c r="K236" s="363"/>
      <c r="L236" s="360"/>
      <c r="M236" s="360"/>
      <c r="N236" s="361"/>
      <c r="O236" s="361"/>
      <c r="P236" s="361"/>
      <c r="Q236" s="361"/>
      <c r="R236" s="362"/>
      <c r="S236" s="361"/>
      <c r="T236" s="360" t="s">
        <v>132</v>
      </c>
    </row>
    <row r="237" ht="34.5">
      <c r="A237" s="360" t="s">
        <v>125</v>
      </c>
      <c r="B237" s="360" t="s">
        <v>126</v>
      </c>
      <c r="C237" s="360" t="s">
        <v>394</v>
      </c>
      <c r="D237" s="360" t="s">
        <v>128</v>
      </c>
      <c r="E237" s="360" t="s">
        <v>360</v>
      </c>
      <c r="F237" s="361" t="s">
        <v>361</v>
      </c>
      <c r="G237" s="360" t="s">
        <v>319</v>
      </c>
      <c r="H237" s="361"/>
      <c r="I237" s="361"/>
      <c r="J237" s="361" t="s">
        <v>399</v>
      </c>
      <c r="K237" s="363"/>
      <c r="L237" s="360"/>
      <c r="M237" s="360"/>
      <c r="N237" s="361"/>
      <c r="O237" s="361"/>
      <c r="P237" s="361"/>
      <c r="Q237" s="361"/>
      <c r="R237" s="362"/>
      <c r="S237" s="361"/>
      <c r="T237" s="360" t="s">
        <v>132</v>
      </c>
    </row>
    <row r="238" ht="34.5">
      <c r="A238" s="360" t="s">
        <v>125</v>
      </c>
      <c r="B238" s="360" t="s">
        <v>126</v>
      </c>
      <c r="C238" s="360" t="s">
        <v>394</v>
      </c>
      <c r="D238" s="360" t="s">
        <v>128</v>
      </c>
      <c r="E238" s="360" t="s">
        <v>360</v>
      </c>
      <c r="F238" s="361" t="s">
        <v>361</v>
      </c>
      <c r="G238" s="360" t="s">
        <v>319</v>
      </c>
      <c r="H238" s="361"/>
      <c r="I238" s="361"/>
      <c r="J238" s="361" t="s">
        <v>400</v>
      </c>
      <c r="K238" s="363"/>
      <c r="L238" s="360"/>
      <c r="M238" s="360"/>
      <c r="N238" s="361"/>
      <c r="O238" s="361"/>
      <c r="P238" s="361"/>
      <c r="Q238" s="361"/>
      <c r="R238" s="362"/>
      <c r="S238" s="361"/>
      <c r="T238" s="360" t="s">
        <v>132</v>
      </c>
    </row>
    <row r="239" ht="34.5">
      <c r="A239" s="360" t="s">
        <v>125</v>
      </c>
      <c r="B239" s="360" t="s">
        <v>126</v>
      </c>
      <c r="C239" s="360" t="s">
        <v>394</v>
      </c>
      <c r="D239" s="360" t="s">
        <v>128</v>
      </c>
      <c r="E239" s="360" t="s">
        <v>360</v>
      </c>
      <c r="F239" s="361" t="s">
        <v>361</v>
      </c>
      <c r="G239" s="360" t="s">
        <v>319</v>
      </c>
      <c r="H239" s="361"/>
      <c r="I239" s="361"/>
      <c r="J239" s="361" t="s">
        <v>401</v>
      </c>
      <c r="K239" s="363"/>
      <c r="L239" s="360"/>
      <c r="M239" s="360"/>
      <c r="N239" s="361"/>
      <c r="O239" s="361"/>
      <c r="P239" s="361"/>
      <c r="Q239" s="361"/>
      <c r="R239" s="362"/>
      <c r="S239" s="361"/>
      <c r="T239" s="360" t="s">
        <v>132</v>
      </c>
    </row>
    <row r="240" ht="34.5">
      <c r="A240" s="360" t="s">
        <v>125</v>
      </c>
      <c r="B240" s="360" t="s">
        <v>126</v>
      </c>
      <c r="C240" s="360" t="s">
        <v>394</v>
      </c>
      <c r="D240" s="360" t="s">
        <v>128</v>
      </c>
      <c r="E240" s="360" t="s">
        <v>360</v>
      </c>
      <c r="F240" s="361" t="s">
        <v>361</v>
      </c>
      <c r="G240" s="360" t="s">
        <v>319</v>
      </c>
      <c r="H240" s="361"/>
      <c r="I240" s="361"/>
      <c r="J240" s="361" t="s">
        <v>402</v>
      </c>
      <c r="K240" s="363"/>
      <c r="L240" s="360"/>
      <c r="M240" s="360"/>
      <c r="N240" s="361"/>
      <c r="O240" s="361"/>
      <c r="P240" s="361"/>
      <c r="Q240" s="361"/>
      <c r="R240" s="362"/>
      <c r="S240" s="361"/>
      <c r="T240" s="360" t="s">
        <v>132</v>
      </c>
    </row>
    <row r="241" ht="34.5">
      <c r="A241" s="360" t="s">
        <v>125</v>
      </c>
      <c r="B241" s="360" t="s">
        <v>126</v>
      </c>
      <c r="C241" s="360" t="s">
        <v>394</v>
      </c>
      <c r="D241" s="360" t="s">
        <v>128</v>
      </c>
      <c r="E241" s="360" t="s">
        <v>360</v>
      </c>
      <c r="F241" s="361" t="s">
        <v>361</v>
      </c>
      <c r="G241" s="360" t="s">
        <v>319</v>
      </c>
      <c r="H241" s="361"/>
      <c r="I241" s="361"/>
      <c r="J241" s="361" t="s">
        <v>403</v>
      </c>
      <c r="K241" s="363"/>
      <c r="L241" s="360"/>
      <c r="M241" s="360"/>
      <c r="N241" s="361"/>
      <c r="O241" s="361"/>
      <c r="P241" s="361"/>
      <c r="Q241" s="361"/>
      <c r="R241" s="362"/>
      <c r="S241" s="361"/>
      <c r="T241" s="360" t="s">
        <v>132</v>
      </c>
    </row>
    <row r="242" ht="34.5">
      <c r="A242" s="360" t="s">
        <v>125</v>
      </c>
      <c r="B242" s="360" t="s">
        <v>126</v>
      </c>
      <c r="C242" s="360" t="s">
        <v>404</v>
      </c>
      <c r="D242" s="360" t="s">
        <v>128</v>
      </c>
      <c r="E242" s="360" t="s">
        <v>360</v>
      </c>
      <c r="F242" s="361" t="s">
        <v>361</v>
      </c>
      <c r="G242" s="360" t="s">
        <v>319</v>
      </c>
      <c r="H242" s="361"/>
      <c r="I242" s="361"/>
      <c r="J242" s="361" t="s">
        <v>405</v>
      </c>
      <c r="K242" s="363"/>
      <c r="L242" s="360"/>
      <c r="M242" s="360"/>
      <c r="N242" s="361"/>
      <c r="O242" s="361"/>
      <c r="P242" s="361"/>
      <c r="Q242" s="361"/>
      <c r="R242" s="362"/>
      <c r="S242" s="361"/>
      <c r="T242" s="360" t="s">
        <v>132</v>
      </c>
    </row>
    <row r="243" ht="34.5">
      <c r="A243" s="360" t="s">
        <v>125</v>
      </c>
      <c r="B243" s="360" t="s">
        <v>126</v>
      </c>
      <c r="C243" s="360" t="s">
        <v>404</v>
      </c>
      <c r="D243" s="360" t="s">
        <v>128</v>
      </c>
      <c r="E243" s="360" t="s">
        <v>360</v>
      </c>
      <c r="F243" s="361" t="s">
        <v>361</v>
      </c>
      <c r="G243" s="360" t="s">
        <v>319</v>
      </c>
      <c r="H243" s="361"/>
      <c r="I243" s="361"/>
      <c r="J243" s="361" t="s">
        <v>406</v>
      </c>
      <c r="K243" s="363"/>
      <c r="L243" s="360"/>
      <c r="M243" s="360"/>
      <c r="N243" s="361"/>
      <c r="O243" s="361"/>
      <c r="P243" s="361"/>
      <c r="Q243" s="361"/>
      <c r="R243" s="362"/>
      <c r="S243" s="361"/>
      <c r="T243" s="360" t="s">
        <v>132</v>
      </c>
    </row>
    <row r="244" ht="34.5">
      <c r="A244" s="360" t="s">
        <v>125</v>
      </c>
      <c r="B244" s="360" t="s">
        <v>126</v>
      </c>
      <c r="C244" s="360" t="s">
        <v>404</v>
      </c>
      <c r="D244" s="360" t="s">
        <v>128</v>
      </c>
      <c r="E244" s="360" t="s">
        <v>360</v>
      </c>
      <c r="F244" s="361" t="s">
        <v>361</v>
      </c>
      <c r="G244" s="360" t="s">
        <v>319</v>
      </c>
      <c r="H244" s="361"/>
      <c r="I244" s="361"/>
      <c r="J244" s="361" t="s">
        <v>407</v>
      </c>
      <c r="K244" s="363"/>
      <c r="L244" s="360"/>
      <c r="M244" s="360"/>
      <c r="N244" s="361"/>
      <c r="O244" s="361"/>
      <c r="P244" s="361"/>
      <c r="Q244" s="361"/>
      <c r="R244" s="362"/>
      <c r="S244" s="361"/>
      <c r="T244" s="360" t="s">
        <v>132</v>
      </c>
    </row>
    <row r="245" ht="34.5">
      <c r="A245" s="360" t="s">
        <v>125</v>
      </c>
      <c r="B245" s="360" t="s">
        <v>126</v>
      </c>
      <c r="C245" s="360" t="s">
        <v>404</v>
      </c>
      <c r="D245" s="360" t="s">
        <v>128</v>
      </c>
      <c r="E245" s="360" t="s">
        <v>360</v>
      </c>
      <c r="F245" s="361" t="s">
        <v>361</v>
      </c>
      <c r="G245" s="360" t="s">
        <v>319</v>
      </c>
      <c r="H245" s="361"/>
      <c r="I245" s="361"/>
      <c r="J245" s="361" t="s">
        <v>408</v>
      </c>
      <c r="K245" s="363"/>
      <c r="L245" s="360"/>
      <c r="M245" s="360"/>
      <c r="N245" s="361"/>
      <c r="O245" s="361"/>
      <c r="P245" s="361"/>
      <c r="Q245" s="361"/>
      <c r="R245" s="362"/>
      <c r="S245" s="361"/>
      <c r="T245" s="360" t="s">
        <v>132</v>
      </c>
    </row>
    <row r="246" ht="34.5">
      <c r="A246" s="360" t="s">
        <v>125</v>
      </c>
      <c r="B246" s="360" t="s">
        <v>126</v>
      </c>
      <c r="C246" s="360" t="s">
        <v>404</v>
      </c>
      <c r="D246" s="360" t="s">
        <v>128</v>
      </c>
      <c r="E246" s="360" t="s">
        <v>360</v>
      </c>
      <c r="F246" s="361" t="s">
        <v>361</v>
      </c>
      <c r="G246" s="360" t="s">
        <v>319</v>
      </c>
      <c r="H246" s="361"/>
      <c r="I246" s="361"/>
      <c r="J246" s="361" t="s">
        <v>409</v>
      </c>
      <c r="K246" s="363"/>
      <c r="L246" s="360"/>
      <c r="M246" s="360"/>
      <c r="N246" s="361"/>
      <c r="O246" s="361"/>
      <c r="P246" s="361"/>
      <c r="Q246" s="361"/>
      <c r="R246" s="362"/>
      <c r="S246" s="361"/>
      <c r="T246" s="360" t="s">
        <v>132</v>
      </c>
    </row>
    <row r="247" ht="34.5">
      <c r="A247" s="360" t="s">
        <v>125</v>
      </c>
      <c r="B247" s="360" t="s">
        <v>126</v>
      </c>
      <c r="C247" s="360" t="s">
        <v>404</v>
      </c>
      <c r="D247" s="360" t="s">
        <v>128</v>
      </c>
      <c r="E247" s="360" t="s">
        <v>360</v>
      </c>
      <c r="F247" s="361" t="s">
        <v>361</v>
      </c>
      <c r="G247" s="360" t="s">
        <v>319</v>
      </c>
      <c r="H247" s="361"/>
      <c r="I247" s="361"/>
      <c r="J247" s="361" t="s">
        <v>410</v>
      </c>
      <c r="K247" s="363"/>
      <c r="L247" s="360"/>
      <c r="M247" s="360"/>
      <c r="N247" s="361"/>
      <c r="O247" s="361"/>
      <c r="P247" s="361"/>
      <c r="Q247" s="361"/>
      <c r="R247" s="362"/>
      <c r="S247" s="361"/>
      <c r="T247" s="360" t="s">
        <v>132</v>
      </c>
    </row>
    <row r="248" ht="34.5">
      <c r="A248" s="360" t="s">
        <v>125</v>
      </c>
      <c r="B248" s="360" t="s">
        <v>126</v>
      </c>
      <c r="C248" s="360" t="s">
        <v>404</v>
      </c>
      <c r="D248" s="360" t="s">
        <v>128</v>
      </c>
      <c r="E248" s="360" t="s">
        <v>360</v>
      </c>
      <c r="F248" s="361" t="s">
        <v>361</v>
      </c>
      <c r="G248" s="360" t="s">
        <v>319</v>
      </c>
      <c r="H248" s="361"/>
      <c r="I248" s="361"/>
      <c r="J248" s="361" t="s">
        <v>411</v>
      </c>
      <c r="K248" s="363"/>
      <c r="L248" s="360"/>
      <c r="M248" s="360"/>
      <c r="N248" s="361"/>
      <c r="O248" s="361"/>
      <c r="P248" s="361"/>
      <c r="Q248" s="361"/>
      <c r="R248" s="362"/>
      <c r="S248" s="361"/>
      <c r="T248" s="360" t="s">
        <v>132</v>
      </c>
    </row>
    <row r="249" ht="34.5">
      <c r="A249" s="360" t="s">
        <v>125</v>
      </c>
      <c r="B249" s="360" t="s">
        <v>126</v>
      </c>
      <c r="C249" s="360" t="s">
        <v>404</v>
      </c>
      <c r="D249" s="360" t="s">
        <v>128</v>
      </c>
      <c r="E249" s="360" t="s">
        <v>360</v>
      </c>
      <c r="F249" s="361" t="s">
        <v>361</v>
      </c>
      <c r="G249" s="360" t="s">
        <v>319</v>
      </c>
      <c r="H249" s="361"/>
      <c r="I249" s="361"/>
      <c r="J249" s="361" t="s">
        <v>412</v>
      </c>
      <c r="K249" s="363"/>
      <c r="L249" s="360"/>
      <c r="M249" s="360"/>
      <c r="N249" s="361"/>
      <c r="O249" s="361"/>
      <c r="P249" s="361"/>
      <c r="Q249" s="361"/>
      <c r="R249" s="362"/>
      <c r="S249" s="361"/>
      <c r="T249" s="360" t="s">
        <v>132</v>
      </c>
    </row>
    <row r="250" ht="34.5">
      <c r="A250" s="360" t="s">
        <v>125</v>
      </c>
      <c r="B250" s="360" t="s">
        <v>126</v>
      </c>
      <c r="C250" s="360" t="s">
        <v>404</v>
      </c>
      <c r="D250" s="360" t="s">
        <v>128</v>
      </c>
      <c r="E250" s="360" t="s">
        <v>360</v>
      </c>
      <c r="F250" s="361" t="s">
        <v>361</v>
      </c>
      <c r="G250" s="360" t="s">
        <v>319</v>
      </c>
      <c r="H250" s="361"/>
      <c r="I250" s="361"/>
      <c r="J250" s="361" t="s">
        <v>413</v>
      </c>
      <c r="K250" s="363"/>
      <c r="L250" s="360"/>
      <c r="M250" s="360"/>
      <c r="N250" s="361"/>
      <c r="O250" s="361"/>
      <c r="P250" s="361"/>
      <c r="Q250" s="361"/>
      <c r="R250" s="362"/>
      <c r="S250" s="361"/>
      <c r="T250" s="360" t="s">
        <v>132</v>
      </c>
    </row>
    <row r="251" ht="34.5">
      <c r="A251" s="360" t="s">
        <v>125</v>
      </c>
      <c r="B251" s="360" t="s">
        <v>126</v>
      </c>
      <c r="C251" s="360" t="s">
        <v>404</v>
      </c>
      <c r="D251" s="360" t="s">
        <v>128</v>
      </c>
      <c r="E251" s="360" t="s">
        <v>360</v>
      </c>
      <c r="F251" s="361" t="s">
        <v>361</v>
      </c>
      <c r="G251" s="360" t="s">
        <v>319</v>
      </c>
      <c r="H251" s="361"/>
      <c r="I251" s="361"/>
      <c r="J251" s="361" t="s">
        <v>414</v>
      </c>
      <c r="K251" s="363"/>
      <c r="L251" s="360"/>
      <c r="M251" s="360"/>
      <c r="N251" s="361"/>
      <c r="O251" s="361"/>
      <c r="P251" s="361"/>
      <c r="Q251" s="361"/>
      <c r="R251" s="362"/>
      <c r="S251" s="361"/>
      <c r="T251" s="360" t="s">
        <v>132</v>
      </c>
    </row>
    <row r="252" ht="34.5">
      <c r="A252" s="360" t="s">
        <v>125</v>
      </c>
      <c r="B252" s="360" t="s">
        <v>126</v>
      </c>
      <c r="C252" s="360" t="s">
        <v>404</v>
      </c>
      <c r="D252" s="360" t="s">
        <v>128</v>
      </c>
      <c r="E252" s="360" t="s">
        <v>360</v>
      </c>
      <c r="F252" s="361" t="s">
        <v>361</v>
      </c>
      <c r="G252" s="360" t="s">
        <v>319</v>
      </c>
      <c r="H252" s="361"/>
      <c r="I252" s="361"/>
      <c r="J252" s="361" t="s">
        <v>415</v>
      </c>
      <c r="K252" s="363"/>
      <c r="L252" s="360"/>
      <c r="M252" s="360"/>
      <c r="N252" s="361"/>
      <c r="O252" s="361"/>
      <c r="P252" s="361"/>
      <c r="Q252" s="361"/>
      <c r="R252" s="362"/>
      <c r="S252" s="361"/>
      <c r="T252" s="360" t="s">
        <v>132</v>
      </c>
    </row>
    <row r="253" ht="34.5">
      <c r="A253" s="360" t="s">
        <v>125</v>
      </c>
      <c r="B253" s="360" t="s">
        <v>126</v>
      </c>
      <c r="C253" s="360" t="s">
        <v>404</v>
      </c>
      <c r="D253" s="360" t="s">
        <v>128</v>
      </c>
      <c r="E253" s="360" t="s">
        <v>360</v>
      </c>
      <c r="F253" s="361" t="s">
        <v>361</v>
      </c>
      <c r="G253" s="360" t="s">
        <v>319</v>
      </c>
      <c r="H253" s="361"/>
      <c r="I253" s="361"/>
      <c r="J253" s="361" t="s">
        <v>416</v>
      </c>
      <c r="K253" s="363"/>
      <c r="L253" s="360"/>
      <c r="M253" s="360"/>
      <c r="N253" s="361"/>
      <c r="O253" s="361"/>
      <c r="P253" s="361"/>
      <c r="Q253" s="361"/>
      <c r="R253" s="362"/>
      <c r="S253" s="361"/>
      <c r="T253" s="360" t="s">
        <v>132</v>
      </c>
    </row>
    <row r="254" ht="34.5">
      <c r="A254" s="360" t="s">
        <v>125</v>
      </c>
      <c r="B254" s="360" t="s">
        <v>126</v>
      </c>
      <c r="C254" s="360" t="s">
        <v>417</v>
      </c>
      <c r="D254" s="360" t="s">
        <v>128</v>
      </c>
      <c r="E254" s="360" t="s">
        <v>360</v>
      </c>
      <c r="F254" s="361" t="s">
        <v>361</v>
      </c>
      <c r="G254" s="360" t="s">
        <v>319</v>
      </c>
      <c r="H254" s="361"/>
      <c r="I254" s="361"/>
      <c r="J254" s="361" t="s">
        <v>418</v>
      </c>
      <c r="K254" s="363"/>
      <c r="L254" s="360"/>
      <c r="M254" s="360"/>
      <c r="N254" s="361"/>
      <c r="O254" s="361"/>
      <c r="P254" s="361"/>
      <c r="Q254" s="361"/>
      <c r="R254" s="362"/>
      <c r="S254" s="361"/>
      <c r="T254" s="360" t="s">
        <v>132</v>
      </c>
    </row>
    <row r="255" ht="34.5">
      <c r="A255" s="360" t="s">
        <v>125</v>
      </c>
      <c r="B255" s="360" t="s">
        <v>126</v>
      </c>
      <c r="C255" s="360" t="s">
        <v>417</v>
      </c>
      <c r="D255" s="360" t="s">
        <v>128</v>
      </c>
      <c r="E255" s="360" t="s">
        <v>360</v>
      </c>
      <c r="F255" s="361" t="s">
        <v>361</v>
      </c>
      <c r="G255" s="360" t="s">
        <v>319</v>
      </c>
      <c r="H255" s="361"/>
      <c r="I255" s="361"/>
      <c r="J255" s="361" t="s">
        <v>419</v>
      </c>
      <c r="K255" s="363"/>
      <c r="L255" s="360"/>
      <c r="M255" s="360"/>
      <c r="N255" s="361"/>
      <c r="O255" s="361"/>
      <c r="P255" s="361"/>
      <c r="Q255" s="361"/>
      <c r="R255" s="362"/>
      <c r="S255" s="361"/>
      <c r="T255" s="360" t="s">
        <v>132</v>
      </c>
    </row>
    <row r="256" ht="34.5">
      <c r="A256" s="360" t="s">
        <v>125</v>
      </c>
      <c r="B256" s="360" t="s">
        <v>126</v>
      </c>
      <c r="C256" s="360" t="s">
        <v>417</v>
      </c>
      <c r="D256" s="360" t="s">
        <v>128</v>
      </c>
      <c r="E256" s="360" t="s">
        <v>360</v>
      </c>
      <c r="F256" s="361" t="s">
        <v>361</v>
      </c>
      <c r="G256" s="360" t="s">
        <v>319</v>
      </c>
      <c r="H256" s="361"/>
      <c r="I256" s="361"/>
      <c r="J256" s="361" t="s">
        <v>420</v>
      </c>
      <c r="K256" s="363"/>
      <c r="L256" s="360"/>
      <c r="M256" s="360"/>
      <c r="N256" s="361"/>
      <c r="O256" s="361"/>
      <c r="P256" s="361"/>
      <c r="Q256" s="361"/>
      <c r="R256" s="362"/>
      <c r="S256" s="361"/>
      <c r="T256" s="360" t="s">
        <v>132</v>
      </c>
    </row>
    <row r="257" ht="34.5">
      <c r="A257" s="360" t="s">
        <v>125</v>
      </c>
      <c r="B257" s="360" t="s">
        <v>126</v>
      </c>
      <c r="C257" s="360" t="s">
        <v>417</v>
      </c>
      <c r="D257" s="360" t="s">
        <v>128</v>
      </c>
      <c r="E257" s="360" t="s">
        <v>360</v>
      </c>
      <c r="F257" s="361" t="s">
        <v>361</v>
      </c>
      <c r="G257" s="360" t="s">
        <v>319</v>
      </c>
      <c r="H257" s="361"/>
      <c r="I257" s="361"/>
      <c r="J257" s="361" t="s">
        <v>421</v>
      </c>
      <c r="K257" s="363"/>
      <c r="L257" s="360"/>
      <c r="M257" s="360"/>
      <c r="N257" s="361"/>
      <c r="O257" s="361"/>
      <c r="P257" s="361"/>
      <c r="Q257" s="361"/>
      <c r="R257" s="362"/>
      <c r="S257" s="361"/>
      <c r="T257" s="360" t="s">
        <v>132</v>
      </c>
    </row>
    <row r="258" ht="34.5">
      <c r="A258" s="360" t="s">
        <v>125</v>
      </c>
      <c r="B258" s="360" t="s">
        <v>126</v>
      </c>
      <c r="C258" s="360" t="s">
        <v>417</v>
      </c>
      <c r="D258" s="360" t="s">
        <v>128</v>
      </c>
      <c r="E258" s="360" t="s">
        <v>360</v>
      </c>
      <c r="F258" s="361" t="s">
        <v>361</v>
      </c>
      <c r="G258" s="360" t="s">
        <v>319</v>
      </c>
      <c r="H258" s="361"/>
      <c r="I258" s="361"/>
      <c r="J258" s="361" t="s">
        <v>422</v>
      </c>
      <c r="K258" s="363"/>
      <c r="L258" s="360"/>
      <c r="M258" s="360"/>
      <c r="N258" s="361"/>
      <c r="O258" s="361"/>
      <c r="P258" s="361"/>
      <c r="Q258" s="361"/>
      <c r="R258" s="362"/>
      <c r="S258" s="361"/>
      <c r="T258" s="360" t="s">
        <v>132</v>
      </c>
    </row>
    <row r="259" ht="34.5">
      <c r="A259" s="360" t="s">
        <v>125</v>
      </c>
      <c r="B259" s="360" t="s">
        <v>126</v>
      </c>
      <c r="C259" s="360" t="s">
        <v>417</v>
      </c>
      <c r="D259" s="360" t="s">
        <v>128</v>
      </c>
      <c r="E259" s="360" t="s">
        <v>360</v>
      </c>
      <c r="F259" s="361" t="s">
        <v>361</v>
      </c>
      <c r="G259" s="360" t="s">
        <v>319</v>
      </c>
      <c r="H259" s="361"/>
      <c r="I259" s="361"/>
      <c r="J259" s="361" t="s">
        <v>423</v>
      </c>
      <c r="K259" s="363"/>
      <c r="L259" s="360"/>
      <c r="M259" s="360"/>
      <c r="N259" s="361"/>
      <c r="O259" s="361"/>
      <c r="P259" s="361"/>
      <c r="Q259" s="361"/>
      <c r="R259" s="362"/>
      <c r="S259" s="361"/>
      <c r="T259" s="360" t="s">
        <v>132</v>
      </c>
    </row>
    <row r="260" ht="34.5">
      <c r="A260" s="360" t="s">
        <v>125</v>
      </c>
      <c r="B260" s="360" t="s">
        <v>126</v>
      </c>
      <c r="C260" s="360" t="s">
        <v>417</v>
      </c>
      <c r="D260" s="360" t="s">
        <v>128</v>
      </c>
      <c r="E260" s="360" t="s">
        <v>360</v>
      </c>
      <c r="F260" s="361" t="s">
        <v>361</v>
      </c>
      <c r="G260" s="360" t="s">
        <v>319</v>
      </c>
      <c r="H260" s="361"/>
      <c r="I260" s="361"/>
      <c r="J260" s="361" t="s">
        <v>424</v>
      </c>
      <c r="K260" s="363"/>
      <c r="L260" s="360"/>
      <c r="M260" s="360"/>
      <c r="N260" s="361"/>
      <c r="O260" s="361"/>
      <c r="P260" s="361"/>
      <c r="Q260" s="361"/>
      <c r="R260" s="362"/>
      <c r="S260" s="361"/>
      <c r="T260" s="360" t="s">
        <v>132</v>
      </c>
    </row>
    <row r="261" ht="34.5">
      <c r="A261" s="360" t="s">
        <v>125</v>
      </c>
      <c r="B261" s="360" t="s">
        <v>126</v>
      </c>
      <c r="C261" s="360" t="s">
        <v>417</v>
      </c>
      <c r="D261" s="360" t="s">
        <v>128</v>
      </c>
      <c r="E261" s="360" t="s">
        <v>360</v>
      </c>
      <c r="F261" s="361" t="s">
        <v>361</v>
      </c>
      <c r="G261" s="360" t="s">
        <v>319</v>
      </c>
      <c r="H261" s="361"/>
      <c r="I261" s="361"/>
      <c r="J261" s="361" t="s">
        <v>425</v>
      </c>
      <c r="K261" s="363"/>
      <c r="L261" s="360"/>
      <c r="M261" s="360"/>
      <c r="N261" s="361"/>
      <c r="O261" s="361"/>
      <c r="P261" s="361"/>
      <c r="Q261" s="361"/>
      <c r="R261" s="362"/>
      <c r="S261" s="361"/>
      <c r="T261" s="360" t="s">
        <v>132</v>
      </c>
    </row>
    <row r="262" ht="34.5">
      <c r="A262" s="360" t="s">
        <v>125</v>
      </c>
      <c r="B262" s="360" t="s">
        <v>126</v>
      </c>
      <c r="C262" s="360" t="s">
        <v>417</v>
      </c>
      <c r="D262" s="360" t="s">
        <v>128</v>
      </c>
      <c r="E262" s="360" t="s">
        <v>360</v>
      </c>
      <c r="F262" s="361" t="s">
        <v>361</v>
      </c>
      <c r="G262" s="360" t="s">
        <v>319</v>
      </c>
      <c r="H262" s="361"/>
      <c r="I262" s="361"/>
      <c r="J262" s="361" t="s">
        <v>426</v>
      </c>
      <c r="K262" s="363"/>
      <c r="L262" s="360"/>
      <c r="M262" s="360"/>
      <c r="N262" s="361"/>
      <c r="O262" s="361"/>
      <c r="P262" s="361"/>
      <c r="Q262" s="361"/>
      <c r="R262" s="362"/>
      <c r="S262" s="361"/>
      <c r="T262" s="360" t="s">
        <v>132</v>
      </c>
    </row>
    <row r="263" ht="34.5">
      <c r="A263" s="360" t="s">
        <v>125</v>
      </c>
      <c r="B263" s="360" t="s">
        <v>126</v>
      </c>
      <c r="C263" s="360" t="s">
        <v>417</v>
      </c>
      <c r="D263" s="360" t="s">
        <v>128</v>
      </c>
      <c r="E263" s="360" t="s">
        <v>360</v>
      </c>
      <c r="F263" s="361" t="s">
        <v>361</v>
      </c>
      <c r="G263" s="360" t="s">
        <v>319</v>
      </c>
      <c r="H263" s="361"/>
      <c r="I263" s="361"/>
      <c r="J263" s="361" t="s">
        <v>427</v>
      </c>
      <c r="K263" s="363"/>
      <c r="L263" s="360"/>
      <c r="M263" s="360"/>
      <c r="N263" s="361"/>
      <c r="O263" s="361"/>
      <c r="P263" s="361"/>
      <c r="Q263" s="361"/>
      <c r="R263" s="362"/>
      <c r="S263" s="361"/>
      <c r="T263" s="360" t="s">
        <v>132</v>
      </c>
    </row>
    <row r="264" ht="34.5">
      <c r="A264" s="360" t="s">
        <v>125</v>
      </c>
      <c r="B264" s="360" t="s">
        <v>126</v>
      </c>
      <c r="C264" s="360" t="s">
        <v>428</v>
      </c>
      <c r="D264" s="360" t="s">
        <v>128</v>
      </c>
      <c r="E264" s="360" t="s">
        <v>360</v>
      </c>
      <c r="F264" s="361" t="s">
        <v>361</v>
      </c>
      <c r="G264" s="360" t="s">
        <v>319</v>
      </c>
      <c r="H264" s="361"/>
      <c r="I264" s="361"/>
      <c r="J264" s="361" t="s">
        <v>429</v>
      </c>
      <c r="K264" s="363"/>
      <c r="L264" s="360"/>
      <c r="M264" s="360"/>
      <c r="N264" s="361"/>
      <c r="O264" s="361"/>
      <c r="P264" s="361"/>
      <c r="Q264" s="361"/>
      <c r="R264" s="362"/>
      <c r="S264" s="361"/>
      <c r="T264" s="360" t="s">
        <v>132</v>
      </c>
    </row>
    <row r="265" ht="34.5">
      <c r="A265" s="360" t="s">
        <v>125</v>
      </c>
      <c r="B265" s="360" t="s">
        <v>126</v>
      </c>
      <c r="C265" s="360" t="s">
        <v>428</v>
      </c>
      <c r="D265" s="360" t="s">
        <v>128</v>
      </c>
      <c r="E265" s="360" t="s">
        <v>360</v>
      </c>
      <c r="F265" s="361" t="s">
        <v>361</v>
      </c>
      <c r="G265" s="360" t="s">
        <v>319</v>
      </c>
      <c r="H265" s="361"/>
      <c r="I265" s="361"/>
      <c r="J265" s="361" t="s">
        <v>430</v>
      </c>
      <c r="K265" s="363"/>
      <c r="L265" s="360"/>
      <c r="M265" s="360"/>
      <c r="N265" s="361"/>
      <c r="O265" s="361"/>
      <c r="P265" s="361"/>
      <c r="Q265" s="361"/>
      <c r="R265" s="362"/>
      <c r="S265" s="361"/>
      <c r="T265" s="360" t="s">
        <v>132</v>
      </c>
    </row>
    <row r="266" ht="34.5">
      <c r="A266" s="360" t="s">
        <v>125</v>
      </c>
      <c r="B266" s="360" t="s">
        <v>126</v>
      </c>
      <c r="C266" s="360" t="s">
        <v>428</v>
      </c>
      <c r="D266" s="360" t="s">
        <v>128</v>
      </c>
      <c r="E266" s="360" t="s">
        <v>360</v>
      </c>
      <c r="F266" s="361" t="s">
        <v>361</v>
      </c>
      <c r="G266" s="360" t="s">
        <v>319</v>
      </c>
      <c r="H266" s="361"/>
      <c r="I266" s="361"/>
      <c r="J266" s="361" t="s">
        <v>431</v>
      </c>
      <c r="K266" s="363"/>
      <c r="L266" s="360"/>
      <c r="M266" s="360"/>
      <c r="N266" s="361"/>
      <c r="O266" s="361"/>
      <c r="P266" s="361"/>
      <c r="Q266" s="361"/>
      <c r="R266" s="362"/>
      <c r="S266" s="361"/>
      <c r="T266" s="360" t="s">
        <v>132</v>
      </c>
    </row>
    <row r="267" ht="34.5">
      <c r="A267" s="360" t="s">
        <v>125</v>
      </c>
      <c r="B267" s="360" t="s">
        <v>126</v>
      </c>
      <c r="C267" s="360" t="s">
        <v>428</v>
      </c>
      <c r="D267" s="360" t="s">
        <v>128</v>
      </c>
      <c r="E267" s="360" t="s">
        <v>360</v>
      </c>
      <c r="F267" s="361" t="s">
        <v>361</v>
      </c>
      <c r="G267" s="360" t="s">
        <v>319</v>
      </c>
      <c r="H267" s="361"/>
      <c r="I267" s="361"/>
      <c r="J267" s="361" t="s">
        <v>432</v>
      </c>
      <c r="K267" s="363"/>
      <c r="L267" s="360"/>
      <c r="M267" s="360"/>
      <c r="N267" s="361"/>
      <c r="O267" s="361"/>
      <c r="P267" s="361"/>
      <c r="Q267" s="361"/>
      <c r="R267" s="362"/>
      <c r="S267" s="361"/>
      <c r="T267" s="360" t="s">
        <v>132</v>
      </c>
    </row>
    <row r="268" ht="34.5">
      <c r="A268" s="360" t="s">
        <v>125</v>
      </c>
      <c r="B268" s="360" t="s">
        <v>126</v>
      </c>
      <c r="C268" s="360" t="s">
        <v>428</v>
      </c>
      <c r="D268" s="360" t="s">
        <v>128</v>
      </c>
      <c r="E268" s="360" t="s">
        <v>360</v>
      </c>
      <c r="F268" s="361" t="s">
        <v>361</v>
      </c>
      <c r="G268" s="360" t="s">
        <v>319</v>
      </c>
      <c r="H268" s="361"/>
      <c r="I268" s="361"/>
      <c r="J268" s="361" t="s">
        <v>246</v>
      </c>
      <c r="K268" s="363"/>
      <c r="L268" s="360"/>
      <c r="M268" s="360"/>
      <c r="N268" s="361"/>
      <c r="O268" s="361"/>
      <c r="P268" s="361"/>
      <c r="Q268" s="361"/>
      <c r="R268" s="362"/>
      <c r="S268" s="361"/>
      <c r="T268" s="360" t="s">
        <v>132</v>
      </c>
    </row>
    <row r="269" ht="34.5">
      <c r="A269" s="360" t="s">
        <v>125</v>
      </c>
      <c r="B269" s="360" t="s">
        <v>126</v>
      </c>
      <c r="C269" s="360" t="s">
        <v>428</v>
      </c>
      <c r="D269" s="360" t="s">
        <v>128</v>
      </c>
      <c r="E269" s="360" t="s">
        <v>360</v>
      </c>
      <c r="F269" s="361" t="s">
        <v>361</v>
      </c>
      <c r="G269" s="360" t="s">
        <v>319</v>
      </c>
      <c r="H269" s="361"/>
      <c r="I269" s="361"/>
      <c r="J269" s="361" t="s">
        <v>433</v>
      </c>
      <c r="K269" s="363"/>
      <c r="L269" s="360"/>
      <c r="M269" s="360"/>
      <c r="N269" s="361"/>
      <c r="O269" s="361"/>
      <c r="P269" s="361"/>
      <c r="Q269" s="361"/>
      <c r="R269" s="362"/>
      <c r="S269" s="361"/>
      <c r="T269" s="360" t="s">
        <v>132</v>
      </c>
    </row>
    <row r="270" ht="34.5">
      <c r="A270" s="360" t="s">
        <v>125</v>
      </c>
      <c r="B270" s="360" t="s">
        <v>126</v>
      </c>
      <c r="C270" s="360" t="s">
        <v>428</v>
      </c>
      <c r="D270" s="360" t="s">
        <v>128</v>
      </c>
      <c r="E270" s="360" t="s">
        <v>360</v>
      </c>
      <c r="F270" s="361" t="s">
        <v>361</v>
      </c>
      <c r="G270" s="360" t="s">
        <v>319</v>
      </c>
      <c r="H270" s="361"/>
      <c r="I270" s="361"/>
      <c r="J270" s="361" t="s">
        <v>434</v>
      </c>
      <c r="K270" s="363"/>
      <c r="L270" s="360"/>
      <c r="M270" s="360"/>
      <c r="N270" s="361"/>
      <c r="O270" s="361"/>
      <c r="P270" s="361"/>
      <c r="Q270" s="361"/>
      <c r="R270" s="362"/>
      <c r="S270" s="361"/>
      <c r="T270" s="360" t="s">
        <v>132</v>
      </c>
    </row>
    <row r="271" ht="34.5">
      <c r="A271" s="360" t="s">
        <v>125</v>
      </c>
      <c r="B271" s="360" t="s">
        <v>126</v>
      </c>
      <c r="C271" s="360" t="s">
        <v>428</v>
      </c>
      <c r="D271" s="360" t="s">
        <v>128</v>
      </c>
      <c r="E271" s="360" t="s">
        <v>360</v>
      </c>
      <c r="F271" s="361" t="s">
        <v>361</v>
      </c>
      <c r="G271" s="360" t="s">
        <v>319</v>
      </c>
      <c r="H271" s="361"/>
      <c r="I271" s="361"/>
      <c r="J271" s="361" t="s">
        <v>435</v>
      </c>
      <c r="K271" s="363"/>
      <c r="L271" s="360"/>
      <c r="M271" s="360"/>
      <c r="N271" s="361"/>
      <c r="O271" s="361"/>
      <c r="P271" s="361"/>
      <c r="Q271" s="361"/>
      <c r="R271" s="362"/>
      <c r="S271" s="361"/>
      <c r="T271" s="360" t="s">
        <v>132</v>
      </c>
    </row>
    <row r="272" ht="34.5">
      <c r="A272" s="360" t="s">
        <v>125</v>
      </c>
      <c r="B272" s="360" t="s">
        <v>126</v>
      </c>
      <c r="C272" s="360" t="s">
        <v>428</v>
      </c>
      <c r="D272" s="360" t="s">
        <v>436</v>
      </c>
      <c r="E272" s="360" t="s">
        <v>360</v>
      </c>
      <c r="F272" s="361" t="s">
        <v>361</v>
      </c>
      <c r="G272" s="360" t="s">
        <v>319</v>
      </c>
      <c r="H272" s="361"/>
      <c r="I272" s="361"/>
      <c r="J272" s="361" t="s">
        <v>437</v>
      </c>
      <c r="K272" s="363"/>
      <c r="L272" s="360"/>
      <c r="M272" s="360"/>
      <c r="N272" s="361"/>
      <c r="O272" s="361"/>
      <c r="P272" s="361"/>
      <c r="Q272" s="361"/>
      <c r="R272" s="362"/>
      <c r="S272" s="361"/>
      <c r="T272" s="360" t="s">
        <v>132</v>
      </c>
    </row>
    <row r="273" ht="34.5">
      <c r="A273" s="360" t="s">
        <v>125</v>
      </c>
      <c r="B273" s="360" t="s">
        <v>126</v>
      </c>
      <c r="C273" s="360" t="s">
        <v>428</v>
      </c>
      <c r="D273" s="360" t="s">
        <v>128</v>
      </c>
      <c r="E273" s="360" t="s">
        <v>360</v>
      </c>
      <c r="F273" s="361" t="s">
        <v>361</v>
      </c>
      <c r="G273" s="360" t="s">
        <v>319</v>
      </c>
      <c r="H273" s="361"/>
      <c r="I273" s="361"/>
      <c r="J273" s="361" t="s">
        <v>438</v>
      </c>
      <c r="K273" s="363"/>
      <c r="L273" s="360"/>
      <c r="M273" s="360"/>
      <c r="N273" s="361"/>
      <c r="O273" s="361"/>
      <c r="P273" s="361"/>
      <c r="Q273" s="361"/>
      <c r="R273" s="362"/>
      <c r="S273" s="361"/>
      <c r="T273" s="360" t="s">
        <v>132</v>
      </c>
    </row>
    <row r="274" ht="34.5">
      <c r="A274" s="360" t="s">
        <v>125</v>
      </c>
      <c r="B274" s="360" t="s">
        <v>126</v>
      </c>
      <c r="C274" s="360" t="s">
        <v>439</v>
      </c>
      <c r="D274" s="360" t="s">
        <v>128</v>
      </c>
      <c r="E274" s="360" t="s">
        <v>360</v>
      </c>
      <c r="F274" s="361" t="s">
        <v>361</v>
      </c>
      <c r="G274" s="360" t="s">
        <v>319</v>
      </c>
      <c r="H274" s="361"/>
      <c r="I274" s="361"/>
      <c r="J274" s="361" t="s">
        <v>440</v>
      </c>
      <c r="K274" s="363"/>
      <c r="L274" s="360"/>
      <c r="M274" s="360"/>
      <c r="N274" s="361"/>
      <c r="O274" s="361"/>
      <c r="P274" s="361"/>
      <c r="Q274" s="361"/>
      <c r="R274" s="362"/>
      <c r="S274" s="361"/>
      <c r="T274" s="360" t="s">
        <v>132</v>
      </c>
    </row>
    <row r="275" ht="34.5">
      <c r="A275" s="360" t="s">
        <v>125</v>
      </c>
      <c r="B275" s="360" t="s">
        <v>126</v>
      </c>
      <c r="C275" s="360" t="s">
        <v>439</v>
      </c>
      <c r="D275" s="360" t="s">
        <v>128</v>
      </c>
      <c r="E275" s="360" t="s">
        <v>360</v>
      </c>
      <c r="F275" s="361" t="s">
        <v>361</v>
      </c>
      <c r="G275" s="360" t="s">
        <v>319</v>
      </c>
      <c r="H275" s="361"/>
      <c r="I275" s="361"/>
      <c r="J275" s="361" t="s">
        <v>441</v>
      </c>
      <c r="K275" s="363"/>
      <c r="L275" s="360"/>
      <c r="M275" s="360"/>
      <c r="N275" s="361"/>
      <c r="O275" s="361"/>
      <c r="P275" s="361"/>
      <c r="Q275" s="361"/>
      <c r="R275" s="362"/>
      <c r="S275" s="361"/>
      <c r="T275" s="360" t="s">
        <v>132</v>
      </c>
    </row>
    <row r="276" ht="34.5">
      <c r="A276" s="360" t="s">
        <v>125</v>
      </c>
      <c r="B276" s="360" t="s">
        <v>126</v>
      </c>
      <c r="C276" s="360" t="s">
        <v>439</v>
      </c>
      <c r="D276" s="360" t="s">
        <v>128</v>
      </c>
      <c r="E276" s="360" t="s">
        <v>360</v>
      </c>
      <c r="F276" s="361" t="s">
        <v>361</v>
      </c>
      <c r="G276" s="360" t="s">
        <v>319</v>
      </c>
      <c r="H276" s="361"/>
      <c r="I276" s="361"/>
      <c r="J276" s="361" t="s">
        <v>442</v>
      </c>
      <c r="K276" s="363"/>
      <c r="L276" s="360"/>
      <c r="M276" s="360"/>
      <c r="N276" s="361"/>
      <c r="O276" s="361"/>
      <c r="P276" s="361"/>
      <c r="Q276" s="361"/>
      <c r="R276" s="362"/>
      <c r="S276" s="361"/>
      <c r="T276" s="360" t="s">
        <v>132</v>
      </c>
    </row>
    <row r="277" ht="34.5">
      <c r="A277" s="360" t="s">
        <v>125</v>
      </c>
      <c r="B277" s="360" t="s">
        <v>126</v>
      </c>
      <c r="C277" s="360" t="s">
        <v>439</v>
      </c>
      <c r="D277" s="360" t="s">
        <v>128</v>
      </c>
      <c r="E277" s="360" t="s">
        <v>360</v>
      </c>
      <c r="F277" s="361" t="s">
        <v>361</v>
      </c>
      <c r="G277" s="360" t="s">
        <v>319</v>
      </c>
      <c r="H277" s="361"/>
      <c r="I277" s="361"/>
      <c r="J277" s="361" t="s">
        <v>443</v>
      </c>
      <c r="K277" s="363"/>
      <c r="L277" s="360"/>
      <c r="M277" s="360"/>
      <c r="N277" s="361"/>
      <c r="O277" s="361"/>
      <c r="P277" s="361"/>
      <c r="Q277" s="361"/>
      <c r="R277" s="362"/>
      <c r="S277" s="361"/>
      <c r="T277" s="360" t="s">
        <v>132</v>
      </c>
    </row>
    <row r="278" ht="34.5">
      <c r="A278" s="360" t="s">
        <v>125</v>
      </c>
      <c r="B278" s="360" t="s">
        <v>126</v>
      </c>
      <c r="C278" s="360" t="s">
        <v>439</v>
      </c>
      <c r="D278" s="360" t="s">
        <v>128</v>
      </c>
      <c r="E278" s="360" t="s">
        <v>360</v>
      </c>
      <c r="F278" s="361" t="s">
        <v>361</v>
      </c>
      <c r="G278" s="360" t="s">
        <v>319</v>
      </c>
      <c r="H278" s="361"/>
      <c r="I278" s="361"/>
      <c r="J278" s="361" t="s">
        <v>444</v>
      </c>
      <c r="K278" s="363"/>
      <c r="L278" s="360"/>
      <c r="M278" s="360"/>
      <c r="N278" s="361"/>
      <c r="O278" s="361"/>
      <c r="P278" s="361"/>
      <c r="Q278" s="361"/>
      <c r="R278" s="362"/>
      <c r="S278" s="361"/>
      <c r="T278" s="360" t="s">
        <v>132</v>
      </c>
    </row>
    <row r="279" ht="34.5">
      <c r="A279" s="360" t="s">
        <v>125</v>
      </c>
      <c r="B279" s="360" t="s">
        <v>126</v>
      </c>
      <c r="C279" s="360" t="s">
        <v>439</v>
      </c>
      <c r="D279" s="360" t="s">
        <v>128</v>
      </c>
      <c r="E279" s="360" t="s">
        <v>360</v>
      </c>
      <c r="F279" s="361" t="s">
        <v>361</v>
      </c>
      <c r="G279" s="360" t="s">
        <v>319</v>
      </c>
      <c r="H279" s="361"/>
      <c r="I279" s="361"/>
      <c r="J279" s="361" t="s">
        <v>445</v>
      </c>
      <c r="K279" s="363"/>
      <c r="L279" s="360"/>
      <c r="M279" s="360"/>
      <c r="N279" s="361"/>
      <c r="O279" s="361"/>
      <c r="P279" s="361"/>
      <c r="Q279" s="361"/>
      <c r="R279" s="362"/>
      <c r="S279" s="361"/>
      <c r="T279" s="360" t="s">
        <v>132</v>
      </c>
    </row>
    <row r="280" ht="34.5">
      <c r="A280" s="360" t="s">
        <v>125</v>
      </c>
      <c r="B280" s="360" t="s">
        <v>126</v>
      </c>
      <c r="C280" s="360" t="s">
        <v>439</v>
      </c>
      <c r="D280" s="360" t="s">
        <v>128</v>
      </c>
      <c r="E280" s="360" t="s">
        <v>360</v>
      </c>
      <c r="F280" s="361" t="s">
        <v>361</v>
      </c>
      <c r="G280" s="360" t="s">
        <v>319</v>
      </c>
      <c r="H280" s="361"/>
      <c r="I280" s="361"/>
      <c r="J280" s="361" t="s">
        <v>446</v>
      </c>
      <c r="K280" s="363"/>
      <c r="L280" s="360"/>
      <c r="M280" s="360"/>
      <c r="N280" s="361"/>
      <c r="O280" s="361"/>
      <c r="P280" s="361"/>
      <c r="Q280" s="361"/>
      <c r="R280" s="362"/>
      <c r="S280" s="361"/>
      <c r="T280" s="360" t="s">
        <v>132</v>
      </c>
    </row>
    <row r="281" ht="34.5">
      <c r="A281" s="360" t="s">
        <v>125</v>
      </c>
      <c r="B281" s="360" t="s">
        <v>126</v>
      </c>
      <c r="C281" s="360" t="s">
        <v>439</v>
      </c>
      <c r="D281" s="360" t="s">
        <v>447</v>
      </c>
      <c r="E281" s="360" t="s">
        <v>360</v>
      </c>
      <c r="F281" s="361" t="s">
        <v>361</v>
      </c>
      <c r="G281" s="360" t="s">
        <v>319</v>
      </c>
      <c r="H281" s="361"/>
      <c r="I281" s="361"/>
      <c r="J281" s="361" t="s">
        <v>448</v>
      </c>
      <c r="K281" s="363"/>
      <c r="L281" s="360"/>
      <c r="M281" s="360"/>
      <c r="N281" s="361"/>
      <c r="O281" s="361"/>
      <c r="P281" s="361"/>
      <c r="Q281" s="361"/>
      <c r="R281" s="362"/>
      <c r="S281" s="361"/>
      <c r="T281" s="360" t="s">
        <v>132</v>
      </c>
    </row>
    <row r="282" ht="34.5">
      <c r="A282" s="360" t="s">
        <v>125</v>
      </c>
      <c r="B282" s="360" t="s">
        <v>126</v>
      </c>
      <c r="C282" s="360" t="s">
        <v>439</v>
      </c>
      <c r="D282" s="360" t="s">
        <v>128</v>
      </c>
      <c r="E282" s="360" t="s">
        <v>360</v>
      </c>
      <c r="F282" s="361" t="s">
        <v>361</v>
      </c>
      <c r="G282" s="360" t="s">
        <v>319</v>
      </c>
      <c r="H282" s="361"/>
      <c r="I282" s="361"/>
      <c r="J282" s="361" t="s">
        <v>449</v>
      </c>
      <c r="K282" s="363"/>
      <c r="L282" s="360"/>
      <c r="M282" s="360"/>
      <c r="N282" s="361"/>
      <c r="O282" s="361"/>
      <c r="P282" s="361"/>
      <c r="Q282" s="361"/>
      <c r="R282" s="362"/>
      <c r="S282" s="361"/>
      <c r="T282" s="360" t="s">
        <v>132</v>
      </c>
    </row>
    <row r="283" ht="34.5">
      <c r="A283" s="360" t="s">
        <v>125</v>
      </c>
      <c r="B283" s="360" t="s">
        <v>126</v>
      </c>
      <c r="C283" s="360" t="s">
        <v>450</v>
      </c>
      <c r="D283" s="360" t="s">
        <v>451</v>
      </c>
      <c r="E283" s="360" t="s">
        <v>360</v>
      </c>
      <c r="F283" s="361" t="s">
        <v>361</v>
      </c>
      <c r="G283" s="360" t="s">
        <v>319</v>
      </c>
      <c r="H283" s="361"/>
      <c r="I283" s="361"/>
      <c r="J283" s="361" t="s">
        <v>452</v>
      </c>
      <c r="K283" s="363"/>
      <c r="L283" s="360"/>
      <c r="M283" s="360"/>
      <c r="N283" s="361"/>
      <c r="O283" s="361"/>
      <c r="P283" s="361"/>
      <c r="Q283" s="361"/>
      <c r="R283" s="362"/>
      <c r="S283" s="361"/>
      <c r="T283" s="360" t="s">
        <v>132</v>
      </c>
    </row>
    <row r="284" ht="34.5">
      <c r="A284" s="360" t="s">
        <v>125</v>
      </c>
      <c r="B284" s="360" t="s">
        <v>126</v>
      </c>
      <c r="C284" s="360" t="s">
        <v>450</v>
      </c>
      <c r="D284" s="360" t="s">
        <v>128</v>
      </c>
      <c r="E284" s="360" t="s">
        <v>360</v>
      </c>
      <c r="F284" s="361" t="s">
        <v>361</v>
      </c>
      <c r="G284" s="360" t="s">
        <v>319</v>
      </c>
      <c r="H284" s="361"/>
      <c r="I284" s="361"/>
      <c r="J284" s="361" t="s">
        <v>453</v>
      </c>
      <c r="K284" s="363"/>
      <c r="L284" s="360"/>
      <c r="M284" s="360"/>
      <c r="N284" s="361"/>
      <c r="O284" s="361"/>
      <c r="P284" s="361"/>
      <c r="Q284" s="361"/>
      <c r="R284" s="362"/>
      <c r="S284" s="361"/>
      <c r="T284" s="360" t="s">
        <v>132</v>
      </c>
    </row>
    <row r="285" ht="34.5">
      <c r="A285" s="360" t="s">
        <v>125</v>
      </c>
      <c r="B285" s="360" t="s">
        <v>126</v>
      </c>
      <c r="C285" s="360" t="s">
        <v>450</v>
      </c>
      <c r="D285" s="360" t="s">
        <v>128</v>
      </c>
      <c r="E285" s="360" t="s">
        <v>360</v>
      </c>
      <c r="F285" s="361" t="s">
        <v>361</v>
      </c>
      <c r="G285" s="360" t="s">
        <v>319</v>
      </c>
      <c r="H285" s="361"/>
      <c r="I285" s="361"/>
      <c r="J285" s="361" t="s">
        <v>454</v>
      </c>
      <c r="K285" s="363"/>
      <c r="L285" s="360"/>
      <c r="M285" s="360"/>
      <c r="N285" s="361"/>
      <c r="O285" s="361"/>
      <c r="P285" s="361"/>
      <c r="Q285" s="361"/>
      <c r="R285" s="362"/>
      <c r="S285" s="361"/>
      <c r="T285" s="360" t="s">
        <v>132</v>
      </c>
    </row>
    <row r="286" ht="34.5">
      <c r="A286" s="360" t="s">
        <v>125</v>
      </c>
      <c r="B286" s="360" t="s">
        <v>126</v>
      </c>
      <c r="C286" s="360" t="s">
        <v>450</v>
      </c>
      <c r="D286" s="360" t="s">
        <v>455</v>
      </c>
      <c r="E286" s="360" t="s">
        <v>360</v>
      </c>
      <c r="F286" s="361" t="s">
        <v>361</v>
      </c>
      <c r="G286" s="360" t="s">
        <v>319</v>
      </c>
      <c r="H286" s="361"/>
      <c r="I286" s="361"/>
      <c r="J286" s="361" t="s">
        <v>456</v>
      </c>
      <c r="K286" s="363"/>
      <c r="L286" s="360"/>
      <c r="M286" s="360"/>
      <c r="N286" s="361"/>
      <c r="O286" s="361"/>
      <c r="P286" s="361"/>
      <c r="Q286" s="361"/>
      <c r="R286" s="362"/>
      <c r="S286" s="361"/>
      <c r="T286" s="360" t="s">
        <v>132</v>
      </c>
    </row>
    <row r="287" ht="34.5">
      <c r="A287" s="360" t="s">
        <v>125</v>
      </c>
      <c r="B287" s="360" t="s">
        <v>126</v>
      </c>
      <c r="C287" s="360" t="s">
        <v>450</v>
      </c>
      <c r="D287" s="360" t="s">
        <v>128</v>
      </c>
      <c r="E287" s="360" t="s">
        <v>360</v>
      </c>
      <c r="F287" s="361" t="s">
        <v>361</v>
      </c>
      <c r="G287" s="360" t="s">
        <v>319</v>
      </c>
      <c r="H287" s="361"/>
      <c r="I287" s="361"/>
      <c r="J287" s="361" t="s">
        <v>457</v>
      </c>
      <c r="K287" s="363"/>
      <c r="L287" s="360"/>
      <c r="M287" s="360"/>
      <c r="N287" s="361"/>
      <c r="O287" s="361"/>
      <c r="P287" s="361"/>
      <c r="Q287" s="361"/>
      <c r="R287" s="362"/>
      <c r="S287" s="361"/>
      <c r="T287" s="360" t="s">
        <v>132</v>
      </c>
    </row>
    <row r="288" ht="34.5">
      <c r="A288" s="360" t="s">
        <v>125</v>
      </c>
      <c r="B288" s="360" t="s">
        <v>126</v>
      </c>
      <c r="C288" s="360" t="s">
        <v>458</v>
      </c>
      <c r="D288" s="360" t="s">
        <v>128</v>
      </c>
      <c r="E288" s="360" t="s">
        <v>360</v>
      </c>
      <c r="F288" s="361" t="s">
        <v>361</v>
      </c>
      <c r="G288" s="360" t="s">
        <v>319</v>
      </c>
      <c r="H288" s="361"/>
      <c r="I288" s="361"/>
      <c r="J288" s="361" t="s">
        <v>459</v>
      </c>
      <c r="K288" s="363"/>
      <c r="L288" s="360"/>
      <c r="M288" s="360"/>
      <c r="N288" s="361"/>
      <c r="O288" s="361"/>
      <c r="P288" s="361"/>
      <c r="Q288" s="361"/>
      <c r="R288" s="362"/>
      <c r="S288" s="361"/>
      <c r="T288" s="360" t="s">
        <v>132</v>
      </c>
    </row>
    <row r="289" ht="34.5">
      <c r="A289" s="360" t="s">
        <v>125</v>
      </c>
      <c r="B289" s="360" t="s">
        <v>126</v>
      </c>
      <c r="C289" s="360" t="s">
        <v>458</v>
      </c>
      <c r="D289" s="360" t="s">
        <v>128</v>
      </c>
      <c r="E289" s="360" t="s">
        <v>360</v>
      </c>
      <c r="F289" s="361" t="s">
        <v>361</v>
      </c>
      <c r="G289" s="360" t="s">
        <v>319</v>
      </c>
      <c r="H289" s="361"/>
      <c r="I289" s="361"/>
      <c r="J289" s="361" t="s">
        <v>460</v>
      </c>
      <c r="K289" s="363"/>
      <c r="L289" s="360"/>
      <c r="M289" s="360"/>
      <c r="N289" s="361"/>
      <c r="O289" s="361"/>
      <c r="P289" s="361"/>
      <c r="Q289" s="361"/>
      <c r="R289" s="362"/>
      <c r="S289" s="361"/>
      <c r="T289" s="360" t="s">
        <v>132</v>
      </c>
    </row>
    <row r="290" ht="34.5">
      <c r="A290" s="360" t="s">
        <v>125</v>
      </c>
      <c r="B290" s="360" t="s">
        <v>126</v>
      </c>
      <c r="C290" s="360" t="s">
        <v>458</v>
      </c>
      <c r="D290" s="360" t="s">
        <v>128</v>
      </c>
      <c r="E290" s="360" t="s">
        <v>360</v>
      </c>
      <c r="F290" s="361" t="s">
        <v>361</v>
      </c>
      <c r="G290" s="360" t="s">
        <v>319</v>
      </c>
      <c r="H290" s="361"/>
      <c r="I290" s="361"/>
      <c r="J290" s="361" t="s">
        <v>461</v>
      </c>
      <c r="K290" s="363"/>
      <c r="L290" s="360"/>
      <c r="M290" s="360"/>
      <c r="N290" s="361"/>
      <c r="O290" s="361"/>
      <c r="P290" s="361"/>
      <c r="Q290" s="361"/>
      <c r="R290" s="362"/>
      <c r="S290" s="361"/>
      <c r="T290" s="360" t="s">
        <v>132</v>
      </c>
    </row>
    <row r="291" ht="34.5">
      <c r="A291" s="360" t="s">
        <v>125</v>
      </c>
      <c r="B291" s="360" t="s">
        <v>126</v>
      </c>
      <c r="C291" s="360" t="s">
        <v>458</v>
      </c>
      <c r="D291" s="360" t="s">
        <v>128</v>
      </c>
      <c r="E291" s="360" t="s">
        <v>360</v>
      </c>
      <c r="F291" s="361" t="s">
        <v>361</v>
      </c>
      <c r="G291" s="360" t="s">
        <v>319</v>
      </c>
      <c r="H291" s="361"/>
      <c r="I291" s="361"/>
      <c r="J291" s="361" t="s">
        <v>462</v>
      </c>
      <c r="K291" s="363"/>
      <c r="L291" s="360"/>
      <c r="M291" s="360"/>
      <c r="N291" s="361"/>
      <c r="O291" s="361"/>
      <c r="P291" s="361"/>
      <c r="Q291" s="361"/>
      <c r="R291" s="362"/>
      <c r="S291" s="361"/>
      <c r="T291" s="360" t="s">
        <v>132</v>
      </c>
    </row>
    <row r="292" ht="34.5">
      <c r="A292" s="360" t="s">
        <v>125</v>
      </c>
      <c r="B292" s="360" t="s">
        <v>126</v>
      </c>
      <c r="C292" s="360" t="s">
        <v>458</v>
      </c>
      <c r="D292" s="360" t="s">
        <v>463</v>
      </c>
      <c r="E292" s="360" t="s">
        <v>360</v>
      </c>
      <c r="F292" s="361" t="s">
        <v>361</v>
      </c>
      <c r="G292" s="360" t="s">
        <v>319</v>
      </c>
      <c r="H292" s="361"/>
      <c r="I292" s="361"/>
      <c r="J292" s="361" t="s">
        <v>464</v>
      </c>
      <c r="K292" s="363"/>
      <c r="L292" s="360"/>
      <c r="M292" s="360"/>
      <c r="N292" s="361"/>
      <c r="O292" s="361"/>
      <c r="P292" s="361"/>
      <c r="Q292" s="361"/>
      <c r="R292" s="362"/>
      <c r="S292" s="361"/>
      <c r="T292" s="360" t="s">
        <v>132</v>
      </c>
    </row>
    <row r="293" ht="34.5">
      <c r="A293" s="360" t="s">
        <v>125</v>
      </c>
      <c r="B293" s="360" t="s">
        <v>126</v>
      </c>
      <c r="C293" s="360" t="s">
        <v>465</v>
      </c>
      <c r="D293" s="360" t="s">
        <v>128</v>
      </c>
      <c r="E293" s="360" t="s">
        <v>466</v>
      </c>
      <c r="F293" s="361" t="s">
        <v>467</v>
      </c>
      <c r="G293" s="360" t="s">
        <v>468</v>
      </c>
      <c r="H293" s="361"/>
      <c r="I293" s="361"/>
      <c r="J293" s="361" t="s">
        <v>469</v>
      </c>
      <c r="K293" s="363"/>
      <c r="L293" s="360"/>
      <c r="M293" s="360"/>
      <c r="N293" s="361"/>
      <c r="O293" s="361"/>
      <c r="P293" s="361"/>
      <c r="Q293" s="361"/>
      <c r="R293" s="362"/>
      <c r="S293" s="361"/>
      <c r="T293" s="360" t="s">
        <v>132</v>
      </c>
    </row>
    <row r="294" ht="34.5">
      <c r="A294" s="360" t="s">
        <v>125</v>
      </c>
      <c r="B294" s="360" t="s">
        <v>126</v>
      </c>
      <c r="C294" s="360" t="s">
        <v>465</v>
      </c>
      <c r="D294" s="360" t="s">
        <v>128</v>
      </c>
      <c r="E294" s="360" t="s">
        <v>470</v>
      </c>
      <c r="F294" s="361" t="s">
        <v>471</v>
      </c>
      <c r="G294" s="360" t="s">
        <v>472</v>
      </c>
      <c r="H294" s="361"/>
      <c r="I294" s="361"/>
      <c r="J294" s="361" t="s">
        <v>473</v>
      </c>
      <c r="K294" s="363"/>
      <c r="L294" s="360"/>
      <c r="M294" s="360"/>
      <c r="N294" s="361"/>
      <c r="O294" s="361"/>
      <c r="P294" s="361"/>
      <c r="Q294" s="361"/>
      <c r="R294" s="362"/>
      <c r="S294" s="361"/>
      <c r="T294" s="360" t="s">
        <v>132</v>
      </c>
    </row>
    <row r="295" ht="34.5">
      <c r="A295" s="360" t="s">
        <v>125</v>
      </c>
      <c r="B295" s="360" t="s">
        <v>126</v>
      </c>
      <c r="C295" s="360" t="s">
        <v>465</v>
      </c>
      <c r="D295" s="360" t="s">
        <v>128</v>
      </c>
      <c r="E295" s="360" t="s">
        <v>470</v>
      </c>
      <c r="F295" s="361" t="s">
        <v>471</v>
      </c>
      <c r="G295" s="360" t="s">
        <v>472</v>
      </c>
      <c r="H295" s="361"/>
      <c r="I295" s="361"/>
      <c r="J295" s="361" t="s">
        <v>474</v>
      </c>
      <c r="K295" s="363"/>
      <c r="L295" s="360"/>
      <c r="M295" s="360"/>
      <c r="N295" s="361"/>
      <c r="O295" s="361"/>
      <c r="P295" s="361"/>
      <c r="Q295" s="361"/>
      <c r="R295" s="362"/>
      <c r="S295" s="361"/>
      <c r="T295" s="360" t="s">
        <v>132</v>
      </c>
    </row>
    <row r="296" ht="34.5">
      <c r="A296" s="360" t="s">
        <v>125</v>
      </c>
      <c r="B296" s="360" t="s">
        <v>126</v>
      </c>
      <c r="C296" s="360" t="s">
        <v>465</v>
      </c>
      <c r="D296" s="360" t="s">
        <v>128</v>
      </c>
      <c r="E296" s="360" t="s">
        <v>470</v>
      </c>
      <c r="F296" s="361" t="s">
        <v>471</v>
      </c>
      <c r="G296" s="360" t="s">
        <v>472</v>
      </c>
      <c r="H296" s="361"/>
      <c r="I296" s="361"/>
      <c r="J296" s="361" t="s">
        <v>475</v>
      </c>
      <c r="K296" s="363"/>
      <c r="L296" s="360"/>
      <c r="M296" s="360"/>
      <c r="N296" s="361"/>
      <c r="O296" s="361"/>
      <c r="P296" s="361"/>
      <c r="Q296" s="361"/>
      <c r="R296" s="362"/>
      <c r="S296" s="361"/>
      <c r="T296" s="360" t="s">
        <v>132</v>
      </c>
    </row>
    <row r="297" ht="34.5">
      <c r="A297" s="360" t="s">
        <v>125</v>
      </c>
      <c r="B297" s="360" t="s">
        <v>126</v>
      </c>
      <c r="C297" s="360" t="s">
        <v>465</v>
      </c>
      <c r="D297" s="360" t="s">
        <v>128</v>
      </c>
      <c r="E297" s="360" t="s">
        <v>470</v>
      </c>
      <c r="F297" s="361" t="s">
        <v>471</v>
      </c>
      <c r="G297" s="360" t="s">
        <v>472</v>
      </c>
      <c r="H297" s="361"/>
      <c r="I297" s="361"/>
      <c r="J297" s="361" t="s">
        <v>476</v>
      </c>
      <c r="K297" s="363"/>
      <c r="L297" s="360"/>
      <c r="M297" s="360"/>
      <c r="N297" s="361"/>
      <c r="O297" s="361"/>
      <c r="P297" s="361"/>
      <c r="Q297" s="361"/>
      <c r="R297" s="362"/>
      <c r="S297" s="361"/>
      <c r="T297" s="360" t="s">
        <v>132</v>
      </c>
    </row>
    <row r="298" ht="34.5">
      <c r="A298" s="360" t="s">
        <v>125</v>
      </c>
      <c r="B298" s="360" t="s">
        <v>126</v>
      </c>
      <c r="C298" s="360" t="s">
        <v>465</v>
      </c>
      <c r="D298" s="360" t="s">
        <v>128</v>
      </c>
      <c r="E298" s="360" t="s">
        <v>470</v>
      </c>
      <c r="F298" s="361" t="s">
        <v>471</v>
      </c>
      <c r="G298" s="360" t="s">
        <v>472</v>
      </c>
      <c r="H298" s="361"/>
      <c r="I298" s="361"/>
      <c r="J298" s="361" t="s">
        <v>477</v>
      </c>
      <c r="K298" s="363"/>
      <c r="L298" s="360"/>
      <c r="M298" s="360"/>
      <c r="N298" s="361"/>
      <c r="O298" s="361"/>
      <c r="P298" s="361"/>
      <c r="Q298" s="361"/>
      <c r="R298" s="362"/>
      <c r="S298" s="361"/>
      <c r="T298" s="360" t="s">
        <v>132</v>
      </c>
    </row>
    <row r="299" ht="34.5">
      <c r="A299" s="360" t="s">
        <v>125</v>
      </c>
      <c r="B299" s="360" t="s">
        <v>126</v>
      </c>
      <c r="C299" s="360" t="s">
        <v>465</v>
      </c>
      <c r="D299" s="360" t="s">
        <v>128</v>
      </c>
      <c r="E299" s="360" t="s">
        <v>470</v>
      </c>
      <c r="F299" s="361" t="s">
        <v>471</v>
      </c>
      <c r="G299" s="360" t="s">
        <v>472</v>
      </c>
      <c r="H299" s="361"/>
      <c r="I299" s="361"/>
      <c r="J299" s="361" t="s">
        <v>478</v>
      </c>
      <c r="K299" s="363"/>
      <c r="L299" s="360"/>
      <c r="M299" s="360"/>
      <c r="N299" s="361"/>
      <c r="O299" s="361"/>
      <c r="P299" s="361"/>
      <c r="Q299" s="361"/>
      <c r="R299" s="362"/>
      <c r="S299" s="361"/>
      <c r="T299" s="360" t="s">
        <v>132</v>
      </c>
    </row>
    <row r="300" ht="34.5">
      <c r="A300" s="360" t="s">
        <v>125</v>
      </c>
      <c r="B300" s="360" t="s">
        <v>126</v>
      </c>
      <c r="C300" s="360" t="s">
        <v>479</v>
      </c>
      <c r="D300" s="360" t="s">
        <v>128</v>
      </c>
      <c r="E300" s="360" t="s">
        <v>470</v>
      </c>
      <c r="F300" s="361" t="s">
        <v>471</v>
      </c>
      <c r="G300" s="360" t="s">
        <v>472</v>
      </c>
      <c r="H300" s="361"/>
      <c r="I300" s="361"/>
      <c r="J300" s="361" t="s">
        <v>480</v>
      </c>
      <c r="K300" s="363"/>
      <c r="L300" s="360"/>
      <c r="M300" s="360"/>
      <c r="N300" s="361"/>
      <c r="O300" s="361"/>
      <c r="P300" s="361"/>
      <c r="Q300" s="361"/>
      <c r="R300" s="362"/>
      <c r="S300" s="361"/>
      <c r="T300" s="360" t="s">
        <v>132</v>
      </c>
    </row>
    <row r="301" ht="34.5">
      <c r="A301" s="360" t="s">
        <v>125</v>
      </c>
      <c r="B301" s="360" t="s">
        <v>126</v>
      </c>
      <c r="C301" s="360" t="s">
        <v>479</v>
      </c>
      <c r="D301" s="360" t="s">
        <v>128</v>
      </c>
      <c r="E301" s="360" t="s">
        <v>470</v>
      </c>
      <c r="F301" s="361" t="s">
        <v>471</v>
      </c>
      <c r="G301" s="360" t="s">
        <v>472</v>
      </c>
      <c r="H301" s="361"/>
      <c r="I301" s="361"/>
      <c r="J301" s="361" t="s">
        <v>481</v>
      </c>
      <c r="K301" s="363"/>
      <c r="L301" s="360"/>
      <c r="M301" s="360"/>
      <c r="N301" s="361"/>
      <c r="O301" s="361"/>
      <c r="P301" s="361"/>
      <c r="Q301" s="361"/>
      <c r="R301" s="362"/>
      <c r="S301" s="361"/>
      <c r="T301" s="360" t="s">
        <v>132</v>
      </c>
    </row>
    <row r="302" ht="34.5">
      <c r="A302" s="360" t="s">
        <v>125</v>
      </c>
      <c r="B302" s="360" t="s">
        <v>126</v>
      </c>
      <c r="C302" s="360" t="s">
        <v>479</v>
      </c>
      <c r="D302" s="360" t="s">
        <v>128</v>
      </c>
      <c r="E302" s="360" t="s">
        <v>470</v>
      </c>
      <c r="F302" s="361" t="s">
        <v>471</v>
      </c>
      <c r="G302" s="360" t="s">
        <v>472</v>
      </c>
      <c r="H302" s="361"/>
      <c r="I302" s="361"/>
      <c r="J302" s="361" t="s">
        <v>482</v>
      </c>
      <c r="K302" s="363"/>
      <c r="L302" s="360"/>
      <c r="M302" s="360"/>
      <c r="N302" s="361"/>
      <c r="O302" s="361"/>
      <c r="P302" s="361"/>
      <c r="Q302" s="361"/>
      <c r="R302" s="362"/>
      <c r="S302" s="361"/>
      <c r="T302" s="360" t="s">
        <v>132</v>
      </c>
    </row>
    <row r="303" ht="34.5">
      <c r="A303" s="360" t="s">
        <v>125</v>
      </c>
      <c r="B303" s="360" t="s">
        <v>126</v>
      </c>
      <c r="C303" s="360" t="s">
        <v>479</v>
      </c>
      <c r="D303" s="360" t="s">
        <v>128</v>
      </c>
      <c r="E303" s="360" t="s">
        <v>470</v>
      </c>
      <c r="F303" s="361" t="s">
        <v>471</v>
      </c>
      <c r="G303" s="360" t="s">
        <v>472</v>
      </c>
      <c r="H303" s="361"/>
      <c r="I303" s="361"/>
      <c r="J303" s="361" t="s">
        <v>483</v>
      </c>
      <c r="K303" s="363"/>
      <c r="L303" s="360"/>
      <c r="M303" s="360"/>
      <c r="N303" s="361"/>
      <c r="O303" s="361"/>
      <c r="P303" s="361"/>
      <c r="Q303" s="361"/>
      <c r="R303" s="362"/>
      <c r="S303" s="361"/>
      <c r="T303" s="360" t="s">
        <v>132</v>
      </c>
    </row>
    <row r="304" ht="34.5">
      <c r="A304" s="360" t="s">
        <v>125</v>
      </c>
      <c r="B304" s="360" t="s">
        <v>126</v>
      </c>
      <c r="C304" s="360" t="s">
        <v>479</v>
      </c>
      <c r="D304" s="360" t="s">
        <v>128</v>
      </c>
      <c r="E304" s="360" t="s">
        <v>470</v>
      </c>
      <c r="F304" s="361" t="s">
        <v>471</v>
      </c>
      <c r="G304" s="360" t="s">
        <v>472</v>
      </c>
      <c r="H304" s="361"/>
      <c r="I304" s="361"/>
      <c r="J304" s="361" t="s">
        <v>484</v>
      </c>
      <c r="K304" s="363"/>
      <c r="L304" s="360"/>
      <c r="M304" s="360"/>
      <c r="N304" s="361"/>
      <c r="O304" s="361"/>
      <c r="P304" s="361"/>
      <c r="Q304" s="361"/>
      <c r="R304" s="362"/>
      <c r="S304" s="361"/>
      <c r="T304" s="360" t="s">
        <v>132</v>
      </c>
    </row>
    <row r="305" ht="34.5">
      <c r="A305" s="360" t="s">
        <v>125</v>
      </c>
      <c r="B305" s="360" t="s">
        <v>126</v>
      </c>
      <c r="C305" s="360" t="s">
        <v>479</v>
      </c>
      <c r="D305" s="360" t="s">
        <v>128</v>
      </c>
      <c r="E305" s="360" t="s">
        <v>470</v>
      </c>
      <c r="F305" s="361" t="s">
        <v>471</v>
      </c>
      <c r="G305" s="360" t="s">
        <v>472</v>
      </c>
      <c r="H305" s="361"/>
      <c r="I305" s="361"/>
      <c r="J305" s="361" t="s">
        <v>485</v>
      </c>
      <c r="K305" s="363"/>
      <c r="L305" s="360"/>
      <c r="M305" s="360"/>
      <c r="N305" s="361"/>
      <c r="O305" s="361"/>
      <c r="P305" s="361"/>
      <c r="Q305" s="361"/>
      <c r="R305" s="362"/>
      <c r="S305" s="361"/>
      <c r="T305" s="360" t="s">
        <v>132</v>
      </c>
    </row>
    <row r="306" ht="34.5">
      <c r="A306" s="360" t="s">
        <v>125</v>
      </c>
      <c r="B306" s="360" t="s">
        <v>126</v>
      </c>
      <c r="C306" s="360" t="s">
        <v>479</v>
      </c>
      <c r="D306" s="360" t="s">
        <v>486</v>
      </c>
      <c r="E306" s="360" t="s">
        <v>470</v>
      </c>
      <c r="F306" s="361" t="s">
        <v>471</v>
      </c>
      <c r="G306" s="360" t="s">
        <v>472</v>
      </c>
      <c r="H306" s="361"/>
      <c r="I306" s="361"/>
      <c r="J306" s="361" t="s">
        <v>487</v>
      </c>
      <c r="K306" s="363"/>
      <c r="L306" s="360"/>
      <c r="M306" s="360"/>
      <c r="N306" s="361"/>
      <c r="O306" s="361"/>
      <c r="P306" s="361"/>
      <c r="Q306" s="361"/>
      <c r="R306" s="362"/>
      <c r="S306" s="361"/>
      <c r="T306" s="360" t="s">
        <v>132</v>
      </c>
    </row>
    <row r="307" ht="34.5">
      <c r="A307" s="360" t="s">
        <v>125</v>
      </c>
      <c r="B307" s="360" t="s">
        <v>126</v>
      </c>
      <c r="C307" s="360" t="s">
        <v>488</v>
      </c>
      <c r="D307" s="360" t="s">
        <v>128</v>
      </c>
      <c r="E307" s="360" t="s">
        <v>470</v>
      </c>
      <c r="F307" s="361" t="s">
        <v>471</v>
      </c>
      <c r="G307" s="360" t="s">
        <v>472</v>
      </c>
      <c r="H307" s="361"/>
      <c r="I307" s="361"/>
      <c r="J307" s="361" t="s">
        <v>489</v>
      </c>
      <c r="K307" s="363"/>
      <c r="L307" s="360"/>
      <c r="M307" s="360"/>
      <c r="N307" s="361"/>
      <c r="O307" s="361"/>
      <c r="P307" s="361"/>
      <c r="Q307" s="361"/>
      <c r="R307" s="362"/>
      <c r="S307" s="361"/>
      <c r="T307" s="360" t="s">
        <v>132</v>
      </c>
    </row>
    <row r="308" ht="34.5">
      <c r="A308" s="360" t="s">
        <v>125</v>
      </c>
      <c r="B308" s="360" t="s">
        <v>126</v>
      </c>
      <c r="C308" s="360" t="s">
        <v>488</v>
      </c>
      <c r="D308" s="360" t="s">
        <v>128</v>
      </c>
      <c r="E308" s="360" t="s">
        <v>470</v>
      </c>
      <c r="F308" s="361" t="s">
        <v>471</v>
      </c>
      <c r="G308" s="360" t="s">
        <v>472</v>
      </c>
      <c r="H308" s="361"/>
      <c r="I308" s="361"/>
      <c r="J308" s="361" t="s">
        <v>490</v>
      </c>
      <c r="K308" s="363"/>
      <c r="L308" s="360"/>
      <c r="M308" s="360"/>
      <c r="N308" s="361"/>
      <c r="O308" s="361"/>
      <c r="P308" s="361"/>
      <c r="Q308" s="361"/>
      <c r="R308" s="362"/>
      <c r="S308" s="361"/>
      <c r="T308" s="360" t="s">
        <v>132</v>
      </c>
    </row>
    <row r="309" ht="34.5">
      <c r="A309" s="360" t="s">
        <v>125</v>
      </c>
      <c r="B309" s="360" t="s">
        <v>126</v>
      </c>
      <c r="C309" s="360" t="s">
        <v>488</v>
      </c>
      <c r="D309" s="360" t="s">
        <v>491</v>
      </c>
      <c r="E309" s="360" t="s">
        <v>470</v>
      </c>
      <c r="F309" s="361" t="s">
        <v>471</v>
      </c>
      <c r="G309" s="360" t="s">
        <v>472</v>
      </c>
      <c r="H309" s="361"/>
      <c r="I309" s="361"/>
      <c r="J309" s="361" t="s">
        <v>492</v>
      </c>
      <c r="K309" s="363"/>
      <c r="L309" s="360"/>
      <c r="M309" s="360"/>
      <c r="N309" s="361"/>
      <c r="O309" s="361"/>
      <c r="P309" s="361"/>
      <c r="Q309" s="361"/>
      <c r="R309" s="362"/>
      <c r="S309" s="361"/>
      <c r="T309" s="360" t="s">
        <v>132</v>
      </c>
    </row>
    <row r="310" ht="34.5">
      <c r="A310" s="360" t="s">
        <v>125</v>
      </c>
      <c r="B310" s="360" t="s">
        <v>126</v>
      </c>
      <c r="C310" s="360" t="s">
        <v>488</v>
      </c>
      <c r="D310" s="360" t="s">
        <v>128</v>
      </c>
      <c r="E310" s="360" t="s">
        <v>470</v>
      </c>
      <c r="F310" s="361" t="s">
        <v>471</v>
      </c>
      <c r="G310" s="360" t="s">
        <v>472</v>
      </c>
      <c r="H310" s="361"/>
      <c r="I310" s="361"/>
      <c r="J310" s="361" t="s">
        <v>493</v>
      </c>
      <c r="K310" s="363"/>
      <c r="L310" s="360"/>
      <c r="M310" s="360"/>
      <c r="N310" s="361"/>
      <c r="O310" s="361"/>
      <c r="P310" s="361"/>
      <c r="Q310" s="361"/>
      <c r="R310" s="362"/>
      <c r="S310" s="361"/>
      <c r="T310" s="360" t="s">
        <v>132</v>
      </c>
    </row>
    <row r="311" ht="34.5">
      <c r="A311" s="360" t="s">
        <v>125</v>
      </c>
      <c r="B311" s="360" t="s">
        <v>126</v>
      </c>
      <c r="C311" s="360" t="s">
        <v>488</v>
      </c>
      <c r="D311" s="360" t="s">
        <v>128</v>
      </c>
      <c r="E311" s="360" t="s">
        <v>470</v>
      </c>
      <c r="F311" s="361" t="s">
        <v>471</v>
      </c>
      <c r="G311" s="360" t="s">
        <v>472</v>
      </c>
      <c r="H311" s="361"/>
      <c r="I311" s="361"/>
      <c r="J311" s="361" t="s">
        <v>494</v>
      </c>
      <c r="K311" s="363"/>
      <c r="L311" s="360"/>
      <c r="M311" s="360"/>
      <c r="N311" s="361"/>
      <c r="O311" s="361"/>
      <c r="P311" s="361"/>
      <c r="Q311" s="361"/>
      <c r="R311" s="362"/>
      <c r="S311" s="361"/>
      <c r="T311" s="360" t="s">
        <v>132</v>
      </c>
    </row>
    <row r="312" ht="34.5">
      <c r="A312" s="360" t="s">
        <v>125</v>
      </c>
      <c r="B312" s="360" t="s">
        <v>126</v>
      </c>
      <c r="C312" s="360" t="s">
        <v>488</v>
      </c>
      <c r="D312" s="360" t="s">
        <v>128</v>
      </c>
      <c r="E312" s="360" t="s">
        <v>470</v>
      </c>
      <c r="F312" s="361" t="s">
        <v>471</v>
      </c>
      <c r="G312" s="360" t="s">
        <v>472</v>
      </c>
      <c r="H312" s="361"/>
      <c r="I312" s="361"/>
      <c r="J312" s="361" t="s">
        <v>495</v>
      </c>
      <c r="K312" s="363"/>
      <c r="L312" s="360"/>
      <c r="M312" s="360"/>
      <c r="N312" s="361"/>
      <c r="O312" s="361"/>
      <c r="P312" s="361"/>
      <c r="Q312" s="361"/>
      <c r="R312" s="362"/>
      <c r="S312" s="361"/>
      <c r="T312" s="360" t="s">
        <v>132</v>
      </c>
    </row>
    <row r="313" ht="34.5">
      <c r="A313" s="360" t="s">
        <v>125</v>
      </c>
      <c r="B313" s="360" t="s">
        <v>126</v>
      </c>
      <c r="C313" s="360" t="s">
        <v>496</v>
      </c>
      <c r="D313" s="360" t="s">
        <v>128</v>
      </c>
      <c r="E313" s="360" t="s">
        <v>497</v>
      </c>
      <c r="F313" s="361" t="s">
        <v>498</v>
      </c>
      <c r="G313" s="360" t="s">
        <v>499</v>
      </c>
      <c r="H313" s="361"/>
      <c r="I313" s="361"/>
      <c r="J313" s="361" t="s">
        <v>500</v>
      </c>
      <c r="K313" s="363"/>
      <c r="L313" s="360"/>
      <c r="M313" s="360"/>
      <c r="N313" s="361"/>
      <c r="O313" s="361"/>
      <c r="P313" s="361"/>
      <c r="Q313" s="361"/>
      <c r="R313" s="362"/>
      <c r="S313" s="361"/>
      <c r="T313" s="360" t="s">
        <v>132</v>
      </c>
    </row>
    <row r="314" ht="34.5">
      <c r="A314" s="360" t="s">
        <v>125</v>
      </c>
      <c r="B314" s="360" t="s">
        <v>126</v>
      </c>
      <c r="C314" s="360" t="s">
        <v>496</v>
      </c>
      <c r="D314" s="360" t="s">
        <v>128</v>
      </c>
      <c r="E314" s="360" t="s">
        <v>497</v>
      </c>
      <c r="F314" s="361" t="s">
        <v>498</v>
      </c>
      <c r="G314" s="360" t="s">
        <v>499</v>
      </c>
      <c r="H314" s="361"/>
      <c r="I314" s="361"/>
      <c r="J314" s="361" t="s">
        <v>501</v>
      </c>
      <c r="K314" s="363"/>
      <c r="L314" s="360"/>
      <c r="M314" s="360"/>
      <c r="N314" s="361"/>
      <c r="O314" s="361"/>
      <c r="P314" s="361"/>
      <c r="Q314" s="361"/>
      <c r="R314" s="362"/>
      <c r="S314" s="361"/>
      <c r="T314" s="360" t="s">
        <v>132</v>
      </c>
    </row>
    <row r="315" ht="34.5">
      <c r="A315" s="360" t="s">
        <v>125</v>
      </c>
      <c r="B315" s="360" t="s">
        <v>126</v>
      </c>
      <c r="C315" s="360" t="s">
        <v>496</v>
      </c>
      <c r="D315" s="360" t="s">
        <v>502</v>
      </c>
      <c r="E315" s="360" t="s">
        <v>497</v>
      </c>
      <c r="F315" s="361" t="s">
        <v>498</v>
      </c>
      <c r="G315" s="360" t="s">
        <v>499</v>
      </c>
      <c r="H315" s="361"/>
      <c r="I315" s="361"/>
      <c r="J315" s="361" t="s">
        <v>503</v>
      </c>
      <c r="K315" s="363"/>
      <c r="L315" s="360"/>
      <c r="M315" s="360"/>
      <c r="N315" s="361"/>
      <c r="O315" s="361"/>
      <c r="P315" s="361"/>
      <c r="Q315" s="361"/>
      <c r="R315" s="362"/>
      <c r="S315" s="361"/>
      <c r="T315" s="360" t="s">
        <v>132</v>
      </c>
    </row>
    <row r="316" ht="34.5">
      <c r="A316" s="360" t="s">
        <v>125</v>
      </c>
      <c r="B316" s="360" t="s">
        <v>126</v>
      </c>
      <c r="C316" s="360" t="s">
        <v>496</v>
      </c>
      <c r="D316" s="360" t="s">
        <v>128</v>
      </c>
      <c r="E316" s="360" t="s">
        <v>497</v>
      </c>
      <c r="F316" s="361" t="s">
        <v>498</v>
      </c>
      <c r="G316" s="360" t="s">
        <v>499</v>
      </c>
      <c r="H316" s="361"/>
      <c r="I316" s="361"/>
      <c r="J316" s="361" t="s">
        <v>504</v>
      </c>
      <c r="K316" s="363"/>
      <c r="L316" s="360"/>
      <c r="M316" s="360"/>
      <c r="N316" s="361"/>
      <c r="O316" s="361"/>
      <c r="P316" s="361"/>
      <c r="Q316" s="361"/>
      <c r="R316" s="362"/>
      <c r="S316" s="361"/>
      <c r="T316" s="360" t="s">
        <v>132</v>
      </c>
    </row>
    <row r="317" ht="34.5">
      <c r="A317" s="360" t="s">
        <v>125</v>
      </c>
      <c r="B317" s="360" t="s">
        <v>126</v>
      </c>
      <c r="C317" s="360" t="s">
        <v>496</v>
      </c>
      <c r="D317" s="360" t="s">
        <v>128</v>
      </c>
      <c r="E317" s="360" t="s">
        <v>505</v>
      </c>
      <c r="F317" s="361" t="s">
        <v>506</v>
      </c>
      <c r="G317" s="360" t="s">
        <v>507</v>
      </c>
      <c r="H317" s="361"/>
      <c r="I317" s="361"/>
      <c r="J317" s="361" t="s">
        <v>508</v>
      </c>
      <c r="K317" s="363"/>
      <c r="L317" s="360"/>
      <c r="M317" s="360"/>
      <c r="N317" s="361"/>
      <c r="O317" s="361"/>
      <c r="P317" s="361"/>
      <c r="Q317" s="361"/>
      <c r="R317" s="362"/>
      <c r="S317" s="361"/>
      <c r="T317" s="360" t="s">
        <v>132</v>
      </c>
    </row>
    <row r="318" ht="34.5">
      <c r="A318" s="360" t="s">
        <v>125</v>
      </c>
      <c r="B318" s="360" t="s">
        <v>126</v>
      </c>
      <c r="C318" s="360" t="s">
        <v>496</v>
      </c>
      <c r="D318" s="360" t="s">
        <v>509</v>
      </c>
      <c r="E318" s="360" t="s">
        <v>505</v>
      </c>
      <c r="F318" s="361" t="s">
        <v>506</v>
      </c>
      <c r="G318" s="360" t="s">
        <v>507</v>
      </c>
      <c r="H318" s="361"/>
      <c r="I318" s="361"/>
      <c r="J318" s="361" t="s">
        <v>510</v>
      </c>
      <c r="K318" s="363"/>
      <c r="L318" s="360"/>
      <c r="M318" s="360"/>
      <c r="N318" s="361"/>
      <c r="O318" s="361"/>
      <c r="P318" s="361"/>
      <c r="Q318" s="361"/>
      <c r="R318" s="362"/>
      <c r="S318" s="361"/>
      <c r="T318" s="360" t="s">
        <v>132</v>
      </c>
    </row>
    <row r="319" ht="34.5">
      <c r="A319" s="360" t="s">
        <v>125</v>
      </c>
      <c r="B319" s="360" t="s">
        <v>126</v>
      </c>
      <c r="C319" s="360" t="s">
        <v>496</v>
      </c>
      <c r="D319" s="360" t="s">
        <v>128</v>
      </c>
      <c r="E319" s="360" t="s">
        <v>505</v>
      </c>
      <c r="F319" s="361" t="s">
        <v>506</v>
      </c>
      <c r="G319" s="360" t="s">
        <v>507</v>
      </c>
      <c r="H319" s="361"/>
      <c r="I319" s="361"/>
      <c r="J319" s="361" t="s">
        <v>511</v>
      </c>
      <c r="K319" s="363"/>
      <c r="L319" s="360"/>
      <c r="M319" s="360"/>
      <c r="N319" s="361"/>
      <c r="O319" s="361"/>
      <c r="P319" s="361"/>
      <c r="Q319" s="361"/>
      <c r="R319" s="362"/>
      <c r="S319" s="361"/>
      <c r="T319" s="360" t="s">
        <v>132</v>
      </c>
    </row>
    <row r="320" ht="34.5">
      <c r="A320" s="360" t="s">
        <v>125</v>
      </c>
      <c r="B320" s="360" t="s">
        <v>126</v>
      </c>
      <c r="C320" s="360" t="s">
        <v>512</v>
      </c>
      <c r="D320" s="360" t="s">
        <v>128</v>
      </c>
      <c r="E320" s="360" t="s">
        <v>505</v>
      </c>
      <c r="F320" s="361" t="s">
        <v>506</v>
      </c>
      <c r="G320" s="360" t="s">
        <v>507</v>
      </c>
      <c r="H320" s="361"/>
      <c r="I320" s="361"/>
      <c r="J320" s="361" t="s">
        <v>513</v>
      </c>
      <c r="K320" s="363"/>
      <c r="L320" s="360"/>
      <c r="M320" s="360"/>
      <c r="N320" s="361"/>
      <c r="O320" s="361"/>
      <c r="P320" s="361"/>
      <c r="Q320" s="361"/>
      <c r="R320" s="362"/>
      <c r="S320" s="361"/>
      <c r="T320" s="360" t="s">
        <v>132</v>
      </c>
    </row>
    <row r="321" ht="34.5">
      <c r="A321" s="360" t="s">
        <v>125</v>
      </c>
      <c r="B321" s="360" t="s">
        <v>126</v>
      </c>
      <c r="C321" s="360" t="s">
        <v>512</v>
      </c>
      <c r="D321" s="360" t="s">
        <v>514</v>
      </c>
      <c r="E321" s="360" t="s">
        <v>505</v>
      </c>
      <c r="F321" s="361" t="s">
        <v>506</v>
      </c>
      <c r="G321" s="360" t="s">
        <v>507</v>
      </c>
      <c r="H321" s="361"/>
      <c r="I321" s="361"/>
      <c r="J321" s="361" t="s">
        <v>515</v>
      </c>
      <c r="K321" s="363"/>
      <c r="L321" s="360"/>
      <c r="M321" s="360"/>
      <c r="N321" s="361"/>
      <c r="O321" s="361"/>
      <c r="P321" s="361"/>
      <c r="Q321" s="361"/>
      <c r="R321" s="362"/>
      <c r="S321" s="361"/>
      <c r="T321" s="360" t="s">
        <v>132</v>
      </c>
    </row>
    <row r="322" ht="34.5">
      <c r="A322" s="360" t="s">
        <v>125</v>
      </c>
      <c r="B322" s="360" t="s">
        <v>126</v>
      </c>
      <c r="C322" s="360" t="s">
        <v>512</v>
      </c>
      <c r="D322" s="360" t="s">
        <v>128</v>
      </c>
      <c r="E322" s="360" t="s">
        <v>516</v>
      </c>
      <c r="F322" s="361" t="s">
        <v>517</v>
      </c>
      <c r="G322" s="360" t="s">
        <v>472</v>
      </c>
      <c r="H322" s="361"/>
      <c r="I322" s="361"/>
      <c r="J322" s="361" t="s">
        <v>518</v>
      </c>
      <c r="K322" s="363"/>
      <c r="L322" s="360"/>
      <c r="M322" s="360"/>
      <c r="N322" s="361"/>
      <c r="O322" s="361"/>
      <c r="P322" s="361"/>
      <c r="Q322" s="361"/>
      <c r="R322" s="362"/>
      <c r="S322" s="361"/>
      <c r="T322" s="360" t="s">
        <v>132</v>
      </c>
    </row>
    <row r="323" ht="34.5">
      <c r="A323" s="360" t="s">
        <v>125</v>
      </c>
      <c r="B323" s="360" t="s">
        <v>126</v>
      </c>
      <c r="C323" s="360" t="s">
        <v>512</v>
      </c>
      <c r="D323" s="360" t="s">
        <v>519</v>
      </c>
      <c r="E323" s="360" t="s">
        <v>516</v>
      </c>
      <c r="F323" s="361" t="s">
        <v>517</v>
      </c>
      <c r="G323" s="360" t="s">
        <v>472</v>
      </c>
      <c r="H323" s="361"/>
      <c r="I323" s="361"/>
      <c r="J323" s="361" t="s">
        <v>520</v>
      </c>
      <c r="K323" s="363"/>
      <c r="L323" s="360"/>
      <c r="M323" s="360"/>
      <c r="N323" s="361"/>
      <c r="O323" s="361"/>
      <c r="P323" s="361"/>
      <c r="Q323" s="361"/>
      <c r="R323" s="362"/>
      <c r="S323" s="361"/>
      <c r="T323" s="360" t="s">
        <v>132</v>
      </c>
    </row>
    <row r="324" ht="34.5">
      <c r="A324" s="360" t="s">
        <v>125</v>
      </c>
      <c r="B324" s="360" t="s">
        <v>126</v>
      </c>
      <c r="C324" s="360" t="s">
        <v>512</v>
      </c>
      <c r="D324" s="360" t="s">
        <v>128</v>
      </c>
      <c r="E324" s="360" t="s">
        <v>521</v>
      </c>
      <c r="F324" s="361" t="s">
        <v>522</v>
      </c>
      <c r="G324" s="360" t="s">
        <v>523</v>
      </c>
      <c r="H324" s="361"/>
      <c r="I324" s="361"/>
      <c r="J324" s="361" t="s">
        <v>524</v>
      </c>
      <c r="K324" s="363"/>
      <c r="L324" s="360"/>
      <c r="M324" s="360"/>
      <c r="N324" s="361"/>
      <c r="O324" s="361"/>
      <c r="P324" s="361"/>
      <c r="Q324" s="361"/>
      <c r="R324" s="362"/>
      <c r="S324" s="361"/>
      <c r="T324" s="360" t="s">
        <v>132</v>
      </c>
    </row>
    <row r="325" ht="34.5">
      <c r="A325" s="360" t="s">
        <v>125</v>
      </c>
      <c r="B325" s="360" t="s">
        <v>126</v>
      </c>
      <c r="C325" s="360" t="s">
        <v>512</v>
      </c>
      <c r="D325" s="360" t="s">
        <v>525</v>
      </c>
      <c r="E325" s="360" t="s">
        <v>521</v>
      </c>
      <c r="F325" s="361" t="s">
        <v>522</v>
      </c>
      <c r="G325" s="360" t="s">
        <v>523</v>
      </c>
      <c r="H325" s="361"/>
      <c r="I325" s="361"/>
      <c r="J325" s="361" t="s">
        <v>526</v>
      </c>
      <c r="K325" s="363"/>
      <c r="L325" s="360"/>
      <c r="M325" s="360"/>
      <c r="N325" s="361"/>
      <c r="O325" s="361"/>
      <c r="P325" s="361"/>
      <c r="Q325" s="361"/>
      <c r="R325" s="362"/>
      <c r="S325" s="361"/>
      <c r="T325" s="360" t="s">
        <v>132</v>
      </c>
    </row>
    <row r="326" ht="34.5">
      <c r="A326" s="360" t="s">
        <v>125</v>
      </c>
      <c r="B326" s="360" t="s">
        <v>126</v>
      </c>
      <c r="C326" s="360" t="s">
        <v>512</v>
      </c>
      <c r="D326" s="360" t="s">
        <v>128</v>
      </c>
      <c r="E326" s="360" t="s">
        <v>521</v>
      </c>
      <c r="F326" s="361" t="s">
        <v>522</v>
      </c>
      <c r="G326" s="360" t="s">
        <v>523</v>
      </c>
      <c r="H326" s="361"/>
      <c r="I326" s="361"/>
      <c r="J326" s="361" t="s">
        <v>527</v>
      </c>
      <c r="K326" s="363"/>
      <c r="L326" s="360"/>
      <c r="M326" s="360"/>
      <c r="N326" s="361"/>
      <c r="O326" s="361"/>
      <c r="P326" s="361"/>
      <c r="Q326" s="361"/>
      <c r="R326" s="362"/>
      <c r="S326" s="361"/>
      <c r="T326" s="360" t="s">
        <v>132</v>
      </c>
    </row>
    <row r="327" ht="34.5">
      <c r="A327" s="360" t="s">
        <v>125</v>
      </c>
      <c r="B327" s="360" t="s">
        <v>126</v>
      </c>
      <c r="C327" s="360" t="s">
        <v>528</v>
      </c>
      <c r="D327" s="360" t="s">
        <v>128</v>
      </c>
      <c r="E327" s="360" t="s">
        <v>529</v>
      </c>
      <c r="F327" s="361" t="s">
        <v>530</v>
      </c>
      <c r="G327" s="360" t="s">
        <v>531</v>
      </c>
      <c r="H327" s="361"/>
      <c r="I327" s="361"/>
      <c r="J327" s="361" t="s">
        <v>532</v>
      </c>
      <c r="K327" s="363"/>
      <c r="L327" s="360"/>
      <c r="M327" s="360"/>
      <c r="N327" s="361"/>
      <c r="O327" s="361"/>
      <c r="P327" s="361"/>
      <c r="Q327" s="361"/>
      <c r="R327" s="362"/>
      <c r="S327" s="361"/>
      <c r="T327" s="360" t="s">
        <v>132</v>
      </c>
    </row>
    <row r="328" ht="34.5">
      <c r="A328" s="360" t="s">
        <v>125</v>
      </c>
      <c r="B328" s="360" t="s">
        <v>126</v>
      </c>
      <c r="C328" s="360" t="s">
        <v>528</v>
      </c>
      <c r="D328" s="360" t="s">
        <v>533</v>
      </c>
      <c r="E328" s="360" t="s">
        <v>529</v>
      </c>
      <c r="F328" s="361" t="s">
        <v>530</v>
      </c>
      <c r="G328" s="360" t="s">
        <v>531</v>
      </c>
      <c r="H328" s="361"/>
      <c r="I328" s="361"/>
      <c r="J328" s="361" t="s">
        <v>534</v>
      </c>
      <c r="K328" s="363"/>
      <c r="L328" s="360"/>
      <c r="M328" s="360"/>
      <c r="N328" s="361"/>
      <c r="O328" s="361"/>
      <c r="P328" s="361"/>
      <c r="Q328" s="361"/>
      <c r="R328" s="362"/>
      <c r="S328" s="361"/>
      <c r="T328" s="360" t="s">
        <v>132</v>
      </c>
    </row>
    <row r="329" ht="34.5">
      <c r="A329" s="360" t="s">
        <v>125</v>
      </c>
      <c r="B329" s="360" t="s">
        <v>126</v>
      </c>
      <c r="C329" s="360" t="s">
        <v>528</v>
      </c>
      <c r="D329" s="360" t="s">
        <v>128</v>
      </c>
      <c r="E329" s="360" t="s">
        <v>529</v>
      </c>
      <c r="F329" s="361" t="s">
        <v>530</v>
      </c>
      <c r="G329" s="360" t="s">
        <v>531</v>
      </c>
      <c r="H329" s="361"/>
      <c r="I329" s="361"/>
      <c r="J329" s="361" t="s">
        <v>535</v>
      </c>
      <c r="K329" s="363">
        <v>9106469</v>
      </c>
      <c r="L329" s="360" t="s">
        <v>314</v>
      </c>
      <c r="M329" s="360"/>
      <c r="N329" s="361"/>
      <c r="O329" s="361"/>
      <c r="P329" s="361"/>
      <c r="Q329" s="361"/>
      <c r="R329" s="362"/>
      <c r="S329" s="361"/>
      <c r="T329" s="360" t="s">
        <v>132</v>
      </c>
    </row>
    <row r="330" ht="34.5">
      <c r="A330" s="360" t="s">
        <v>125</v>
      </c>
      <c r="B330" s="360" t="s">
        <v>126</v>
      </c>
      <c r="C330" s="360" t="s">
        <v>528</v>
      </c>
      <c r="D330" s="360" t="s">
        <v>128</v>
      </c>
      <c r="E330" s="360" t="s">
        <v>529</v>
      </c>
      <c r="F330" s="361" t="s">
        <v>530</v>
      </c>
      <c r="G330" s="360" t="s">
        <v>531</v>
      </c>
      <c r="H330" s="361"/>
      <c r="I330" s="361"/>
      <c r="J330" s="361" t="s">
        <v>536</v>
      </c>
      <c r="K330" s="363"/>
      <c r="L330" s="360"/>
      <c r="M330" s="360"/>
      <c r="N330" s="361"/>
      <c r="O330" s="361"/>
      <c r="P330" s="361"/>
      <c r="Q330" s="361"/>
      <c r="R330" s="362"/>
      <c r="S330" s="361"/>
      <c r="T330" s="360" t="s">
        <v>132</v>
      </c>
    </row>
    <row r="331" ht="34.5">
      <c r="A331" s="360" t="s">
        <v>125</v>
      </c>
      <c r="B331" s="360" t="s">
        <v>126</v>
      </c>
      <c r="C331" s="360" t="s">
        <v>528</v>
      </c>
      <c r="D331" s="360" t="s">
        <v>537</v>
      </c>
      <c r="E331" s="360" t="s">
        <v>529</v>
      </c>
      <c r="F331" s="361" t="s">
        <v>530</v>
      </c>
      <c r="G331" s="360" t="s">
        <v>531</v>
      </c>
      <c r="H331" s="361"/>
      <c r="I331" s="361"/>
      <c r="J331" s="361" t="s">
        <v>538</v>
      </c>
      <c r="K331" s="363"/>
      <c r="L331" s="360"/>
      <c r="M331" s="360"/>
      <c r="N331" s="361"/>
      <c r="O331" s="361"/>
      <c r="P331" s="361"/>
      <c r="Q331" s="361"/>
      <c r="R331" s="362"/>
      <c r="S331" s="361"/>
      <c r="T331" s="360" t="s">
        <v>132</v>
      </c>
    </row>
    <row r="332" ht="34.5">
      <c r="A332" s="360" t="s">
        <v>125</v>
      </c>
      <c r="B332" s="360" t="s">
        <v>126</v>
      </c>
      <c r="C332" s="360" t="s">
        <v>528</v>
      </c>
      <c r="D332" s="360" t="s">
        <v>128</v>
      </c>
      <c r="E332" s="360" t="s">
        <v>529</v>
      </c>
      <c r="F332" s="361" t="s">
        <v>530</v>
      </c>
      <c r="G332" s="360" t="s">
        <v>531</v>
      </c>
      <c r="H332" s="361"/>
      <c r="I332" s="361"/>
      <c r="J332" s="361" t="s">
        <v>539</v>
      </c>
      <c r="K332" s="363"/>
      <c r="L332" s="360"/>
      <c r="M332" s="360"/>
      <c r="N332" s="361"/>
      <c r="O332" s="361"/>
      <c r="P332" s="361"/>
      <c r="Q332" s="361"/>
      <c r="R332" s="362"/>
      <c r="S332" s="361"/>
      <c r="T332" s="360" t="s">
        <v>132</v>
      </c>
    </row>
    <row r="333" ht="34.5">
      <c r="A333" s="360" t="s">
        <v>125</v>
      </c>
      <c r="B333" s="360" t="s">
        <v>126</v>
      </c>
      <c r="C333" s="360" t="s">
        <v>528</v>
      </c>
      <c r="D333" s="360" t="s">
        <v>540</v>
      </c>
      <c r="E333" s="360" t="s">
        <v>529</v>
      </c>
      <c r="F333" s="361" t="s">
        <v>530</v>
      </c>
      <c r="G333" s="360" t="s">
        <v>531</v>
      </c>
      <c r="H333" s="361"/>
      <c r="I333" s="361"/>
      <c r="J333" s="361" t="s">
        <v>541</v>
      </c>
      <c r="K333" s="363"/>
      <c r="L333" s="360"/>
      <c r="M333" s="360"/>
      <c r="N333" s="361"/>
      <c r="O333" s="361"/>
      <c r="P333" s="361"/>
      <c r="Q333" s="361"/>
      <c r="R333" s="362"/>
      <c r="S333" s="361"/>
      <c r="T333" s="360" t="s">
        <v>132</v>
      </c>
    </row>
    <row r="334" ht="34.5">
      <c r="A334" s="360" t="s">
        <v>125</v>
      </c>
      <c r="B334" s="360" t="s">
        <v>126</v>
      </c>
      <c r="C334" s="360" t="s">
        <v>528</v>
      </c>
      <c r="D334" s="360" t="s">
        <v>128</v>
      </c>
      <c r="E334" s="360" t="s">
        <v>529</v>
      </c>
      <c r="F334" s="361" t="s">
        <v>530</v>
      </c>
      <c r="G334" s="360" t="s">
        <v>531</v>
      </c>
      <c r="H334" s="361"/>
      <c r="I334" s="361"/>
      <c r="J334" s="361" t="s">
        <v>542</v>
      </c>
      <c r="K334" s="363"/>
      <c r="L334" s="360"/>
      <c r="M334" s="360"/>
      <c r="N334" s="361"/>
      <c r="O334" s="361"/>
      <c r="P334" s="361"/>
      <c r="Q334" s="361"/>
      <c r="R334" s="362"/>
      <c r="S334" s="361"/>
      <c r="T334" s="360" t="s">
        <v>132</v>
      </c>
    </row>
    <row r="335" ht="34.5">
      <c r="A335" s="360" t="s">
        <v>125</v>
      </c>
      <c r="B335" s="360" t="s">
        <v>126</v>
      </c>
      <c r="C335" s="360" t="s">
        <v>543</v>
      </c>
      <c r="D335" s="360" t="s">
        <v>128</v>
      </c>
      <c r="E335" s="360" t="s">
        <v>544</v>
      </c>
      <c r="F335" s="361" t="s">
        <v>545</v>
      </c>
      <c r="G335" s="360" t="s">
        <v>531</v>
      </c>
      <c r="H335" s="361"/>
      <c r="I335" s="361"/>
      <c r="J335" s="361" t="s">
        <v>546</v>
      </c>
      <c r="K335" s="363"/>
      <c r="L335" s="360"/>
      <c r="M335" s="360"/>
      <c r="N335" s="361"/>
      <c r="O335" s="361"/>
      <c r="P335" s="361"/>
      <c r="Q335" s="361"/>
      <c r="R335" s="362"/>
      <c r="S335" s="361"/>
      <c r="T335" s="360" t="s">
        <v>132</v>
      </c>
    </row>
    <row r="336" ht="34.5">
      <c r="A336" s="360" t="s">
        <v>125</v>
      </c>
      <c r="B336" s="360" t="s">
        <v>126</v>
      </c>
      <c r="C336" s="360" t="s">
        <v>543</v>
      </c>
      <c r="D336" s="360" t="s">
        <v>547</v>
      </c>
      <c r="E336" s="360" t="s">
        <v>544</v>
      </c>
      <c r="F336" s="361" t="s">
        <v>545</v>
      </c>
      <c r="G336" s="360" t="s">
        <v>531</v>
      </c>
      <c r="H336" s="361"/>
      <c r="I336" s="361"/>
      <c r="J336" s="361" t="s">
        <v>548</v>
      </c>
      <c r="K336" s="363"/>
      <c r="L336" s="360"/>
      <c r="M336" s="360"/>
      <c r="N336" s="361"/>
      <c r="O336" s="361"/>
      <c r="P336" s="361"/>
      <c r="Q336" s="361"/>
      <c r="R336" s="362"/>
      <c r="S336" s="361"/>
      <c r="T336" s="360" t="s">
        <v>132</v>
      </c>
    </row>
    <row r="337" ht="34.5">
      <c r="A337" s="360" t="s">
        <v>125</v>
      </c>
      <c r="B337" s="360" t="s">
        <v>126</v>
      </c>
      <c r="C337" s="360" t="s">
        <v>543</v>
      </c>
      <c r="D337" s="360" t="s">
        <v>128</v>
      </c>
      <c r="E337" s="360" t="s">
        <v>544</v>
      </c>
      <c r="F337" s="361" t="s">
        <v>545</v>
      </c>
      <c r="G337" s="360" t="s">
        <v>531</v>
      </c>
      <c r="H337" s="361"/>
      <c r="I337" s="361"/>
      <c r="J337" s="361" t="s">
        <v>549</v>
      </c>
      <c r="K337" s="363"/>
      <c r="L337" s="360"/>
      <c r="M337" s="360"/>
      <c r="N337" s="361"/>
      <c r="O337" s="361"/>
      <c r="P337" s="361"/>
      <c r="Q337" s="361"/>
      <c r="R337" s="362"/>
      <c r="S337" s="361"/>
      <c r="T337" s="360" t="s">
        <v>132</v>
      </c>
    </row>
    <row r="338" ht="34.5">
      <c r="A338" s="360" t="s">
        <v>125</v>
      </c>
      <c r="B338" s="360" t="s">
        <v>126</v>
      </c>
      <c r="C338" s="360" t="s">
        <v>543</v>
      </c>
      <c r="D338" s="360" t="s">
        <v>128</v>
      </c>
      <c r="E338" s="360" t="s">
        <v>550</v>
      </c>
      <c r="F338" s="361" t="s">
        <v>551</v>
      </c>
      <c r="G338" s="360" t="s">
        <v>36</v>
      </c>
      <c r="H338" s="361"/>
      <c r="I338" s="361"/>
      <c r="J338" s="361" t="s">
        <v>552</v>
      </c>
      <c r="K338" s="363">
        <v>12605818</v>
      </c>
      <c r="L338" s="360" t="s">
        <v>314</v>
      </c>
      <c r="M338" s="360"/>
      <c r="N338" s="361"/>
      <c r="O338" s="361"/>
      <c r="P338" s="361"/>
      <c r="Q338" s="361"/>
      <c r="R338" s="362"/>
      <c r="S338" s="361"/>
      <c r="T338" s="360" t="s">
        <v>132</v>
      </c>
    </row>
    <row r="339" ht="34.5">
      <c r="A339" s="360" t="s">
        <v>125</v>
      </c>
      <c r="B339" s="360" t="s">
        <v>126</v>
      </c>
      <c r="C339" s="360" t="s">
        <v>543</v>
      </c>
      <c r="D339" s="360" t="s">
        <v>128</v>
      </c>
      <c r="E339" s="360" t="s">
        <v>553</v>
      </c>
      <c r="F339" s="361" t="s">
        <v>554</v>
      </c>
      <c r="G339" s="360" t="s">
        <v>36</v>
      </c>
      <c r="H339" s="361"/>
      <c r="I339" s="361"/>
      <c r="J339" s="361" t="s">
        <v>555</v>
      </c>
      <c r="K339" s="363"/>
      <c r="L339" s="360"/>
      <c r="M339" s="360"/>
      <c r="N339" s="361"/>
      <c r="O339" s="361"/>
      <c r="P339" s="361"/>
      <c r="Q339" s="361"/>
      <c r="R339" s="362"/>
      <c r="S339" s="361"/>
      <c r="T339" s="360" t="s">
        <v>132</v>
      </c>
    </row>
    <row r="340" ht="34.5">
      <c r="A340" s="360" t="s">
        <v>125</v>
      </c>
      <c r="B340" s="360" t="s">
        <v>126</v>
      </c>
      <c r="C340" s="360" t="s">
        <v>543</v>
      </c>
      <c r="D340" s="360" t="s">
        <v>556</v>
      </c>
      <c r="E340" s="360" t="s">
        <v>553</v>
      </c>
      <c r="F340" s="361" t="s">
        <v>554</v>
      </c>
      <c r="G340" s="360" t="s">
        <v>36</v>
      </c>
      <c r="H340" s="361"/>
      <c r="I340" s="361"/>
      <c r="J340" s="361" t="s">
        <v>557</v>
      </c>
      <c r="K340" s="363"/>
      <c r="L340" s="360"/>
      <c r="M340" s="360"/>
      <c r="N340" s="361"/>
      <c r="O340" s="361"/>
      <c r="P340" s="361"/>
      <c r="Q340" s="361"/>
      <c r="R340" s="362"/>
      <c r="S340" s="361"/>
      <c r="T340" s="360" t="s">
        <v>132</v>
      </c>
    </row>
    <row r="341" ht="34.5">
      <c r="A341" s="360" t="s">
        <v>125</v>
      </c>
      <c r="B341" s="360" t="s">
        <v>126</v>
      </c>
      <c r="C341" s="360" t="s">
        <v>543</v>
      </c>
      <c r="D341" s="360" t="s">
        <v>128</v>
      </c>
      <c r="E341" s="360" t="s">
        <v>553</v>
      </c>
      <c r="F341" s="361" t="s">
        <v>554</v>
      </c>
      <c r="G341" s="360" t="s">
        <v>36</v>
      </c>
      <c r="H341" s="361"/>
      <c r="I341" s="361"/>
      <c r="J341" s="361" t="s">
        <v>558</v>
      </c>
      <c r="K341" s="363"/>
      <c r="L341" s="360"/>
      <c r="M341" s="360"/>
      <c r="N341" s="361"/>
      <c r="O341" s="361"/>
      <c r="P341" s="361"/>
      <c r="Q341" s="361"/>
      <c r="R341" s="362"/>
      <c r="S341" s="361"/>
      <c r="T341" s="360" t="s">
        <v>132</v>
      </c>
    </row>
    <row r="342" ht="34.5">
      <c r="A342" s="360" t="s">
        <v>125</v>
      </c>
      <c r="B342" s="360" t="s">
        <v>126</v>
      </c>
      <c r="C342" s="360" t="s">
        <v>559</v>
      </c>
      <c r="D342" s="360" t="s">
        <v>128</v>
      </c>
      <c r="E342" s="360" t="s">
        <v>553</v>
      </c>
      <c r="F342" s="361" t="s">
        <v>554</v>
      </c>
      <c r="G342" s="360" t="s">
        <v>36</v>
      </c>
      <c r="H342" s="361"/>
      <c r="I342" s="361"/>
      <c r="J342" s="361" t="s">
        <v>560</v>
      </c>
      <c r="K342" s="363"/>
      <c r="L342" s="360"/>
      <c r="M342" s="360"/>
      <c r="N342" s="361"/>
      <c r="O342" s="361"/>
      <c r="P342" s="361"/>
      <c r="Q342" s="361"/>
      <c r="R342" s="362"/>
      <c r="S342" s="361"/>
      <c r="T342" s="360" t="s">
        <v>132</v>
      </c>
    </row>
    <row r="343" ht="34.5">
      <c r="A343" s="360" t="s">
        <v>125</v>
      </c>
      <c r="B343" s="360" t="s">
        <v>126</v>
      </c>
      <c r="C343" s="360" t="s">
        <v>559</v>
      </c>
      <c r="D343" s="360" t="s">
        <v>561</v>
      </c>
      <c r="E343" s="360" t="s">
        <v>553</v>
      </c>
      <c r="F343" s="361" t="s">
        <v>554</v>
      </c>
      <c r="G343" s="360" t="s">
        <v>36</v>
      </c>
      <c r="H343" s="361"/>
      <c r="I343" s="361"/>
      <c r="J343" s="361" t="s">
        <v>562</v>
      </c>
      <c r="K343" s="363"/>
      <c r="L343" s="360"/>
      <c r="M343" s="360"/>
      <c r="N343" s="361"/>
      <c r="O343" s="361"/>
      <c r="P343" s="361"/>
      <c r="Q343" s="361"/>
      <c r="R343" s="362"/>
      <c r="S343" s="361"/>
      <c r="T343" s="360" t="s">
        <v>132</v>
      </c>
    </row>
    <row r="344" ht="34.5">
      <c r="A344" s="360" t="s">
        <v>125</v>
      </c>
      <c r="B344" s="360" t="s">
        <v>126</v>
      </c>
      <c r="C344" s="360" t="s">
        <v>559</v>
      </c>
      <c r="D344" s="360" t="s">
        <v>128</v>
      </c>
      <c r="E344" s="360" t="s">
        <v>553</v>
      </c>
      <c r="F344" s="361" t="s">
        <v>554</v>
      </c>
      <c r="G344" s="360" t="s">
        <v>36</v>
      </c>
      <c r="H344" s="361"/>
      <c r="I344" s="361"/>
      <c r="J344" s="361" t="s">
        <v>563</v>
      </c>
      <c r="K344" s="363"/>
      <c r="L344" s="360"/>
      <c r="M344" s="360"/>
      <c r="N344" s="361"/>
      <c r="O344" s="361"/>
      <c r="P344" s="361"/>
      <c r="Q344" s="361"/>
      <c r="R344" s="362"/>
      <c r="S344" s="361"/>
      <c r="T344" s="360" t="s">
        <v>132</v>
      </c>
    </row>
    <row r="345" ht="34.5">
      <c r="A345" s="360" t="s">
        <v>125</v>
      </c>
      <c r="B345" s="360" t="s">
        <v>126</v>
      </c>
      <c r="C345" s="360" t="s">
        <v>559</v>
      </c>
      <c r="D345" s="360" t="s">
        <v>564</v>
      </c>
      <c r="E345" s="360" t="s">
        <v>553</v>
      </c>
      <c r="F345" s="361" t="s">
        <v>554</v>
      </c>
      <c r="G345" s="360" t="s">
        <v>36</v>
      </c>
      <c r="H345" s="361"/>
      <c r="I345" s="361"/>
      <c r="J345" s="361" t="s">
        <v>565</v>
      </c>
      <c r="K345" s="363"/>
      <c r="L345" s="360"/>
      <c r="M345" s="360"/>
      <c r="N345" s="361"/>
      <c r="O345" s="361"/>
      <c r="P345" s="361"/>
      <c r="Q345" s="361"/>
      <c r="R345" s="362"/>
      <c r="S345" s="361"/>
      <c r="T345" s="360" t="s">
        <v>132</v>
      </c>
    </row>
    <row r="346" ht="34.5">
      <c r="A346" s="360" t="s">
        <v>125</v>
      </c>
      <c r="B346" s="360" t="s">
        <v>126</v>
      </c>
      <c r="C346" s="360" t="s">
        <v>559</v>
      </c>
      <c r="D346" s="360" t="s">
        <v>128</v>
      </c>
      <c r="E346" s="360" t="s">
        <v>566</v>
      </c>
      <c r="F346" s="361" t="s">
        <v>567</v>
      </c>
      <c r="G346" s="360" t="s">
        <v>531</v>
      </c>
      <c r="H346" s="361"/>
      <c r="I346" s="361"/>
      <c r="J346" s="361" t="s">
        <v>568</v>
      </c>
      <c r="K346" s="363"/>
      <c r="L346" s="360"/>
      <c r="M346" s="360"/>
      <c r="N346" s="361"/>
      <c r="O346" s="361"/>
      <c r="P346" s="361"/>
      <c r="Q346" s="361"/>
      <c r="R346" s="362"/>
      <c r="S346" s="361"/>
      <c r="T346" s="360" t="s">
        <v>132</v>
      </c>
    </row>
    <row r="347" ht="34.5">
      <c r="A347" s="360" t="s">
        <v>125</v>
      </c>
      <c r="B347" s="360" t="s">
        <v>126</v>
      </c>
      <c r="C347" s="360" t="s">
        <v>559</v>
      </c>
      <c r="D347" s="360" t="s">
        <v>569</v>
      </c>
      <c r="E347" s="360" t="s">
        <v>566</v>
      </c>
      <c r="F347" s="361" t="s">
        <v>567</v>
      </c>
      <c r="G347" s="360" t="s">
        <v>531</v>
      </c>
      <c r="H347" s="361"/>
      <c r="I347" s="361"/>
      <c r="J347" s="361" t="s">
        <v>570</v>
      </c>
      <c r="K347" s="363"/>
      <c r="L347" s="360"/>
      <c r="M347" s="360"/>
      <c r="N347" s="361"/>
      <c r="O347" s="361"/>
      <c r="P347" s="361"/>
      <c r="Q347" s="361"/>
      <c r="R347" s="362"/>
      <c r="S347" s="361"/>
      <c r="T347" s="360" t="s">
        <v>132</v>
      </c>
    </row>
    <row r="348" ht="34.5">
      <c r="A348" s="360" t="s">
        <v>125</v>
      </c>
      <c r="B348" s="360" t="s">
        <v>126</v>
      </c>
      <c r="C348" s="360" t="s">
        <v>559</v>
      </c>
      <c r="D348" s="360" t="s">
        <v>128</v>
      </c>
      <c r="E348" s="360" t="s">
        <v>566</v>
      </c>
      <c r="F348" s="361" t="s">
        <v>567</v>
      </c>
      <c r="G348" s="360" t="s">
        <v>531</v>
      </c>
      <c r="H348" s="361"/>
      <c r="I348" s="361"/>
      <c r="J348" s="361" t="s">
        <v>571</v>
      </c>
      <c r="K348" s="363"/>
      <c r="L348" s="360"/>
      <c r="M348" s="360"/>
      <c r="N348" s="361"/>
      <c r="O348" s="361"/>
      <c r="P348" s="361"/>
      <c r="Q348" s="361"/>
      <c r="R348" s="362"/>
      <c r="S348" s="361"/>
      <c r="T348" s="360" t="s">
        <v>132</v>
      </c>
    </row>
    <row r="349" ht="34.5">
      <c r="A349" s="360" t="s">
        <v>125</v>
      </c>
      <c r="B349" s="360" t="s">
        <v>126</v>
      </c>
      <c r="C349" s="360" t="s">
        <v>572</v>
      </c>
      <c r="D349" s="360" t="s">
        <v>128</v>
      </c>
      <c r="E349" s="360" t="s">
        <v>566</v>
      </c>
      <c r="F349" s="361" t="s">
        <v>567</v>
      </c>
      <c r="G349" s="360" t="s">
        <v>531</v>
      </c>
      <c r="H349" s="361"/>
      <c r="I349" s="361"/>
      <c r="J349" s="361" t="s">
        <v>560</v>
      </c>
      <c r="K349" s="363"/>
      <c r="L349" s="360"/>
      <c r="M349" s="360"/>
      <c r="N349" s="361"/>
      <c r="O349" s="361"/>
      <c r="P349" s="361"/>
      <c r="Q349" s="361"/>
      <c r="R349" s="362"/>
      <c r="S349" s="361"/>
      <c r="T349" s="360" t="s">
        <v>132</v>
      </c>
    </row>
    <row r="350" ht="34.5">
      <c r="A350" s="360" t="s">
        <v>125</v>
      </c>
      <c r="B350" s="360" t="s">
        <v>126</v>
      </c>
      <c r="C350" s="360" t="s">
        <v>572</v>
      </c>
      <c r="D350" s="360" t="s">
        <v>573</v>
      </c>
      <c r="E350" s="360" t="s">
        <v>566</v>
      </c>
      <c r="F350" s="361" t="s">
        <v>567</v>
      </c>
      <c r="G350" s="360" t="s">
        <v>531</v>
      </c>
      <c r="H350" s="361"/>
      <c r="I350" s="361"/>
      <c r="J350" s="361" t="s">
        <v>574</v>
      </c>
      <c r="K350" s="363"/>
      <c r="L350" s="360"/>
      <c r="M350" s="360"/>
      <c r="N350" s="361"/>
      <c r="O350" s="361"/>
      <c r="P350" s="361"/>
      <c r="Q350" s="361"/>
      <c r="R350" s="362"/>
      <c r="S350" s="361"/>
      <c r="T350" s="360" t="s">
        <v>132</v>
      </c>
    </row>
    <row r="351" ht="34.5">
      <c r="A351" s="360" t="s">
        <v>125</v>
      </c>
      <c r="B351" s="360" t="s">
        <v>126</v>
      </c>
      <c r="C351" s="360" t="s">
        <v>572</v>
      </c>
      <c r="D351" s="360" t="s">
        <v>128</v>
      </c>
      <c r="E351" s="360" t="s">
        <v>566</v>
      </c>
      <c r="F351" s="361" t="s">
        <v>567</v>
      </c>
      <c r="G351" s="360" t="s">
        <v>531</v>
      </c>
      <c r="H351" s="361"/>
      <c r="I351" s="361"/>
      <c r="J351" s="361" t="s">
        <v>575</v>
      </c>
      <c r="K351" s="363"/>
      <c r="L351" s="360"/>
      <c r="M351" s="360"/>
      <c r="N351" s="361"/>
      <c r="O351" s="361"/>
      <c r="P351" s="361"/>
      <c r="Q351" s="361"/>
      <c r="R351" s="362"/>
      <c r="S351" s="361"/>
      <c r="T351" s="360" t="s">
        <v>132</v>
      </c>
    </row>
    <row r="352" ht="34.5">
      <c r="A352" s="360" t="s">
        <v>125</v>
      </c>
      <c r="B352" s="360" t="s">
        <v>126</v>
      </c>
      <c r="C352" s="360" t="s">
        <v>572</v>
      </c>
      <c r="D352" s="360" t="s">
        <v>576</v>
      </c>
      <c r="E352" s="360" t="s">
        <v>566</v>
      </c>
      <c r="F352" s="361" t="s">
        <v>567</v>
      </c>
      <c r="G352" s="360" t="s">
        <v>531</v>
      </c>
      <c r="H352" s="361"/>
      <c r="I352" s="361"/>
      <c r="J352" s="361" t="s">
        <v>577</v>
      </c>
      <c r="K352" s="363"/>
      <c r="L352" s="360"/>
      <c r="M352" s="360"/>
      <c r="N352" s="361"/>
      <c r="O352" s="361"/>
      <c r="P352" s="361"/>
      <c r="Q352" s="361"/>
      <c r="R352" s="362"/>
      <c r="S352" s="361"/>
      <c r="T352" s="360" t="s">
        <v>132</v>
      </c>
    </row>
    <row r="353" ht="34.5">
      <c r="A353" s="360" t="s">
        <v>125</v>
      </c>
      <c r="B353" s="360" t="s">
        <v>126</v>
      </c>
      <c r="C353" s="360" t="s">
        <v>572</v>
      </c>
      <c r="D353" s="360" t="s">
        <v>128</v>
      </c>
      <c r="E353" s="360" t="s">
        <v>566</v>
      </c>
      <c r="F353" s="361" t="s">
        <v>567</v>
      </c>
      <c r="G353" s="360" t="s">
        <v>531</v>
      </c>
      <c r="H353" s="361"/>
      <c r="I353" s="361"/>
      <c r="J353" s="361" t="s">
        <v>578</v>
      </c>
      <c r="K353" s="363"/>
      <c r="L353" s="360"/>
      <c r="M353" s="360"/>
      <c r="N353" s="361"/>
      <c r="O353" s="361"/>
      <c r="P353" s="361"/>
      <c r="Q353" s="361"/>
      <c r="R353" s="362"/>
      <c r="S353" s="361"/>
      <c r="T353" s="360" t="s">
        <v>132</v>
      </c>
    </row>
    <row r="354" ht="34.5">
      <c r="A354" s="360" t="s">
        <v>125</v>
      </c>
      <c r="B354" s="360" t="s">
        <v>126</v>
      </c>
      <c r="C354" s="360" t="s">
        <v>579</v>
      </c>
      <c r="D354" s="360" t="s">
        <v>128</v>
      </c>
      <c r="E354" s="360" t="s">
        <v>580</v>
      </c>
      <c r="F354" s="361" t="s">
        <v>581</v>
      </c>
      <c r="G354" s="360" t="s">
        <v>531</v>
      </c>
      <c r="H354" s="361"/>
      <c r="I354" s="361"/>
      <c r="J354" s="361" t="s">
        <v>582</v>
      </c>
      <c r="K354" s="363"/>
      <c r="L354" s="360"/>
      <c r="M354" s="360"/>
      <c r="N354" s="361"/>
      <c r="O354" s="361"/>
      <c r="P354" s="361"/>
      <c r="Q354" s="361"/>
      <c r="R354" s="362"/>
      <c r="S354" s="361"/>
      <c r="T354" s="360" t="s">
        <v>132</v>
      </c>
    </row>
    <row r="355" ht="34.5">
      <c r="A355" s="360" t="s">
        <v>125</v>
      </c>
      <c r="B355" s="360" t="s">
        <v>126</v>
      </c>
      <c r="C355" s="360" t="s">
        <v>579</v>
      </c>
      <c r="D355" s="360" t="s">
        <v>583</v>
      </c>
      <c r="E355" s="360" t="s">
        <v>580</v>
      </c>
      <c r="F355" s="361" t="s">
        <v>581</v>
      </c>
      <c r="G355" s="360" t="s">
        <v>531</v>
      </c>
      <c r="H355" s="361"/>
      <c r="I355" s="361"/>
      <c r="J355" s="361" t="s">
        <v>584</v>
      </c>
      <c r="K355" s="363"/>
      <c r="L355" s="360"/>
      <c r="M355" s="360"/>
      <c r="N355" s="361"/>
      <c r="O355" s="361"/>
      <c r="P355" s="361"/>
      <c r="Q355" s="361"/>
      <c r="R355" s="362"/>
      <c r="S355" s="361"/>
      <c r="T355" s="360" t="s">
        <v>132</v>
      </c>
    </row>
    <row r="356" ht="34.5">
      <c r="A356" s="360" t="s">
        <v>125</v>
      </c>
      <c r="B356" s="360" t="s">
        <v>126</v>
      </c>
      <c r="C356" s="360" t="s">
        <v>579</v>
      </c>
      <c r="D356" s="360" t="s">
        <v>128</v>
      </c>
      <c r="E356" s="360" t="s">
        <v>580</v>
      </c>
      <c r="F356" s="361" t="s">
        <v>581</v>
      </c>
      <c r="G356" s="360" t="s">
        <v>531</v>
      </c>
      <c r="H356" s="361"/>
      <c r="I356" s="361"/>
      <c r="J356" s="361" t="s">
        <v>585</v>
      </c>
      <c r="K356" s="363"/>
      <c r="L356" s="360"/>
      <c r="M356" s="360"/>
      <c r="N356" s="361"/>
      <c r="O356" s="361"/>
      <c r="P356" s="361"/>
      <c r="Q356" s="361"/>
      <c r="R356" s="362"/>
      <c r="S356" s="361"/>
      <c r="T356" s="360" t="s">
        <v>132</v>
      </c>
    </row>
    <row r="357" ht="34.5">
      <c r="A357" s="360" t="s">
        <v>125</v>
      </c>
      <c r="B357" s="360" t="s">
        <v>126</v>
      </c>
      <c r="C357" s="360" t="s">
        <v>579</v>
      </c>
      <c r="D357" s="360" t="s">
        <v>586</v>
      </c>
      <c r="E357" s="360" t="s">
        <v>580</v>
      </c>
      <c r="F357" s="361" t="s">
        <v>581</v>
      </c>
      <c r="G357" s="360" t="s">
        <v>531</v>
      </c>
      <c r="H357" s="361"/>
      <c r="I357" s="361"/>
      <c r="J357" s="361" t="s">
        <v>587</v>
      </c>
      <c r="K357" s="363"/>
      <c r="L357" s="360"/>
      <c r="M357" s="360"/>
      <c r="N357" s="361"/>
      <c r="O357" s="361"/>
      <c r="P357" s="361"/>
      <c r="Q357" s="361"/>
      <c r="R357" s="362"/>
      <c r="S357" s="361"/>
      <c r="T357" s="360" t="s">
        <v>132</v>
      </c>
    </row>
    <row r="358" ht="34.5">
      <c r="A358" s="360" t="s">
        <v>125</v>
      </c>
      <c r="B358" s="360" t="s">
        <v>126</v>
      </c>
      <c r="C358" s="360" t="s">
        <v>579</v>
      </c>
      <c r="D358" s="360" t="s">
        <v>128</v>
      </c>
      <c r="E358" s="360" t="s">
        <v>580</v>
      </c>
      <c r="F358" s="361" t="s">
        <v>581</v>
      </c>
      <c r="G358" s="360" t="s">
        <v>531</v>
      </c>
      <c r="H358" s="361"/>
      <c r="I358" s="361"/>
      <c r="J358" s="361" t="s">
        <v>588</v>
      </c>
      <c r="K358" s="363"/>
      <c r="L358" s="360"/>
      <c r="M358" s="360"/>
      <c r="N358" s="361"/>
      <c r="O358" s="361"/>
      <c r="P358" s="361"/>
      <c r="Q358" s="361"/>
      <c r="R358" s="362"/>
      <c r="S358" s="361"/>
      <c r="T358" s="360" t="s">
        <v>132</v>
      </c>
    </row>
    <row r="359" ht="34.5">
      <c r="A359" s="360" t="s">
        <v>125</v>
      </c>
      <c r="B359" s="360" t="s">
        <v>126</v>
      </c>
      <c r="C359" s="360" t="s">
        <v>589</v>
      </c>
      <c r="D359" s="360" t="s">
        <v>128</v>
      </c>
      <c r="E359" s="360" t="s">
        <v>590</v>
      </c>
      <c r="F359" s="361" t="s">
        <v>591</v>
      </c>
      <c r="G359" s="360" t="s">
        <v>468</v>
      </c>
      <c r="H359" s="361"/>
      <c r="I359" s="361"/>
      <c r="J359" s="361" t="s">
        <v>592</v>
      </c>
      <c r="K359" s="363"/>
      <c r="L359" s="360"/>
      <c r="M359" s="360"/>
      <c r="N359" s="361"/>
      <c r="O359" s="361"/>
      <c r="P359" s="361"/>
      <c r="Q359" s="361"/>
      <c r="R359" s="362"/>
      <c r="S359" s="361"/>
      <c r="T359" s="360" t="s">
        <v>132</v>
      </c>
    </row>
    <row r="360" ht="34.5">
      <c r="A360" s="360" t="s">
        <v>125</v>
      </c>
      <c r="B360" s="360" t="s">
        <v>126</v>
      </c>
      <c r="C360" s="360" t="s">
        <v>589</v>
      </c>
      <c r="D360" s="360" t="s">
        <v>593</v>
      </c>
      <c r="E360" s="360" t="s">
        <v>590</v>
      </c>
      <c r="F360" s="361" t="s">
        <v>591</v>
      </c>
      <c r="G360" s="360" t="s">
        <v>468</v>
      </c>
      <c r="H360" s="361"/>
      <c r="I360" s="361"/>
      <c r="J360" s="361" t="s">
        <v>594</v>
      </c>
      <c r="K360" s="363"/>
      <c r="L360" s="360"/>
      <c r="M360" s="360"/>
      <c r="N360" s="361"/>
      <c r="O360" s="361"/>
      <c r="P360" s="361"/>
      <c r="Q360" s="361"/>
      <c r="R360" s="362"/>
      <c r="S360" s="361"/>
      <c r="T360" s="360" t="s">
        <v>132</v>
      </c>
    </row>
    <row r="361" ht="34.5">
      <c r="A361" s="360" t="s">
        <v>125</v>
      </c>
      <c r="B361" s="360" t="s">
        <v>126</v>
      </c>
      <c r="C361" s="360" t="s">
        <v>589</v>
      </c>
      <c r="D361" s="360" t="s">
        <v>128</v>
      </c>
      <c r="E361" s="360" t="s">
        <v>590</v>
      </c>
      <c r="F361" s="361" t="s">
        <v>591</v>
      </c>
      <c r="G361" s="360" t="s">
        <v>468</v>
      </c>
      <c r="H361" s="361"/>
      <c r="I361" s="361"/>
      <c r="J361" s="361" t="s">
        <v>595</v>
      </c>
      <c r="K361" s="363"/>
      <c r="L361" s="360"/>
      <c r="M361" s="360"/>
      <c r="N361" s="361"/>
      <c r="O361" s="361"/>
      <c r="P361" s="361"/>
      <c r="Q361" s="361"/>
      <c r="R361" s="362"/>
      <c r="S361" s="361"/>
      <c r="T361" s="360" t="s">
        <v>132</v>
      </c>
    </row>
    <row r="362" ht="34.5">
      <c r="A362" s="360" t="s">
        <v>125</v>
      </c>
      <c r="B362" s="360" t="s">
        <v>126</v>
      </c>
      <c r="C362" s="360" t="s">
        <v>589</v>
      </c>
      <c r="D362" s="360" t="s">
        <v>596</v>
      </c>
      <c r="E362" s="360" t="s">
        <v>590</v>
      </c>
      <c r="F362" s="361" t="s">
        <v>591</v>
      </c>
      <c r="G362" s="360" t="s">
        <v>468</v>
      </c>
      <c r="H362" s="361"/>
      <c r="I362" s="361"/>
      <c r="J362" s="361" t="s">
        <v>597</v>
      </c>
      <c r="K362" s="363"/>
      <c r="L362" s="360"/>
      <c r="M362" s="360"/>
      <c r="N362" s="361"/>
      <c r="O362" s="361"/>
      <c r="P362" s="361"/>
      <c r="Q362" s="361"/>
      <c r="R362" s="362"/>
      <c r="S362" s="361"/>
      <c r="T362" s="360" t="s">
        <v>132</v>
      </c>
    </row>
    <row r="363" ht="34.5">
      <c r="A363" s="360" t="s">
        <v>125</v>
      </c>
      <c r="B363" s="360" t="s">
        <v>126</v>
      </c>
      <c r="C363" s="360" t="s">
        <v>589</v>
      </c>
      <c r="D363" s="360" t="s">
        <v>128</v>
      </c>
      <c r="E363" s="360" t="s">
        <v>590</v>
      </c>
      <c r="F363" s="361" t="s">
        <v>591</v>
      </c>
      <c r="G363" s="360" t="s">
        <v>468</v>
      </c>
      <c r="H363" s="361"/>
      <c r="I363" s="361"/>
      <c r="J363" s="361" t="s">
        <v>598</v>
      </c>
      <c r="K363" s="363"/>
      <c r="L363" s="360"/>
      <c r="M363" s="360"/>
      <c r="N363" s="361"/>
      <c r="O363" s="361"/>
      <c r="P363" s="361"/>
      <c r="Q363" s="361"/>
      <c r="R363" s="362"/>
      <c r="S363" s="361"/>
      <c r="T363" s="360" t="s">
        <v>132</v>
      </c>
    </row>
    <row r="364" ht="34.5">
      <c r="A364" s="360" t="s">
        <v>125</v>
      </c>
      <c r="B364" s="360" t="s">
        <v>126</v>
      </c>
      <c r="C364" s="360" t="s">
        <v>589</v>
      </c>
      <c r="D364" s="360" t="s">
        <v>599</v>
      </c>
      <c r="E364" s="360" t="s">
        <v>590</v>
      </c>
      <c r="F364" s="361" t="s">
        <v>591</v>
      </c>
      <c r="G364" s="360" t="s">
        <v>468</v>
      </c>
      <c r="H364" s="361"/>
      <c r="I364" s="361"/>
      <c r="J364" s="361" t="s">
        <v>600</v>
      </c>
      <c r="K364" s="363"/>
      <c r="L364" s="360"/>
      <c r="M364" s="360"/>
      <c r="N364" s="361"/>
      <c r="O364" s="361"/>
      <c r="P364" s="361"/>
      <c r="Q364" s="361"/>
      <c r="R364" s="362"/>
      <c r="S364" s="361"/>
      <c r="T364" s="360" t="s">
        <v>132</v>
      </c>
    </row>
    <row r="365" ht="34.5">
      <c r="A365" s="360" t="s">
        <v>125</v>
      </c>
      <c r="B365" s="360" t="s">
        <v>126</v>
      </c>
      <c r="C365" s="360" t="s">
        <v>589</v>
      </c>
      <c r="D365" s="360" t="s">
        <v>128</v>
      </c>
      <c r="E365" s="360" t="s">
        <v>590</v>
      </c>
      <c r="F365" s="361" t="s">
        <v>591</v>
      </c>
      <c r="G365" s="360" t="s">
        <v>468</v>
      </c>
      <c r="H365" s="361"/>
      <c r="I365" s="361"/>
      <c r="J365" s="361" t="s">
        <v>601</v>
      </c>
      <c r="K365" s="363"/>
      <c r="L365" s="360"/>
      <c r="M365" s="360"/>
      <c r="N365" s="361"/>
      <c r="O365" s="361"/>
      <c r="P365" s="361"/>
      <c r="Q365" s="361"/>
      <c r="R365" s="362"/>
      <c r="S365" s="361"/>
      <c r="T365" s="360" t="s">
        <v>132</v>
      </c>
    </row>
    <row r="366" ht="34.5">
      <c r="A366" s="360" t="s">
        <v>125</v>
      </c>
      <c r="B366" s="360" t="s">
        <v>126</v>
      </c>
      <c r="C366" s="360" t="s">
        <v>602</v>
      </c>
      <c r="D366" s="360" t="s">
        <v>128</v>
      </c>
      <c r="E366" s="360" t="s">
        <v>590</v>
      </c>
      <c r="F366" s="361" t="s">
        <v>591</v>
      </c>
      <c r="G366" s="360" t="s">
        <v>468</v>
      </c>
      <c r="H366" s="361"/>
      <c r="I366" s="361"/>
      <c r="J366" s="361" t="s">
        <v>603</v>
      </c>
      <c r="K366" s="363"/>
      <c r="L366" s="360"/>
      <c r="M366" s="360"/>
      <c r="N366" s="361"/>
      <c r="O366" s="361"/>
      <c r="P366" s="361"/>
      <c r="Q366" s="361"/>
      <c r="R366" s="362"/>
      <c r="S366" s="361"/>
      <c r="T366" s="360" t="s">
        <v>132</v>
      </c>
    </row>
    <row r="367" ht="34.5">
      <c r="A367" s="360" t="s">
        <v>125</v>
      </c>
      <c r="B367" s="360" t="s">
        <v>126</v>
      </c>
      <c r="C367" s="360" t="s">
        <v>602</v>
      </c>
      <c r="D367" s="360" t="s">
        <v>604</v>
      </c>
      <c r="E367" s="360" t="s">
        <v>590</v>
      </c>
      <c r="F367" s="361" t="s">
        <v>591</v>
      </c>
      <c r="G367" s="360" t="s">
        <v>468</v>
      </c>
      <c r="H367" s="361"/>
      <c r="I367" s="361"/>
      <c r="J367" s="361" t="s">
        <v>605</v>
      </c>
      <c r="K367" s="363"/>
      <c r="L367" s="360"/>
      <c r="M367" s="360"/>
      <c r="N367" s="361"/>
      <c r="O367" s="361"/>
      <c r="P367" s="361"/>
      <c r="Q367" s="361"/>
      <c r="R367" s="362"/>
      <c r="S367" s="361"/>
      <c r="T367" s="360" t="s">
        <v>132</v>
      </c>
    </row>
    <row r="368" ht="34.5">
      <c r="A368" s="360" t="s">
        <v>125</v>
      </c>
      <c r="B368" s="360" t="s">
        <v>126</v>
      </c>
      <c r="C368" s="360" t="s">
        <v>602</v>
      </c>
      <c r="D368" s="360" t="s">
        <v>128</v>
      </c>
      <c r="E368" s="360" t="s">
        <v>590</v>
      </c>
      <c r="F368" s="361" t="s">
        <v>591</v>
      </c>
      <c r="G368" s="360" t="s">
        <v>468</v>
      </c>
      <c r="H368" s="361"/>
      <c r="I368" s="361"/>
      <c r="J368" s="361" t="s">
        <v>606</v>
      </c>
      <c r="K368" s="363"/>
      <c r="L368" s="360"/>
      <c r="M368" s="360"/>
      <c r="N368" s="361"/>
      <c r="O368" s="361"/>
      <c r="P368" s="361"/>
      <c r="Q368" s="361"/>
      <c r="R368" s="362"/>
      <c r="S368" s="361"/>
      <c r="T368" s="360" t="s">
        <v>132</v>
      </c>
    </row>
    <row r="369" ht="34.5">
      <c r="A369" s="360" t="s">
        <v>125</v>
      </c>
      <c r="B369" s="360" t="s">
        <v>126</v>
      </c>
      <c r="C369" s="360" t="s">
        <v>602</v>
      </c>
      <c r="D369" s="360" t="s">
        <v>607</v>
      </c>
      <c r="E369" s="360" t="s">
        <v>590</v>
      </c>
      <c r="F369" s="361" t="s">
        <v>591</v>
      </c>
      <c r="G369" s="360" t="s">
        <v>468</v>
      </c>
      <c r="H369" s="361"/>
      <c r="I369" s="361"/>
      <c r="J369" s="361" t="s">
        <v>608</v>
      </c>
      <c r="K369" s="363"/>
      <c r="L369" s="360"/>
      <c r="M369" s="360"/>
      <c r="N369" s="361"/>
      <c r="O369" s="361"/>
      <c r="P369" s="361"/>
      <c r="Q369" s="361"/>
      <c r="R369" s="362"/>
      <c r="S369" s="361"/>
      <c r="T369" s="360" t="s">
        <v>132</v>
      </c>
    </row>
    <row r="370" ht="34.5">
      <c r="A370" s="360" t="s">
        <v>125</v>
      </c>
      <c r="B370" s="360" t="s">
        <v>126</v>
      </c>
      <c r="C370" s="360" t="s">
        <v>602</v>
      </c>
      <c r="D370" s="360" t="s">
        <v>128</v>
      </c>
      <c r="E370" s="360" t="s">
        <v>590</v>
      </c>
      <c r="F370" s="361" t="s">
        <v>591</v>
      </c>
      <c r="G370" s="360" t="s">
        <v>468</v>
      </c>
      <c r="H370" s="361"/>
      <c r="I370" s="361"/>
      <c r="J370" s="361" t="s">
        <v>609</v>
      </c>
      <c r="K370" s="363"/>
      <c r="L370" s="360"/>
      <c r="M370" s="360"/>
      <c r="N370" s="361"/>
      <c r="O370" s="361"/>
      <c r="P370" s="361"/>
      <c r="Q370" s="361"/>
      <c r="R370" s="362"/>
      <c r="S370" s="361"/>
      <c r="T370" s="360" t="s">
        <v>132</v>
      </c>
    </row>
    <row r="371" ht="34.5">
      <c r="A371" s="360" t="s">
        <v>125</v>
      </c>
      <c r="B371" s="360" t="s">
        <v>126</v>
      </c>
      <c r="C371" s="360" t="s">
        <v>602</v>
      </c>
      <c r="D371" s="360" t="s">
        <v>128</v>
      </c>
      <c r="E371" s="360" t="s">
        <v>590</v>
      </c>
      <c r="F371" s="361" t="s">
        <v>591</v>
      </c>
      <c r="G371" s="360" t="s">
        <v>468</v>
      </c>
      <c r="H371" s="361"/>
      <c r="I371" s="361"/>
      <c r="J371" s="361" t="s">
        <v>610</v>
      </c>
      <c r="K371" s="363"/>
      <c r="L371" s="360"/>
      <c r="M371" s="360"/>
      <c r="N371" s="361"/>
      <c r="O371" s="361"/>
      <c r="P371" s="361"/>
      <c r="Q371" s="361"/>
      <c r="R371" s="362"/>
      <c r="S371" s="361"/>
      <c r="T371" s="360" t="s">
        <v>132</v>
      </c>
    </row>
    <row r="372" ht="34.5">
      <c r="A372" s="360" t="s">
        <v>125</v>
      </c>
      <c r="B372" s="360" t="s">
        <v>126</v>
      </c>
      <c r="C372" s="360" t="s">
        <v>602</v>
      </c>
      <c r="D372" s="360" t="s">
        <v>611</v>
      </c>
      <c r="E372" s="360" t="s">
        <v>590</v>
      </c>
      <c r="F372" s="361" t="s">
        <v>591</v>
      </c>
      <c r="G372" s="360" t="s">
        <v>468</v>
      </c>
      <c r="H372" s="361"/>
      <c r="I372" s="361"/>
      <c r="J372" s="361" t="s">
        <v>612</v>
      </c>
      <c r="K372" s="363"/>
      <c r="L372" s="360"/>
      <c r="M372" s="360"/>
      <c r="N372" s="361"/>
      <c r="O372" s="361"/>
      <c r="P372" s="361"/>
      <c r="Q372" s="361"/>
      <c r="R372" s="362"/>
      <c r="S372" s="361"/>
      <c r="T372" s="360" t="s">
        <v>132</v>
      </c>
    </row>
    <row r="373" ht="34.5">
      <c r="A373" s="360" t="s">
        <v>125</v>
      </c>
      <c r="B373" s="360" t="s">
        <v>126</v>
      </c>
      <c r="C373" s="360" t="s">
        <v>602</v>
      </c>
      <c r="D373" s="360" t="s">
        <v>128</v>
      </c>
      <c r="E373" s="360" t="s">
        <v>590</v>
      </c>
      <c r="F373" s="361" t="s">
        <v>591</v>
      </c>
      <c r="G373" s="360" t="s">
        <v>468</v>
      </c>
      <c r="H373" s="361"/>
      <c r="I373" s="361"/>
      <c r="J373" s="361" t="s">
        <v>613</v>
      </c>
      <c r="K373" s="363">
        <v>920260</v>
      </c>
      <c r="L373" s="360" t="s">
        <v>314</v>
      </c>
      <c r="M373" s="360"/>
      <c r="N373" s="361"/>
      <c r="O373" s="361"/>
      <c r="P373" s="361"/>
      <c r="Q373" s="361"/>
      <c r="R373" s="362"/>
      <c r="S373" s="361"/>
      <c r="T373" s="360" t="s">
        <v>132</v>
      </c>
    </row>
    <row r="374" ht="34.5">
      <c r="A374" s="360" t="s">
        <v>125</v>
      </c>
      <c r="B374" s="360" t="s">
        <v>126</v>
      </c>
      <c r="C374" s="360" t="s">
        <v>602</v>
      </c>
      <c r="D374" s="360" t="s">
        <v>128</v>
      </c>
      <c r="E374" s="360" t="s">
        <v>590</v>
      </c>
      <c r="F374" s="361" t="s">
        <v>591</v>
      </c>
      <c r="G374" s="360" t="s">
        <v>468</v>
      </c>
      <c r="H374" s="361"/>
      <c r="I374" s="361"/>
      <c r="J374" s="361" t="s">
        <v>614</v>
      </c>
      <c r="K374" s="363"/>
      <c r="L374" s="360"/>
      <c r="M374" s="360"/>
      <c r="N374" s="361"/>
      <c r="O374" s="361"/>
      <c r="P374" s="361"/>
      <c r="Q374" s="361"/>
      <c r="R374" s="362"/>
      <c r="S374" s="361"/>
      <c r="T374" s="360" t="s">
        <v>132</v>
      </c>
    </row>
    <row r="375" ht="34.5">
      <c r="A375" s="360" t="s">
        <v>125</v>
      </c>
      <c r="B375" s="360" t="s">
        <v>126</v>
      </c>
      <c r="C375" s="360" t="s">
        <v>615</v>
      </c>
      <c r="D375" s="360" t="s">
        <v>128</v>
      </c>
      <c r="E375" s="360" t="s">
        <v>590</v>
      </c>
      <c r="F375" s="361" t="s">
        <v>591</v>
      </c>
      <c r="G375" s="360" t="s">
        <v>468</v>
      </c>
      <c r="H375" s="361"/>
      <c r="I375" s="361"/>
      <c r="J375" s="361" t="s">
        <v>616</v>
      </c>
      <c r="K375" s="363"/>
      <c r="L375" s="360"/>
      <c r="M375" s="360"/>
      <c r="N375" s="361"/>
      <c r="O375" s="361"/>
      <c r="P375" s="361"/>
      <c r="Q375" s="361"/>
      <c r="R375" s="362"/>
      <c r="S375" s="361"/>
      <c r="T375" s="360" t="s">
        <v>132</v>
      </c>
    </row>
    <row r="376" ht="34.5">
      <c r="A376" s="360" t="s">
        <v>125</v>
      </c>
      <c r="B376" s="360" t="s">
        <v>126</v>
      </c>
      <c r="C376" s="360" t="s">
        <v>615</v>
      </c>
      <c r="D376" s="360" t="s">
        <v>128</v>
      </c>
      <c r="E376" s="360" t="s">
        <v>590</v>
      </c>
      <c r="F376" s="361" t="s">
        <v>591</v>
      </c>
      <c r="G376" s="360" t="s">
        <v>468</v>
      </c>
      <c r="H376" s="361"/>
      <c r="I376" s="361"/>
      <c r="J376" s="361" t="s">
        <v>617</v>
      </c>
      <c r="K376" s="363"/>
      <c r="L376" s="360"/>
      <c r="M376" s="360"/>
      <c r="N376" s="361"/>
      <c r="O376" s="361"/>
      <c r="P376" s="361"/>
      <c r="Q376" s="361"/>
      <c r="R376" s="362"/>
      <c r="S376" s="361"/>
      <c r="T376" s="360" t="s">
        <v>132</v>
      </c>
    </row>
    <row r="377" ht="34.5">
      <c r="A377" s="360" t="s">
        <v>125</v>
      </c>
      <c r="B377" s="360" t="s">
        <v>126</v>
      </c>
      <c r="C377" s="360" t="s">
        <v>615</v>
      </c>
      <c r="D377" s="360" t="s">
        <v>128</v>
      </c>
      <c r="E377" s="360" t="s">
        <v>590</v>
      </c>
      <c r="F377" s="361" t="s">
        <v>591</v>
      </c>
      <c r="G377" s="360" t="s">
        <v>468</v>
      </c>
      <c r="H377" s="361"/>
      <c r="I377" s="361"/>
      <c r="J377" s="361" t="s">
        <v>618</v>
      </c>
      <c r="K377" s="363"/>
      <c r="L377" s="360"/>
      <c r="M377" s="360"/>
      <c r="N377" s="361"/>
      <c r="O377" s="361"/>
      <c r="P377" s="361"/>
      <c r="Q377" s="361"/>
      <c r="R377" s="362"/>
      <c r="S377" s="361"/>
      <c r="T377" s="360" t="s">
        <v>132</v>
      </c>
    </row>
    <row r="378" ht="34.5">
      <c r="A378" s="360" t="s">
        <v>125</v>
      </c>
      <c r="B378" s="360" t="s">
        <v>126</v>
      </c>
      <c r="C378" s="360" t="s">
        <v>615</v>
      </c>
      <c r="D378" s="360" t="s">
        <v>619</v>
      </c>
      <c r="E378" s="360" t="s">
        <v>590</v>
      </c>
      <c r="F378" s="361" t="s">
        <v>591</v>
      </c>
      <c r="G378" s="360" t="s">
        <v>468</v>
      </c>
      <c r="H378" s="361"/>
      <c r="I378" s="361"/>
      <c r="J378" s="361" t="s">
        <v>620</v>
      </c>
      <c r="K378" s="363"/>
      <c r="L378" s="360"/>
      <c r="M378" s="360"/>
      <c r="N378" s="361"/>
      <c r="O378" s="361"/>
      <c r="P378" s="361"/>
      <c r="Q378" s="361"/>
      <c r="R378" s="362"/>
      <c r="S378" s="361"/>
      <c r="T378" s="360" t="s">
        <v>132</v>
      </c>
    </row>
    <row r="379" ht="34.5">
      <c r="A379" s="360" t="s">
        <v>125</v>
      </c>
      <c r="B379" s="360" t="s">
        <v>126</v>
      </c>
      <c r="C379" s="360" t="s">
        <v>615</v>
      </c>
      <c r="D379" s="360" t="s">
        <v>128</v>
      </c>
      <c r="E379" s="360" t="s">
        <v>621</v>
      </c>
      <c r="F379" s="361" t="s">
        <v>622</v>
      </c>
      <c r="G379" s="360" t="s">
        <v>523</v>
      </c>
      <c r="H379" s="361"/>
      <c r="I379" s="361"/>
      <c r="J379" s="361" t="s">
        <v>623</v>
      </c>
      <c r="K379" s="363"/>
      <c r="L379" s="360"/>
      <c r="M379" s="360"/>
      <c r="N379" s="361"/>
      <c r="O379" s="361"/>
      <c r="P379" s="361"/>
      <c r="Q379" s="361"/>
      <c r="R379" s="362"/>
      <c r="S379" s="361"/>
      <c r="T379" s="360" t="s">
        <v>132</v>
      </c>
    </row>
    <row r="380" ht="34.5">
      <c r="A380" s="360" t="s">
        <v>125</v>
      </c>
      <c r="B380" s="360" t="s">
        <v>126</v>
      </c>
      <c r="C380" s="360" t="s">
        <v>615</v>
      </c>
      <c r="D380" s="360" t="s">
        <v>624</v>
      </c>
      <c r="E380" s="360" t="s">
        <v>621</v>
      </c>
      <c r="F380" s="361" t="s">
        <v>622</v>
      </c>
      <c r="G380" s="360" t="s">
        <v>523</v>
      </c>
      <c r="H380" s="361"/>
      <c r="I380" s="361"/>
      <c r="J380" s="361" t="s">
        <v>625</v>
      </c>
      <c r="K380" s="363"/>
      <c r="L380" s="360"/>
      <c r="M380" s="360"/>
      <c r="N380" s="361"/>
      <c r="O380" s="361"/>
      <c r="P380" s="361"/>
      <c r="Q380" s="361"/>
      <c r="R380" s="362"/>
      <c r="S380" s="361"/>
      <c r="T380" s="360" t="s">
        <v>132</v>
      </c>
    </row>
    <row r="381" ht="34.5">
      <c r="A381" s="360" t="s">
        <v>125</v>
      </c>
      <c r="B381" s="360" t="s">
        <v>126</v>
      </c>
      <c r="C381" s="360" t="s">
        <v>615</v>
      </c>
      <c r="D381" s="360" t="s">
        <v>128</v>
      </c>
      <c r="E381" s="360" t="s">
        <v>626</v>
      </c>
      <c r="F381" s="361" t="s">
        <v>627</v>
      </c>
      <c r="G381" s="360" t="s">
        <v>523</v>
      </c>
      <c r="H381" s="361"/>
      <c r="I381" s="361"/>
      <c r="J381" s="361" t="s">
        <v>628</v>
      </c>
      <c r="K381" s="363"/>
      <c r="L381" s="360"/>
      <c r="M381" s="360"/>
      <c r="N381" s="361"/>
      <c r="O381" s="361"/>
      <c r="P381" s="361"/>
      <c r="Q381" s="361"/>
      <c r="R381" s="362"/>
      <c r="S381" s="361"/>
      <c r="T381" s="360" t="s">
        <v>132</v>
      </c>
    </row>
    <row r="382" ht="34.5">
      <c r="A382" s="360" t="s">
        <v>125</v>
      </c>
      <c r="B382" s="360" t="s">
        <v>126</v>
      </c>
      <c r="C382" s="360" t="s">
        <v>615</v>
      </c>
      <c r="D382" s="360" t="s">
        <v>629</v>
      </c>
      <c r="E382" s="360" t="s">
        <v>626</v>
      </c>
      <c r="F382" s="361" t="s">
        <v>627</v>
      </c>
      <c r="G382" s="360" t="s">
        <v>523</v>
      </c>
      <c r="H382" s="361"/>
      <c r="I382" s="361"/>
      <c r="J382" s="361" t="s">
        <v>630</v>
      </c>
      <c r="K382" s="363"/>
      <c r="L382" s="360"/>
      <c r="M382" s="360"/>
      <c r="N382" s="361"/>
      <c r="O382" s="361"/>
      <c r="P382" s="361"/>
      <c r="Q382" s="361"/>
      <c r="R382" s="362"/>
      <c r="S382" s="361"/>
      <c r="T382" s="360" t="s">
        <v>132</v>
      </c>
    </row>
    <row r="383" ht="34.5">
      <c r="A383" s="360" t="s">
        <v>125</v>
      </c>
      <c r="B383" s="360" t="s">
        <v>126</v>
      </c>
      <c r="C383" s="360" t="s">
        <v>615</v>
      </c>
      <c r="D383" s="360" t="s">
        <v>128</v>
      </c>
      <c r="E383" s="360" t="s">
        <v>626</v>
      </c>
      <c r="F383" s="361" t="s">
        <v>627</v>
      </c>
      <c r="G383" s="360" t="s">
        <v>523</v>
      </c>
      <c r="H383" s="361"/>
      <c r="I383" s="361"/>
      <c r="J383" s="361" t="s">
        <v>631</v>
      </c>
      <c r="K383" s="363"/>
      <c r="L383" s="360"/>
      <c r="M383" s="360"/>
      <c r="N383" s="361"/>
      <c r="O383" s="361"/>
      <c r="P383" s="361"/>
      <c r="Q383" s="361"/>
      <c r="R383" s="362"/>
      <c r="S383" s="361"/>
      <c r="T383" s="360" t="s">
        <v>132</v>
      </c>
    </row>
    <row r="384" ht="34.5">
      <c r="A384" s="360" t="s">
        <v>125</v>
      </c>
      <c r="B384" s="360" t="s">
        <v>126</v>
      </c>
      <c r="C384" s="360" t="s">
        <v>632</v>
      </c>
      <c r="D384" s="360" t="s">
        <v>128</v>
      </c>
      <c r="E384" s="360" t="s">
        <v>633</v>
      </c>
      <c r="F384" s="361" t="s">
        <v>634</v>
      </c>
      <c r="G384" s="360" t="s">
        <v>635</v>
      </c>
      <c r="H384" s="361"/>
      <c r="I384" s="361"/>
      <c r="J384" s="361" t="s">
        <v>636</v>
      </c>
      <c r="K384" s="363"/>
      <c r="L384" s="360"/>
      <c r="M384" s="360"/>
      <c r="N384" s="361"/>
      <c r="O384" s="361"/>
      <c r="P384" s="361"/>
      <c r="Q384" s="361"/>
      <c r="R384" s="362"/>
      <c r="S384" s="361"/>
      <c r="T384" s="360" t="s">
        <v>132</v>
      </c>
    </row>
    <row r="385" ht="34.5">
      <c r="A385" s="360" t="s">
        <v>125</v>
      </c>
      <c r="B385" s="360" t="s">
        <v>126</v>
      </c>
      <c r="C385" s="360" t="s">
        <v>632</v>
      </c>
      <c r="D385" s="360" t="s">
        <v>637</v>
      </c>
      <c r="E385" s="360" t="s">
        <v>633</v>
      </c>
      <c r="F385" s="361" t="s">
        <v>634</v>
      </c>
      <c r="G385" s="360" t="s">
        <v>635</v>
      </c>
      <c r="H385" s="361"/>
      <c r="I385" s="361"/>
      <c r="J385" s="361" t="s">
        <v>638</v>
      </c>
      <c r="K385" s="363"/>
      <c r="L385" s="360"/>
      <c r="M385" s="360"/>
      <c r="N385" s="361"/>
      <c r="O385" s="361"/>
      <c r="P385" s="361"/>
      <c r="Q385" s="361"/>
      <c r="R385" s="362"/>
      <c r="S385" s="361"/>
      <c r="T385" s="360" t="s">
        <v>132</v>
      </c>
    </row>
    <row r="386" ht="34.5">
      <c r="A386" s="360" t="s">
        <v>125</v>
      </c>
      <c r="B386" s="360" t="s">
        <v>126</v>
      </c>
      <c r="C386" s="360" t="s">
        <v>632</v>
      </c>
      <c r="D386" s="360" t="s">
        <v>128</v>
      </c>
      <c r="E386" s="360" t="s">
        <v>633</v>
      </c>
      <c r="F386" s="361" t="s">
        <v>634</v>
      </c>
      <c r="G386" s="360" t="s">
        <v>635</v>
      </c>
      <c r="H386" s="361"/>
      <c r="I386" s="361"/>
      <c r="J386" s="361" t="s">
        <v>639</v>
      </c>
      <c r="K386" s="363"/>
      <c r="L386" s="360"/>
      <c r="M386" s="360"/>
      <c r="N386" s="361"/>
      <c r="O386" s="361"/>
      <c r="P386" s="361"/>
      <c r="Q386" s="361"/>
      <c r="R386" s="362"/>
      <c r="S386" s="361"/>
      <c r="T386" s="360" t="s">
        <v>132</v>
      </c>
    </row>
    <row r="387" ht="34.5">
      <c r="A387" s="360" t="s">
        <v>125</v>
      </c>
      <c r="B387" s="360" t="s">
        <v>126</v>
      </c>
      <c r="C387" s="360" t="s">
        <v>632</v>
      </c>
      <c r="D387" s="360" t="s">
        <v>640</v>
      </c>
      <c r="E387" s="360" t="s">
        <v>633</v>
      </c>
      <c r="F387" s="361" t="s">
        <v>634</v>
      </c>
      <c r="G387" s="360" t="s">
        <v>635</v>
      </c>
      <c r="H387" s="361"/>
      <c r="I387" s="361"/>
      <c r="J387" s="361" t="s">
        <v>641</v>
      </c>
      <c r="K387" s="363"/>
      <c r="L387" s="360"/>
      <c r="M387" s="360"/>
      <c r="N387" s="361"/>
      <c r="O387" s="361"/>
      <c r="P387" s="361"/>
      <c r="Q387" s="361"/>
      <c r="R387" s="362"/>
      <c r="S387" s="361"/>
      <c r="T387" s="360" t="s">
        <v>132</v>
      </c>
    </row>
    <row r="388" ht="34.5">
      <c r="A388" s="360" t="s">
        <v>125</v>
      </c>
      <c r="B388" s="360" t="s">
        <v>126</v>
      </c>
      <c r="C388" s="360" t="s">
        <v>632</v>
      </c>
      <c r="D388" s="360" t="s">
        <v>128</v>
      </c>
      <c r="E388" s="360" t="s">
        <v>633</v>
      </c>
      <c r="F388" s="361" t="s">
        <v>634</v>
      </c>
      <c r="G388" s="360" t="s">
        <v>635</v>
      </c>
      <c r="H388" s="361"/>
      <c r="I388" s="361"/>
      <c r="J388" s="361" t="s">
        <v>642</v>
      </c>
      <c r="K388" s="363"/>
      <c r="L388" s="360"/>
      <c r="M388" s="360"/>
      <c r="N388" s="361"/>
      <c r="O388" s="361"/>
      <c r="P388" s="361"/>
      <c r="Q388" s="361"/>
      <c r="R388" s="362"/>
      <c r="S388" s="361"/>
      <c r="T388" s="360" t="s">
        <v>132</v>
      </c>
    </row>
    <row r="389" ht="34.5">
      <c r="A389" s="360" t="s">
        <v>125</v>
      </c>
      <c r="B389" s="360" t="s">
        <v>126</v>
      </c>
      <c r="C389" s="360" t="s">
        <v>632</v>
      </c>
      <c r="D389" s="360" t="s">
        <v>643</v>
      </c>
      <c r="E389" s="360" t="s">
        <v>633</v>
      </c>
      <c r="F389" s="361" t="s">
        <v>634</v>
      </c>
      <c r="G389" s="360" t="s">
        <v>635</v>
      </c>
      <c r="H389" s="361"/>
      <c r="I389" s="361"/>
      <c r="J389" s="361" t="s">
        <v>644</v>
      </c>
      <c r="K389" s="363"/>
      <c r="L389" s="360"/>
      <c r="M389" s="360"/>
      <c r="N389" s="361"/>
      <c r="O389" s="361"/>
      <c r="P389" s="361"/>
      <c r="Q389" s="361"/>
      <c r="R389" s="362"/>
      <c r="S389" s="361"/>
      <c r="T389" s="360" t="s">
        <v>132</v>
      </c>
    </row>
    <row r="390" ht="34.5">
      <c r="A390" s="360" t="s">
        <v>125</v>
      </c>
      <c r="B390" s="360" t="s">
        <v>126</v>
      </c>
      <c r="C390" s="360" t="s">
        <v>632</v>
      </c>
      <c r="D390" s="360" t="s">
        <v>128</v>
      </c>
      <c r="E390" s="360" t="s">
        <v>645</v>
      </c>
      <c r="F390" s="361" t="s">
        <v>646</v>
      </c>
      <c r="G390" s="360" t="s">
        <v>647</v>
      </c>
      <c r="H390" s="361"/>
      <c r="I390" s="361"/>
      <c r="J390" s="361" t="s">
        <v>648</v>
      </c>
      <c r="K390" s="363"/>
      <c r="L390" s="360"/>
      <c r="M390" s="360"/>
      <c r="N390" s="361"/>
      <c r="O390" s="361"/>
      <c r="P390" s="361"/>
      <c r="Q390" s="361"/>
      <c r="R390" s="362"/>
      <c r="S390" s="361"/>
      <c r="T390" s="360" t="s">
        <v>132</v>
      </c>
    </row>
    <row r="391" ht="34.5">
      <c r="A391" s="360" t="s">
        <v>125</v>
      </c>
      <c r="B391" s="360" t="s">
        <v>126</v>
      </c>
      <c r="C391" s="360" t="s">
        <v>632</v>
      </c>
      <c r="D391" s="360" t="s">
        <v>128</v>
      </c>
      <c r="E391" s="360" t="s">
        <v>645</v>
      </c>
      <c r="F391" s="361" t="s">
        <v>646</v>
      </c>
      <c r="G391" s="360" t="s">
        <v>647</v>
      </c>
      <c r="H391" s="361"/>
      <c r="I391" s="361"/>
      <c r="J391" s="361" t="s">
        <v>649</v>
      </c>
      <c r="K391" s="363"/>
      <c r="L391" s="360"/>
      <c r="M391" s="360"/>
      <c r="N391" s="361"/>
      <c r="O391" s="361"/>
      <c r="P391" s="361"/>
      <c r="Q391" s="361"/>
      <c r="R391" s="362"/>
      <c r="S391" s="361"/>
      <c r="T391" s="360" t="s">
        <v>132</v>
      </c>
    </row>
    <row r="392" ht="34.5">
      <c r="A392" s="360" t="s">
        <v>125</v>
      </c>
      <c r="B392" s="360" t="s">
        <v>126</v>
      </c>
      <c r="C392" s="360" t="s">
        <v>650</v>
      </c>
      <c r="D392" s="360" t="s">
        <v>128</v>
      </c>
      <c r="E392" s="360" t="s">
        <v>645</v>
      </c>
      <c r="F392" s="361" t="s">
        <v>646</v>
      </c>
      <c r="G392" s="360" t="s">
        <v>647</v>
      </c>
      <c r="H392" s="361"/>
      <c r="I392" s="361"/>
      <c r="J392" s="361" t="s">
        <v>651</v>
      </c>
      <c r="K392" s="363"/>
      <c r="L392" s="360"/>
      <c r="M392" s="360"/>
      <c r="N392" s="361"/>
      <c r="O392" s="361"/>
      <c r="P392" s="361"/>
      <c r="Q392" s="361"/>
      <c r="R392" s="362"/>
      <c r="S392" s="361"/>
      <c r="T392" s="360" t="s">
        <v>132</v>
      </c>
    </row>
    <row r="393" ht="34.5">
      <c r="A393" s="360" t="s">
        <v>125</v>
      </c>
      <c r="B393" s="360" t="s">
        <v>126</v>
      </c>
      <c r="C393" s="360" t="s">
        <v>650</v>
      </c>
      <c r="D393" s="360" t="s">
        <v>652</v>
      </c>
      <c r="E393" s="360" t="s">
        <v>645</v>
      </c>
      <c r="F393" s="361" t="s">
        <v>646</v>
      </c>
      <c r="G393" s="360" t="s">
        <v>647</v>
      </c>
      <c r="H393" s="361"/>
      <c r="I393" s="361"/>
      <c r="J393" s="361" t="s">
        <v>653</v>
      </c>
      <c r="K393" s="363"/>
      <c r="L393" s="360"/>
      <c r="M393" s="360"/>
      <c r="N393" s="361"/>
      <c r="O393" s="361"/>
      <c r="P393" s="361"/>
      <c r="Q393" s="361"/>
      <c r="R393" s="362"/>
      <c r="S393" s="361"/>
      <c r="T393" s="360" t="s">
        <v>132</v>
      </c>
    </row>
    <row r="394" ht="34.5">
      <c r="A394" s="360" t="s">
        <v>125</v>
      </c>
      <c r="B394" s="360" t="s">
        <v>126</v>
      </c>
      <c r="C394" s="360" t="s">
        <v>650</v>
      </c>
      <c r="D394" s="360" t="s">
        <v>128</v>
      </c>
      <c r="E394" s="360" t="s">
        <v>645</v>
      </c>
      <c r="F394" s="361" t="s">
        <v>646</v>
      </c>
      <c r="G394" s="360" t="s">
        <v>647</v>
      </c>
      <c r="H394" s="361"/>
      <c r="I394" s="361"/>
      <c r="J394" s="361" t="s">
        <v>654</v>
      </c>
      <c r="K394" s="363"/>
      <c r="L394" s="360"/>
      <c r="M394" s="360"/>
      <c r="N394" s="361"/>
      <c r="O394" s="361"/>
      <c r="P394" s="361"/>
      <c r="Q394" s="361"/>
      <c r="R394" s="362"/>
      <c r="S394" s="361"/>
      <c r="T394" s="360" t="s">
        <v>132</v>
      </c>
    </row>
    <row r="395" ht="34.5">
      <c r="A395" s="360" t="s">
        <v>125</v>
      </c>
      <c r="B395" s="360" t="s">
        <v>126</v>
      </c>
      <c r="C395" s="360" t="s">
        <v>650</v>
      </c>
      <c r="D395" s="360" t="s">
        <v>655</v>
      </c>
      <c r="E395" s="360" t="s">
        <v>645</v>
      </c>
      <c r="F395" s="361" t="s">
        <v>646</v>
      </c>
      <c r="G395" s="360" t="s">
        <v>647</v>
      </c>
      <c r="H395" s="361"/>
      <c r="I395" s="361"/>
      <c r="J395" s="361" t="s">
        <v>656</v>
      </c>
      <c r="K395" s="363"/>
      <c r="L395" s="360"/>
      <c r="M395" s="360"/>
      <c r="N395" s="361"/>
      <c r="O395" s="361"/>
      <c r="P395" s="361"/>
      <c r="Q395" s="361"/>
      <c r="R395" s="362"/>
      <c r="S395" s="361"/>
      <c r="T395" s="360" t="s">
        <v>132</v>
      </c>
    </row>
    <row r="396" ht="34.5">
      <c r="A396" s="360" t="s">
        <v>125</v>
      </c>
      <c r="B396" s="360" t="s">
        <v>126</v>
      </c>
      <c r="C396" s="360" t="s">
        <v>650</v>
      </c>
      <c r="D396" s="360" t="s">
        <v>128</v>
      </c>
      <c r="E396" s="360" t="s">
        <v>645</v>
      </c>
      <c r="F396" s="361" t="s">
        <v>646</v>
      </c>
      <c r="G396" s="360" t="s">
        <v>647</v>
      </c>
      <c r="H396" s="361"/>
      <c r="I396" s="361"/>
      <c r="J396" s="361" t="s">
        <v>657</v>
      </c>
      <c r="K396" s="363"/>
      <c r="L396" s="360"/>
      <c r="M396" s="360"/>
      <c r="N396" s="361"/>
      <c r="O396" s="361"/>
      <c r="P396" s="361"/>
      <c r="Q396" s="361"/>
      <c r="R396" s="362"/>
      <c r="S396" s="361"/>
      <c r="T396" s="360" t="s">
        <v>132</v>
      </c>
    </row>
    <row r="397" ht="34.5">
      <c r="A397" s="360" t="s">
        <v>125</v>
      </c>
      <c r="B397" s="360" t="s">
        <v>126</v>
      </c>
      <c r="C397" s="360" t="s">
        <v>650</v>
      </c>
      <c r="D397" s="360" t="s">
        <v>658</v>
      </c>
      <c r="E397" s="360" t="s">
        <v>645</v>
      </c>
      <c r="F397" s="361" t="s">
        <v>646</v>
      </c>
      <c r="G397" s="360" t="s">
        <v>647</v>
      </c>
      <c r="H397" s="361"/>
      <c r="I397" s="361"/>
      <c r="J397" s="361" t="s">
        <v>659</v>
      </c>
      <c r="K397" s="363"/>
      <c r="L397" s="360"/>
      <c r="M397" s="360"/>
      <c r="N397" s="361"/>
      <c r="O397" s="361"/>
      <c r="P397" s="361"/>
      <c r="Q397" s="361"/>
      <c r="R397" s="362"/>
      <c r="S397" s="361"/>
      <c r="T397" s="360" t="s">
        <v>132</v>
      </c>
    </row>
    <row r="398" ht="34.5">
      <c r="A398" s="360" t="s">
        <v>125</v>
      </c>
      <c r="B398" s="360" t="s">
        <v>126</v>
      </c>
      <c r="C398" s="360" t="s">
        <v>650</v>
      </c>
      <c r="D398" s="360" t="s">
        <v>128</v>
      </c>
      <c r="E398" s="360" t="s">
        <v>645</v>
      </c>
      <c r="F398" s="361" t="s">
        <v>646</v>
      </c>
      <c r="G398" s="360" t="s">
        <v>647</v>
      </c>
      <c r="H398" s="361"/>
      <c r="I398" s="361"/>
      <c r="J398" s="361" t="s">
        <v>660</v>
      </c>
      <c r="K398" s="363"/>
      <c r="L398" s="360"/>
      <c r="M398" s="360"/>
      <c r="N398" s="361"/>
      <c r="O398" s="361"/>
      <c r="P398" s="361"/>
      <c r="Q398" s="361"/>
      <c r="R398" s="362"/>
      <c r="S398" s="361"/>
      <c r="T398" s="360" t="s">
        <v>132</v>
      </c>
    </row>
    <row r="399" ht="34.5">
      <c r="A399" s="360" t="s">
        <v>125</v>
      </c>
      <c r="B399" s="360" t="s">
        <v>126</v>
      </c>
      <c r="C399" s="360" t="s">
        <v>661</v>
      </c>
      <c r="D399" s="360" t="s">
        <v>128</v>
      </c>
      <c r="E399" s="360" t="s">
        <v>662</v>
      </c>
      <c r="F399" s="361" t="s">
        <v>663</v>
      </c>
      <c r="G399" s="360" t="s">
        <v>531</v>
      </c>
      <c r="H399" s="361"/>
      <c r="I399" s="361"/>
      <c r="J399" s="361" t="s">
        <v>664</v>
      </c>
      <c r="K399" s="363"/>
      <c r="L399" s="360"/>
      <c r="M399" s="360"/>
      <c r="N399" s="361"/>
      <c r="O399" s="361"/>
      <c r="P399" s="361"/>
      <c r="Q399" s="361"/>
      <c r="R399" s="362"/>
      <c r="S399" s="361"/>
      <c r="T399" s="360" t="s">
        <v>132</v>
      </c>
    </row>
    <row r="400" ht="34.5">
      <c r="A400" s="360" t="s">
        <v>125</v>
      </c>
      <c r="B400" s="360" t="s">
        <v>126</v>
      </c>
      <c r="C400" s="360" t="s">
        <v>661</v>
      </c>
      <c r="D400" s="360" t="s">
        <v>665</v>
      </c>
      <c r="E400" s="360" t="s">
        <v>662</v>
      </c>
      <c r="F400" s="361" t="s">
        <v>663</v>
      </c>
      <c r="G400" s="360" t="s">
        <v>531</v>
      </c>
      <c r="H400" s="361"/>
      <c r="I400" s="361"/>
      <c r="J400" s="361" t="s">
        <v>666</v>
      </c>
      <c r="K400" s="363"/>
      <c r="L400" s="360"/>
      <c r="M400" s="360"/>
      <c r="N400" s="361"/>
      <c r="O400" s="361"/>
      <c r="P400" s="361"/>
      <c r="Q400" s="361"/>
      <c r="R400" s="362"/>
      <c r="S400" s="361"/>
      <c r="T400" s="360" t="s">
        <v>132</v>
      </c>
    </row>
    <row r="401" ht="34.5">
      <c r="A401" s="360" t="s">
        <v>125</v>
      </c>
      <c r="B401" s="360" t="s">
        <v>126</v>
      </c>
      <c r="C401" s="360" t="s">
        <v>667</v>
      </c>
      <c r="D401" s="360" t="s">
        <v>128</v>
      </c>
      <c r="E401" s="360" t="s">
        <v>662</v>
      </c>
      <c r="F401" s="361" t="s">
        <v>663</v>
      </c>
      <c r="G401" s="360" t="s">
        <v>531</v>
      </c>
      <c r="H401" s="361"/>
      <c r="I401" s="361"/>
      <c r="J401" s="361" t="s">
        <v>668</v>
      </c>
      <c r="K401" s="363"/>
      <c r="L401" s="360"/>
      <c r="M401" s="360"/>
      <c r="N401" s="361"/>
      <c r="O401" s="361"/>
      <c r="P401" s="361"/>
      <c r="Q401" s="361"/>
      <c r="R401" s="362"/>
      <c r="S401" s="361"/>
      <c r="T401" s="360" t="s">
        <v>132</v>
      </c>
    </row>
    <row r="402" ht="34.5">
      <c r="A402" s="360" t="s">
        <v>125</v>
      </c>
      <c r="B402" s="360" t="s">
        <v>126</v>
      </c>
      <c r="C402" s="360" t="s">
        <v>667</v>
      </c>
      <c r="D402" s="360" t="s">
        <v>128</v>
      </c>
      <c r="E402" s="360" t="s">
        <v>662</v>
      </c>
      <c r="F402" s="361" t="s">
        <v>663</v>
      </c>
      <c r="G402" s="360" t="s">
        <v>531</v>
      </c>
      <c r="H402" s="361"/>
      <c r="I402" s="361"/>
      <c r="J402" s="361" t="s">
        <v>669</v>
      </c>
      <c r="K402" s="363"/>
      <c r="L402" s="360"/>
      <c r="M402" s="360"/>
      <c r="N402" s="361"/>
      <c r="O402" s="361"/>
      <c r="P402" s="361"/>
      <c r="Q402" s="361"/>
      <c r="R402" s="362"/>
      <c r="S402" s="361"/>
      <c r="T402" s="360" t="s">
        <v>132</v>
      </c>
    </row>
    <row r="403" ht="34.5">
      <c r="A403" s="360" t="s">
        <v>125</v>
      </c>
      <c r="B403" s="360" t="s">
        <v>126</v>
      </c>
      <c r="C403" s="360" t="s">
        <v>667</v>
      </c>
      <c r="D403" s="360" t="s">
        <v>128</v>
      </c>
      <c r="E403" s="360" t="s">
        <v>662</v>
      </c>
      <c r="F403" s="361" t="s">
        <v>663</v>
      </c>
      <c r="G403" s="360" t="s">
        <v>531</v>
      </c>
      <c r="H403" s="361"/>
      <c r="I403" s="361"/>
      <c r="J403" s="361" t="s">
        <v>670</v>
      </c>
      <c r="K403" s="363"/>
      <c r="L403" s="360"/>
      <c r="M403" s="360"/>
      <c r="N403" s="361"/>
      <c r="O403" s="361"/>
      <c r="P403" s="361"/>
      <c r="Q403" s="361"/>
      <c r="R403" s="362"/>
      <c r="S403" s="361"/>
      <c r="T403" s="360" t="s">
        <v>132</v>
      </c>
    </row>
    <row r="404" ht="34.5">
      <c r="A404" s="360" t="s">
        <v>125</v>
      </c>
      <c r="B404" s="360" t="s">
        <v>126</v>
      </c>
      <c r="C404" s="360" t="s">
        <v>667</v>
      </c>
      <c r="D404" s="360" t="s">
        <v>128</v>
      </c>
      <c r="E404" s="360" t="s">
        <v>662</v>
      </c>
      <c r="F404" s="361" t="s">
        <v>663</v>
      </c>
      <c r="G404" s="360" t="s">
        <v>531</v>
      </c>
      <c r="H404" s="361"/>
      <c r="I404" s="361"/>
      <c r="J404" s="361" t="s">
        <v>671</v>
      </c>
      <c r="K404" s="363"/>
      <c r="L404" s="360"/>
      <c r="M404" s="360"/>
      <c r="N404" s="361"/>
      <c r="O404" s="361"/>
      <c r="P404" s="361"/>
      <c r="Q404" s="361"/>
      <c r="R404" s="362"/>
      <c r="S404" s="361"/>
      <c r="T404" s="360" t="s">
        <v>132</v>
      </c>
    </row>
    <row r="405" ht="34.5">
      <c r="A405" s="360" t="s">
        <v>125</v>
      </c>
      <c r="B405" s="360" t="s">
        <v>126</v>
      </c>
      <c r="C405" s="360" t="s">
        <v>672</v>
      </c>
      <c r="D405" s="360" t="s">
        <v>673</v>
      </c>
      <c r="E405" s="360" t="s">
        <v>662</v>
      </c>
      <c r="F405" s="361" t="s">
        <v>663</v>
      </c>
      <c r="G405" s="360" t="s">
        <v>531</v>
      </c>
      <c r="H405" s="361"/>
      <c r="I405" s="361"/>
      <c r="J405" s="361" t="s">
        <v>674</v>
      </c>
      <c r="K405" s="363"/>
      <c r="L405" s="360"/>
      <c r="M405" s="360"/>
      <c r="N405" s="361"/>
      <c r="O405" s="361"/>
      <c r="P405" s="361"/>
      <c r="Q405" s="361"/>
      <c r="R405" s="362"/>
      <c r="S405" s="361"/>
      <c r="T405" s="360" t="s">
        <v>132</v>
      </c>
    </row>
    <row r="406" ht="34.5">
      <c r="A406" s="360" t="s">
        <v>125</v>
      </c>
      <c r="B406" s="360" t="s">
        <v>126</v>
      </c>
      <c r="C406" s="360" t="s">
        <v>675</v>
      </c>
      <c r="D406" s="360" t="s">
        <v>128</v>
      </c>
      <c r="E406" s="360" t="s">
        <v>662</v>
      </c>
      <c r="F406" s="361" t="s">
        <v>663</v>
      </c>
      <c r="G406" s="360" t="s">
        <v>531</v>
      </c>
      <c r="H406" s="361"/>
      <c r="I406" s="361"/>
      <c r="J406" s="361" t="s">
        <v>676</v>
      </c>
      <c r="K406" s="363"/>
      <c r="L406" s="360"/>
      <c r="M406" s="360"/>
      <c r="N406" s="361"/>
      <c r="O406" s="361"/>
      <c r="P406" s="361"/>
      <c r="Q406" s="361"/>
      <c r="R406" s="362"/>
      <c r="S406" s="361"/>
      <c r="T406" s="360" t="s">
        <v>132</v>
      </c>
    </row>
    <row r="407" ht="34.5">
      <c r="A407" s="360" t="s">
        <v>125</v>
      </c>
      <c r="B407" s="360" t="s">
        <v>126</v>
      </c>
      <c r="C407" s="360" t="s">
        <v>675</v>
      </c>
      <c r="D407" s="360" t="s">
        <v>128</v>
      </c>
      <c r="E407" s="360" t="s">
        <v>662</v>
      </c>
      <c r="F407" s="361" t="s">
        <v>663</v>
      </c>
      <c r="G407" s="360" t="s">
        <v>531</v>
      </c>
      <c r="H407" s="361"/>
      <c r="I407" s="361"/>
      <c r="J407" s="361" t="s">
        <v>677</v>
      </c>
      <c r="K407" s="363"/>
      <c r="L407" s="360"/>
      <c r="M407" s="360"/>
      <c r="N407" s="361"/>
      <c r="O407" s="361"/>
      <c r="P407" s="361"/>
      <c r="Q407" s="361"/>
      <c r="R407" s="362"/>
      <c r="S407" s="361"/>
      <c r="T407" s="360" t="s">
        <v>132</v>
      </c>
    </row>
    <row r="408" ht="34.5">
      <c r="A408" s="360" t="s">
        <v>125</v>
      </c>
      <c r="B408" s="360" t="s">
        <v>126</v>
      </c>
      <c r="C408" s="360" t="s">
        <v>675</v>
      </c>
      <c r="D408" s="360" t="s">
        <v>128</v>
      </c>
      <c r="E408" s="360" t="s">
        <v>662</v>
      </c>
      <c r="F408" s="361" t="s">
        <v>663</v>
      </c>
      <c r="G408" s="360" t="s">
        <v>531</v>
      </c>
      <c r="H408" s="361"/>
      <c r="I408" s="361"/>
      <c r="J408" s="361" t="s">
        <v>678</v>
      </c>
      <c r="K408" s="363"/>
      <c r="L408" s="360"/>
      <c r="M408" s="360"/>
      <c r="N408" s="361"/>
      <c r="O408" s="361"/>
      <c r="P408" s="361"/>
      <c r="Q408" s="361"/>
      <c r="R408" s="362"/>
      <c r="S408" s="361"/>
      <c r="T408" s="360" t="s">
        <v>132</v>
      </c>
    </row>
    <row r="409" ht="34.5">
      <c r="A409" s="360" t="s">
        <v>125</v>
      </c>
      <c r="B409" s="360" t="s">
        <v>126</v>
      </c>
      <c r="C409" s="360" t="s">
        <v>675</v>
      </c>
      <c r="D409" s="360" t="s">
        <v>128</v>
      </c>
      <c r="E409" s="360" t="s">
        <v>662</v>
      </c>
      <c r="F409" s="361" t="s">
        <v>663</v>
      </c>
      <c r="G409" s="360" t="s">
        <v>531</v>
      </c>
      <c r="H409" s="361"/>
      <c r="I409" s="361"/>
      <c r="J409" s="361" t="s">
        <v>679</v>
      </c>
      <c r="K409" s="363"/>
      <c r="L409" s="360"/>
      <c r="M409" s="360"/>
      <c r="N409" s="361"/>
      <c r="O409" s="361"/>
      <c r="P409" s="361"/>
      <c r="Q409" s="361"/>
      <c r="R409" s="362"/>
      <c r="S409" s="361"/>
      <c r="T409" s="360" t="s">
        <v>132</v>
      </c>
    </row>
    <row r="410" ht="34.5">
      <c r="A410" s="360" t="s">
        <v>125</v>
      </c>
      <c r="B410" s="360" t="s">
        <v>126</v>
      </c>
      <c r="C410" s="360" t="s">
        <v>675</v>
      </c>
      <c r="D410" s="360" t="s">
        <v>128</v>
      </c>
      <c r="E410" s="360" t="s">
        <v>662</v>
      </c>
      <c r="F410" s="361" t="s">
        <v>663</v>
      </c>
      <c r="G410" s="360" t="s">
        <v>531</v>
      </c>
      <c r="H410" s="361"/>
      <c r="I410" s="361"/>
      <c r="J410" s="361" t="s">
        <v>680</v>
      </c>
      <c r="K410" s="363"/>
      <c r="L410" s="360"/>
      <c r="M410" s="360"/>
      <c r="N410" s="361"/>
      <c r="O410" s="361"/>
      <c r="P410" s="361"/>
      <c r="Q410" s="361"/>
      <c r="R410" s="362"/>
      <c r="S410" s="361"/>
      <c r="T410" s="360" t="s">
        <v>132</v>
      </c>
    </row>
    <row r="411" ht="34.5">
      <c r="A411" s="360" t="s">
        <v>125</v>
      </c>
      <c r="B411" s="360" t="s">
        <v>126</v>
      </c>
      <c r="C411" s="360" t="s">
        <v>681</v>
      </c>
      <c r="D411" s="360" t="s">
        <v>128</v>
      </c>
      <c r="E411" s="360" t="s">
        <v>662</v>
      </c>
      <c r="F411" s="361" t="s">
        <v>663</v>
      </c>
      <c r="G411" s="360" t="s">
        <v>531</v>
      </c>
      <c r="H411" s="361"/>
      <c r="I411" s="361"/>
      <c r="J411" s="361" t="s">
        <v>682</v>
      </c>
      <c r="K411" s="363"/>
      <c r="L411" s="360"/>
      <c r="M411" s="360"/>
      <c r="N411" s="361"/>
      <c r="O411" s="361"/>
      <c r="P411" s="361"/>
      <c r="Q411" s="361"/>
      <c r="R411" s="362"/>
      <c r="S411" s="361"/>
      <c r="T411" s="360" t="s">
        <v>132</v>
      </c>
    </row>
    <row r="412" ht="34.5">
      <c r="A412" s="360" t="s">
        <v>125</v>
      </c>
      <c r="B412" s="360" t="s">
        <v>126</v>
      </c>
      <c r="C412" s="360" t="s">
        <v>681</v>
      </c>
      <c r="D412" s="360" t="s">
        <v>128</v>
      </c>
      <c r="E412" s="360" t="s">
        <v>662</v>
      </c>
      <c r="F412" s="361" t="s">
        <v>663</v>
      </c>
      <c r="G412" s="360" t="s">
        <v>531</v>
      </c>
      <c r="H412" s="361"/>
      <c r="I412" s="361"/>
      <c r="J412" s="361" t="s">
        <v>683</v>
      </c>
      <c r="K412" s="363"/>
      <c r="L412" s="360"/>
      <c r="M412" s="360"/>
      <c r="N412" s="361"/>
      <c r="O412" s="361"/>
      <c r="P412" s="361"/>
      <c r="Q412" s="361"/>
      <c r="R412" s="362"/>
      <c r="S412" s="361"/>
      <c r="T412" s="360" t="s">
        <v>132</v>
      </c>
    </row>
    <row r="413" ht="34.5">
      <c r="A413" s="360" t="s">
        <v>125</v>
      </c>
      <c r="B413" s="360" t="s">
        <v>126</v>
      </c>
      <c r="C413" s="360" t="s">
        <v>681</v>
      </c>
      <c r="D413" s="360" t="s">
        <v>128</v>
      </c>
      <c r="E413" s="360" t="s">
        <v>662</v>
      </c>
      <c r="F413" s="361" t="s">
        <v>663</v>
      </c>
      <c r="G413" s="360" t="s">
        <v>531</v>
      </c>
      <c r="H413" s="361"/>
      <c r="I413" s="361"/>
      <c r="J413" s="361" t="s">
        <v>684</v>
      </c>
      <c r="K413" s="363"/>
      <c r="L413" s="360"/>
      <c r="M413" s="360"/>
      <c r="N413" s="361"/>
      <c r="O413" s="361"/>
      <c r="P413" s="361"/>
      <c r="Q413" s="361"/>
      <c r="R413" s="362"/>
      <c r="S413" s="361"/>
      <c r="T413" s="360" t="s">
        <v>132</v>
      </c>
    </row>
    <row r="414" ht="34.5">
      <c r="A414" s="360" t="s">
        <v>125</v>
      </c>
      <c r="B414" s="360" t="s">
        <v>126</v>
      </c>
      <c r="C414" s="360" t="s">
        <v>681</v>
      </c>
      <c r="D414" s="360" t="s">
        <v>128</v>
      </c>
      <c r="E414" s="360" t="s">
        <v>662</v>
      </c>
      <c r="F414" s="361" t="s">
        <v>663</v>
      </c>
      <c r="G414" s="360" t="s">
        <v>531</v>
      </c>
      <c r="H414" s="361"/>
      <c r="I414" s="361"/>
      <c r="J414" s="361" t="s">
        <v>685</v>
      </c>
      <c r="K414" s="363"/>
      <c r="L414" s="360"/>
      <c r="M414" s="360"/>
      <c r="N414" s="361"/>
      <c r="O414" s="361"/>
      <c r="P414" s="361"/>
      <c r="Q414" s="361"/>
      <c r="R414" s="362"/>
      <c r="S414" s="361"/>
      <c r="T414" s="360" t="s">
        <v>132</v>
      </c>
    </row>
    <row r="415" ht="34.5">
      <c r="A415" s="360" t="s">
        <v>125</v>
      </c>
      <c r="B415" s="360" t="s">
        <v>126</v>
      </c>
      <c r="C415" s="360" t="s">
        <v>681</v>
      </c>
      <c r="D415" s="360" t="s">
        <v>128</v>
      </c>
      <c r="E415" s="360" t="s">
        <v>662</v>
      </c>
      <c r="F415" s="361" t="s">
        <v>663</v>
      </c>
      <c r="G415" s="360" t="s">
        <v>531</v>
      </c>
      <c r="H415" s="361"/>
      <c r="I415" s="361"/>
      <c r="J415" s="361" t="s">
        <v>686</v>
      </c>
      <c r="K415" s="363"/>
      <c r="L415" s="360"/>
      <c r="M415" s="360"/>
      <c r="N415" s="361"/>
      <c r="O415" s="361"/>
      <c r="P415" s="361"/>
      <c r="Q415" s="361"/>
      <c r="R415" s="362"/>
      <c r="S415" s="361"/>
      <c r="T415" s="360" t="s">
        <v>132</v>
      </c>
    </row>
    <row r="416" ht="34.5">
      <c r="A416" s="360" t="s">
        <v>125</v>
      </c>
      <c r="B416" s="360" t="s">
        <v>126</v>
      </c>
      <c r="C416" s="360" t="s">
        <v>681</v>
      </c>
      <c r="D416" s="360" t="s">
        <v>128</v>
      </c>
      <c r="E416" s="360" t="s">
        <v>662</v>
      </c>
      <c r="F416" s="361" t="s">
        <v>663</v>
      </c>
      <c r="G416" s="360" t="s">
        <v>531</v>
      </c>
      <c r="H416" s="361"/>
      <c r="I416" s="361"/>
      <c r="J416" s="361" t="s">
        <v>687</v>
      </c>
      <c r="K416" s="363"/>
      <c r="L416" s="360"/>
      <c r="M416" s="360"/>
      <c r="N416" s="361"/>
      <c r="O416" s="361"/>
      <c r="P416" s="361"/>
      <c r="Q416" s="361"/>
      <c r="R416" s="362"/>
      <c r="S416" s="361"/>
      <c r="T416" s="360" t="s">
        <v>132</v>
      </c>
    </row>
    <row r="417" ht="34.5">
      <c r="A417" s="360" t="s">
        <v>125</v>
      </c>
      <c r="B417" s="360" t="s">
        <v>126</v>
      </c>
      <c r="C417" s="360" t="s">
        <v>681</v>
      </c>
      <c r="D417" s="360" t="s">
        <v>128</v>
      </c>
      <c r="E417" s="360" t="s">
        <v>662</v>
      </c>
      <c r="F417" s="361" t="s">
        <v>663</v>
      </c>
      <c r="G417" s="360" t="s">
        <v>531</v>
      </c>
      <c r="H417" s="361"/>
      <c r="I417" s="361"/>
      <c r="J417" s="361" t="s">
        <v>688</v>
      </c>
      <c r="K417" s="363"/>
      <c r="L417" s="360"/>
      <c r="M417" s="360"/>
      <c r="N417" s="361"/>
      <c r="O417" s="361"/>
      <c r="P417" s="361"/>
      <c r="Q417" s="361"/>
      <c r="R417" s="362"/>
      <c r="S417" s="361"/>
      <c r="T417" s="360" t="s">
        <v>132</v>
      </c>
    </row>
    <row r="418" ht="34.5">
      <c r="A418" s="360" t="s">
        <v>125</v>
      </c>
      <c r="B418" s="360" t="s">
        <v>126</v>
      </c>
      <c r="C418" s="360" t="s">
        <v>681</v>
      </c>
      <c r="D418" s="360" t="s">
        <v>128</v>
      </c>
      <c r="E418" s="360" t="s">
        <v>662</v>
      </c>
      <c r="F418" s="361" t="s">
        <v>663</v>
      </c>
      <c r="G418" s="360" t="s">
        <v>531</v>
      </c>
      <c r="H418" s="361"/>
      <c r="I418" s="361"/>
      <c r="J418" s="361" t="s">
        <v>689</v>
      </c>
      <c r="K418" s="363"/>
      <c r="L418" s="360"/>
      <c r="M418" s="360"/>
      <c r="N418" s="361"/>
      <c r="O418" s="361"/>
      <c r="P418" s="361"/>
      <c r="Q418" s="361"/>
      <c r="R418" s="362"/>
      <c r="S418" s="361"/>
      <c r="T418" s="360" t="s">
        <v>132</v>
      </c>
    </row>
    <row r="419" ht="34.5">
      <c r="A419" s="360" t="s">
        <v>125</v>
      </c>
      <c r="B419" s="360" t="s">
        <v>126</v>
      </c>
      <c r="C419" s="360" t="s">
        <v>681</v>
      </c>
      <c r="D419" s="360" t="s">
        <v>128</v>
      </c>
      <c r="E419" s="360" t="s">
        <v>662</v>
      </c>
      <c r="F419" s="361" t="s">
        <v>663</v>
      </c>
      <c r="G419" s="360" t="s">
        <v>531</v>
      </c>
      <c r="H419" s="361"/>
      <c r="I419" s="361"/>
      <c r="J419" s="361" t="s">
        <v>690</v>
      </c>
      <c r="K419" s="363"/>
      <c r="L419" s="360"/>
      <c r="M419" s="360"/>
      <c r="N419" s="361"/>
      <c r="O419" s="361"/>
      <c r="P419" s="361"/>
      <c r="Q419" s="361"/>
      <c r="R419" s="362"/>
      <c r="S419" s="361"/>
      <c r="T419" s="360" t="s">
        <v>132</v>
      </c>
    </row>
    <row r="420" ht="34.5">
      <c r="A420" s="360" t="s">
        <v>125</v>
      </c>
      <c r="B420" s="360" t="s">
        <v>126</v>
      </c>
      <c r="C420" s="360" t="s">
        <v>691</v>
      </c>
      <c r="D420" s="360" t="s">
        <v>128</v>
      </c>
      <c r="E420" s="360" t="s">
        <v>662</v>
      </c>
      <c r="F420" s="361" t="s">
        <v>663</v>
      </c>
      <c r="G420" s="360" t="s">
        <v>531</v>
      </c>
      <c r="H420" s="361"/>
      <c r="I420" s="361"/>
      <c r="J420" s="361" t="s">
        <v>692</v>
      </c>
      <c r="K420" s="363"/>
      <c r="L420" s="360"/>
      <c r="M420" s="360"/>
      <c r="N420" s="361"/>
      <c r="O420" s="361"/>
      <c r="P420" s="361"/>
      <c r="Q420" s="361"/>
      <c r="R420" s="362"/>
      <c r="S420" s="361"/>
      <c r="T420" s="360" t="s">
        <v>132</v>
      </c>
    </row>
    <row r="421" ht="34.5">
      <c r="A421" s="360" t="s">
        <v>125</v>
      </c>
      <c r="B421" s="360" t="s">
        <v>126</v>
      </c>
      <c r="C421" s="360" t="s">
        <v>691</v>
      </c>
      <c r="D421" s="360" t="s">
        <v>128</v>
      </c>
      <c r="E421" s="360" t="s">
        <v>662</v>
      </c>
      <c r="F421" s="361" t="s">
        <v>663</v>
      </c>
      <c r="G421" s="360" t="s">
        <v>531</v>
      </c>
      <c r="H421" s="361"/>
      <c r="I421" s="361"/>
      <c r="J421" s="361" t="s">
        <v>693</v>
      </c>
      <c r="K421" s="363"/>
      <c r="L421" s="360"/>
      <c r="M421" s="360"/>
      <c r="N421" s="361"/>
      <c r="O421" s="361"/>
      <c r="P421" s="361"/>
      <c r="Q421" s="361"/>
      <c r="R421" s="362"/>
      <c r="S421" s="361"/>
      <c r="T421" s="360" t="s">
        <v>132</v>
      </c>
    </row>
    <row r="422" ht="34.5">
      <c r="A422" s="360" t="s">
        <v>125</v>
      </c>
      <c r="B422" s="360" t="s">
        <v>126</v>
      </c>
      <c r="C422" s="360" t="s">
        <v>691</v>
      </c>
      <c r="D422" s="360" t="s">
        <v>128</v>
      </c>
      <c r="E422" s="360" t="s">
        <v>662</v>
      </c>
      <c r="F422" s="361" t="s">
        <v>663</v>
      </c>
      <c r="G422" s="360" t="s">
        <v>531</v>
      </c>
      <c r="H422" s="361"/>
      <c r="I422" s="361"/>
      <c r="J422" s="361" t="s">
        <v>694</v>
      </c>
      <c r="K422" s="363"/>
      <c r="L422" s="360"/>
      <c r="M422" s="360"/>
      <c r="N422" s="361"/>
      <c r="O422" s="361"/>
      <c r="P422" s="361"/>
      <c r="Q422" s="361"/>
      <c r="R422" s="362"/>
      <c r="S422" s="361"/>
      <c r="T422" s="360" t="s">
        <v>132</v>
      </c>
    </row>
    <row r="423" ht="34.5">
      <c r="A423" s="360" t="s">
        <v>125</v>
      </c>
      <c r="B423" s="360" t="s">
        <v>126</v>
      </c>
      <c r="C423" s="360" t="s">
        <v>691</v>
      </c>
      <c r="D423" s="360" t="s">
        <v>128</v>
      </c>
      <c r="E423" s="360" t="s">
        <v>662</v>
      </c>
      <c r="F423" s="361" t="s">
        <v>663</v>
      </c>
      <c r="G423" s="360" t="s">
        <v>531</v>
      </c>
      <c r="H423" s="361"/>
      <c r="I423" s="361"/>
      <c r="J423" s="361" t="s">
        <v>695</v>
      </c>
      <c r="K423" s="363"/>
      <c r="L423" s="360"/>
      <c r="M423" s="360"/>
      <c r="N423" s="361"/>
      <c r="O423" s="361"/>
      <c r="P423" s="361"/>
      <c r="Q423" s="361"/>
      <c r="R423" s="362"/>
      <c r="S423" s="361"/>
      <c r="T423" s="360" t="s">
        <v>132</v>
      </c>
    </row>
    <row r="424" ht="34.5">
      <c r="A424" s="360" t="s">
        <v>125</v>
      </c>
      <c r="B424" s="360" t="s">
        <v>126</v>
      </c>
      <c r="C424" s="360" t="s">
        <v>691</v>
      </c>
      <c r="D424" s="360" t="s">
        <v>128</v>
      </c>
      <c r="E424" s="360" t="s">
        <v>662</v>
      </c>
      <c r="F424" s="361" t="s">
        <v>663</v>
      </c>
      <c r="G424" s="360" t="s">
        <v>531</v>
      </c>
      <c r="H424" s="361"/>
      <c r="I424" s="361"/>
      <c r="J424" s="361" t="s">
        <v>696</v>
      </c>
      <c r="K424" s="363"/>
      <c r="L424" s="360"/>
      <c r="M424" s="360"/>
      <c r="N424" s="361"/>
      <c r="O424" s="361"/>
      <c r="P424" s="361"/>
      <c r="Q424" s="361"/>
      <c r="R424" s="362"/>
      <c r="S424" s="361"/>
      <c r="T424" s="360" t="s">
        <v>132</v>
      </c>
    </row>
    <row r="425" ht="34.5">
      <c r="A425" s="360" t="s">
        <v>125</v>
      </c>
      <c r="B425" s="360" t="s">
        <v>126</v>
      </c>
      <c r="C425" s="360" t="s">
        <v>691</v>
      </c>
      <c r="D425" s="360" t="s">
        <v>128</v>
      </c>
      <c r="E425" s="360" t="s">
        <v>662</v>
      </c>
      <c r="F425" s="361" t="s">
        <v>663</v>
      </c>
      <c r="G425" s="360" t="s">
        <v>531</v>
      </c>
      <c r="H425" s="361"/>
      <c r="I425" s="361"/>
      <c r="J425" s="361" t="s">
        <v>697</v>
      </c>
      <c r="K425" s="363"/>
      <c r="L425" s="360"/>
      <c r="M425" s="360"/>
      <c r="N425" s="361"/>
      <c r="O425" s="361"/>
      <c r="P425" s="361"/>
      <c r="Q425" s="361"/>
      <c r="R425" s="362"/>
      <c r="S425" s="361"/>
      <c r="T425" s="360" t="s">
        <v>132</v>
      </c>
    </row>
    <row r="426" ht="34.5">
      <c r="A426" s="360" t="s">
        <v>125</v>
      </c>
      <c r="B426" s="360" t="s">
        <v>126</v>
      </c>
      <c r="C426" s="360" t="s">
        <v>691</v>
      </c>
      <c r="D426" s="360" t="s">
        <v>128</v>
      </c>
      <c r="E426" s="360" t="s">
        <v>662</v>
      </c>
      <c r="F426" s="361" t="s">
        <v>663</v>
      </c>
      <c r="G426" s="360" t="s">
        <v>531</v>
      </c>
      <c r="H426" s="361"/>
      <c r="I426" s="361"/>
      <c r="J426" s="361" t="s">
        <v>698</v>
      </c>
      <c r="K426" s="363"/>
      <c r="L426" s="360"/>
      <c r="M426" s="360"/>
      <c r="N426" s="361"/>
      <c r="O426" s="361"/>
      <c r="P426" s="361"/>
      <c r="Q426" s="361"/>
      <c r="R426" s="362"/>
      <c r="S426" s="361"/>
      <c r="T426" s="360" t="s">
        <v>132</v>
      </c>
    </row>
    <row r="427" ht="34.5">
      <c r="A427" s="360" t="s">
        <v>125</v>
      </c>
      <c r="B427" s="360" t="s">
        <v>126</v>
      </c>
      <c r="C427" s="360" t="s">
        <v>691</v>
      </c>
      <c r="D427" s="360" t="s">
        <v>128</v>
      </c>
      <c r="E427" s="360" t="s">
        <v>662</v>
      </c>
      <c r="F427" s="361" t="s">
        <v>663</v>
      </c>
      <c r="G427" s="360" t="s">
        <v>531</v>
      </c>
      <c r="H427" s="361"/>
      <c r="I427" s="361"/>
      <c r="J427" s="361" t="s">
        <v>699</v>
      </c>
      <c r="K427" s="363"/>
      <c r="L427" s="360"/>
      <c r="M427" s="360"/>
      <c r="N427" s="361"/>
      <c r="O427" s="361"/>
      <c r="P427" s="361"/>
      <c r="Q427" s="361"/>
      <c r="R427" s="362"/>
      <c r="S427" s="361"/>
      <c r="T427" s="360" t="s">
        <v>132</v>
      </c>
    </row>
    <row r="428" ht="34.5">
      <c r="A428" s="360" t="s">
        <v>125</v>
      </c>
      <c r="B428" s="360" t="s">
        <v>126</v>
      </c>
      <c r="C428" s="360" t="s">
        <v>691</v>
      </c>
      <c r="D428" s="360" t="s">
        <v>128</v>
      </c>
      <c r="E428" s="360" t="s">
        <v>662</v>
      </c>
      <c r="F428" s="361" t="s">
        <v>663</v>
      </c>
      <c r="G428" s="360" t="s">
        <v>531</v>
      </c>
      <c r="H428" s="361"/>
      <c r="I428" s="361"/>
      <c r="J428" s="361" t="s">
        <v>700</v>
      </c>
      <c r="K428" s="363"/>
      <c r="L428" s="360"/>
      <c r="M428" s="360"/>
      <c r="N428" s="361"/>
      <c r="O428" s="361"/>
      <c r="P428" s="361"/>
      <c r="Q428" s="361"/>
      <c r="R428" s="362"/>
      <c r="S428" s="361"/>
      <c r="T428" s="360" t="s">
        <v>132</v>
      </c>
    </row>
    <row r="429" ht="34.5">
      <c r="A429" s="360" t="s">
        <v>125</v>
      </c>
      <c r="B429" s="360" t="s">
        <v>126</v>
      </c>
      <c r="C429" s="360" t="s">
        <v>701</v>
      </c>
      <c r="D429" s="360" t="s">
        <v>128</v>
      </c>
      <c r="E429" s="360" t="s">
        <v>662</v>
      </c>
      <c r="F429" s="361" t="s">
        <v>663</v>
      </c>
      <c r="G429" s="360" t="s">
        <v>531</v>
      </c>
      <c r="H429" s="361"/>
      <c r="I429" s="361"/>
      <c r="J429" s="361" t="s">
        <v>702</v>
      </c>
      <c r="K429" s="363"/>
      <c r="L429" s="360"/>
      <c r="M429" s="360"/>
      <c r="N429" s="361"/>
      <c r="O429" s="361"/>
      <c r="P429" s="361"/>
      <c r="Q429" s="361"/>
      <c r="R429" s="362"/>
      <c r="S429" s="361"/>
      <c r="T429" s="360" t="s">
        <v>132</v>
      </c>
    </row>
    <row r="430" ht="34.5">
      <c r="A430" s="360" t="s">
        <v>125</v>
      </c>
      <c r="B430" s="360" t="s">
        <v>126</v>
      </c>
      <c r="C430" s="360" t="s">
        <v>701</v>
      </c>
      <c r="D430" s="360" t="s">
        <v>128</v>
      </c>
      <c r="E430" s="360" t="s">
        <v>662</v>
      </c>
      <c r="F430" s="361" t="s">
        <v>663</v>
      </c>
      <c r="G430" s="360" t="s">
        <v>531</v>
      </c>
      <c r="H430" s="361"/>
      <c r="I430" s="361"/>
      <c r="J430" s="361" t="s">
        <v>703</v>
      </c>
      <c r="K430" s="363"/>
      <c r="L430" s="360"/>
      <c r="M430" s="360"/>
      <c r="N430" s="361"/>
      <c r="O430" s="361"/>
      <c r="P430" s="361"/>
      <c r="Q430" s="361"/>
      <c r="R430" s="362"/>
      <c r="S430" s="361"/>
      <c r="T430" s="360" t="s">
        <v>132</v>
      </c>
    </row>
    <row r="431" ht="34.5">
      <c r="A431" s="360" t="s">
        <v>125</v>
      </c>
      <c r="B431" s="360" t="s">
        <v>126</v>
      </c>
      <c r="C431" s="360" t="s">
        <v>701</v>
      </c>
      <c r="D431" s="360" t="s">
        <v>128</v>
      </c>
      <c r="E431" s="360" t="s">
        <v>662</v>
      </c>
      <c r="F431" s="361" t="s">
        <v>663</v>
      </c>
      <c r="G431" s="360" t="s">
        <v>531</v>
      </c>
      <c r="H431" s="361"/>
      <c r="I431" s="361"/>
      <c r="J431" s="361" t="s">
        <v>704</v>
      </c>
      <c r="K431" s="363"/>
      <c r="L431" s="360"/>
      <c r="M431" s="360"/>
      <c r="N431" s="361"/>
      <c r="O431" s="361"/>
      <c r="P431" s="361"/>
      <c r="Q431" s="361"/>
      <c r="R431" s="362"/>
      <c r="S431" s="361"/>
      <c r="T431" s="360" t="s">
        <v>132</v>
      </c>
    </row>
    <row r="432" ht="34.5">
      <c r="A432" s="360" t="s">
        <v>125</v>
      </c>
      <c r="B432" s="360" t="s">
        <v>126</v>
      </c>
      <c r="C432" s="360" t="s">
        <v>701</v>
      </c>
      <c r="D432" s="360" t="s">
        <v>128</v>
      </c>
      <c r="E432" s="360" t="s">
        <v>662</v>
      </c>
      <c r="F432" s="361" t="s">
        <v>663</v>
      </c>
      <c r="G432" s="360" t="s">
        <v>531</v>
      </c>
      <c r="H432" s="361"/>
      <c r="I432" s="361"/>
      <c r="J432" s="361" t="s">
        <v>705</v>
      </c>
      <c r="K432" s="363"/>
      <c r="L432" s="360"/>
      <c r="M432" s="360"/>
      <c r="N432" s="361"/>
      <c r="O432" s="361"/>
      <c r="P432" s="361"/>
      <c r="Q432" s="361"/>
      <c r="R432" s="362"/>
      <c r="S432" s="361"/>
      <c r="T432" s="360" t="s">
        <v>132</v>
      </c>
    </row>
    <row r="433" ht="34.5">
      <c r="A433" s="360" t="s">
        <v>125</v>
      </c>
      <c r="B433" s="360" t="s">
        <v>126</v>
      </c>
      <c r="C433" s="360" t="s">
        <v>701</v>
      </c>
      <c r="D433" s="360" t="s">
        <v>706</v>
      </c>
      <c r="E433" s="360" t="s">
        <v>662</v>
      </c>
      <c r="F433" s="361" t="s">
        <v>663</v>
      </c>
      <c r="G433" s="360" t="s">
        <v>531</v>
      </c>
      <c r="H433" s="361"/>
      <c r="I433" s="361"/>
      <c r="J433" s="361" t="s">
        <v>707</v>
      </c>
      <c r="K433" s="363"/>
      <c r="L433" s="360"/>
      <c r="M433" s="360"/>
      <c r="N433" s="361"/>
      <c r="O433" s="361"/>
      <c r="P433" s="361"/>
      <c r="Q433" s="361"/>
      <c r="R433" s="362"/>
      <c r="S433" s="361"/>
      <c r="T433" s="360" t="s">
        <v>132</v>
      </c>
    </row>
    <row r="434" ht="34.5">
      <c r="A434" s="360" t="s">
        <v>125</v>
      </c>
      <c r="B434" s="360" t="s">
        <v>126</v>
      </c>
      <c r="C434" s="360" t="s">
        <v>708</v>
      </c>
      <c r="D434" s="360" t="s">
        <v>128</v>
      </c>
      <c r="E434" s="360" t="s">
        <v>662</v>
      </c>
      <c r="F434" s="361" t="s">
        <v>663</v>
      </c>
      <c r="G434" s="360" t="s">
        <v>531</v>
      </c>
      <c r="H434" s="361"/>
      <c r="I434" s="361"/>
      <c r="J434" s="361" t="s">
        <v>709</v>
      </c>
      <c r="K434" s="363"/>
      <c r="L434" s="360"/>
      <c r="M434" s="360"/>
      <c r="N434" s="361"/>
      <c r="O434" s="361"/>
      <c r="P434" s="361"/>
      <c r="Q434" s="361"/>
      <c r="R434" s="362"/>
      <c r="S434" s="361"/>
      <c r="T434" s="360" t="s">
        <v>132</v>
      </c>
    </row>
    <row r="435" ht="34.5">
      <c r="A435" s="360" t="s">
        <v>125</v>
      </c>
      <c r="B435" s="360" t="s">
        <v>126</v>
      </c>
      <c r="C435" s="360" t="s">
        <v>708</v>
      </c>
      <c r="D435" s="360" t="s">
        <v>710</v>
      </c>
      <c r="E435" s="360" t="s">
        <v>662</v>
      </c>
      <c r="F435" s="361" t="s">
        <v>663</v>
      </c>
      <c r="G435" s="360" t="s">
        <v>531</v>
      </c>
      <c r="H435" s="361"/>
      <c r="I435" s="361"/>
      <c r="J435" s="361" t="s">
        <v>711</v>
      </c>
      <c r="K435" s="363"/>
      <c r="L435" s="360"/>
      <c r="M435" s="360"/>
      <c r="N435" s="361"/>
      <c r="O435" s="361"/>
      <c r="P435" s="361"/>
      <c r="Q435" s="361"/>
      <c r="R435" s="362"/>
      <c r="S435" s="361"/>
      <c r="T435" s="360" t="s">
        <v>132</v>
      </c>
    </row>
    <row r="436" ht="34.5">
      <c r="A436" s="360" t="s">
        <v>125</v>
      </c>
      <c r="B436" s="360" t="s">
        <v>126</v>
      </c>
      <c r="C436" s="360" t="s">
        <v>712</v>
      </c>
      <c r="D436" s="360" t="s">
        <v>128</v>
      </c>
      <c r="E436" s="360" t="s">
        <v>662</v>
      </c>
      <c r="F436" s="361" t="s">
        <v>663</v>
      </c>
      <c r="G436" s="360" t="s">
        <v>531</v>
      </c>
      <c r="H436" s="361"/>
      <c r="I436" s="361"/>
      <c r="J436" s="361" t="s">
        <v>713</v>
      </c>
      <c r="K436" s="363"/>
      <c r="L436" s="360"/>
      <c r="M436" s="360"/>
      <c r="N436" s="361"/>
      <c r="O436" s="361"/>
      <c r="P436" s="361"/>
      <c r="Q436" s="361"/>
      <c r="R436" s="362"/>
      <c r="S436" s="361"/>
      <c r="T436" s="360" t="s">
        <v>132</v>
      </c>
    </row>
    <row r="437" ht="34.5">
      <c r="A437" s="360" t="s">
        <v>125</v>
      </c>
      <c r="B437" s="360" t="s">
        <v>126</v>
      </c>
      <c r="C437" s="360" t="s">
        <v>712</v>
      </c>
      <c r="D437" s="360" t="s">
        <v>128</v>
      </c>
      <c r="E437" s="360" t="s">
        <v>129</v>
      </c>
      <c r="F437" s="361" t="s">
        <v>130</v>
      </c>
      <c r="G437" s="360" t="s">
        <v>36</v>
      </c>
      <c r="H437" s="361"/>
      <c r="I437" s="361"/>
      <c r="J437" s="361" t="s">
        <v>714</v>
      </c>
      <c r="K437" s="363"/>
      <c r="L437" s="360"/>
      <c r="M437" s="360"/>
      <c r="N437" s="361"/>
      <c r="O437" s="361"/>
      <c r="P437" s="361"/>
      <c r="Q437" s="361"/>
      <c r="R437" s="362"/>
      <c r="S437" s="361"/>
      <c r="T437" s="360" t="s">
        <v>132</v>
      </c>
    </row>
    <row r="438" ht="34.5">
      <c r="A438" s="360" t="s">
        <v>125</v>
      </c>
      <c r="B438" s="360" t="s">
        <v>126</v>
      </c>
      <c r="C438" s="360" t="s">
        <v>712</v>
      </c>
      <c r="D438" s="360" t="s">
        <v>128</v>
      </c>
      <c r="E438" s="360" t="s">
        <v>129</v>
      </c>
      <c r="F438" s="361" t="s">
        <v>130</v>
      </c>
      <c r="G438" s="360" t="s">
        <v>36</v>
      </c>
      <c r="H438" s="361"/>
      <c r="I438" s="361"/>
      <c r="J438" s="361" t="s">
        <v>715</v>
      </c>
      <c r="K438" s="363">
        <v>50000000</v>
      </c>
      <c r="L438" s="360" t="s">
        <v>314</v>
      </c>
      <c r="M438" s="360"/>
      <c r="N438" s="361"/>
      <c r="O438" s="361"/>
      <c r="P438" s="361"/>
      <c r="Q438" s="361"/>
      <c r="R438" s="362"/>
      <c r="S438" s="361"/>
      <c r="T438" s="360" t="s">
        <v>132</v>
      </c>
    </row>
    <row r="439" ht="34.5">
      <c r="A439" s="360" t="s">
        <v>125</v>
      </c>
      <c r="B439" s="360" t="s">
        <v>126</v>
      </c>
      <c r="C439" s="360" t="s">
        <v>712</v>
      </c>
      <c r="D439" s="360" t="s">
        <v>128</v>
      </c>
      <c r="E439" s="360" t="s">
        <v>129</v>
      </c>
      <c r="F439" s="361" t="s">
        <v>130</v>
      </c>
      <c r="G439" s="360" t="s">
        <v>36</v>
      </c>
      <c r="H439" s="361"/>
      <c r="I439" s="361"/>
      <c r="J439" s="361" t="s">
        <v>716</v>
      </c>
      <c r="K439" s="363">
        <v>10000000</v>
      </c>
      <c r="L439" s="360" t="s">
        <v>314</v>
      </c>
      <c r="M439" s="360"/>
      <c r="N439" s="361"/>
      <c r="O439" s="361"/>
      <c r="P439" s="361"/>
      <c r="Q439" s="361"/>
      <c r="R439" s="362"/>
      <c r="S439" s="361"/>
      <c r="T439" s="360" t="s">
        <v>132</v>
      </c>
    </row>
    <row r="440" ht="34.5">
      <c r="A440" s="360" t="s">
        <v>125</v>
      </c>
      <c r="B440" s="360" t="s">
        <v>126</v>
      </c>
      <c r="C440" s="360" t="s">
        <v>712</v>
      </c>
      <c r="D440" s="360" t="s">
        <v>128</v>
      </c>
      <c r="E440" s="360" t="s">
        <v>129</v>
      </c>
      <c r="F440" s="361" t="s">
        <v>130</v>
      </c>
      <c r="G440" s="360" t="s">
        <v>36</v>
      </c>
      <c r="H440" s="361"/>
      <c r="I440" s="361"/>
      <c r="J440" s="361" t="s">
        <v>717</v>
      </c>
      <c r="K440" s="363"/>
      <c r="L440" s="360"/>
      <c r="M440" s="360"/>
      <c r="N440" s="361"/>
      <c r="O440" s="361"/>
      <c r="P440" s="361"/>
      <c r="Q440" s="361"/>
      <c r="R440" s="362"/>
      <c r="S440" s="361"/>
      <c r="T440" s="360" t="s">
        <v>132</v>
      </c>
    </row>
    <row r="441" ht="34.5">
      <c r="A441" s="360" t="s">
        <v>125</v>
      </c>
      <c r="B441" s="360" t="s">
        <v>126</v>
      </c>
      <c r="C441" s="360" t="s">
        <v>712</v>
      </c>
      <c r="D441" s="360" t="s">
        <v>128</v>
      </c>
      <c r="E441" s="360" t="s">
        <v>129</v>
      </c>
      <c r="F441" s="361" t="s">
        <v>130</v>
      </c>
      <c r="G441" s="360" t="s">
        <v>36</v>
      </c>
      <c r="H441" s="361"/>
      <c r="I441" s="361"/>
      <c r="J441" s="361" t="s">
        <v>718</v>
      </c>
      <c r="K441" s="363"/>
      <c r="L441" s="360"/>
      <c r="M441" s="360"/>
      <c r="N441" s="361"/>
      <c r="O441" s="361"/>
      <c r="P441" s="361"/>
      <c r="Q441" s="361"/>
      <c r="R441" s="362"/>
      <c r="S441" s="361"/>
      <c r="T441" s="360" t="s">
        <v>132</v>
      </c>
    </row>
    <row r="442" ht="34.5">
      <c r="A442" s="360" t="s">
        <v>125</v>
      </c>
      <c r="B442" s="360" t="s">
        <v>126</v>
      </c>
      <c r="C442" s="360" t="s">
        <v>712</v>
      </c>
      <c r="D442" s="360" t="s">
        <v>128</v>
      </c>
      <c r="E442" s="360" t="s">
        <v>129</v>
      </c>
      <c r="F442" s="361" t="s">
        <v>130</v>
      </c>
      <c r="G442" s="360" t="s">
        <v>36</v>
      </c>
      <c r="H442" s="361"/>
      <c r="I442" s="361"/>
      <c r="J442" s="361" t="s">
        <v>719</v>
      </c>
      <c r="K442" s="363"/>
      <c r="L442" s="360"/>
      <c r="M442" s="360"/>
      <c r="N442" s="361"/>
      <c r="O442" s="361"/>
      <c r="P442" s="361"/>
      <c r="Q442" s="361"/>
      <c r="R442" s="362"/>
      <c r="S442" s="361"/>
      <c r="T442" s="360" t="s">
        <v>132</v>
      </c>
    </row>
    <row r="443" ht="34.5">
      <c r="A443" s="360" t="s">
        <v>125</v>
      </c>
      <c r="B443" s="360" t="s">
        <v>126</v>
      </c>
      <c r="C443" s="360" t="s">
        <v>720</v>
      </c>
      <c r="D443" s="360" t="s">
        <v>128</v>
      </c>
      <c r="E443" s="360" t="s">
        <v>129</v>
      </c>
      <c r="F443" s="361" t="s">
        <v>130</v>
      </c>
      <c r="G443" s="360" t="s">
        <v>36</v>
      </c>
      <c r="H443" s="361"/>
      <c r="I443" s="361"/>
      <c r="J443" s="361" t="s">
        <v>721</v>
      </c>
      <c r="K443" s="363"/>
      <c r="L443" s="360"/>
      <c r="M443" s="360"/>
      <c r="N443" s="361"/>
      <c r="O443" s="361"/>
      <c r="P443" s="361"/>
      <c r="Q443" s="361"/>
      <c r="R443" s="362"/>
      <c r="S443" s="361"/>
      <c r="T443" s="360" t="s">
        <v>132</v>
      </c>
    </row>
    <row r="444" ht="34.5">
      <c r="A444" s="360" t="s">
        <v>125</v>
      </c>
      <c r="B444" s="360" t="s">
        <v>126</v>
      </c>
      <c r="C444" s="360" t="s">
        <v>720</v>
      </c>
      <c r="D444" s="360" t="s">
        <v>128</v>
      </c>
      <c r="E444" s="360" t="s">
        <v>129</v>
      </c>
      <c r="F444" s="361" t="s">
        <v>130</v>
      </c>
      <c r="G444" s="360" t="s">
        <v>36</v>
      </c>
      <c r="H444" s="361"/>
      <c r="I444" s="361"/>
      <c r="J444" s="361" t="s">
        <v>722</v>
      </c>
      <c r="K444" s="363"/>
      <c r="L444" s="360"/>
      <c r="M444" s="360"/>
      <c r="N444" s="361"/>
      <c r="O444" s="361"/>
      <c r="P444" s="361"/>
      <c r="Q444" s="361"/>
      <c r="R444" s="362"/>
      <c r="S444" s="361"/>
      <c r="T444" s="360" t="s">
        <v>132</v>
      </c>
    </row>
    <row r="445" ht="34.5">
      <c r="A445" s="360" t="s">
        <v>125</v>
      </c>
      <c r="B445" s="360" t="s">
        <v>126</v>
      </c>
      <c r="C445" s="360" t="s">
        <v>720</v>
      </c>
      <c r="D445" s="360" t="s">
        <v>128</v>
      </c>
      <c r="E445" s="360" t="s">
        <v>129</v>
      </c>
      <c r="F445" s="361" t="s">
        <v>130</v>
      </c>
      <c r="G445" s="360" t="s">
        <v>36</v>
      </c>
      <c r="H445" s="361"/>
      <c r="I445" s="361"/>
      <c r="J445" s="361" t="s">
        <v>723</v>
      </c>
      <c r="K445" s="363"/>
      <c r="L445" s="360"/>
      <c r="M445" s="360"/>
      <c r="N445" s="361"/>
      <c r="O445" s="361"/>
      <c r="P445" s="361"/>
      <c r="Q445" s="361"/>
      <c r="R445" s="362"/>
      <c r="S445" s="361"/>
      <c r="T445" s="360" t="s">
        <v>132</v>
      </c>
    </row>
    <row r="446" ht="34.5">
      <c r="A446" s="360" t="s">
        <v>125</v>
      </c>
      <c r="B446" s="360" t="s">
        <v>126</v>
      </c>
      <c r="C446" s="360" t="s">
        <v>720</v>
      </c>
      <c r="D446" s="360" t="s">
        <v>128</v>
      </c>
      <c r="E446" s="360" t="s">
        <v>129</v>
      </c>
      <c r="F446" s="361" t="s">
        <v>130</v>
      </c>
      <c r="G446" s="360" t="s">
        <v>36</v>
      </c>
      <c r="H446" s="361"/>
      <c r="I446" s="361"/>
      <c r="J446" s="361" t="s">
        <v>724</v>
      </c>
      <c r="K446" s="363"/>
      <c r="L446" s="360"/>
      <c r="M446" s="360"/>
      <c r="N446" s="361"/>
      <c r="O446" s="361"/>
      <c r="P446" s="361"/>
      <c r="Q446" s="361"/>
      <c r="R446" s="362"/>
      <c r="S446" s="361"/>
      <c r="T446" s="360" t="s">
        <v>132</v>
      </c>
    </row>
    <row r="447" ht="34.5">
      <c r="A447" s="360" t="s">
        <v>125</v>
      </c>
      <c r="B447" s="360" t="s">
        <v>126</v>
      </c>
      <c r="C447" s="360" t="s">
        <v>720</v>
      </c>
      <c r="D447" s="360" t="s">
        <v>128</v>
      </c>
      <c r="E447" s="360" t="s">
        <v>129</v>
      </c>
      <c r="F447" s="361" t="s">
        <v>130</v>
      </c>
      <c r="G447" s="360" t="s">
        <v>36</v>
      </c>
      <c r="H447" s="361"/>
      <c r="I447" s="361"/>
      <c r="J447" s="361" t="s">
        <v>725</v>
      </c>
      <c r="K447" s="363"/>
      <c r="L447" s="360"/>
      <c r="M447" s="360"/>
      <c r="N447" s="361"/>
      <c r="O447" s="361"/>
      <c r="P447" s="361"/>
      <c r="Q447" s="361"/>
      <c r="R447" s="362"/>
      <c r="S447" s="361"/>
      <c r="T447" s="360" t="s">
        <v>132</v>
      </c>
    </row>
    <row r="448" ht="34.5">
      <c r="A448" s="360" t="s">
        <v>125</v>
      </c>
      <c r="B448" s="360" t="s">
        <v>126</v>
      </c>
      <c r="C448" s="360" t="s">
        <v>720</v>
      </c>
      <c r="D448" s="360" t="s">
        <v>128</v>
      </c>
      <c r="E448" s="360" t="s">
        <v>129</v>
      </c>
      <c r="F448" s="361" t="s">
        <v>130</v>
      </c>
      <c r="G448" s="360" t="s">
        <v>36</v>
      </c>
      <c r="H448" s="361"/>
      <c r="I448" s="361"/>
      <c r="J448" s="361" t="s">
        <v>726</v>
      </c>
      <c r="K448" s="363"/>
      <c r="L448" s="360"/>
      <c r="M448" s="360"/>
      <c r="N448" s="361"/>
      <c r="O448" s="361"/>
      <c r="P448" s="361"/>
      <c r="Q448" s="361"/>
      <c r="R448" s="362"/>
      <c r="S448" s="361"/>
      <c r="T448" s="360" t="s">
        <v>132</v>
      </c>
    </row>
    <row r="449" ht="34.5">
      <c r="A449" s="360" t="s">
        <v>125</v>
      </c>
      <c r="B449" s="360" t="s">
        <v>126</v>
      </c>
      <c r="C449" s="360" t="s">
        <v>720</v>
      </c>
      <c r="D449" s="360" t="s">
        <v>128</v>
      </c>
      <c r="E449" s="360" t="s">
        <v>143</v>
      </c>
      <c r="F449" s="361" t="s">
        <v>144</v>
      </c>
      <c r="G449" s="360" t="s">
        <v>145</v>
      </c>
      <c r="H449" s="361"/>
      <c r="I449" s="361"/>
      <c r="J449" s="361" t="s">
        <v>727</v>
      </c>
      <c r="K449" s="363"/>
      <c r="L449" s="360"/>
      <c r="M449" s="360"/>
      <c r="N449" s="361"/>
      <c r="O449" s="361"/>
      <c r="P449" s="361"/>
      <c r="Q449" s="361"/>
      <c r="R449" s="362"/>
      <c r="S449" s="361"/>
      <c r="T449" s="360" t="s">
        <v>132</v>
      </c>
    </row>
    <row r="450" ht="34.5">
      <c r="A450" s="360" t="s">
        <v>125</v>
      </c>
      <c r="B450" s="360" t="s">
        <v>126</v>
      </c>
      <c r="C450" s="360" t="s">
        <v>720</v>
      </c>
      <c r="D450" s="360" t="s">
        <v>128</v>
      </c>
      <c r="E450" s="360" t="s">
        <v>143</v>
      </c>
      <c r="F450" s="361" t="s">
        <v>144</v>
      </c>
      <c r="G450" s="360" t="s">
        <v>145</v>
      </c>
      <c r="H450" s="361"/>
      <c r="I450" s="361"/>
      <c r="J450" s="361" t="s">
        <v>728</v>
      </c>
      <c r="K450" s="363"/>
      <c r="L450" s="360"/>
      <c r="M450" s="360"/>
      <c r="N450" s="361"/>
      <c r="O450" s="361"/>
      <c r="P450" s="361"/>
      <c r="Q450" s="361"/>
      <c r="R450" s="362"/>
      <c r="S450" s="361"/>
      <c r="T450" s="360" t="s">
        <v>132</v>
      </c>
    </row>
    <row r="451" ht="34.5">
      <c r="A451" s="360" t="s">
        <v>125</v>
      </c>
      <c r="B451" s="360" t="s">
        <v>126</v>
      </c>
      <c r="C451" s="360" t="s">
        <v>720</v>
      </c>
      <c r="D451" s="360" t="s">
        <v>128</v>
      </c>
      <c r="E451" s="360" t="s">
        <v>143</v>
      </c>
      <c r="F451" s="361" t="s">
        <v>144</v>
      </c>
      <c r="G451" s="360" t="s">
        <v>145</v>
      </c>
      <c r="H451" s="361"/>
      <c r="I451" s="361"/>
      <c r="J451" s="361" t="s">
        <v>729</v>
      </c>
      <c r="K451" s="363"/>
      <c r="L451" s="360"/>
      <c r="M451" s="360"/>
      <c r="N451" s="361"/>
      <c r="O451" s="361"/>
      <c r="P451" s="361"/>
      <c r="Q451" s="361"/>
      <c r="R451" s="362"/>
      <c r="S451" s="361"/>
      <c r="T451" s="360" t="s">
        <v>132</v>
      </c>
    </row>
    <row r="452" ht="34.5">
      <c r="A452" s="360" t="s">
        <v>125</v>
      </c>
      <c r="B452" s="360" t="s">
        <v>126</v>
      </c>
      <c r="C452" s="360" t="s">
        <v>720</v>
      </c>
      <c r="D452" s="360" t="s">
        <v>128</v>
      </c>
      <c r="E452" s="360" t="s">
        <v>143</v>
      </c>
      <c r="F452" s="361" t="s">
        <v>144</v>
      </c>
      <c r="G452" s="360" t="s">
        <v>145</v>
      </c>
      <c r="H452" s="361"/>
      <c r="I452" s="361"/>
      <c r="J452" s="361" t="s">
        <v>730</v>
      </c>
      <c r="K452" s="363"/>
      <c r="L452" s="360"/>
      <c r="M452" s="360"/>
      <c r="N452" s="361"/>
      <c r="O452" s="361"/>
      <c r="P452" s="361"/>
      <c r="Q452" s="361"/>
      <c r="R452" s="362"/>
      <c r="S452" s="361"/>
      <c r="T452" s="360" t="s">
        <v>132</v>
      </c>
    </row>
    <row r="453" ht="34.5">
      <c r="A453" s="360" t="s">
        <v>125</v>
      </c>
      <c r="B453" s="360" t="s">
        <v>126</v>
      </c>
      <c r="C453" s="360" t="s">
        <v>731</v>
      </c>
      <c r="D453" s="360" t="s">
        <v>128</v>
      </c>
      <c r="E453" s="360" t="s">
        <v>167</v>
      </c>
      <c r="F453" s="361" t="s">
        <v>732</v>
      </c>
      <c r="G453" s="360" t="s">
        <v>145</v>
      </c>
      <c r="H453" s="361"/>
      <c r="I453" s="361"/>
      <c r="J453" s="361" t="s">
        <v>733</v>
      </c>
      <c r="K453" s="363"/>
      <c r="L453" s="360"/>
      <c r="M453" s="360"/>
      <c r="N453" s="361"/>
      <c r="O453" s="361"/>
      <c r="P453" s="361"/>
      <c r="Q453" s="361"/>
      <c r="R453" s="362"/>
      <c r="S453" s="361"/>
      <c r="T453" s="360" t="s">
        <v>132</v>
      </c>
    </row>
    <row r="454" ht="34.5">
      <c r="A454" s="360" t="s">
        <v>125</v>
      </c>
      <c r="B454" s="360" t="s">
        <v>126</v>
      </c>
      <c r="C454" s="360" t="s">
        <v>731</v>
      </c>
      <c r="D454" s="360" t="s">
        <v>128</v>
      </c>
      <c r="E454" s="360" t="s">
        <v>167</v>
      </c>
      <c r="F454" s="361" t="s">
        <v>732</v>
      </c>
      <c r="G454" s="360" t="s">
        <v>145</v>
      </c>
      <c r="H454" s="361"/>
      <c r="I454" s="361"/>
      <c r="J454" s="361" t="s">
        <v>734</v>
      </c>
      <c r="K454" s="363"/>
      <c r="L454" s="360"/>
      <c r="M454" s="360"/>
      <c r="N454" s="361"/>
      <c r="O454" s="361"/>
      <c r="P454" s="361"/>
      <c r="Q454" s="361"/>
      <c r="R454" s="362"/>
      <c r="S454" s="361"/>
      <c r="T454" s="360" t="s">
        <v>132</v>
      </c>
    </row>
    <row r="455" ht="34.5">
      <c r="A455" s="360" t="s">
        <v>125</v>
      </c>
      <c r="B455" s="360" t="s">
        <v>126</v>
      </c>
      <c r="C455" s="360" t="s">
        <v>731</v>
      </c>
      <c r="D455" s="360" t="s">
        <v>128</v>
      </c>
      <c r="E455" s="360" t="s">
        <v>167</v>
      </c>
      <c r="F455" s="361" t="s">
        <v>732</v>
      </c>
      <c r="G455" s="360" t="s">
        <v>145</v>
      </c>
      <c r="H455" s="361"/>
      <c r="I455" s="361"/>
      <c r="J455" s="361" t="s">
        <v>735</v>
      </c>
      <c r="K455" s="363"/>
      <c r="L455" s="360"/>
      <c r="M455" s="360"/>
      <c r="N455" s="361"/>
      <c r="O455" s="361"/>
      <c r="P455" s="361"/>
      <c r="Q455" s="361"/>
      <c r="R455" s="362"/>
      <c r="S455" s="361"/>
      <c r="T455" s="360" t="s">
        <v>132</v>
      </c>
    </row>
    <row r="456" ht="34.5">
      <c r="A456" s="360" t="s">
        <v>125</v>
      </c>
      <c r="B456" s="360" t="s">
        <v>126</v>
      </c>
      <c r="C456" s="360" t="s">
        <v>731</v>
      </c>
      <c r="D456" s="360" t="s">
        <v>128</v>
      </c>
      <c r="E456" s="360" t="s">
        <v>167</v>
      </c>
      <c r="F456" s="361" t="s">
        <v>732</v>
      </c>
      <c r="G456" s="360" t="s">
        <v>145</v>
      </c>
      <c r="H456" s="361"/>
      <c r="I456" s="361"/>
      <c r="J456" s="361" t="s">
        <v>736</v>
      </c>
      <c r="K456" s="363"/>
      <c r="L456" s="360"/>
      <c r="M456" s="360"/>
      <c r="N456" s="361"/>
      <c r="O456" s="361"/>
      <c r="P456" s="361"/>
      <c r="Q456" s="361"/>
      <c r="R456" s="362"/>
      <c r="S456" s="361"/>
      <c r="T456" s="360" t="s">
        <v>132</v>
      </c>
    </row>
    <row r="457" ht="34.5">
      <c r="A457" s="360" t="s">
        <v>125</v>
      </c>
      <c r="B457" s="360" t="s">
        <v>126</v>
      </c>
      <c r="C457" s="360" t="s">
        <v>731</v>
      </c>
      <c r="D457" s="360" t="s">
        <v>128</v>
      </c>
      <c r="E457" s="360" t="s">
        <v>167</v>
      </c>
      <c r="F457" s="361" t="s">
        <v>732</v>
      </c>
      <c r="G457" s="360" t="s">
        <v>145</v>
      </c>
      <c r="H457" s="361"/>
      <c r="I457" s="361"/>
      <c r="J457" s="361" t="s">
        <v>737</v>
      </c>
      <c r="K457" s="363"/>
      <c r="L457" s="360"/>
      <c r="M457" s="360"/>
      <c r="N457" s="361"/>
      <c r="O457" s="361"/>
      <c r="P457" s="361"/>
      <c r="Q457" s="361"/>
      <c r="R457" s="362"/>
      <c r="S457" s="361"/>
      <c r="T457" s="360" t="s">
        <v>132</v>
      </c>
    </row>
    <row r="458" ht="34.5">
      <c r="A458" s="360" t="s">
        <v>125</v>
      </c>
      <c r="B458" s="360" t="s">
        <v>126</v>
      </c>
      <c r="C458" s="360" t="s">
        <v>731</v>
      </c>
      <c r="D458" s="360" t="s">
        <v>128</v>
      </c>
      <c r="E458" s="360" t="s">
        <v>167</v>
      </c>
      <c r="F458" s="361" t="s">
        <v>732</v>
      </c>
      <c r="G458" s="360" t="s">
        <v>145</v>
      </c>
      <c r="H458" s="361"/>
      <c r="I458" s="361"/>
      <c r="J458" s="361" t="s">
        <v>738</v>
      </c>
      <c r="K458" s="363"/>
      <c r="L458" s="360"/>
      <c r="M458" s="360"/>
      <c r="N458" s="361"/>
      <c r="O458" s="361"/>
      <c r="P458" s="361"/>
      <c r="Q458" s="361"/>
      <c r="R458" s="362"/>
      <c r="S458" s="361"/>
      <c r="T458" s="360" t="s">
        <v>132</v>
      </c>
    </row>
    <row r="459" ht="34.5">
      <c r="A459" s="360" t="s">
        <v>125</v>
      </c>
      <c r="B459" s="360" t="s">
        <v>126</v>
      </c>
      <c r="C459" s="360" t="s">
        <v>731</v>
      </c>
      <c r="D459" s="360" t="s">
        <v>128</v>
      </c>
      <c r="E459" s="360" t="s">
        <v>167</v>
      </c>
      <c r="F459" s="361" t="s">
        <v>732</v>
      </c>
      <c r="G459" s="360" t="s">
        <v>145</v>
      </c>
      <c r="H459" s="361"/>
      <c r="I459" s="361"/>
      <c r="J459" s="361" t="s">
        <v>739</v>
      </c>
      <c r="K459" s="363"/>
      <c r="L459" s="360"/>
      <c r="M459" s="360"/>
      <c r="N459" s="361"/>
      <c r="O459" s="361"/>
      <c r="P459" s="361"/>
      <c r="Q459" s="361"/>
      <c r="R459" s="362"/>
      <c r="S459" s="361"/>
      <c r="T459" s="360" t="s">
        <v>132</v>
      </c>
    </row>
    <row r="460" ht="34.5">
      <c r="A460" s="360" t="s">
        <v>125</v>
      </c>
      <c r="B460" s="360" t="s">
        <v>126</v>
      </c>
      <c r="C460" s="360" t="s">
        <v>740</v>
      </c>
      <c r="D460" s="360" t="s">
        <v>128</v>
      </c>
      <c r="E460" s="360" t="s">
        <v>167</v>
      </c>
      <c r="F460" s="361" t="s">
        <v>732</v>
      </c>
      <c r="G460" s="360" t="s">
        <v>145</v>
      </c>
      <c r="H460" s="361"/>
      <c r="I460" s="361"/>
      <c r="J460" s="361" t="s">
        <v>741</v>
      </c>
      <c r="K460" s="363"/>
      <c r="L460" s="360"/>
      <c r="M460" s="360"/>
      <c r="N460" s="361"/>
      <c r="O460" s="361"/>
      <c r="P460" s="361"/>
      <c r="Q460" s="361"/>
      <c r="R460" s="362"/>
      <c r="S460" s="361"/>
      <c r="T460" s="360" t="s">
        <v>132</v>
      </c>
    </row>
    <row r="461" ht="34.5">
      <c r="A461" s="360" t="s">
        <v>125</v>
      </c>
      <c r="B461" s="360" t="s">
        <v>126</v>
      </c>
      <c r="C461" s="360" t="s">
        <v>740</v>
      </c>
      <c r="D461" s="360" t="s">
        <v>128</v>
      </c>
      <c r="E461" s="360" t="s">
        <v>167</v>
      </c>
      <c r="F461" s="361" t="s">
        <v>732</v>
      </c>
      <c r="G461" s="360" t="s">
        <v>145</v>
      </c>
      <c r="H461" s="361"/>
      <c r="I461" s="361"/>
      <c r="J461" s="361" t="s">
        <v>742</v>
      </c>
      <c r="K461" s="363"/>
      <c r="L461" s="360"/>
      <c r="M461" s="360"/>
      <c r="N461" s="361"/>
      <c r="O461" s="361"/>
      <c r="P461" s="361"/>
      <c r="Q461" s="361"/>
      <c r="R461" s="362"/>
      <c r="S461" s="361"/>
      <c r="T461" s="360" t="s">
        <v>132</v>
      </c>
    </row>
    <row r="462" ht="34.5">
      <c r="A462" s="360" t="s">
        <v>125</v>
      </c>
      <c r="B462" s="360" t="s">
        <v>126</v>
      </c>
      <c r="C462" s="360" t="s">
        <v>740</v>
      </c>
      <c r="D462" s="360" t="s">
        <v>128</v>
      </c>
      <c r="E462" s="360" t="s">
        <v>167</v>
      </c>
      <c r="F462" s="361" t="s">
        <v>732</v>
      </c>
      <c r="G462" s="360" t="s">
        <v>145</v>
      </c>
      <c r="H462" s="361"/>
      <c r="I462" s="361"/>
      <c r="J462" s="361" t="s">
        <v>743</v>
      </c>
      <c r="K462" s="363"/>
      <c r="L462" s="360"/>
      <c r="M462" s="360"/>
      <c r="N462" s="361"/>
      <c r="O462" s="361"/>
      <c r="P462" s="361"/>
      <c r="Q462" s="361"/>
      <c r="R462" s="362"/>
      <c r="S462" s="361"/>
      <c r="T462" s="360" t="s">
        <v>132</v>
      </c>
    </row>
    <row r="463" ht="34.5">
      <c r="A463" s="360" t="s">
        <v>125</v>
      </c>
      <c r="B463" s="360" t="s">
        <v>126</v>
      </c>
      <c r="C463" s="360" t="s">
        <v>740</v>
      </c>
      <c r="D463" s="360" t="s">
        <v>128</v>
      </c>
      <c r="E463" s="360" t="s">
        <v>167</v>
      </c>
      <c r="F463" s="361" t="s">
        <v>732</v>
      </c>
      <c r="G463" s="360" t="s">
        <v>145</v>
      </c>
      <c r="H463" s="361"/>
      <c r="I463" s="361"/>
      <c r="J463" s="361" t="s">
        <v>744</v>
      </c>
      <c r="K463" s="363"/>
      <c r="L463" s="360"/>
      <c r="M463" s="360"/>
      <c r="N463" s="361"/>
      <c r="O463" s="361"/>
      <c r="P463" s="361"/>
      <c r="Q463" s="361"/>
      <c r="R463" s="362"/>
      <c r="S463" s="361"/>
      <c r="T463" s="360" t="s">
        <v>132</v>
      </c>
    </row>
    <row r="464" ht="34.5">
      <c r="A464" s="360" t="s">
        <v>125</v>
      </c>
      <c r="B464" s="360" t="s">
        <v>126</v>
      </c>
      <c r="C464" s="360" t="s">
        <v>740</v>
      </c>
      <c r="D464" s="360" t="s">
        <v>128</v>
      </c>
      <c r="E464" s="360" t="s">
        <v>167</v>
      </c>
      <c r="F464" s="361" t="s">
        <v>732</v>
      </c>
      <c r="G464" s="360" t="s">
        <v>145</v>
      </c>
      <c r="H464" s="361"/>
      <c r="I464" s="361"/>
      <c r="J464" s="361" t="s">
        <v>745</v>
      </c>
      <c r="K464" s="363"/>
      <c r="L464" s="360"/>
      <c r="M464" s="360"/>
      <c r="N464" s="361"/>
      <c r="O464" s="361"/>
      <c r="P464" s="361"/>
      <c r="Q464" s="361"/>
      <c r="R464" s="362"/>
      <c r="S464" s="361"/>
      <c r="T464" s="360" t="s">
        <v>132</v>
      </c>
    </row>
    <row r="465" ht="34.5">
      <c r="A465" s="360" t="s">
        <v>125</v>
      </c>
      <c r="B465" s="360" t="s">
        <v>126</v>
      </c>
      <c r="C465" s="360" t="s">
        <v>740</v>
      </c>
      <c r="D465" s="360" t="s">
        <v>128</v>
      </c>
      <c r="E465" s="360" t="s">
        <v>167</v>
      </c>
      <c r="F465" s="361" t="s">
        <v>732</v>
      </c>
      <c r="G465" s="360" t="s">
        <v>145</v>
      </c>
      <c r="H465" s="361"/>
      <c r="I465" s="361"/>
      <c r="J465" s="361" t="s">
        <v>746</v>
      </c>
      <c r="K465" s="363"/>
      <c r="L465" s="360"/>
      <c r="M465" s="360"/>
      <c r="N465" s="361"/>
      <c r="O465" s="361"/>
      <c r="P465" s="361"/>
      <c r="Q465" s="361"/>
      <c r="R465" s="362"/>
      <c r="S465" s="361"/>
      <c r="T465" s="360" t="s">
        <v>132</v>
      </c>
    </row>
    <row r="466" ht="34.5">
      <c r="A466" s="360" t="s">
        <v>125</v>
      </c>
      <c r="B466" s="360" t="s">
        <v>126</v>
      </c>
      <c r="C466" s="360" t="s">
        <v>740</v>
      </c>
      <c r="D466" s="360" t="s">
        <v>128</v>
      </c>
      <c r="E466" s="360" t="s">
        <v>167</v>
      </c>
      <c r="F466" s="361" t="s">
        <v>732</v>
      </c>
      <c r="G466" s="360" t="s">
        <v>145</v>
      </c>
      <c r="H466" s="361"/>
      <c r="I466" s="361"/>
      <c r="J466" s="361" t="s">
        <v>747</v>
      </c>
      <c r="K466" s="363"/>
      <c r="L466" s="360"/>
      <c r="M466" s="360"/>
      <c r="N466" s="361"/>
      <c r="O466" s="361"/>
      <c r="P466" s="361"/>
      <c r="Q466" s="361"/>
      <c r="R466" s="362"/>
      <c r="S466" s="361"/>
      <c r="T466" s="360" t="s">
        <v>132</v>
      </c>
    </row>
    <row r="467" ht="34.5">
      <c r="A467" s="360" t="s">
        <v>125</v>
      </c>
      <c r="B467" s="360" t="s">
        <v>126</v>
      </c>
      <c r="C467" s="360" t="s">
        <v>740</v>
      </c>
      <c r="D467" s="360" t="s">
        <v>128</v>
      </c>
      <c r="E467" s="360" t="s">
        <v>167</v>
      </c>
      <c r="F467" s="361" t="s">
        <v>732</v>
      </c>
      <c r="G467" s="360" t="s">
        <v>145</v>
      </c>
      <c r="H467" s="361"/>
      <c r="I467" s="361"/>
      <c r="J467" s="361" t="s">
        <v>748</v>
      </c>
      <c r="K467" s="363"/>
      <c r="L467" s="360"/>
      <c r="M467" s="360"/>
      <c r="N467" s="361"/>
      <c r="O467" s="361"/>
      <c r="P467" s="361"/>
      <c r="Q467" s="361"/>
      <c r="R467" s="362"/>
      <c r="S467" s="361"/>
      <c r="T467" s="360" t="s">
        <v>132</v>
      </c>
    </row>
    <row r="468" ht="34.5">
      <c r="A468" s="360" t="s">
        <v>125</v>
      </c>
      <c r="B468" s="360" t="s">
        <v>126</v>
      </c>
      <c r="C468" s="360" t="s">
        <v>749</v>
      </c>
      <c r="D468" s="360" t="s">
        <v>128</v>
      </c>
      <c r="E468" s="360" t="s">
        <v>167</v>
      </c>
      <c r="F468" s="361" t="s">
        <v>732</v>
      </c>
      <c r="G468" s="360" t="s">
        <v>145</v>
      </c>
      <c r="H468" s="361"/>
      <c r="I468" s="361"/>
      <c r="J468" s="361" t="s">
        <v>668</v>
      </c>
      <c r="K468" s="363"/>
      <c r="L468" s="360"/>
      <c r="M468" s="360"/>
      <c r="N468" s="361"/>
      <c r="O468" s="361"/>
      <c r="P468" s="361"/>
      <c r="Q468" s="361"/>
      <c r="R468" s="362"/>
      <c r="S468" s="361"/>
      <c r="T468" s="360" t="s">
        <v>132</v>
      </c>
    </row>
    <row r="469" ht="34.5">
      <c r="A469" s="360" t="s">
        <v>125</v>
      </c>
      <c r="B469" s="360" t="s">
        <v>126</v>
      </c>
      <c r="C469" s="360" t="s">
        <v>749</v>
      </c>
      <c r="D469" s="360" t="s">
        <v>128</v>
      </c>
      <c r="E469" s="360" t="s">
        <v>167</v>
      </c>
      <c r="F469" s="361" t="s">
        <v>732</v>
      </c>
      <c r="G469" s="360" t="s">
        <v>145</v>
      </c>
      <c r="H469" s="361"/>
      <c r="I469" s="361"/>
      <c r="J469" s="361" t="s">
        <v>721</v>
      </c>
      <c r="K469" s="363"/>
      <c r="L469" s="360"/>
      <c r="M469" s="360"/>
      <c r="N469" s="361"/>
      <c r="O469" s="361"/>
      <c r="P469" s="361"/>
      <c r="Q469" s="361"/>
      <c r="R469" s="362"/>
      <c r="S469" s="361"/>
      <c r="T469" s="360" t="s">
        <v>132</v>
      </c>
    </row>
    <row r="470" ht="34.5">
      <c r="A470" s="360" t="s">
        <v>125</v>
      </c>
      <c r="B470" s="360" t="s">
        <v>126</v>
      </c>
      <c r="C470" s="360" t="s">
        <v>749</v>
      </c>
      <c r="D470" s="360" t="s">
        <v>128</v>
      </c>
      <c r="E470" s="360" t="s">
        <v>167</v>
      </c>
      <c r="F470" s="361" t="s">
        <v>732</v>
      </c>
      <c r="G470" s="360" t="s">
        <v>145</v>
      </c>
      <c r="H470" s="361"/>
      <c r="I470" s="361"/>
      <c r="J470" s="361" t="s">
        <v>750</v>
      </c>
      <c r="K470" s="363"/>
      <c r="L470" s="360"/>
      <c r="M470" s="360"/>
      <c r="N470" s="361"/>
      <c r="O470" s="361"/>
      <c r="P470" s="361"/>
      <c r="Q470" s="361"/>
      <c r="R470" s="362"/>
      <c r="S470" s="361"/>
      <c r="T470" s="360" t="s">
        <v>132</v>
      </c>
    </row>
    <row r="471" ht="34.5">
      <c r="A471" s="360" t="s">
        <v>125</v>
      </c>
      <c r="B471" s="360" t="s">
        <v>126</v>
      </c>
      <c r="C471" s="360" t="s">
        <v>749</v>
      </c>
      <c r="D471" s="360" t="s">
        <v>128</v>
      </c>
      <c r="E471" s="360" t="s">
        <v>167</v>
      </c>
      <c r="F471" s="361" t="s">
        <v>732</v>
      </c>
      <c r="G471" s="360" t="s">
        <v>145</v>
      </c>
      <c r="H471" s="361"/>
      <c r="I471" s="361"/>
      <c r="J471" s="361" t="s">
        <v>751</v>
      </c>
      <c r="K471" s="363"/>
      <c r="L471" s="360"/>
      <c r="M471" s="360"/>
      <c r="N471" s="361"/>
      <c r="O471" s="361"/>
      <c r="P471" s="361"/>
      <c r="Q471" s="361"/>
      <c r="R471" s="362"/>
      <c r="S471" s="361"/>
      <c r="T471" s="360" t="s">
        <v>132</v>
      </c>
    </row>
    <row r="472" ht="34.5">
      <c r="A472" s="360" t="s">
        <v>125</v>
      </c>
      <c r="B472" s="360" t="s">
        <v>126</v>
      </c>
      <c r="C472" s="360" t="s">
        <v>749</v>
      </c>
      <c r="D472" s="360" t="s">
        <v>128</v>
      </c>
      <c r="E472" s="360" t="s">
        <v>167</v>
      </c>
      <c r="F472" s="361" t="s">
        <v>732</v>
      </c>
      <c r="G472" s="360" t="s">
        <v>145</v>
      </c>
      <c r="H472" s="361"/>
      <c r="I472" s="361"/>
      <c r="J472" s="361" t="s">
        <v>752</v>
      </c>
      <c r="K472" s="363"/>
      <c r="L472" s="360"/>
      <c r="M472" s="360"/>
      <c r="N472" s="361"/>
      <c r="O472" s="361"/>
      <c r="P472" s="361"/>
      <c r="Q472" s="361"/>
      <c r="R472" s="362"/>
      <c r="S472" s="361"/>
      <c r="T472" s="360" t="s">
        <v>132</v>
      </c>
    </row>
    <row r="473" ht="34.5">
      <c r="A473" s="360" t="s">
        <v>125</v>
      </c>
      <c r="B473" s="360" t="s">
        <v>126</v>
      </c>
      <c r="C473" s="360" t="s">
        <v>749</v>
      </c>
      <c r="D473" s="360" t="s">
        <v>128</v>
      </c>
      <c r="E473" s="360" t="s">
        <v>167</v>
      </c>
      <c r="F473" s="361" t="s">
        <v>732</v>
      </c>
      <c r="G473" s="360" t="s">
        <v>145</v>
      </c>
      <c r="H473" s="361"/>
      <c r="I473" s="361"/>
      <c r="J473" s="361" t="s">
        <v>753</v>
      </c>
      <c r="K473" s="363"/>
      <c r="L473" s="360"/>
      <c r="M473" s="360"/>
      <c r="N473" s="361"/>
      <c r="O473" s="361"/>
      <c r="P473" s="361"/>
      <c r="Q473" s="361"/>
      <c r="R473" s="362"/>
      <c r="S473" s="361"/>
      <c r="T473" s="360" t="s">
        <v>132</v>
      </c>
    </row>
    <row r="474" ht="34.5">
      <c r="A474" s="360" t="s">
        <v>125</v>
      </c>
      <c r="B474" s="360" t="s">
        <v>126</v>
      </c>
      <c r="C474" s="360" t="s">
        <v>749</v>
      </c>
      <c r="D474" s="360" t="s">
        <v>128</v>
      </c>
      <c r="E474" s="360" t="s">
        <v>167</v>
      </c>
      <c r="F474" s="361" t="s">
        <v>732</v>
      </c>
      <c r="G474" s="360" t="s">
        <v>145</v>
      </c>
      <c r="H474" s="361"/>
      <c r="I474" s="361"/>
      <c r="J474" s="361" t="s">
        <v>754</v>
      </c>
      <c r="K474" s="363"/>
      <c r="L474" s="360"/>
      <c r="M474" s="360"/>
      <c r="N474" s="361"/>
      <c r="O474" s="361"/>
      <c r="P474" s="361"/>
      <c r="Q474" s="361"/>
      <c r="R474" s="362"/>
      <c r="S474" s="361"/>
      <c r="T474" s="360" t="s">
        <v>132</v>
      </c>
    </row>
    <row r="475" ht="34.5">
      <c r="A475" s="360" t="s">
        <v>125</v>
      </c>
      <c r="B475" s="360" t="s">
        <v>126</v>
      </c>
      <c r="C475" s="360" t="s">
        <v>749</v>
      </c>
      <c r="D475" s="360" t="s">
        <v>128</v>
      </c>
      <c r="E475" s="360" t="s">
        <v>167</v>
      </c>
      <c r="F475" s="361" t="s">
        <v>732</v>
      </c>
      <c r="G475" s="360" t="s">
        <v>145</v>
      </c>
      <c r="H475" s="361"/>
      <c r="I475" s="361"/>
      <c r="J475" s="361" t="s">
        <v>755</v>
      </c>
      <c r="K475" s="363"/>
      <c r="L475" s="360"/>
      <c r="M475" s="360"/>
      <c r="N475" s="361"/>
      <c r="O475" s="361"/>
      <c r="P475" s="361"/>
      <c r="Q475" s="361"/>
      <c r="R475" s="362"/>
      <c r="S475" s="361"/>
      <c r="T475" s="360" t="s">
        <v>132</v>
      </c>
    </row>
    <row r="476" ht="34.5">
      <c r="A476" s="360" t="s">
        <v>125</v>
      </c>
      <c r="B476" s="360" t="s">
        <v>126</v>
      </c>
      <c r="C476" s="360" t="s">
        <v>756</v>
      </c>
      <c r="D476" s="360" t="s">
        <v>128</v>
      </c>
      <c r="E476" s="360" t="s">
        <v>167</v>
      </c>
      <c r="F476" s="361" t="s">
        <v>732</v>
      </c>
      <c r="G476" s="360" t="s">
        <v>145</v>
      </c>
      <c r="H476" s="361"/>
      <c r="I476" s="361"/>
      <c r="J476" s="361" t="s">
        <v>165</v>
      </c>
      <c r="K476" s="363"/>
      <c r="L476" s="360"/>
      <c r="M476" s="360"/>
      <c r="N476" s="361"/>
      <c r="O476" s="361"/>
      <c r="P476" s="361"/>
      <c r="Q476" s="361"/>
      <c r="R476" s="362"/>
      <c r="S476" s="361"/>
      <c r="T476" s="360" t="s">
        <v>132</v>
      </c>
    </row>
    <row r="477" ht="34.5">
      <c r="A477" s="360" t="s">
        <v>125</v>
      </c>
      <c r="B477" s="360" t="s">
        <v>126</v>
      </c>
      <c r="C477" s="360" t="s">
        <v>756</v>
      </c>
      <c r="D477" s="360" t="s">
        <v>128</v>
      </c>
      <c r="E477" s="360" t="s">
        <v>167</v>
      </c>
      <c r="F477" s="361" t="s">
        <v>732</v>
      </c>
      <c r="G477" s="360" t="s">
        <v>145</v>
      </c>
      <c r="H477" s="361"/>
      <c r="I477" s="361"/>
      <c r="J477" s="361" t="s">
        <v>757</v>
      </c>
      <c r="K477" s="363"/>
      <c r="L477" s="360"/>
      <c r="M477" s="360"/>
      <c r="N477" s="361"/>
      <c r="O477" s="361"/>
      <c r="P477" s="361"/>
      <c r="Q477" s="361"/>
      <c r="R477" s="362"/>
      <c r="S477" s="361"/>
      <c r="T477" s="360" t="s">
        <v>132</v>
      </c>
    </row>
    <row r="478" ht="34.5">
      <c r="A478" s="360" t="s">
        <v>125</v>
      </c>
      <c r="B478" s="360" t="s">
        <v>126</v>
      </c>
      <c r="C478" s="360" t="s">
        <v>756</v>
      </c>
      <c r="D478" s="360" t="s">
        <v>128</v>
      </c>
      <c r="E478" s="360" t="s">
        <v>167</v>
      </c>
      <c r="F478" s="361" t="s">
        <v>732</v>
      </c>
      <c r="G478" s="360" t="s">
        <v>145</v>
      </c>
      <c r="H478" s="361"/>
      <c r="I478" s="361"/>
      <c r="J478" s="361" t="s">
        <v>758</v>
      </c>
      <c r="K478" s="363"/>
      <c r="L478" s="360"/>
      <c r="M478" s="360"/>
      <c r="N478" s="361"/>
      <c r="O478" s="361"/>
      <c r="P478" s="361"/>
      <c r="Q478" s="361"/>
      <c r="R478" s="362"/>
      <c r="S478" s="361"/>
      <c r="T478" s="360" t="s">
        <v>132</v>
      </c>
    </row>
    <row r="479" ht="34.5">
      <c r="A479" s="360" t="s">
        <v>125</v>
      </c>
      <c r="B479" s="360" t="s">
        <v>126</v>
      </c>
      <c r="C479" s="360" t="s">
        <v>756</v>
      </c>
      <c r="D479" s="360" t="s">
        <v>128</v>
      </c>
      <c r="E479" s="360" t="s">
        <v>167</v>
      </c>
      <c r="F479" s="361" t="s">
        <v>732</v>
      </c>
      <c r="G479" s="360" t="s">
        <v>145</v>
      </c>
      <c r="H479" s="361"/>
      <c r="I479" s="361"/>
      <c r="J479" s="361" t="s">
        <v>759</v>
      </c>
      <c r="K479" s="363"/>
      <c r="L479" s="360"/>
      <c r="M479" s="360"/>
      <c r="N479" s="361"/>
      <c r="O479" s="361"/>
      <c r="P479" s="361"/>
      <c r="Q479" s="361"/>
      <c r="R479" s="362"/>
      <c r="S479" s="361"/>
      <c r="T479" s="360" t="s">
        <v>132</v>
      </c>
    </row>
    <row r="480" ht="34.5">
      <c r="A480" s="360" t="s">
        <v>125</v>
      </c>
      <c r="B480" s="360" t="s">
        <v>126</v>
      </c>
      <c r="C480" s="360" t="s">
        <v>756</v>
      </c>
      <c r="D480" s="360" t="s">
        <v>128</v>
      </c>
      <c r="E480" s="360" t="s">
        <v>167</v>
      </c>
      <c r="F480" s="361" t="s">
        <v>732</v>
      </c>
      <c r="G480" s="360" t="s">
        <v>145</v>
      </c>
      <c r="H480" s="361"/>
      <c r="I480" s="361"/>
      <c r="J480" s="361" t="s">
        <v>760</v>
      </c>
      <c r="K480" s="363"/>
      <c r="L480" s="360"/>
      <c r="M480" s="360"/>
      <c r="N480" s="361"/>
      <c r="O480" s="361"/>
      <c r="P480" s="361"/>
      <c r="Q480" s="361"/>
      <c r="R480" s="362"/>
      <c r="S480" s="361"/>
      <c r="T480" s="360" t="s">
        <v>132</v>
      </c>
    </row>
    <row r="481" ht="34.5">
      <c r="A481" s="360" t="s">
        <v>125</v>
      </c>
      <c r="B481" s="360" t="s">
        <v>126</v>
      </c>
      <c r="C481" s="360" t="s">
        <v>756</v>
      </c>
      <c r="D481" s="360" t="s">
        <v>128</v>
      </c>
      <c r="E481" s="360" t="s">
        <v>167</v>
      </c>
      <c r="F481" s="361" t="s">
        <v>732</v>
      </c>
      <c r="G481" s="360" t="s">
        <v>145</v>
      </c>
      <c r="H481" s="361"/>
      <c r="I481" s="361"/>
      <c r="J481" s="361" t="s">
        <v>761</v>
      </c>
      <c r="K481" s="363"/>
      <c r="L481" s="360"/>
      <c r="M481" s="360"/>
      <c r="N481" s="361"/>
      <c r="O481" s="361"/>
      <c r="P481" s="361"/>
      <c r="Q481" s="361"/>
      <c r="R481" s="362"/>
      <c r="S481" s="361"/>
      <c r="T481" s="360" t="s">
        <v>132</v>
      </c>
    </row>
    <row r="482" ht="34.5">
      <c r="A482" s="360" t="s">
        <v>125</v>
      </c>
      <c r="B482" s="360" t="s">
        <v>126</v>
      </c>
      <c r="C482" s="360" t="s">
        <v>756</v>
      </c>
      <c r="D482" s="360" t="s">
        <v>128</v>
      </c>
      <c r="E482" s="360" t="s">
        <v>167</v>
      </c>
      <c r="F482" s="361" t="s">
        <v>732</v>
      </c>
      <c r="G482" s="360" t="s">
        <v>145</v>
      </c>
      <c r="H482" s="361"/>
      <c r="I482" s="361"/>
      <c r="J482" s="361" t="s">
        <v>762</v>
      </c>
      <c r="K482" s="363"/>
      <c r="L482" s="360"/>
      <c r="M482" s="360"/>
      <c r="N482" s="361"/>
      <c r="O482" s="361"/>
      <c r="P482" s="361"/>
      <c r="Q482" s="361"/>
      <c r="R482" s="362"/>
      <c r="S482" s="361"/>
      <c r="T482" s="360" t="s">
        <v>132</v>
      </c>
    </row>
    <row r="483" ht="34.5">
      <c r="A483" s="360" t="s">
        <v>125</v>
      </c>
      <c r="B483" s="360" t="s">
        <v>126</v>
      </c>
      <c r="C483" s="360" t="s">
        <v>763</v>
      </c>
      <c r="D483" s="360" t="s">
        <v>128</v>
      </c>
      <c r="E483" s="360" t="s">
        <v>317</v>
      </c>
      <c r="F483" s="361" t="s">
        <v>764</v>
      </c>
      <c r="G483" s="360" t="s">
        <v>319</v>
      </c>
      <c r="H483" s="361"/>
      <c r="I483" s="361"/>
      <c r="J483" s="361" t="s">
        <v>765</v>
      </c>
      <c r="K483" s="363"/>
      <c r="L483" s="360"/>
      <c r="M483" s="360"/>
      <c r="N483" s="361"/>
      <c r="O483" s="361"/>
      <c r="P483" s="361"/>
      <c r="Q483" s="361"/>
      <c r="R483" s="362"/>
      <c r="S483" s="361"/>
      <c r="T483" s="360" t="s">
        <v>132</v>
      </c>
    </row>
    <row r="484" ht="34.5">
      <c r="A484" s="360" t="s">
        <v>125</v>
      </c>
      <c r="B484" s="360" t="s">
        <v>126</v>
      </c>
      <c r="C484" s="360" t="s">
        <v>763</v>
      </c>
      <c r="D484" s="360" t="s">
        <v>128</v>
      </c>
      <c r="E484" s="360" t="s">
        <v>317</v>
      </c>
      <c r="F484" s="361" t="s">
        <v>764</v>
      </c>
      <c r="G484" s="360" t="s">
        <v>319</v>
      </c>
      <c r="H484" s="361"/>
      <c r="I484" s="361"/>
      <c r="J484" s="361" t="s">
        <v>766</v>
      </c>
      <c r="K484" s="363"/>
      <c r="L484" s="360"/>
      <c r="M484" s="360"/>
      <c r="N484" s="361"/>
      <c r="O484" s="361"/>
      <c r="P484" s="361"/>
      <c r="Q484" s="361"/>
      <c r="R484" s="362"/>
      <c r="S484" s="361"/>
      <c r="T484" s="360" t="s">
        <v>132</v>
      </c>
    </row>
    <row r="485" ht="34.5">
      <c r="A485" s="360" t="s">
        <v>125</v>
      </c>
      <c r="B485" s="360" t="s">
        <v>126</v>
      </c>
      <c r="C485" s="360" t="s">
        <v>763</v>
      </c>
      <c r="D485" s="360" t="s">
        <v>128</v>
      </c>
      <c r="E485" s="360" t="s">
        <v>317</v>
      </c>
      <c r="F485" s="361" t="s">
        <v>764</v>
      </c>
      <c r="G485" s="360" t="s">
        <v>319</v>
      </c>
      <c r="H485" s="361"/>
      <c r="I485" s="361"/>
      <c r="J485" s="361" t="s">
        <v>767</v>
      </c>
      <c r="K485" s="363"/>
      <c r="L485" s="360"/>
      <c r="M485" s="360"/>
      <c r="N485" s="361"/>
      <c r="O485" s="361"/>
      <c r="P485" s="361"/>
      <c r="Q485" s="361"/>
      <c r="R485" s="362"/>
      <c r="S485" s="361"/>
      <c r="T485" s="360" t="s">
        <v>132</v>
      </c>
    </row>
    <row r="486" ht="34.5">
      <c r="A486" s="360" t="s">
        <v>125</v>
      </c>
      <c r="B486" s="360" t="s">
        <v>126</v>
      </c>
      <c r="C486" s="360" t="s">
        <v>763</v>
      </c>
      <c r="D486" s="360" t="s">
        <v>128</v>
      </c>
      <c r="E486" s="360" t="s">
        <v>317</v>
      </c>
      <c r="F486" s="361" t="s">
        <v>764</v>
      </c>
      <c r="G486" s="360" t="s">
        <v>319</v>
      </c>
      <c r="H486" s="361"/>
      <c r="I486" s="361"/>
      <c r="J486" s="361" t="s">
        <v>768</v>
      </c>
      <c r="K486" s="363"/>
      <c r="L486" s="360"/>
      <c r="M486" s="360"/>
      <c r="N486" s="361"/>
      <c r="O486" s="361"/>
      <c r="P486" s="361"/>
      <c r="Q486" s="361"/>
      <c r="R486" s="362"/>
      <c r="S486" s="361"/>
      <c r="T486" s="360" t="s">
        <v>132</v>
      </c>
    </row>
    <row r="487" ht="34.5">
      <c r="A487" s="360" t="s">
        <v>125</v>
      </c>
      <c r="B487" s="360" t="s">
        <v>126</v>
      </c>
      <c r="C487" s="360" t="s">
        <v>763</v>
      </c>
      <c r="D487" s="360" t="s">
        <v>128</v>
      </c>
      <c r="E487" s="360" t="s">
        <v>317</v>
      </c>
      <c r="F487" s="361" t="s">
        <v>764</v>
      </c>
      <c r="G487" s="360" t="s">
        <v>319</v>
      </c>
      <c r="H487" s="361"/>
      <c r="I487" s="361"/>
      <c r="J487" s="361" t="s">
        <v>769</v>
      </c>
      <c r="K487" s="363"/>
      <c r="L487" s="360"/>
      <c r="M487" s="360"/>
      <c r="N487" s="361"/>
      <c r="O487" s="361"/>
      <c r="P487" s="361"/>
      <c r="Q487" s="361"/>
      <c r="R487" s="362"/>
      <c r="S487" s="361"/>
      <c r="T487" s="360" t="s">
        <v>132</v>
      </c>
    </row>
    <row r="488" ht="34.5">
      <c r="A488" s="360" t="s">
        <v>125</v>
      </c>
      <c r="B488" s="360" t="s">
        <v>126</v>
      </c>
      <c r="C488" s="360" t="s">
        <v>763</v>
      </c>
      <c r="D488" s="360" t="s">
        <v>128</v>
      </c>
      <c r="E488" s="360" t="s">
        <v>317</v>
      </c>
      <c r="F488" s="361" t="s">
        <v>764</v>
      </c>
      <c r="G488" s="360" t="s">
        <v>319</v>
      </c>
      <c r="H488" s="361"/>
      <c r="I488" s="361"/>
      <c r="J488" s="361" t="s">
        <v>770</v>
      </c>
      <c r="K488" s="363"/>
      <c r="L488" s="360"/>
      <c r="M488" s="360"/>
      <c r="N488" s="361"/>
      <c r="O488" s="361"/>
      <c r="P488" s="361"/>
      <c r="Q488" s="361"/>
      <c r="R488" s="362"/>
      <c r="S488" s="361"/>
      <c r="T488" s="360" t="s">
        <v>132</v>
      </c>
    </row>
    <row r="489" ht="34.5">
      <c r="A489" s="360" t="s">
        <v>125</v>
      </c>
      <c r="B489" s="360" t="s">
        <v>126</v>
      </c>
      <c r="C489" s="360" t="s">
        <v>763</v>
      </c>
      <c r="D489" s="360" t="s">
        <v>128</v>
      </c>
      <c r="E489" s="360" t="s">
        <v>317</v>
      </c>
      <c r="F489" s="361" t="s">
        <v>764</v>
      </c>
      <c r="G489" s="360" t="s">
        <v>319</v>
      </c>
      <c r="H489" s="361"/>
      <c r="I489" s="361"/>
      <c r="J489" s="361" t="s">
        <v>771</v>
      </c>
      <c r="K489" s="363"/>
      <c r="L489" s="360"/>
      <c r="M489" s="360"/>
      <c r="N489" s="361"/>
      <c r="O489" s="361"/>
      <c r="P489" s="361"/>
      <c r="Q489" s="361"/>
      <c r="R489" s="362"/>
      <c r="S489" s="361"/>
      <c r="T489" s="360" t="s">
        <v>132</v>
      </c>
    </row>
    <row r="490" ht="34.5">
      <c r="A490" s="360" t="s">
        <v>125</v>
      </c>
      <c r="B490" s="360" t="s">
        <v>126</v>
      </c>
      <c r="C490" s="360" t="s">
        <v>763</v>
      </c>
      <c r="D490" s="360" t="s">
        <v>772</v>
      </c>
      <c r="E490" s="360" t="s">
        <v>317</v>
      </c>
      <c r="F490" s="361" t="s">
        <v>764</v>
      </c>
      <c r="G490" s="360" t="s">
        <v>319</v>
      </c>
      <c r="H490" s="361"/>
      <c r="I490" s="361"/>
      <c r="J490" s="361" t="s">
        <v>773</v>
      </c>
      <c r="K490" s="363"/>
      <c r="L490" s="360"/>
      <c r="M490" s="360"/>
      <c r="N490" s="361"/>
      <c r="O490" s="361"/>
      <c r="P490" s="361"/>
      <c r="Q490" s="361"/>
      <c r="R490" s="362"/>
      <c r="S490" s="361"/>
      <c r="T490" s="360" t="s">
        <v>132</v>
      </c>
    </row>
    <row r="491" ht="34.5">
      <c r="A491" s="360" t="s">
        <v>125</v>
      </c>
      <c r="B491" s="360" t="s">
        <v>126</v>
      </c>
      <c r="C491" s="360" t="s">
        <v>774</v>
      </c>
      <c r="D491" s="360" t="s">
        <v>128</v>
      </c>
      <c r="E491" s="360" t="s">
        <v>317</v>
      </c>
      <c r="F491" s="361" t="s">
        <v>764</v>
      </c>
      <c r="G491" s="360" t="s">
        <v>319</v>
      </c>
      <c r="H491" s="361"/>
      <c r="I491" s="361"/>
      <c r="J491" s="361" t="s">
        <v>668</v>
      </c>
      <c r="K491" s="363"/>
      <c r="L491" s="360"/>
      <c r="M491" s="360"/>
      <c r="N491" s="361"/>
      <c r="O491" s="361"/>
      <c r="P491" s="361"/>
      <c r="Q491" s="361"/>
      <c r="R491" s="362"/>
      <c r="S491" s="361"/>
      <c r="T491" s="360" t="s">
        <v>132</v>
      </c>
    </row>
    <row r="492" ht="34.5">
      <c r="A492" s="360" t="s">
        <v>125</v>
      </c>
      <c r="B492" s="360" t="s">
        <v>126</v>
      </c>
      <c r="C492" s="360" t="s">
        <v>774</v>
      </c>
      <c r="D492" s="360" t="s">
        <v>128</v>
      </c>
      <c r="E492" s="360" t="s">
        <v>317</v>
      </c>
      <c r="F492" s="361" t="s">
        <v>764</v>
      </c>
      <c r="G492" s="360" t="s">
        <v>319</v>
      </c>
      <c r="H492" s="361"/>
      <c r="I492" s="361"/>
      <c r="J492" s="361" t="s">
        <v>721</v>
      </c>
      <c r="K492" s="363"/>
      <c r="L492" s="360"/>
      <c r="M492" s="360"/>
      <c r="N492" s="361"/>
      <c r="O492" s="361"/>
      <c r="P492" s="361"/>
      <c r="Q492" s="361"/>
      <c r="R492" s="362"/>
      <c r="S492" s="361"/>
      <c r="T492" s="360" t="s">
        <v>132</v>
      </c>
    </row>
    <row r="493" ht="34.5">
      <c r="A493" s="360" t="s">
        <v>125</v>
      </c>
      <c r="B493" s="360" t="s">
        <v>126</v>
      </c>
      <c r="C493" s="360" t="s">
        <v>774</v>
      </c>
      <c r="D493" s="360" t="s">
        <v>128</v>
      </c>
      <c r="E493" s="360" t="s">
        <v>317</v>
      </c>
      <c r="F493" s="361" t="s">
        <v>764</v>
      </c>
      <c r="G493" s="360" t="s">
        <v>319</v>
      </c>
      <c r="H493" s="361"/>
      <c r="I493" s="361"/>
      <c r="J493" s="361" t="s">
        <v>775</v>
      </c>
      <c r="K493" s="363"/>
      <c r="L493" s="360"/>
      <c r="M493" s="360"/>
      <c r="N493" s="361"/>
      <c r="O493" s="361"/>
      <c r="P493" s="361"/>
      <c r="Q493" s="361"/>
      <c r="R493" s="362"/>
      <c r="S493" s="361"/>
      <c r="T493" s="360" t="s">
        <v>132</v>
      </c>
    </row>
    <row r="494" ht="34.5">
      <c r="A494" s="360" t="s">
        <v>125</v>
      </c>
      <c r="B494" s="360" t="s">
        <v>126</v>
      </c>
      <c r="C494" s="360" t="s">
        <v>774</v>
      </c>
      <c r="D494" s="360" t="s">
        <v>128</v>
      </c>
      <c r="E494" s="360" t="s">
        <v>360</v>
      </c>
      <c r="F494" s="361" t="s">
        <v>776</v>
      </c>
      <c r="G494" s="360" t="s">
        <v>472</v>
      </c>
      <c r="H494" s="361"/>
      <c r="I494" s="361"/>
      <c r="J494" s="361" t="s">
        <v>777</v>
      </c>
      <c r="K494" s="363"/>
      <c r="L494" s="360"/>
      <c r="M494" s="360"/>
      <c r="N494" s="361"/>
      <c r="O494" s="361"/>
      <c r="P494" s="361"/>
      <c r="Q494" s="361"/>
      <c r="R494" s="362"/>
      <c r="S494" s="361"/>
      <c r="T494" s="360" t="s">
        <v>132</v>
      </c>
    </row>
    <row r="495" ht="34.5">
      <c r="A495" s="360" t="s">
        <v>125</v>
      </c>
      <c r="B495" s="360" t="s">
        <v>126</v>
      </c>
      <c r="C495" s="360" t="s">
        <v>774</v>
      </c>
      <c r="D495" s="360" t="s">
        <v>128</v>
      </c>
      <c r="E495" s="360" t="s">
        <v>360</v>
      </c>
      <c r="F495" s="361" t="s">
        <v>776</v>
      </c>
      <c r="G495" s="360" t="s">
        <v>472</v>
      </c>
      <c r="H495" s="361"/>
      <c r="I495" s="361"/>
      <c r="J495" s="361" t="s">
        <v>778</v>
      </c>
      <c r="K495" s="363"/>
      <c r="L495" s="360"/>
      <c r="M495" s="360"/>
      <c r="N495" s="361"/>
      <c r="O495" s="361"/>
      <c r="P495" s="361"/>
      <c r="Q495" s="361"/>
      <c r="R495" s="362"/>
      <c r="S495" s="361"/>
      <c r="T495" s="360" t="s">
        <v>132</v>
      </c>
    </row>
    <row r="496" ht="34.5">
      <c r="A496" s="360" t="s">
        <v>125</v>
      </c>
      <c r="B496" s="360" t="s">
        <v>126</v>
      </c>
      <c r="C496" s="360" t="s">
        <v>774</v>
      </c>
      <c r="D496" s="360" t="s">
        <v>128</v>
      </c>
      <c r="E496" s="360" t="s">
        <v>360</v>
      </c>
      <c r="F496" s="361" t="s">
        <v>776</v>
      </c>
      <c r="G496" s="360" t="s">
        <v>472</v>
      </c>
      <c r="H496" s="361"/>
      <c r="I496" s="361"/>
      <c r="J496" s="361" t="s">
        <v>779</v>
      </c>
      <c r="K496" s="363"/>
      <c r="L496" s="360"/>
      <c r="M496" s="360"/>
      <c r="N496" s="361"/>
      <c r="O496" s="361"/>
      <c r="P496" s="361"/>
      <c r="Q496" s="361"/>
      <c r="R496" s="362"/>
      <c r="S496" s="361"/>
      <c r="T496" s="360" t="s">
        <v>132</v>
      </c>
    </row>
    <row r="497" ht="34.5">
      <c r="A497" s="360" t="s">
        <v>125</v>
      </c>
      <c r="B497" s="360" t="s">
        <v>126</v>
      </c>
      <c r="C497" s="360" t="s">
        <v>774</v>
      </c>
      <c r="D497" s="360" t="s">
        <v>128</v>
      </c>
      <c r="E497" s="360" t="s">
        <v>360</v>
      </c>
      <c r="F497" s="361" t="s">
        <v>776</v>
      </c>
      <c r="G497" s="360" t="s">
        <v>472</v>
      </c>
      <c r="H497" s="361"/>
      <c r="I497" s="361"/>
      <c r="J497" s="361" t="s">
        <v>780</v>
      </c>
      <c r="K497" s="363"/>
      <c r="L497" s="360"/>
      <c r="M497" s="360"/>
      <c r="N497" s="361"/>
      <c r="O497" s="361"/>
      <c r="P497" s="361"/>
      <c r="Q497" s="361"/>
      <c r="R497" s="362"/>
      <c r="S497" s="361"/>
      <c r="T497" s="360" t="s">
        <v>132</v>
      </c>
    </row>
    <row r="498" ht="34.5">
      <c r="A498" s="360" t="s">
        <v>125</v>
      </c>
      <c r="B498" s="360" t="s">
        <v>126</v>
      </c>
      <c r="C498" s="360" t="s">
        <v>774</v>
      </c>
      <c r="D498" s="360" t="s">
        <v>128</v>
      </c>
      <c r="E498" s="360" t="s">
        <v>360</v>
      </c>
      <c r="F498" s="361" t="s">
        <v>776</v>
      </c>
      <c r="G498" s="360" t="s">
        <v>472</v>
      </c>
      <c r="H498" s="361"/>
      <c r="I498" s="361"/>
      <c r="J498" s="361" t="s">
        <v>781</v>
      </c>
      <c r="K498" s="363"/>
      <c r="L498" s="360"/>
      <c r="M498" s="360"/>
      <c r="N498" s="361"/>
      <c r="O498" s="361"/>
      <c r="P498" s="361"/>
      <c r="Q498" s="361"/>
      <c r="R498" s="362"/>
      <c r="S498" s="361"/>
      <c r="T498" s="360" t="s">
        <v>132</v>
      </c>
    </row>
    <row r="499" ht="34.5">
      <c r="A499" s="360" t="s">
        <v>125</v>
      </c>
      <c r="B499" s="360" t="s">
        <v>126</v>
      </c>
      <c r="C499" s="360" t="s">
        <v>782</v>
      </c>
      <c r="D499" s="360" t="s">
        <v>128</v>
      </c>
      <c r="E499" s="360" t="s">
        <v>360</v>
      </c>
      <c r="F499" s="361" t="s">
        <v>776</v>
      </c>
      <c r="G499" s="360" t="s">
        <v>472</v>
      </c>
      <c r="H499" s="361"/>
      <c r="I499" s="361"/>
      <c r="J499" s="361" t="s">
        <v>668</v>
      </c>
      <c r="K499" s="363"/>
      <c r="L499" s="360"/>
      <c r="M499" s="360"/>
      <c r="N499" s="361"/>
      <c r="O499" s="361"/>
      <c r="P499" s="361"/>
      <c r="Q499" s="361"/>
      <c r="R499" s="362"/>
      <c r="S499" s="361"/>
      <c r="T499" s="360" t="s">
        <v>132</v>
      </c>
    </row>
    <row r="500" ht="34.5">
      <c r="A500" s="360" t="s">
        <v>125</v>
      </c>
      <c r="B500" s="360" t="s">
        <v>126</v>
      </c>
      <c r="C500" s="360" t="s">
        <v>782</v>
      </c>
      <c r="D500" s="360" t="s">
        <v>128</v>
      </c>
      <c r="E500" s="360" t="s">
        <v>360</v>
      </c>
      <c r="F500" s="361" t="s">
        <v>776</v>
      </c>
      <c r="G500" s="360" t="s">
        <v>472</v>
      </c>
      <c r="H500" s="361"/>
      <c r="I500" s="361"/>
      <c r="J500" s="361" t="s">
        <v>783</v>
      </c>
      <c r="K500" s="363"/>
      <c r="L500" s="360"/>
      <c r="M500" s="360"/>
      <c r="N500" s="361"/>
      <c r="O500" s="361"/>
      <c r="P500" s="361"/>
      <c r="Q500" s="361"/>
      <c r="R500" s="362"/>
      <c r="S500" s="361"/>
      <c r="T500" s="360" t="s">
        <v>132</v>
      </c>
    </row>
    <row r="501" ht="34.5">
      <c r="A501" s="360" t="s">
        <v>125</v>
      </c>
      <c r="B501" s="360" t="s">
        <v>126</v>
      </c>
      <c r="C501" s="360" t="s">
        <v>782</v>
      </c>
      <c r="D501" s="360" t="s">
        <v>128</v>
      </c>
      <c r="E501" s="360" t="s">
        <v>360</v>
      </c>
      <c r="F501" s="361" t="s">
        <v>776</v>
      </c>
      <c r="G501" s="360" t="s">
        <v>472</v>
      </c>
      <c r="H501" s="361"/>
      <c r="I501" s="361"/>
      <c r="J501" s="361" t="s">
        <v>784</v>
      </c>
      <c r="K501" s="363"/>
      <c r="L501" s="360"/>
      <c r="M501" s="360"/>
      <c r="N501" s="361"/>
      <c r="O501" s="361"/>
      <c r="P501" s="361"/>
      <c r="Q501" s="361"/>
      <c r="R501" s="362"/>
      <c r="S501" s="361"/>
      <c r="T501" s="360" t="s">
        <v>132</v>
      </c>
    </row>
    <row r="502" ht="34.5">
      <c r="A502" s="360" t="s">
        <v>125</v>
      </c>
      <c r="B502" s="360" t="s">
        <v>126</v>
      </c>
      <c r="C502" s="360" t="s">
        <v>782</v>
      </c>
      <c r="D502" s="360" t="s">
        <v>128</v>
      </c>
      <c r="E502" s="360" t="s">
        <v>360</v>
      </c>
      <c r="F502" s="361" t="s">
        <v>776</v>
      </c>
      <c r="G502" s="360" t="s">
        <v>472</v>
      </c>
      <c r="H502" s="361"/>
      <c r="I502" s="361"/>
      <c r="J502" s="361" t="s">
        <v>785</v>
      </c>
      <c r="K502" s="363"/>
      <c r="L502" s="360"/>
      <c r="M502" s="360"/>
      <c r="N502" s="361"/>
      <c r="O502" s="361"/>
      <c r="P502" s="361"/>
      <c r="Q502" s="361"/>
      <c r="R502" s="362"/>
      <c r="S502" s="361"/>
      <c r="T502" s="360" t="s">
        <v>132</v>
      </c>
    </row>
    <row r="503" ht="34.5">
      <c r="A503" s="360" t="s">
        <v>125</v>
      </c>
      <c r="B503" s="360" t="s">
        <v>126</v>
      </c>
      <c r="C503" s="360" t="s">
        <v>782</v>
      </c>
      <c r="D503" s="360" t="s">
        <v>128</v>
      </c>
      <c r="E503" s="360" t="s">
        <v>360</v>
      </c>
      <c r="F503" s="361" t="s">
        <v>776</v>
      </c>
      <c r="G503" s="360" t="s">
        <v>472</v>
      </c>
      <c r="H503" s="361"/>
      <c r="I503" s="361"/>
      <c r="J503" s="361" t="s">
        <v>786</v>
      </c>
      <c r="K503" s="363"/>
      <c r="L503" s="360"/>
      <c r="M503" s="360"/>
      <c r="N503" s="361"/>
      <c r="O503" s="361"/>
      <c r="P503" s="361"/>
      <c r="Q503" s="361"/>
      <c r="R503" s="362"/>
      <c r="S503" s="361"/>
      <c r="T503" s="360" t="s">
        <v>132</v>
      </c>
    </row>
    <row r="504" ht="34.5">
      <c r="A504" s="360" t="s">
        <v>125</v>
      </c>
      <c r="B504" s="360" t="s">
        <v>126</v>
      </c>
      <c r="C504" s="360" t="s">
        <v>782</v>
      </c>
      <c r="D504" s="360" t="s">
        <v>128</v>
      </c>
      <c r="E504" s="360" t="s">
        <v>360</v>
      </c>
      <c r="F504" s="361" t="s">
        <v>776</v>
      </c>
      <c r="G504" s="360" t="s">
        <v>472</v>
      </c>
      <c r="H504" s="361"/>
      <c r="I504" s="361"/>
      <c r="J504" s="361" t="s">
        <v>787</v>
      </c>
      <c r="K504" s="363"/>
      <c r="L504" s="360"/>
      <c r="M504" s="360"/>
      <c r="N504" s="361"/>
      <c r="O504" s="361"/>
      <c r="P504" s="361"/>
      <c r="Q504" s="361"/>
      <c r="R504" s="362"/>
      <c r="S504" s="361"/>
      <c r="T504" s="360" t="s">
        <v>132</v>
      </c>
    </row>
    <row r="505" ht="34.5">
      <c r="A505" s="360" t="s">
        <v>125</v>
      </c>
      <c r="B505" s="360" t="s">
        <v>126</v>
      </c>
      <c r="C505" s="360" t="s">
        <v>782</v>
      </c>
      <c r="D505" s="360" t="s">
        <v>788</v>
      </c>
      <c r="E505" s="360" t="s">
        <v>360</v>
      </c>
      <c r="F505" s="361" t="s">
        <v>776</v>
      </c>
      <c r="G505" s="360" t="s">
        <v>472</v>
      </c>
      <c r="H505" s="361"/>
      <c r="I505" s="361"/>
      <c r="J505" s="361" t="s">
        <v>789</v>
      </c>
      <c r="K505" s="363"/>
      <c r="L505" s="360"/>
      <c r="M505" s="360"/>
      <c r="N505" s="361"/>
      <c r="O505" s="361"/>
      <c r="P505" s="361"/>
      <c r="Q505" s="361"/>
      <c r="R505" s="362"/>
      <c r="S505" s="361"/>
      <c r="T505" s="360" t="s">
        <v>132</v>
      </c>
    </row>
    <row r="506" ht="34.5">
      <c r="A506" s="360" t="s">
        <v>125</v>
      </c>
      <c r="B506" s="360" t="s">
        <v>126</v>
      </c>
      <c r="C506" s="360" t="s">
        <v>782</v>
      </c>
      <c r="D506" s="360" t="s">
        <v>128</v>
      </c>
      <c r="E506" s="360" t="s">
        <v>360</v>
      </c>
      <c r="F506" s="361" t="s">
        <v>776</v>
      </c>
      <c r="G506" s="360" t="s">
        <v>472</v>
      </c>
      <c r="H506" s="361"/>
      <c r="I506" s="361"/>
      <c r="J506" s="361" t="s">
        <v>790</v>
      </c>
      <c r="K506" s="363"/>
      <c r="L506" s="360"/>
      <c r="M506" s="360"/>
      <c r="N506" s="361"/>
      <c r="O506" s="361"/>
      <c r="P506" s="361"/>
      <c r="Q506" s="361"/>
      <c r="R506" s="362"/>
      <c r="S506" s="361"/>
      <c r="T506" s="360" t="s">
        <v>132</v>
      </c>
    </row>
    <row r="507" ht="34.5">
      <c r="A507" s="360" t="s">
        <v>125</v>
      </c>
      <c r="B507" s="360" t="s">
        <v>126</v>
      </c>
      <c r="C507" s="360" t="s">
        <v>782</v>
      </c>
      <c r="D507" s="360" t="s">
        <v>128</v>
      </c>
      <c r="E507" s="360" t="s">
        <v>360</v>
      </c>
      <c r="F507" s="361" t="s">
        <v>776</v>
      </c>
      <c r="G507" s="360" t="s">
        <v>472</v>
      </c>
      <c r="H507" s="361"/>
      <c r="I507" s="361"/>
      <c r="J507" s="361" t="s">
        <v>791</v>
      </c>
      <c r="K507" s="363"/>
      <c r="L507" s="360"/>
      <c r="M507" s="360"/>
      <c r="N507" s="361"/>
      <c r="O507" s="361"/>
      <c r="P507" s="361"/>
      <c r="Q507" s="361"/>
      <c r="R507" s="362"/>
      <c r="S507" s="361"/>
      <c r="T507" s="360" t="s">
        <v>132</v>
      </c>
    </row>
    <row r="508" ht="34.5">
      <c r="A508" s="360" t="s">
        <v>125</v>
      </c>
      <c r="B508" s="360" t="s">
        <v>126</v>
      </c>
      <c r="C508" s="360" t="s">
        <v>782</v>
      </c>
      <c r="D508" s="360" t="s">
        <v>128</v>
      </c>
      <c r="E508" s="360" t="s">
        <v>360</v>
      </c>
      <c r="F508" s="361" t="s">
        <v>776</v>
      </c>
      <c r="G508" s="360" t="s">
        <v>472</v>
      </c>
      <c r="H508" s="361"/>
      <c r="I508" s="361"/>
      <c r="J508" s="361" t="s">
        <v>792</v>
      </c>
      <c r="K508" s="363"/>
      <c r="L508" s="360"/>
      <c r="M508" s="360"/>
      <c r="N508" s="361"/>
      <c r="O508" s="361"/>
      <c r="P508" s="361"/>
      <c r="Q508" s="361"/>
      <c r="R508" s="362"/>
      <c r="S508" s="361"/>
      <c r="T508" s="360" t="s">
        <v>132</v>
      </c>
    </row>
    <row r="509" ht="34.5">
      <c r="A509" s="360" t="s">
        <v>125</v>
      </c>
      <c r="B509" s="360" t="s">
        <v>126</v>
      </c>
      <c r="C509" s="360" t="s">
        <v>782</v>
      </c>
      <c r="D509" s="360" t="s">
        <v>128</v>
      </c>
      <c r="E509" s="360" t="s">
        <v>360</v>
      </c>
      <c r="F509" s="361" t="s">
        <v>776</v>
      </c>
      <c r="G509" s="360" t="s">
        <v>472</v>
      </c>
      <c r="H509" s="361"/>
      <c r="I509" s="361"/>
      <c r="J509" s="361" t="s">
        <v>793</v>
      </c>
      <c r="K509" s="363"/>
      <c r="L509" s="360"/>
      <c r="M509" s="360"/>
      <c r="N509" s="361"/>
      <c r="O509" s="361"/>
      <c r="P509" s="361"/>
      <c r="Q509" s="361"/>
      <c r="R509" s="362"/>
      <c r="S509" s="361"/>
      <c r="T509" s="360" t="s">
        <v>132</v>
      </c>
    </row>
    <row r="510" ht="34.5">
      <c r="A510" s="360" t="s">
        <v>125</v>
      </c>
      <c r="B510" s="360" t="s">
        <v>126</v>
      </c>
      <c r="C510" s="360" t="s">
        <v>794</v>
      </c>
      <c r="D510" s="360" t="s">
        <v>128</v>
      </c>
      <c r="E510" s="360" t="s">
        <v>360</v>
      </c>
      <c r="F510" s="361" t="s">
        <v>776</v>
      </c>
      <c r="G510" s="360" t="s">
        <v>472</v>
      </c>
      <c r="H510" s="361"/>
      <c r="I510" s="361"/>
      <c r="J510" s="361" t="s">
        <v>713</v>
      </c>
      <c r="K510" s="363"/>
      <c r="L510" s="360"/>
      <c r="M510" s="360"/>
      <c r="N510" s="361"/>
      <c r="O510" s="361"/>
      <c r="P510" s="361"/>
      <c r="Q510" s="361"/>
      <c r="R510" s="362"/>
      <c r="S510" s="361"/>
      <c r="T510" s="360" t="s">
        <v>132</v>
      </c>
    </row>
    <row r="511" ht="34.5">
      <c r="A511" s="360" t="s">
        <v>125</v>
      </c>
      <c r="B511" s="360" t="s">
        <v>126</v>
      </c>
      <c r="C511" s="360" t="s">
        <v>794</v>
      </c>
      <c r="D511" s="360" t="s">
        <v>128</v>
      </c>
      <c r="E511" s="360" t="s">
        <v>466</v>
      </c>
      <c r="F511" s="361" t="s">
        <v>795</v>
      </c>
      <c r="G511" s="360" t="s">
        <v>499</v>
      </c>
      <c r="H511" s="361"/>
      <c r="I511" s="361"/>
      <c r="J511" s="361" t="s">
        <v>796</v>
      </c>
      <c r="K511" s="363"/>
      <c r="L511" s="360"/>
      <c r="M511" s="360"/>
      <c r="N511" s="361"/>
      <c r="O511" s="361"/>
      <c r="P511" s="361"/>
      <c r="Q511" s="361"/>
      <c r="R511" s="362"/>
      <c r="S511" s="361"/>
      <c r="T511" s="360" t="s">
        <v>132</v>
      </c>
    </row>
    <row r="512" ht="34.5">
      <c r="A512" s="360" t="s">
        <v>125</v>
      </c>
      <c r="B512" s="360" t="s">
        <v>126</v>
      </c>
      <c r="C512" s="360" t="s">
        <v>794</v>
      </c>
      <c r="D512" s="360" t="s">
        <v>797</v>
      </c>
      <c r="E512" s="360" t="s">
        <v>466</v>
      </c>
      <c r="F512" s="361" t="s">
        <v>795</v>
      </c>
      <c r="G512" s="360" t="s">
        <v>499</v>
      </c>
      <c r="H512" s="361"/>
      <c r="I512" s="361"/>
      <c r="J512" s="361" t="s">
        <v>798</v>
      </c>
      <c r="K512" s="363"/>
      <c r="L512" s="360"/>
      <c r="M512" s="360"/>
      <c r="N512" s="361"/>
      <c r="O512" s="361"/>
      <c r="P512" s="361"/>
      <c r="Q512" s="361"/>
      <c r="R512" s="362"/>
      <c r="S512" s="361"/>
      <c r="T512" s="360" t="s">
        <v>132</v>
      </c>
    </row>
    <row r="513" ht="34.5">
      <c r="A513" s="360" t="s">
        <v>125</v>
      </c>
      <c r="B513" s="360" t="s">
        <v>126</v>
      </c>
      <c r="C513" s="360" t="s">
        <v>794</v>
      </c>
      <c r="D513" s="360" t="s">
        <v>128</v>
      </c>
      <c r="E513" s="360" t="s">
        <v>470</v>
      </c>
      <c r="F513" s="361" t="s">
        <v>799</v>
      </c>
      <c r="G513" s="360" t="s">
        <v>36</v>
      </c>
      <c r="H513" s="361"/>
      <c r="I513" s="361"/>
      <c r="J513" s="361" t="s">
        <v>800</v>
      </c>
      <c r="K513" s="363"/>
      <c r="L513" s="360"/>
      <c r="M513" s="360"/>
      <c r="N513" s="361"/>
      <c r="O513" s="361"/>
      <c r="P513" s="361"/>
      <c r="Q513" s="361"/>
      <c r="R513" s="362"/>
      <c r="S513" s="361"/>
      <c r="T513" s="360" t="s">
        <v>132</v>
      </c>
    </row>
    <row r="514" ht="34.5">
      <c r="A514" s="360" t="s">
        <v>125</v>
      </c>
      <c r="B514" s="360" t="s">
        <v>126</v>
      </c>
      <c r="C514" s="360" t="s">
        <v>794</v>
      </c>
      <c r="D514" s="360" t="s">
        <v>801</v>
      </c>
      <c r="E514" s="360" t="s">
        <v>470</v>
      </c>
      <c r="F514" s="361" t="s">
        <v>799</v>
      </c>
      <c r="G514" s="360" t="s">
        <v>36</v>
      </c>
      <c r="H514" s="361"/>
      <c r="I514" s="361"/>
      <c r="J514" s="361" t="s">
        <v>802</v>
      </c>
      <c r="K514" s="363"/>
      <c r="L514" s="360"/>
      <c r="M514" s="360"/>
      <c r="N514" s="361"/>
      <c r="O514" s="361"/>
      <c r="P514" s="361"/>
      <c r="Q514" s="361"/>
      <c r="R514" s="362"/>
      <c r="S514" s="361"/>
      <c r="T514" s="360" t="s">
        <v>132</v>
      </c>
    </row>
    <row r="515" ht="34.5">
      <c r="A515" s="360" t="s">
        <v>125</v>
      </c>
      <c r="B515" s="360" t="s">
        <v>126</v>
      </c>
      <c r="C515" s="360" t="s">
        <v>794</v>
      </c>
      <c r="D515" s="360" t="s">
        <v>128</v>
      </c>
      <c r="E515" s="360" t="s">
        <v>470</v>
      </c>
      <c r="F515" s="361" t="s">
        <v>799</v>
      </c>
      <c r="G515" s="360" t="s">
        <v>36</v>
      </c>
      <c r="H515" s="361"/>
      <c r="I515" s="361"/>
      <c r="J515" s="361" t="s">
        <v>803</v>
      </c>
      <c r="K515" s="363"/>
      <c r="L515" s="360"/>
      <c r="M515" s="360"/>
      <c r="N515" s="361"/>
      <c r="O515" s="361"/>
      <c r="P515" s="361"/>
      <c r="Q515" s="361"/>
      <c r="R515" s="362"/>
      <c r="S515" s="361"/>
      <c r="T515" s="360" t="s">
        <v>132</v>
      </c>
    </row>
    <row r="516" ht="34.5">
      <c r="A516" s="360" t="s">
        <v>125</v>
      </c>
      <c r="B516" s="360" t="s">
        <v>126</v>
      </c>
      <c r="C516" s="360" t="s">
        <v>794</v>
      </c>
      <c r="D516" s="360" t="s">
        <v>128</v>
      </c>
      <c r="E516" s="360" t="s">
        <v>470</v>
      </c>
      <c r="F516" s="361" t="s">
        <v>799</v>
      </c>
      <c r="G516" s="360" t="s">
        <v>36</v>
      </c>
      <c r="H516" s="361"/>
      <c r="I516" s="361"/>
      <c r="J516" s="361" t="s">
        <v>804</v>
      </c>
      <c r="K516" s="363"/>
      <c r="L516" s="360"/>
      <c r="M516" s="360"/>
      <c r="N516" s="361"/>
      <c r="O516" s="361"/>
      <c r="P516" s="361"/>
      <c r="Q516" s="361"/>
      <c r="R516" s="362"/>
      <c r="S516" s="361"/>
      <c r="T516" s="360" t="s">
        <v>132</v>
      </c>
    </row>
    <row r="517" ht="34.5">
      <c r="A517" s="360" t="s">
        <v>125</v>
      </c>
      <c r="B517" s="360" t="s">
        <v>126</v>
      </c>
      <c r="C517" s="360" t="s">
        <v>794</v>
      </c>
      <c r="D517" s="360" t="s">
        <v>805</v>
      </c>
      <c r="E517" s="360" t="s">
        <v>470</v>
      </c>
      <c r="F517" s="361" t="s">
        <v>799</v>
      </c>
      <c r="G517" s="360" t="s">
        <v>36</v>
      </c>
      <c r="H517" s="361"/>
      <c r="I517" s="361"/>
      <c r="J517" s="361" t="s">
        <v>806</v>
      </c>
      <c r="K517" s="363"/>
      <c r="L517" s="360"/>
      <c r="M517" s="360"/>
      <c r="N517" s="361"/>
      <c r="O517" s="361"/>
      <c r="P517" s="361"/>
      <c r="Q517" s="361"/>
      <c r="R517" s="362"/>
      <c r="S517" s="361"/>
      <c r="T517" s="360" t="s">
        <v>132</v>
      </c>
    </row>
    <row r="518" ht="34.5">
      <c r="A518" s="360" t="s">
        <v>125</v>
      </c>
      <c r="B518" s="360" t="s">
        <v>126</v>
      </c>
      <c r="C518" s="360" t="s">
        <v>794</v>
      </c>
      <c r="D518" s="360" t="s">
        <v>128</v>
      </c>
      <c r="E518" s="360" t="s">
        <v>497</v>
      </c>
      <c r="F518" s="361" t="s">
        <v>807</v>
      </c>
      <c r="G518" s="360" t="s">
        <v>36</v>
      </c>
      <c r="H518" s="361"/>
      <c r="I518" s="361"/>
      <c r="J518" s="361" t="s">
        <v>808</v>
      </c>
      <c r="K518" s="363"/>
      <c r="L518" s="360"/>
      <c r="M518" s="360"/>
      <c r="N518" s="361"/>
      <c r="O518" s="361"/>
      <c r="P518" s="361"/>
      <c r="Q518" s="361"/>
      <c r="R518" s="362"/>
      <c r="S518" s="361"/>
      <c r="T518" s="360" t="s">
        <v>132</v>
      </c>
    </row>
    <row r="519" ht="34.5">
      <c r="A519" s="360" t="s">
        <v>125</v>
      </c>
      <c r="B519" s="360" t="s">
        <v>126</v>
      </c>
      <c r="C519" s="360" t="s">
        <v>809</v>
      </c>
      <c r="D519" s="360" t="s">
        <v>128</v>
      </c>
      <c r="E519" s="360" t="s">
        <v>497</v>
      </c>
      <c r="F519" s="361" t="s">
        <v>807</v>
      </c>
      <c r="G519" s="360" t="s">
        <v>36</v>
      </c>
      <c r="H519" s="361"/>
      <c r="I519" s="361"/>
      <c r="J519" s="361" t="s">
        <v>810</v>
      </c>
      <c r="K519" s="363">
        <v>50</v>
      </c>
      <c r="L519" s="360" t="s">
        <v>314</v>
      </c>
      <c r="M519" s="360"/>
      <c r="N519" s="361"/>
      <c r="O519" s="361"/>
      <c r="P519" s="361"/>
      <c r="Q519" s="361"/>
      <c r="R519" s="362"/>
      <c r="S519" s="361"/>
      <c r="T519" s="360" t="s">
        <v>132</v>
      </c>
    </row>
    <row r="520" ht="34.5">
      <c r="A520" s="360" t="s">
        <v>125</v>
      </c>
      <c r="B520" s="360" t="s">
        <v>126</v>
      </c>
      <c r="C520" s="360" t="s">
        <v>809</v>
      </c>
      <c r="D520" s="360" t="s">
        <v>128</v>
      </c>
      <c r="E520" s="360" t="s">
        <v>497</v>
      </c>
      <c r="F520" s="361" t="s">
        <v>807</v>
      </c>
      <c r="G520" s="360" t="s">
        <v>36</v>
      </c>
      <c r="H520" s="361"/>
      <c r="I520" s="361"/>
      <c r="J520" s="361" t="s">
        <v>811</v>
      </c>
      <c r="K520" s="363">
        <v>50</v>
      </c>
      <c r="L520" s="360" t="s">
        <v>314</v>
      </c>
      <c r="M520" s="360"/>
      <c r="N520" s="361"/>
      <c r="O520" s="361"/>
      <c r="P520" s="361"/>
      <c r="Q520" s="361"/>
      <c r="R520" s="362"/>
      <c r="S520" s="361"/>
      <c r="T520" s="360" t="s">
        <v>132</v>
      </c>
    </row>
    <row r="521" ht="34.5">
      <c r="A521" s="360" t="s">
        <v>125</v>
      </c>
      <c r="B521" s="360" t="s">
        <v>126</v>
      </c>
      <c r="C521" s="360" t="s">
        <v>809</v>
      </c>
      <c r="D521" s="360" t="s">
        <v>128</v>
      </c>
      <c r="E521" s="360" t="s">
        <v>497</v>
      </c>
      <c r="F521" s="361" t="s">
        <v>807</v>
      </c>
      <c r="G521" s="360" t="s">
        <v>36</v>
      </c>
      <c r="H521" s="361"/>
      <c r="I521" s="361"/>
      <c r="J521" s="361" t="s">
        <v>812</v>
      </c>
      <c r="K521" s="363">
        <v>-7500000</v>
      </c>
      <c r="L521" s="360" t="s">
        <v>314</v>
      </c>
      <c r="M521" s="360"/>
      <c r="N521" s="361"/>
      <c r="O521" s="361"/>
      <c r="P521" s="361"/>
      <c r="Q521" s="361"/>
      <c r="R521" s="362"/>
      <c r="S521" s="361"/>
      <c r="T521" s="360" t="s">
        <v>132</v>
      </c>
    </row>
    <row r="522" ht="34.5">
      <c r="A522" s="360" t="s">
        <v>125</v>
      </c>
      <c r="B522" s="360" t="s">
        <v>126</v>
      </c>
      <c r="C522" s="360" t="s">
        <v>809</v>
      </c>
      <c r="D522" s="360" t="s">
        <v>128</v>
      </c>
      <c r="E522" s="360" t="s">
        <v>497</v>
      </c>
      <c r="F522" s="361" t="s">
        <v>807</v>
      </c>
      <c r="G522" s="360" t="s">
        <v>36</v>
      </c>
      <c r="H522" s="361"/>
      <c r="I522" s="361"/>
      <c r="J522" s="361" t="s">
        <v>813</v>
      </c>
      <c r="K522" s="363"/>
      <c r="L522" s="360"/>
      <c r="M522" s="360"/>
      <c r="N522" s="361"/>
      <c r="O522" s="361"/>
      <c r="P522" s="361"/>
      <c r="Q522" s="361"/>
      <c r="R522" s="362"/>
      <c r="S522" s="361"/>
      <c r="T522" s="360" t="s">
        <v>132</v>
      </c>
    </row>
    <row r="523" ht="34.5">
      <c r="A523" s="360" t="s">
        <v>125</v>
      </c>
      <c r="B523" s="360" t="s">
        <v>126</v>
      </c>
      <c r="C523" s="360" t="s">
        <v>809</v>
      </c>
      <c r="D523" s="360" t="s">
        <v>128</v>
      </c>
      <c r="E523" s="360" t="s">
        <v>497</v>
      </c>
      <c r="F523" s="361" t="s">
        <v>807</v>
      </c>
      <c r="G523" s="360" t="s">
        <v>36</v>
      </c>
      <c r="H523" s="361"/>
      <c r="I523" s="361"/>
      <c r="J523" s="361" t="s">
        <v>814</v>
      </c>
      <c r="K523" s="363">
        <v>-9106369.41</v>
      </c>
      <c r="L523" s="360" t="s">
        <v>314</v>
      </c>
      <c r="M523" s="360"/>
      <c r="N523" s="361"/>
      <c r="O523" s="361"/>
      <c r="P523" s="361"/>
      <c r="Q523" s="361"/>
      <c r="R523" s="362"/>
      <c r="S523" s="361"/>
      <c r="T523" s="360" t="s">
        <v>132</v>
      </c>
    </row>
    <row r="524" ht="34.5">
      <c r="A524" s="360" t="s">
        <v>125</v>
      </c>
      <c r="B524" s="360" t="s">
        <v>126</v>
      </c>
      <c r="C524" s="360" t="s">
        <v>809</v>
      </c>
      <c r="D524" s="360" t="s">
        <v>128</v>
      </c>
      <c r="E524" s="360" t="s">
        <v>497</v>
      </c>
      <c r="F524" s="361" t="s">
        <v>807</v>
      </c>
      <c r="G524" s="360" t="s">
        <v>36</v>
      </c>
      <c r="H524" s="361"/>
      <c r="I524" s="361"/>
      <c r="J524" s="361" t="s">
        <v>815</v>
      </c>
      <c r="K524" s="363">
        <v>-100</v>
      </c>
      <c r="L524" s="360" t="s">
        <v>314</v>
      </c>
      <c r="M524" s="360"/>
      <c r="N524" s="361"/>
      <c r="O524" s="361"/>
      <c r="P524" s="361"/>
      <c r="Q524" s="361"/>
      <c r="R524" s="362"/>
      <c r="S524" s="361"/>
      <c r="T524" s="360" t="s">
        <v>132</v>
      </c>
    </row>
    <row r="525" ht="34.5">
      <c r="A525" s="360" t="s">
        <v>125</v>
      </c>
      <c r="B525" s="360" t="s">
        <v>126</v>
      </c>
      <c r="C525" s="360" t="s">
        <v>809</v>
      </c>
      <c r="D525" s="360" t="s">
        <v>128</v>
      </c>
      <c r="E525" s="360" t="s">
        <v>497</v>
      </c>
      <c r="F525" s="361" t="s">
        <v>807</v>
      </c>
      <c r="G525" s="360" t="s">
        <v>36</v>
      </c>
      <c r="H525" s="361"/>
      <c r="I525" s="361"/>
      <c r="J525" s="361" t="s">
        <v>816</v>
      </c>
      <c r="K525" s="363">
        <v>-9106469.41</v>
      </c>
      <c r="L525" s="360" t="s">
        <v>314</v>
      </c>
      <c r="M525" s="360"/>
      <c r="N525" s="361"/>
      <c r="O525" s="361"/>
      <c r="P525" s="361"/>
      <c r="Q525" s="361"/>
      <c r="R525" s="362"/>
      <c r="S525" s="361"/>
      <c r="T525" s="360" t="s">
        <v>132</v>
      </c>
    </row>
    <row r="526" ht="34.5">
      <c r="A526" s="360" t="s">
        <v>125</v>
      </c>
      <c r="B526" s="360" t="s">
        <v>126</v>
      </c>
      <c r="C526" s="360" t="s">
        <v>809</v>
      </c>
      <c r="D526" s="360" t="s">
        <v>128</v>
      </c>
      <c r="E526" s="360" t="s">
        <v>497</v>
      </c>
      <c r="F526" s="361" t="s">
        <v>807</v>
      </c>
      <c r="G526" s="360" t="s">
        <v>36</v>
      </c>
      <c r="H526" s="361"/>
      <c r="I526" s="361"/>
      <c r="J526" s="361" t="s">
        <v>817</v>
      </c>
      <c r="K526" s="363"/>
      <c r="L526" s="360"/>
      <c r="M526" s="360"/>
      <c r="N526" s="361"/>
      <c r="O526" s="361"/>
      <c r="P526" s="361"/>
      <c r="Q526" s="361"/>
      <c r="R526" s="362"/>
      <c r="S526" s="361"/>
      <c r="T526" s="360" t="s">
        <v>132</v>
      </c>
    </row>
    <row r="527" ht="34.5">
      <c r="A527" s="360" t="s">
        <v>125</v>
      </c>
      <c r="B527" s="360" t="s">
        <v>126</v>
      </c>
      <c r="C527" s="360" t="s">
        <v>809</v>
      </c>
      <c r="D527" s="360" t="s">
        <v>128</v>
      </c>
      <c r="E527" s="360" t="s">
        <v>497</v>
      </c>
      <c r="F527" s="361" t="s">
        <v>807</v>
      </c>
      <c r="G527" s="360" t="s">
        <v>36</v>
      </c>
      <c r="H527" s="361"/>
      <c r="I527" s="361"/>
      <c r="J527" s="361" t="s">
        <v>818</v>
      </c>
      <c r="K527" s="363"/>
      <c r="L527" s="360"/>
      <c r="M527" s="360"/>
      <c r="N527" s="361"/>
      <c r="O527" s="361"/>
      <c r="P527" s="361"/>
      <c r="Q527" s="361"/>
      <c r="R527" s="362"/>
      <c r="S527" s="361"/>
      <c r="T527" s="360" t="s">
        <v>132</v>
      </c>
    </row>
    <row r="528" ht="34.5">
      <c r="A528" s="360" t="s">
        <v>125</v>
      </c>
      <c r="B528" s="360" t="s">
        <v>126</v>
      </c>
      <c r="C528" s="360" t="s">
        <v>809</v>
      </c>
      <c r="D528" s="360" t="s">
        <v>128</v>
      </c>
      <c r="E528" s="360" t="s">
        <v>497</v>
      </c>
      <c r="F528" s="361" t="s">
        <v>807</v>
      </c>
      <c r="G528" s="360" t="s">
        <v>36</v>
      </c>
      <c r="H528" s="361"/>
      <c r="I528" s="361"/>
      <c r="J528" s="361" t="s">
        <v>819</v>
      </c>
      <c r="K528" s="363"/>
      <c r="L528" s="360"/>
      <c r="M528" s="360"/>
      <c r="N528" s="361"/>
      <c r="O528" s="361"/>
      <c r="P528" s="361"/>
      <c r="Q528" s="361"/>
      <c r="R528" s="362"/>
      <c r="S528" s="361"/>
      <c r="T528" s="360" t="s">
        <v>132</v>
      </c>
    </row>
    <row r="529" ht="34.5">
      <c r="A529" s="360" t="s">
        <v>125</v>
      </c>
      <c r="B529" s="360" t="s">
        <v>126</v>
      </c>
      <c r="C529" s="360" t="s">
        <v>809</v>
      </c>
      <c r="D529" s="360" t="s">
        <v>128</v>
      </c>
      <c r="E529" s="360" t="s">
        <v>497</v>
      </c>
      <c r="F529" s="361" t="s">
        <v>807</v>
      </c>
      <c r="G529" s="360" t="s">
        <v>36</v>
      </c>
      <c r="H529" s="361"/>
      <c r="I529" s="361"/>
      <c r="J529" s="361" t="s">
        <v>820</v>
      </c>
      <c r="K529" s="363"/>
      <c r="L529" s="360"/>
      <c r="M529" s="360"/>
      <c r="N529" s="361"/>
      <c r="O529" s="361"/>
      <c r="P529" s="361"/>
      <c r="Q529" s="361"/>
      <c r="R529" s="362"/>
      <c r="S529" s="361"/>
      <c r="T529" s="360" t="s">
        <v>132</v>
      </c>
    </row>
    <row r="530" ht="34.5">
      <c r="A530" s="360" t="s">
        <v>125</v>
      </c>
      <c r="B530" s="360" t="s">
        <v>126</v>
      </c>
      <c r="C530" s="360" t="s">
        <v>809</v>
      </c>
      <c r="D530" s="360" t="s">
        <v>128</v>
      </c>
      <c r="E530" s="360" t="s">
        <v>497</v>
      </c>
      <c r="F530" s="361" t="s">
        <v>807</v>
      </c>
      <c r="G530" s="360" t="s">
        <v>36</v>
      </c>
      <c r="H530" s="361"/>
      <c r="I530" s="361"/>
      <c r="J530" s="361" t="s">
        <v>821</v>
      </c>
      <c r="K530" s="363"/>
      <c r="L530" s="360"/>
      <c r="M530" s="360"/>
      <c r="N530" s="361"/>
      <c r="O530" s="361"/>
      <c r="P530" s="361"/>
      <c r="Q530" s="361"/>
      <c r="R530" s="362"/>
      <c r="S530" s="361"/>
      <c r="T530" s="360" t="s">
        <v>132</v>
      </c>
    </row>
    <row r="531" ht="34.5">
      <c r="A531" s="360" t="s">
        <v>125</v>
      </c>
      <c r="B531" s="360" t="s">
        <v>126</v>
      </c>
      <c r="C531" s="360" t="s">
        <v>809</v>
      </c>
      <c r="D531" s="360" t="s">
        <v>128</v>
      </c>
      <c r="E531" s="360" t="s">
        <v>497</v>
      </c>
      <c r="F531" s="361" t="s">
        <v>807</v>
      </c>
      <c r="G531" s="360" t="s">
        <v>36</v>
      </c>
      <c r="H531" s="361"/>
      <c r="I531" s="361"/>
      <c r="J531" s="361" t="s">
        <v>822</v>
      </c>
      <c r="K531" s="363"/>
      <c r="L531" s="360"/>
      <c r="M531" s="360"/>
      <c r="N531" s="361"/>
      <c r="O531" s="361"/>
      <c r="P531" s="361"/>
      <c r="Q531" s="361"/>
      <c r="R531" s="362"/>
      <c r="S531" s="361"/>
      <c r="T531" s="360" t="s">
        <v>132</v>
      </c>
    </row>
    <row r="532" ht="34.5">
      <c r="A532" s="360" t="s">
        <v>125</v>
      </c>
      <c r="B532" s="360" t="s">
        <v>126</v>
      </c>
      <c r="C532" s="360" t="s">
        <v>823</v>
      </c>
      <c r="D532" s="360" t="s">
        <v>128</v>
      </c>
      <c r="E532" s="360" t="s">
        <v>497</v>
      </c>
      <c r="F532" s="361" t="s">
        <v>807</v>
      </c>
      <c r="G532" s="360" t="s">
        <v>36</v>
      </c>
      <c r="H532" s="361"/>
      <c r="I532" s="361"/>
      <c r="J532" s="361" t="s">
        <v>824</v>
      </c>
      <c r="K532" s="363"/>
      <c r="L532" s="360"/>
      <c r="M532" s="360"/>
      <c r="N532" s="361"/>
      <c r="O532" s="361"/>
      <c r="P532" s="361"/>
      <c r="Q532" s="361"/>
      <c r="R532" s="362"/>
      <c r="S532" s="361"/>
      <c r="T532" s="360" t="s">
        <v>132</v>
      </c>
    </row>
    <row r="533" ht="34.5">
      <c r="A533" s="360" t="s">
        <v>125</v>
      </c>
      <c r="B533" s="360" t="s">
        <v>126</v>
      </c>
      <c r="C533" s="360" t="s">
        <v>823</v>
      </c>
      <c r="D533" s="360" t="s">
        <v>128</v>
      </c>
      <c r="E533" s="360" t="s">
        <v>497</v>
      </c>
      <c r="F533" s="361" t="s">
        <v>807</v>
      </c>
      <c r="G533" s="360" t="s">
        <v>36</v>
      </c>
      <c r="H533" s="361"/>
      <c r="I533" s="361"/>
      <c r="J533" s="361" t="s">
        <v>825</v>
      </c>
      <c r="K533" s="363"/>
      <c r="L533" s="360"/>
      <c r="M533" s="360"/>
      <c r="N533" s="361"/>
      <c r="O533" s="361"/>
      <c r="P533" s="361"/>
      <c r="Q533" s="361"/>
      <c r="R533" s="362"/>
      <c r="S533" s="361"/>
      <c r="T533" s="360" t="s">
        <v>132</v>
      </c>
    </row>
    <row r="534" ht="34.5">
      <c r="A534" s="360" t="s">
        <v>125</v>
      </c>
      <c r="B534" s="360" t="s">
        <v>126</v>
      </c>
      <c r="C534" s="360" t="s">
        <v>823</v>
      </c>
      <c r="D534" s="360" t="s">
        <v>128</v>
      </c>
      <c r="E534" s="360" t="s">
        <v>497</v>
      </c>
      <c r="F534" s="361" t="s">
        <v>807</v>
      </c>
      <c r="G534" s="360" t="s">
        <v>36</v>
      </c>
      <c r="H534" s="361"/>
      <c r="I534" s="361"/>
      <c r="J534" s="361" t="s">
        <v>826</v>
      </c>
      <c r="K534" s="363">
        <v>10</v>
      </c>
      <c r="L534" s="360" t="s">
        <v>314</v>
      </c>
      <c r="M534" s="360"/>
      <c r="N534" s="361"/>
      <c r="O534" s="361"/>
      <c r="P534" s="361"/>
      <c r="Q534" s="361"/>
      <c r="R534" s="362"/>
      <c r="S534" s="361"/>
      <c r="T534" s="360" t="s">
        <v>132</v>
      </c>
    </row>
    <row r="535" ht="34.5">
      <c r="A535" s="360" t="s">
        <v>125</v>
      </c>
      <c r="B535" s="360" t="s">
        <v>126</v>
      </c>
      <c r="C535" s="360" t="s">
        <v>823</v>
      </c>
      <c r="D535" s="360" t="s">
        <v>128</v>
      </c>
      <c r="E535" s="360" t="s">
        <v>497</v>
      </c>
      <c r="F535" s="361" t="s">
        <v>807</v>
      </c>
      <c r="G535" s="360" t="s">
        <v>36</v>
      </c>
      <c r="H535" s="361"/>
      <c r="I535" s="361"/>
      <c r="J535" s="361" t="s">
        <v>827</v>
      </c>
      <c r="K535" s="363"/>
      <c r="L535" s="360"/>
      <c r="M535" s="360"/>
      <c r="N535" s="361"/>
      <c r="O535" s="361"/>
      <c r="P535" s="361"/>
      <c r="Q535" s="361"/>
      <c r="R535" s="362"/>
      <c r="S535" s="361"/>
      <c r="T535" s="360" t="s">
        <v>132</v>
      </c>
    </row>
    <row r="536" ht="34.5">
      <c r="A536" s="360" t="s">
        <v>125</v>
      </c>
      <c r="B536" s="360" t="s">
        <v>126</v>
      </c>
      <c r="C536" s="360" t="s">
        <v>828</v>
      </c>
      <c r="D536" s="360" t="s">
        <v>128</v>
      </c>
      <c r="E536" s="360" t="s">
        <v>497</v>
      </c>
      <c r="F536" s="361" t="s">
        <v>807</v>
      </c>
      <c r="G536" s="360" t="s">
        <v>36</v>
      </c>
      <c r="H536" s="361"/>
      <c r="I536" s="361"/>
      <c r="J536" s="361" t="s">
        <v>829</v>
      </c>
      <c r="K536" s="363"/>
      <c r="L536" s="360"/>
      <c r="M536" s="360"/>
      <c r="N536" s="361"/>
      <c r="O536" s="361"/>
      <c r="P536" s="361"/>
      <c r="Q536" s="361"/>
      <c r="R536" s="362"/>
      <c r="S536" s="361"/>
      <c r="T536" s="360" t="s">
        <v>132</v>
      </c>
    </row>
    <row r="537" ht="34.5">
      <c r="A537" s="360" t="s">
        <v>125</v>
      </c>
      <c r="B537" s="360" t="s">
        <v>126</v>
      </c>
      <c r="C537" s="360" t="s">
        <v>828</v>
      </c>
      <c r="D537" s="360" t="s">
        <v>128</v>
      </c>
      <c r="E537" s="360" t="s">
        <v>497</v>
      </c>
      <c r="F537" s="361" t="s">
        <v>807</v>
      </c>
      <c r="G537" s="360" t="s">
        <v>36</v>
      </c>
      <c r="H537" s="361"/>
      <c r="I537" s="361"/>
      <c r="J537" s="361" t="s">
        <v>830</v>
      </c>
      <c r="K537" s="363">
        <v>100000000</v>
      </c>
      <c r="L537" s="360" t="s">
        <v>314</v>
      </c>
      <c r="M537" s="360"/>
      <c r="N537" s="361"/>
      <c r="O537" s="361"/>
      <c r="P537" s="361"/>
      <c r="Q537" s="361"/>
      <c r="R537" s="362"/>
      <c r="S537" s="361"/>
      <c r="T537" s="360" t="s">
        <v>132</v>
      </c>
    </row>
    <row r="538" ht="34.5">
      <c r="A538" s="360" t="s">
        <v>125</v>
      </c>
      <c r="B538" s="360" t="s">
        <v>126</v>
      </c>
      <c r="C538" s="360" t="s">
        <v>828</v>
      </c>
      <c r="D538" s="360" t="s">
        <v>128</v>
      </c>
      <c r="E538" s="360" t="s">
        <v>497</v>
      </c>
      <c r="F538" s="361" t="s">
        <v>807</v>
      </c>
      <c r="G538" s="360" t="s">
        <v>36</v>
      </c>
      <c r="H538" s="361"/>
      <c r="I538" s="361"/>
      <c r="J538" s="361" t="s">
        <v>831</v>
      </c>
      <c r="K538" s="363">
        <v>100</v>
      </c>
      <c r="L538" s="360" t="s">
        <v>314</v>
      </c>
      <c r="M538" s="360" t="s">
        <v>832</v>
      </c>
      <c r="N538" s="361"/>
      <c r="O538" s="361"/>
      <c r="P538" s="361"/>
      <c r="Q538" s="361"/>
      <c r="R538" s="362"/>
      <c r="S538" s="361"/>
      <c r="T538" s="360" t="s">
        <v>132</v>
      </c>
    </row>
    <row r="539" ht="34.5">
      <c r="A539" s="360" t="s">
        <v>125</v>
      </c>
      <c r="B539" s="360" t="s">
        <v>126</v>
      </c>
      <c r="C539" s="360" t="s">
        <v>828</v>
      </c>
      <c r="D539" s="360" t="s">
        <v>128</v>
      </c>
      <c r="E539" s="360" t="s">
        <v>497</v>
      </c>
      <c r="F539" s="361" t="s">
        <v>807</v>
      </c>
      <c r="G539" s="360" t="s">
        <v>36</v>
      </c>
      <c r="H539" s="361"/>
      <c r="I539" s="361"/>
      <c r="J539" s="361" t="s">
        <v>833</v>
      </c>
      <c r="K539" s="363">
        <v>-100</v>
      </c>
      <c r="L539" s="360" t="s">
        <v>314</v>
      </c>
      <c r="M539" s="360"/>
      <c r="N539" s="361"/>
      <c r="O539" s="361"/>
      <c r="P539" s="361"/>
      <c r="Q539" s="361"/>
      <c r="R539" s="362"/>
      <c r="S539" s="361"/>
      <c r="T539" s="360" t="s">
        <v>132</v>
      </c>
    </row>
    <row r="540" ht="34.5">
      <c r="A540" s="360" t="s">
        <v>125</v>
      </c>
      <c r="B540" s="360" t="s">
        <v>126</v>
      </c>
      <c r="C540" s="360" t="s">
        <v>834</v>
      </c>
      <c r="D540" s="360" t="s">
        <v>128</v>
      </c>
      <c r="E540" s="360" t="s">
        <v>497</v>
      </c>
      <c r="F540" s="361" t="s">
        <v>807</v>
      </c>
      <c r="G540" s="360" t="s">
        <v>36</v>
      </c>
      <c r="H540" s="361"/>
      <c r="I540" s="361"/>
      <c r="J540" s="361" t="s">
        <v>835</v>
      </c>
      <c r="K540" s="363"/>
      <c r="L540" s="360"/>
      <c r="M540" s="360"/>
      <c r="N540" s="361"/>
      <c r="O540" s="361"/>
      <c r="P540" s="361"/>
      <c r="Q540" s="361"/>
      <c r="R540" s="362"/>
      <c r="S540" s="361"/>
      <c r="T540" s="360" t="s">
        <v>132</v>
      </c>
    </row>
    <row r="541" ht="34.5">
      <c r="A541" s="360" t="s">
        <v>125</v>
      </c>
      <c r="B541" s="360" t="s">
        <v>126</v>
      </c>
      <c r="C541" s="360" t="s">
        <v>834</v>
      </c>
      <c r="D541" s="360" t="s">
        <v>128</v>
      </c>
      <c r="E541" s="360" t="s">
        <v>497</v>
      </c>
      <c r="F541" s="361" t="s">
        <v>807</v>
      </c>
      <c r="G541" s="360" t="s">
        <v>36</v>
      </c>
      <c r="H541" s="361"/>
      <c r="I541" s="361"/>
      <c r="J541" s="361" t="s">
        <v>836</v>
      </c>
      <c r="K541" s="363"/>
      <c r="L541" s="360"/>
      <c r="M541" s="360"/>
      <c r="N541" s="361"/>
      <c r="O541" s="361"/>
      <c r="P541" s="361"/>
      <c r="Q541" s="361"/>
      <c r="R541" s="362"/>
      <c r="S541" s="361"/>
      <c r="T541" s="360" t="s">
        <v>132</v>
      </c>
    </row>
    <row r="542" ht="34.5">
      <c r="A542" s="360" t="s">
        <v>125</v>
      </c>
      <c r="B542" s="360" t="s">
        <v>126</v>
      </c>
      <c r="C542" s="360" t="s">
        <v>834</v>
      </c>
      <c r="D542" s="360" t="s">
        <v>128</v>
      </c>
      <c r="E542" s="360" t="s">
        <v>497</v>
      </c>
      <c r="F542" s="361" t="s">
        <v>807</v>
      </c>
      <c r="G542" s="360" t="s">
        <v>36</v>
      </c>
      <c r="H542" s="361"/>
      <c r="I542" s="361"/>
      <c r="J542" s="361" t="s">
        <v>837</v>
      </c>
      <c r="K542" s="363"/>
      <c r="L542" s="360"/>
      <c r="M542" s="360"/>
      <c r="N542" s="361"/>
      <c r="O542" s="361"/>
      <c r="P542" s="361"/>
      <c r="Q542" s="361"/>
      <c r="R542" s="362"/>
      <c r="S542" s="361"/>
      <c r="T542" s="360" t="s">
        <v>132</v>
      </c>
    </row>
    <row r="543" ht="34.5">
      <c r="A543" s="360" t="s">
        <v>125</v>
      </c>
      <c r="B543" s="360" t="s">
        <v>126</v>
      </c>
      <c r="C543" s="360" t="s">
        <v>834</v>
      </c>
      <c r="D543" s="360" t="s">
        <v>128</v>
      </c>
      <c r="E543" s="360" t="s">
        <v>497</v>
      </c>
      <c r="F543" s="361" t="s">
        <v>807</v>
      </c>
      <c r="G543" s="360" t="s">
        <v>36</v>
      </c>
      <c r="H543" s="361"/>
      <c r="I543" s="361"/>
      <c r="J543" s="361" t="s">
        <v>838</v>
      </c>
      <c r="K543" s="363"/>
      <c r="L543" s="360"/>
      <c r="M543" s="360"/>
      <c r="N543" s="361"/>
      <c r="O543" s="361"/>
      <c r="P543" s="361"/>
      <c r="Q543" s="361"/>
      <c r="R543" s="362"/>
      <c r="S543" s="361"/>
      <c r="T543" s="360" t="s">
        <v>132</v>
      </c>
    </row>
    <row r="544" ht="34.5">
      <c r="A544" s="360" t="s">
        <v>125</v>
      </c>
      <c r="B544" s="360" t="s">
        <v>126</v>
      </c>
      <c r="C544" s="360" t="s">
        <v>839</v>
      </c>
      <c r="D544" s="360" t="s">
        <v>128</v>
      </c>
      <c r="E544" s="360" t="s">
        <v>497</v>
      </c>
      <c r="F544" s="361" t="s">
        <v>807</v>
      </c>
      <c r="G544" s="360" t="s">
        <v>36</v>
      </c>
      <c r="H544" s="361"/>
      <c r="I544" s="361"/>
      <c r="J544" s="361" t="s">
        <v>840</v>
      </c>
      <c r="K544" s="363"/>
      <c r="L544" s="360"/>
      <c r="M544" s="360"/>
      <c r="N544" s="361"/>
      <c r="O544" s="361"/>
      <c r="P544" s="361"/>
      <c r="Q544" s="361"/>
      <c r="R544" s="362"/>
      <c r="S544" s="361"/>
      <c r="T544" s="360" t="s">
        <v>132</v>
      </c>
    </row>
    <row r="545" ht="34.5">
      <c r="A545" s="360" t="s">
        <v>125</v>
      </c>
      <c r="B545" s="360" t="s">
        <v>126</v>
      </c>
      <c r="C545" s="360" t="s">
        <v>839</v>
      </c>
      <c r="D545" s="360" t="s">
        <v>128</v>
      </c>
      <c r="E545" s="360" t="s">
        <v>497</v>
      </c>
      <c r="F545" s="361" t="s">
        <v>807</v>
      </c>
      <c r="G545" s="360" t="s">
        <v>36</v>
      </c>
      <c r="H545" s="361"/>
      <c r="I545" s="361"/>
      <c r="J545" s="361" t="s">
        <v>841</v>
      </c>
      <c r="K545" s="363"/>
      <c r="L545" s="360"/>
      <c r="M545" s="360"/>
      <c r="N545" s="361"/>
      <c r="O545" s="361"/>
      <c r="P545" s="361"/>
      <c r="Q545" s="361"/>
      <c r="R545" s="362"/>
      <c r="S545" s="361"/>
      <c r="T545" s="360" t="s">
        <v>132</v>
      </c>
    </row>
    <row r="546" ht="34.5">
      <c r="A546" s="360" t="s">
        <v>125</v>
      </c>
      <c r="B546" s="360" t="s">
        <v>126</v>
      </c>
      <c r="C546" s="360" t="s">
        <v>839</v>
      </c>
      <c r="D546" s="360" t="s">
        <v>128</v>
      </c>
      <c r="E546" s="360" t="s">
        <v>497</v>
      </c>
      <c r="F546" s="361" t="s">
        <v>807</v>
      </c>
      <c r="G546" s="360" t="s">
        <v>36</v>
      </c>
      <c r="H546" s="361"/>
      <c r="I546" s="361"/>
      <c r="J546" s="361" t="s">
        <v>842</v>
      </c>
      <c r="K546" s="363"/>
      <c r="L546" s="360"/>
      <c r="M546" s="360"/>
      <c r="N546" s="361"/>
      <c r="O546" s="361"/>
      <c r="P546" s="361"/>
      <c r="Q546" s="361"/>
      <c r="R546" s="362"/>
      <c r="S546" s="361"/>
      <c r="T546" s="360" t="s">
        <v>132</v>
      </c>
    </row>
    <row r="547" ht="34.5">
      <c r="A547" s="360" t="s">
        <v>125</v>
      </c>
      <c r="B547" s="360" t="s">
        <v>126</v>
      </c>
      <c r="C547" s="360" t="s">
        <v>839</v>
      </c>
      <c r="D547" s="360" t="s">
        <v>128</v>
      </c>
      <c r="E547" s="360" t="s">
        <v>497</v>
      </c>
      <c r="F547" s="361" t="s">
        <v>807</v>
      </c>
      <c r="G547" s="360" t="s">
        <v>36</v>
      </c>
      <c r="H547" s="361"/>
      <c r="I547" s="361"/>
      <c r="J547" s="361" t="s">
        <v>843</v>
      </c>
      <c r="K547" s="363"/>
      <c r="L547" s="360"/>
      <c r="M547" s="360"/>
      <c r="N547" s="361"/>
      <c r="O547" s="361"/>
      <c r="P547" s="361"/>
      <c r="Q547" s="361"/>
      <c r="R547" s="362"/>
      <c r="S547" s="361"/>
      <c r="T547" s="360" t="s">
        <v>132</v>
      </c>
    </row>
    <row r="548" ht="34.5">
      <c r="A548" s="360" t="s">
        <v>125</v>
      </c>
      <c r="B548" s="360" t="s">
        <v>126</v>
      </c>
      <c r="C548" s="360" t="s">
        <v>839</v>
      </c>
      <c r="D548" s="360" t="s">
        <v>128</v>
      </c>
      <c r="E548" s="360" t="s">
        <v>497</v>
      </c>
      <c r="F548" s="361" t="s">
        <v>807</v>
      </c>
      <c r="G548" s="360" t="s">
        <v>36</v>
      </c>
      <c r="H548" s="361"/>
      <c r="I548" s="361"/>
      <c r="J548" s="361" t="s">
        <v>844</v>
      </c>
      <c r="K548" s="363"/>
      <c r="L548" s="360"/>
      <c r="M548" s="360"/>
      <c r="N548" s="361"/>
      <c r="O548" s="361"/>
      <c r="P548" s="361"/>
      <c r="Q548" s="361"/>
      <c r="R548" s="362"/>
      <c r="S548" s="361"/>
      <c r="T548" s="360" t="s">
        <v>132</v>
      </c>
    </row>
    <row r="549" ht="34.5">
      <c r="A549" s="360" t="s">
        <v>125</v>
      </c>
      <c r="B549" s="360" t="s">
        <v>126</v>
      </c>
      <c r="C549" s="360" t="s">
        <v>839</v>
      </c>
      <c r="D549" s="360" t="s">
        <v>128</v>
      </c>
      <c r="E549" s="360" t="s">
        <v>497</v>
      </c>
      <c r="F549" s="361" t="s">
        <v>807</v>
      </c>
      <c r="G549" s="360" t="s">
        <v>36</v>
      </c>
      <c r="H549" s="361"/>
      <c r="I549" s="361"/>
      <c r="J549" s="361" t="s">
        <v>845</v>
      </c>
      <c r="K549" s="363"/>
      <c r="L549" s="360"/>
      <c r="M549" s="360"/>
      <c r="N549" s="361"/>
      <c r="O549" s="361"/>
      <c r="P549" s="361"/>
      <c r="Q549" s="361"/>
      <c r="R549" s="362"/>
      <c r="S549" s="361"/>
      <c r="T549" s="360" t="s">
        <v>132</v>
      </c>
    </row>
    <row r="550" ht="34.5">
      <c r="A550" s="360" t="s">
        <v>125</v>
      </c>
      <c r="B550" s="360" t="s">
        <v>126</v>
      </c>
      <c r="C550" s="360" t="s">
        <v>839</v>
      </c>
      <c r="D550" s="360" t="s">
        <v>128</v>
      </c>
      <c r="E550" s="360" t="s">
        <v>497</v>
      </c>
      <c r="F550" s="361" t="s">
        <v>807</v>
      </c>
      <c r="G550" s="360" t="s">
        <v>36</v>
      </c>
      <c r="H550" s="361"/>
      <c r="I550" s="361"/>
      <c r="J550" s="361" t="s">
        <v>846</v>
      </c>
      <c r="K550" s="363"/>
      <c r="L550" s="360"/>
      <c r="M550" s="360"/>
      <c r="N550" s="361"/>
      <c r="O550" s="361"/>
      <c r="P550" s="361"/>
      <c r="Q550" s="361"/>
      <c r="R550" s="362"/>
      <c r="S550" s="361"/>
      <c r="T550" s="360" t="s">
        <v>132</v>
      </c>
    </row>
    <row r="551" ht="34.5">
      <c r="A551" s="360" t="s">
        <v>125</v>
      </c>
      <c r="B551" s="360" t="s">
        <v>126</v>
      </c>
      <c r="C551" s="360" t="s">
        <v>839</v>
      </c>
      <c r="D551" s="360" t="s">
        <v>128</v>
      </c>
      <c r="E551" s="360" t="s">
        <v>497</v>
      </c>
      <c r="F551" s="361" t="s">
        <v>807</v>
      </c>
      <c r="G551" s="360" t="s">
        <v>36</v>
      </c>
      <c r="H551" s="361"/>
      <c r="I551" s="361"/>
      <c r="J551" s="361" t="s">
        <v>847</v>
      </c>
      <c r="K551" s="363"/>
      <c r="L551" s="360"/>
      <c r="M551" s="360"/>
      <c r="N551" s="361"/>
      <c r="O551" s="361"/>
      <c r="P551" s="361"/>
      <c r="Q551" s="361"/>
      <c r="R551" s="362"/>
      <c r="S551" s="361"/>
      <c r="T551" s="360" t="s">
        <v>132</v>
      </c>
    </row>
    <row r="552" ht="34.5">
      <c r="A552" s="360" t="s">
        <v>125</v>
      </c>
      <c r="B552" s="360" t="s">
        <v>126</v>
      </c>
      <c r="C552" s="360" t="s">
        <v>839</v>
      </c>
      <c r="D552" s="360" t="s">
        <v>128</v>
      </c>
      <c r="E552" s="360" t="s">
        <v>497</v>
      </c>
      <c r="F552" s="361" t="s">
        <v>807</v>
      </c>
      <c r="G552" s="360" t="s">
        <v>36</v>
      </c>
      <c r="H552" s="361"/>
      <c r="I552" s="361"/>
      <c r="J552" s="361" t="s">
        <v>848</v>
      </c>
      <c r="K552" s="363"/>
      <c r="L552" s="360"/>
      <c r="M552" s="360"/>
      <c r="N552" s="361"/>
      <c r="O552" s="361"/>
      <c r="P552" s="361"/>
      <c r="Q552" s="361"/>
      <c r="R552" s="362"/>
      <c r="S552" s="361"/>
      <c r="T552" s="360" t="s">
        <v>132</v>
      </c>
    </row>
    <row r="553" ht="34.5">
      <c r="A553" s="360" t="s">
        <v>125</v>
      </c>
      <c r="B553" s="360" t="s">
        <v>126</v>
      </c>
      <c r="C553" s="360" t="s">
        <v>839</v>
      </c>
      <c r="D553" s="360" t="s">
        <v>128</v>
      </c>
      <c r="E553" s="360" t="s">
        <v>497</v>
      </c>
      <c r="F553" s="361" t="s">
        <v>807</v>
      </c>
      <c r="G553" s="360" t="s">
        <v>36</v>
      </c>
      <c r="H553" s="361"/>
      <c r="I553" s="361"/>
      <c r="J553" s="361" t="s">
        <v>849</v>
      </c>
      <c r="K553" s="363"/>
      <c r="L553" s="360"/>
      <c r="M553" s="360"/>
      <c r="N553" s="361"/>
      <c r="O553" s="361"/>
      <c r="P553" s="361"/>
      <c r="Q553" s="361"/>
      <c r="R553" s="362"/>
      <c r="S553" s="361"/>
      <c r="T553" s="360" t="s">
        <v>132</v>
      </c>
    </row>
    <row r="554" ht="34.5">
      <c r="A554" s="360" t="s">
        <v>125</v>
      </c>
      <c r="B554" s="360" t="s">
        <v>126</v>
      </c>
      <c r="C554" s="360" t="s">
        <v>850</v>
      </c>
      <c r="D554" s="360" t="s">
        <v>128</v>
      </c>
      <c r="E554" s="360" t="s">
        <v>497</v>
      </c>
      <c r="F554" s="361" t="s">
        <v>807</v>
      </c>
      <c r="G554" s="360" t="s">
        <v>36</v>
      </c>
      <c r="H554" s="361"/>
      <c r="I554" s="361"/>
      <c r="J554" s="361" t="s">
        <v>851</v>
      </c>
      <c r="K554" s="363"/>
      <c r="L554" s="360"/>
      <c r="M554" s="360"/>
      <c r="N554" s="361"/>
      <c r="O554" s="361"/>
      <c r="P554" s="361"/>
      <c r="Q554" s="361"/>
      <c r="R554" s="362"/>
      <c r="S554" s="361"/>
      <c r="T554" s="360" t="s">
        <v>132</v>
      </c>
    </row>
    <row r="555" ht="34.5">
      <c r="A555" s="360" t="s">
        <v>125</v>
      </c>
      <c r="B555" s="360" t="s">
        <v>126</v>
      </c>
      <c r="C555" s="360" t="s">
        <v>850</v>
      </c>
      <c r="D555" s="360" t="s">
        <v>128</v>
      </c>
      <c r="E555" s="360" t="s">
        <v>497</v>
      </c>
      <c r="F555" s="361" t="s">
        <v>807</v>
      </c>
      <c r="G555" s="360" t="s">
        <v>36</v>
      </c>
      <c r="H555" s="361"/>
      <c r="I555" s="361"/>
      <c r="J555" s="361" t="s">
        <v>852</v>
      </c>
      <c r="K555" s="363"/>
      <c r="L555" s="360"/>
      <c r="M555" s="360"/>
      <c r="N555" s="361"/>
      <c r="O555" s="361"/>
      <c r="P555" s="361"/>
      <c r="Q555" s="361"/>
      <c r="R555" s="362"/>
      <c r="S555" s="361"/>
      <c r="T555" s="360" t="s">
        <v>132</v>
      </c>
    </row>
    <row r="556" ht="34.5">
      <c r="A556" s="360" t="s">
        <v>125</v>
      </c>
      <c r="B556" s="360" t="s">
        <v>126</v>
      </c>
      <c r="C556" s="360" t="s">
        <v>850</v>
      </c>
      <c r="D556" s="360" t="s">
        <v>128</v>
      </c>
      <c r="E556" s="360" t="s">
        <v>497</v>
      </c>
      <c r="F556" s="361" t="s">
        <v>807</v>
      </c>
      <c r="G556" s="360" t="s">
        <v>36</v>
      </c>
      <c r="H556" s="361"/>
      <c r="I556" s="361"/>
      <c r="J556" s="361" t="s">
        <v>853</v>
      </c>
      <c r="K556" s="363"/>
      <c r="L556" s="360"/>
      <c r="M556" s="360"/>
      <c r="N556" s="361"/>
      <c r="O556" s="361"/>
      <c r="P556" s="361"/>
      <c r="Q556" s="361"/>
      <c r="R556" s="362"/>
      <c r="S556" s="361"/>
      <c r="T556" s="360" t="s">
        <v>132</v>
      </c>
    </row>
    <row r="557" ht="34.5">
      <c r="A557" s="360" t="s">
        <v>125</v>
      </c>
      <c r="B557" s="360" t="s">
        <v>126</v>
      </c>
      <c r="C557" s="360" t="s">
        <v>850</v>
      </c>
      <c r="D557" s="360" t="s">
        <v>128</v>
      </c>
      <c r="E557" s="360" t="s">
        <v>497</v>
      </c>
      <c r="F557" s="361" t="s">
        <v>807</v>
      </c>
      <c r="G557" s="360" t="s">
        <v>36</v>
      </c>
      <c r="H557" s="361"/>
      <c r="I557" s="361"/>
      <c r="J557" s="361" t="s">
        <v>854</v>
      </c>
      <c r="K557" s="363"/>
      <c r="L557" s="360"/>
      <c r="M557" s="360"/>
      <c r="N557" s="361"/>
      <c r="O557" s="361"/>
      <c r="P557" s="361"/>
      <c r="Q557" s="361"/>
      <c r="R557" s="362"/>
      <c r="S557" s="361"/>
      <c r="T557" s="360" t="s">
        <v>132</v>
      </c>
    </row>
    <row r="558" ht="34.5">
      <c r="A558" s="360" t="s">
        <v>125</v>
      </c>
      <c r="B558" s="360" t="s">
        <v>126</v>
      </c>
      <c r="C558" s="360" t="s">
        <v>850</v>
      </c>
      <c r="D558" s="360" t="s">
        <v>128</v>
      </c>
      <c r="E558" s="360" t="s">
        <v>497</v>
      </c>
      <c r="F558" s="361" t="s">
        <v>807</v>
      </c>
      <c r="G558" s="360" t="s">
        <v>36</v>
      </c>
      <c r="H558" s="361"/>
      <c r="I558" s="361"/>
      <c r="J558" s="361" t="s">
        <v>855</v>
      </c>
      <c r="K558" s="363"/>
      <c r="L558" s="360"/>
      <c r="M558" s="360"/>
      <c r="N558" s="361"/>
      <c r="O558" s="361"/>
      <c r="P558" s="361"/>
      <c r="Q558" s="361"/>
      <c r="R558" s="362"/>
      <c r="S558" s="361"/>
      <c r="T558" s="360" t="s">
        <v>132</v>
      </c>
    </row>
    <row r="559" ht="34.5">
      <c r="A559" s="360" t="s">
        <v>125</v>
      </c>
      <c r="B559" s="360" t="s">
        <v>126</v>
      </c>
      <c r="C559" s="360" t="s">
        <v>850</v>
      </c>
      <c r="D559" s="360" t="s">
        <v>128</v>
      </c>
      <c r="E559" s="360" t="s">
        <v>497</v>
      </c>
      <c r="F559" s="361" t="s">
        <v>807</v>
      </c>
      <c r="G559" s="360" t="s">
        <v>36</v>
      </c>
      <c r="H559" s="361"/>
      <c r="I559" s="361"/>
      <c r="J559" s="361" t="s">
        <v>856</v>
      </c>
      <c r="K559" s="363"/>
      <c r="L559" s="360"/>
      <c r="M559" s="360"/>
      <c r="N559" s="361"/>
      <c r="O559" s="361"/>
      <c r="P559" s="361"/>
      <c r="Q559" s="361"/>
      <c r="R559" s="362"/>
      <c r="S559" s="361"/>
      <c r="T559" s="360" t="s">
        <v>132</v>
      </c>
    </row>
    <row r="560" ht="34.5">
      <c r="A560" s="360" t="s">
        <v>125</v>
      </c>
      <c r="B560" s="360" t="s">
        <v>126</v>
      </c>
      <c r="C560" s="360" t="s">
        <v>850</v>
      </c>
      <c r="D560" s="360" t="s">
        <v>128</v>
      </c>
      <c r="E560" s="360" t="s">
        <v>497</v>
      </c>
      <c r="F560" s="361" t="s">
        <v>807</v>
      </c>
      <c r="G560" s="360" t="s">
        <v>36</v>
      </c>
      <c r="H560" s="361"/>
      <c r="I560" s="361"/>
      <c r="J560" s="361" t="s">
        <v>857</v>
      </c>
      <c r="K560" s="363"/>
      <c r="L560" s="360"/>
      <c r="M560" s="360"/>
      <c r="N560" s="361"/>
      <c r="O560" s="361"/>
      <c r="P560" s="361"/>
      <c r="Q560" s="361"/>
      <c r="R560" s="362"/>
      <c r="S560" s="361"/>
      <c r="T560" s="360" t="s">
        <v>132</v>
      </c>
    </row>
    <row r="561" ht="34.5">
      <c r="A561" s="360" t="s">
        <v>125</v>
      </c>
      <c r="B561" s="360" t="s">
        <v>126</v>
      </c>
      <c r="C561" s="360" t="s">
        <v>850</v>
      </c>
      <c r="D561" s="360" t="s">
        <v>128</v>
      </c>
      <c r="E561" s="360" t="s">
        <v>497</v>
      </c>
      <c r="F561" s="361" t="s">
        <v>807</v>
      </c>
      <c r="G561" s="360" t="s">
        <v>36</v>
      </c>
      <c r="H561" s="361"/>
      <c r="I561" s="361"/>
      <c r="J561" s="361" t="s">
        <v>858</v>
      </c>
      <c r="K561" s="363"/>
      <c r="L561" s="360"/>
      <c r="M561" s="360"/>
      <c r="N561" s="361"/>
      <c r="O561" s="361"/>
      <c r="P561" s="361"/>
      <c r="Q561" s="361"/>
      <c r="R561" s="362"/>
      <c r="S561" s="361"/>
      <c r="T561" s="360" t="s">
        <v>132</v>
      </c>
    </row>
    <row r="562" ht="34.5">
      <c r="A562" s="360" t="s">
        <v>125</v>
      </c>
      <c r="B562" s="360" t="s">
        <v>126</v>
      </c>
      <c r="C562" s="360" t="s">
        <v>850</v>
      </c>
      <c r="D562" s="360" t="s">
        <v>128</v>
      </c>
      <c r="E562" s="360" t="s">
        <v>497</v>
      </c>
      <c r="F562" s="361" t="s">
        <v>807</v>
      </c>
      <c r="G562" s="360" t="s">
        <v>36</v>
      </c>
      <c r="H562" s="361"/>
      <c r="I562" s="361"/>
      <c r="J562" s="361" t="s">
        <v>859</v>
      </c>
      <c r="K562" s="363"/>
      <c r="L562" s="360"/>
      <c r="M562" s="360"/>
      <c r="N562" s="361"/>
      <c r="O562" s="361"/>
      <c r="P562" s="361"/>
      <c r="Q562" s="361"/>
      <c r="R562" s="362"/>
      <c r="S562" s="361"/>
      <c r="T562" s="360" t="s">
        <v>132</v>
      </c>
    </row>
    <row r="563" ht="34.5">
      <c r="A563" s="360" t="s">
        <v>860</v>
      </c>
      <c r="B563" s="360" t="s">
        <v>861</v>
      </c>
      <c r="C563" s="360" t="s">
        <v>142</v>
      </c>
      <c r="D563" s="360" t="s">
        <v>128</v>
      </c>
      <c r="E563" s="360" t="s">
        <v>129</v>
      </c>
      <c r="F563" s="361" t="s">
        <v>130</v>
      </c>
      <c r="G563" s="360" t="s">
        <v>36</v>
      </c>
      <c r="H563" s="361"/>
      <c r="I563" s="361"/>
      <c r="J563" s="361" t="s">
        <v>862</v>
      </c>
      <c r="K563" s="363"/>
      <c r="L563" s="360"/>
      <c r="M563" s="360"/>
      <c r="N563" s="361"/>
      <c r="O563" s="361"/>
      <c r="P563" s="361"/>
      <c r="Q563" s="361"/>
      <c r="R563" s="362"/>
      <c r="S563" s="361"/>
      <c r="T563" s="360" t="s">
        <v>132</v>
      </c>
    </row>
    <row r="564" ht="34.5">
      <c r="A564" s="360" t="s">
        <v>860</v>
      </c>
      <c r="B564" s="360" t="s">
        <v>861</v>
      </c>
      <c r="C564" s="360" t="s">
        <v>142</v>
      </c>
      <c r="D564" s="360" t="s">
        <v>128</v>
      </c>
      <c r="E564" s="360" t="s">
        <v>129</v>
      </c>
      <c r="F564" s="361" t="s">
        <v>130</v>
      </c>
      <c r="G564" s="360" t="s">
        <v>36</v>
      </c>
      <c r="H564" s="361"/>
      <c r="I564" s="361"/>
      <c r="J564" s="361" t="s">
        <v>863</v>
      </c>
      <c r="K564" s="363"/>
      <c r="L564" s="360"/>
      <c r="M564" s="360"/>
      <c r="N564" s="361"/>
      <c r="O564" s="361"/>
      <c r="P564" s="361"/>
      <c r="Q564" s="361"/>
      <c r="R564" s="362"/>
      <c r="S564" s="361"/>
      <c r="T564" s="360" t="s">
        <v>132</v>
      </c>
    </row>
    <row r="565" ht="34.5">
      <c r="A565" s="360" t="s">
        <v>860</v>
      </c>
      <c r="B565" s="360" t="s">
        <v>861</v>
      </c>
      <c r="C565" s="360" t="s">
        <v>142</v>
      </c>
      <c r="D565" s="360" t="s">
        <v>128</v>
      </c>
      <c r="E565" s="360" t="s">
        <v>129</v>
      </c>
      <c r="F565" s="361" t="s">
        <v>130</v>
      </c>
      <c r="G565" s="360" t="s">
        <v>36</v>
      </c>
      <c r="H565" s="361"/>
      <c r="I565" s="361"/>
      <c r="J565" s="361" t="s">
        <v>864</v>
      </c>
      <c r="K565" s="363"/>
      <c r="L565" s="360"/>
      <c r="M565" s="360"/>
      <c r="N565" s="361"/>
      <c r="O565" s="361"/>
      <c r="P565" s="361"/>
      <c r="Q565" s="361"/>
      <c r="R565" s="362"/>
      <c r="S565" s="361"/>
      <c r="T565" s="360" t="s">
        <v>132</v>
      </c>
    </row>
    <row r="566" ht="34.5">
      <c r="A566" s="360" t="s">
        <v>860</v>
      </c>
      <c r="B566" s="360" t="s">
        <v>861</v>
      </c>
      <c r="C566" s="360" t="s">
        <v>142</v>
      </c>
      <c r="D566" s="360" t="s">
        <v>372</v>
      </c>
      <c r="E566" s="360" t="s">
        <v>129</v>
      </c>
      <c r="F566" s="361" t="s">
        <v>130</v>
      </c>
      <c r="G566" s="360" t="s">
        <v>36</v>
      </c>
      <c r="H566" s="361"/>
      <c r="I566" s="361"/>
      <c r="J566" s="361" t="s">
        <v>373</v>
      </c>
      <c r="K566" s="363"/>
      <c r="L566" s="360"/>
      <c r="M566" s="360"/>
      <c r="N566" s="361"/>
      <c r="O566" s="361"/>
      <c r="P566" s="361"/>
      <c r="Q566" s="361"/>
      <c r="R566" s="362"/>
      <c r="S566" s="361"/>
      <c r="T566" s="360" t="s">
        <v>132</v>
      </c>
    </row>
    <row r="567" ht="34.5">
      <c r="A567" s="360" t="s">
        <v>860</v>
      </c>
      <c r="B567" s="360" t="s">
        <v>861</v>
      </c>
      <c r="C567" s="360" t="s">
        <v>142</v>
      </c>
      <c r="D567" s="360" t="s">
        <v>128</v>
      </c>
      <c r="E567" s="360" t="s">
        <v>129</v>
      </c>
      <c r="F567" s="361" t="s">
        <v>130</v>
      </c>
      <c r="G567" s="360" t="s">
        <v>36</v>
      </c>
      <c r="H567" s="361"/>
      <c r="I567" s="361"/>
      <c r="J567" s="361" t="s">
        <v>865</v>
      </c>
      <c r="K567" s="363"/>
      <c r="L567" s="360"/>
      <c r="M567" s="360"/>
      <c r="N567" s="361"/>
      <c r="O567" s="361"/>
      <c r="P567" s="361"/>
      <c r="Q567" s="361"/>
      <c r="R567" s="362"/>
      <c r="S567" s="361"/>
      <c r="T567" s="360" t="s">
        <v>132</v>
      </c>
    </row>
    <row r="568" ht="34.5">
      <c r="A568" s="360" t="s">
        <v>860</v>
      </c>
      <c r="B568" s="360" t="s">
        <v>861</v>
      </c>
      <c r="C568" s="360" t="s">
        <v>142</v>
      </c>
      <c r="D568" s="360" t="s">
        <v>128</v>
      </c>
      <c r="E568" s="360" t="s">
        <v>129</v>
      </c>
      <c r="F568" s="361" t="s">
        <v>130</v>
      </c>
      <c r="G568" s="360" t="s">
        <v>36</v>
      </c>
      <c r="H568" s="361"/>
      <c r="I568" s="361"/>
      <c r="J568" s="361" t="s">
        <v>866</v>
      </c>
      <c r="K568" s="363"/>
      <c r="L568" s="360"/>
      <c r="M568" s="360"/>
      <c r="N568" s="361"/>
      <c r="O568" s="361"/>
      <c r="P568" s="361"/>
      <c r="Q568" s="361"/>
      <c r="R568" s="362"/>
      <c r="S568" s="361"/>
      <c r="T568" s="360" t="s">
        <v>132</v>
      </c>
    </row>
    <row r="569" ht="34.5">
      <c r="A569" s="360" t="s">
        <v>860</v>
      </c>
      <c r="B569" s="360" t="s">
        <v>861</v>
      </c>
      <c r="C569" s="360" t="s">
        <v>142</v>
      </c>
      <c r="D569" s="360" t="s">
        <v>128</v>
      </c>
      <c r="E569" s="360" t="s">
        <v>129</v>
      </c>
      <c r="F569" s="361" t="s">
        <v>130</v>
      </c>
      <c r="G569" s="360" t="s">
        <v>36</v>
      </c>
      <c r="H569" s="361"/>
      <c r="I569" s="361"/>
      <c r="J569" s="361" t="s">
        <v>867</v>
      </c>
      <c r="K569" s="363"/>
      <c r="L569" s="360"/>
      <c r="M569" s="360"/>
      <c r="N569" s="361"/>
      <c r="O569" s="361"/>
      <c r="P569" s="361"/>
      <c r="Q569" s="361"/>
      <c r="R569" s="362"/>
      <c r="S569" s="361"/>
      <c r="T569" s="360" t="s">
        <v>132</v>
      </c>
    </row>
    <row r="570" ht="34.5">
      <c r="A570" s="360" t="s">
        <v>860</v>
      </c>
      <c r="B570" s="360" t="s">
        <v>861</v>
      </c>
      <c r="C570" s="360" t="s">
        <v>142</v>
      </c>
      <c r="D570" s="360" t="s">
        <v>128</v>
      </c>
      <c r="E570" s="360" t="s">
        <v>129</v>
      </c>
      <c r="F570" s="361" t="s">
        <v>130</v>
      </c>
      <c r="G570" s="360" t="s">
        <v>36</v>
      </c>
      <c r="H570" s="361"/>
      <c r="I570" s="361"/>
      <c r="J570" s="361" t="s">
        <v>868</v>
      </c>
      <c r="K570" s="363"/>
      <c r="L570" s="360"/>
      <c r="M570" s="360"/>
      <c r="N570" s="361"/>
      <c r="O570" s="361"/>
      <c r="P570" s="361"/>
      <c r="Q570" s="361"/>
      <c r="R570" s="362"/>
      <c r="S570" s="361"/>
      <c r="T570" s="360" t="s">
        <v>132</v>
      </c>
    </row>
    <row r="571" ht="34.5">
      <c r="A571" s="360" t="s">
        <v>860</v>
      </c>
      <c r="B571" s="360" t="s">
        <v>861</v>
      </c>
      <c r="C571" s="360" t="s">
        <v>142</v>
      </c>
      <c r="D571" s="360" t="s">
        <v>128</v>
      </c>
      <c r="E571" s="360" t="s">
        <v>129</v>
      </c>
      <c r="F571" s="361" t="s">
        <v>130</v>
      </c>
      <c r="G571" s="360" t="s">
        <v>36</v>
      </c>
      <c r="H571" s="361"/>
      <c r="I571" s="361"/>
      <c r="J571" s="361" t="s">
        <v>869</v>
      </c>
      <c r="K571" s="363">
        <v>2292865</v>
      </c>
      <c r="L571" s="360" t="s">
        <v>314</v>
      </c>
      <c r="M571" s="360"/>
      <c r="N571" s="361"/>
      <c r="O571" s="361"/>
      <c r="P571" s="361"/>
      <c r="Q571" s="361"/>
      <c r="R571" s="362"/>
      <c r="S571" s="361"/>
      <c r="T571" s="360" t="s">
        <v>132</v>
      </c>
    </row>
    <row r="572" ht="34.5">
      <c r="A572" s="360" t="s">
        <v>860</v>
      </c>
      <c r="B572" s="360" t="s">
        <v>861</v>
      </c>
      <c r="C572" s="360" t="s">
        <v>142</v>
      </c>
      <c r="D572" s="360" t="s">
        <v>128</v>
      </c>
      <c r="E572" s="360" t="s">
        <v>129</v>
      </c>
      <c r="F572" s="361" t="s">
        <v>130</v>
      </c>
      <c r="G572" s="360" t="s">
        <v>36</v>
      </c>
      <c r="H572" s="361"/>
      <c r="I572" s="361"/>
      <c r="J572" s="361" t="s">
        <v>870</v>
      </c>
      <c r="K572" s="363">
        <v>327501</v>
      </c>
      <c r="L572" s="360" t="s">
        <v>314</v>
      </c>
      <c r="M572" s="360"/>
      <c r="N572" s="361"/>
      <c r="O572" s="361"/>
      <c r="P572" s="361"/>
      <c r="Q572" s="361"/>
      <c r="R572" s="362"/>
      <c r="S572" s="361"/>
      <c r="T572" s="360" t="s">
        <v>132</v>
      </c>
    </row>
    <row r="573" ht="34.5">
      <c r="A573" s="360" t="s">
        <v>860</v>
      </c>
      <c r="B573" s="360" t="s">
        <v>861</v>
      </c>
      <c r="C573" s="360" t="s">
        <v>160</v>
      </c>
      <c r="D573" s="360" t="s">
        <v>128</v>
      </c>
      <c r="E573" s="360" t="s">
        <v>129</v>
      </c>
      <c r="F573" s="361" t="s">
        <v>130</v>
      </c>
      <c r="G573" s="360" t="s">
        <v>36</v>
      </c>
      <c r="H573" s="361"/>
      <c r="I573" s="361"/>
      <c r="J573" s="361" t="s">
        <v>871</v>
      </c>
      <c r="K573" s="363"/>
      <c r="L573" s="360"/>
      <c r="M573" s="360"/>
      <c r="N573" s="361"/>
      <c r="O573" s="361"/>
      <c r="P573" s="361"/>
      <c r="Q573" s="361"/>
      <c r="R573" s="362"/>
      <c r="S573" s="361"/>
      <c r="T573" s="360" t="s">
        <v>132</v>
      </c>
    </row>
    <row r="574" ht="34.5">
      <c r="A574" s="360" t="s">
        <v>860</v>
      </c>
      <c r="B574" s="360" t="s">
        <v>861</v>
      </c>
      <c r="C574" s="360" t="s">
        <v>160</v>
      </c>
      <c r="D574" s="360" t="s">
        <v>128</v>
      </c>
      <c r="E574" s="360" t="s">
        <v>129</v>
      </c>
      <c r="F574" s="361" t="s">
        <v>130</v>
      </c>
      <c r="G574" s="360" t="s">
        <v>36</v>
      </c>
      <c r="H574" s="361"/>
      <c r="I574" s="361"/>
      <c r="J574" s="361" t="s">
        <v>872</v>
      </c>
      <c r="K574" s="363"/>
      <c r="L574" s="360"/>
      <c r="M574" s="360"/>
      <c r="N574" s="361"/>
      <c r="O574" s="361"/>
      <c r="P574" s="361"/>
      <c r="Q574" s="361"/>
      <c r="R574" s="362"/>
      <c r="S574" s="361"/>
      <c r="T574" s="360" t="s">
        <v>132</v>
      </c>
    </row>
    <row r="575" ht="34.5">
      <c r="A575" s="360" t="s">
        <v>860</v>
      </c>
      <c r="B575" s="360" t="s">
        <v>861</v>
      </c>
      <c r="C575" s="360" t="s">
        <v>160</v>
      </c>
      <c r="D575" s="360" t="s">
        <v>376</v>
      </c>
      <c r="E575" s="360" t="s">
        <v>129</v>
      </c>
      <c r="F575" s="361" t="s">
        <v>130</v>
      </c>
      <c r="G575" s="360" t="s">
        <v>36</v>
      </c>
      <c r="H575" s="361"/>
      <c r="I575" s="361"/>
      <c r="J575" s="361" t="s">
        <v>377</v>
      </c>
      <c r="K575" s="363"/>
      <c r="L575" s="360"/>
      <c r="M575" s="360"/>
      <c r="N575" s="361"/>
      <c r="O575" s="361"/>
      <c r="P575" s="361"/>
      <c r="Q575" s="361"/>
      <c r="R575" s="362"/>
      <c r="S575" s="361"/>
      <c r="T575" s="360" t="s">
        <v>132</v>
      </c>
    </row>
    <row r="576" ht="34.5">
      <c r="A576" s="360" t="s">
        <v>860</v>
      </c>
      <c r="B576" s="360" t="s">
        <v>861</v>
      </c>
      <c r="C576" s="360" t="s">
        <v>160</v>
      </c>
      <c r="D576" s="360" t="s">
        <v>128</v>
      </c>
      <c r="E576" s="360" t="s">
        <v>129</v>
      </c>
      <c r="F576" s="361" t="s">
        <v>130</v>
      </c>
      <c r="G576" s="360" t="s">
        <v>36</v>
      </c>
      <c r="H576" s="361"/>
      <c r="I576" s="361"/>
      <c r="J576" s="361" t="s">
        <v>135</v>
      </c>
      <c r="K576" s="363"/>
      <c r="L576" s="360"/>
      <c r="M576" s="360"/>
      <c r="N576" s="361"/>
      <c r="O576" s="361"/>
      <c r="P576" s="361"/>
      <c r="Q576" s="361"/>
      <c r="R576" s="362"/>
      <c r="S576" s="361"/>
      <c r="T576" s="360" t="s">
        <v>132</v>
      </c>
    </row>
    <row r="577" ht="34.5">
      <c r="A577" s="360" t="s">
        <v>860</v>
      </c>
      <c r="B577" s="360" t="s">
        <v>861</v>
      </c>
      <c r="C577" s="360" t="s">
        <v>160</v>
      </c>
      <c r="D577" s="360" t="s">
        <v>128</v>
      </c>
      <c r="E577" s="360" t="s">
        <v>129</v>
      </c>
      <c r="F577" s="361" t="s">
        <v>130</v>
      </c>
      <c r="G577" s="360" t="s">
        <v>36</v>
      </c>
      <c r="H577" s="361"/>
      <c r="I577" s="361"/>
      <c r="J577" s="361" t="s">
        <v>136</v>
      </c>
      <c r="K577" s="363"/>
      <c r="L577" s="360"/>
      <c r="M577" s="360"/>
      <c r="N577" s="361"/>
      <c r="O577" s="361"/>
      <c r="P577" s="361"/>
      <c r="Q577" s="361"/>
      <c r="R577" s="362"/>
      <c r="S577" s="361"/>
      <c r="T577" s="360" t="s">
        <v>132</v>
      </c>
    </row>
    <row r="578" ht="34.5">
      <c r="A578" s="360" t="s">
        <v>860</v>
      </c>
      <c r="B578" s="360" t="s">
        <v>861</v>
      </c>
      <c r="C578" s="360" t="s">
        <v>160</v>
      </c>
      <c r="D578" s="360" t="s">
        <v>128</v>
      </c>
      <c r="E578" s="360" t="s">
        <v>129</v>
      </c>
      <c r="F578" s="361" t="s">
        <v>130</v>
      </c>
      <c r="G578" s="360" t="s">
        <v>36</v>
      </c>
      <c r="H578" s="361"/>
      <c r="I578" s="361"/>
      <c r="J578" s="361" t="s">
        <v>873</v>
      </c>
      <c r="K578" s="363"/>
      <c r="L578" s="360"/>
      <c r="M578" s="360"/>
      <c r="N578" s="361"/>
      <c r="O578" s="361"/>
      <c r="P578" s="361"/>
      <c r="Q578" s="361"/>
      <c r="R578" s="362"/>
      <c r="S578" s="361"/>
      <c r="T578" s="360" t="s">
        <v>132</v>
      </c>
    </row>
    <row r="579" ht="34.5">
      <c r="A579" s="360" t="s">
        <v>860</v>
      </c>
      <c r="B579" s="360" t="s">
        <v>861</v>
      </c>
      <c r="C579" s="360" t="s">
        <v>160</v>
      </c>
      <c r="D579" s="360" t="s">
        <v>128</v>
      </c>
      <c r="E579" s="360" t="s">
        <v>129</v>
      </c>
      <c r="F579" s="361" t="s">
        <v>130</v>
      </c>
      <c r="G579" s="360" t="s">
        <v>36</v>
      </c>
      <c r="H579" s="361"/>
      <c r="I579" s="361"/>
      <c r="J579" s="361" t="s">
        <v>874</v>
      </c>
      <c r="K579" s="363"/>
      <c r="L579" s="360"/>
      <c r="M579" s="360"/>
      <c r="N579" s="361"/>
      <c r="O579" s="361"/>
      <c r="P579" s="361"/>
      <c r="Q579" s="361"/>
      <c r="R579" s="362"/>
      <c r="S579" s="361"/>
      <c r="T579" s="360" t="s">
        <v>132</v>
      </c>
    </row>
    <row r="580" ht="34.5">
      <c r="A580" s="360" t="s">
        <v>860</v>
      </c>
      <c r="B580" s="360" t="s">
        <v>861</v>
      </c>
      <c r="C580" s="360" t="s">
        <v>160</v>
      </c>
      <c r="D580" s="360" t="s">
        <v>128</v>
      </c>
      <c r="E580" s="360" t="s">
        <v>129</v>
      </c>
      <c r="F580" s="361" t="s">
        <v>130</v>
      </c>
      <c r="G580" s="360" t="s">
        <v>36</v>
      </c>
      <c r="H580" s="361"/>
      <c r="I580" s="361"/>
      <c r="J580" s="361" t="s">
        <v>139</v>
      </c>
      <c r="K580" s="363"/>
      <c r="L580" s="360"/>
      <c r="M580" s="360"/>
      <c r="N580" s="361"/>
      <c r="O580" s="361"/>
      <c r="P580" s="361"/>
      <c r="Q580" s="361"/>
      <c r="R580" s="362"/>
      <c r="S580" s="361"/>
      <c r="T580" s="360" t="s">
        <v>132</v>
      </c>
    </row>
    <row r="581" ht="34.5">
      <c r="A581" s="360" t="s">
        <v>860</v>
      </c>
      <c r="B581" s="360" t="s">
        <v>861</v>
      </c>
      <c r="C581" s="360" t="s">
        <v>160</v>
      </c>
      <c r="D581" s="360" t="s">
        <v>128</v>
      </c>
      <c r="E581" s="360" t="s">
        <v>129</v>
      </c>
      <c r="F581" s="361" t="s">
        <v>130</v>
      </c>
      <c r="G581" s="360" t="s">
        <v>36</v>
      </c>
      <c r="H581" s="361"/>
      <c r="I581" s="361"/>
      <c r="J581" s="361" t="s">
        <v>875</v>
      </c>
      <c r="K581" s="363"/>
      <c r="L581" s="360"/>
      <c r="M581" s="360"/>
      <c r="N581" s="361"/>
      <c r="O581" s="361"/>
      <c r="P581" s="361"/>
      <c r="Q581" s="361"/>
      <c r="R581" s="362"/>
      <c r="S581" s="361"/>
      <c r="T581" s="360" t="s">
        <v>132</v>
      </c>
    </row>
    <row r="582" ht="34.5">
      <c r="A582" s="360" t="s">
        <v>860</v>
      </c>
      <c r="B582" s="360" t="s">
        <v>861</v>
      </c>
      <c r="C582" s="360" t="s">
        <v>160</v>
      </c>
      <c r="D582" s="360" t="s">
        <v>128</v>
      </c>
      <c r="E582" s="360" t="s">
        <v>143</v>
      </c>
      <c r="F582" s="361" t="s">
        <v>144</v>
      </c>
      <c r="G582" s="360" t="s">
        <v>145</v>
      </c>
      <c r="H582" s="361"/>
      <c r="I582" s="361"/>
      <c r="J582" s="361" t="s">
        <v>146</v>
      </c>
      <c r="K582" s="363"/>
      <c r="L582" s="360"/>
      <c r="M582" s="360"/>
      <c r="N582" s="361"/>
      <c r="O582" s="361"/>
      <c r="P582" s="361"/>
      <c r="Q582" s="361"/>
      <c r="R582" s="362"/>
      <c r="S582" s="361"/>
      <c r="T582" s="360" t="s">
        <v>132</v>
      </c>
    </row>
    <row r="583" ht="34.5">
      <c r="A583" s="360" t="s">
        <v>860</v>
      </c>
      <c r="B583" s="360" t="s">
        <v>861</v>
      </c>
      <c r="C583" s="360" t="s">
        <v>160</v>
      </c>
      <c r="D583" s="360" t="s">
        <v>128</v>
      </c>
      <c r="E583" s="360" t="s">
        <v>143</v>
      </c>
      <c r="F583" s="361" t="s">
        <v>144</v>
      </c>
      <c r="G583" s="360" t="s">
        <v>145</v>
      </c>
      <c r="H583" s="361"/>
      <c r="I583" s="361"/>
      <c r="J583" s="361" t="s">
        <v>876</v>
      </c>
      <c r="K583" s="363"/>
      <c r="L583" s="360"/>
      <c r="M583" s="360"/>
      <c r="N583" s="361"/>
      <c r="O583" s="361"/>
      <c r="P583" s="361"/>
      <c r="Q583" s="361"/>
      <c r="R583" s="362"/>
      <c r="S583" s="361"/>
      <c r="T583" s="360" t="s">
        <v>132</v>
      </c>
    </row>
    <row r="584" ht="34.5">
      <c r="A584" s="360" t="s">
        <v>860</v>
      </c>
      <c r="B584" s="360" t="s">
        <v>861</v>
      </c>
      <c r="C584" s="360" t="s">
        <v>160</v>
      </c>
      <c r="D584" s="360" t="s">
        <v>128</v>
      </c>
      <c r="E584" s="360" t="s">
        <v>143</v>
      </c>
      <c r="F584" s="361" t="s">
        <v>144</v>
      </c>
      <c r="G584" s="360" t="s">
        <v>145</v>
      </c>
      <c r="H584" s="361"/>
      <c r="I584" s="361"/>
      <c r="J584" s="361" t="s">
        <v>877</v>
      </c>
      <c r="K584" s="363"/>
      <c r="L584" s="360"/>
      <c r="M584" s="360"/>
      <c r="N584" s="361"/>
      <c r="O584" s="361"/>
      <c r="P584" s="361"/>
      <c r="Q584" s="361"/>
      <c r="R584" s="362"/>
      <c r="S584" s="361"/>
      <c r="T584" s="360" t="s">
        <v>132</v>
      </c>
    </row>
    <row r="585" ht="34.5">
      <c r="A585" s="360" t="s">
        <v>860</v>
      </c>
      <c r="B585" s="360" t="s">
        <v>861</v>
      </c>
      <c r="C585" s="360" t="s">
        <v>160</v>
      </c>
      <c r="D585" s="360" t="s">
        <v>128</v>
      </c>
      <c r="E585" s="360" t="s">
        <v>143</v>
      </c>
      <c r="F585" s="361" t="s">
        <v>144</v>
      </c>
      <c r="G585" s="360" t="s">
        <v>145</v>
      </c>
      <c r="H585" s="361"/>
      <c r="I585" s="361"/>
      <c r="J585" s="361" t="s">
        <v>878</v>
      </c>
      <c r="K585" s="363"/>
      <c r="L585" s="360"/>
      <c r="M585" s="360"/>
      <c r="N585" s="361"/>
      <c r="O585" s="361"/>
      <c r="P585" s="361"/>
      <c r="Q585" s="361"/>
      <c r="R585" s="362"/>
      <c r="S585" s="361"/>
      <c r="T585" s="360" t="s">
        <v>132</v>
      </c>
    </row>
    <row r="586" ht="34.5">
      <c r="A586" s="360" t="s">
        <v>860</v>
      </c>
      <c r="B586" s="360" t="s">
        <v>861</v>
      </c>
      <c r="C586" s="360" t="s">
        <v>177</v>
      </c>
      <c r="D586" s="360" t="s">
        <v>128</v>
      </c>
      <c r="E586" s="360" t="s">
        <v>143</v>
      </c>
      <c r="F586" s="361" t="s">
        <v>144</v>
      </c>
      <c r="G586" s="360" t="s">
        <v>145</v>
      </c>
      <c r="H586" s="361"/>
      <c r="I586" s="361"/>
      <c r="J586" s="361" t="s">
        <v>879</v>
      </c>
      <c r="K586" s="363"/>
      <c r="L586" s="360"/>
      <c r="M586" s="360"/>
      <c r="N586" s="361"/>
      <c r="O586" s="361"/>
      <c r="P586" s="361"/>
      <c r="Q586" s="361"/>
      <c r="R586" s="362"/>
      <c r="S586" s="361"/>
      <c r="T586" s="360" t="s">
        <v>132</v>
      </c>
    </row>
    <row r="587" ht="34.5">
      <c r="A587" s="360" t="s">
        <v>860</v>
      </c>
      <c r="B587" s="360" t="s">
        <v>861</v>
      </c>
      <c r="C587" s="360" t="s">
        <v>177</v>
      </c>
      <c r="D587" s="360" t="s">
        <v>128</v>
      </c>
      <c r="E587" s="360" t="s">
        <v>143</v>
      </c>
      <c r="F587" s="361" t="s">
        <v>144</v>
      </c>
      <c r="G587" s="360" t="s">
        <v>145</v>
      </c>
      <c r="H587" s="361"/>
      <c r="I587" s="361"/>
      <c r="J587" s="361" t="s">
        <v>880</v>
      </c>
      <c r="K587" s="363"/>
      <c r="L587" s="360"/>
      <c r="M587" s="360"/>
      <c r="N587" s="361"/>
      <c r="O587" s="361"/>
      <c r="P587" s="361"/>
      <c r="Q587" s="361"/>
      <c r="R587" s="362"/>
      <c r="S587" s="361"/>
      <c r="T587" s="360" t="s">
        <v>132</v>
      </c>
    </row>
    <row r="588" ht="34.5">
      <c r="A588" s="360" t="s">
        <v>860</v>
      </c>
      <c r="B588" s="360" t="s">
        <v>861</v>
      </c>
      <c r="C588" s="360" t="s">
        <v>177</v>
      </c>
      <c r="D588" s="360" t="s">
        <v>128</v>
      </c>
      <c r="E588" s="360" t="s">
        <v>143</v>
      </c>
      <c r="F588" s="361" t="s">
        <v>144</v>
      </c>
      <c r="G588" s="360" t="s">
        <v>145</v>
      </c>
      <c r="H588" s="361"/>
      <c r="I588" s="361"/>
      <c r="J588" s="361" t="s">
        <v>881</v>
      </c>
      <c r="K588" s="363"/>
      <c r="L588" s="360"/>
      <c r="M588" s="360"/>
      <c r="N588" s="361"/>
      <c r="O588" s="361"/>
      <c r="P588" s="361"/>
      <c r="Q588" s="361"/>
      <c r="R588" s="362"/>
      <c r="S588" s="361"/>
      <c r="T588" s="360" t="s">
        <v>132</v>
      </c>
    </row>
    <row r="589" ht="34.5">
      <c r="A589" s="360" t="s">
        <v>860</v>
      </c>
      <c r="B589" s="360" t="s">
        <v>861</v>
      </c>
      <c r="C589" s="360" t="s">
        <v>177</v>
      </c>
      <c r="D589" s="360" t="s">
        <v>128</v>
      </c>
      <c r="E589" s="360" t="s">
        <v>143</v>
      </c>
      <c r="F589" s="361" t="s">
        <v>144</v>
      </c>
      <c r="G589" s="360" t="s">
        <v>145</v>
      </c>
      <c r="H589" s="361"/>
      <c r="I589" s="361"/>
      <c r="J589" s="361" t="s">
        <v>152</v>
      </c>
      <c r="K589" s="363"/>
      <c r="L589" s="360"/>
      <c r="M589" s="360"/>
      <c r="N589" s="361"/>
      <c r="O589" s="361"/>
      <c r="P589" s="361"/>
      <c r="Q589" s="361"/>
      <c r="R589" s="362"/>
      <c r="S589" s="361"/>
      <c r="T589" s="360" t="s">
        <v>132</v>
      </c>
    </row>
    <row r="590" ht="34.5">
      <c r="A590" s="360" t="s">
        <v>860</v>
      </c>
      <c r="B590" s="360" t="s">
        <v>861</v>
      </c>
      <c r="C590" s="360" t="s">
        <v>177</v>
      </c>
      <c r="D590" s="360" t="s">
        <v>128</v>
      </c>
      <c r="E590" s="360" t="s">
        <v>143</v>
      </c>
      <c r="F590" s="361" t="s">
        <v>144</v>
      </c>
      <c r="G590" s="360" t="s">
        <v>145</v>
      </c>
      <c r="H590" s="361"/>
      <c r="I590" s="361"/>
      <c r="J590" s="361" t="s">
        <v>153</v>
      </c>
      <c r="K590" s="363"/>
      <c r="L590" s="360"/>
      <c r="M590" s="360"/>
      <c r="N590" s="361"/>
      <c r="O590" s="361"/>
      <c r="P590" s="361"/>
      <c r="Q590" s="361"/>
      <c r="R590" s="362"/>
      <c r="S590" s="361"/>
      <c r="T590" s="360" t="s">
        <v>132</v>
      </c>
    </row>
    <row r="591" ht="34.5">
      <c r="A591" s="360" t="s">
        <v>860</v>
      </c>
      <c r="B591" s="360" t="s">
        <v>861</v>
      </c>
      <c r="C591" s="360" t="s">
        <v>177</v>
      </c>
      <c r="D591" s="360" t="s">
        <v>128</v>
      </c>
      <c r="E591" s="360" t="s">
        <v>143</v>
      </c>
      <c r="F591" s="361" t="s">
        <v>144</v>
      </c>
      <c r="G591" s="360" t="s">
        <v>145</v>
      </c>
      <c r="H591" s="361"/>
      <c r="I591" s="361"/>
      <c r="J591" s="361" t="s">
        <v>154</v>
      </c>
      <c r="K591" s="363"/>
      <c r="L591" s="360"/>
      <c r="M591" s="360"/>
      <c r="N591" s="361"/>
      <c r="O591" s="361"/>
      <c r="P591" s="361"/>
      <c r="Q591" s="361"/>
      <c r="R591" s="362"/>
      <c r="S591" s="361"/>
      <c r="T591" s="360" t="s">
        <v>132</v>
      </c>
    </row>
    <row r="592" ht="34.5">
      <c r="A592" s="360" t="s">
        <v>860</v>
      </c>
      <c r="B592" s="360" t="s">
        <v>861</v>
      </c>
      <c r="C592" s="360" t="s">
        <v>177</v>
      </c>
      <c r="D592" s="360" t="s">
        <v>128</v>
      </c>
      <c r="E592" s="360" t="s">
        <v>143</v>
      </c>
      <c r="F592" s="361" t="s">
        <v>144</v>
      </c>
      <c r="G592" s="360" t="s">
        <v>145</v>
      </c>
      <c r="H592" s="361"/>
      <c r="I592" s="361"/>
      <c r="J592" s="361" t="s">
        <v>882</v>
      </c>
      <c r="K592" s="363"/>
      <c r="L592" s="360"/>
      <c r="M592" s="360"/>
      <c r="N592" s="361"/>
      <c r="O592" s="361"/>
      <c r="P592" s="361"/>
      <c r="Q592" s="361"/>
      <c r="R592" s="362"/>
      <c r="S592" s="361"/>
      <c r="T592" s="360" t="s">
        <v>132</v>
      </c>
    </row>
    <row r="593" ht="34.5">
      <c r="A593" s="360" t="s">
        <v>860</v>
      </c>
      <c r="B593" s="360" t="s">
        <v>861</v>
      </c>
      <c r="C593" s="360" t="s">
        <v>177</v>
      </c>
      <c r="D593" s="360" t="s">
        <v>128</v>
      </c>
      <c r="E593" s="360" t="s">
        <v>143</v>
      </c>
      <c r="F593" s="361" t="s">
        <v>144</v>
      </c>
      <c r="G593" s="360" t="s">
        <v>145</v>
      </c>
      <c r="H593" s="361"/>
      <c r="I593" s="361"/>
      <c r="J593" s="361" t="s">
        <v>156</v>
      </c>
      <c r="K593" s="363"/>
      <c r="L593" s="360"/>
      <c r="M593" s="360"/>
      <c r="N593" s="361"/>
      <c r="O593" s="361"/>
      <c r="P593" s="361"/>
      <c r="Q593" s="361"/>
      <c r="R593" s="362"/>
      <c r="S593" s="361"/>
      <c r="T593" s="360" t="s">
        <v>132</v>
      </c>
    </row>
    <row r="594" ht="34.5">
      <c r="A594" s="360" t="s">
        <v>860</v>
      </c>
      <c r="B594" s="360" t="s">
        <v>861</v>
      </c>
      <c r="C594" s="360" t="s">
        <v>177</v>
      </c>
      <c r="D594" s="360" t="s">
        <v>128</v>
      </c>
      <c r="E594" s="360" t="s">
        <v>143</v>
      </c>
      <c r="F594" s="361" t="s">
        <v>144</v>
      </c>
      <c r="G594" s="360" t="s">
        <v>145</v>
      </c>
      <c r="H594" s="361"/>
      <c r="I594" s="361"/>
      <c r="J594" s="361" t="s">
        <v>883</v>
      </c>
      <c r="K594" s="363"/>
      <c r="L594" s="360"/>
      <c r="M594" s="360"/>
      <c r="N594" s="361"/>
      <c r="O594" s="361"/>
      <c r="P594" s="361"/>
      <c r="Q594" s="361"/>
      <c r="R594" s="362"/>
      <c r="S594" s="361"/>
      <c r="T594" s="360" t="s">
        <v>132</v>
      </c>
    </row>
    <row r="595" ht="34.5">
      <c r="A595" s="360" t="s">
        <v>860</v>
      </c>
      <c r="B595" s="360" t="s">
        <v>861</v>
      </c>
      <c r="C595" s="360" t="s">
        <v>177</v>
      </c>
      <c r="D595" s="360" t="s">
        <v>128</v>
      </c>
      <c r="E595" s="360" t="s">
        <v>143</v>
      </c>
      <c r="F595" s="361" t="s">
        <v>144</v>
      </c>
      <c r="G595" s="360" t="s">
        <v>145</v>
      </c>
      <c r="H595" s="361"/>
      <c r="I595" s="361"/>
      <c r="J595" s="361" t="s">
        <v>158</v>
      </c>
      <c r="K595" s="363"/>
      <c r="L595" s="360"/>
      <c r="M595" s="360"/>
      <c r="N595" s="361"/>
      <c r="O595" s="361"/>
      <c r="P595" s="361"/>
      <c r="Q595" s="361"/>
      <c r="R595" s="362"/>
      <c r="S595" s="361"/>
      <c r="T595" s="360" t="s">
        <v>132</v>
      </c>
    </row>
    <row r="596" ht="34.5">
      <c r="A596" s="360" t="s">
        <v>860</v>
      </c>
      <c r="B596" s="360" t="s">
        <v>861</v>
      </c>
      <c r="C596" s="360" t="s">
        <v>177</v>
      </c>
      <c r="D596" s="360" t="s">
        <v>128</v>
      </c>
      <c r="E596" s="360" t="s">
        <v>143</v>
      </c>
      <c r="F596" s="361" t="s">
        <v>144</v>
      </c>
      <c r="G596" s="360" t="s">
        <v>145</v>
      </c>
      <c r="H596" s="361"/>
      <c r="I596" s="361"/>
      <c r="J596" s="361" t="s">
        <v>161</v>
      </c>
      <c r="K596" s="363"/>
      <c r="L596" s="360"/>
      <c r="M596" s="360"/>
      <c r="N596" s="361"/>
      <c r="O596" s="361"/>
      <c r="P596" s="361"/>
      <c r="Q596" s="361"/>
      <c r="R596" s="362"/>
      <c r="S596" s="361"/>
      <c r="T596" s="360" t="s">
        <v>132</v>
      </c>
    </row>
    <row r="597" ht="34.5">
      <c r="A597" s="360" t="s">
        <v>860</v>
      </c>
      <c r="B597" s="360" t="s">
        <v>861</v>
      </c>
      <c r="C597" s="360" t="s">
        <v>177</v>
      </c>
      <c r="D597" s="360" t="s">
        <v>128</v>
      </c>
      <c r="E597" s="360" t="s">
        <v>143</v>
      </c>
      <c r="F597" s="361" t="s">
        <v>144</v>
      </c>
      <c r="G597" s="360" t="s">
        <v>145</v>
      </c>
      <c r="H597" s="361"/>
      <c r="I597" s="361"/>
      <c r="J597" s="361" t="s">
        <v>162</v>
      </c>
      <c r="K597" s="363"/>
      <c r="L597" s="360"/>
      <c r="M597" s="360"/>
      <c r="N597" s="361"/>
      <c r="O597" s="361"/>
      <c r="P597" s="361"/>
      <c r="Q597" s="361"/>
      <c r="R597" s="362"/>
      <c r="S597" s="361"/>
      <c r="T597" s="360" t="s">
        <v>132</v>
      </c>
    </row>
    <row r="598" ht="34.5">
      <c r="A598" s="360" t="s">
        <v>860</v>
      </c>
      <c r="B598" s="360" t="s">
        <v>861</v>
      </c>
      <c r="C598" s="360" t="s">
        <v>177</v>
      </c>
      <c r="D598" s="360" t="s">
        <v>128</v>
      </c>
      <c r="E598" s="360" t="s">
        <v>143</v>
      </c>
      <c r="F598" s="361" t="s">
        <v>144</v>
      </c>
      <c r="G598" s="360" t="s">
        <v>145</v>
      </c>
      <c r="H598" s="361"/>
      <c r="I598" s="361"/>
      <c r="J598" s="361" t="s">
        <v>884</v>
      </c>
      <c r="K598" s="363"/>
      <c r="L598" s="360"/>
      <c r="M598" s="360"/>
      <c r="N598" s="361"/>
      <c r="O598" s="361"/>
      <c r="P598" s="361"/>
      <c r="Q598" s="361"/>
      <c r="R598" s="362"/>
      <c r="S598" s="361"/>
      <c r="T598" s="360" t="s">
        <v>132</v>
      </c>
    </row>
    <row r="599" ht="34.5">
      <c r="A599" s="360" t="s">
        <v>860</v>
      </c>
      <c r="B599" s="360" t="s">
        <v>861</v>
      </c>
      <c r="C599" s="360" t="s">
        <v>177</v>
      </c>
      <c r="D599" s="360" t="s">
        <v>128</v>
      </c>
      <c r="E599" s="360" t="s">
        <v>143</v>
      </c>
      <c r="F599" s="361" t="s">
        <v>144</v>
      </c>
      <c r="G599" s="360" t="s">
        <v>145</v>
      </c>
      <c r="H599" s="361"/>
      <c r="I599" s="361"/>
      <c r="J599" s="361" t="s">
        <v>164</v>
      </c>
      <c r="K599" s="363"/>
      <c r="L599" s="360"/>
      <c r="M599" s="360"/>
      <c r="N599" s="361"/>
      <c r="O599" s="361"/>
      <c r="P599" s="361"/>
      <c r="Q599" s="361"/>
      <c r="R599" s="362"/>
      <c r="S599" s="361"/>
      <c r="T599" s="360" t="s">
        <v>132</v>
      </c>
    </row>
    <row r="600" ht="34.5">
      <c r="A600" s="360" t="s">
        <v>860</v>
      </c>
      <c r="B600" s="360" t="s">
        <v>861</v>
      </c>
      <c r="C600" s="360" t="s">
        <v>177</v>
      </c>
      <c r="D600" s="360" t="s">
        <v>128</v>
      </c>
      <c r="E600" s="360" t="s">
        <v>143</v>
      </c>
      <c r="F600" s="361" t="s">
        <v>144</v>
      </c>
      <c r="G600" s="360" t="s">
        <v>145</v>
      </c>
      <c r="H600" s="361"/>
      <c r="I600" s="361"/>
      <c r="J600" s="361" t="s">
        <v>236</v>
      </c>
      <c r="K600" s="363"/>
      <c r="L600" s="360"/>
      <c r="M600" s="360"/>
      <c r="N600" s="361"/>
      <c r="O600" s="361"/>
      <c r="P600" s="361"/>
      <c r="Q600" s="361"/>
      <c r="R600" s="362"/>
      <c r="S600" s="361"/>
      <c r="T600" s="360" t="s">
        <v>132</v>
      </c>
    </row>
    <row r="601" ht="34.5">
      <c r="A601" s="360" t="s">
        <v>860</v>
      </c>
      <c r="B601" s="360" t="s">
        <v>861</v>
      </c>
      <c r="C601" s="360" t="s">
        <v>177</v>
      </c>
      <c r="D601" s="360" t="s">
        <v>128</v>
      </c>
      <c r="E601" s="360" t="s">
        <v>143</v>
      </c>
      <c r="F601" s="361" t="s">
        <v>144</v>
      </c>
      <c r="G601" s="360" t="s">
        <v>145</v>
      </c>
      <c r="H601" s="361"/>
      <c r="I601" s="361"/>
      <c r="J601" s="361" t="s">
        <v>166</v>
      </c>
      <c r="K601" s="363"/>
      <c r="L601" s="360"/>
      <c r="M601" s="360"/>
      <c r="N601" s="361"/>
      <c r="O601" s="361"/>
      <c r="P601" s="361"/>
      <c r="Q601" s="361"/>
      <c r="R601" s="362"/>
      <c r="S601" s="361"/>
      <c r="T601" s="360" t="s">
        <v>132</v>
      </c>
    </row>
    <row r="602" ht="34.5">
      <c r="A602" s="360" t="s">
        <v>860</v>
      </c>
      <c r="B602" s="360" t="s">
        <v>861</v>
      </c>
      <c r="C602" s="360" t="s">
        <v>189</v>
      </c>
      <c r="D602" s="360" t="s">
        <v>128</v>
      </c>
      <c r="E602" s="360" t="s">
        <v>167</v>
      </c>
      <c r="F602" s="361" t="s">
        <v>885</v>
      </c>
      <c r="G602" s="360" t="s">
        <v>145</v>
      </c>
      <c r="H602" s="361"/>
      <c r="I602" s="361"/>
      <c r="J602" s="361" t="s">
        <v>886</v>
      </c>
      <c r="K602" s="363"/>
      <c r="L602" s="360"/>
      <c r="M602" s="360"/>
      <c r="N602" s="361"/>
      <c r="O602" s="361"/>
      <c r="P602" s="361"/>
      <c r="Q602" s="361"/>
      <c r="R602" s="362"/>
      <c r="S602" s="361"/>
      <c r="T602" s="360" t="s">
        <v>132</v>
      </c>
    </row>
    <row r="603" ht="34.5">
      <c r="A603" s="360" t="s">
        <v>860</v>
      </c>
      <c r="B603" s="360" t="s">
        <v>861</v>
      </c>
      <c r="C603" s="360" t="s">
        <v>189</v>
      </c>
      <c r="D603" s="360" t="s">
        <v>128</v>
      </c>
      <c r="E603" s="360" t="s">
        <v>167</v>
      </c>
      <c r="F603" s="361" t="s">
        <v>885</v>
      </c>
      <c r="G603" s="360" t="s">
        <v>145</v>
      </c>
      <c r="H603" s="361"/>
      <c r="I603" s="361"/>
      <c r="J603" s="361" t="s">
        <v>887</v>
      </c>
      <c r="K603" s="363"/>
      <c r="L603" s="360"/>
      <c r="M603" s="360"/>
      <c r="N603" s="361"/>
      <c r="O603" s="361"/>
      <c r="P603" s="361"/>
      <c r="Q603" s="361"/>
      <c r="R603" s="362"/>
      <c r="S603" s="361"/>
      <c r="T603" s="360" t="s">
        <v>132</v>
      </c>
    </row>
    <row r="604" ht="34.5">
      <c r="A604" s="360" t="s">
        <v>860</v>
      </c>
      <c r="B604" s="360" t="s">
        <v>861</v>
      </c>
      <c r="C604" s="360" t="s">
        <v>189</v>
      </c>
      <c r="D604" s="360" t="s">
        <v>128</v>
      </c>
      <c r="E604" s="360" t="s">
        <v>167</v>
      </c>
      <c r="F604" s="361" t="s">
        <v>885</v>
      </c>
      <c r="G604" s="360" t="s">
        <v>145</v>
      </c>
      <c r="H604" s="361"/>
      <c r="I604" s="361"/>
      <c r="J604" s="361" t="s">
        <v>888</v>
      </c>
      <c r="K604" s="363"/>
      <c r="L604" s="360"/>
      <c r="M604" s="360"/>
      <c r="N604" s="361"/>
      <c r="O604" s="361"/>
      <c r="P604" s="361"/>
      <c r="Q604" s="361"/>
      <c r="R604" s="362"/>
      <c r="S604" s="361"/>
      <c r="T604" s="360" t="s">
        <v>132</v>
      </c>
    </row>
    <row r="605" ht="34.5">
      <c r="A605" s="360" t="s">
        <v>860</v>
      </c>
      <c r="B605" s="360" t="s">
        <v>861</v>
      </c>
      <c r="C605" s="360" t="s">
        <v>189</v>
      </c>
      <c r="D605" s="360" t="s">
        <v>128</v>
      </c>
      <c r="E605" s="360" t="s">
        <v>167</v>
      </c>
      <c r="F605" s="361" t="s">
        <v>885</v>
      </c>
      <c r="G605" s="360" t="s">
        <v>145</v>
      </c>
      <c r="H605" s="361"/>
      <c r="I605" s="361"/>
      <c r="J605" s="361" t="s">
        <v>889</v>
      </c>
      <c r="K605" s="363"/>
      <c r="L605" s="360"/>
      <c r="M605" s="360"/>
      <c r="N605" s="361"/>
      <c r="O605" s="361"/>
      <c r="P605" s="361"/>
      <c r="Q605" s="361"/>
      <c r="R605" s="362"/>
      <c r="S605" s="361"/>
      <c r="T605" s="360" t="s">
        <v>132</v>
      </c>
    </row>
    <row r="606" ht="34.5">
      <c r="A606" s="360" t="s">
        <v>860</v>
      </c>
      <c r="B606" s="360" t="s">
        <v>861</v>
      </c>
      <c r="C606" s="360" t="s">
        <v>189</v>
      </c>
      <c r="D606" s="360" t="s">
        <v>128</v>
      </c>
      <c r="E606" s="360" t="s">
        <v>167</v>
      </c>
      <c r="F606" s="361" t="s">
        <v>885</v>
      </c>
      <c r="G606" s="360" t="s">
        <v>145</v>
      </c>
      <c r="H606" s="361"/>
      <c r="I606" s="361"/>
      <c r="J606" s="361" t="s">
        <v>890</v>
      </c>
      <c r="K606" s="363"/>
      <c r="L606" s="360"/>
      <c r="M606" s="360"/>
      <c r="N606" s="361"/>
      <c r="O606" s="361"/>
      <c r="P606" s="361"/>
      <c r="Q606" s="361"/>
      <c r="R606" s="362"/>
      <c r="S606" s="361"/>
      <c r="T606" s="360" t="s">
        <v>132</v>
      </c>
    </row>
    <row r="607" ht="34.5">
      <c r="A607" s="360" t="s">
        <v>860</v>
      </c>
      <c r="B607" s="360" t="s">
        <v>861</v>
      </c>
      <c r="C607" s="360" t="s">
        <v>189</v>
      </c>
      <c r="D607" s="360" t="s">
        <v>128</v>
      </c>
      <c r="E607" s="360" t="s">
        <v>167</v>
      </c>
      <c r="F607" s="361" t="s">
        <v>885</v>
      </c>
      <c r="G607" s="360" t="s">
        <v>145</v>
      </c>
      <c r="H607" s="361"/>
      <c r="I607" s="361"/>
      <c r="J607" s="361" t="s">
        <v>891</v>
      </c>
      <c r="K607" s="363"/>
      <c r="L607" s="360"/>
      <c r="M607" s="360"/>
      <c r="N607" s="361"/>
      <c r="O607" s="361"/>
      <c r="P607" s="361"/>
      <c r="Q607" s="361"/>
      <c r="R607" s="362"/>
      <c r="S607" s="361"/>
      <c r="T607" s="360" t="s">
        <v>132</v>
      </c>
    </row>
    <row r="608" ht="34.5">
      <c r="A608" s="360" t="s">
        <v>860</v>
      </c>
      <c r="B608" s="360" t="s">
        <v>861</v>
      </c>
      <c r="C608" s="360" t="s">
        <v>189</v>
      </c>
      <c r="D608" s="360" t="s">
        <v>128</v>
      </c>
      <c r="E608" s="360" t="s">
        <v>167</v>
      </c>
      <c r="F608" s="361" t="s">
        <v>885</v>
      </c>
      <c r="G608" s="360" t="s">
        <v>145</v>
      </c>
      <c r="H608" s="361"/>
      <c r="I608" s="361"/>
      <c r="J608" s="361" t="s">
        <v>892</v>
      </c>
      <c r="K608" s="363"/>
      <c r="L608" s="360"/>
      <c r="M608" s="360"/>
      <c r="N608" s="361"/>
      <c r="O608" s="361"/>
      <c r="P608" s="361"/>
      <c r="Q608" s="361"/>
      <c r="R608" s="362"/>
      <c r="S608" s="361"/>
      <c r="T608" s="360" t="s">
        <v>132</v>
      </c>
    </row>
    <row r="609" ht="34.5">
      <c r="A609" s="360" t="s">
        <v>860</v>
      </c>
      <c r="B609" s="360" t="s">
        <v>861</v>
      </c>
      <c r="C609" s="360" t="s">
        <v>189</v>
      </c>
      <c r="D609" s="360" t="s">
        <v>128</v>
      </c>
      <c r="E609" s="360" t="s">
        <v>167</v>
      </c>
      <c r="F609" s="361" t="s">
        <v>885</v>
      </c>
      <c r="G609" s="360" t="s">
        <v>145</v>
      </c>
      <c r="H609" s="361"/>
      <c r="I609" s="361"/>
      <c r="J609" s="361" t="s">
        <v>173</v>
      </c>
      <c r="K609" s="363"/>
      <c r="L609" s="360"/>
      <c r="M609" s="360"/>
      <c r="N609" s="361"/>
      <c r="O609" s="361"/>
      <c r="P609" s="361"/>
      <c r="Q609" s="361"/>
      <c r="R609" s="362"/>
      <c r="S609" s="361"/>
      <c r="T609" s="360" t="s">
        <v>132</v>
      </c>
    </row>
    <row r="610" ht="34.5">
      <c r="A610" s="360" t="s">
        <v>860</v>
      </c>
      <c r="B610" s="360" t="s">
        <v>861</v>
      </c>
      <c r="C610" s="360" t="s">
        <v>189</v>
      </c>
      <c r="D610" s="360" t="s">
        <v>128</v>
      </c>
      <c r="E610" s="360" t="s">
        <v>167</v>
      </c>
      <c r="F610" s="361" t="s">
        <v>885</v>
      </c>
      <c r="G610" s="360" t="s">
        <v>145</v>
      </c>
      <c r="H610" s="361"/>
      <c r="I610" s="361"/>
      <c r="J610" s="361" t="s">
        <v>893</v>
      </c>
      <c r="K610" s="363"/>
      <c r="L610" s="360"/>
      <c r="M610" s="360"/>
      <c r="N610" s="361"/>
      <c r="O610" s="361"/>
      <c r="P610" s="361"/>
      <c r="Q610" s="361"/>
      <c r="R610" s="362"/>
      <c r="S610" s="361"/>
      <c r="T610" s="360" t="s">
        <v>132</v>
      </c>
    </row>
    <row r="611" ht="34.5">
      <c r="A611" s="360" t="s">
        <v>860</v>
      </c>
      <c r="B611" s="360" t="s">
        <v>861</v>
      </c>
      <c r="C611" s="360" t="s">
        <v>189</v>
      </c>
      <c r="D611" s="360" t="s">
        <v>128</v>
      </c>
      <c r="E611" s="360" t="s">
        <v>167</v>
      </c>
      <c r="F611" s="361" t="s">
        <v>885</v>
      </c>
      <c r="G611" s="360" t="s">
        <v>145</v>
      </c>
      <c r="H611" s="361"/>
      <c r="I611" s="361"/>
      <c r="J611" s="361" t="s">
        <v>894</v>
      </c>
      <c r="K611" s="363"/>
      <c r="L611" s="360"/>
      <c r="M611" s="360"/>
      <c r="N611" s="361"/>
      <c r="O611" s="361"/>
      <c r="P611" s="361"/>
      <c r="Q611" s="361"/>
      <c r="R611" s="362"/>
      <c r="S611" s="361"/>
      <c r="T611" s="360" t="s">
        <v>132</v>
      </c>
    </row>
    <row r="612" ht="34.5">
      <c r="A612" s="360" t="s">
        <v>860</v>
      </c>
      <c r="B612" s="360" t="s">
        <v>861</v>
      </c>
      <c r="C612" s="360" t="s">
        <v>189</v>
      </c>
      <c r="D612" s="360" t="s">
        <v>128</v>
      </c>
      <c r="E612" s="360" t="s">
        <v>167</v>
      </c>
      <c r="F612" s="361" t="s">
        <v>885</v>
      </c>
      <c r="G612" s="360" t="s">
        <v>145</v>
      </c>
      <c r="H612" s="361"/>
      <c r="I612" s="361"/>
      <c r="J612" s="361" t="s">
        <v>895</v>
      </c>
      <c r="K612" s="363"/>
      <c r="L612" s="360"/>
      <c r="M612" s="360"/>
      <c r="N612" s="361"/>
      <c r="O612" s="361"/>
      <c r="P612" s="361"/>
      <c r="Q612" s="361"/>
      <c r="R612" s="362"/>
      <c r="S612" s="361"/>
      <c r="T612" s="360" t="s">
        <v>132</v>
      </c>
    </row>
    <row r="613" ht="34.5">
      <c r="A613" s="360" t="s">
        <v>860</v>
      </c>
      <c r="B613" s="360" t="s">
        <v>861</v>
      </c>
      <c r="C613" s="360" t="s">
        <v>201</v>
      </c>
      <c r="D613" s="360" t="s">
        <v>128</v>
      </c>
      <c r="E613" s="360" t="s">
        <v>167</v>
      </c>
      <c r="F613" s="361" t="s">
        <v>885</v>
      </c>
      <c r="G613" s="360" t="s">
        <v>145</v>
      </c>
      <c r="H613" s="361"/>
      <c r="I613" s="361"/>
      <c r="J613" s="361" t="s">
        <v>896</v>
      </c>
      <c r="K613" s="363"/>
      <c r="L613" s="360"/>
      <c r="M613" s="360"/>
      <c r="N613" s="361"/>
      <c r="O613" s="361"/>
      <c r="P613" s="361"/>
      <c r="Q613" s="361"/>
      <c r="R613" s="362"/>
      <c r="S613" s="361"/>
      <c r="T613" s="360" t="s">
        <v>132</v>
      </c>
    </row>
    <row r="614" ht="34.5">
      <c r="A614" s="360" t="s">
        <v>860</v>
      </c>
      <c r="B614" s="360" t="s">
        <v>861</v>
      </c>
      <c r="C614" s="360" t="s">
        <v>201</v>
      </c>
      <c r="D614" s="360" t="s">
        <v>128</v>
      </c>
      <c r="E614" s="360" t="s">
        <v>167</v>
      </c>
      <c r="F614" s="361" t="s">
        <v>885</v>
      </c>
      <c r="G614" s="360" t="s">
        <v>145</v>
      </c>
      <c r="H614" s="361"/>
      <c r="I614" s="361"/>
      <c r="J614" s="361" t="s">
        <v>897</v>
      </c>
      <c r="K614" s="363"/>
      <c r="L614" s="360"/>
      <c r="M614" s="360"/>
      <c r="N614" s="361"/>
      <c r="O614" s="361"/>
      <c r="P614" s="361"/>
      <c r="Q614" s="361"/>
      <c r="R614" s="362"/>
      <c r="S614" s="361"/>
      <c r="T614" s="360" t="s">
        <v>132</v>
      </c>
    </row>
    <row r="615" ht="34.5">
      <c r="A615" s="360" t="s">
        <v>860</v>
      </c>
      <c r="B615" s="360" t="s">
        <v>861</v>
      </c>
      <c r="C615" s="360" t="s">
        <v>201</v>
      </c>
      <c r="D615" s="360" t="s">
        <v>128</v>
      </c>
      <c r="E615" s="360" t="s">
        <v>167</v>
      </c>
      <c r="F615" s="361" t="s">
        <v>885</v>
      </c>
      <c r="G615" s="360" t="s">
        <v>145</v>
      </c>
      <c r="H615" s="361"/>
      <c r="I615" s="361"/>
      <c r="J615" s="361" t="s">
        <v>898</v>
      </c>
      <c r="K615" s="363"/>
      <c r="L615" s="360"/>
      <c r="M615" s="360"/>
      <c r="N615" s="361"/>
      <c r="O615" s="361"/>
      <c r="P615" s="361"/>
      <c r="Q615" s="361"/>
      <c r="R615" s="362"/>
      <c r="S615" s="361"/>
      <c r="T615" s="360" t="s">
        <v>132</v>
      </c>
    </row>
    <row r="616" ht="34.5">
      <c r="A616" s="360" t="s">
        <v>860</v>
      </c>
      <c r="B616" s="360" t="s">
        <v>861</v>
      </c>
      <c r="C616" s="360" t="s">
        <v>201</v>
      </c>
      <c r="D616" s="360" t="s">
        <v>128</v>
      </c>
      <c r="E616" s="360" t="s">
        <v>167</v>
      </c>
      <c r="F616" s="361" t="s">
        <v>885</v>
      </c>
      <c r="G616" s="360" t="s">
        <v>145</v>
      </c>
      <c r="H616" s="361"/>
      <c r="I616" s="361"/>
      <c r="J616" s="361" t="s">
        <v>899</v>
      </c>
      <c r="K616" s="363"/>
      <c r="L616" s="360"/>
      <c r="M616" s="360"/>
      <c r="N616" s="361"/>
      <c r="O616" s="361"/>
      <c r="P616" s="361"/>
      <c r="Q616" s="361"/>
      <c r="R616" s="362"/>
      <c r="S616" s="361"/>
      <c r="T616" s="360" t="s">
        <v>132</v>
      </c>
    </row>
    <row r="617" ht="34.5">
      <c r="A617" s="360" t="s">
        <v>860</v>
      </c>
      <c r="B617" s="360" t="s">
        <v>861</v>
      </c>
      <c r="C617" s="360" t="s">
        <v>201</v>
      </c>
      <c r="D617" s="360" t="s">
        <v>128</v>
      </c>
      <c r="E617" s="360" t="s">
        <v>167</v>
      </c>
      <c r="F617" s="361" t="s">
        <v>885</v>
      </c>
      <c r="G617" s="360" t="s">
        <v>145</v>
      </c>
      <c r="H617" s="361"/>
      <c r="I617" s="361"/>
      <c r="J617" s="361" t="s">
        <v>900</v>
      </c>
      <c r="K617" s="363"/>
      <c r="L617" s="360"/>
      <c r="M617" s="360"/>
      <c r="N617" s="361"/>
      <c r="O617" s="361"/>
      <c r="P617" s="361"/>
      <c r="Q617" s="361"/>
      <c r="R617" s="362"/>
      <c r="S617" s="361"/>
      <c r="T617" s="360" t="s">
        <v>132</v>
      </c>
    </row>
    <row r="618" ht="34.5">
      <c r="A618" s="360" t="s">
        <v>860</v>
      </c>
      <c r="B618" s="360" t="s">
        <v>861</v>
      </c>
      <c r="C618" s="360" t="s">
        <v>201</v>
      </c>
      <c r="D618" s="360" t="s">
        <v>128</v>
      </c>
      <c r="E618" s="360" t="s">
        <v>167</v>
      </c>
      <c r="F618" s="361" t="s">
        <v>885</v>
      </c>
      <c r="G618" s="360" t="s">
        <v>145</v>
      </c>
      <c r="H618" s="361"/>
      <c r="I618" s="361"/>
      <c r="J618" s="361" t="s">
        <v>901</v>
      </c>
      <c r="K618" s="363"/>
      <c r="L618" s="360"/>
      <c r="M618" s="360"/>
      <c r="N618" s="361"/>
      <c r="O618" s="361"/>
      <c r="P618" s="361"/>
      <c r="Q618" s="361"/>
      <c r="R618" s="362"/>
      <c r="S618" s="361"/>
      <c r="T618" s="360" t="s">
        <v>132</v>
      </c>
    </row>
    <row r="619" ht="34.5">
      <c r="A619" s="360" t="s">
        <v>860</v>
      </c>
      <c r="B619" s="360" t="s">
        <v>861</v>
      </c>
      <c r="C619" s="360" t="s">
        <v>201</v>
      </c>
      <c r="D619" s="360" t="s">
        <v>128</v>
      </c>
      <c r="E619" s="360" t="s">
        <v>167</v>
      </c>
      <c r="F619" s="361" t="s">
        <v>885</v>
      </c>
      <c r="G619" s="360" t="s">
        <v>145</v>
      </c>
      <c r="H619" s="361"/>
      <c r="I619" s="361"/>
      <c r="J619" s="361" t="s">
        <v>179</v>
      </c>
      <c r="K619" s="363"/>
      <c r="L619" s="360"/>
      <c r="M619" s="360"/>
      <c r="N619" s="361"/>
      <c r="O619" s="361"/>
      <c r="P619" s="361"/>
      <c r="Q619" s="361"/>
      <c r="R619" s="362"/>
      <c r="S619" s="361"/>
      <c r="T619" s="360" t="s">
        <v>132</v>
      </c>
    </row>
    <row r="620" ht="34.5">
      <c r="A620" s="360" t="s">
        <v>860</v>
      </c>
      <c r="B620" s="360" t="s">
        <v>861</v>
      </c>
      <c r="C620" s="360" t="s">
        <v>201</v>
      </c>
      <c r="D620" s="360" t="s">
        <v>128</v>
      </c>
      <c r="E620" s="360" t="s">
        <v>167</v>
      </c>
      <c r="F620" s="361" t="s">
        <v>885</v>
      </c>
      <c r="G620" s="360" t="s">
        <v>145</v>
      </c>
      <c r="H620" s="361"/>
      <c r="I620" s="361"/>
      <c r="J620" s="361" t="s">
        <v>902</v>
      </c>
      <c r="K620" s="363"/>
      <c r="L620" s="360"/>
      <c r="M620" s="360"/>
      <c r="N620" s="361"/>
      <c r="O620" s="361"/>
      <c r="P620" s="361"/>
      <c r="Q620" s="361"/>
      <c r="R620" s="362"/>
      <c r="S620" s="361"/>
      <c r="T620" s="360" t="s">
        <v>132</v>
      </c>
    </row>
    <row r="621" ht="34.5">
      <c r="A621" s="360" t="s">
        <v>860</v>
      </c>
      <c r="B621" s="360" t="s">
        <v>861</v>
      </c>
      <c r="C621" s="360" t="s">
        <v>201</v>
      </c>
      <c r="D621" s="360" t="s">
        <v>128</v>
      </c>
      <c r="E621" s="360" t="s">
        <v>167</v>
      </c>
      <c r="F621" s="361" t="s">
        <v>885</v>
      </c>
      <c r="G621" s="360" t="s">
        <v>145</v>
      </c>
      <c r="H621" s="361"/>
      <c r="I621" s="361"/>
      <c r="J621" s="361" t="s">
        <v>903</v>
      </c>
      <c r="K621" s="363"/>
      <c r="L621" s="360"/>
      <c r="M621" s="360"/>
      <c r="N621" s="361"/>
      <c r="O621" s="361"/>
      <c r="P621" s="361"/>
      <c r="Q621" s="361"/>
      <c r="R621" s="362"/>
      <c r="S621" s="361"/>
      <c r="T621" s="360" t="s">
        <v>132</v>
      </c>
    </row>
    <row r="622" ht="34.5">
      <c r="A622" s="360" t="s">
        <v>860</v>
      </c>
      <c r="B622" s="360" t="s">
        <v>861</v>
      </c>
      <c r="C622" s="360" t="s">
        <v>211</v>
      </c>
      <c r="D622" s="360" t="s">
        <v>128</v>
      </c>
      <c r="E622" s="360" t="s">
        <v>167</v>
      </c>
      <c r="F622" s="361" t="s">
        <v>885</v>
      </c>
      <c r="G622" s="360" t="s">
        <v>145</v>
      </c>
      <c r="H622" s="361"/>
      <c r="I622" s="361"/>
      <c r="J622" s="361" t="s">
        <v>904</v>
      </c>
      <c r="K622" s="363"/>
      <c r="L622" s="360"/>
      <c r="M622" s="360"/>
      <c r="N622" s="361"/>
      <c r="O622" s="361"/>
      <c r="P622" s="361"/>
      <c r="Q622" s="361"/>
      <c r="R622" s="362"/>
      <c r="S622" s="361"/>
      <c r="T622" s="360" t="s">
        <v>132</v>
      </c>
    </row>
    <row r="623" ht="34.5">
      <c r="A623" s="360" t="s">
        <v>860</v>
      </c>
      <c r="B623" s="360" t="s">
        <v>861</v>
      </c>
      <c r="C623" s="360" t="s">
        <v>211</v>
      </c>
      <c r="D623" s="360" t="s">
        <v>128</v>
      </c>
      <c r="E623" s="360" t="s">
        <v>167</v>
      </c>
      <c r="F623" s="361" t="s">
        <v>885</v>
      </c>
      <c r="G623" s="360" t="s">
        <v>145</v>
      </c>
      <c r="H623" s="361"/>
      <c r="I623" s="361"/>
      <c r="J623" s="361" t="s">
        <v>905</v>
      </c>
      <c r="K623" s="363"/>
      <c r="L623" s="360"/>
      <c r="M623" s="360"/>
      <c r="N623" s="361"/>
      <c r="O623" s="361"/>
      <c r="P623" s="361"/>
      <c r="Q623" s="361"/>
      <c r="R623" s="362"/>
      <c r="S623" s="361"/>
      <c r="T623" s="360" t="s">
        <v>132</v>
      </c>
    </row>
    <row r="624" ht="34.5">
      <c r="A624" s="360" t="s">
        <v>860</v>
      </c>
      <c r="B624" s="360" t="s">
        <v>861</v>
      </c>
      <c r="C624" s="360" t="s">
        <v>211</v>
      </c>
      <c r="D624" s="360" t="s">
        <v>128</v>
      </c>
      <c r="E624" s="360" t="s">
        <v>167</v>
      </c>
      <c r="F624" s="361" t="s">
        <v>885</v>
      </c>
      <c r="G624" s="360" t="s">
        <v>145</v>
      </c>
      <c r="H624" s="361"/>
      <c r="I624" s="361"/>
      <c r="J624" s="361" t="s">
        <v>906</v>
      </c>
      <c r="K624" s="363"/>
      <c r="L624" s="360"/>
      <c r="M624" s="360"/>
      <c r="N624" s="361"/>
      <c r="O624" s="361"/>
      <c r="P624" s="361"/>
      <c r="Q624" s="361"/>
      <c r="R624" s="362"/>
      <c r="S624" s="361"/>
      <c r="T624" s="360" t="s">
        <v>132</v>
      </c>
    </row>
    <row r="625" ht="34.5">
      <c r="A625" s="360" t="s">
        <v>860</v>
      </c>
      <c r="B625" s="360" t="s">
        <v>861</v>
      </c>
      <c r="C625" s="360" t="s">
        <v>211</v>
      </c>
      <c r="D625" s="360" t="s">
        <v>128</v>
      </c>
      <c r="E625" s="360" t="s">
        <v>167</v>
      </c>
      <c r="F625" s="361" t="s">
        <v>885</v>
      </c>
      <c r="G625" s="360" t="s">
        <v>145</v>
      </c>
      <c r="H625" s="361"/>
      <c r="I625" s="361"/>
      <c r="J625" s="361" t="s">
        <v>907</v>
      </c>
      <c r="K625" s="363"/>
      <c r="L625" s="360"/>
      <c r="M625" s="360"/>
      <c r="N625" s="361"/>
      <c r="O625" s="361"/>
      <c r="P625" s="361"/>
      <c r="Q625" s="361"/>
      <c r="R625" s="362"/>
      <c r="S625" s="361"/>
      <c r="T625" s="360" t="s">
        <v>132</v>
      </c>
    </row>
    <row r="626" ht="34.5">
      <c r="A626" s="360" t="s">
        <v>860</v>
      </c>
      <c r="B626" s="360" t="s">
        <v>861</v>
      </c>
      <c r="C626" s="360" t="s">
        <v>211</v>
      </c>
      <c r="D626" s="360" t="s">
        <v>128</v>
      </c>
      <c r="E626" s="360" t="s">
        <v>167</v>
      </c>
      <c r="F626" s="361" t="s">
        <v>885</v>
      </c>
      <c r="G626" s="360" t="s">
        <v>145</v>
      </c>
      <c r="H626" s="361"/>
      <c r="I626" s="361"/>
      <c r="J626" s="361" t="s">
        <v>908</v>
      </c>
      <c r="K626" s="363"/>
      <c r="L626" s="360"/>
      <c r="M626" s="360"/>
      <c r="N626" s="361"/>
      <c r="O626" s="361"/>
      <c r="P626" s="361"/>
      <c r="Q626" s="361"/>
      <c r="R626" s="362"/>
      <c r="S626" s="361"/>
      <c r="T626" s="360" t="s">
        <v>132</v>
      </c>
    </row>
    <row r="627" ht="34.5">
      <c r="A627" s="360" t="s">
        <v>860</v>
      </c>
      <c r="B627" s="360" t="s">
        <v>861</v>
      </c>
      <c r="C627" s="360" t="s">
        <v>211</v>
      </c>
      <c r="D627" s="360" t="s">
        <v>128</v>
      </c>
      <c r="E627" s="360" t="s">
        <v>167</v>
      </c>
      <c r="F627" s="361" t="s">
        <v>885</v>
      </c>
      <c r="G627" s="360" t="s">
        <v>145</v>
      </c>
      <c r="H627" s="361"/>
      <c r="I627" s="361"/>
      <c r="J627" s="361" t="s">
        <v>186</v>
      </c>
      <c r="K627" s="363"/>
      <c r="L627" s="360"/>
      <c r="M627" s="360"/>
      <c r="N627" s="361"/>
      <c r="O627" s="361"/>
      <c r="P627" s="361"/>
      <c r="Q627" s="361"/>
      <c r="R627" s="362"/>
      <c r="S627" s="361"/>
      <c r="T627" s="360" t="s">
        <v>132</v>
      </c>
    </row>
    <row r="628" ht="34.5">
      <c r="A628" s="360" t="s">
        <v>860</v>
      </c>
      <c r="B628" s="360" t="s">
        <v>861</v>
      </c>
      <c r="C628" s="360" t="s">
        <v>211</v>
      </c>
      <c r="D628" s="360" t="s">
        <v>128</v>
      </c>
      <c r="E628" s="360" t="s">
        <v>167</v>
      </c>
      <c r="F628" s="361" t="s">
        <v>885</v>
      </c>
      <c r="G628" s="360" t="s">
        <v>145</v>
      </c>
      <c r="H628" s="361"/>
      <c r="I628" s="361"/>
      <c r="J628" s="361" t="s">
        <v>909</v>
      </c>
      <c r="K628" s="363"/>
      <c r="L628" s="360"/>
      <c r="M628" s="360"/>
      <c r="N628" s="361"/>
      <c r="O628" s="361"/>
      <c r="P628" s="361"/>
      <c r="Q628" s="361"/>
      <c r="R628" s="362"/>
      <c r="S628" s="361"/>
      <c r="T628" s="360" t="s">
        <v>132</v>
      </c>
    </row>
    <row r="629" ht="34.5">
      <c r="A629" s="360" t="s">
        <v>860</v>
      </c>
      <c r="B629" s="360" t="s">
        <v>861</v>
      </c>
      <c r="C629" s="360" t="s">
        <v>211</v>
      </c>
      <c r="D629" s="360" t="s">
        <v>128</v>
      </c>
      <c r="E629" s="360" t="s">
        <v>167</v>
      </c>
      <c r="F629" s="361" t="s">
        <v>885</v>
      </c>
      <c r="G629" s="360" t="s">
        <v>145</v>
      </c>
      <c r="H629" s="361"/>
      <c r="I629" s="361"/>
      <c r="J629" s="361" t="s">
        <v>190</v>
      </c>
      <c r="K629" s="363"/>
      <c r="L629" s="360"/>
      <c r="M629" s="360"/>
      <c r="N629" s="361"/>
      <c r="O629" s="361"/>
      <c r="P629" s="361"/>
      <c r="Q629" s="361"/>
      <c r="R629" s="362"/>
      <c r="S629" s="361"/>
      <c r="T629" s="360" t="s">
        <v>132</v>
      </c>
    </row>
    <row r="630" ht="34.5">
      <c r="A630" s="360" t="s">
        <v>860</v>
      </c>
      <c r="B630" s="360" t="s">
        <v>861</v>
      </c>
      <c r="C630" s="360" t="s">
        <v>211</v>
      </c>
      <c r="D630" s="360" t="s">
        <v>128</v>
      </c>
      <c r="E630" s="360" t="s">
        <v>167</v>
      </c>
      <c r="F630" s="361" t="s">
        <v>885</v>
      </c>
      <c r="G630" s="360" t="s">
        <v>145</v>
      </c>
      <c r="H630" s="361"/>
      <c r="I630" s="361"/>
      <c r="J630" s="361" t="s">
        <v>191</v>
      </c>
      <c r="K630" s="363"/>
      <c r="L630" s="360"/>
      <c r="M630" s="360"/>
      <c r="N630" s="361"/>
      <c r="O630" s="361"/>
      <c r="P630" s="361"/>
      <c r="Q630" s="361"/>
      <c r="R630" s="362"/>
      <c r="S630" s="361"/>
      <c r="T630" s="360" t="s">
        <v>132</v>
      </c>
    </row>
    <row r="631" ht="34.5">
      <c r="A631" s="360" t="s">
        <v>860</v>
      </c>
      <c r="B631" s="360" t="s">
        <v>861</v>
      </c>
      <c r="C631" s="360" t="s">
        <v>211</v>
      </c>
      <c r="D631" s="360" t="s">
        <v>128</v>
      </c>
      <c r="E631" s="360" t="s">
        <v>167</v>
      </c>
      <c r="F631" s="361" t="s">
        <v>885</v>
      </c>
      <c r="G631" s="360" t="s">
        <v>145</v>
      </c>
      <c r="H631" s="361"/>
      <c r="I631" s="361"/>
      <c r="J631" s="361" t="s">
        <v>192</v>
      </c>
      <c r="K631" s="363"/>
      <c r="L631" s="360"/>
      <c r="M631" s="360"/>
      <c r="N631" s="361"/>
      <c r="O631" s="361"/>
      <c r="P631" s="361"/>
      <c r="Q631" s="361"/>
      <c r="R631" s="362"/>
      <c r="S631" s="361"/>
      <c r="T631" s="360" t="s">
        <v>132</v>
      </c>
    </row>
    <row r="632" ht="34.5">
      <c r="A632" s="360" t="s">
        <v>860</v>
      </c>
      <c r="B632" s="360" t="s">
        <v>861</v>
      </c>
      <c r="C632" s="360" t="s">
        <v>211</v>
      </c>
      <c r="D632" s="360" t="s">
        <v>128</v>
      </c>
      <c r="E632" s="360" t="s">
        <v>167</v>
      </c>
      <c r="F632" s="361" t="s">
        <v>885</v>
      </c>
      <c r="G632" s="360" t="s">
        <v>145</v>
      </c>
      <c r="H632" s="361"/>
      <c r="I632" s="361"/>
      <c r="J632" s="361" t="s">
        <v>193</v>
      </c>
      <c r="K632" s="363"/>
      <c r="L632" s="360"/>
      <c r="M632" s="360"/>
      <c r="N632" s="361"/>
      <c r="O632" s="361"/>
      <c r="P632" s="361"/>
      <c r="Q632" s="361"/>
      <c r="R632" s="362"/>
      <c r="S632" s="361"/>
      <c r="T632" s="360" t="s">
        <v>132</v>
      </c>
    </row>
    <row r="633" ht="34.5">
      <c r="A633" s="360" t="s">
        <v>860</v>
      </c>
      <c r="B633" s="360" t="s">
        <v>861</v>
      </c>
      <c r="C633" s="360" t="s">
        <v>211</v>
      </c>
      <c r="D633" s="360" t="s">
        <v>128</v>
      </c>
      <c r="E633" s="360" t="s">
        <v>167</v>
      </c>
      <c r="F633" s="361" t="s">
        <v>885</v>
      </c>
      <c r="G633" s="360" t="s">
        <v>145</v>
      </c>
      <c r="H633" s="361"/>
      <c r="I633" s="361"/>
      <c r="J633" s="361" t="s">
        <v>910</v>
      </c>
      <c r="K633" s="363"/>
      <c r="L633" s="360"/>
      <c r="M633" s="360"/>
      <c r="N633" s="361"/>
      <c r="O633" s="361"/>
      <c r="P633" s="361"/>
      <c r="Q633" s="361"/>
      <c r="R633" s="362"/>
      <c r="S633" s="361"/>
      <c r="T633" s="360" t="s">
        <v>132</v>
      </c>
    </row>
    <row r="634" ht="34.5">
      <c r="A634" s="360" t="s">
        <v>860</v>
      </c>
      <c r="B634" s="360" t="s">
        <v>861</v>
      </c>
      <c r="C634" s="360" t="s">
        <v>222</v>
      </c>
      <c r="D634" s="360" t="s">
        <v>128</v>
      </c>
      <c r="E634" s="360" t="s">
        <v>167</v>
      </c>
      <c r="F634" s="361" t="s">
        <v>885</v>
      </c>
      <c r="G634" s="360" t="s">
        <v>145</v>
      </c>
      <c r="H634" s="361"/>
      <c r="I634" s="361"/>
      <c r="J634" s="361" t="s">
        <v>911</v>
      </c>
      <c r="K634" s="363"/>
      <c r="L634" s="360"/>
      <c r="M634" s="360"/>
      <c r="N634" s="361"/>
      <c r="O634" s="361"/>
      <c r="P634" s="361"/>
      <c r="Q634" s="361"/>
      <c r="R634" s="362"/>
      <c r="S634" s="361"/>
      <c r="T634" s="360" t="s">
        <v>132</v>
      </c>
    </row>
    <row r="635" ht="34.5">
      <c r="A635" s="360" t="s">
        <v>860</v>
      </c>
      <c r="B635" s="360" t="s">
        <v>861</v>
      </c>
      <c r="C635" s="360" t="s">
        <v>222</v>
      </c>
      <c r="D635" s="360" t="s">
        <v>128</v>
      </c>
      <c r="E635" s="360" t="s">
        <v>167</v>
      </c>
      <c r="F635" s="361" t="s">
        <v>885</v>
      </c>
      <c r="G635" s="360" t="s">
        <v>145</v>
      </c>
      <c r="H635" s="361"/>
      <c r="I635" s="361"/>
      <c r="J635" s="361" t="s">
        <v>197</v>
      </c>
      <c r="K635" s="363"/>
      <c r="L635" s="360"/>
      <c r="M635" s="360"/>
      <c r="N635" s="361"/>
      <c r="O635" s="361"/>
      <c r="P635" s="361"/>
      <c r="Q635" s="361"/>
      <c r="R635" s="362"/>
      <c r="S635" s="361"/>
      <c r="T635" s="360" t="s">
        <v>132</v>
      </c>
    </row>
    <row r="636" ht="34.5">
      <c r="A636" s="360" t="s">
        <v>860</v>
      </c>
      <c r="B636" s="360" t="s">
        <v>861</v>
      </c>
      <c r="C636" s="360" t="s">
        <v>222</v>
      </c>
      <c r="D636" s="360" t="s">
        <v>128</v>
      </c>
      <c r="E636" s="360" t="s">
        <v>167</v>
      </c>
      <c r="F636" s="361" t="s">
        <v>885</v>
      </c>
      <c r="G636" s="360" t="s">
        <v>145</v>
      </c>
      <c r="H636" s="361"/>
      <c r="I636" s="361"/>
      <c r="J636" s="361" t="s">
        <v>198</v>
      </c>
      <c r="K636" s="363"/>
      <c r="L636" s="360"/>
      <c r="M636" s="360"/>
      <c r="N636" s="361"/>
      <c r="O636" s="361"/>
      <c r="P636" s="361"/>
      <c r="Q636" s="361"/>
      <c r="R636" s="362"/>
      <c r="S636" s="361"/>
      <c r="T636" s="360" t="s">
        <v>132</v>
      </c>
    </row>
    <row r="637" ht="34.5">
      <c r="A637" s="360" t="s">
        <v>860</v>
      </c>
      <c r="B637" s="360" t="s">
        <v>861</v>
      </c>
      <c r="C637" s="360" t="s">
        <v>222</v>
      </c>
      <c r="D637" s="360" t="s">
        <v>128</v>
      </c>
      <c r="E637" s="360" t="s">
        <v>167</v>
      </c>
      <c r="F637" s="361" t="s">
        <v>885</v>
      </c>
      <c r="G637" s="360" t="s">
        <v>145</v>
      </c>
      <c r="H637" s="361"/>
      <c r="I637" s="361"/>
      <c r="J637" s="361" t="s">
        <v>912</v>
      </c>
      <c r="K637" s="363"/>
      <c r="L637" s="360"/>
      <c r="M637" s="360"/>
      <c r="N637" s="361"/>
      <c r="O637" s="361"/>
      <c r="P637" s="361"/>
      <c r="Q637" s="361"/>
      <c r="R637" s="362"/>
      <c r="S637" s="361"/>
      <c r="T637" s="360" t="s">
        <v>132</v>
      </c>
    </row>
    <row r="638" ht="34.5">
      <c r="A638" s="360" t="s">
        <v>860</v>
      </c>
      <c r="B638" s="360" t="s">
        <v>861</v>
      </c>
      <c r="C638" s="360" t="s">
        <v>222</v>
      </c>
      <c r="D638" s="360" t="s">
        <v>128</v>
      </c>
      <c r="E638" s="360" t="s">
        <v>167</v>
      </c>
      <c r="F638" s="361" t="s">
        <v>885</v>
      </c>
      <c r="G638" s="360" t="s">
        <v>145</v>
      </c>
      <c r="H638" s="361"/>
      <c r="I638" s="361"/>
      <c r="J638" s="361" t="s">
        <v>202</v>
      </c>
      <c r="K638" s="363"/>
      <c r="L638" s="360"/>
      <c r="M638" s="360"/>
      <c r="N638" s="361"/>
      <c r="O638" s="361"/>
      <c r="P638" s="361"/>
      <c r="Q638" s="361"/>
      <c r="R638" s="362"/>
      <c r="S638" s="361"/>
      <c r="T638" s="360" t="s">
        <v>132</v>
      </c>
    </row>
    <row r="639" ht="34.5">
      <c r="A639" s="360" t="s">
        <v>860</v>
      </c>
      <c r="B639" s="360" t="s">
        <v>861</v>
      </c>
      <c r="C639" s="360" t="s">
        <v>222</v>
      </c>
      <c r="D639" s="360" t="s">
        <v>128</v>
      </c>
      <c r="E639" s="360" t="s">
        <v>167</v>
      </c>
      <c r="F639" s="361" t="s">
        <v>885</v>
      </c>
      <c r="G639" s="360" t="s">
        <v>145</v>
      </c>
      <c r="H639" s="361"/>
      <c r="I639" s="361"/>
      <c r="J639" s="361" t="s">
        <v>203</v>
      </c>
      <c r="K639" s="363"/>
      <c r="L639" s="360"/>
      <c r="M639" s="360"/>
      <c r="N639" s="361"/>
      <c r="O639" s="361"/>
      <c r="P639" s="361"/>
      <c r="Q639" s="361"/>
      <c r="R639" s="362"/>
      <c r="S639" s="361"/>
      <c r="T639" s="360" t="s">
        <v>132</v>
      </c>
    </row>
    <row r="640" ht="34.5">
      <c r="A640" s="360" t="s">
        <v>860</v>
      </c>
      <c r="B640" s="360" t="s">
        <v>861</v>
      </c>
      <c r="C640" s="360" t="s">
        <v>222</v>
      </c>
      <c r="D640" s="360" t="s">
        <v>128</v>
      </c>
      <c r="E640" s="360" t="s">
        <v>167</v>
      </c>
      <c r="F640" s="361" t="s">
        <v>885</v>
      </c>
      <c r="G640" s="360" t="s">
        <v>145</v>
      </c>
      <c r="H640" s="361"/>
      <c r="I640" s="361"/>
      <c r="J640" s="361" t="s">
        <v>204</v>
      </c>
      <c r="K640" s="363"/>
      <c r="L640" s="360"/>
      <c r="M640" s="360"/>
      <c r="N640" s="361"/>
      <c r="O640" s="361"/>
      <c r="P640" s="361"/>
      <c r="Q640" s="361"/>
      <c r="R640" s="362"/>
      <c r="S640" s="361"/>
      <c r="T640" s="360" t="s">
        <v>132</v>
      </c>
    </row>
    <row r="641" ht="34.5">
      <c r="A641" s="360" t="s">
        <v>860</v>
      </c>
      <c r="B641" s="360" t="s">
        <v>861</v>
      </c>
      <c r="C641" s="360" t="s">
        <v>222</v>
      </c>
      <c r="D641" s="360" t="s">
        <v>128</v>
      </c>
      <c r="E641" s="360" t="s">
        <v>167</v>
      </c>
      <c r="F641" s="361" t="s">
        <v>885</v>
      </c>
      <c r="G641" s="360" t="s">
        <v>145</v>
      </c>
      <c r="H641" s="361"/>
      <c r="I641" s="361"/>
      <c r="J641" s="361" t="s">
        <v>205</v>
      </c>
      <c r="K641" s="363"/>
      <c r="L641" s="360"/>
      <c r="M641" s="360"/>
      <c r="N641" s="361"/>
      <c r="O641" s="361"/>
      <c r="P641" s="361"/>
      <c r="Q641" s="361"/>
      <c r="R641" s="362"/>
      <c r="S641" s="361"/>
      <c r="T641" s="360" t="s">
        <v>132</v>
      </c>
    </row>
    <row r="642" ht="34.5">
      <c r="A642" s="360" t="s">
        <v>860</v>
      </c>
      <c r="B642" s="360" t="s">
        <v>861</v>
      </c>
      <c r="C642" s="360" t="s">
        <v>222</v>
      </c>
      <c r="D642" s="360" t="s">
        <v>128</v>
      </c>
      <c r="E642" s="360" t="s">
        <v>167</v>
      </c>
      <c r="F642" s="361" t="s">
        <v>885</v>
      </c>
      <c r="G642" s="360" t="s">
        <v>145</v>
      </c>
      <c r="H642" s="361"/>
      <c r="I642" s="361"/>
      <c r="J642" s="361" t="s">
        <v>206</v>
      </c>
      <c r="K642" s="363"/>
      <c r="L642" s="360"/>
      <c r="M642" s="360"/>
      <c r="N642" s="361"/>
      <c r="O642" s="361"/>
      <c r="P642" s="361"/>
      <c r="Q642" s="361"/>
      <c r="R642" s="362"/>
      <c r="S642" s="361"/>
      <c r="T642" s="360" t="s">
        <v>132</v>
      </c>
    </row>
    <row r="643" ht="34.5">
      <c r="A643" s="360" t="s">
        <v>860</v>
      </c>
      <c r="B643" s="360" t="s">
        <v>861</v>
      </c>
      <c r="C643" s="360" t="s">
        <v>222</v>
      </c>
      <c r="D643" s="360" t="s">
        <v>128</v>
      </c>
      <c r="E643" s="360" t="s">
        <v>167</v>
      </c>
      <c r="F643" s="361" t="s">
        <v>885</v>
      </c>
      <c r="G643" s="360" t="s">
        <v>145</v>
      </c>
      <c r="H643" s="361"/>
      <c r="I643" s="361"/>
      <c r="J643" s="361" t="s">
        <v>913</v>
      </c>
      <c r="K643" s="363"/>
      <c r="L643" s="360"/>
      <c r="M643" s="360"/>
      <c r="N643" s="361"/>
      <c r="O643" s="361"/>
      <c r="P643" s="361"/>
      <c r="Q643" s="361"/>
      <c r="R643" s="362"/>
      <c r="S643" s="361"/>
      <c r="T643" s="360" t="s">
        <v>132</v>
      </c>
    </row>
    <row r="644" ht="34.5">
      <c r="A644" s="360" t="s">
        <v>860</v>
      </c>
      <c r="B644" s="360" t="s">
        <v>861</v>
      </c>
      <c r="C644" s="360" t="s">
        <v>229</v>
      </c>
      <c r="D644" s="360" t="s">
        <v>128</v>
      </c>
      <c r="E644" s="360" t="s">
        <v>167</v>
      </c>
      <c r="F644" s="361" t="s">
        <v>885</v>
      </c>
      <c r="G644" s="360" t="s">
        <v>145</v>
      </c>
      <c r="H644" s="361"/>
      <c r="I644" s="361"/>
      <c r="J644" s="361" t="s">
        <v>914</v>
      </c>
      <c r="K644" s="363"/>
      <c r="L644" s="360"/>
      <c r="M644" s="360"/>
      <c r="N644" s="361"/>
      <c r="O644" s="361"/>
      <c r="P644" s="361"/>
      <c r="Q644" s="361"/>
      <c r="R644" s="362"/>
      <c r="S644" s="361"/>
      <c r="T644" s="360" t="s">
        <v>132</v>
      </c>
    </row>
    <row r="645" ht="34.5">
      <c r="A645" s="360" t="s">
        <v>860</v>
      </c>
      <c r="B645" s="360" t="s">
        <v>861</v>
      </c>
      <c r="C645" s="360" t="s">
        <v>229</v>
      </c>
      <c r="D645" s="360" t="s">
        <v>128</v>
      </c>
      <c r="E645" s="360" t="s">
        <v>167</v>
      </c>
      <c r="F645" s="361" t="s">
        <v>885</v>
      </c>
      <c r="G645" s="360" t="s">
        <v>145</v>
      </c>
      <c r="H645" s="361"/>
      <c r="I645" s="361"/>
      <c r="J645" s="361" t="s">
        <v>209</v>
      </c>
      <c r="K645" s="363"/>
      <c r="L645" s="360"/>
      <c r="M645" s="360"/>
      <c r="N645" s="361"/>
      <c r="O645" s="361"/>
      <c r="P645" s="361"/>
      <c r="Q645" s="361"/>
      <c r="R645" s="362"/>
      <c r="S645" s="361"/>
      <c r="T645" s="360" t="s">
        <v>132</v>
      </c>
    </row>
    <row r="646" ht="34.5">
      <c r="A646" s="360" t="s">
        <v>860</v>
      </c>
      <c r="B646" s="360" t="s">
        <v>861</v>
      </c>
      <c r="C646" s="360" t="s">
        <v>229</v>
      </c>
      <c r="D646" s="360" t="s">
        <v>128</v>
      </c>
      <c r="E646" s="360" t="s">
        <v>167</v>
      </c>
      <c r="F646" s="361" t="s">
        <v>885</v>
      </c>
      <c r="G646" s="360" t="s">
        <v>145</v>
      </c>
      <c r="H646" s="361"/>
      <c r="I646" s="361"/>
      <c r="J646" s="361" t="s">
        <v>212</v>
      </c>
      <c r="K646" s="363"/>
      <c r="L646" s="360"/>
      <c r="M646" s="360"/>
      <c r="N646" s="361"/>
      <c r="O646" s="361"/>
      <c r="P646" s="361"/>
      <c r="Q646" s="361"/>
      <c r="R646" s="362"/>
      <c r="S646" s="361"/>
      <c r="T646" s="360" t="s">
        <v>132</v>
      </c>
    </row>
    <row r="647" ht="34.5">
      <c r="A647" s="360" t="s">
        <v>860</v>
      </c>
      <c r="B647" s="360" t="s">
        <v>861</v>
      </c>
      <c r="C647" s="360" t="s">
        <v>229</v>
      </c>
      <c r="D647" s="360" t="s">
        <v>128</v>
      </c>
      <c r="E647" s="360" t="s">
        <v>167</v>
      </c>
      <c r="F647" s="361" t="s">
        <v>885</v>
      </c>
      <c r="G647" s="360" t="s">
        <v>145</v>
      </c>
      <c r="H647" s="361"/>
      <c r="I647" s="361"/>
      <c r="J647" s="361" t="s">
        <v>915</v>
      </c>
      <c r="K647" s="363"/>
      <c r="L647" s="360"/>
      <c r="M647" s="360"/>
      <c r="N647" s="361"/>
      <c r="O647" s="361"/>
      <c r="P647" s="361"/>
      <c r="Q647" s="361"/>
      <c r="R647" s="362"/>
      <c r="S647" s="361"/>
      <c r="T647" s="360" t="s">
        <v>132</v>
      </c>
    </row>
    <row r="648" ht="34.5">
      <c r="A648" s="360" t="s">
        <v>860</v>
      </c>
      <c r="B648" s="360" t="s">
        <v>861</v>
      </c>
      <c r="C648" s="360" t="s">
        <v>229</v>
      </c>
      <c r="D648" s="360" t="s">
        <v>128</v>
      </c>
      <c r="E648" s="360" t="s">
        <v>167</v>
      </c>
      <c r="F648" s="361" t="s">
        <v>885</v>
      </c>
      <c r="G648" s="360" t="s">
        <v>145</v>
      </c>
      <c r="H648" s="361"/>
      <c r="I648" s="361"/>
      <c r="J648" s="361" t="s">
        <v>214</v>
      </c>
      <c r="K648" s="363"/>
      <c r="L648" s="360"/>
      <c r="M648" s="360"/>
      <c r="N648" s="361"/>
      <c r="O648" s="361"/>
      <c r="P648" s="361"/>
      <c r="Q648" s="361"/>
      <c r="R648" s="362"/>
      <c r="S648" s="361"/>
      <c r="T648" s="360" t="s">
        <v>132</v>
      </c>
    </row>
    <row r="649" ht="34.5">
      <c r="A649" s="360" t="s">
        <v>860</v>
      </c>
      <c r="B649" s="360" t="s">
        <v>861</v>
      </c>
      <c r="C649" s="360" t="s">
        <v>229</v>
      </c>
      <c r="D649" s="360" t="s">
        <v>128</v>
      </c>
      <c r="E649" s="360" t="s">
        <v>167</v>
      </c>
      <c r="F649" s="361" t="s">
        <v>885</v>
      </c>
      <c r="G649" s="360" t="s">
        <v>145</v>
      </c>
      <c r="H649" s="361"/>
      <c r="I649" s="361"/>
      <c r="J649" s="361" t="s">
        <v>215</v>
      </c>
      <c r="K649" s="363"/>
      <c r="L649" s="360"/>
      <c r="M649" s="360"/>
      <c r="N649" s="361"/>
      <c r="O649" s="361"/>
      <c r="P649" s="361"/>
      <c r="Q649" s="361"/>
      <c r="R649" s="362"/>
      <c r="S649" s="361"/>
      <c r="T649" s="360" t="s">
        <v>132</v>
      </c>
    </row>
    <row r="650" ht="34.5">
      <c r="A650" s="360" t="s">
        <v>860</v>
      </c>
      <c r="B650" s="360" t="s">
        <v>861</v>
      </c>
      <c r="C650" s="360" t="s">
        <v>229</v>
      </c>
      <c r="D650" s="360" t="s">
        <v>128</v>
      </c>
      <c r="E650" s="360" t="s">
        <v>167</v>
      </c>
      <c r="F650" s="361" t="s">
        <v>885</v>
      </c>
      <c r="G650" s="360" t="s">
        <v>145</v>
      </c>
      <c r="H650" s="361"/>
      <c r="I650" s="361"/>
      <c r="J650" s="361" t="s">
        <v>216</v>
      </c>
      <c r="K650" s="363"/>
      <c r="L650" s="360"/>
      <c r="M650" s="360"/>
      <c r="N650" s="361"/>
      <c r="O650" s="361"/>
      <c r="P650" s="361"/>
      <c r="Q650" s="361"/>
      <c r="R650" s="362"/>
      <c r="S650" s="361"/>
      <c r="T650" s="360" t="s">
        <v>132</v>
      </c>
    </row>
    <row r="651" ht="34.5">
      <c r="A651" s="360" t="s">
        <v>860</v>
      </c>
      <c r="B651" s="360" t="s">
        <v>861</v>
      </c>
      <c r="C651" s="360" t="s">
        <v>229</v>
      </c>
      <c r="D651" s="360" t="s">
        <v>128</v>
      </c>
      <c r="E651" s="360" t="s">
        <v>167</v>
      </c>
      <c r="F651" s="361" t="s">
        <v>885</v>
      </c>
      <c r="G651" s="360" t="s">
        <v>145</v>
      </c>
      <c r="H651" s="361"/>
      <c r="I651" s="361"/>
      <c r="J651" s="361" t="s">
        <v>916</v>
      </c>
      <c r="K651" s="363"/>
      <c r="L651" s="360"/>
      <c r="M651" s="360"/>
      <c r="N651" s="361"/>
      <c r="O651" s="361"/>
      <c r="P651" s="361"/>
      <c r="Q651" s="361"/>
      <c r="R651" s="362"/>
      <c r="S651" s="361"/>
      <c r="T651" s="360" t="s">
        <v>132</v>
      </c>
    </row>
    <row r="652" ht="34.5">
      <c r="A652" s="360" t="s">
        <v>860</v>
      </c>
      <c r="B652" s="360" t="s">
        <v>861</v>
      </c>
      <c r="C652" s="360" t="s">
        <v>229</v>
      </c>
      <c r="D652" s="360" t="s">
        <v>128</v>
      </c>
      <c r="E652" s="360" t="s">
        <v>167</v>
      </c>
      <c r="F652" s="361" t="s">
        <v>885</v>
      </c>
      <c r="G652" s="360" t="s">
        <v>145</v>
      </c>
      <c r="H652" s="361"/>
      <c r="I652" s="361"/>
      <c r="J652" s="361" t="s">
        <v>218</v>
      </c>
      <c r="K652" s="363"/>
      <c r="L652" s="360"/>
      <c r="M652" s="360"/>
      <c r="N652" s="361"/>
      <c r="O652" s="361"/>
      <c r="P652" s="361"/>
      <c r="Q652" s="361"/>
      <c r="R652" s="362"/>
      <c r="S652" s="361"/>
      <c r="T652" s="360" t="s">
        <v>132</v>
      </c>
    </row>
    <row r="653" ht="34.5">
      <c r="A653" s="360" t="s">
        <v>860</v>
      </c>
      <c r="B653" s="360" t="s">
        <v>861</v>
      </c>
      <c r="C653" s="360" t="s">
        <v>241</v>
      </c>
      <c r="D653" s="360" t="s">
        <v>128</v>
      </c>
      <c r="E653" s="360" t="s">
        <v>167</v>
      </c>
      <c r="F653" s="361" t="s">
        <v>885</v>
      </c>
      <c r="G653" s="360" t="s">
        <v>145</v>
      </c>
      <c r="H653" s="361"/>
      <c r="I653" s="361"/>
      <c r="J653" s="361" t="s">
        <v>219</v>
      </c>
      <c r="K653" s="363"/>
      <c r="L653" s="360"/>
      <c r="M653" s="360"/>
      <c r="N653" s="361"/>
      <c r="O653" s="361"/>
      <c r="P653" s="361"/>
      <c r="Q653" s="361"/>
      <c r="R653" s="362"/>
      <c r="S653" s="361"/>
      <c r="T653" s="360" t="s">
        <v>132</v>
      </c>
    </row>
    <row r="654" ht="34.5">
      <c r="A654" s="360" t="s">
        <v>860</v>
      </c>
      <c r="B654" s="360" t="s">
        <v>861</v>
      </c>
      <c r="C654" s="360" t="s">
        <v>241</v>
      </c>
      <c r="D654" s="360" t="s">
        <v>128</v>
      </c>
      <c r="E654" s="360" t="s">
        <v>167</v>
      </c>
      <c r="F654" s="361" t="s">
        <v>885</v>
      </c>
      <c r="G654" s="360" t="s">
        <v>145</v>
      </c>
      <c r="H654" s="361"/>
      <c r="I654" s="361"/>
      <c r="J654" s="361" t="s">
        <v>220</v>
      </c>
      <c r="K654" s="363"/>
      <c r="L654" s="360"/>
      <c r="M654" s="360"/>
      <c r="N654" s="361"/>
      <c r="O654" s="361"/>
      <c r="P654" s="361"/>
      <c r="Q654" s="361"/>
      <c r="R654" s="362"/>
      <c r="S654" s="361"/>
      <c r="T654" s="360" t="s">
        <v>132</v>
      </c>
    </row>
    <row r="655" ht="34.5">
      <c r="A655" s="360" t="s">
        <v>860</v>
      </c>
      <c r="B655" s="360" t="s">
        <v>861</v>
      </c>
      <c r="C655" s="360" t="s">
        <v>241</v>
      </c>
      <c r="D655" s="360" t="s">
        <v>128</v>
      </c>
      <c r="E655" s="360" t="s">
        <v>167</v>
      </c>
      <c r="F655" s="361" t="s">
        <v>885</v>
      </c>
      <c r="G655" s="360" t="s">
        <v>145</v>
      </c>
      <c r="H655" s="361"/>
      <c r="I655" s="361"/>
      <c r="J655" s="361" t="s">
        <v>223</v>
      </c>
      <c r="K655" s="363"/>
      <c r="L655" s="360"/>
      <c r="M655" s="360"/>
      <c r="N655" s="361"/>
      <c r="O655" s="361"/>
      <c r="P655" s="361"/>
      <c r="Q655" s="361"/>
      <c r="R655" s="362"/>
      <c r="S655" s="361"/>
      <c r="T655" s="360" t="s">
        <v>132</v>
      </c>
    </row>
    <row r="656" ht="34.5">
      <c r="A656" s="360" t="s">
        <v>860</v>
      </c>
      <c r="B656" s="360" t="s">
        <v>861</v>
      </c>
      <c r="C656" s="360" t="s">
        <v>241</v>
      </c>
      <c r="D656" s="360" t="s">
        <v>128</v>
      </c>
      <c r="E656" s="360" t="s">
        <v>167</v>
      </c>
      <c r="F656" s="361" t="s">
        <v>885</v>
      </c>
      <c r="G656" s="360" t="s">
        <v>145</v>
      </c>
      <c r="H656" s="361"/>
      <c r="I656" s="361"/>
      <c r="J656" s="361" t="s">
        <v>224</v>
      </c>
      <c r="K656" s="363"/>
      <c r="L656" s="360"/>
      <c r="M656" s="360"/>
      <c r="N656" s="361"/>
      <c r="O656" s="361"/>
      <c r="P656" s="361"/>
      <c r="Q656" s="361"/>
      <c r="R656" s="362"/>
      <c r="S656" s="361"/>
      <c r="T656" s="360" t="s">
        <v>132</v>
      </c>
    </row>
    <row r="657" ht="34.5">
      <c r="A657" s="360" t="s">
        <v>860</v>
      </c>
      <c r="B657" s="360" t="s">
        <v>861</v>
      </c>
      <c r="C657" s="360" t="s">
        <v>241</v>
      </c>
      <c r="D657" s="360" t="s">
        <v>128</v>
      </c>
      <c r="E657" s="360" t="s">
        <v>167</v>
      </c>
      <c r="F657" s="361" t="s">
        <v>885</v>
      </c>
      <c r="G657" s="360" t="s">
        <v>145</v>
      </c>
      <c r="H657" s="361"/>
      <c r="I657" s="361"/>
      <c r="J657" s="361" t="s">
        <v>225</v>
      </c>
      <c r="K657" s="363"/>
      <c r="L657" s="360"/>
      <c r="M657" s="360"/>
      <c r="N657" s="361"/>
      <c r="O657" s="361"/>
      <c r="P657" s="361"/>
      <c r="Q657" s="361"/>
      <c r="R657" s="362"/>
      <c r="S657" s="361"/>
      <c r="T657" s="360" t="s">
        <v>132</v>
      </c>
    </row>
    <row r="658" ht="34.5">
      <c r="A658" s="360" t="s">
        <v>860</v>
      </c>
      <c r="B658" s="360" t="s">
        <v>861</v>
      </c>
      <c r="C658" s="360" t="s">
        <v>241</v>
      </c>
      <c r="D658" s="360" t="s">
        <v>128</v>
      </c>
      <c r="E658" s="360" t="s">
        <v>167</v>
      </c>
      <c r="F658" s="361" t="s">
        <v>885</v>
      </c>
      <c r="G658" s="360" t="s">
        <v>145</v>
      </c>
      <c r="H658" s="361"/>
      <c r="I658" s="361"/>
      <c r="J658" s="361" t="s">
        <v>226</v>
      </c>
      <c r="K658" s="363"/>
      <c r="L658" s="360"/>
      <c r="M658" s="360"/>
      <c r="N658" s="361"/>
      <c r="O658" s="361"/>
      <c r="P658" s="361"/>
      <c r="Q658" s="361"/>
      <c r="R658" s="362"/>
      <c r="S658" s="361"/>
      <c r="T658" s="360" t="s">
        <v>132</v>
      </c>
    </row>
    <row r="659" ht="34.5">
      <c r="A659" s="360" t="s">
        <v>860</v>
      </c>
      <c r="B659" s="360" t="s">
        <v>861</v>
      </c>
      <c r="C659" s="360" t="s">
        <v>241</v>
      </c>
      <c r="D659" s="360" t="s">
        <v>128</v>
      </c>
      <c r="E659" s="360" t="s">
        <v>167</v>
      </c>
      <c r="F659" s="361" t="s">
        <v>885</v>
      </c>
      <c r="G659" s="360" t="s">
        <v>145</v>
      </c>
      <c r="H659" s="361"/>
      <c r="I659" s="361"/>
      <c r="J659" s="361" t="s">
        <v>227</v>
      </c>
      <c r="K659" s="363"/>
      <c r="L659" s="360"/>
      <c r="M659" s="360"/>
      <c r="N659" s="361"/>
      <c r="O659" s="361"/>
      <c r="P659" s="361"/>
      <c r="Q659" s="361"/>
      <c r="R659" s="362"/>
      <c r="S659" s="361"/>
      <c r="T659" s="360" t="s">
        <v>132</v>
      </c>
    </row>
    <row r="660" ht="34.5">
      <c r="A660" s="360" t="s">
        <v>860</v>
      </c>
      <c r="B660" s="360" t="s">
        <v>861</v>
      </c>
      <c r="C660" s="360" t="s">
        <v>252</v>
      </c>
      <c r="D660" s="360" t="s">
        <v>128</v>
      </c>
      <c r="E660" s="360" t="s">
        <v>167</v>
      </c>
      <c r="F660" s="361" t="s">
        <v>885</v>
      </c>
      <c r="G660" s="360" t="s">
        <v>145</v>
      </c>
      <c r="H660" s="361"/>
      <c r="I660" s="361"/>
      <c r="J660" s="361" t="s">
        <v>230</v>
      </c>
      <c r="K660" s="363"/>
      <c r="L660" s="360"/>
      <c r="M660" s="360"/>
      <c r="N660" s="361"/>
      <c r="O660" s="361"/>
      <c r="P660" s="361"/>
      <c r="Q660" s="361"/>
      <c r="R660" s="362"/>
      <c r="S660" s="361"/>
      <c r="T660" s="360" t="s">
        <v>132</v>
      </c>
    </row>
    <row r="661" ht="34.5">
      <c r="A661" s="360" t="s">
        <v>860</v>
      </c>
      <c r="B661" s="360" t="s">
        <v>861</v>
      </c>
      <c r="C661" s="360" t="s">
        <v>252</v>
      </c>
      <c r="D661" s="360" t="s">
        <v>128</v>
      </c>
      <c r="E661" s="360" t="s">
        <v>167</v>
      </c>
      <c r="F661" s="361" t="s">
        <v>885</v>
      </c>
      <c r="G661" s="360" t="s">
        <v>145</v>
      </c>
      <c r="H661" s="361"/>
      <c r="I661" s="361"/>
      <c r="J661" s="361" t="s">
        <v>231</v>
      </c>
      <c r="K661" s="363"/>
      <c r="L661" s="360"/>
      <c r="M661" s="360"/>
      <c r="N661" s="361"/>
      <c r="O661" s="361"/>
      <c r="P661" s="361"/>
      <c r="Q661" s="361"/>
      <c r="R661" s="362"/>
      <c r="S661" s="361"/>
      <c r="T661" s="360" t="s">
        <v>132</v>
      </c>
    </row>
    <row r="662" ht="34.5">
      <c r="A662" s="360" t="s">
        <v>860</v>
      </c>
      <c r="B662" s="360" t="s">
        <v>861</v>
      </c>
      <c r="C662" s="360" t="s">
        <v>252</v>
      </c>
      <c r="D662" s="360" t="s">
        <v>128</v>
      </c>
      <c r="E662" s="360" t="s">
        <v>167</v>
      </c>
      <c r="F662" s="361" t="s">
        <v>885</v>
      </c>
      <c r="G662" s="360" t="s">
        <v>145</v>
      </c>
      <c r="H662" s="361"/>
      <c r="I662" s="361"/>
      <c r="J662" s="361" t="s">
        <v>232</v>
      </c>
      <c r="K662" s="363"/>
      <c r="L662" s="360"/>
      <c r="M662" s="360"/>
      <c r="N662" s="361"/>
      <c r="O662" s="361"/>
      <c r="P662" s="361"/>
      <c r="Q662" s="361"/>
      <c r="R662" s="362"/>
      <c r="S662" s="361"/>
      <c r="T662" s="360" t="s">
        <v>132</v>
      </c>
    </row>
    <row r="663" ht="34.5">
      <c r="A663" s="360" t="s">
        <v>860</v>
      </c>
      <c r="B663" s="360" t="s">
        <v>861</v>
      </c>
      <c r="C663" s="360" t="s">
        <v>252</v>
      </c>
      <c r="D663" s="360" t="s">
        <v>128</v>
      </c>
      <c r="E663" s="360" t="s">
        <v>167</v>
      </c>
      <c r="F663" s="361" t="s">
        <v>885</v>
      </c>
      <c r="G663" s="360" t="s">
        <v>145</v>
      </c>
      <c r="H663" s="361"/>
      <c r="I663" s="361"/>
      <c r="J663" s="361" t="s">
        <v>233</v>
      </c>
      <c r="K663" s="363"/>
      <c r="L663" s="360"/>
      <c r="M663" s="360"/>
      <c r="N663" s="361"/>
      <c r="O663" s="361"/>
      <c r="P663" s="361"/>
      <c r="Q663" s="361"/>
      <c r="R663" s="362"/>
      <c r="S663" s="361"/>
      <c r="T663" s="360" t="s">
        <v>132</v>
      </c>
    </row>
    <row r="664" ht="34.5">
      <c r="A664" s="360" t="s">
        <v>860</v>
      </c>
      <c r="B664" s="360" t="s">
        <v>861</v>
      </c>
      <c r="C664" s="360" t="s">
        <v>252</v>
      </c>
      <c r="D664" s="360" t="s">
        <v>128</v>
      </c>
      <c r="E664" s="360" t="s">
        <v>167</v>
      </c>
      <c r="F664" s="361" t="s">
        <v>885</v>
      </c>
      <c r="G664" s="360" t="s">
        <v>145</v>
      </c>
      <c r="H664" s="361"/>
      <c r="I664" s="361"/>
      <c r="J664" s="361" t="s">
        <v>234</v>
      </c>
      <c r="K664" s="363"/>
      <c r="L664" s="360"/>
      <c r="M664" s="360"/>
      <c r="N664" s="361"/>
      <c r="O664" s="361"/>
      <c r="P664" s="361"/>
      <c r="Q664" s="361"/>
      <c r="R664" s="362"/>
      <c r="S664" s="361"/>
      <c r="T664" s="360" t="s">
        <v>132</v>
      </c>
    </row>
    <row r="665" ht="34.5">
      <c r="A665" s="360" t="s">
        <v>860</v>
      </c>
      <c r="B665" s="360" t="s">
        <v>861</v>
      </c>
      <c r="C665" s="360" t="s">
        <v>252</v>
      </c>
      <c r="D665" s="360" t="s">
        <v>128</v>
      </c>
      <c r="E665" s="360" t="s">
        <v>167</v>
      </c>
      <c r="F665" s="361" t="s">
        <v>885</v>
      </c>
      <c r="G665" s="360" t="s">
        <v>145</v>
      </c>
      <c r="H665" s="361"/>
      <c r="I665" s="361"/>
      <c r="J665" s="361" t="s">
        <v>917</v>
      </c>
      <c r="K665" s="363"/>
      <c r="L665" s="360"/>
      <c r="M665" s="360"/>
      <c r="N665" s="361"/>
      <c r="O665" s="361"/>
      <c r="P665" s="361"/>
      <c r="Q665" s="361"/>
      <c r="R665" s="362"/>
      <c r="S665" s="361"/>
      <c r="T665" s="360" t="s">
        <v>132</v>
      </c>
    </row>
    <row r="666" ht="34.5">
      <c r="A666" s="360" t="s">
        <v>860</v>
      </c>
      <c r="B666" s="360" t="s">
        <v>861</v>
      </c>
      <c r="C666" s="360" t="s">
        <v>252</v>
      </c>
      <c r="D666" s="360" t="s">
        <v>128</v>
      </c>
      <c r="E666" s="360" t="s">
        <v>167</v>
      </c>
      <c r="F666" s="361" t="s">
        <v>885</v>
      </c>
      <c r="G666" s="360" t="s">
        <v>145</v>
      </c>
      <c r="H666" s="361"/>
      <c r="I666" s="361"/>
      <c r="J666" s="361" t="s">
        <v>236</v>
      </c>
      <c r="K666" s="363"/>
      <c r="L666" s="360"/>
      <c r="M666" s="360"/>
      <c r="N666" s="361"/>
      <c r="O666" s="361"/>
      <c r="P666" s="361"/>
      <c r="Q666" s="361"/>
      <c r="R666" s="362"/>
      <c r="S666" s="361"/>
      <c r="T666" s="360" t="s">
        <v>132</v>
      </c>
    </row>
    <row r="667" ht="34.5">
      <c r="A667" s="360" t="s">
        <v>860</v>
      </c>
      <c r="B667" s="360" t="s">
        <v>861</v>
      </c>
      <c r="C667" s="360" t="s">
        <v>252</v>
      </c>
      <c r="D667" s="360" t="s">
        <v>128</v>
      </c>
      <c r="E667" s="360" t="s">
        <v>167</v>
      </c>
      <c r="F667" s="361" t="s">
        <v>885</v>
      </c>
      <c r="G667" s="360" t="s">
        <v>145</v>
      </c>
      <c r="H667" s="361"/>
      <c r="I667" s="361"/>
      <c r="J667" s="361" t="s">
        <v>237</v>
      </c>
      <c r="K667" s="363"/>
      <c r="L667" s="360"/>
      <c r="M667" s="360"/>
      <c r="N667" s="361"/>
      <c r="O667" s="361"/>
      <c r="P667" s="361"/>
      <c r="Q667" s="361"/>
      <c r="R667" s="362"/>
      <c r="S667" s="361"/>
      <c r="T667" s="360" t="s">
        <v>132</v>
      </c>
    </row>
    <row r="668" ht="34.5">
      <c r="A668" s="360" t="s">
        <v>860</v>
      </c>
      <c r="B668" s="360" t="s">
        <v>861</v>
      </c>
      <c r="C668" s="360" t="s">
        <v>252</v>
      </c>
      <c r="D668" s="360" t="s">
        <v>128</v>
      </c>
      <c r="E668" s="360" t="s">
        <v>167</v>
      </c>
      <c r="F668" s="361" t="s">
        <v>885</v>
      </c>
      <c r="G668" s="360" t="s">
        <v>145</v>
      </c>
      <c r="H668" s="361"/>
      <c r="I668" s="361"/>
      <c r="J668" s="361" t="s">
        <v>918</v>
      </c>
      <c r="K668" s="363"/>
      <c r="L668" s="360"/>
      <c r="M668" s="360"/>
      <c r="N668" s="361"/>
      <c r="O668" s="361"/>
      <c r="P668" s="361"/>
      <c r="Q668" s="361"/>
      <c r="R668" s="362"/>
      <c r="S668" s="361"/>
      <c r="T668" s="360" t="s">
        <v>132</v>
      </c>
    </row>
    <row r="669" ht="34.5">
      <c r="A669" s="360" t="s">
        <v>860</v>
      </c>
      <c r="B669" s="360" t="s">
        <v>861</v>
      </c>
      <c r="C669" s="360" t="s">
        <v>263</v>
      </c>
      <c r="D669" s="360" t="s">
        <v>128</v>
      </c>
      <c r="E669" s="360" t="s">
        <v>167</v>
      </c>
      <c r="F669" s="361" t="s">
        <v>885</v>
      </c>
      <c r="G669" s="360" t="s">
        <v>145</v>
      </c>
      <c r="H669" s="361"/>
      <c r="I669" s="361"/>
      <c r="J669" s="361" t="s">
        <v>242</v>
      </c>
      <c r="K669" s="363"/>
      <c r="L669" s="360"/>
      <c r="M669" s="360"/>
      <c r="N669" s="361"/>
      <c r="O669" s="361"/>
      <c r="P669" s="361"/>
      <c r="Q669" s="361"/>
      <c r="R669" s="362"/>
      <c r="S669" s="361"/>
      <c r="T669" s="360" t="s">
        <v>132</v>
      </c>
    </row>
    <row r="670" ht="34.5">
      <c r="A670" s="360" t="s">
        <v>860</v>
      </c>
      <c r="B670" s="360" t="s">
        <v>861</v>
      </c>
      <c r="C670" s="360" t="s">
        <v>263</v>
      </c>
      <c r="D670" s="360" t="s">
        <v>128</v>
      </c>
      <c r="E670" s="360" t="s">
        <v>167</v>
      </c>
      <c r="F670" s="361" t="s">
        <v>885</v>
      </c>
      <c r="G670" s="360" t="s">
        <v>145</v>
      </c>
      <c r="H670" s="361"/>
      <c r="I670" s="361"/>
      <c r="J670" s="361" t="s">
        <v>243</v>
      </c>
      <c r="K670" s="363"/>
      <c r="L670" s="360"/>
      <c r="M670" s="360"/>
      <c r="N670" s="361"/>
      <c r="O670" s="361"/>
      <c r="P670" s="361"/>
      <c r="Q670" s="361"/>
      <c r="R670" s="362"/>
      <c r="S670" s="361"/>
      <c r="T670" s="360" t="s">
        <v>132</v>
      </c>
    </row>
    <row r="671" ht="34.5">
      <c r="A671" s="360" t="s">
        <v>860</v>
      </c>
      <c r="B671" s="360" t="s">
        <v>861</v>
      </c>
      <c r="C671" s="360" t="s">
        <v>263</v>
      </c>
      <c r="D671" s="360" t="s">
        <v>128</v>
      </c>
      <c r="E671" s="360" t="s">
        <v>167</v>
      </c>
      <c r="F671" s="361" t="s">
        <v>885</v>
      </c>
      <c r="G671" s="360" t="s">
        <v>145</v>
      </c>
      <c r="H671" s="361"/>
      <c r="I671" s="361"/>
      <c r="J671" s="361" t="s">
        <v>244</v>
      </c>
      <c r="K671" s="363"/>
      <c r="L671" s="360"/>
      <c r="M671" s="360"/>
      <c r="N671" s="361"/>
      <c r="O671" s="361"/>
      <c r="P671" s="361"/>
      <c r="Q671" s="361"/>
      <c r="R671" s="362"/>
      <c r="S671" s="361"/>
      <c r="T671" s="360" t="s">
        <v>132</v>
      </c>
    </row>
    <row r="672" ht="34.5">
      <c r="A672" s="360" t="s">
        <v>860</v>
      </c>
      <c r="B672" s="360" t="s">
        <v>861</v>
      </c>
      <c r="C672" s="360" t="s">
        <v>263</v>
      </c>
      <c r="D672" s="360" t="s">
        <v>128</v>
      </c>
      <c r="E672" s="360" t="s">
        <v>167</v>
      </c>
      <c r="F672" s="361" t="s">
        <v>885</v>
      </c>
      <c r="G672" s="360" t="s">
        <v>145</v>
      </c>
      <c r="H672" s="361"/>
      <c r="I672" s="361"/>
      <c r="J672" s="361" t="s">
        <v>245</v>
      </c>
      <c r="K672" s="363"/>
      <c r="L672" s="360"/>
      <c r="M672" s="360"/>
      <c r="N672" s="361"/>
      <c r="O672" s="361"/>
      <c r="P672" s="361"/>
      <c r="Q672" s="361"/>
      <c r="R672" s="362"/>
      <c r="S672" s="361"/>
      <c r="T672" s="360" t="s">
        <v>132</v>
      </c>
    </row>
    <row r="673" ht="34.5">
      <c r="A673" s="360" t="s">
        <v>860</v>
      </c>
      <c r="B673" s="360" t="s">
        <v>861</v>
      </c>
      <c r="C673" s="360" t="s">
        <v>263</v>
      </c>
      <c r="D673" s="360" t="s">
        <v>128</v>
      </c>
      <c r="E673" s="360" t="s">
        <v>167</v>
      </c>
      <c r="F673" s="361" t="s">
        <v>885</v>
      </c>
      <c r="G673" s="360" t="s">
        <v>145</v>
      </c>
      <c r="H673" s="361"/>
      <c r="I673" s="361"/>
      <c r="J673" s="361" t="s">
        <v>246</v>
      </c>
      <c r="K673" s="363"/>
      <c r="L673" s="360"/>
      <c r="M673" s="360"/>
      <c r="N673" s="361"/>
      <c r="O673" s="361"/>
      <c r="P673" s="361"/>
      <c r="Q673" s="361"/>
      <c r="R673" s="362"/>
      <c r="S673" s="361"/>
      <c r="T673" s="360" t="s">
        <v>132</v>
      </c>
    </row>
    <row r="674" ht="34.5">
      <c r="A674" s="360" t="s">
        <v>860</v>
      </c>
      <c r="B674" s="360" t="s">
        <v>861</v>
      </c>
      <c r="C674" s="360" t="s">
        <v>263</v>
      </c>
      <c r="D674" s="360" t="s">
        <v>128</v>
      </c>
      <c r="E674" s="360" t="s">
        <v>167</v>
      </c>
      <c r="F674" s="361" t="s">
        <v>885</v>
      </c>
      <c r="G674" s="360" t="s">
        <v>145</v>
      </c>
      <c r="H674" s="361"/>
      <c r="I674" s="361"/>
      <c r="J674" s="361" t="s">
        <v>247</v>
      </c>
      <c r="K674" s="363"/>
      <c r="L674" s="360"/>
      <c r="M674" s="360"/>
      <c r="N674" s="361"/>
      <c r="O674" s="361"/>
      <c r="P674" s="361"/>
      <c r="Q674" s="361"/>
      <c r="R674" s="362"/>
      <c r="S674" s="361"/>
      <c r="T674" s="360" t="s">
        <v>132</v>
      </c>
    </row>
    <row r="675" ht="34.5">
      <c r="A675" s="360" t="s">
        <v>860</v>
      </c>
      <c r="B675" s="360" t="s">
        <v>861</v>
      </c>
      <c r="C675" s="360" t="s">
        <v>263</v>
      </c>
      <c r="D675" s="360" t="s">
        <v>128</v>
      </c>
      <c r="E675" s="360" t="s">
        <v>167</v>
      </c>
      <c r="F675" s="361" t="s">
        <v>885</v>
      </c>
      <c r="G675" s="360" t="s">
        <v>145</v>
      </c>
      <c r="H675" s="361"/>
      <c r="I675" s="361"/>
      <c r="J675" s="361" t="s">
        <v>248</v>
      </c>
      <c r="K675" s="363"/>
      <c r="L675" s="360"/>
      <c r="M675" s="360"/>
      <c r="N675" s="361"/>
      <c r="O675" s="361"/>
      <c r="P675" s="361"/>
      <c r="Q675" s="361"/>
      <c r="R675" s="362"/>
      <c r="S675" s="361"/>
      <c r="T675" s="360" t="s">
        <v>132</v>
      </c>
    </row>
    <row r="676" ht="34.5">
      <c r="A676" s="360" t="s">
        <v>860</v>
      </c>
      <c r="B676" s="360" t="s">
        <v>861</v>
      </c>
      <c r="C676" s="360" t="s">
        <v>263</v>
      </c>
      <c r="D676" s="360" t="s">
        <v>128</v>
      </c>
      <c r="E676" s="360" t="s">
        <v>167</v>
      </c>
      <c r="F676" s="361" t="s">
        <v>885</v>
      </c>
      <c r="G676" s="360" t="s">
        <v>145</v>
      </c>
      <c r="H676" s="361"/>
      <c r="I676" s="361"/>
      <c r="J676" s="361" t="s">
        <v>249</v>
      </c>
      <c r="K676" s="363"/>
      <c r="L676" s="360"/>
      <c r="M676" s="360"/>
      <c r="N676" s="361"/>
      <c r="O676" s="361"/>
      <c r="P676" s="361"/>
      <c r="Q676" s="361"/>
      <c r="R676" s="362"/>
      <c r="S676" s="361"/>
      <c r="T676" s="360" t="s">
        <v>132</v>
      </c>
    </row>
    <row r="677" ht="34.5">
      <c r="A677" s="360" t="s">
        <v>860</v>
      </c>
      <c r="B677" s="360" t="s">
        <v>861</v>
      </c>
      <c r="C677" s="360" t="s">
        <v>263</v>
      </c>
      <c r="D677" s="360" t="s">
        <v>128</v>
      </c>
      <c r="E677" s="360" t="s">
        <v>167</v>
      </c>
      <c r="F677" s="361" t="s">
        <v>885</v>
      </c>
      <c r="G677" s="360" t="s">
        <v>145</v>
      </c>
      <c r="H677" s="361"/>
      <c r="I677" s="361"/>
      <c r="J677" s="361" t="s">
        <v>250</v>
      </c>
      <c r="K677" s="363"/>
      <c r="L677" s="360"/>
      <c r="M677" s="360"/>
      <c r="N677" s="361"/>
      <c r="O677" s="361"/>
      <c r="P677" s="361"/>
      <c r="Q677" s="361"/>
      <c r="R677" s="362"/>
      <c r="S677" s="361"/>
      <c r="T677" s="360" t="s">
        <v>132</v>
      </c>
    </row>
    <row r="678" ht="34.5">
      <c r="A678" s="360" t="s">
        <v>860</v>
      </c>
      <c r="B678" s="360" t="s">
        <v>861</v>
      </c>
      <c r="C678" s="360" t="s">
        <v>263</v>
      </c>
      <c r="D678" s="360" t="s">
        <v>128</v>
      </c>
      <c r="E678" s="360" t="s">
        <v>167</v>
      </c>
      <c r="F678" s="361" t="s">
        <v>885</v>
      </c>
      <c r="G678" s="360" t="s">
        <v>145</v>
      </c>
      <c r="H678" s="361"/>
      <c r="I678" s="361"/>
      <c r="J678" s="361" t="s">
        <v>253</v>
      </c>
      <c r="K678" s="363"/>
      <c r="L678" s="360"/>
      <c r="M678" s="360"/>
      <c r="N678" s="361"/>
      <c r="O678" s="361"/>
      <c r="P678" s="361"/>
      <c r="Q678" s="361"/>
      <c r="R678" s="362"/>
      <c r="S678" s="361"/>
      <c r="T678" s="360" t="s">
        <v>132</v>
      </c>
    </row>
    <row r="679" ht="34.5">
      <c r="A679" s="360" t="s">
        <v>860</v>
      </c>
      <c r="B679" s="360" t="s">
        <v>861</v>
      </c>
      <c r="C679" s="360" t="s">
        <v>273</v>
      </c>
      <c r="D679" s="360" t="s">
        <v>128</v>
      </c>
      <c r="E679" s="360" t="s">
        <v>167</v>
      </c>
      <c r="F679" s="361" t="s">
        <v>885</v>
      </c>
      <c r="G679" s="360" t="s">
        <v>145</v>
      </c>
      <c r="H679" s="361"/>
      <c r="I679" s="361"/>
      <c r="J679" s="361" t="s">
        <v>254</v>
      </c>
      <c r="K679" s="363"/>
      <c r="L679" s="360"/>
      <c r="M679" s="360"/>
      <c r="N679" s="361"/>
      <c r="O679" s="361"/>
      <c r="P679" s="361"/>
      <c r="Q679" s="361"/>
      <c r="R679" s="362"/>
      <c r="S679" s="361"/>
      <c r="T679" s="360" t="s">
        <v>132</v>
      </c>
    </row>
    <row r="680" ht="34.5">
      <c r="A680" s="360" t="s">
        <v>860</v>
      </c>
      <c r="B680" s="360" t="s">
        <v>861</v>
      </c>
      <c r="C680" s="360" t="s">
        <v>273</v>
      </c>
      <c r="D680" s="360" t="s">
        <v>128</v>
      </c>
      <c r="E680" s="360" t="s">
        <v>167</v>
      </c>
      <c r="F680" s="361" t="s">
        <v>885</v>
      </c>
      <c r="G680" s="360" t="s">
        <v>145</v>
      </c>
      <c r="H680" s="361"/>
      <c r="I680" s="361"/>
      <c r="J680" s="361" t="s">
        <v>255</v>
      </c>
      <c r="K680" s="363"/>
      <c r="L680" s="360"/>
      <c r="M680" s="360"/>
      <c r="N680" s="361"/>
      <c r="O680" s="361"/>
      <c r="P680" s="361"/>
      <c r="Q680" s="361"/>
      <c r="R680" s="362"/>
      <c r="S680" s="361"/>
      <c r="T680" s="360" t="s">
        <v>132</v>
      </c>
    </row>
    <row r="681" ht="34.5">
      <c r="A681" s="360" t="s">
        <v>860</v>
      </c>
      <c r="B681" s="360" t="s">
        <v>861</v>
      </c>
      <c r="C681" s="360" t="s">
        <v>273</v>
      </c>
      <c r="D681" s="360" t="s">
        <v>128</v>
      </c>
      <c r="E681" s="360" t="s">
        <v>167</v>
      </c>
      <c r="F681" s="361" t="s">
        <v>885</v>
      </c>
      <c r="G681" s="360" t="s">
        <v>145</v>
      </c>
      <c r="H681" s="361"/>
      <c r="I681" s="361"/>
      <c r="J681" s="361" t="s">
        <v>256</v>
      </c>
      <c r="K681" s="363"/>
      <c r="L681" s="360"/>
      <c r="M681" s="360"/>
      <c r="N681" s="361"/>
      <c r="O681" s="361"/>
      <c r="P681" s="361"/>
      <c r="Q681" s="361"/>
      <c r="R681" s="362"/>
      <c r="S681" s="361"/>
      <c r="T681" s="360" t="s">
        <v>132</v>
      </c>
    </row>
    <row r="682" ht="34.5">
      <c r="A682" s="360" t="s">
        <v>860</v>
      </c>
      <c r="B682" s="360" t="s">
        <v>861</v>
      </c>
      <c r="C682" s="360" t="s">
        <v>273</v>
      </c>
      <c r="D682" s="360" t="s">
        <v>128</v>
      </c>
      <c r="E682" s="360" t="s">
        <v>167</v>
      </c>
      <c r="F682" s="361" t="s">
        <v>885</v>
      </c>
      <c r="G682" s="360" t="s">
        <v>145</v>
      </c>
      <c r="H682" s="361"/>
      <c r="I682" s="361"/>
      <c r="J682" s="361" t="s">
        <v>257</v>
      </c>
      <c r="K682" s="363"/>
      <c r="L682" s="360"/>
      <c r="M682" s="360"/>
      <c r="N682" s="361"/>
      <c r="O682" s="361"/>
      <c r="P682" s="361"/>
      <c r="Q682" s="361"/>
      <c r="R682" s="362"/>
      <c r="S682" s="361"/>
      <c r="T682" s="360" t="s">
        <v>132</v>
      </c>
    </row>
    <row r="683" ht="34.5">
      <c r="A683" s="360" t="s">
        <v>860</v>
      </c>
      <c r="B683" s="360" t="s">
        <v>861</v>
      </c>
      <c r="C683" s="360" t="s">
        <v>273</v>
      </c>
      <c r="D683" s="360" t="s">
        <v>128</v>
      </c>
      <c r="E683" s="360" t="s">
        <v>167</v>
      </c>
      <c r="F683" s="361" t="s">
        <v>885</v>
      </c>
      <c r="G683" s="360" t="s">
        <v>145</v>
      </c>
      <c r="H683" s="361"/>
      <c r="I683" s="361"/>
      <c r="J683" s="361" t="s">
        <v>258</v>
      </c>
      <c r="K683" s="363"/>
      <c r="L683" s="360"/>
      <c r="M683" s="360"/>
      <c r="N683" s="361"/>
      <c r="O683" s="361"/>
      <c r="P683" s="361"/>
      <c r="Q683" s="361"/>
      <c r="R683" s="362"/>
      <c r="S683" s="361"/>
      <c r="T683" s="360" t="s">
        <v>132</v>
      </c>
    </row>
    <row r="684" ht="34.5">
      <c r="A684" s="360" t="s">
        <v>860</v>
      </c>
      <c r="B684" s="360" t="s">
        <v>861</v>
      </c>
      <c r="C684" s="360" t="s">
        <v>273</v>
      </c>
      <c r="D684" s="360" t="s">
        <v>128</v>
      </c>
      <c r="E684" s="360" t="s">
        <v>167</v>
      </c>
      <c r="F684" s="361" t="s">
        <v>885</v>
      </c>
      <c r="G684" s="360" t="s">
        <v>145</v>
      </c>
      <c r="H684" s="361"/>
      <c r="I684" s="361"/>
      <c r="J684" s="361" t="s">
        <v>259</v>
      </c>
      <c r="K684" s="363"/>
      <c r="L684" s="360"/>
      <c r="M684" s="360"/>
      <c r="N684" s="361"/>
      <c r="O684" s="361"/>
      <c r="P684" s="361"/>
      <c r="Q684" s="361"/>
      <c r="R684" s="362"/>
      <c r="S684" s="361"/>
      <c r="T684" s="360" t="s">
        <v>132</v>
      </c>
    </row>
    <row r="685" ht="34.5">
      <c r="A685" s="360" t="s">
        <v>860</v>
      </c>
      <c r="B685" s="360" t="s">
        <v>861</v>
      </c>
      <c r="C685" s="360" t="s">
        <v>273</v>
      </c>
      <c r="D685" s="360" t="s">
        <v>128</v>
      </c>
      <c r="E685" s="360" t="s">
        <v>167</v>
      </c>
      <c r="F685" s="361" t="s">
        <v>885</v>
      </c>
      <c r="G685" s="360" t="s">
        <v>145</v>
      </c>
      <c r="H685" s="361"/>
      <c r="I685" s="361"/>
      <c r="J685" s="361" t="s">
        <v>260</v>
      </c>
      <c r="K685" s="363"/>
      <c r="L685" s="360"/>
      <c r="M685" s="360"/>
      <c r="N685" s="361"/>
      <c r="O685" s="361"/>
      <c r="P685" s="361"/>
      <c r="Q685" s="361"/>
      <c r="R685" s="362"/>
      <c r="S685" s="361"/>
      <c r="T685" s="360" t="s">
        <v>132</v>
      </c>
    </row>
    <row r="686" ht="34.5">
      <c r="A686" s="360" t="s">
        <v>860</v>
      </c>
      <c r="B686" s="360" t="s">
        <v>861</v>
      </c>
      <c r="C686" s="360" t="s">
        <v>273</v>
      </c>
      <c r="D686" s="360" t="s">
        <v>128</v>
      </c>
      <c r="E686" s="360" t="s">
        <v>167</v>
      </c>
      <c r="F686" s="361" t="s">
        <v>885</v>
      </c>
      <c r="G686" s="360" t="s">
        <v>145</v>
      </c>
      <c r="H686" s="361"/>
      <c r="I686" s="361"/>
      <c r="J686" s="361" t="s">
        <v>261</v>
      </c>
      <c r="K686" s="363"/>
      <c r="L686" s="360"/>
      <c r="M686" s="360"/>
      <c r="N686" s="361"/>
      <c r="O686" s="361"/>
      <c r="P686" s="361"/>
      <c r="Q686" s="361"/>
      <c r="R686" s="362"/>
      <c r="S686" s="361"/>
      <c r="T686" s="360" t="s">
        <v>132</v>
      </c>
    </row>
    <row r="687" ht="34.5">
      <c r="A687" s="360" t="s">
        <v>860</v>
      </c>
      <c r="B687" s="360" t="s">
        <v>861</v>
      </c>
      <c r="C687" s="360" t="s">
        <v>273</v>
      </c>
      <c r="D687" s="360" t="s">
        <v>128</v>
      </c>
      <c r="E687" s="360" t="s">
        <v>167</v>
      </c>
      <c r="F687" s="361" t="s">
        <v>885</v>
      </c>
      <c r="G687" s="360" t="s">
        <v>145</v>
      </c>
      <c r="H687" s="361"/>
      <c r="I687" s="361"/>
      <c r="J687" s="361" t="s">
        <v>264</v>
      </c>
      <c r="K687" s="363"/>
      <c r="L687" s="360"/>
      <c r="M687" s="360"/>
      <c r="N687" s="361"/>
      <c r="O687" s="361"/>
      <c r="P687" s="361"/>
      <c r="Q687" s="361"/>
      <c r="R687" s="362"/>
      <c r="S687" s="361"/>
      <c r="T687" s="360" t="s">
        <v>132</v>
      </c>
    </row>
    <row r="688" ht="34.5">
      <c r="A688" s="360" t="s">
        <v>860</v>
      </c>
      <c r="B688" s="360" t="s">
        <v>861</v>
      </c>
      <c r="C688" s="360" t="s">
        <v>273</v>
      </c>
      <c r="D688" s="360" t="s">
        <v>128</v>
      </c>
      <c r="E688" s="360" t="s">
        <v>167</v>
      </c>
      <c r="F688" s="361" t="s">
        <v>885</v>
      </c>
      <c r="G688" s="360" t="s">
        <v>145</v>
      </c>
      <c r="H688" s="361"/>
      <c r="I688" s="361"/>
      <c r="J688" s="361" t="s">
        <v>265</v>
      </c>
      <c r="K688" s="363"/>
      <c r="L688" s="360"/>
      <c r="M688" s="360"/>
      <c r="N688" s="361"/>
      <c r="O688" s="361"/>
      <c r="P688" s="361"/>
      <c r="Q688" s="361"/>
      <c r="R688" s="362"/>
      <c r="S688" s="361"/>
      <c r="T688" s="360" t="s">
        <v>132</v>
      </c>
    </row>
    <row r="689" ht="34.5">
      <c r="A689" s="360" t="s">
        <v>860</v>
      </c>
      <c r="B689" s="360" t="s">
        <v>861</v>
      </c>
      <c r="C689" s="360" t="s">
        <v>273</v>
      </c>
      <c r="D689" s="360" t="s">
        <v>128</v>
      </c>
      <c r="E689" s="360" t="s">
        <v>167</v>
      </c>
      <c r="F689" s="361" t="s">
        <v>885</v>
      </c>
      <c r="G689" s="360" t="s">
        <v>145</v>
      </c>
      <c r="H689" s="361"/>
      <c r="I689" s="361"/>
      <c r="J689" s="361" t="s">
        <v>266</v>
      </c>
      <c r="K689" s="363"/>
      <c r="L689" s="360"/>
      <c r="M689" s="360"/>
      <c r="N689" s="361"/>
      <c r="O689" s="361"/>
      <c r="P689" s="361"/>
      <c r="Q689" s="361"/>
      <c r="R689" s="362"/>
      <c r="S689" s="361"/>
      <c r="T689" s="360" t="s">
        <v>132</v>
      </c>
    </row>
    <row r="690" ht="34.5">
      <c r="A690" s="360" t="s">
        <v>860</v>
      </c>
      <c r="B690" s="360" t="s">
        <v>861</v>
      </c>
      <c r="C690" s="360" t="s">
        <v>288</v>
      </c>
      <c r="D690" s="360" t="s">
        <v>128</v>
      </c>
      <c r="E690" s="360" t="s">
        <v>167</v>
      </c>
      <c r="F690" s="361" t="s">
        <v>885</v>
      </c>
      <c r="G690" s="360" t="s">
        <v>145</v>
      </c>
      <c r="H690" s="361"/>
      <c r="I690" s="361"/>
      <c r="J690" s="361" t="s">
        <v>919</v>
      </c>
      <c r="K690" s="363"/>
      <c r="L690" s="360"/>
      <c r="M690" s="360"/>
      <c r="N690" s="361"/>
      <c r="O690" s="361"/>
      <c r="P690" s="361"/>
      <c r="Q690" s="361"/>
      <c r="R690" s="362"/>
      <c r="S690" s="361"/>
      <c r="T690" s="360" t="s">
        <v>132</v>
      </c>
    </row>
    <row r="691" ht="34.5">
      <c r="A691" s="360" t="s">
        <v>860</v>
      </c>
      <c r="B691" s="360" t="s">
        <v>861</v>
      </c>
      <c r="C691" s="360" t="s">
        <v>288</v>
      </c>
      <c r="D691" s="360" t="s">
        <v>128</v>
      </c>
      <c r="E691" s="360" t="s">
        <v>167</v>
      </c>
      <c r="F691" s="361" t="s">
        <v>885</v>
      </c>
      <c r="G691" s="360" t="s">
        <v>145</v>
      </c>
      <c r="H691" s="361"/>
      <c r="I691" s="361"/>
      <c r="J691" s="361" t="s">
        <v>268</v>
      </c>
      <c r="K691" s="363"/>
      <c r="L691" s="360"/>
      <c r="M691" s="360"/>
      <c r="N691" s="361"/>
      <c r="O691" s="361"/>
      <c r="P691" s="361"/>
      <c r="Q691" s="361"/>
      <c r="R691" s="362"/>
      <c r="S691" s="361"/>
      <c r="T691" s="360" t="s">
        <v>132</v>
      </c>
    </row>
    <row r="692" ht="34.5">
      <c r="A692" s="360" t="s">
        <v>860</v>
      </c>
      <c r="B692" s="360" t="s">
        <v>861</v>
      </c>
      <c r="C692" s="360" t="s">
        <v>288</v>
      </c>
      <c r="D692" s="360" t="s">
        <v>128</v>
      </c>
      <c r="E692" s="360" t="s">
        <v>167</v>
      </c>
      <c r="F692" s="361" t="s">
        <v>885</v>
      </c>
      <c r="G692" s="360" t="s">
        <v>145</v>
      </c>
      <c r="H692" s="361"/>
      <c r="I692" s="361"/>
      <c r="J692" s="361" t="s">
        <v>269</v>
      </c>
      <c r="K692" s="363"/>
      <c r="L692" s="360"/>
      <c r="M692" s="360"/>
      <c r="N692" s="361"/>
      <c r="O692" s="361"/>
      <c r="P692" s="361"/>
      <c r="Q692" s="361"/>
      <c r="R692" s="362"/>
      <c r="S692" s="361"/>
      <c r="T692" s="360" t="s">
        <v>132</v>
      </c>
    </row>
    <row r="693" ht="34.5">
      <c r="A693" s="360" t="s">
        <v>860</v>
      </c>
      <c r="B693" s="360" t="s">
        <v>861</v>
      </c>
      <c r="C693" s="360" t="s">
        <v>288</v>
      </c>
      <c r="D693" s="360" t="s">
        <v>128</v>
      </c>
      <c r="E693" s="360" t="s">
        <v>167</v>
      </c>
      <c r="F693" s="361" t="s">
        <v>885</v>
      </c>
      <c r="G693" s="360" t="s">
        <v>145</v>
      </c>
      <c r="H693" s="361"/>
      <c r="I693" s="361"/>
      <c r="J693" s="361" t="s">
        <v>270</v>
      </c>
      <c r="K693" s="363"/>
      <c r="L693" s="360"/>
      <c r="M693" s="360"/>
      <c r="N693" s="361"/>
      <c r="O693" s="361"/>
      <c r="P693" s="361"/>
      <c r="Q693" s="361"/>
      <c r="R693" s="362"/>
      <c r="S693" s="361"/>
      <c r="T693" s="360" t="s">
        <v>132</v>
      </c>
    </row>
    <row r="694" ht="34.5">
      <c r="A694" s="360" t="s">
        <v>860</v>
      </c>
      <c r="B694" s="360" t="s">
        <v>861</v>
      </c>
      <c r="C694" s="360" t="s">
        <v>288</v>
      </c>
      <c r="D694" s="360" t="s">
        <v>128</v>
      </c>
      <c r="E694" s="360" t="s">
        <v>167</v>
      </c>
      <c r="F694" s="361" t="s">
        <v>885</v>
      </c>
      <c r="G694" s="360" t="s">
        <v>145</v>
      </c>
      <c r="H694" s="361"/>
      <c r="I694" s="361"/>
      <c r="J694" s="361" t="s">
        <v>271</v>
      </c>
      <c r="K694" s="363"/>
      <c r="L694" s="360"/>
      <c r="M694" s="360"/>
      <c r="N694" s="361"/>
      <c r="O694" s="361"/>
      <c r="P694" s="361"/>
      <c r="Q694" s="361"/>
      <c r="R694" s="362"/>
      <c r="S694" s="361"/>
      <c r="T694" s="360" t="s">
        <v>132</v>
      </c>
    </row>
    <row r="695" ht="34.5">
      <c r="A695" s="360" t="s">
        <v>860</v>
      </c>
      <c r="B695" s="360" t="s">
        <v>861</v>
      </c>
      <c r="C695" s="360" t="s">
        <v>288</v>
      </c>
      <c r="D695" s="360" t="s">
        <v>128</v>
      </c>
      <c r="E695" s="360" t="s">
        <v>167</v>
      </c>
      <c r="F695" s="361" t="s">
        <v>885</v>
      </c>
      <c r="G695" s="360" t="s">
        <v>145</v>
      </c>
      <c r="H695" s="361"/>
      <c r="I695" s="361"/>
      <c r="J695" s="361" t="s">
        <v>920</v>
      </c>
      <c r="K695" s="363"/>
      <c r="L695" s="360"/>
      <c r="M695" s="360"/>
      <c r="N695" s="361"/>
      <c r="O695" s="361"/>
      <c r="P695" s="361"/>
      <c r="Q695" s="361"/>
      <c r="R695" s="362"/>
      <c r="S695" s="361"/>
      <c r="T695" s="360" t="s">
        <v>132</v>
      </c>
    </row>
    <row r="696" ht="34.5">
      <c r="A696" s="360" t="s">
        <v>860</v>
      </c>
      <c r="B696" s="360" t="s">
        <v>861</v>
      </c>
      <c r="C696" s="360" t="s">
        <v>288</v>
      </c>
      <c r="D696" s="360" t="s">
        <v>128</v>
      </c>
      <c r="E696" s="360" t="s">
        <v>167</v>
      </c>
      <c r="F696" s="361" t="s">
        <v>885</v>
      </c>
      <c r="G696" s="360" t="s">
        <v>145</v>
      </c>
      <c r="H696" s="361"/>
      <c r="I696" s="361"/>
      <c r="J696" s="361" t="s">
        <v>921</v>
      </c>
      <c r="K696" s="363"/>
      <c r="L696" s="360"/>
      <c r="M696" s="360"/>
      <c r="N696" s="361"/>
      <c r="O696" s="361"/>
      <c r="P696" s="361"/>
      <c r="Q696" s="361"/>
      <c r="R696" s="362"/>
      <c r="S696" s="361"/>
      <c r="T696" s="360" t="s">
        <v>132</v>
      </c>
    </row>
    <row r="697" ht="34.5">
      <c r="A697" s="360" t="s">
        <v>860</v>
      </c>
      <c r="B697" s="360" t="s">
        <v>861</v>
      </c>
      <c r="C697" s="360" t="s">
        <v>288</v>
      </c>
      <c r="D697" s="360" t="s">
        <v>128</v>
      </c>
      <c r="E697" s="360" t="s">
        <v>167</v>
      </c>
      <c r="F697" s="361" t="s">
        <v>885</v>
      </c>
      <c r="G697" s="360" t="s">
        <v>145</v>
      </c>
      <c r="H697" s="361"/>
      <c r="I697" s="361"/>
      <c r="J697" s="361" t="s">
        <v>276</v>
      </c>
      <c r="K697" s="363"/>
      <c r="L697" s="360"/>
      <c r="M697" s="360"/>
      <c r="N697" s="361"/>
      <c r="O697" s="361"/>
      <c r="P697" s="361"/>
      <c r="Q697" s="361"/>
      <c r="R697" s="362"/>
      <c r="S697" s="361"/>
      <c r="T697" s="360" t="s">
        <v>132</v>
      </c>
    </row>
    <row r="698" ht="34.5">
      <c r="A698" s="360" t="s">
        <v>860</v>
      </c>
      <c r="B698" s="360" t="s">
        <v>861</v>
      </c>
      <c r="C698" s="360" t="s">
        <v>288</v>
      </c>
      <c r="D698" s="360" t="s">
        <v>128</v>
      </c>
      <c r="E698" s="360" t="s">
        <v>167</v>
      </c>
      <c r="F698" s="361" t="s">
        <v>885</v>
      </c>
      <c r="G698" s="360" t="s">
        <v>145</v>
      </c>
      <c r="H698" s="361"/>
      <c r="I698" s="361"/>
      <c r="J698" s="361" t="s">
        <v>277</v>
      </c>
      <c r="K698" s="363"/>
      <c r="L698" s="360"/>
      <c r="M698" s="360"/>
      <c r="N698" s="361"/>
      <c r="O698" s="361"/>
      <c r="P698" s="361"/>
      <c r="Q698" s="361"/>
      <c r="R698" s="362"/>
      <c r="S698" s="361"/>
      <c r="T698" s="360" t="s">
        <v>132</v>
      </c>
    </row>
    <row r="699" ht="34.5">
      <c r="A699" s="360" t="s">
        <v>860</v>
      </c>
      <c r="B699" s="360" t="s">
        <v>861</v>
      </c>
      <c r="C699" s="360" t="s">
        <v>288</v>
      </c>
      <c r="D699" s="360" t="s">
        <v>128</v>
      </c>
      <c r="E699" s="360" t="s">
        <v>167</v>
      </c>
      <c r="F699" s="361" t="s">
        <v>885</v>
      </c>
      <c r="G699" s="360" t="s">
        <v>145</v>
      </c>
      <c r="H699" s="361"/>
      <c r="I699" s="361"/>
      <c r="J699" s="361" t="s">
        <v>278</v>
      </c>
      <c r="K699" s="363"/>
      <c r="L699" s="360"/>
      <c r="M699" s="360"/>
      <c r="N699" s="361"/>
      <c r="O699" s="361"/>
      <c r="P699" s="361"/>
      <c r="Q699" s="361"/>
      <c r="R699" s="362"/>
      <c r="S699" s="361"/>
      <c r="T699" s="360" t="s">
        <v>132</v>
      </c>
    </row>
    <row r="700" ht="34.5">
      <c r="A700" s="360" t="s">
        <v>860</v>
      </c>
      <c r="B700" s="360" t="s">
        <v>861</v>
      </c>
      <c r="C700" s="360" t="s">
        <v>288</v>
      </c>
      <c r="D700" s="360" t="s">
        <v>128</v>
      </c>
      <c r="E700" s="360" t="s">
        <v>167</v>
      </c>
      <c r="F700" s="361" t="s">
        <v>885</v>
      </c>
      <c r="G700" s="360" t="s">
        <v>145</v>
      </c>
      <c r="H700" s="361"/>
      <c r="I700" s="361"/>
      <c r="J700" s="361" t="s">
        <v>279</v>
      </c>
      <c r="K700" s="363"/>
      <c r="L700" s="360"/>
      <c r="M700" s="360"/>
      <c r="N700" s="361"/>
      <c r="O700" s="361"/>
      <c r="P700" s="361"/>
      <c r="Q700" s="361"/>
      <c r="R700" s="362"/>
      <c r="S700" s="361"/>
      <c r="T700" s="360" t="s">
        <v>132</v>
      </c>
    </row>
    <row r="701" ht="34.5">
      <c r="A701" s="360" t="s">
        <v>860</v>
      </c>
      <c r="B701" s="360" t="s">
        <v>861</v>
      </c>
      <c r="C701" s="360" t="s">
        <v>288</v>
      </c>
      <c r="D701" s="360" t="s">
        <v>128</v>
      </c>
      <c r="E701" s="360" t="s">
        <v>167</v>
      </c>
      <c r="F701" s="361" t="s">
        <v>885</v>
      </c>
      <c r="G701" s="360" t="s">
        <v>145</v>
      </c>
      <c r="H701" s="361"/>
      <c r="I701" s="361"/>
      <c r="J701" s="361" t="s">
        <v>280</v>
      </c>
      <c r="K701" s="363"/>
      <c r="L701" s="360"/>
      <c r="M701" s="360"/>
      <c r="N701" s="361"/>
      <c r="O701" s="361"/>
      <c r="P701" s="361"/>
      <c r="Q701" s="361"/>
      <c r="R701" s="362"/>
      <c r="S701" s="361"/>
      <c r="T701" s="360" t="s">
        <v>132</v>
      </c>
    </row>
    <row r="702" ht="34.5">
      <c r="A702" s="360" t="s">
        <v>860</v>
      </c>
      <c r="B702" s="360" t="s">
        <v>861</v>
      </c>
      <c r="C702" s="360" t="s">
        <v>288</v>
      </c>
      <c r="D702" s="360" t="s">
        <v>128</v>
      </c>
      <c r="E702" s="360" t="s">
        <v>167</v>
      </c>
      <c r="F702" s="361" t="s">
        <v>885</v>
      </c>
      <c r="G702" s="360" t="s">
        <v>145</v>
      </c>
      <c r="H702" s="361"/>
      <c r="I702" s="361"/>
      <c r="J702" s="361" t="s">
        <v>922</v>
      </c>
      <c r="K702" s="363"/>
      <c r="L702" s="360"/>
      <c r="M702" s="360"/>
      <c r="N702" s="361"/>
      <c r="O702" s="361"/>
      <c r="P702" s="361"/>
      <c r="Q702" s="361"/>
      <c r="R702" s="362"/>
      <c r="S702" s="361"/>
      <c r="T702" s="360" t="s">
        <v>132</v>
      </c>
    </row>
    <row r="703" ht="34.5">
      <c r="A703" s="360" t="s">
        <v>860</v>
      </c>
      <c r="B703" s="360" t="s">
        <v>861</v>
      </c>
      <c r="C703" s="360" t="s">
        <v>288</v>
      </c>
      <c r="D703" s="360" t="s">
        <v>128</v>
      </c>
      <c r="E703" s="360" t="s">
        <v>167</v>
      </c>
      <c r="F703" s="361" t="s">
        <v>885</v>
      </c>
      <c r="G703" s="360" t="s">
        <v>145</v>
      </c>
      <c r="H703" s="361"/>
      <c r="I703" s="361"/>
      <c r="J703" s="361" t="s">
        <v>923</v>
      </c>
      <c r="K703" s="363"/>
      <c r="L703" s="360"/>
      <c r="M703" s="360"/>
      <c r="N703" s="361"/>
      <c r="O703" s="361"/>
      <c r="P703" s="361"/>
      <c r="Q703" s="361"/>
      <c r="R703" s="362"/>
      <c r="S703" s="361"/>
      <c r="T703" s="360" t="s">
        <v>132</v>
      </c>
    </row>
    <row r="704" ht="34.5">
      <c r="A704" s="360" t="s">
        <v>860</v>
      </c>
      <c r="B704" s="360" t="s">
        <v>861</v>
      </c>
      <c r="C704" s="360" t="s">
        <v>288</v>
      </c>
      <c r="D704" s="360" t="s">
        <v>128</v>
      </c>
      <c r="E704" s="360" t="s">
        <v>167</v>
      </c>
      <c r="F704" s="361" t="s">
        <v>885</v>
      </c>
      <c r="G704" s="360" t="s">
        <v>145</v>
      </c>
      <c r="H704" s="361"/>
      <c r="I704" s="361"/>
      <c r="J704" s="361" t="s">
        <v>283</v>
      </c>
      <c r="K704" s="363"/>
      <c r="L704" s="360"/>
      <c r="M704" s="360"/>
      <c r="N704" s="361"/>
      <c r="O704" s="361"/>
      <c r="P704" s="361"/>
      <c r="Q704" s="361"/>
      <c r="R704" s="362"/>
      <c r="S704" s="361"/>
      <c r="T704" s="360" t="s">
        <v>132</v>
      </c>
    </row>
    <row r="705" ht="34.5">
      <c r="A705" s="360" t="s">
        <v>860</v>
      </c>
      <c r="B705" s="360" t="s">
        <v>861</v>
      </c>
      <c r="C705" s="360" t="s">
        <v>300</v>
      </c>
      <c r="D705" s="360" t="s">
        <v>128</v>
      </c>
      <c r="E705" s="360" t="s">
        <v>167</v>
      </c>
      <c r="F705" s="361" t="s">
        <v>885</v>
      </c>
      <c r="G705" s="360" t="s">
        <v>145</v>
      </c>
      <c r="H705" s="361"/>
      <c r="I705" s="361"/>
      <c r="J705" s="361" t="s">
        <v>285</v>
      </c>
      <c r="K705" s="363"/>
      <c r="L705" s="360"/>
      <c r="M705" s="360"/>
      <c r="N705" s="361"/>
      <c r="O705" s="361"/>
      <c r="P705" s="361"/>
      <c r="Q705" s="361"/>
      <c r="R705" s="362"/>
      <c r="S705" s="361"/>
      <c r="T705" s="360" t="s">
        <v>132</v>
      </c>
    </row>
    <row r="706" ht="34.5">
      <c r="A706" s="360" t="s">
        <v>860</v>
      </c>
      <c r="B706" s="360" t="s">
        <v>861</v>
      </c>
      <c r="C706" s="360" t="s">
        <v>300</v>
      </c>
      <c r="D706" s="360" t="s">
        <v>128</v>
      </c>
      <c r="E706" s="360" t="s">
        <v>167</v>
      </c>
      <c r="F706" s="361" t="s">
        <v>885</v>
      </c>
      <c r="G706" s="360" t="s">
        <v>145</v>
      </c>
      <c r="H706" s="361"/>
      <c r="I706" s="361"/>
      <c r="J706" s="361" t="s">
        <v>286</v>
      </c>
      <c r="K706" s="363"/>
      <c r="L706" s="360"/>
      <c r="M706" s="360"/>
      <c r="N706" s="361"/>
      <c r="O706" s="361"/>
      <c r="P706" s="361"/>
      <c r="Q706" s="361"/>
      <c r="R706" s="362"/>
      <c r="S706" s="361"/>
      <c r="T706" s="360" t="s">
        <v>132</v>
      </c>
    </row>
    <row r="707" ht="34.5">
      <c r="A707" s="360" t="s">
        <v>860</v>
      </c>
      <c r="B707" s="360" t="s">
        <v>861</v>
      </c>
      <c r="C707" s="360" t="s">
        <v>300</v>
      </c>
      <c r="D707" s="360" t="s">
        <v>128</v>
      </c>
      <c r="E707" s="360" t="s">
        <v>167</v>
      </c>
      <c r="F707" s="361" t="s">
        <v>885</v>
      </c>
      <c r="G707" s="360" t="s">
        <v>145</v>
      </c>
      <c r="H707" s="361"/>
      <c r="I707" s="361"/>
      <c r="J707" s="361" t="s">
        <v>284</v>
      </c>
      <c r="K707" s="363"/>
      <c r="L707" s="360"/>
      <c r="M707" s="360"/>
      <c r="N707" s="361"/>
      <c r="O707" s="361"/>
      <c r="P707" s="361"/>
      <c r="Q707" s="361"/>
      <c r="R707" s="362"/>
      <c r="S707" s="361"/>
      <c r="T707" s="360" t="s">
        <v>132</v>
      </c>
    </row>
    <row r="708" ht="34.5">
      <c r="A708" s="360" t="s">
        <v>860</v>
      </c>
      <c r="B708" s="360" t="s">
        <v>861</v>
      </c>
      <c r="C708" s="360" t="s">
        <v>300</v>
      </c>
      <c r="D708" s="360" t="s">
        <v>128</v>
      </c>
      <c r="E708" s="360" t="s">
        <v>167</v>
      </c>
      <c r="F708" s="361" t="s">
        <v>885</v>
      </c>
      <c r="G708" s="360" t="s">
        <v>145</v>
      </c>
      <c r="H708" s="361"/>
      <c r="I708" s="361"/>
      <c r="J708" s="361" t="s">
        <v>924</v>
      </c>
      <c r="K708" s="363"/>
      <c r="L708" s="360"/>
      <c r="M708" s="360"/>
      <c r="N708" s="361"/>
      <c r="O708" s="361"/>
      <c r="P708" s="361"/>
      <c r="Q708" s="361"/>
      <c r="R708" s="362"/>
      <c r="S708" s="361"/>
      <c r="T708" s="360" t="s">
        <v>132</v>
      </c>
    </row>
    <row r="709" ht="34.5">
      <c r="A709" s="360" t="s">
        <v>860</v>
      </c>
      <c r="B709" s="360" t="s">
        <v>861</v>
      </c>
      <c r="C709" s="360" t="s">
        <v>300</v>
      </c>
      <c r="D709" s="360" t="s">
        <v>128</v>
      </c>
      <c r="E709" s="360" t="s">
        <v>167</v>
      </c>
      <c r="F709" s="361" t="s">
        <v>885</v>
      </c>
      <c r="G709" s="360" t="s">
        <v>145</v>
      </c>
      <c r="H709" s="361"/>
      <c r="I709" s="361"/>
      <c r="J709" s="361" t="s">
        <v>925</v>
      </c>
      <c r="K709" s="363"/>
      <c r="L709" s="360"/>
      <c r="M709" s="360"/>
      <c r="N709" s="361"/>
      <c r="O709" s="361"/>
      <c r="P709" s="361"/>
      <c r="Q709" s="361"/>
      <c r="R709" s="362"/>
      <c r="S709" s="361"/>
      <c r="T709" s="360" t="s">
        <v>132</v>
      </c>
    </row>
    <row r="710" ht="34.5">
      <c r="A710" s="360" t="s">
        <v>860</v>
      </c>
      <c r="B710" s="360" t="s">
        <v>861</v>
      </c>
      <c r="C710" s="360" t="s">
        <v>300</v>
      </c>
      <c r="D710" s="360" t="s">
        <v>128</v>
      </c>
      <c r="E710" s="360" t="s">
        <v>167</v>
      </c>
      <c r="F710" s="361" t="s">
        <v>885</v>
      </c>
      <c r="G710" s="360" t="s">
        <v>145</v>
      </c>
      <c r="H710" s="361"/>
      <c r="I710" s="361"/>
      <c r="J710" s="361" t="s">
        <v>926</v>
      </c>
      <c r="K710" s="363"/>
      <c r="L710" s="360"/>
      <c r="M710" s="360"/>
      <c r="N710" s="361"/>
      <c r="O710" s="361"/>
      <c r="P710" s="361"/>
      <c r="Q710" s="361"/>
      <c r="R710" s="362"/>
      <c r="S710" s="361"/>
      <c r="T710" s="360" t="s">
        <v>132</v>
      </c>
    </row>
    <row r="711" ht="34.5">
      <c r="A711" s="360" t="s">
        <v>860</v>
      </c>
      <c r="B711" s="360" t="s">
        <v>861</v>
      </c>
      <c r="C711" s="360" t="s">
        <v>300</v>
      </c>
      <c r="D711" s="360" t="s">
        <v>128</v>
      </c>
      <c r="E711" s="360" t="s">
        <v>167</v>
      </c>
      <c r="F711" s="361" t="s">
        <v>885</v>
      </c>
      <c r="G711" s="360" t="s">
        <v>145</v>
      </c>
      <c r="H711" s="361"/>
      <c r="I711" s="361"/>
      <c r="J711" s="361" t="s">
        <v>927</v>
      </c>
      <c r="K711" s="363"/>
      <c r="L711" s="360"/>
      <c r="M711" s="360"/>
      <c r="N711" s="361"/>
      <c r="O711" s="361"/>
      <c r="P711" s="361"/>
      <c r="Q711" s="361"/>
      <c r="R711" s="362"/>
      <c r="S711" s="361"/>
      <c r="T711" s="360" t="s">
        <v>132</v>
      </c>
    </row>
    <row r="712" ht="34.5">
      <c r="A712" s="360" t="s">
        <v>860</v>
      </c>
      <c r="B712" s="360" t="s">
        <v>861</v>
      </c>
      <c r="C712" s="360" t="s">
        <v>300</v>
      </c>
      <c r="D712" s="360" t="s">
        <v>128</v>
      </c>
      <c r="E712" s="360" t="s">
        <v>167</v>
      </c>
      <c r="F712" s="361" t="s">
        <v>885</v>
      </c>
      <c r="G712" s="360" t="s">
        <v>145</v>
      </c>
      <c r="H712" s="361"/>
      <c r="I712" s="361"/>
      <c r="J712" s="361" t="s">
        <v>928</v>
      </c>
      <c r="K712" s="363"/>
      <c r="L712" s="360"/>
      <c r="M712" s="360"/>
      <c r="N712" s="361"/>
      <c r="O712" s="361"/>
      <c r="P712" s="361"/>
      <c r="Q712" s="361"/>
      <c r="R712" s="362"/>
      <c r="S712" s="361"/>
      <c r="T712" s="360" t="s">
        <v>132</v>
      </c>
    </row>
    <row r="713" ht="34.5">
      <c r="A713" s="360" t="s">
        <v>860</v>
      </c>
      <c r="B713" s="360" t="s">
        <v>861</v>
      </c>
      <c r="C713" s="360" t="s">
        <v>300</v>
      </c>
      <c r="D713" s="360" t="s">
        <v>128</v>
      </c>
      <c r="E713" s="360" t="s">
        <v>167</v>
      </c>
      <c r="F713" s="361" t="s">
        <v>885</v>
      </c>
      <c r="G713" s="360" t="s">
        <v>145</v>
      </c>
      <c r="H713" s="361"/>
      <c r="I713" s="361"/>
      <c r="J713" s="361" t="s">
        <v>929</v>
      </c>
      <c r="K713" s="363"/>
      <c r="L713" s="360"/>
      <c r="M713" s="360"/>
      <c r="N713" s="361"/>
      <c r="O713" s="361"/>
      <c r="P713" s="361"/>
      <c r="Q713" s="361"/>
      <c r="R713" s="362"/>
      <c r="S713" s="361"/>
      <c r="T713" s="360" t="s">
        <v>132</v>
      </c>
    </row>
    <row r="714" ht="34.5">
      <c r="A714" s="360" t="s">
        <v>860</v>
      </c>
      <c r="B714" s="360" t="s">
        <v>861</v>
      </c>
      <c r="C714" s="360" t="s">
        <v>300</v>
      </c>
      <c r="D714" s="360" t="s">
        <v>128</v>
      </c>
      <c r="E714" s="360" t="s">
        <v>167</v>
      </c>
      <c r="F714" s="361" t="s">
        <v>885</v>
      </c>
      <c r="G714" s="360" t="s">
        <v>145</v>
      </c>
      <c r="H714" s="361"/>
      <c r="I714" s="361"/>
      <c r="J714" s="361" t="s">
        <v>930</v>
      </c>
      <c r="K714" s="363"/>
      <c r="L714" s="360"/>
      <c r="M714" s="360"/>
      <c r="N714" s="361"/>
      <c r="O714" s="361"/>
      <c r="P714" s="361"/>
      <c r="Q714" s="361"/>
      <c r="R714" s="362"/>
      <c r="S714" s="361"/>
      <c r="T714" s="360" t="s">
        <v>132</v>
      </c>
    </row>
    <row r="715" ht="34.5">
      <c r="A715" s="360" t="s">
        <v>860</v>
      </c>
      <c r="B715" s="360" t="s">
        <v>861</v>
      </c>
      <c r="C715" s="360" t="s">
        <v>311</v>
      </c>
      <c r="D715" s="360" t="s">
        <v>128</v>
      </c>
      <c r="E715" s="360" t="s">
        <v>167</v>
      </c>
      <c r="F715" s="361" t="s">
        <v>885</v>
      </c>
      <c r="G715" s="360" t="s">
        <v>145</v>
      </c>
      <c r="H715" s="361"/>
      <c r="I715" s="361"/>
      <c r="J715" s="361" t="s">
        <v>289</v>
      </c>
      <c r="K715" s="363"/>
      <c r="L715" s="360"/>
      <c r="M715" s="360"/>
      <c r="N715" s="361"/>
      <c r="O715" s="361"/>
      <c r="P715" s="361"/>
      <c r="Q715" s="361"/>
      <c r="R715" s="362"/>
      <c r="S715" s="361"/>
      <c r="T715" s="360" t="s">
        <v>132</v>
      </c>
    </row>
    <row r="716" ht="34.5">
      <c r="A716" s="360" t="s">
        <v>860</v>
      </c>
      <c r="B716" s="360" t="s">
        <v>861</v>
      </c>
      <c r="C716" s="360" t="s">
        <v>311</v>
      </c>
      <c r="D716" s="360" t="s">
        <v>128</v>
      </c>
      <c r="E716" s="360" t="s">
        <v>167</v>
      </c>
      <c r="F716" s="361" t="s">
        <v>885</v>
      </c>
      <c r="G716" s="360" t="s">
        <v>145</v>
      </c>
      <c r="H716" s="361"/>
      <c r="I716" s="361"/>
      <c r="J716" s="361" t="s">
        <v>290</v>
      </c>
      <c r="K716" s="363"/>
      <c r="L716" s="360"/>
      <c r="M716" s="360"/>
      <c r="N716" s="361"/>
      <c r="O716" s="361"/>
      <c r="P716" s="361"/>
      <c r="Q716" s="361"/>
      <c r="R716" s="362"/>
      <c r="S716" s="361"/>
      <c r="T716" s="360" t="s">
        <v>132</v>
      </c>
    </row>
    <row r="717" ht="34.5">
      <c r="A717" s="360" t="s">
        <v>860</v>
      </c>
      <c r="B717" s="360" t="s">
        <v>861</v>
      </c>
      <c r="C717" s="360" t="s">
        <v>311</v>
      </c>
      <c r="D717" s="360" t="s">
        <v>128</v>
      </c>
      <c r="E717" s="360" t="s">
        <v>167</v>
      </c>
      <c r="F717" s="361" t="s">
        <v>885</v>
      </c>
      <c r="G717" s="360" t="s">
        <v>145</v>
      </c>
      <c r="H717" s="361"/>
      <c r="I717" s="361"/>
      <c r="J717" s="361" t="s">
        <v>291</v>
      </c>
      <c r="K717" s="363"/>
      <c r="L717" s="360"/>
      <c r="M717" s="360"/>
      <c r="N717" s="361"/>
      <c r="O717" s="361"/>
      <c r="P717" s="361"/>
      <c r="Q717" s="361"/>
      <c r="R717" s="362"/>
      <c r="S717" s="361"/>
      <c r="T717" s="360" t="s">
        <v>132</v>
      </c>
    </row>
    <row r="718" ht="34.5">
      <c r="A718" s="360" t="s">
        <v>860</v>
      </c>
      <c r="B718" s="360" t="s">
        <v>861</v>
      </c>
      <c r="C718" s="360" t="s">
        <v>311</v>
      </c>
      <c r="D718" s="360" t="s">
        <v>128</v>
      </c>
      <c r="E718" s="360" t="s">
        <v>167</v>
      </c>
      <c r="F718" s="361" t="s">
        <v>885</v>
      </c>
      <c r="G718" s="360" t="s">
        <v>145</v>
      </c>
      <c r="H718" s="361"/>
      <c r="I718" s="361"/>
      <c r="J718" s="361" t="s">
        <v>931</v>
      </c>
      <c r="K718" s="363"/>
      <c r="L718" s="360"/>
      <c r="M718" s="360"/>
      <c r="N718" s="361"/>
      <c r="O718" s="361"/>
      <c r="P718" s="361"/>
      <c r="Q718" s="361"/>
      <c r="R718" s="362"/>
      <c r="S718" s="361"/>
      <c r="T718" s="360" t="s">
        <v>132</v>
      </c>
    </row>
    <row r="719" ht="34.5">
      <c r="A719" s="360" t="s">
        <v>860</v>
      </c>
      <c r="B719" s="360" t="s">
        <v>861</v>
      </c>
      <c r="C719" s="360" t="s">
        <v>311</v>
      </c>
      <c r="D719" s="360" t="s">
        <v>128</v>
      </c>
      <c r="E719" s="360" t="s">
        <v>167</v>
      </c>
      <c r="F719" s="361" t="s">
        <v>885</v>
      </c>
      <c r="G719" s="360" t="s">
        <v>145</v>
      </c>
      <c r="H719" s="361"/>
      <c r="I719" s="361"/>
      <c r="J719" s="361" t="s">
        <v>293</v>
      </c>
      <c r="K719" s="363"/>
      <c r="L719" s="360"/>
      <c r="M719" s="360"/>
      <c r="N719" s="361"/>
      <c r="O719" s="361"/>
      <c r="P719" s="361"/>
      <c r="Q719" s="361"/>
      <c r="R719" s="362"/>
      <c r="S719" s="361"/>
      <c r="T719" s="360" t="s">
        <v>132</v>
      </c>
    </row>
    <row r="720" ht="34.5">
      <c r="A720" s="360" t="s">
        <v>860</v>
      </c>
      <c r="B720" s="360" t="s">
        <v>861</v>
      </c>
      <c r="C720" s="360" t="s">
        <v>311</v>
      </c>
      <c r="D720" s="360" t="s">
        <v>128</v>
      </c>
      <c r="E720" s="360" t="s">
        <v>167</v>
      </c>
      <c r="F720" s="361" t="s">
        <v>885</v>
      </c>
      <c r="G720" s="360" t="s">
        <v>145</v>
      </c>
      <c r="H720" s="361"/>
      <c r="I720" s="361"/>
      <c r="J720" s="361" t="s">
        <v>294</v>
      </c>
      <c r="K720" s="363"/>
      <c r="L720" s="360"/>
      <c r="M720" s="360"/>
      <c r="N720" s="361"/>
      <c r="O720" s="361"/>
      <c r="P720" s="361"/>
      <c r="Q720" s="361"/>
      <c r="R720" s="362"/>
      <c r="S720" s="361"/>
      <c r="T720" s="360" t="s">
        <v>132</v>
      </c>
    </row>
    <row r="721" ht="34.5">
      <c r="A721" s="360" t="s">
        <v>860</v>
      </c>
      <c r="B721" s="360" t="s">
        <v>861</v>
      </c>
      <c r="C721" s="360" t="s">
        <v>311</v>
      </c>
      <c r="D721" s="360" t="s">
        <v>128</v>
      </c>
      <c r="E721" s="360" t="s">
        <v>167</v>
      </c>
      <c r="F721" s="361" t="s">
        <v>885</v>
      </c>
      <c r="G721" s="360" t="s">
        <v>145</v>
      </c>
      <c r="H721" s="361"/>
      <c r="I721" s="361"/>
      <c r="J721" s="361" t="s">
        <v>932</v>
      </c>
      <c r="K721" s="363"/>
      <c r="L721" s="360"/>
      <c r="M721" s="360"/>
      <c r="N721" s="361"/>
      <c r="O721" s="361"/>
      <c r="P721" s="361"/>
      <c r="Q721" s="361"/>
      <c r="R721" s="362"/>
      <c r="S721" s="361"/>
      <c r="T721" s="360" t="s">
        <v>132</v>
      </c>
    </row>
    <row r="722" ht="34.5">
      <c r="A722" s="360" t="s">
        <v>860</v>
      </c>
      <c r="B722" s="360" t="s">
        <v>861</v>
      </c>
      <c r="C722" s="360" t="s">
        <v>311</v>
      </c>
      <c r="D722" s="360" t="s">
        <v>128</v>
      </c>
      <c r="E722" s="360" t="s">
        <v>167</v>
      </c>
      <c r="F722" s="361" t="s">
        <v>885</v>
      </c>
      <c r="G722" s="360" t="s">
        <v>145</v>
      </c>
      <c r="H722" s="361"/>
      <c r="I722" s="361"/>
      <c r="J722" s="361" t="s">
        <v>296</v>
      </c>
      <c r="K722" s="363"/>
      <c r="L722" s="360"/>
      <c r="M722" s="360"/>
      <c r="N722" s="361"/>
      <c r="O722" s="361"/>
      <c r="P722" s="361"/>
      <c r="Q722" s="361"/>
      <c r="R722" s="362"/>
      <c r="S722" s="361"/>
      <c r="T722" s="360" t="s">
        <v>132</v>
      </c>
    </row>
    <row r="723" ht="34.5">
      <c r="A723" s="360" t="s">
        <v>860</v>
      </c>
      <c r="B723" s="360" t="s">
        <v>861</v>
      </c>
      <c r="C723" s="360" t="s">
        <v>311</v>
      </c>
      <c r="D723" s="360" t="s">
        <v>128</v>
      </c>
      <c r="E723" s="360" t="s">
        <v>167</v>
      </c>
      <c r="F723" s="361" t="s">
        <v>885</v>
      </c>
      <c r="G723" s="360" t="s">
        <v>145</v>
      </c>
      <c r="H723" s="361"/>
      <c r="I723" s="361"/>
      <c r="J723" s="361" t="s">
        <v>297</v>
      </c>
      <c r="K723" s="363"/>
      <c r="L723" s="360"/>
      <c r="M723" s="360"/>
      <c r="N723" s="361"/>
      <c r="O723" s="361"/>
      <c r="P723" s="361"/>
      <c r="Q723" s="361"/>
      <c r="R723" s="362"/>
      <c r="S723" s="361"/>
      <c r="T723" s="360" t="s">
        <v>132</v>
      </c>
    </row>
    <row r="724" ht="34.5">
      <c r="A724" s="360" t="s">
        <v>860</v>
      </c>
      <c r="B724" s="360" t="s">
        <v>861</v>
      </c>
      <c r="C724" s="360" t="s">
        <v>311</v>
      </c>
      <c r="D724" s="360" t="s">
        <v>128</v>
      </c>
      <c r="E724" s="360" t="s">
        <v>167</v>
      </c>
      <c r="F724" s="361" t="s">
        <v>885</v>
      </c>
      <c r="G724" s="360" t="s">
        <v>145</v>
      </c>
      <c r="H724" s="361"/>
      <c r="I724" s="361"/>
      <c r="J724" s="361" t="s">
        <v>298</v>
      </c>
      <c r="K724" s="363"/>
      <c r="L724" s="360"/>
      <c r="M724" s="360"/>
      <c r="N724" s="361"/>
      <c r="O724" s="361"/>
      <c r="P724" s="361"/>
      <c r="Q724" s="361"/>
      <c r="R724" s="362"/>
      <c r="S724" s="361"/>
      <c r="T724" s="360" t="s">
        <v>132</v>
      </c>
    </row>
    <row r="725" ht="34.5">
      <c r="A725" s="360" t="s">
        <v>860</v>
      </c>
      <c r="B725" s="360" t="s">
        <v>861</v>
      </c>
      <c r="C725" s="360" t="s">
        <v>311</v>
      </c>
      <c r="D725" s="360" t="s">
        <v>128</v>
      </c>
      <c r="E725" s="360" t="s">
        <v>167</v>
      </c>
      <c r="F725" s="361" t="s">
        <v>885</v>
      </c>
      <c r="G725" s="360" t="s">
        <v>145</v>
      </c>
      <c r="H725" s="361"/>
      <c r="I725" s="361"/>
      <c r="J725" s="361" t="s">
        <v>301</v>
      </c>
      <c r="K725" s="363"/>
      <c r="L725" s="360"/>
      <c r="M725" s="360"/>
      <c r="N725" s="361"/>
      <c r="O725" s="361"/>
      <c r="P725" s="361"/>
      <c r="Q725" s="361"/>
      <c r="R725" s="362"/>
      <c r="S725" s="361"/>
      <c r="T725" s="360" t="s">
        <v>132</v>
      </c>
    </row>
    <row r="726" ht="34.5">
      <c r="A726" s="360" t="s">
        <v>860</v>
      </c>
      <c r="B726" s="360" t="s">
        <v>861</v>
      </c>
      <c r="C726" s="360" t="s">
        <v>311</v>
      </c>
      <c r="D726" s="360" t="s">
        <v>128</v>
      </c>
      <c r="E726" s="360" t="s">
        <v>167</v>
      </c>
      <c r="F726" s="361" t="s">
        <v>885</v>
      </c>
      <c r="G726" s="360" t="s">
        <v>145</v>
      </c>
      <c r="H726" s="361"/>
      <c r="I726" s="361"/>
      <c r="J726" s="361" t="s">
        <v>302</v>
      </c>
      <c r="K726" s="363"/>
      <c r="L726" s="360"/>
      <c r="M726" s="360"/>
      <c r="N726" s="361"/>
      <c r="O726" s="361"/>
      <c r="P726" s="361"/>
      <c r="Q726" s="361"/>
      <c r="R726" s="362"/>
      <c r="S726" s="361"/>
      <c r="T726" s="360" t="s">
        <v>132</v>
      </c>
    </row>
    <row r="727" ht="34.5">
      <c r="A727" s="360" t="s">
        <v>860</v>
      </c>
      <c r="B727" s="360" t="s">
        <v>861</v>
      </c>
      <c r="C727" s="360" t="s">
        <v>327</v>
      </c>
      <c r="D727" s="360" t="s">
        <v>128</v>
      </c>
      <c r="E727" s="360" t="s">
        <v>167</v>
      </c>
      <c r="F727" s="361" t="s">
        <v>885</v>
      </c>
      <c r="G727" s="360" t="s">
        <v>145</v>
      </c>
      <c r="H727" s="361"/>
      <c r="I727" s="361"/>
      <c r="J727" s="361" t="s">
        <v>303</v>
      </c>
      <c r="K727" s="363"/>
      <c r="L727" s="360"/>
      <c r="M727" s="360"/>
      <c r="N727" s="361"/>
      <c r="O727" s="361"/>
      <c r="P727" s="361"/>
      <c r="Q727" s="361"/>
      <c r="R727" s="362"/>
      <c r="S727" s="361"/>
      <c r="T727" s="360" t="s">
        <v>132</v>
      </c>
    </row>
    <row r="728" ht="34.5">
      <c r="A728" s="360" t="s">
        <v>860</v>
      </c>
      <c r="B728" s="360" t="s">
        <v>861</v>
      </c>
      <c r="C728" s="360" t="s">
        <v>327</v>
      </c>
      <c r="D728" s="360" t="s">
        <v>128</v>
      </c>
      <c r="E728" s="360" t="s">
        <v>167</v>
      </c>
      <c r="F728" s="361" t="s">
        <v>885</v>
      </c>
      <c r="G728" s="360" t="s">
        <v>145</v>
      </c>
      <c r="H728" s="361"/>
      <c r="I728" s="361"/>
      <c r="J728" s="361" t="s">
        <v>304</v>
      </c>
      <c r="K728" s="363"/>
      <c r="L728" s="360"/>
      <c r="M728" s="360"/>
      <c r="N728" s="361"/>
      <c r="O728" s="361"/>
      <c r="P728" s="361"/>
      <c r="Q728" s="361"/>
      <c r="R728" s="362"/>
      <c r="S728" s="361"/>
      <c r="T728" s="360" t="s">
        <v>132</v>
      </c>
    </row>
    <row r="729" ht="34.5">
      <c r="A729" s="360" t="s">
        <v>860</v>
      </c>
      <c r="B729" s="360" t="s">
        <v>861</v>
      </c>
      <c r="C729" s="360" t="s">
        <v>327</v>
      </c>
      <c r="D729" s="360" t="s">
        <v>128</v>
      </c>
      <c r="E729" s="360" t="s">
        <v>167</v>
      </c>
      <c r="F729" s="361" t="s">
        <v>885</v>
      </c>
      <c r="G729" s="360" t="s">
        <v>145</v>
      </c>
      <c r="H729" s="361"/>
      <c r="I729" s="361"/>
      <c r="J729" s="361" t="s">
        <v>305</v>
      </c>
      <c r="K729" s="363"/>
      <c r="L729" s="360"/>
      <c r="M729" s="360"/>
      <c r="N729" s="361"/>
      <c r="O729" s="361"/>
      <c r="P729" s="361"/>
      <c r="Q729" s="361"/>
      <c r="R729" s="362"/>
      <c r="S729" s="361"/>
      <c r="T729" s="360" t="s">
        <v>132</v>
      </c>
    </row>
    <row r="730" ht="34.5">
      <c r="A730" s="360" t="s">
        <v>860</v>
      </c>
      <c r="B730" s="360" t="s">
        <v>861</v>
      </c>
      <c r="C730" s="360" t="s">
        <v>327</v>
      </c>
      <c r="D730" s="360" t="s">
        <v>128</v>
      </c>
      <c r="E730" s="360" t="s">
        <v>167</v>
      </c>
      <c r="F730" s="361" t="s">
        <v>885</v>
      </c>
      <c r="G730" s="360" t="s">
        <v>145</v>
      </c>
      <c r="H730" s="361"/>
      <c r="I730" s="361"/>
      <c r="J730" s="361" t="s">
        <v>306</v>
      </c>
      <c r="K730" s="363"/>
      <c r="L730" s="360"/>
      <c r="M730" s="360"/>
      <c r="N730" s="361"/>
      <c r="O730" s="361"/>
      <c r="P730" s="361"/>
      <c r="Q730" s="361"/>
      <c r="R730" s="362"/>
      <c r="S730" s="361"/>
      <c r="T730" s="360" t="s">
        <v>132</v>
      </c>
    </row>
    <row r="731" ht="34.5">
      <c r="A731" s="360" t="s">
        <v>860</v>
      </c>
      <c r="B731" s="360" t="s">
        <v>861</v>
      </c>
      <c r="C731" s="360" t="s">
        <v>327</v>
      </c>
      <c r="D731" s="360" t="s">
        <v>128</v>
      </c>
      <c r="E731" s="360" t="s">
        <v>167</v>
      </c>
      <c r="F731" s="361" t="s">
        <v>885</v>
      </c>
      <c r="G731" s="360" t="s">
        <v>145</v>
      </c>
      <c r="H731" s="361"/>
      <c r="I731" s="361"/>
      <c r="J731" s="361" t="s">
        <v>307</v>
      </c>
      <c r="K731" s="363"/>
      <c r="L731" s="360"/>
      <c r="M731" s="360"/>
      <c r="N731" s="361"/>
      <c r="O731" s="361"/>
      <c r="P731" s="361"/>
      <c r="Q731" s="361"/>
      <c r="R731" s="362"/>
      <c r="S731" s="361"/>
      <c r="T731" s="360" t="s">
        <v>132</v>
      </c>
    </row>
    <row r="732" ht="34.5">
      <c r="A732" s="360" t="s">
        <v>860</v>
      </c>
      <c r="B732" s="360" t="s">
        <v>861</v>
      </c>
      <c r="C732" s="360" t="s">
        <v>327</v>
      </c>
      <c r="D732" s="360" t="s">
        <v>128</v>
      </c>
      <c r="E732" s="360" t="s">
        <v>167</v>
      </c>
      <c r="F732" s="361" t="s">
        <v>885</v>
      </c>
      <c r="G732" s="360" t="s">
        <v>145</v>
      </c>
      <c r="H732" s="361"/>
      <c r="I732" s="361"/>
      <c r="J732" s="361" t="s">
        <v>308</v>
      </c>
      <c r="K732" s="363"/>
      <c r="L732" s="360"/>
      <c r="M732" s="360"/>
      <c r="N732" s="361"/>
      <c r="O732" s="361"/>
      <c r="P732" s="361"/>
      <c r="Q732" s="361"/>
      <c r="R732" s="362"/>
      <c r="S732" s="361"/>
      <c r="T732" s="360" t="s">
        <v>132</v>
      </c>
    </row>
    <row r="733" ht="34.5">
      <c r="A733" s="360" t="s">
        <v>860</v>
      </c>
      <c r="B733" s="360" t="s">
        <v>861</v>
      </c>
      <c r="C733" s="360" t="s">
        <v>327</v>
      </c>
      <c r="D733" s="360" t="s">
        <v>128</v>
      </c>
      <c r="E733" s="360" t="s">
        <v>167</v>
      </c>
      <c r="F733" s="361" t="s">
        <v>885</v>
      </c>
      <c r="G733" s="360" t="s">
        <v>145</v>
      </c>
      <c r="H733" s="361"/>
      <c r="I733" s="361"/>
      <c r="J733" s="361" t="s">
        <v>309</v>
      </c>
      <c r="K733" s="363"/>
      <c r="L733" s="360"/>
      <c r="M733" s="360"/>
      <c r="N733" s="361"/>
      <c r="O733" s="361"/>
      <c r="P733" s="361"/>
      <c r="Q733" s="361"/>
      <c r="R733" s="362"/>
      <c r="S733" s="361"/>
      <c r="T733" s="360" t="s">
        <v>132</v>
      </c>
    </row>
    <row r="734" ht="34.5">
      <c r="A734" s="360" t="s">
        <v>860</v>
      </c>
      <c r="B734" s="360" t="s">
        <v>861</v>
      </c>
      <c r="C734" s="360" t="s">
        <v>327</v>
      </c>
      <c r="D734" s="360" t="s">
        <v>128</v>
      </c>
      <c r="E734" s="360" t="s">
        <v>167</v>
      </c>
      <c r="F734" s="361" t="s">
        <v>885</v>
      </c>
      <c r="G734" s="360" t="s">
        <v>145</v>
      </c>
      <c r="H734" s="361"/>
      <c r="I734" s="361"/>
      <c r="J734" s="361" t="s">
        <v>312</v>
      </c>
      <c r="K734" s="363"/>
      <c r="L734" s="360"/>
      <c r="M734" s="360"/>
      <c r="N734" s="361"/>
      <c r="O734" s="361"/>
      <c r="P734" s="361"/>
      <c r="Q734" s="361"/>
      <c r="R734" s="362"/>
      <c r="S734" s="361"/>
      <c r="T734" s="360" t="s">
        <v>132</v>
      </c>
    </row>
    <row r="735" ht="34.5">
      <c r="A735" s="360" t="s">
        <v>860</v>
      </c>
      <c r="B735" s="360" t="s">
        <v>861</v>
      </c>
      <c r="C735" s="360" t="s">
        <v>327</v>
      </c>
      <c r="D735" s="360" t="s">
        <v>128</v>
      </c>
      <c r="E735" s="360" t="s">
        <v>167</v>
      </c>
      <c r="F735" s="361" t="s">
        <v>885</v>
      </c>
      <c r="G735" s="360" t="s">
        <v>145</v>
      </c>
      <c r="H735" s="361"/>
      <c r="I735" s="361"/>
      <c r="J735" s="361" t="s">
        <v>933</v>
      </c>
      <c r="K735" s="363">
        <v>1500000</v>
      </c>
      <c r="L735" s="360" t="s">
        <v>314</v>
      </c>
      <c r="M735" s="360"/>
      <c r="N735" s="361"/>
      <c r="O735" s="361"/>
      <c r="P735" s="361"/>
      <c r="Q735" s="361"/>
      <c r="R735" s="362"/>
      <c r="S735" s="361"/>
      <c r="T735" s="360" t="s">
        <v>132</v>
      </c>
    </row>
    <row r="736" ht="34.5">
      <c r="A736" s="360" t="s">
        <v>860</v>
      </c>
      <c r="B736" s="360" t="s">
        <v>861</v>
      </c>
      <c r="C736" s="360" t="s">
        <v>327</v>
      </c>
      <c r="D736" s="360" t="s">
        <v>128</v>
      </c>
      <c r="E736" s="360" t="s">
        <v>167</v>
      </c>
      <c r="F736" s="361" t="s">
        <v>885</v>
      </c>
      <c r="G736" s="360" t="s">
        <v>145</v>
      </c>
      <c r="H736" s="361"/>
      <c r="I736" s="361"/>
      <c r="J736" s="361" t="s">
        <v>934</v>
      </c>
      <c r="K736" s="363"/>
      <c r="L736" s="360"/>
      <c r="M736" s="360"/>
      <c r="N736" s="361"/>
      <c r="O736" s="361"/>
      <c r="P736" s="361"/>
      <c r="Q736" s="361"/>
      <c r="R736" s="362"/>
      <c r="S736" s="361"/>
      <c r="T736" s="360" t="s">
        <v>132</v>
      </c>
    </row>
    <row r="737" ht="34.5">
      <c r="A737" s="360" t="s">
        <v>860</v>
      </c>
      <c r="B737" s="360" t="s">
        <v>861</v>
      </c>
      <c r="C737" s="360" t="s">
        <v>338</v>
      </c>
      <c r="D737" s="360" t="s">
        <v>128</v>
      </c>
      <c r="E737" s="360" t="s">
        <v>317</v>
      </c>
      <c r="F737" s="361" t="s">
        <v>318</v>
      </c>
      <c r="G737" s="360" t="s">
        <v>319</v>
      </c>
      <c r="H737" s="361"/>
      <c r="I737" s="361"/>
      <c r="J737" s="361" t="s">
        <v>935</v>
      </c>
      <c r="K737" s="363"/>
      <c r="L737" s="360"/>
      <c r="M737" s="360"/>
      <c r="N737" s="361"/>
      <c r="O737" s="361"/>
      <c r="P737" s="361"/>
      <c r="Q737" s="361"/>
      <c r="R737" s="362"/>
      <c r="S737" s="361"/>
      <c r="T737" s="360" t="s">
        <v>132</v>
      </c>
    </row>
    <row r="738" ht="34.5">
      <c r="A738" s="360" t="s">
        <v>860</v>
      </c>
      <c r="B738" s="360" t="s">
        <v>861</v>
      </c>
      <c r="C738" s="360" t="s">
        <v>338</v>
      </c>
      <c r="D738" s="360" t="s">
        <v>128</v>
      </c>
      <c r="E738" s="360" t="s">
        <v>317</v>
      </c>
      <c r="F738" s="361" t="s">
        <v>318</v>
      </c>
      <c r="G738" s="360" t="s">
        <v>319</v>
      </c>
      <c r="H738" s="361"/>
      <c r="I738" s="361"/>
      <c r="J738" s="361" t="s">
        <v>321</v>
      </c>
      <c r="K738" s="363"/>
      <c r="L738" s="360"/>
      <c r="M738" s="360"/>
      <c r="N738" s="361"/>
      <c r="O738" s="361"/>
      <c r="P738" s="361"/>
      <c r="Q738" s="361"/>
      <c r="R738" s="362"/>
      <c r="S738" s="361"/>
      <c r="T738" s="360" t="s">
        <v>132</v>
      </c>
    </row>
    <row r="739" ht="34.5">
      <c r="A739" s="360" t="s">
        <v>860</v>
      </c>
      <c r="B739" s="360" t="s">
        <v>861</v>
      </c>
      <c r="C739" s="360" t="s">
        <v>338</v>
      </c>
      <c r="D739" s="360" t="s">
        <v>128</v>
      </c>
      <c r="E739" s="360" t="s">
        <v>317</v>
      </c>
      <c r="F739" s="361" t="s">
        <v>318</v>
      </c>
      <c r="G739" s="360" t="s">
        <v>319</v>
      </c>
      <c r="H739" s="361"/>
      <c r="I739" s="361"/>
      <c r="J739" s="361" t="s">
        <v>322</v>
      </c>
      <c r="K739" s="363"/>
      <c r="L739" s="360"/>
      <c r="M739" s="360"/>
      <c r="N739" s="361"/>
      <c r="O739" s="361"/>
      <c r="P739" s="361"/>
      <c r="Q739" s="361"/>
      <c r="R739" s="362"/>
      <c r="S739" s="361"/>
      <c r="T739" s="360" t="s">
        <v>132</v>
      </c>
    </row>
    <row r="740" ht="34.5">
      <c r="A740" s="360" t="s">
        <v>860</v>
      </c>
      <c r="B740" s="360" t="s">
        <v>861</v>
      </c>
      <c r="C740" s="360" t="s">
        <v>338</v>
      </c>
      <c r="D740" s="360" t="s">
        <v>128</v>
      </c>
      <c r="E740" s="360" t="s">
        <v>317</v>
      </c>
      <c r="F740" s="361" t="s">
        <v>318</v>
      </c>
      <c r="G740" s="360" t="s">
        <v>319</v>
      </c>
      <c r="H740" s="361"/>
      <c r="I740" s="361"/>
      <c r="J740" s="361" t="s">
        <v>323</v>
      </c>
      <c r="K740" s="363"/>
      <c r="L740" s="360"/>
      <c r="M740" s="360"/>
      <c r="N740" s="361"/>
      <c r="O740" s="361"/>
      <c r="P740" s="361"/>
      <c r="Q740" s="361"/>
      <c r="R740" s="362"/>
      <c r="S740" s="361"/>
      <c r="T740" s="360" t="s">
        <v>132</v>
      </c>
    </row>
    <row r="741" ht="34.5">
      <c r="A741" s="360" t="s">
        <v>860</v>
      </c>
      <c r="B741" s="360" t="s">
        <v>861</v>
      </c>
      <c r="C741" s="360" t="s">
        <v>338</v>
      </c>
      <c r="D741" s="360" t="s">
        <v>128</v>
      </c>
      <c r="E741" s="360" t="s">
        <v>317</v>
      </c>
      <c r="F741" s="361" t="s">
        <v>318</v>
      </c>
      <c r="G741" s="360" t="s">
        <v>319</v>
      </c>
      <c r="H741" s="361"/>
      <c r="I741" s="361"/>
      <c r="J741" s="361" t="s">
        <v>936</v>
      </c>
      <c r="K741" s="363"/>
      <c r="L741" s="360"/>
      <c r="M741" s="360"/>
      <c r="N741" s="361"/>
      <c r="O741" s="361"/>
      <c r="P741" s="361"/>
      <c r="Q741" s="361"/>
      <c r="R741" s="362"/>
      <c r="S741" s="361"/>
      <c r="T741" s="360" t="s">
        <v>132</v>
      </c>
    </row>
    <row r="742" ht="34.5">
      <c r="A742" s="360" t="s">
        <v>860</v>
      </c>
      <c r="B742" s="360" t="s">
        <v>861</v>
      </c>
      <c r="C742" s="360" t="s">
        <v>338</v>
      </c>
      <c r="D742" s="360" t="s">
        <v>128</v>
      </c>
      <c r="E742" s="360" t="s">
        <v>317</v>
      </c>
      <c r="F742" s="361" t="s">
        <v>318</v>
      </c>
      <c r="G742" s="360" t="s">
        <v>319</v>
      </c>
      <c r="H742" s="361"/>
      <c r="I742" s="361"/>
      <c r="J742" s="361" t="s">
        <v>325</v>
      </c>
      <c r="K742" s="363"/>
      <c r="L742" s="360"/>
      <c r="M742" s="360"/>
      <c r="N742" s="361"/>
      <c r="O742" s="361"/>
      <c r="P742" s="361"/>
      <c r="Q742" s="361"/>
      <c r="R742" s="362"/>
      <c r="S742" s="361"/>
      <c r="T742" s="360" t="s">
        <v>132</v>
      </c>
    </row>
    <row r="743" ht="34.5">
      <c r="A743" s="360" t="s">
        <v>860</v>
      </c>
      <c r="B743" s="360" t="s">
        <v>861</v>
      </c>
      <c r="C743" s="360" t="s">
        <v>338</v>
      </c>
      <c r="D743" s="360" t="s">
        <v>128</v>
      </c>
      <c r="E743" s="360" t="s">
        <v>317</v>
      </c>
      <c r="F743" s="361" t="s">
        <v>318</v>
      </c>
      <c r="G743" s="360" t="s">
        <v>319</v>
      </c>
      <c r="H743" s="361"/>
      <c r="I743" s="361"/>
      <c r="J743" s="361" t="s">
        <v>328</v>
      </c>
      <c r="K743" s="363"/>
      <c r="L743" s="360"/>
      <c r="M743" s="360"/>
      <c r="N743" s="361"/>
      <c r="O743" s="361"/>
      <c r="P743" s="361"/>
      <c r="Q743" s="361"/>
      <c r="R743" s="362"/>
      <c r="S743" s="361"/>
      <c r="T743" s="360" t="s">
        <v>132</v>
      </c>
    </row>
    <row r="744" ht="34.5">
      <c r="A744" s="360" t="s">
        <v>860</v>
      </c>
      <c r="B744" s="360" t="s">
        <v>861</v>
      </c>
      <c r="C744" s="360" t="s">
        <v>338</v>
      </c>
      <c r="D744" s="360" t="s">
        <v>128</v>
      </c>
      <c r="E744" s="360" t="s">
        <v>317</v>
      </c>
      <c r="F744" s="361" t="s">
        <v>318</v>
      </c>
      <c r="G744" s="360" t="s">
        <v>319</v>
      </c>
      <c r="H744" s="361"/>
      <c r="I744" s="361"/>
      <c r="J744" s="361" t="s">
        <v>937</v>
      </c>
      <c r="K744" s="363"/>
      <c r="L744" s="360"/>
      <c r="M744" s="360"/>
      <c r="N744" s="361"/>
      <c r="O744" s="361"/>
      <c r="P744" s="361"/>
      <c r="Q744" s="361"/>
      <c r="R744" s="362"/>
      <c r="S744" s="361"/>
      <c r="T744" s="360" t="s">
        <v>132</v>
      </c>
    </row>
    <row r="745" ht="34.5">
      <c r="A745" s="360" t="s">
        <v>860</v>
      </c>
      <c r="B745" s="360" t="s">
        <v>861</v>
      </c>
      <c r="C745" s="360" t="s">
        <v>338</v>
      </c>
      <c r="D745" s="360" t="s">
        <v>128</v>
      </c>
      <c r="E745" s="360" t="s">
        <v>317</v>
      </c>
      <c r="F745" s="361" t="s">
        <v>318</v>
      </c>
      <c r="G745" s="360" t="s">
        <v>319</v>
      </c>
      <c r="H745" s="361"/>
      <c r="I745" s="361"/>
      <c r="J745" s="361" t="s">
        <v>330</v>
      </c>
      <c r="K745" s="363"/>
      <c r="L745" s="360"/>
      <c r="M745" s="360"/>
      <c r="N745" s="361"/>
      <c r="O745" s="361"/>
      <c r="P745" s="361"/>
      <c r="Q745" s="361"/>
      <c r="R745" s="362"/>
      <c r="S745" s="361"/>
      <c r="T745" s="360" t="s">
        <v>132</v>
      </c>
    </row>
    <row r="746" ht="34.5">
      <c r="A746" s="360" t="s">
        <v>860</v>
      </c>
      <c r="B746" s="360" t="s">
        <v>861</v>
      </c>
      <c r="C746" s="360" t="s">
        <v>338</v>
      </c>
      <c r="D746" s="360" t="s">
        <v>128</v>
      </c>
      <c r="E746" s="360" t="s">
        <v>317</v>
      </c>
      <c r="F746" s="361" t="s">
        <v>318</v>
      </c>
      <c r="G746" s="360" t="s">
        <v>319</v>
      </c>
      <c r="H746" s="361"/>
      <c r="I746" s="361"/>
      <c r="J746" s="361" t="s">
        <v>938</v>
      </c>
      <c r="K746" s="363"/>
      <c r="L746" s="360"/>
      <c r="M746" s="360"/>
      <c r="N746" s="361"/>
      <c r="O746" s="361"/>
      <c r="P746" s="361"/>
      <c r="Q746" s="361"/>
      <c r="R746" s="362"/>
      <c r="S746" s="361"/>
      <c r="T746" s="360" t="s">
        <v>132</v>
      </c>
    </row>
    <row r="747" ht="34.5">
      <c r="A747" s="360" t="s">
        <v>860</v>
      </c>
      <c r="B747" s="360" t="s">
        <v>861</v>
      </c>
      <c r="C747" s="360" t="s">
        <v>338</v>
      </c>
      <c r="D747" s="360" t="s">
        <v>128</v>
      </c>
      <c r="E747" s="360" t="s">
        <v>317</v>
      </c>
      <c r="F747" s="361" t="s">
        <v>318</v>
      </c>
      <c r="G747" s="360" t="s">
        <v>319</v>
      </c>
      <c r="H747" s="361"/>
      <c r="I747" s="361"/>
      <c r="J747" s="361" t="s">
        <v>332</v>
      </c>
      <c r="K747" s="363"/>
      <c r="L747" s="360"/>
      <c r="M747" s="360"/>
      <c r="N747" s="361"/>
      <c r="O747" s="361"/>
      <c r="P747" s="361"/>
      <c r="Q747" s="361"/>
      <c r="R747" s="362"/>
      <c r="S747" s="361"/>
      <c r="T747" s="360" t="s">
        <v>132</v>
      </c>
    </row>
    <row r="748" ht="34.5">
      <c r="A748" s="360" t="s">
        <v>860</v>
      </c>
      <c r="B748" s="360" t="s">
        <v>861</v>
      </c>
      <c r="C748" s="360" t="s">
        <v>338</v>
      </c>
      <c r="D748" s="360" t="s">
        <v>128</v>
      </c>
      <c r="E748" s="360" t="s">
        <v>317</v>
      </c>
      <c r="F748" s="361" t="s">
        <v>318</v>
      </c>
      <c r="G748" s="360" t="s">
        <v>319</v>
      </c>
      <c r="H748" s="361"/>
      <c r="I748" s="361"/>
      <c r="J748" s="361" t="s">
        <v>333</v>
      </c>
      <c r="K748" s="363"/>
      <c r="L748" s="360"/>
      <c r="M748" s="360"/>
      <c r="N748" s="361"/>
      <c r="O748" s="361"/>
      <c r="P748" s="361"/>
      <c r="Q748" s="361"/>
      <c r="R748" s="362"/>
      <c r="S748" s="361"/>
      <c r="T748" s="360" t="s">
        <v>132</v>
      </c>
    </row>
    <row r="749" ht="34.5">
      <c r="A749" s="360" t="s">
        <v>860</v>
      </c>
      <c r="B749" s="360" t="s">
        <v>861</v>
      </c>
      <c r="C749" s="360" t="s">
        <v>348</v>
      </c>
      <c r="D749" s="360" t="s">
        <v>128</v>
      </c>
      <c r="E749" s="360" t="s">
        <v>317</v>
      </c>
      <c r="F749" s="361" t="s">
        <v>318</v>
      </c>
      <c r="G749" s="360" t="s">
        <v>319</v>
      </c>
      <c r="H749" s="361"/>
      <c r="I749" s="361"/>
      <c r="J749" s="361" t="s">
        <v>939</v>
      </c>
      <c r="K749" s="363"/>
      <c r="L749" s="360"/>
      <c r="M749" s="360"/>
      <c r="N749" s="361"/>
      <c r="O749" s="361"/>
      <c r="P749" s="361"/>
      <c r="Q749" s="361"/>
      <c r="R749" s="362"/>
      <c r="S749" s="361"/>
      <c r="T749" s="360" t="s">
        <v>132</v>
      </c>
    </row>
    <row r="750" ht="34.5">
      <c r="A750" s="360" t="s">
        <v>860</v>
      </c>
      <c r="B750" s="360" t="s">
        <v>861</v>
      </c>
      <c r="C750" s="360" t="s">
        <v>348</v>
      </c>
      <c r="D750" s="360" t="s">
        <v>128</v>
      </c>
      <c r="E750" s="360" t="s">
        <v>317</v>
      </c>
      <c r="F750" s="361" t="s">
        <v>318</v>
      </c>
      <c r="G750" s="360" t="s">
        <v>319</v>
      </c>
      <c r="H750" s="361"/>
      <c r="I750" s="361"/>
      <c r="J750" s="361" t="s">
        <v>335</v>
      </c>
      <c r="K750" s="363"/>
      <c r="L750" s="360"/>
      <c r="M750" s="360"/>
      <c r="N750" s="361"/>
      <c r="O750" s="361"/>
      <c r="P750" s="361"/>
      <c r="Q750" s="361"/>
      <c r="R750" s="362"/>
      <c r="S750" s="361"/>
      <c r="T750" s="360" t="s">
        <v>132</v>
      </c>
    </row>
    <row r="751" ht="34.5">
      <c r="A751" s="360" t="s">
        <v>860</v>
      </c>
      <c r="B751" s="360" t="s">
        <v>861</v>
      </c>
      <c r="C751" s="360" t="s">
        <v>348</v>
      </c>
      <c r="D751" s="360" t="s">
        <v>128</v>
      </c>
      <c r="E751" s="360" t="s">
        <v>317</v>
      </c>
      <c r="F751" s="361" t="s">
        <v>318</v>
      </c>
      <c r="G751" s="360" t="s">
        <v>319</v>
      </c>
      <c r="H751" s="361"/>
      <c r="I751" s="361"/>
      <c r="J751" s="361" t="s">
        <v>336</v>
      </c>
      <c r="K751" s="363"/>
      <c r="L751" s="360"/>
      <c r="M751" s="360"/>
      <c r="N751" s="361"/>
      <c r="O751" s="361"/>
      <c r="P751" s="361"/>
      <c r="Q751" s="361"/>
      <c r="R751" s="362"/>
      <c r="S751" s="361"/>
      <c r="T751" s="360" t="s">
        <v>132</v>
      </c>
    </row>
    <row r="752" ht="34.5">
      <c r="A752" s="360" t="s">
        <v>860</v>
      </c>
      <c r="B752" s="360" t="s">
        <v>861</v>
      </c>
      <c r="C752" s="360" t="s">
        <v>348</v>
      </c>
      <c r="D752" s="360" t="s">
        <v>128</v>
      </c>
      <c r="E752" s="360" t="s">
        <v>317</v>
      </c>
      <c r="F752" s="361" t="s">
        <v>318</v>
      </c>
      <c r="G752" s="360" t="s">
        <v>319</v>
      </c>
      <c r="H752" s="361"/>
      <c r="I752" s="361"/>
      <c r="J752" s="361" t="s">
        <v>339</v>
      </c>
      <c r="K752" s="363"/>
      <c r="L752" s="360"/>
      <c r="M752" s="360"/>
      <c r="N752" s="361"/>
      <c r="O752" s="361"/>
      <c r="P752" s="361"/>
      <c r="Q752" s="361"/>
      <c r="R752" s="362"/>
      <c r="S752" s="361"/>
      <c r="T752" s="360" t="s">
        <v>132</v>
      </c>
    </row>
    <row r="753" ht="34.5">
      <c r="A753" s="360" t="s">
        <v>860</v>
      </c>
      <c r="B753" s="360" t="s">
        <v>861</v>
      </c>
      <c r="C753" s="360" t="s">
        <v>348</v>
      </c>
      <c r="D753" s="360" t="s">
        <v>128</v>
      </c>
      <c r="E753" s="360" t="s">
        <v>317</v>
      </c>
      <c r="F753" s="361" t="s">
        <v>318</v>
      </c>
      <c r="G753" s="360" t="s">
        <v>319</v>
      </c>
      <c r="H753" s="361"/>
      <c r="I753" s="361"/>
      <c r="J753" s="361" t="s">
        <v>341</v>
      </c>
      <c r="K753" s="363"/>
      <c r="L753" s="360"/>
      <c r="M753" s="360"/>
      <c r="N753" s="361"/>
      <c r="O753" s="361"/>
      <c r="P753" s="361"/>
      <c r="Q753" s="361"/>
      <c r="R753" s="362"/>
      <c r="S753" s="361"/>
      <c r="T753" s="360" t="s">
        <v>132</v>
      </c>
    </row>
    <row r="754" ht="34.5">
      <c r="A754" s="360" t="s">
        <v>860</v>
      </c>
      <c r="B754" s="360" t="s">
        <v>861</v>
      </c>
      <c r="C754" s="360" t="s">
        <v>348</v>
      </c>
      <c r="D754" s="360" t="s">
        <v>128</v>
      </c>
      <c r="E754" s="360" t="s">
        <v>317</v>
      </c>
      <c r="F754" s="361" t="s">
        <v>318</v>
      </c>
      <c r="G754" s="360" t="s">
        <v>319</v>
      </c>
      <c r="H754" s="361"/>
      <c r="I754" s="361"/>
      <c r="J754" s="361" t="s">
        <v>940</v>
      </c>
      <c r="K754" s="363"/>
      <c r="L754" s="360"/>
      <c r="M754" s="360"/>
      <c r="N754" s="361"/>
      <c r="O754" s="361"/>
      <c r="P754" s="361"/>
      <c r="Q754" s="361"/>
      <c r="R754" s="362"/>
      <c r="S754" s="361"/>
      <c r="T754" s="360" t="s">
        <v>132</v>
      </c>
    </row>
    <row r="755" ht="34.5">
      <c r="A755" s="360" t="s">
        <v>860</v>
      </c>
      <c r="B755" s="360" t="s">
        <v>861</v>
      </c>
      <c r="C755" s="360" t="s">
        <v>348</v>
      </c>
      <c r="D755" s="360" t="s">
        <v>128</v>
      </c>
      <c r="E755" s="360" t="s">
        <v>317</v>
      </c>
      <c r="F755" s="361" t="s">
        <v>318</v>
      </c>
      <c r="G755" s="360" t="s">
        <v>319</v>
      </c>
      <c r="H755" s="361"/>
      <c r="I755" s="361"/>
      <c r="J755" s="361" t="s">
        <v>941</v>
      </c>
      <c r="K755" s="363"/>
      <c r="L755" s="360"/>
      <c r="M755" s="360"/>
      <c r="N755" s="361"/>
      <c r="O755" s="361"/>
      <c r="P755" s="361"/>
      <c r="Q755" s="361"/>
      <c r="R755" s="362"/>
      <c r="S755" s="361"/>
      <c r="T755" s="360" t="s">
        <v>132</v>
      </c>
    </row>
    <row r="756" ht="34.5">
      <c r="A756" s="360" t="s">
        <v>860</v>
      </c>
      <c r="B756" s="360" t="s">
        <v>861</v>
      </c>
      <c r="C756" s="360" t="s">
        <v>348</v>
      </c>
      <c r="D756" s="360" t="s">
        <v>128</v>
      </c>
      <c r="E756" s="360" t="s">
        <v>317</v>
      </c>
      <c r="F756" s="361" t="s">
        <v>318</v>
      </c>
      <c r="G756" s="360" t="s">
        <v>319</v>
      </c>
      <c r="H756" s="361"/>
      <c r="I756" s="361"/>
      <c r="J756" s="361" t="s">
        <v>344</v>
      </c>
      <c r="K756" s="363"/>
      <c r="L756" s="360"/>
      <c r="M756" s="360"/>
      <c r="N756" s="361"/>
      <c r="O756" s="361"/>
      <c r="P756" s="361"/>
      <c r="Q756" s="361"/>
      <c r="R756" s="362"/>
      <c r="S756" s="361"/>
      <c r="T756" s="360" t="s">
        <v>132</v>
      </c>
    </row>
    <row r="757" ht="34.5">
      <c r="A757" s="360" t="s">
        <v>860</v>
      </c>
      <c r="B757" s="360" t="s">
        <v>861</v>
      </c>
      <c r="C757" s="360" t="s">
        <v>348</v>
      </c>
      <c r="D757" s="360" t="s">
        <v>128</v>
      </c>
      <c r="E757" s="360" t="s">
        <v>317</v>
      </c>
      <c r="F757" s="361" t="s">
        <v>318</v>
      </c>
      <c r="G757" s="360" t="s">
        <v>319</v>
      </c>
      <c r="H757" s="361"/>
      <c r="I757" s="361"/>
      <c r="J757" s="361" t="s">
        <v>942</v>
      </c>
      <c r="K757" s="363"/>
      <c r="L757" s="360"/>
      <c r="M757" s="360"/>
      <c r="N757" s="361"/>
      <c r="O757" s="361"/>
      <c r="P757" s="361"/>
      <c r="Q757" s="361"/>
      <c r="R757" s="362"/>
      <c r="S757" s="361"/>
      <c r="T757" s="360" t="s">
        <v>132</v>
      </c>
    </row>
    <row r="758" ht="34.5">
      <c r="A758" s="360" t="s">
        <v>860</v>
      </c>
      <c r="B758" s="360" t="s">
        <v>861</v>
      </c>
      <c r="C758" s="360" t="s">
        <v>348</v>
      </c>
      <c r="D758" s="360" t="s">
        <v>128</v>
      </c>
      <c r="E758" s="360" t="s">
        <v>317</v>
      </c>
      <c r="F758" s="361" t="s">
        <v>318</v>
      </c>
      <c r="G758" s="360" t="s">
        <v>319</v>
      </c>
      <c r="H758" s="361"/>
      <c r="I758" s="361"/>
      <c r="J758" s="361" t="s">
        <v>346</v>
      </c>
      <c r="K758" s="363"/>
      <c r="L758" s="360"/>
      <c r="M758" s="360"/>
      <c r="N758" s="361"/>
      <c r="O758" s="361"/>
      <c r="P758" s="361"/>
      <c r="Q758" s="361"/>
      <c r="R758" s="362"/>
      <c r="S758" s="361"/>
      <c r="T758" s="360" t="s">
        <v>132</v>
      </c>
    </row>
    <row r="759" ht="34.5">
      <c r="A759" s="360" t="s">
        <v>860</v>
      </c>
      <c r="B759" s="360" t="s">
        <v>861</v>
      </c>
      <c r="C759" s="360" t="s">
        <v>357</v>
      </c>
      <c r="D759" s="360" t="s">
        <v>128</v>
      </c>
      <c r="E759" s="360" t="s">
        <v>317</v>
      </c>
      <c r="F759" s="361" t="s">
        <v>318</v>
      </c>
      <c r="G759" s="360" t="s">
        <v>319</v>
      </c>
      <c r="H759" s="361"/>
      <c r="I759" s="361"/>
      <c r="J759" s="361" t="s">
        <v>943</v>
      </c>
      <c r="K759" s="363"/>
      <c r="L759" s="360"/>
      <c r="M759" s="360"/>
      <c r="N759" s="361"/>
      <c r="O759" s="361"/>
      <c r="P759" s="361"/>
      <c r="Q759" s="361"/>
      <c r="R759" s="362"/>
      <c r="S759" s="361"/>
      <c r="T759" s="360" t="s">
        <v>132</v>
      </c>
    </row>
    <row r="760" ht="34.5">
      <c r="A760" s="360" t="s">
        <v>860</v>
      </c>
      <c r="B760" s="360" t="s">
        <v>861</v>
      </c>
      <c r="C760" s="360" t="s">
        <v>357</v>
      </c>
      <c r="D760" s="360" t="s">
        <v>128</v>
      </c>
      <c r="E760" s="360" t="s">
        <v>317</v>
      </c>
      <c r="F760" s="361" t="s">
        <v>318</v>
      </c>
      <c r="G760" s="360" t="s">
        <v>319</v>
      </c>
      <c r="H760" s="361"/>
      <c r="I760" s="361"/>
      <c r="J760" s="361" t="s">
        <v>350</v>
      </c>
      <c r="K760" s="363"/>
      <c r="L760" s="360"/>
      <c r="M760" s="360"/>
      <c r="N760" s="361"/>
      <c r="O760" s="361"/>
      <c r="P760" s="361"/>
      <c r="Q760" s="361"/>
      <c r="R760" s="362"/>
      <c r="S760" s="361"/>
      <c r="T760" s="360" t="s">
        <v>132</v>
      </c>
    </row>
    <row r="761" ht="34.5">
      <c r="A761" s="360" t="s">
        <v>860</v>
      </c>
      <c r="B761" s="360" t="s">
        <v>861</v>
      </c>
      <c r="C761" s="360" t="s">
        <v>357</v>
      </c>
      <c r="D761" s="360" t="s">
        <v>128</v>
      </c>
      <c r="E761" s="360" t="s">
        <v>317</v>
      </c>
      <c r="F761" s="361" t="s">
        <v>318</v>
      </c>
      <c r="G761" s="360" t="s">
        <v>319</v>
      </c>
      <c r="H761" s="361"/>
      <c r="I761" s="361"/>
      <c r="J761" s="361" t="s">
        <v>944</v>
      </c>
      <c r="K761" s="363"/>
      <c r="L761" s="360"/>
      <c r="M761" s="360"/>
      <c r="N761" s="361"/>
      <c r="O761" s="361"/>
      <c r="P761" s="361"/>
      <c r="Q761" s="361"/>
      <c r="R761" s="362"/>
      <c r="S761" s="361"/>
      <c r="T761" s="360" t="s">
        <v>132</v>
      </c>
    </row>
    <row r="762" ht="34.5">
      <c r="A762" s="360" t="s">
        <v>860</v>
      </c>
      <c r="B762" s="360" t="s">
        <v>861</v>
      </c>
      <c r="C762" s="360" t="s">
        <v>357</v>
      </c>
      <c r="D762" s="360" t="s">
        <v>128</v>
      </c>
      <c r="E762" s="360" t="s">
        <v>317</v>
      </c>
      <c r="F762" s="361" t="s">
        <v>318</v>
      </c>
      <c r="G762" s="360" t="s">
        <v>319</v>
      </c>
      <c r="H762" s="361"/>
      <c r="I762" s="361"/>
      <c r="J762" s="361" t="s">
        <v>945</v>
      </c>
      <c r="K762" s="363"/>
      <c r="L762" s="360"/>
      <c r="M762" s="360"/>
      <c r="N762" s="361"/>
      <c r="O762" s="361"/>
      <c r="P762" s="361"/>
      <c r="Q762" s="361"/>
      <c r="R762" s="362"/>
      <c r="S762" s="361"/>
      <c r="T762" s="360" t="s">
        <v>132</v>
      </c>
    </row>
    <row r="763" ht="34.5">
      <c r="A763" s="360" t="s">
        <v>860</v>
      </c>
      <c r="B763" s="360" t="s">
        <v>861</v>
      </c>
      <c r="C763" s="360" t="s">
        <v>357</v>
      </c>
      <c r="D763" s="360" t="s">
        <v>128</v>
      </c>
      <c r="E763" s="360" t="s">
        <v>317</v>
      </c>
      <c r="F763" s="361" t="s">
        <v>318</v>
      </c>
      <c r="G763" s="360" t="s">
        <v>319</v>
      </c>
      <c r="H763" s="361"/>
      <c r="I763" s="361"/>
      <c r="J763" s="361" t="s">
        <v>353</v>
      </c>
      <c r="K763" s="363"/>
      <c r="L763" s="360"/>
      <c r="M763" s="360"/>
      <c r="N763" s="361"/>
      <c r="O763" s="361"/>
      <c r="P763" s="361"/>
      <c r="Q763" s="361"/>
      <c r="R763" s="362"/>
      <c r="S763" s="361"/>
      <c r="T763" s="360" t="s">
        <v>132</v>
      </c>
    </row>
    <row r="764" ht="34.5">
      <c r="A764" s="360" t="s">
        <v>860</v>
      </c>
      <c r="B764" s="360" t="s">
        <v>861</v>
      </c>
      <c r="C764" s="360" t="s">
        <v>357</v>
      </c>
      <c r="D764" s="360" t="s">
        <v>128</v>
      </c>
      <c r="E764" s="360" t="s">
        <v>317</v>
      </c>
      <c r="F764" s="361" t="s">
        <v>318</v>
      </c>
      <c r="G764" s="360" t="s">
        <v>319</v>
      </c>
      <c r="H764" s="361"/>
      <c r="I764" s="361"/>
      <c r="J764" s="361" t="s">
        <v>354</v>
      </c>
      <c r="K764" s="363"/>
      <c r="L764" s="360"/>
      <c r="M764" s="360"/>
      <c r="N764" s="361"/>
      <c r="O764" s="361"/>
      <c r="P764" s="361"/>
      <c r="Q764" s="361"/>
      <c r="R764" s="362"/>
      <c r="S764" s="361"/>
      <c r="T764" s="360" t="s">
        <v>132</v>
      </c>
    </row>
    <row r="765" ht="34.5">
      <c r="A765" s="360" t="s">
        <v>860</v>
      </c>
      <c r="B765" s="360" t="s">
        <v>861</v>
      </c>
      <c r="C765" s="360" t="s">
        <v>357</v>
      </c>
      <c r="D765" s="360" t="s">
        <v>128</v>
      </c>
      <c r="E765" s="360" t="s">
        <v>317</v>
      </c>
      <c r="F765" s="361" t="s">
        <v>318</v>
      </c>
      <c r="G765" s="360" t="s">
        <v>319</v>
      </c>
      <c r="H765" s="361"/>
      <c r="I765" s="361"/>
      <c r="J765" s="361" t="s">
        <v>355</v>
      </c>
      <c r="K765" s="363"/>
      <c r="L765" s="360"/>
      <c r="M765" s="360"/>
      <c r="N765" s="361"/>
      <c r="O765" s="361"/>
      <c r="P765" s="361"/>
      <c r="Q765" s="361"/>
      <c r="R765" s="362"/>
      <c r="S765" s="361"/>
      <c r="T765" s="360" t="s">
        <v>132</v>
      </c>
    </row>
    <row r="766" ht="34.5">
      <c r="A766" s="360" t="s">
        <v>860</v>
      </c>
      <c r="B766" s="360" t="s">
        <v>861</v>
      </c>
      <c r="C766" s="360" t="s">
        <v>357</v>
      </c>
      <c r="D766" s="360" t="s">
        <v>128</v>
      </c>
      <c r="E766" s="360" t="s">
        <v>317</v>
      </c>
      <c r="F766" s="361" t="s">
        <v>318</v>
      </c>
      <c r="G766" s="360" t="s">
        <v>319</v>
      </c>
      <c r="H766" s="361"/>
      <c r="I766" s="361"/>
      <c r="J766" s="361" t="s">
        <v>358</v>
      </c>
      <c r="K766" s="363"/>
      <c r="L766" s="360"/>
      <c r="M766" s="360"/>
      <c r="N766" s="361"/>
      <c r="O766" s="361"/>
      <c r="P766" s="361"/>
      <c r="Q766" s="361"/>
      <c r="R766" s="362"/>
      <c r="S766" s="361"/>
      <c r="T766" s="360" t="s">
        <v>132</v>
      </c>
    </row>
    <row r="767" ht="34.5">
      <c r="A767" s="360" t="s">
        <v>860</v>
      </c>
      <c r="B767" s="360" t="s">
        <v>861</v>
      </c>
      <c r="C767" s="360" t="s">
        <v>357</v>
      </c>
      <c r="D767" s="360" t="s">
        <v>128</v>
      </c>
      <c r="E767" s="360" t="s">
        <v>317</v>
      </c>
      <c r="F767" s="361" t="s">
        <v>318</v>
      </c>
      <c r="G767" s="360" t="s">
        <v>319</v>
      </c>
      <c r="H767" s="361"/>
      <c r="I767" s="361"/>
      <c r="J767" s="361" t="s">
        <v>946</v>
      </c>
      <c r="K767" s="363"/>
      <c r="L767" s="360"/>
      <c r="M767" s="360"/>
      <c r="N767" s="361"/>
      <c r="O767" s="361"/>
      <c r="P767" s="361"/>
      <c r="Q767" s="361"/>
      <c r="R767" s="362"/>
      <c r="S767" s="361"/>
      <c r="T767" s="360" t="s">
        <v>132</v>
      </c>
    </row>
    <row r="768" ht="34.5">
      <c r="A768" s="360" t="s">
        <v>860</v>
      </c>
      <c r="B768" s="360" t="s">
        <v>861</v>
      </c>
      <c r="C768" s="360" t="s">
        <v>369</v>
      </c>
      <c r="D768" s="360" t="s">
        <v>128</v>
      </c>
      <c r="E768" s="360" t="s">
        <v>360</v>
      </c>
      <c r="F768" s="361" t="s">
        <v>361</v>
      </c>
      <c r="G768" s="360" t="s">
        <v>319</v>
      </c>
      <c r="H768" s="361"/>
      <c r="I768" s="361"/>
      <c r="J768" s="361" t="s">
        <v>362</v>
      </c>
      <c r="K768" s="363"/>
      <c r="L768" s="360"/>
      <c r="M768" s="360"/>
      <c r="N768" s="361"/>
      <c r="O768" s="361"/>
      <c r="P768" s="361"/>
      <c r="Q768" s="361"/>
      <c r="R768" s="362"/>
      <c r="S768" s="361"/>
      <c r="T768" s="360" t="s">
        <v>132</v>
      </c>
    </row>
    <row r="769" ht="34.5">
      <c r="A769" s="360" t="s">
        <v>860</v>
      </c>
      <c r="B769" s="360" t="s">
        <v>861</v>
      </c>
      <c r="C769" s="360" t="s">
        <v>369</v>
      </c>
      <c r="D769" s="360" t="s">
        <v>128</v>
      </c>
      <c r="E769" s="360" t="s">
        <v>360</v>
      </c>
      <c r="F769" s="361" t="s">
        <v>361</v>
      </c>
      <c r="G769" s="360" t="s">
        <v>319</v>
      </c>
      <c r="H769" s="361"/>
      <c r="I769" s="361"/>
      <c r="J769" s="361" t="s">
        <v>947</v>
      </c>
      <c r="K769" s="363"/>
      <c r="L769" s="360"/>
      <c r="M769" s="360"/>
      <c r="N769" s="361"/>
      <c r="O769" s="361"/>
      <c r="P769" s="361"/>
      <c r="Q769" s="361"/>
      <c r="R769" s="362"/>
      <c r="S769" s="361"/>
      <c r="T769" s="360" t="s">
        <v>132</v>
      </c>
    </row>
    <row r="770" ht="34.5">
      <c r="A770" s="360" t="s">
        <v>860</v>
      </c>
      <c r="B770" s="360" t="s">
        <v>861</v>
      </c>
      <c r="C770" s="360" t="s">
        <v>369</v>
      </c>
      <c r="D770" s="360" t="s">
        <v>128</v>
      </c>
      <c r="E770" s="360" t="s">
        <v>360</v>
      </c>
      <c r="F770" s="361" t="s">
        <v>361</v>
      </c>
      <c r="G770" s="360" t="s">
        <v>319</v>
      </c>
      <c r="H770" s="361"/>
      <c r="I770" s="361"/>
      <c r="J770" s="361" t="s">
        <v>364</v>
      </c>
      <c r="K770" s="363"/>
      <c r="L770" s="360"/>
      <c r="M770" s="360"/>
      <c r="N770" s="361"/>
      <c r="O770" s="361"/>
      <c r="P770" s="361"/>
      <c r="Q770" s="361"/>
      <c r="R770" s="362"/>
      <c r="S770" s="361"/>
      <c r="T770" s="360" t="s">
        <v>132</v>
      </c>
    </row>
    <row r="771" ht="34.5">
      <c r="A771" s="360" t="s">
        <v>860</v>
      </c>
      <c r="B771" s="360" t="s">
        <v>861</v>
      </c>
      <c r="C771" s="360" t="s">
        <v>369</v>
      </c>
      <c r="D771" s="360" t="s">
        <v>128</v>
      </c>
      <c r="E771" s="360" t="s">
        <v>360</v>
      </c>
      <c r="F771" s="361" t="s">
        <v>361</v>
      </c>
      <c r="G771" s="360" t="s">
        <v>319</v>
      </c>
      <c r="H771" s="361"/>
      <c r="I771" s="361"/>
      <c r="J771" s="361" t="s">
        <v>365</v>
      </c>
      <c r="K771" s="363"/>
      <c r="L771" s="360"/>
      <c r="M771" s="360"/>
      <c r="N771" s="361"/>
      <c r="O771" s="361"/>
      <c r="P771" s="361"/>
      <c r="Q771" s="361"/>
      <c r="R771" s="362"/>
      <c r="S771" s="361"/>
      <c r="T771" s="360" t="s">
        <v>132</v>
      </c>
    </row>
    <row r="772" ht="34.5">
      <c r="A772" s="360" t="s">
        <v>860</v>
      </c>
      <c r="B772" s="360" t="s">
        <v>861</v>
      </c>
      <c r="C772" s="360" t="s">
        <v>369</v>
      </c>
      <c r="D772" s="360" t="s">
        <v>128</v>
      </c>
      <c r="E772" s="360" t="s">
        <v>360</v>
      </c>
      <c r="F772" s="361" t="s">
        <v>361</v>
      </c>
      <c r="G772" s="360" t="s">
        <v>319</v>
      </c>
      <c r="H772" s="361"/>
      <c r="I772" s="361"/>
      <c r="J772" s="361" t="s">
        <v>948</v>
      </c>
      <c r="K772" s="363"/>
      <c r="L772" s="360"/>
      <c r="M772" s="360"/>
      <c r="N772" s="361"/>
      <c r="O772" s="361"/>
      <c r="P772" s="361"/>
      <c r="Q772" s="361"/>
      <c r="R772" s="362"/>
      <c r="S772" s="361"/>
      <c r="T772" s="360" t="s">
        <v>132</v>
      </c>
    </row>
    <row r="773" ht="34.5">
      <c r="A773" s="360" t="s">
        <v>860</v>
      </c>
      <c r="B773" s="360" t="s">
        <v>861</v>
      </c>
      <c r="C773" s="360" t="s">
        <v>369</v>
      </c>
      <c r="D773" s="360" t="s">
        <v>128</v>
      </c>
      <c r="E773" s="360" t="s">
        <v>360</v>
      </c>
      <c r="F773" s="361" t="s">
        <v>361</v>
      </c>
      <c r="G773" s="360" t="s">
        <v>319</v>
      </c>
      <c r="H773" s="361"/>
      <c r="I773" s="361"/>
      <c r="J773" s="361" t="s">
        <v>949</v>
      </c>
      <c r="K773" s="363">
        <v>49639045</v>
      </c>
      <c r="L773" s="360" t="s">
        <v>314</v>
      </c>
      <c r="M773" s="360"/>
      <c r="N773" s="361"/>
      <c r="O773" s="361"/>
      <c r="P773" s="361"/>
      <c r="Q773" s="361"/>
      <c r="R773" s="362"/>
      <c r="S773" s="361"/>
      <c r="T773" s="360" t="s">
        <v>132</v>
      </c>
    </row>
    <row r="774" ht="34.5">
      <c r="A774" s="360" t="s">
        <v>860</v>
      </c>
      <c r="B774" s="360" t="s">
        <v>861</v>
      </c>
      <c r="C774" s="360" t="s">
        <v>369</v>
      </c>
      <c r="D774" s="360" t="s">
        <v>128</v>
      </c>
      <c r="E774" s="360" t="s">
        <v>360</v>
      </c>
      <c r="F774" s="361" t="s">
        <v>361</v>
      </c>
      <c r="G774" s="360" t="s">
        <v>319</v>
      </c>
      <c r="H774" s="361"/>
      <c r="I774" s="361"/>
      <c r="J774" s="361" t="s">
        <v>950</v>
      </c>
      <c r="K774" s="363"/>
      <c r="L774" s="360"/>
      <c r="M774" s="360"/>
      <c r="N774" s="361"/>
      <c r="O774" s="361"/>
      <c r="P774" s="361"/>
      <c r="Q774" s="361"/>
      <c r="R774" s="362"/>
      <c r="S774" s="361"/>
      <c r="T774" s="360" t="s">
        <v>132</v>
      </c>
    </row>
    <row r="775" ht="34.5">
      <c r="A775" s="360" t="s">
        <v>860</v>
      </c>
      <c r="B775" s="360" t="s">
        <v>861</v>
      </c>
      <c r="C775" s="360" t="s">
        <v>369</v>
      </c>
      <c r="D775" s="360" t="s">
        <v>128</v>
      </c>
      <c r="E775" s="360" t="s">
        <v>360</v>
      </c>
      <c r="F775" s="361" t="s">
        <v>361</v>
      </c>
      <c r="G775" s="360" t="s">
        <v>319</v>
      </c>
      <c r="H775" s="361"/>
      <c r="I775" s="361"/>
      <c r="J775" s="361" t="s">
        <v>951</v>
      </c>
      <c r="K775" s="363"/>
      <c r="L775" s="360"/>
      <c r="M775" s="360"/>
      <c r="N775" s="361"/>
      <c r="O775" s="361"/>
      <c r="P775" s="361"/>
      <c r="Q775" s="361"/>
      <c r="R775" s="362"/>
      <c r="S775" s="361"/>
      <c r="T775" s="360" t="s">
        <v>132</v>
      </c>
    </row>
    <row r="776" ht="34.5">
      <c r="A776" s="360" t="s">
        <v>860</v>
      </c>
      <c r="B776" s="360" t="s">
        <v>861</v>
      </c>
      <c r="C776" s="360" t="s">
        <v>369</v>
      </c>
      <c r="D776" s="360" t="s">
        <v>381</v>
      </c>
      <c r="E776" s="360" t="s">
        <v>360</v>
      </c>
      <c r="F776" s="361" t="s">
        <v>361</v>
      </c>
      <c r="G776" s="360" t="s">
        <v>319</v>
      </c>
      <c r="H776" s="361"/>
      <c r="I776" s="361"/>
      <c r="J776" s="361" t="s">
        <v>382</v>
      </c>
      <c r="K776" s="363"/>
      <c r="L776" s="360"/>
      <c r="M776" s="360"/>
      <c r="N776" s="361"/>
      <c r="O776" s="361"/>
      <c r="P776" s="361"/>
      <c r="Q776" s="361"/>
      <c r="R776" s="362"/>
      <c r="S776" s="361"/>
      <c r="T776" s="360" t="s">
        <v>132</v>
      </c>
    </row>
    <row r="777" ht="34.5">
      <c r="A777" s="360" t="s">
        <v>860</v>
      </c>
      <c r="B777" s="360" t="s">
        <v>861</v>
      </c>
      <c r="C777" s="360" t="s">
        <v>378</v>
      </c>
      <c r="D777" s="360" t="s">
        <v>128</v>
      </c>
      <c r="E777" s="360" t="s">
        <v>360</v>
      </c>
      <c r="F777" s="361" t="s">
        <v>361</v>
      </c>
      <c r="G777" s="360" t="s">
        <v>319</v>
      </c>
      <c r="H777" s="361"/>
      <c r="I777" s="361"/>
      <c r="J777" s="361" t="s">
        <v>370</v>
      </c>
      <c r="K777" s="363"/>
      <c r="L777" s="360"/>
      <c r="M777" s="360"/>
      <c r="N777" s="361"/>
      <c r="O777" s="361"/>
      <c r="P777" s="361"/>
      <c r="Q777" s="361"/>
      <c r="R777" s="362"/>
      <c r="S777" s="361"/>
      <c r="T777" s="360" t="s">
        <v>132</v>
      </c>
    </row>
    <row r="778" ht="34.5">
      <c r="A778" s="360" t="s">
        <v>860</v>
      </c>
      <c r="B778" s="360" t="s">
        <v>861</v>
      </c>
      <c r="C778" s="360" t="s">
        <v>378</v>
      </c>
      <c r="D778" s="360" t="s">
        <v>436</v>
      </c>
      <c r="E778" s="360" t="s">
        <v>360</v>
      </c>
      <c r="F778" s="361" t="s">
        <v>361</v>
      </c>
      <c r="G778" s="360" t="s">
        <v>319</v>
      </c>
      <c r="H778" s="361"/>
      <c r="I778" s="361"/>
      <c r="J778" s="361" t="s">
        <v>437</v>
      </c>
      <c r="K778" s="363"/>
      <c r="L778" s="360"/>
      <c r="M778" s="360"/>
      <c r="N778" s="361"/>
      <c r="O778" s="361"/>
      <c r="P778" s="361"/>
      <c r="Q778" s="361"/>
      <c r="R778" s="362"/>
      <c r="S778" s="361"/>
      <c r="T778" s="360" t="s">
        <v>132</v>
      </c>
    </row>
    <row r="779" ht="34.5">
      <c r="A779" s="360" t="s">
        <v>860</v>
      </c>
      <c r="B779" s="360" t="s">
        <v>861</v>
      </c>
      <c r="C779" s="360" t="s">
        <v>394</v>
      </c>
      <c r="D779" s="360" t="s">
        <v>128</v>
      </c>
      <c r="E779" s="360" t="s">
        <v>360</v>
      </c>
      <c r="F779" s="361" t="s">
        <v>361</v>
      </c>
      <c r="G779" s="360" t="s">
        <v>319</v>
      </c>
      <c r="H779" s="361"/>
      <c r="I779" s="361"/>
      <c r="J779" s="361" t="s">
        <v>374</v>
      </c>
      <c r="K779" s="363"/>
      <c r="L779" s="360"/>
      <c r="M779" s="360"/>
      <c r="N779" s="361"/>
      <c r="O779" s="361"/>
      <c r="P779" s="361"/>
      <c r="Q779" s="361"/>
      <c r="R779" s="362"/>
      <c r="S779" s="361"/>
      <c r="T779" s="360" t="s">
        <v>132</v>
      </c>
    </row>
    <row r="780" ht="34.5">
      <c r="A780" s="360" t="s">
        <v>860</v>
      </c>
      <c r="B780" s="360" t="s">
        <v>861</v>
      </c>
      <c r="C780" s="360" t="s">
        <v>394</v>
      </c>
      <c r="D780" s="360" t="s">
        <v>128</v>
      </c>
      <c r="E780" s="360" t="s">
        <v>360</v>
      </c>
      <c r="F780" s="361" t="s">
        <v>361</v>
      </c>
      <c r="G780" s="360" t="s">
        <v>319</v>
      </c>
      <c r="H780" s="361"/>
      <c r="I780" s="361"/>
      <c r="J780" s="361" t="s">
        <v>952</v>
      </c>
      <c r="K780" s="363"/>
      <c r="L780" s="360"/>
      <c r="M780" s="360"/>
      <c r="N780" s="361"/>
      <c r="O780" s="361"/>
      <c r="P780" s="361"/>
      <c r="Q780" s="361"/>
      <c r="R780" s="362"/>
      <c r="S780" s="361"/>
      <c r="T780" s="360" t="s">
        <v>132</v>
      </c>
    </row>
    <row r="781" ht="34.5">
      <c r="A781" s="360" t="s">
        <v>860</v>
      </c>
      <c r="B781" s="360" t="s">
        <v>861</v>
      </c>
      <c r="C781" s="360" t="s">
        <v>394</v>
      </c>
      <c r="D781" s="360" t="s">
        <v>447</v>
      </c>
      <c r="E781" s="360" t="s">
        <v>360</v>
      </c>
      <c r="F781" s="361" t="s">
        <v>361</v>
      </c>
      <c r="G781" s="360" t="s">
        <v>319</v>
      </c>
      <c r="H781" s="361"/>
      <c r="I781" s="361"/>
      <c r="J781" s="361" t="s">
        <v>448</v>
      </c>
      <c r="K781" s="363"/>
      <c r="L781" s="360"/>
      <c r="M781" s="360"/>
      <c r="N781" s="361"/>
      <c r="O781" s="361"/>
      <c r="P781" s="361"/>
      <c r="Q781" s="361"/>
      <c r="R781" s="362"/>
      <c r="S781" s="361"/>
      <c r="T781" s="360" t="s">
        <v>132</v>
      </c>
    </row>
    <row r="782" ht="34.5">
      <c r="A782" s="360" t="s">
        <v>860</v>
      </c>
      <c r="B782" s="360" t="s">
        <v>861</v>
      </c>
      <c r="C782" s="360" t="s">
        <v>394</v>
      </c>
      <c r="D782" s="360" t="s">
        <v>128</v>
      </c>
      <c r="E782" s="360" t="s">
        <v>360</v>
      </c>
      <c r="F782" s="361" t="s">
        <v>361</v>
      </c>
      <c r="G782" s="360" t="s">
        <v>319</v>
      </c>
      <c r="H782" s="361"/>
      <c r="I782" s="361"/>
      <c r="J782" s="361" t="s">
        <v>379</v>
      </c>
      <c r="K782" s="363"/>
      <c r="L782" s="360"/>
      <c r="M782" s="360"/>
      <c r="N782" s="361"/>
      <c r="O782" s="361"/>
      <c r="P782" s="361"/>
      <c r="Q782" s="361"/>
      <c r="R782" s="362"/>
      <c r="S782" s="361"/>
      <c r="T782" s="360" t="s">
        <v>132</v>
      </c>
    </row>
    <row r="783" ht="34.5">
      <c r="A783" s="360" t="s">
        <v>860</v>
      </c>
      <c r="B783" s="360" t="s">
        <v>861</v>
      </c>
      <c r="C783" s="360" t="s">
        <v>394</v>
      </c>
      <c r="D783" s="360" t="s">
        <v>128</v>
      </c>
      <c r="E783" s="360" t="s">
        <v>360</v>
      </c>
      <c r="F783" s="361" t="s">
        <v>361</v>
      </c>
      <c r="G783" s="360" t="s">
        <v>319</v>
      </c>
      <c r="H783" s="361"/>
      <c r="I783" s="361"/>
      <c r="J783" s="361" t="s">
        <v>953</v>
      </c>
      <c r="K783" s="363"/>
      <c r="L783" s="360"/>
      <c r="M783" s="360"/>
      <c r="N783" s="361"/>
      <c r="O783" s="361"/>
      <c r="P783" s="361"/>
      <c r="Q783" s="361"/>
      <c r="R783" s="362"/>
      <c r="S783" s="361"/>
      <c r="T783" s="360" t="s">
        <v>132</v>
      </c>
    </row>
    <row r="784" ht="34.5">
      <c r="A784" s="360" t="s">
        <v>860</v>
      </c>
      <c r="B784" s="360" t="s">
        <v>861</v>
      </c>
      <c r="C784" s="360" t="s">
        <v>394</v>
      </c>
      <c r="D784" s="360" t="s">
        <v>451</v>
      </c>
      <c r="E784" s="360" t="s">
        <v>360</v>
      </c>
      <c r="F784" s="361" t="s">
        <v>361</v>
      </c>
      <c r="G784" s="360" t="s">
        <v>319</v>
      </c>
      <c r="H784" s="361"/>
      <c r="I784" s="361"/>
      <c r="J784" s="361" t="s">
        <v>452</v>
      </c>
      <c r="K784" s="363"/>
      <c r="L784" s="360"/>
      <c r="M784" s="360"/>
      <c r="N784" s="361"/>
      <c r="O784" s="361"/>
      <c r="P784" s="361"/>
      <c r="Q784" s="361"/>
      <c r="R784" s="362"/>
      <c r="S784" s="361"/>
      <c r="T784" s="360" t="s">
        <v>132</v>
      </c>
    </row>
    <row r="785" ht="34.5">
      <c r="A785" s="360" t="s">
        <v>860</v>
      </c>
      <c r="B785" s="360" t="s">
        <v>861</v>
      </c>
      <c r="C785" s="360" t="s">
        <v>394</v>
      </c>
      <c r="D785" s="360" t="s">
        <v>128</v>
      </c>
      <c r="E785" s="360" t="s">
        <v>360</v>
      </c>
      <c r="F785" s="361" t="s">
        <v>361</v>
      </c>
      <c r="G785" s="360" t="s">
        <v>319</v>
      </c>
      <c r="H785" s="361"/>
      <c r="I785" s="361"/>
      <c r="J785" s="361" t="s">
        <v>954</v>
      </c>
      <c r="K785" s="363"/>
      <c r="L785" s="360"/>
      <c r="M785" s="360"/>
      <c r="N785" s="361"/>
      <c r="O785" s="361"/>
      <c r="P785" s="361"/>
      <c r="Q785" s="361"/>
      <c r="R785" s="362"/>
      <c r="S785" s="361"/>
      <c r="T785" s="360" t="s">
        <v>132</v>
      </c>
    </row>
    <row r="786" ht="34.5">
      <c r="A786" s="360" t="s">
        <v>860</v>
      </c>
      <c r="B786" s="360" t="s">
        <v>861</v>
      </c>
      <c r="C786" s="360" t="s">
        <v>394</v>
      </c>
      <c r="D786" s="360" t="s">
        <v>128</v>
      </c>
      <c r="E786" s="360" t="s">
        <v>360</v>
      </c>
      <c r="F786" s="361" t="s">
        <v>361</v>
      </c>
      <c r="G786" s="360" t="s">
        <v>319</v>
      </c>
      <c r="H786" s="361"/>
      <c r="I786" s="361"/>
      <c r="J786" s="361" t="s">
        <v>384</v>
      </c>
      <c r="K786" s="363"/>
      <c r="L786" s="360"/>
      <c r="M786" s="360"/>
      <c r="N786" s="361"/>
      <c r="O786" s="361"/>
      <c r="P786" s="361"/>
      <c r="Q786" s="361"/>
      <c r="R786" s="362"/>
      <c r="S786" s="361"/>
      <c r="T786" s="360" t="s">
        <v>132</v>
      </c>
    </row>
    <row r="787" ht="34.5">
      <c r="A787" s="360" t="s">
        <v>860</v>
      </c>
      <c r="B787" s="360" t="s">
        <v>861</v>
      </c>
      <c r="C787" s="360" t="s">
        <v>394</v>
      </c>
      <c r="D787" s="360" t="s">
        <v>128</v>
      </c>
      <c r="E787" s="360" t="s">
        <v>360</v>
      </c>
      <c r="F787" s="361" t="s">
        <v>361</v>
      </c>
      <c r="G787" s="360" t="s">
        <v>319</v>
      </c>
      <c r="H787" s="361"/>
      <c r="I787" s="361"/>
      <c r="J787" s="361" t="s">
        <v>385</v>
      </c>
      <c r="K787" s="363"/>
      <c r="L787" s="360"/>
      <c r="M787" s="360"/>
      <c r="N787" s="361"/>
      <c r="O787" s="361"/>
      <c r="P787" s="361"/>
      <c r="Q787" s="361"/>
      <c r="R787" s="362"/>
      <c r="S787" s="361"/>
      <c r="T787" s="360" t="s">
        <v>132</v>
      </c>
    </row>
    <row r="788" ht="34.5">
      <c r="A788" s="360" t="s">
        <v>860</v>
      </c>
      <c r="B788" s="360" t="s">
        <v>861</v>
      </c>
      <c r="C788" s="360" t="s">
        <v>394</v>
      </c>
      <c r="D788" s="360" t="s">
        <v>128</v>
      </c>
      <c r="E788" s="360" t="s">
        <v>360</v>
      </c>
      <c r="F788" s="361" t="s">
        <v>361</v>
      </c>
      <c r="G788" s="360" t="s">
        <v>319</v>
      </c>
      <c r="H788" s="361"/>
      <c r="I788" s="361"/>
      <c r="J788" s="361" t="s">
        <v>955</v>
      </c>
      <c r="K788" s="363"/>
      <c r="L788" s="360"/>
      <c r="M788" s="360"/>
      <c r="N788" s="361"/>
      <c r="O788" s="361"/>
      <c r="P788" s="361"/>
      <c r="Q788" s="361"/>
      <c r="R788" s="362"/>
      <c r="S788" s="361"/>
      <c r="T788" s="360" t="s">
        <v>132</v>
      </c>
    </row>
    <row r="789" ht="34.5">
      <c r="A789" s="360" t="s">
        <v>860</v>
      </c>
      <c r="B789" s="360" t="s">
        <v>861</v>
      </c>
      <c r="C789" s="360" t="s">
        <v>394</v>
      </c>
      <c r="D789" s="360" t="s">
        <v>128</v>
      </c>
      <c r="E789" s="360" t="s">
        <v>360</v>
      </c>
      <c r="F789" s="361" t="s">
        <v>361</v>
      </c>
      <c r="G789" s="360" t="s">
        <v>319</v>
      </c>
      <c r="H789" s="361"/>
      <c r="I789" s="361"/>
      <c r="J789" s="361" t="s">
        <v>387</v>
      </c>
      <c r="K789" s="363"/>
      <c r="L789" s="360"/>
      <c r="M789" s="360"/>
      <c r="N789" s="361"/>
      <c r="O789" s="361"/>
      <c r="P789" s="361"/>
      <c r="Q789" s="361"/>
      <c r="R789" s="362"/>
      <c r="S789" s="361"/>
      <c r="T789" s="360" t="s">
        <v>132</v>
      </c>
    </row>
    <row r="790" ht="34.5">
      <c r="A790" s="360" t="s">
        <v>860</v>
      </c>
      <c r="B790" s="360" t="s">
        <v>861</v>
      </c>
      <c r="C790" s="360" t="s">
        <v>394</v>
      </c>
      <c r="D790" s="360" t="s">
        <v>128</v>
      </c>
      <c r="E790" s="360" t="s">
        <v>360</v>
      </c>
      <c r="F790" s="361" t="s">
        <v>361</v>
      </c>
      <c r="G790" s="360" t="s">
        <v>319</v>
      </c>
      <c r="H790" s="361"/>
      <c r="I790" s="361"/>
      <c r="J790" s="361" t="s">
        <v>388</v>
      </c>
      <c r="K790" s="363"/>
      <c r="L790" s="360"/>
      <c r="M790" s="360"/>
      <c r="N790" s="361"/>
      <c r="O790" s="361"/>
      <c r="P790" s="361"/>
      <c r="Q790" s="361"/>
      <c r="R790" s="362"/>
      <c r="S790" s="361"/>
      <c r="T790" s="360" t="s">
        <v>132</v>
      </c>
    </row>
    <row r="791" ht="34.5">
      <c r="A791" s="360" t="s">
        <v>860</v>
      </c>
      <c r="B791" s="360" t="s">
        <v>861</v>
      </c>
      <c r="C791" s="360" t="s">
        <v>394</v>
      </c>
      <c r="D791" s="360" t="s">
        <v>128</v>
      </c>
      <c r="E791" s="360" t="s">
        <v>360</v>
      </c>
      <c r="F791" s="361" t="s">
        <v>361</v>
      </c>
      <c r="G791" s="360" t="s">
        <v>319</v>
      </c>
      <c r="H791" s="361"/>
      <c r="I791" s="361"/>
      <c r="J791" s="361" t="s">
        <v>389</v>
      </c>
      <c r="K791" s="363"/>
      <c r="L791" s="360"/>
      <c r="M791" s="360"/>
      <c r="N791" s="361"/>
      <c r="O791" s="361"/>
      <c r="P791" s="361"/>
      <c r="Q791" s="361"/>
      <c r="R791" s="362"/>
      <c r="S791" s="361"/>
      <c r="T791" s="360" t="s">
        <v>132</v>
      </c>
    </row>
    <row r="792" ht="34.5">
      <c r="A792" s="360" t="s">
        <v>860</v>
      </c>
      <c r="B792" s="360" t="s">
        <v>861</v>
      </c>
      <c r="C792" s="360" t="s">
        <v>404</v>
      </c>
      <c r="D792" s="360" t="s">
        <v>128</v>
      </c>
      <c r="E792" s="360" t="s">
        <v>360</v>
      </c>
      <c r="F792" s="361" t="s">
        <v>361</v>
      </c>
      <c r="G792" s="360" t="s">
        <v>319</v>
      </c>
      <c r="H792" s="361"/>
      <c r="I792" s="361"/>
      <c r="J792" s="361" t="s">
        <v>390</v>
      </c>
      <c r="K792" s="363"/>
      <c r="L792" s="360"/>
      <c r="M792" s="360"/>
      <c r="N792" s="361"/>
      <c r="O792" s="361"/>
      <c r="P792" s="361"/>
      <c r="Q792" s="361"/>
      <c r="R792" s="362"/>
      <c r="S792" s="361"/>
      <c r="T792" s="360" t="s">
        <v>132</v>
      </c>
    </row>
    <row r="793" ht="34.5">
      <c r="A793" s="360" t="s">
        <v>860</v>
      </c>
      <c r="B793" s="360" t="s">
        <v>861</v>
      </c>
      <c r="C793" s="360" t="s">
        <v>404</v>
      </c>
      <c r="D793" s="360" t="s">
        <v>128</v>
      </c>
      <c r="E793" s="360" t="s">
        <v>360</v>
      </c>
      <c r="F793" s="361" t="s">
        <v>361</v>
      </c>
      <c r="G793" s="360" t="s">
        <v>319</v>
      </c>
      <c r="H793" s="361"/>
      <c r="I793" s="361"/>
      <c r="J793" s="361" t="s">
        <v>391</v>
      </c>
      <c r="K793" s="363"/>
      <c r="L793" s="360"/>
      <c r="M793" s="360"/>
      <c r="N793" s="361"/>
      <c r="O793" s="361"/>
      <c r="P793" s="361"/>
      <c r="Q793" s="361"/>
      <c r="R793" s="362"/>
      <c r="S793" s="361"/>
      <c r="T793" s="360" t="s">
        <v>132</v>
      </c>
    </row>
    <row r="794" ht="34.5">
      <c r="A794" s="360" t="s">
        <v>860</v>
      </c>
      <c r="B794" s="360" t="s">
        <v>861</v>
      </c>
      <c r="C794" s="360" t="s">
        <v>404</v>
      </c>
      <c r="D794" s="360" t="s">
        <v>128</v>
      </c>
      <c r="E794" s="360" t="s">
        <v>360</v>
      </c>
      <c r="F794" s="361" t="s">
        <v>361</v>
      </c>
      <c r="G794" s="360" t="s">
        <v>319</v>
      </c>
      <c r="H794" s="361"/>
      <c r="I794" s="361"/>
      <c r="J794" s="361" t="s">
        <v>392</v>
      </c>
      <c r="K794" s="363"/>
      <c r="L794" s="360"/>
      <c r="M794" s="360"/>
      <c r="N794" s="361"/>
      <c r="O794" s="361"/>
      <c r="P794" s="361"/>
      <c r="Q794" s="361"/>
      <c r="R794" s="362"/>
      <c r="S794" s="361"/>
      <c r="T794" s="360" t="s">
        <v>132</v>
      </c>
    </row>
    <row r="795" ht="34.5">
      <c r="A795" s="360" t="s">
        <v>860</v>
      </c>
      <c r="B795" s="360" t="s">
        <v>861</v>
      </c>
      <c r="C795" s="360" t="s">
        <v>404</v>
      </c>
      <c r="D795" s="360" t="s">
        <v>128</v>
      </c>
      <c r="E795" s="360" t="s">
        <v>360</v>
      </c>
      <c r="F795" s="361" t="s">
        <v>361</v>
      </c>
      <c r="G795" s="360" t="s">
        <v>319</v>
      </c>
      <c r="H795" s="361"/>
      <c r="I795" s="361"/>
      <c r="J795" s="361" t="s">
        <v>395</v>
      </c>
      <c r="K795" s="363"/>
      <c r="L795" s="360"/>
      <c r="M795" s="360"/>
      <c r="N795" s="361"/>
      <c r="O795" s="361"/>
      <c r="P795" s="361"/>
      <c r="Q795" s="361"/>
      <c r="R795" s="362"/>
      <c r="S795" s="361"/>
      <c r="T795" s="360" t="s">
        <v>132</v>
      </c>
    </row>
    <row r="796" ht="34.5">
      <c r="A796" s="360" t="s">
        <v>860</v>
      </c>
      <c r="B796" s="360" t="s">
        <v>861</v>
      </c>
      <c r="C796" s="360" t="s">
        <v>404</v>
      </c>
      <c r="D796" s="360" t="s">
        <v>128</v>
      </c>
      <c r="E796" s="360" t="s">
        <v>360</v>
      </c>
      <c r="F796" s="361" t="s">
        <v>361</v>
      </c>
      <c r="G796" s="360" t="s">
        <v>319</v>
      </c>
      <c r="H796" s="361"/>
      <c r="I796" s="361"/>
      <c r="J796" s="361" t="s">
        <v>396</v>
      </c>
      <c r="K796" s="363"/>
      <c r="L796" s="360"/>
      <c r="M796" s="360"/>
      <c r="N796" s="361"/>
      <c r="O796" s="361"/>
      <c r="P796" s="361"/>
      <c r="Q796" s="361"/>
      <c r="R796" s="362"/>
      <c r="S796" s="361"/>
      <c r="T796" s="360" t="s">
        <v>132</v>
      </c>
    </row>
    <row r="797" ht="34.5">
      <c r="A797" s="360" t="s">
        <v>860</v>
      </c>
      <c r="B797" s="360" t="s">
        <v>861</v>
      </c>
      <c r="C797" s="360" t="s">
        <v>404</v>
      </c>
      <c r="D797" s="360" t="s">
        <v>128</v>
      </c>
      <c r="E797" s="360" t="s">
        <v>360</v>
      </c>
      <c r="F797" s="361" t="s">
        <v>361</v>
      </c>
      <c r="G797" s="360" t="s">
        <v>319</v>
      </c>
      <c r="H797" s="361"/>
      <c r="I797" s="361"/>
      <c r="J797" s="361" t="s">
        <v>397</v>
      </c>
      <c r="K797" s="363"/>
      <c r="L797" s="360"/>
      <c r="M797" s="360"/>
      <c r="N797" s="361"/>
      <c r="O797" s="361"/>
      <c r="P797" s="361"/>
      <c r="Q797" s="361"/>
      <c r="R797" s="362"/>
      <c r="S797" s="361"/>
      <c r="T797" s="360" t="s">
        <v>132</v>
      </c>
    </row>
    <row r="798" ht="34.5">
      <c r="A798" s="360" t="s">
        <v>860</v>
      </c>
      <c r="B798" s="360" t="s">
        <v>861</v>
      </c>
      <c r="C798" s="360" t="s">
        <v>404</v>
      </c>
      <c r="D798" s="360" t="s">
        <v>128</v>
      </c>
      <c r="E798" s="360" t="s">
        <v>360</v>
      </c>
      <c r="F798" s="361" t="s">
        <v>361</v>
      </c>
      <c r="G798" s="360" t="s">
        <v>319</v>
      </c>
      <c r="H798" s="361"/>
      <c r="I798" s="361"/>
      <c r="J798" s="361" t="s">
        <v>398</v>
      </c>
      <c r="K798" s="363"/>
      <c r="L798" s="360"/>
      <c r="M798" s="360"/>
      <c r="N798" s="361"/>
      <c r="O798" s="361"/>
      <c r="P798" s="361"/>
      <c r="Q798" s="361"/>
      <c r="R798" s="362"/>
      <c r="S798" s="361"/>
      <c r="T798" s="360" t="s">
        <v>132</v>
      </c>
    </row>
    <row r="799" ht="34.5">
      <c r="A799" s="360" t="s">
        <v>860</v>
      </c>
      <c r="B799" s="360" t="s">
        <v>861</v>
      </c>
      <c r="C799" s="360" t="s">
        <v>404</v>
      </c>
      <c r="D799" s="360" t="s">
        <v>128</v>
      </c>
      <c r="E799" s="360" t="s">
        <v>360</v>
      </c>
      <c r="F799" s="361" t="s">
        <v>361</v>
      </c>
      <c r="G799" s="360" t="s">
        <v>319</v>
      </c>
      <c r="H799" s="361"/>
      <c r="I799" s="361"/>
      <c r="J799" s="361" t="s">
        <v>399</v>
      </c>
      <c r="K799" s="363"/>
      <c r="L799" s="360"/>
      <c r="M799" s="360"/>
      <c r="N799" s="361"/>
      <c r="O799" s="361"/>
      <c r="P799" s="361"/>
      <c r="Q799" s="361"/>
      <c r="R799" s="362"/>
      <c r="S799" s="361"/>
      <c r="T799" s="360" t="s">
        <v>132</v>
      </c>
    </row>
    <row r="800" ht="34.5">
      <c r="A800" s="360" t="s">
        <v>860</v>
      </c>
      <c r="B800" s="360" t="s">
        <v>861</v>
      </c>
      <c r="C800" s="360" t="s">
        <v>404</v>
      </c>
      <c r="D800" s="360" t="s">
        <v>128</v>
      </c>
      <c r="E800" s="360" t="s">
        <v>360</v>
      </c>
      <c r="F800" s="361" t="s">
        <v>361</v>
      </c>
      <c r="G800" s="360" t="s">
        <v>319</v>
      </c>
      <c r="H800" s="361"/>
      <c r="I800" s="361"/>
      <c r="J800" s="361" t="s">
        <v>400</v>
      </c>
      <c r="K800" s="363"/>
      <c r="L800" s="360"/>
      <c r="M800" s="360"/>
      <c r="N800" s="361"/>
      <c r="O800" s="361"/>
      <c r="P800" s="361"/>
      <c r="Q800" s="361"/>
      <c r="R800" s="362"/>
      <c r="S800" s="361"/>
      <c r="T800" s="360" t="s">
        <v>132</v>
      </c>
    </row>
    <row r="801" ht="34.5">
      <c r="A801" s="360" t="s">
        <v>860</v>
      </c>
      <c r="B801" s="360" t="s">
        <v>861</v>
      </c>
      <c r="C801" s="360" t="s">
        <v>417</v>
      </c>
      <c r="D801" s="360" t="s">
        <v>128</v>
      </c>
      <c r="E801" s="360" t="s">
        <v>360</v>
      </c>
      <c r="F801" s="361" t="s">
        <v>361</v>
      </c>
      <c r="G801" s="360" t="s">
        <v>319</v>
      </c>
      <c r="H801" s="361"/>
      <c r="I801" s="361"/>
      <c r="J801" s="361" t="s">
        <v>401</v>
      </c>
      <c r="K801" s="363"/>
      <c r="L801" s="360"/>
      <c r="M801" s="360"/>
      <c r="N801" s="361"/>
      <c r="O801" s="361"/>
      <c r="P801" s="361"/>
      <c r="Q801" s="361"/>
      <c r="R801" s="362"/>
      <c r="S801" s="361"/>
      <c r="T801" s="360" t="s">
        <v>132</v>
      </c>
    </row>
    <row r="802" ht="34.5">
      <c r="A802" s="360" t="s">
        <v>860</v>
      </c>
      <c r="B802" s="360" t="s">
        <v>861</v>
      </c>
      <c r="C802" s="360" t="s">
        <v>417</v>
      </c>
      <c r="D802" s="360" t="s">
        <v>128</v>
      </c>
      <c r="E802" s="360" t="s">
        <v>360</v>
      </c>
      <c r="F802" s="361" t="s">
        <v>361</v>
      </c>
      <c r="G802" s="360" t="s">
        <v>319</v>
      </c>
      <c r="H802" s="361"/>
      <c r="I802" s="361"/>
      <c r="J802" s="361" t="s">
        <v>402</v>
      </c>
      <c r="K802" s="363"/>
      <c r="L802" s="360"/>
      <c r="M802" s="360"/>
      <c r="N802" s="361"/>
      <c r="O802" s="361"/>
      <c r="P802" s="361"/>
      <c r="Q802" s="361"/>
      <c r="R802" s="362"/>
      <c r="S802" s="361"/>
      <c r="T802" s="360" t="s">
        <v>132</v>
      </c>
    </row>
    <row r="803" ht="34.5">
      <c r="A803" s="360" t="s">
        <v>860</v>
      </c>
      <c r="B803" s="360" t="s">
        <v>861</v>
      </c>
      <c r="C803" s="360" t="s">
        <v>417</v>
      </c>
      <c r="D803" s="360" t="s">
        <v>128</v>
      </c>
      <c r="E803" s="360" t="s">
        <v>360</v>
      </c>
      <c r="F803" s="361" t="s">
        <v>361</v>
      </c>
      <c r="G803" s="360" t="s">
        <v>319</v>
      </c>
      <c r="H803" s="361"/>
      <c r="I803" s="361"/>
      <c r="J803" s="361" t="s">
        <v>405</v>
      </c>
      <c r="K803" s="363"/>
      <c r="L803" s="360"/>
      <c r="M803" s="360"/>
      <c r="N803" s="361"/>
      <c r="O803" s="361"/>
      <c r="P803" s="361"/>
      <c r="Q803" s="361"/>
      <c r="R803" s="362"/>
      <c r="S803" s="361"/>
      <c r="T803" s="360" t="s">
        <v>132</v>
      </c>
    </row>
    <row r="804" ht="34.5">
      <c r="A804" s="360" t="s">
        <v>860</v>
      </c>
      <c r="B804" s="360" t="s">
        <v>861</v>
      </c>
      <c r="C804" s="360" t="s">
        <v>417</v>
      </c>
      <c r="D804" s="360" t="s">
        <v>128</v>
      </c>
      <c r="E804" s="360" t="s">
        <v>360</v>
      </c>
      <c r="F804" s="361" t="s">
        <v>361</v>
      </c>
      <c r="G804" s="360" t="s">
        <v>319</v>
      </c>
      <c r="H804" s="361"/>
      <c r="I804" s="361"/>
      <c r="J804" s="361" t="s">
        <v>956</v>
      </c>
      <c r="K804" s="363"/>
      <c r="L804" s="360"/>
      <c r="M804" s="360"/>
      <c r="N804" s="361"/>
      <c r="O804" s="361"/>
      <c r="P804" s="361"/>
      <c r="Q804" s="361"/>
      <c r="R804" s="362"/>
      <c r="S804" s="361"/>
      <c r="T804" s="360" t="s">
        <v>132</v>
      </c>
    </row>
    <row r="805" ht="34.5">
      <c r="A805" s="360" t="s">
        <v>860</v>
      </c>
      <c r="B805" s="360" t="s">
        <v>861</v>
      </c>
      <c r="C805" s="360" t="s">
        <v>417</v>
      </c>
      <c r="D805" s="360" t="s">
        <v>128</v>
      </c>
      <c r="E805" s="360" t="s">
        <v>360</v>
      </c>
      <c r="F805" s="361" t="s">
        <v>361</v>
      </c>
      <c r="G805" s="360" t="s">
        <v>319</v>
      </c>
      <c r="H805" s="361"/>
      <c r="I805" s="361"/>
      <c r="J805" s="361" t="s">
        <v>407</v>
      </c>
      <c r="K805" s="363"/>
      <c r="L805" s="360"/>
      <c r="M805" s="360"/>
      <c r="N805" s="361"/>
      <c r="O805" s="361"/>
      <c r="P805" s="361"/>
      <c r="Q805" s="361"/>
      <c r="R805" s="362"/>
      <c r="S805" s="361"/>
      <c r="T805" s="360" t="s">
        <v>132</v>
      </c>
    </row>
    <row r="806" ht="34.5">
      <c r="A806" s="360" t="s">
        <v>860</v>
      </c>
      <c r="B806" s="360" t="s">
        <v>861</v>
      </c>
      <c r="C806" s="360" t="s">
        <v>417</v>
      </c>
      <c r="D806" s="360" t="s">
        <v>128</v>
      </c>
      <c r="E806" s="360" t="s">
        <v>360</v>
      </c>
      <c r="F806" s="361" t="s">
        <v>361</v>
      </c>
      <c r="G806" s="360" t="s">
        <v>319</v>
      </c>
      <c r="H806" s="361"/>
      <c r="I806" s="361"/>
      <c r="J806" s="361" t="s">
        <v>408</v>
      </c>
      <c r="K806" s="363"/>
      <c r="L806" s="360"/>
      <c r="M806" s="360"/>
      <c r="N806" s="361"/>
      <c r="O806" s="361"/>
      <c r="P806" s="361"/>
      <c r="Q806" s="361"/>
      <c r="R806" s="362"/>
      <c r="S806" s="361"/>
      <c r="T806" s="360" t="s">
        <v>132</v>
      </c>
    </row>
    <row r="807" ht="34.5">
      <c r="A807" s="360" t="s">
        <v>860</v>
      </c>
      <c r="B807" s="360" t="s">
        <v>861</v>
      </c>
      <c r="C807" s="360" t="s">
        <v>417</v>
      </c>
      <c r="D807" s="360" t="s">
        <v>128</v>
      </c>
      <c r="E807" s="360" t="s">
        <v>360</v>
      </c>
      <c r="F807" s="361" t="s">
        <v>361</v>
      </c>
      <c r="G807" s="360" t="s">
        <v>319</v>
      </c>
      <c r="H807" s="361"/>
      <c r="I807" s="361"/>
      <c r="J807" s="361" t="s">
        <v>957</v>
      </c>
      <c r="K807" s="363"/>
      <c r="L807" s="360"/>
      <c r="M807" s="360"/>
      <c r="N807" s="361"/>
      <c r="O807" s="361"/>
      <c r="P807" s="361"/>
      <c r="Q807" s="361"/>
      <c r="R807" s="362"/>
      <c r="S807" s="361"/>
      <c r="T807" s="360" t="s">
        <v>132</v>
      </c>
    </row>
    <row r="808" ht="34.5">
      <c r="A808" s="360" t="s">
        <v>860</v>
      </c>
      <c r="B808" s="360" t="s">
        <v>861</v>
      </c>
      <c r="C808" s="360" t="s">
        <v>417</v>
      </c>
      <c r="D808" s="360" t="s">
        <v>128</v>
      </c>
      <c r="E808" s="360" t="s">
        <v>360</v>
      </c>
      <c r="F808" s="361" t="s">
        <v>361</v>
      </c>
      <c r="G808" s="360" t="s">
        <v>319</v>
      </c>
      <c r="H808" s="361"/>
      <c r="I808" s="361"/>
      <c r="J808" s="361" t="s">
        <v>958</v>
      </c>
      <c r="K808" s="363"/>
      <c r="L808" s="360"/>
      <c r="M808" s="360"/>
      <c r="N808" s="361"/>
      <c r="O808" s="361"/>
      <c r="P808" s="361"/>
      <c r="Q808" s="361"/>
      <c r="R808" s="362"/>
      <c r="S808" s="361"/>
      <c r="T808" s="360" t="s">
        <v>132</v>
      </c>
    </row>
    <row r="809" ht="34.5">
      <c r="A809" s="360" t="s">
        <v>860</v>
      </c>
      <c r="B809" s="360" t="s">
        <v>861</v>
      </c>
      <c r="C809" s="360" t="s">
        <v>417</v>
      </c>
      <c r="D809" s="360" t="s">
        <v>128</v>
      </c>
      <c r="E809" s="360" t="s">
        <v>360</v>
      </c>
      <c r="F809" s="361" t="s">
        <v>361</v>
      </c>
      <c r="G809" s="360" t="s">
        <v>319</v>
      </c>
      <c r="H809" s="361"/>
      <c r="I809" s="361"/>
      <c r="J809" s="361" t="s">
        <v>959</v>
      </c>
      <c r="K809" s="363"/>
      <c r="L809" s="360"/>
      <c r="M809" s="360"/>
      <c r="N809" s="361"/>
      <c r="O809" s="361"/>
      <c r="P809" s="361"/>
      <c r="Q809" s="361"/>
      <c r="R809" s="362"/>
      <c r="S809" s="361"/>
      <c r="T809" s="360" t="s">
        <v>132</v>
      </c>
    </row>
    <row r="810" ht="34.5">
      <c r="A810" s="360" t="s">
        <v>860</v>
      </c>
      <c r="B810" s="360" t="s">
        <v>861</v>
      </c>
      <c r="C810" s="360" t="s">
        <v>417</v>
      </c>
      <c r="D810" s="360" t="s">
        <v>128</v>
      </c>
      <c r="E810" s="360" t="s">
        <v>360</v>
      </c>
      <c r="F810" s="361" t="s">
        <v>361</v>
      </c>
      <c r="G810" s="360" t="s">
        <v>319</v>
      </c>
      <c r="H810" s="361"/>
      <c r="I810" s="361"/>
      <c r="J810" s="361" t="s">
        <v>411</v>
      </c>
      <c r="K810" s="363"/>
      <c r="L810" s="360"/>
      <c r="M810" s="360"/>
      <c r="N810" s="361"/>
      <c r="O810" s="361"/>
      <c r="P810" s="361"/>
      <c r="Q810" s="361"/>
      <c r="R810" s="362"/>
      <c r="S810" s="361"/>
      <c r="T810" s="360" t="s">
        <v>132</v>
      </c>
    </row>
    <row r="811" ht="34.5">
      <c r="A811" s="360" t="s">
        <v>860</v>
      </c>
      <c r="B811" s="360" t="s">
        <v>861</v>
      </c>
      <c r="C811" s="360" t="s">
        <v>417</v>
      </c>
      <c r="D811" s="360" t="s">
        <v>128</v>
      </c>
      <c r="E811" s="360" t="s">
        <v>360</v>
      </c>
      <c r="F811" s="361" t="s">
        <v>361</v>
      </c>
      <c r="G811" s="360" t="s">
        <v>319</v>
      </c>
      <c r="H811" s="361"/>
      <c r="I811" s="361"/>
      <c r="J811" s="361" t="s">
        <v>412</v>
      </c>
      <c r="K811" s="363"/>
      <c r="L811" s="360"/>
      <c r="M811" s="360"/>
      <c r="N811" s="361"/>
      <c r="O811" s="361"/>
      <c r="P811" s="361"/>
      <c r="Q811" s="361"/>
      <c r="R811" s="362"/>
      <c r="S811" s="361"/>
      <c r="T811" s="360" t="s">
        <v>132</v>
      </c>
    </row>
    <row r="812" ht="34.5">
      <c r="A812" s="360" t="s">
        <v>860</v>
      </c>
      <c r="B812" s="360" t="s">
        <v>861</v>
      </c>
      <c r="C812" s="360" t="s">
        <v>417</v>
      </c>
      <c r="D812" s="360" t="s">
        <v>128</v>
      </c>
      <c r="E812" s="360" t="s">
        <v>360</v>
      </c>
      <c r="F812" s="361" t="s">
        <v>361</v>
      </c>
      <c r="G812" s="360" t="s">
        <v>319</v>
      </c>
      <c r="H812" s="361"/>
      <c r="I812" s="361"/>
      <c r="J812" s="361" t="s">
        <v>413</v>
      </c>
      <c r="K812" s="363"/>
      <c r="L812" s="360"/>
      <c r="M812" s="360"/>
      <c r="N812" s="361"/>
      <c r="O812" s="361"/>
      <c r="P812" s="361"/>
      <c r="Q812" s="361"/>
      <c r="R812" s="362"/>
      <c r="S812" s="361"/>
      <c r="T812" s="360" t="s">
        <v>132</v>
      </c>
    </row>
    <row r="813" ht="34.5">
      <c r="A813" s="360" t="s">
        <v>860</v>
      </c>
      <c r="B813" s="360" t="s">
        <v>861</v>
      </c>
      <c r="C813" s="360" t="s">
        <v>417</v>
      </c>
      <c r="D813" s="360" t="s">
        <v>128</v>
      </c>
      <c r="E813" s="360" t="s">
        <v>360</v>
      </c>
      <c r="F813" s="361" t="s">
        <v>361</v>
      </c>
      <c r="G813" s="360" t="s">
        <v>319</v>
      </c>
      <c r="H813" s="361"/>
      <c r="I813" s="361"/>
      <c r="J813" s="361" t="s">
        <v>414</v>
      </c>
      <c r="K813" s="363"/>
      <c r="L813" s="360"/>
      <c r="M813" s="360"/>
      <c r="N813" s="361"/>
      <c r="O813" s="361"/>
      <c r="P813" s="361"/>
      <c r="Q813" s="361"/>
      <c r="R813" s="362"/>
      <c r="S813" s="361"/>
      <c r="T813" s="360" t="s">
        <v>132</v>
      </c>
    </row>
    <row r="814" ht="34.5">
      <c r="A814" s="360" t="s">
        <v>860</v>
      </c>
      <c r="B814" s="360" t="s">
        <v>861</v>
      </c>
      <c r="C814" s="360" t="s">
        <v>417</v>
      </c>
      <c r="D814" s="360" t="s">
        <v>128</v>
      </c>
      <c r="E814" s="360" t="s">
        <v>360</v>
      </c>
      <c r="F814" s="361" t="s">
        <v>361</v>
      </c>
      <c r="G814" s="360" t="s">
        <v>319</v>
      </c>
      <c r="H814" s="361"/>
      <c r="I814" s="361"/>
      <c r="J814" s="361" t="s">
        <v>415</v>
      </c>
      <c r="K814" s="363"/>
      <c r="L814" s="360"/>
      <c r="M814" s="360"/>
      <c r="N814" s="361"/>
      <c r="O814" s="361"/>
      <c r="P814" s="361"/>
      <c r="Q814" s="361"/>
      <c r="R814" s="362"/>
      <c r="S814" s="361"/>
      <c r="T814" s="360" t="s">
        <v>132</v>
      </c>
    </row>
    <row r="815" ht="34.5">
      <c r="A815" s="360" t="s">
        <v>860</v>
      </c>
      <c r="B815" s="360" t="s">
        <v>861</v>
      </c>
      <c r="C815" s="360" t="s">
        <v>428</v>
      </c>
      <c r="D815" s="360" t="s">
        <v>128</v>
      </c>
      <c r="E815" s="360" t="s">
        <v>360</v>
      </c>
      <c r="F815" s="361" t="s">
        <v>361</v>
      </c>
      <c r="G815" s="360" t="s">
        <v>319</v>
      </c>
      <c r="H815" s="361"/>
      <c r="I815" s="361"/>
      <c r="J815" s="361" t="s">
        <v>418</v>
      </c>
      <c r="K815" s="363"/>
      <c r="L815" s="360"/>
      <c r="M815" s="360"/>
      <c r="N815" s="361"/>
      <c r="O815" s="361"/>
      <c r="P815" s="361"/>
      <c r="Q815" s="361"/>
      <c r="R815" s="362"/>
      <c r="S815" s="361"/>
      <c r="T815" s="360" t="s">
        <v>132</v>
      </c>
    </row>
    <row r="816" ht="34.5">
      <c r="A816" s="360" t="s">
        <v>860</v>
      </c>
      <c r="B816" s="360" t="s">
        <v>861</v>
      </c>
      <c r="C816" s="360" t="s">
        <v>428</v>
      </c>
      <c r="D816" s="360" t="s">
        <v>128</v>
      </c>
      <c r="E816" s="360" t="s">
        <v>360</v>
      </c>
      <c r="F816" s="361" t="s">
        <v>361</v>
      </c>
      <c r="G816" s="360" t="s">
        <v>319</v>
      </c>
      <c r="H816" s="361"/>
      <c r="I816" s="361"/>
      <c r="J816" s="361" t="s">
        <v>419</v>
      </c>
      <c r="K816" s="363"/>
      <c r="L816" s="360"/>
      <c r="M816" s="360"/>
      <c r="N816" s="361"/>
      <c r="O816" s="361"/>
      <c r="P816" s="361"/>
      <c r="Q816" s="361"/>
      <c r="R816" s="362"/>
      <c r="S816" s="361"/>
      <c r="T816" s="360" t="s">
        <v>132</v>
      </c>
    </row>
    <row r="817" ht="34.5">
      <c r="A817" s="360" t="s">
        <v>860</v>
      </c>
      <c r="B817" s="360" t="s">
        <v>861</v>
      </c>
      <c r="C817" s="360" t="s">
        <v>428</v>
      </c>
      <c r="D817" s="360" t="s">
        <v>128</v>
      </c>
      <c r="E817" s="360" t="s">
        <v>360</v>
      </c>
      <c r="F817" s="361" t="s">
        <v>361</v>
      </c>
      <c r="G817" s="360" t="s">
        <v>319</v>
      </c>
      <c r="H817" s="361"/>
      <c r="I817" s="361"/>
      <c r="J817" s="361" t="s">
        <v>420</v>
      </c>
      <c r="K817" s="363"/>
      <c r="L817" s="360"/>
      <c r="M817" s="360"/>
      <c r="N817" s="361"/>
      <c r="O817" s="361"/>
      <c r="P817" s="361"/>
      <c r="Q817" s="361"/>
      <c r="R817" s="362"/>
      <c r="S817" s="361"/>
      <c r="T817" s="360" t="s">
        <v>132</v>
      </c>
    </row>
    <row r="818" ht="34.5">
      <c r="A818" s="360" t="s">
        <v>860</v>
      </c>
      <c r="B818" s="360" t="s">
        <v>861</v>
      </c>
      <c r="C818" s="360" t="s">
        <v>428</v>
      </c>
      <c r="D818" s="360" t="s">
        <v>128</v>
      </c>
      <c r="E818" s="360" t="s">
        <v>360</v>
      </c>
      <c r="F818" s="361" t="s">
        <v>361</v>
      </c>
      <c r="G818" s="360" t="s">
        <v>319</v>
      </c>
      <c r="H818" s="361"/>
      <c r="I818" s="361"/>
      <c r="J818" s="361" t="s">
        <v>421</v>
      </c>
      <c r="K818" s="363"/>
      <c r="L818" s="360"/>
      <c r="M818" s="360"/>
      <c r="N818" s="361"/>
      <c r="O818" s="361"/>
      <c r="P818" s="361"/>
      <c r="Q818" s="361"/>
      <c r="R818" s="362"/>
      <c r="S818" s="361"/>
      <c r="T818" s="360" t="s">
        <v>132</v>
      </c>
    </row>
    <row r="819" ht="34.5">
      <c r="A819" s="360" t="s">
        <v>860</v>
      </c>
      <c r="B819" s="360" t="s">
        <v>861</v>
      </c>
      <c r="C819" s="360" t="s">
        <v>428</v>
      </c>
      <c r="D819" s="360" t="s">
        <v>128</v>
      </c>
      <c r="E819" s="360" t="s">
        <v>360</v>
      </c>
      <c r="F819" s="361" t="s">
        <v>361</v>
      </c>
      <c r="G819" s="360" t="s">
        <v>319</v>
      </c>
      <c r="H819" s="361"/>
      <c r="I819" s="361"/>
      <c r="J819" s="361" t="s">
        <v>423</v>
      </c>
      <c r="K819" s="363"/>
      <c r="L819" s="360"/>
      <c r="M819" s="360"/>
      <c r="N819" s="361"/>
      <c r="O819" s="361"/>
      <c r="P819" s="361"/>
      <c r="Q819" s="361"/>
      <c r="R819" s="362"/>
      <c r="S819" s="361"/>
      <c r="T819" s="360" t="s">
        <v>132</v>
      </c>
    </row>
    <row r="820" ht="34.5">
      <c r="A820" s="360" t="s">
        <v>860</v>
      </c>
      <c r="B820" s="360" t="s">
        <v>861</v>
      </c>
      <c r="C820" s="360" t="s">
        <v>428</v>
      </c>
      <c r="D820" s="360" t="s">
        <v>128</v>
      </c>
      <c r="E820" s="360" t="s">
        <v>360</v>
      </c>
      <c r="F820" s="361" t="s">
        <v>361</v>
      </c>
      <c r="G820" s="360" t="s">
        <v>319</v>
      </c>
      <c r="H820" s="361"/>
      <c r="I820" s="361"/>
      <c r="J820" s="361" t="s">
        <v>424</v>
      </c>
      <c r="K820" s="363"/>
      <c r="L820" s="360"/>
      <c r="M820" s="360"/>
      <c r="N820" s="361"/>
      <c r="O820" s="361"/>
      <c r="P820" s="361"/>
      <c r="Q820" s="361"/>
      <c r="R820" s="362"/>
      <c r="S820" s="361"/>
      <c r="T820" s="360" t="s">
        <v>132</v>
      </c>
    </row>
    <row r="821" ht="34.5">
      <c r="A821" s="360" t="s">
        <v>860</v>
      </c>
      <c r="B821" s="360" t="s">
        <v>861</v>
      </c>
      <c r="C821" s="360" t="s">
        <v>428</v>
      </c>
      <c r="D821" s="360" t="s">
        <v>128</v>
      </c>
      <c r="E821" s="360" t="s">
        <v>360</v>
      </c>
      <c r="F821" s="361" t="s">
        <v>361</v>
      </c>
      <c r="G821" s="360" t="s">
        <v>319</v>
      </c>
      <c r="H821" s="361"/>
      <c r="I821" s="361"/>
      <c r="J821" s="361" t="s">
        <v>425</v>
      </c>
      <c r="K821" s="363"/>
      <c r="L821" s="360"/>
      <c r="M821" s="360"/>
      <c r="N821" s="361"/>
      <c r="O821" s="361"/>
      <c r="P821" s="361"/>
      <c r="Q821" s="361"/>
      <c r="R821" s="362"/>
      <c r="S821" s="361"/>
      <c r="T821" s="360" t="s">
        <v>132</v>
      </c>
    </row>
    <row r="822" ht="34.5">
      <c r="A822" s="360" t="s">
        <v>860</v>
      </c>
      <c r="B822" s="360" t="s">
        <v>861</v>
      </c>
      <c r="C822" s="360" t="s">
        <v>428</v>
      </c>
      <c r="D822" s="360" t="s">
        <v>128</v>
      </c>
      <c r="E822" s="360" t="s">
        <v>360</v>
      </c>
      <c r="F822" s="361" t="s">
        <v>361</v>
      </c>
      <c r="G822" s="360" t="s">
        <v>319</v>
      </c>
      <c r="H822" s="361"/>
      <c r="I822" s="361"/>
      <c r="J822" s="361" t="s">
        <v>426</v>
      </c>
      <c r="K822" s="363"/>
      <c r="L822" s="360"/>
      <c r="M822" s="360"/>
      <c r="N822" s="361"/>
      <c r="O822" s="361"/>
      <c r="P822" s="361"/>
      <c r="Q822" s="361"/>
      <c r="R822" s="362"/>
      <c r="S822" s="361"/>
      <c r="T822" s="360" t="s">
        <v>132</v>
      </c>
    </row>
    <row r="823" ht="34.5">
      <c r="A823" s="360" t="s">
        <v>860</v>
      </c>
      <c r="B823" s="360" t="s">
        <v>861</v>
      </c>
      <c r="C823" s="360" t="s">
        <v>428</v>
      </c>
      <c r="D823" s="360" t="s">
        <v>128</v>
      </c>
      <c r="E823" s="360" t="s">
        <v>360</v>
      </c>
      <c r="F823" s="361" t="s">
        <v>361</v>
      </c>
      <c r="G823" s="360" t="s">
        <v>319</v>
      </c>
      <c r="H823" s="361"/>
      <c r="I823" s="361"/>
      <c r="J823" s="361" t="s">
        <v>429</v>
      </c>
      <c r="K823" s="363"/>
      <c r="L823" s="360"/>
      <c r="M823" s="360"/>
      <c r="N823" s="361"/>
      <c r="O823" s="361"/>
      <c r="P823" s="361"/>
      <c r="Q823" s="361"/>
      <c r="R823" s="362"/>
      <c r="S823" s="361"/>
      <c r="T823" s="360" t="s">
        <v>132</v>
      </c>
    </row>
    <row r="824" ht="34.5">
      <c r="A824" s="360" t="s">
        <v>860</v>
      </c>
      <c r="B824" s="360" t="s">
        <v>861</v>
      </c>
      <c r="C824" s="360" t="s">
        <v>439</v>
      </c>
      <c r="D824" s="360" t="s">
        <v>128</v>
      </c>
      <c r="E824" s="360" t="s">
        <v>360</v>
      </c>
      <c r="F824" s="361" t="s">
        <v>361</v>
      </c>
      <c r="G824" s="360" t="s">
        <v>319</v>
      </c>
      <c r="H824" s="361"/>
      <c r="I824" s="361"/>
      <c r="J824" s="361" t="s">
        <v>430</v>
      </c>
      <c r="K824" s="363"/>
      <c r="L824" s="360"/>
      <c r="M824" s="360"/>
      <c r="N824" s="361"/>
      <c r="O824" s="361"/>
      <c r="P824" s="361"/>
      <c r="Q824" s="361"/>
      <c r="R824" s="362"/>
      <c r="S824" s="361"/>
      <c r="T824" s="360" t="s">
        <v>132</v>
      </c>
    </row>
    <row r="825" ht="34.5">
      <c r="A825" s="360" t="s">
        <v>860</v>
      </c>
      <c r="B825" s="360" t="s">
        <v>861</v>
      </c>
      <c r="C825" s="360" t="s">
        <v>439</v>
      </c>
      <c r="D825" s="360" t="s">
        <v>128</v>
      </c>
      <c r="E825" s="360" t="s">
        <v>360</v>
      </c>
      <c r="F825" s="361" t="s">
        <v>361</v>
      </c>
      <c r="G825" s="360" t="s">
        <v>319</v>
      </c>
      <c r="H825" s="361"/>
      <c r="I825" s="361"/>
      <c r="J825" s="361" t="s">
        <v>431</v>
      </c>
      <c r="K825" s="363"/>
      <c r="L825" s="360"/>
      <c r="M825" s="360"/>
      <c r="N825" s="361"/>
      <c r="O825" s="361"/>
      <c r="P825" s="361"/>
      <c r="Q825" s="361"/>
      <c r="R825" s="362"/>
      <c r="S825" s="361"/>
      <c r="T825" s="360" t="s">
        <v>132</v>
      </c>
    </row>
    <row r="826" ht="34.5">
      <c r="A826" s="360" t="s">
        <v>860</v>
      </c>
      <c r="B826" s="360" t="s">
        <v>861</v>
      </c>
      <c r="C826" s="360" t="s">
        <v>439</v>
      </c>
      <c r="D826" s="360" t="s">
        <v>128</v>
      </c>
      <c r="E826" s="360" t="s">
        <v>360</v>
      </c>
      <c r="F826" s="361" t="s">
        <v>361</v>
      </c>
      <c r="G826" s="360" t="s">
        <v>319</v>
      </c>
      <c r="H826" s="361"/>
      <c r="I826" s="361"/>
      <c r="J826" s="361" t="s">
        <v>432</v>
      </c>
      <c r="K826" s="363"/>
      <c r="L826" s="360"/>
      <c r="M826" s="360"/>
      <c r="N826" s="361"/>
      <c r="O826" s="361"/>
      <c r="P826" s="361"/>
      <c r="Q826" s="361"/>
      <c r="R826" s="362"/>
      <c r="S826" s="361"/>
      <c r="T826" s="360" t="s">
        <v>132</v>
      </c>
    </row>
    <row r="827" ht="34.5">
      <c r="A827" s="360" t="s">
        <v>860</v>
      </c>
      <c r="B827" s="360" t="s">
        <v>861</v>
      </c>
      <c r="C827" s="360" t="s">
        <v>439</v>
      </c>
      <c r="D827" s="360" t="s">
        <v>128</v>
      </c>
      <c r="E827" s="360" t="s">
        <v>360</v>
      </c>
      <c r="F827" s="361" t="s">
        <v>361</v>
      </c>
      <c r="G827" s="360" t="s">
        <v>319</v>
      </c>
      <c r="H827" s="361"/>
      <c r="I827" s="361"/>
      <c r="J827" s="361" t="s">
        <v>960</v>
      </c>
      <c r="K827" s="363"/>
      <c r="L827" s="360"/>
      <c r="M827" s="360"/>
      <c r="N827" s="361"/>
      <c r="O827" s="361"/>
      <c r="P827" s="361"/>
      <c r="Q827" s="361"/>
      <c r="R827" s="362"/>
      <c r="S827" s="361"/>
      <c r="T827" s="360" t="s">
        <v>132</v>
      </c>
    </row>
    <row r="828" ht="34.5">
      <c r="A828" s="360" t="s">
        <v>860</v>
      </c>
      <c r="B828" s="360" t="s">
        <v>861</v>
      </c>
      <c r="C828" s="360" t="s">
        <v>439</v>
      </c>
      <c r="D828" s="360" t="s">
        <v>128</v>
      </c>
      <c r="E828" s="360" t="s">
        <v>360</v>
      </c>
      <c r="F828" s="361" t="s">
        <v>361</v>
      </c>
      <c r="G828" s="360" t="s">
        <v>319</v>
      </c>
      <c r="H828" s="361"/>
      <c r="I828" s="361"/>
      <c r="J828" s="361" t="s">
        <v>961</v>
      </c>
      <c r="K828" s="363"/>
      <c r="L828" s="360"/>
      <c r="M828" s="360"/>
      <c r="N828" s="361"/>
      <c r="O828" s="361"/>
      <c r="P828" s="361"/>
      <c r="Q828" s="361"/>
      <c r="R828" s="362"/>
      <c r="S828" s="361"/>
      <c r="T828" s="360" t="s">
        <v>132</v>
      </c>
    </row>
    <row r="829" ht="34.5">
      <c r="A829" s="360" t="s">
        <v>860</v>
      </c>
      <c r="B829" s="360" t="s">
        <v>861</v>
      </c>
      <c r="C829" s="360" t="s">
        <v>439</v>
      </c>
      <c r="D829" s="360" t="s">
        <v>455</v>
      </c>
      <c r="E829" s="360" t="s">
        <v>360</v>
      </c>
      <c r="F829" s="361" t="s">
        <v>361</v>
      </c>
      <c r="G829" s="360" t="s">
        <v>319</v>
      </c>
      <c r="H829" s="361"/>
      <c r="I829" s="361"/>
      <c r="J829" s="361" t="s">
        <v>456</v>
      </c>
      <c r="K829" s="363"/>
      <c r="L829" s="360"/>
      <c r="M829" s="360"/>
      <c r="N829" s="361"/>
      <c r="O829" s="361"/>
      <c r="P829" s="361"/>
      <c r="Q829" s="361"/>
      <c r="R829" s="362"/>
      <c r="S829" s="361"/>
      <c r="T829" s="360" t="s">
        <v>132</v>
      </c>
    </row>
    <row r="830" ht="34.5">
      <c r="A830" s="360" t="s">
        <v>860</v>
      </c>
      <c r="B830" s="360" t="s">
        <v>861</v>
      </c>
      <c r="C830" s="360" t="s">
        <v>439</v>
      </c>
      <c r="D830" s="360" t="s">
        <v>128</v>
      </c>
      <c r="E830" s="360" t="s">
        <v>360</v>
      </c>
      <c r="F830" s="361" t="s">
        <v>361</v>
      </c>
      <c r="G830" s="360" t="s">
        <v>319</v>
      </c>
      <c r="H830" s="361"/>
      <c r="I830" s="361"/>
      <c r="J830" s="361" t="s">
        <v>440</v>
      </c>
      <c r="K830" s="363"/>
      <c r="L830" s="360"/>
      <c r="M830" s="360"/>
      <c r="N830" s="361"/>
      <c r="O830" s="361"/>
      <c r="P830" s="361"/>
      <c r="Q830" s="361"/>
      <c r="R830" s="362"/>
      <c r="S830" s="361"/>
      <c r="T830" s="360" t="s">
        <v>132</v>
      </c>
    </row>
    <row r="831" ht="34.5">
      <c r="A831" s="360" t="s">
        <v>860</v>
      </c>
      <c r="B831" s="360" t="s">
        <v>861</v>
      </c>
      <c r="C831" s="360" t="s">
        <v>439</v>
      </c>
      <c r="D831" s="360" t="s">
        <v>128</v>
      </c>
      <c r="E831" s="360" t="s">
        <v>360</v>
      </c>
      <c r="F831" s="361" t="s">
        <v>361</v>
      </c>
      <c r="G831" s="360" t="s">
        <v>319</v>
      </c>
      <c r="H831" s="361"/>
      <c r="I831" s="361"/>
      <c r="J831" s="361" t="s">
        <v>441</v>
      </c>
      <c r="K831" s="363"/>
      <c r="L831" s="360"/>
      <c r="M831" s="360"/>
      <c r="N831" s="361"/>
      <c r="O831" s="361"/>
      <c r="P831" s="361"/>
      <c r="Q831" s="361"/>
      <c r="R831" s="362"/>
      <c r="S831" s="361"/>
      <c r="T831" s="360" t="s">
        <v>132</v>
      </c>
    </row>
    <row r="832" ht="34.5">
      <c r="A832" s="360" t="s">
        <v>860</v>
      </c>
      <c r="B832" s="360" t="s">
        <v>861</v>
      </c>
      <c r="C832" s="360" t="s">
        <v>439</v>
      </c>
      <c r="D832" s="360" t="s">
        <v>128</v>
      </c>
      <c r="E832" s="360" t="s">
        <v>360</v>
      </c>
      <c r="F832" s="361" t="s">
        <v>361</v>
      </c>
      <c r="G832" s="360" t="s">
        <v>319</v>
      </c>
      <c r="H832" s="361"/>
      <c r="I832" s="361"/>
      <c r="J832" s="361" t="s">
        <v>442</v>
      </c>
      <c r="K832" s="363"/>
      <c r="L832" s="360"/>
      <c r="M832" s="360"/>
      <c r="N832" s="361"/>
      <c r="O832" s="361"/>
      <c r="P832" s="361"/>
      <c r="Q832" s="361"/>
      <c r="R832" s="362"/>
      <c r="S832" s="361"/>
      <c r="T832" s="360" t="s">
        <v>132</v>
      </c>
    </row>
    <row r="833" ht="34.5">
      <c r="A833" s="360" t="s">
        <v>860</v>
      </c>
      <c r="B833" s="360" t="s">
        <v>861</v>
      </c>
      <c r="C833" s="360" t="s">
        <v>439</v>
      </c>
      <c r="D833" s="360" t="s">
        <v>128</v>
      </c>
      <c r="E833" s="360" t="s">
        <v>360</v>
      </c>
      <c r="F833" s="361" t="s">
        <v>361</v>
      </c>
      <c r="G833" s="360" t="s">
        <v>319</v>
      </c>
      <c r="H833" s="361"/>
      <c r="I833" s="361"/>
      <c r="J833" s="361" t="s">
        <v>443</v>
      </c>
      <c r="K833" s="363"/>
      <c r="L833" s="360"/>
      <c r="M833" s="360"/>
      <c r="N833" s="361"/>
      <c r="O833" s="361"/>
      <c r="P833" s="361"/>
      <c r="Q833" s="361"/>
      <c r="R833" s="362"/>
      <c r="S833" s="361"/>
      <c r="T833" s="360" t="s">
        <v>132</v>
      </c>
    </row>
    <row r="834" ht="34.5">
      <c r="A834" s="360" t="s">
        <v>860</v>
      </c>
      <c r="B834" s="360" t="s">
        <v>861</v>
      </c>
      <c r="C834" s="360" t="s">
        <v>439</v>
      </c>
      <c r="D834" s="360" t="s">
        <v>128</v>
      </c>
      <c r="E834" s="360" t="s">
        <v>360</v>
      </c>
      <c r="F834" s="361" t="s">
        <v>361</v>
      </c>
      <c r="G834" s="360" t="s">
        <v>319</v>
      </c>
      <c r="H834" s="361"/>
      <c r="I834" s="361"/>
      <c r="J834" s="361" t="s">
        <v>444</v>
      </c>
      <c r="K834" s="363"/>
      <c r="L834" s="360"/>
      <c r="M834" s="360"/>
      <c r="N834" s="361"/>
      <c r="O834" s="361"/>
      <c r="P834" s="361"/>
      <c r="Q834" s="361"/>
      <c r="R834" s="362"/>
      <c r="S834" s="361"/>
      <c r="T834" s="360" t="s">
        <v>132</v>
      </c>
    </row>
    <row r="835" ht="34.5">
      <c r="A835" s="360" t="s">
        <v>860</v>
      </c>
      <c r="B835" s="360" t="s">
        <v>861</v>
      </c>
      <c r="C835" s="360" t="s">
        <v>439</v>
      </c>
      <c r="D835" s="360" t="s">
        <v>128</v>
      </c>
      <c r="E835" s="360" t="s">
        <v>360</v>
      </c>
      <c r="F835" s="361" t="s">
        <v>361</v>
      </c>
      <c r="G835" s="360" t="s">
        <v>319</v>
      </c>
      <c r="H835" s="361"/>
      <c r="I835" s="361"/>
      <c r="J835" s="361" t="s">
        <v>445</v>
      </c>
      <c r="K835" s="363"/>
      <c r="L835" s="360"/>
      <c r="M835" s="360"/>
      <c r="N835" s="361"/>
      <c r="O835" s="361"/>
      <c r="P835" s="361"/>
      <c r="Q835" s="361"/>
      <c r="R835" s="362"/>
      <c r="S835" s="361"/>
      <c r="T835" s="360" t="s">
        <v>132</v>
      </c>
    </row>
    <row r="836" ht="34.5">
      <c r="A836" s="360" t="s">
        <v>860</v>
      </c>
      <c r="B836" s="360" t="s">
        <v>861</v>
      </c>
      <c r="C836" s="360" t="s">
        <v>450</v>
      </c>
      <c r="D836" s="360" t="s">
        <v>128</v>
      </c>
      <c r="E836" s="360" t="s">
        <v>360</v>
      </c>
      <c r="F836" s="361" t="s">
        <v>361</v>
      </c>
      <c r="G836" s="360" t="s">
        <v>319</v>
      </c>
      <c r="H836" s="361"/>
      <c r="I836" s="361"/>
      <c r="J836" s="361" t="s">
        <v>446</v>
      </c>
      <c r="K836" s="363"/>
      <c r="L836" s="360"/>
      <c r="M836" s="360"/>
      <c r="N836" s="361"/>
      <c r="O836" s="361"/>
      <c r="P836" s="361"/>
      <c r="Q836" s="361"/>
      <c r="R836" s="362"/>
      <c r="S836" s="361"/>
      <c r="T836" s="360" t="s">
        <v>132</v>
      </c>
    </row>
    <row r="837" ht="34.5">
      <c r="A837" s="360" t="s">
        <v>860</v>
      </c>
      <c r="B837" s="360" t="s">
        <v>861</v>
      </c>
      <c r="C837" s="360" t="s">
        <v>450</v>
      </c>
      <c r="D837" s="360" t="s">
        <v>463</v>
      </c>
      <c r="E837" s="360" t="s">
        <v>360</v>
      </c>
      <c r="F837" s="361" t="s">
        <v>361</v>
      </c>
      <c r="G837" s="360" t="s">
        <v>319</v>
      </c>
      <c r="H837" s="361"/>
      <c r="I837" s="361"/>
      <c r="J837" s="361" t="s">
        <v>464</v>
      </c>
      <c r="K837" s="363"/>
      <c r="L837" s="360"/>
      <c r="M837" s="360"/>
      <c r="N837" s="361"/>
      <c r="O837" s="361"/>
      <c r="P837" s="361"/>
      <c r="Q837" s="361"/>
      <c r="R837" s="362"/>
      <c r="S837" s="361"/>
      <c r="T837" s="360" t="s">
        <v>132</v>
      </c>
    </row>
    <row r="838" ht="34.5">
      <c r="A838" s="360" t="s">
        <v>860</v>
      </c>
      <c r="B838" s="360" t="s">
        <v>861</v>
      </c>
      <c r="C838" s="360" t="s">
        <v>450</v>
      </c>
      <c r="D838" s="360" t="s">
        <v>128</v>
      </c>
      <c r="E838" s="360" t="s">
        <v>360</v>
      </c>
      <c r="F838" s="361" t="s">
        <v>361</v>
      </c>
      <c r="G838" s="360" t="s">
        <v>319</v>
      </c>
      <c r="H838" s="361"/>
      <c r="I838" s="361"/>
      <c r="J838" s="361" t="s">
        <v>453</v>
      </c>
      <c r="K838" s="363"/>
      <c r="L838" s="360"/>
      <c r="M838" s="360"/>
      <c r="N838" s="361"/>
      <c r="O838" s="361"/>
      <c r="P838" s="361"/>
      <c r="Q838" s="361"/>
      <c r="R838" s="362"/>
      <c r="S838" s="361"/>
      <c r="T838" s="360" t="s">
        <v>132</v>
      </c>
    </row>
    <row r="839" ht="34.5">
      <c r="A839" s="360" t="s">
        <v>860</v>
      </c>
      <c r="B839" s="360" t="s">
        <v>861</v>
      </c>
      <c r="C839" s="360" t="s">
        <v>450</v>
      </c>
      <c r="D839" s="360" t="s">
        <v>128</v>
      </c>
      <c r="E839" s="360" t="s">
        <v>360</v>
      </c>
      <c r="F839" s="361" t="s">
        <v>361</v>
      </c>
      <c r="G839" s="360" t="s">
        <v>319</v>
      </c>
      <c r="H839" s="361"/>
      <c r="I839" s="361"/>
      <c r="J839" s="361" t="s">
        <v>962</v>
      </c>
      <c r="K839" s="363"/>
      <c r="L839" s="360"/>
      <c r="M839" s="360"/>
      <c r="N839" s="361"/>
      <c r="O839" s="361"/>
      <c r="P839" s="361"/>
      <c r="Q839" s="361"/>
      <c r="R839" s="362"/>
      <c r="S839" s="361"/>
      <c r="T839" s="360" t="s">
        <v>132</v>
      </c>
    </row>
    <row r="840" ht="34.5">
      <c r="A840" s="360" t="s">
        <v>860</v>
      </c>
      <c r="B840" s="360" t="s">
        <v>861</v>
      </c>
      <c r="C840" s="360" t="s">
        <v>450</v>
      </c>
      <c r="D840" s="360" t="s">
        <v>486</v>
      </c>
      <c r="E840" s="360" t="s">
        <v>360</v>
      </c>
      <c r="F840" s="361" t="s">
        <v>361</v>
      </c>
      <c r="G840" s="360" t="s">
        <v>319</v>
      </c>
      <c r="H840" s="361"/>
      <c r="I840" s="361"/>
      <c r="J840" s="361" t="s">
        <v>487</v>
      </c>
      <c r="K840" s="363"/>
      <c r="L840" s="360"/>
      <c r="M840" s="360"/>
      <c r="N840" s="361"/>
      <c r="O840" s="361"/>
      <c r="P840" s="361"/>
      <c r="Q840" s="361"/>
      <c r="R840" s="362"/>
      <c r="S840" s="361"/>
      <c r="T840" s="360" t="s">
        <v>132</v>
      </c>
    </row>
    <row r="841" ht="34.5">
      <c r="A841" s="360" t="s">
        <v>860</v>
      </c>
      <c r="B841" s="360" t="s">
        <v>861</v>
      </c>
      <c r="C841" s="360" t="s">
        <v>458</v>
      </c>
      <c r="D841" s="360" t="s">
        <v>128</v>
      </c>
      <c r="E841" s="360" t="s">
        <v>360</v>
      </c>
      <c r="F841" s="361" t="s">
        <v>361</v>
      </c>
      <c r="G841" s="360" t="s">
        <v>319</v>
      </c>
      <c r="H841" s="361"/>
      <c r="I841" s="361"/>
      <c r="J841" s="361" t="s">
        <v>963</v>
      </c>
      <c r="K841" s="363"/>
      <c r="L841" s="360"/>
      <c r="M841" s="360"/>
      <c r="N841" s="361"/>
      <c r="O841" s="361"/>
      <c r="P841" s="361"/>
      <c r="Q841" s="361"/>
      <c r="R841" s="362"/>
      <c r="S841" s="361"/>
      <c r="T841" s="360" t="s">
        <v>132</v>
      </c>
    </row>
    <row r="842" ht="34.5">
      <c r="A842" s="360" t="s">
        <v>860</v>
      </c>
      <c r="B842" s="360" t="s">
        <v>861</v>
      </c>
      <c r="C842" s="360" t="s">
        <v>458</v>
      </c>
      <c r="D842" s="360" t="s">
        <v>128</v>
      </c>
      <c r="E842" s="360" t="s">
        <v>360</v>
      </c>
      <c r="F842" s="361" t="s">
        <v>361</v>
      </c>
      <c r="G842" s="360" t="s">
        <v>319</v>
      </c>
      <c r="H842" s="361"/>
      <c r="I842" s="361"/>
      <c r="J842" s="361" t="s">
        <v>945</v>
      </c>
      <c r="K842" s="363"/>
      <c r="L842" s="360"/>
      <c r="M842" s="360"/>
      <c r="N842" s="361"/>
      <c r="O842" s="361"/>
      <c r="P842" s="361"/>
      <c r="Q842" s="361"/>
      <c r="R842" s="362"/>
      <c r="S842" s="361"/>
      <c r="T842" s="360" t="s">
        <v>132</v>
      </c>
    </row>
    <row r="843" ht="34.5">
      <c r="A843" s="360" t="s">
        <v>860</v>
      </c>
      <c r="B843" s="360" t="s">
        <v>861</v>
      </c>
      <c r="C843" s="360" t="s">
        <v>458</v>
      </c>
      <c r="D843" s="360" t="s">
        <v>128</v>
      </c>
      <c r="E843" s="360" t="s">
        <v>360</v>
      </c>
      <c r="F843" s="361" t="s">
        <v>361</v>
      </c>
      <c r="G843" s="360" t="s">
        <v>319</v>
      </c>
      <c r="H843" s="361"/>
      <c r="I843" s="361"/>
      <c r="J843" s="361" t="s">
        <v>460</v>
      </c>
      <c r="K843" s="363"/>
      <c r="L843" s="360"/>
      <c r="M843" s="360"/>
      <c r="N843" s="361"/>
      <c r="O843" s="361"/>
      <c r="P843" s="361"/>
      <c r="Q843" s="361"/>
      <c r="R843" s="362"/>
      <c r="S843" s="361"/>
      <c r="T843" s="360" t="s">
        <v>132</v>
      </c>
    </row>
    <row r="844" ht="34.5">
      <c r="A844" s="360" t="s">
        <v>860</v>
      </c>
      <c r="B844" s="360" t="s">
        <v>861</v>
      </c>
      <c r="C844" s="360" t="s">
        <v>458</v>
      </c>
      <c r="D844" s="360" t="s">
        <v>128</v>
      </c>
      <c r="E844" s="360" t="s">
        <v>360</v>
      </c>
      <c r="F844" s="361" t="s">
        <v>361</v>
      </c>
      <c r="G844" s="360" t="s">
        <v>319</v>
      </c>
      <c r="H844" s="361"/>
      <c r="I844" s="361"/>
      <c r="J844" s="361" t="s">
        <v>461</v>
      </c>
      <c r="K844" s="363"/>
      <c r="L844" s="360"/>
      <c r="M844" s="360"/>
      <c r="N844" s="361"/>
      <c r="O844" s="361"/>
      <c r="P844" s="361"/>
      <c r="Q844" s="361"/>
      <c r="R844" s="362"/>
      <c r="S844" s="361"/>
      <c r="T844" s="360" t="s">
        <v>132</v>
      </c>
    </row>
    <row r="845" ht="34.5">
      <c r="A845" s="360" t="s">
        <v>860</v>
      </c>
      <c r="B845" s="360" t="s">
        <v>861</v>
      </c>
      <c r="C845" s="360" t="s">
        <v>458</v>
      </c>
      <c r="D845" s="360" t="s">
        <v>128</v>
      </c>
      <c r="E845" s="360" t="s">
        <v>360</v>
      </c>
      <c r="F845" s="361" t="s">
        <v>361</v>
      </c>
      <c r="G845" s="360" t="s">
        <v>319</v>
      </c>
      <c r="H845" s="361"/>
      <c r="I845" s="361"/>
      <c r="J845" s="361" t="s">
        <v>462</v>
      </c>
      <c r="K845" s="363"/>
      <c r="L845" s="360"/>
      <c r="M845" s="360"/>
      <c r="N845" s="361"/>
      <c r="O845" s="361"/>
      <c r="P845" s="361"/>
      <c r="Q845" s="361"/>
      <c r="R845" s="362"/>
      <c r="S845" s="361"/>
      <c r="T845" s="360" t="s">
        <v>132</v>
      </c>
    </row>
    <row r="846" ht="34.5">
      <c r="A846" s="360" t="s">
        <v>860</v>
      </c>
      <c r="B846" s="360" t="s">
        <v>861</v>
      </c>
      <c r="C846" s="360" t="s">
        <v>458</v>
      </c>
      <c r="D846" s="360" t="s">
        <v>491</v>
      </c>
      <c r="E846" s="360" t="s">
        <v>360</v>
      </c>
      <c r="F846" s="361" t="s">
        <v>361</v>
      </c>
      <c r="G846" s="360" t="s">
        <v>319</v>
      </c>
      <c r="H846" s="361"/>
      <c r="I846" s="361"/>
      <c r="J846" s="361" t="s">
        <v>492</v>
      </c>
      <c r="K846" s="363"/>
      <c r="L846" s="360"/>
      <c r="M846" s="360"/>
      <c r="N846" s="361"/>
      <c r="O846" s="361"/>
      <c r="P846" s="361"/>
      <c r="Q846" s="361"/>
      <c r="R846" s="362"/>
      <c r="S846" s="361"/>
      <c r="T846" s="360" t="s">
        <v>132</v>
      </c>
    </row>
    <row r="847" ht="34.5">
      <c r="A847" s="360" t="s">
        <v>860</v>
      </c>
      <c r="B847" s="360" t="s">
        <v>861</v>
      </c>
      <c r="C847" s="360" t="s">
        <v>465</v>
      </c>
      <c r="D847" s="360" t="s">
        <v>128</v>
      </c>
      <c r="E847" s="360" t="s">
        <v>466</v>
      </c>
      <c r="F847" s="361" t="s">
        <v>467</v>
      </c>
      <c r="G847" s="360" t="s">
        <v>468</v>
      </c>
      <c r="H847" s="361"/>
      <c r="I847" s="361"/>
      <c r="J847" s="361" t="s">
        <v>469</v>
      </c>
      <c r="K847" s="363"/>
      <c r="L847" s="360"/>
      <c r="M847" s="360"/>
      <c r="N847" s="361"/>
      <c r="O847" s="361"/>
      <c r="P847" s="361"/>
      <c r="Q847" s="361"/>
      <c r="R847" s="362"/>
      <c r="S847" s="361"/>
      <c r="T847" s="360" t="s">
        <v>132</v>
      </c>
    </row>
    <row r="848" ht="34.5">
      <c r="A848" s="360" t="s">
        <v>860</v>
      </c>
      <c r="B848" s="360" t="s">
        <v>861</v>
      </c>
      <c r="C848" s="360" t="s">
        <v>465</v>
      </c>
      <c r="D848" s="360" t="s">
        <v>128</v>
      </c>
      <c r="E848" s="360" t="s">
        <v>470</v>
      </c>
      <c r="F848" s="361" t="s">
        <v>471</v>
      </c>
      <c r="G848" s="360" t="s">
        <v>472</v>
      </c>
      <c r="H848" s="361"/>
      <c r="I848" s="361"/>
      <c r="J848" s="361" t="s">
        <v>473</v>
      </c>
      <c r="K848" s="363"/>
      <c r="L848" s="360"/>
      <c r="M848" s="360"/>
      <c r="N848" s="361"/>
      <c r="O848" s="361"/>
      <c r="P848" s="361"/>
      <c r="Q848" s="361"/>
      <c r="R848" s="362"/>
      <c r="S848" s="361"/>
      <c r="T848" s="360" t="s">
        <v>132</v>
      </c>
    </row>
    <row r="849" ht="34.5">
      <c r="A849" s="360" t="s">
        <v>860</v>
      </c>
      <c r="B849" s="360" t="s">
        <v>861</v>
      </c>
      <c r="C849" s="360" t="s">
        <v>465</v>
      </c>
      <c r="D849" s="360" t="s">
        <v>128</v>
      </c>
      <c r="E849" s="360" t="s">
        <v>470</v>
      </c>
      <c r="F849" s="361" t="s">
        <v>471</v>
      </c>
      <c r="G849" s="360" t="s">
        <v>472</v>
      </c>
      <c r="H849" s="361"/>
      <c r="I849" s="361"/>
      <c r="J849" s="361" t="s">
        <v>474</v>
      </c>
      <c r="K849" s="363"/>
      <c r="L849" s="360"/>
      <c r="M849" s="360"/>
      <c r="N849" s="361"/>
      <c r="O849" s="361"/>
      <c r="P849" s="361"/>
      <c r="Q849" s="361"/>
      <c r="R849" s="362"/>
      <c r="S849" s="361"/>
      <c r="T849" s="360" t="s">
        <v>132</v>
      </c>
    </row>
    <row r="850" ht="34.5">
      <c r="A850" s="360" t="s">
        <v>860</v>
      </c>
      <c r="B850" s="360" t="s">
        <v>861</v>
      </c>
      <c r="C850" s="360" t="s">
        <v>465</v>
      </c>
      <c r="D850" s="360" t="s">
        <v>128</v>
      </c>
      <c r="E850" s="360" t="s">
        <v>470</v>
      </c>
      <c r="F850" s="361" t="s">
        <v>471</v>
      </c>
      <c r="G850" s="360" t="s">
        <v>472</v>
      </c>
      <c r="H850" s="361"/>
      <c r="I850" s="361"/>
      <c r="J850" s="361" t="s">
        <v>475</v>
      </c>
      <c r="K850" s="363"/>
      <c r="L850" s="360"/>
      <c r="M850" s="360"/>
      <c r="N850" s="361"/>
      <c r="O850" s="361"/>
      <c r="P850" s="361"/>
      <c r="Q850" s="361"/>
      <c r="R850" s="362"/>
      <c r="S850" s="361"/>
      <c r="T850" s="360" t="s">
        <v>132</v>
      </c>
    </row>
    <row r="851" ht="34.5">
      <c r="A851" s="360" t="s">
        <v>860</v>
      </c>
      <c r="B851" s="360" t="s">
        <v>861</v>
      </c>
      <c r="C851" s="360" t="s">
        <v>465</v>
      </c>
      <c r="D851" s="360" t="s">
        <v>128</v>
      </c>
      <c r="E851" s="360" t="s">
        <v>470</v>
      </c>
      <c r="F851" s="361" t="s">
        <v>471</v>
      </c>
      <c r="G851" s="360" t="s">
        <v>472</v>
      </c>
      <c r="H851" s="361"/>
      <c r="I851" s="361"/>
      <c r="J851" s="361" t="s">
        <v>476</v>
      </c>
      <c r="K851" s="363"/>
      <c r="L851" s="360"/>
      <c r="M851" s="360"/>
      <c r="N851" s="361"/>
      <c r="O851" s="361"/>
      <c r="P851" s="361"/>
      <c r="Q851" s="361"/>
      <c r="R851" s="362"/>
      <c r="S851" s="361"/>
      <c r="T851" s="360" t="s">
        <v>132</v>
      </c>
    </row>
    <row r="852" ht="34.5">
      <c r="A852" s="360" t="s">
        <v>860</v>
      </c>
      <c r="B852" s="360" t="s">
        <v>861</v>
      </c>
      <c r="C852" s="360" t="s">
        <v>465</v>
      </c>
      <c r="D852" s="360" t="s">
        <v>128</v>
      </c>
      <c r="E852" s="360" t="s">
        <v>470</v>
      </c>
      <c r="F852" s="361" t="s">
        <v>471</v>
      </c>
      <c r="G852" s="360" t="s">
        <v>472</v>
      </c>
      <c r="H852" s="361"/>
      <c r="I852" s="361"/>
      <c r="J852" s="361" t="s">
        <v>477</v>
      </c>
      <c r="K852" s="363"/>
      <c r="L852" s="360"/>
      <c r="M852" s="360"/>
      <c r="N852" s="361"/>
      <c r="O852" s="361"/>
      <c r="P852" s="361"/>
      <c r="Q852" s="361"/>
      <c r="R852" s="362"/>
      <c r="S852" s="361"/>
      <c r="T852" s="360" t="s">
        <v>132</v>
      </c>
    </row>
    <row r="853" ht="34.5">
      <c r="A853" s="360" t="s">
        <v>860</v>
      </c>
      <c r="B853" s="360" t="s">
        <v>861</v>
      </c>
      <c r="C853" s="360" t="s">
        <v>479</v>
      </c>
      <c r="D853" s="360" t="s">
        <v>128</v>
      </c>
      <c r="E853" s="360" t="s">
        <v>470</v>
      </c>
      <c r="F853" s="361" t="s">
        <v>471</v>
      </c>
      <c r="G853" s="360" t="s">
        <v>472</v>
      </c>
      <c r="H853" s="361"/>
      <c r="I853" s="361"/>
      <c r="J853" s="361" t="s">
        <v>480</v>
      </c>
      <c r="K853" s="363"/>
      <c r="L853" s="360"/>
      <c r="M853" s="360"/>
      <c r="N853" s="361"/>
      <c r="O853" s="361"/>
      <c r="P853" s="361"/>
      <c r="Q853" s="361"/>
      <c r="R853" s="362"/>
      <c r="S853" s="361"/>
      <c r="T853" s="360" t="s">
        <v>132</v>
      </c>
    </row>
    <row r="854" ht="34.5">
      <c r="A854" s="360" t="s">
        <v>860</v>
      </c>
      <c r="B854" s="360" t="s">
        <v>861</v>
      </c>
      <c r="C854" s="360" t="s">
        <v>479</v>
      </c>
      <c r="D854" s="360" t="s">
        <v>128</v>
      </c>
      <c r="E854" s="360" t="s">
        <v>470</v>
      </c>
      <c r="F854" s="361" t="s">
        <v>471</v>
      </c>
      <c r="G854" s="360" t="s">
        <v>472</v>
      </c>
      <c r="H854" s="361"/>
      <c r="I854" s="361"/>
      <c r="J854" s="361" t="s">
        <v>481</v>
      </c>
      <c r="K854" s="363"/>
      <c r="L854" s="360"/>
      <c r="M854" s="360"/>
      <c r="N854" s="361"/>
      <c r="O854" s="361"/>
      <c r="P854" s="361"/>
      <c r="Q854" s="361"/>
      <c r="R854" s="362"/>
      <c r="S854" s="361"/>
      <c r="T854" s="360" t="s">
        <v>132</v>
      </c>
    </row>
    <row r="855" ht="34.5">
      <c r="A855" s="360" t="s">
        <v>860</v>
      </c>
      <c r="B855" s="360" t="s">
        <v>861</v>
      </c>
      <c r="C855" s="360" t="s">
        <v>479</v>
      </c>
      <c r="D855" s="360" t="s">
        <v>128</v>
      </c>
      <c r="E855" s="360" t="s">
        <v>470</v>
      </c>
      <c r="F855" s="361" t="s">
        <v>471</v>
      </c>
      <c r="G855" s="360" t="s">
        <v>472</v>
      </c>
      <c r="H855" s="361"/>
      <c r="I855" s="361"/>
      <c r="J855" s="361" t="s">
        <v>964</v>
      </c>
      <c r="K855" s="363"/>
      <c r="L855" s="360"/>
      <c r="M855" s="360"/>
      <c r="N855" s="361"/>
      <c r="O855" s="361"/>
      <c r="P855" s="361"/>
      <c r="Q855" s="361"/>
      <c r="R855" s="362"/>
      <c r="S855" s="361"/>
      <c r="T855" s="360" t="s">
        <v>132</v>
      </c>
    </row>
    <row r="856" ht="34.5">
      <c r="A856" s="360" t="s">
        <v>860</v>
      </c>
      <c r="B856" s="360" t="s">
        <v>861</v>
      </c>
      <c r="C856" s="360" t="s">
        <v>479</v>
      </c>
      <c r="D856" s="360" t="s">
        <v>128</v>
      </c>
      <c r="E856" s="360" t="s">
        <v>470</v>
      </c>
      <c r="F856" s="361" t="s">
        <v>471</v>
      </c>
      <c r="G856" s="360" t="s">
        <v>472</v>
      </c>
      <c r="H856" s="361"/>
      <c r="I856" s="361"/>
      <c r="J856" s="361" t="s">
        <v>483</v>
      </c>
      <c r="K856" s="363"/>
      <c r="L856" s="360"/>
      <c r="M856" s="360"/>
      <c r="N856" s="361"/>
      <c r="O856" s="361"/>
      <c r="P856" s="361"/>
      <c r="Q856" s="361"/>
      <c r="R856" s="362"/>
      <c r="S856" s="361"/>
      <c r="T856" s="360" t="s">
        <v>132</v>
      </c>
    </row>
    <row r="857" ht="34.5">
      <c r="A857" s="360" t="s">
        <v>860</v>
      </c>
      <c r="B857" s="360" t="s">
        <v>861</v>
      </c>
      <c r="C857" s="360" t="s">
        <v>479</v>
      </c>
      <c r="D857" s="360" t="s">
        <v>128</v>
      </c>
      <c r="E857" s="360" t="s">
        <v>470</v>
      </c>
      <c r="F857" s="361" t="s">
        <v>471</v>
      </c>
      <c r="G857" s="360" t="s">
        <v>472</v>
      </c>
      <c r="H857" s="361"/>
      <c r="I857" s="361"/>
      <c r="J857" s="361" t="s">
        <v>965</v>
      </c>
      <c r="K857" s="363"/>
      <c r="L857" s="360"/>
      <c r="M857" s="360"/>
      <c r="N857" s="361"/>
      <c r="O857" s="361"/>
      <c r="P857" s="361"/>
      <c r="Q857" s="361"/>
      <c r="R857" s="362"/>
      <c r="S857" s="361"/>
      <c r="T857" s="360" t="s">
        <v>132</v>
      </c>
    </row>
    <row r="858" ht="34.5">
      <c r="A858" s="360" t="s">
        <v>860</v>
      </c>
      <c r="B858" s="360" t="s">
        <v>861</v>
      </c>
      <c r="C858" s="360" t="s">
        <v>479</v>
      </c>
      <c r="D858" s="360" t="s">
        <v>128</v>
      </c>
      <c r="E858" s="360" t="s">
        <v>470</v>
      </c>
      <c r="F858" s="361" t="s">
        <v>471</v>
      </c>
      <c r="G858" s="360" t="s">
        <v>472</v>
      </c>
      <c r="H858" s="361"/>
      <c r="I858" s="361"/>
      <c r="J858" s="361" t="s">
        <v>485</v>
      </c>
      <c r="K858" s="363"/>
      <c r="L858" s="360"/>
      <c r="M858" s="360"/>
      <c r="N858" s="361"/>
      <c r="O858" s="361"/>
      <c r="P858" s="361"/>
      <c r="Q858" s="361"/>
      <c r="R858" s="362"/>
      <c r="S858" s="361"/>
      <c r="T858" s="360" t="s">
        <v>132</v>
      </c>
    </row>
    <row r="859" ht="34.5">
      <c r="A859" s="360" t="s">
        <v>860</v>
      </c>
      <c r="B859" s="360" t="s">
        <v>861</v>
      </c>
      <c r="C859" s="360" t="s">
        <v>479</v>
      </c>
      <c r="D859" s="360" t="s">
        <v>502</v>
      </c>
      <c r="E859" s="360" t="s">
        <v>470</v>
      </c>
      <c r="F859" s="361" t="s">
        <v>471</v>
      </c>
      <c r="G859" s="360" t="s">
        <v>472</v>
      </c>
      <c r="H859" s="361"/>
      <c r="I859" s="361"/>
      <c r="J859" s="361" t="s">
        <v>503</v>
      </c>
      <c r="K859" s="363"/>
      <c r="L859" s="360"/>
      <c r="M859" s="360"/>
      <c r="N859" s="361"/>
      <c r="O859" s="361"/>
      <c r="P859" s="361"/>
      <c r="Q859" s="361"/>
      <c r="R859" s="362"/>
      <c r="S859" s="361"/>
      <c r="T859" s="360" t="s">
        <v>132</v>
      </c>
    </row>
    <row r="860" ht="34.5">
      <c r="A860" s="360" t="s">
        <v>860</v>
      </c>
      <c r="B860" s="360" t="s">
        <v>861</v>
      </c>
      <c r="C860" s="360" t="s">
        <v>488</v>
      </c>
      <c r="D860" s="360" t="s">
        <v>128</v>
      </c>
      <c r="E860" s="360" t="s">
        <v>470</v>
      </c>
      <c r="F860" s="361" t="s">
        <v>471</v>
      </c>
      <c r="G860" s="360" t="s">
        <v>472</v>
      </c>
      <c r="H860" s="361"/>
      <c r="I860" s="361"/>
      <c r="J860" s="361" t="s">
        <v>489</v>
      </c>
      <c r="K860" s="363"/>
      <c r="L860" s="360"/>
      <c r="M860" s="360"/>
      <c r="N860" s="361"/>
      <c r="O860" s="361"/>
      <c r="P860" s="361"/>
      <c r="Q860" s="361"/>
      <c r="R860" s="362"/>
      <c r="S860" s="361"/>
      <c r="T860" s="360" t="s">
        <v>132</v>
      </c>
    </row>
    <row r="861" ht="34.5">
      <c r="A861" s="360" t="s">
        <v>860</v>
      </c>
      <c r="B861" s="360" t="s">
        <v>861</v>
      </c>
      <c r="C861" s="360" t="s">
        <v>488</v>
      </c>
      <c r="D861" s="360" t="s">
        <v>128</v>
      </c>
      <c r="E861" s="360" t="s">
        <v>470</v>
      </c>
      <c r="F861" s="361" t="s">
        <v>471</v>
      </c>
      <c r="G861" s="360" t="s">
        <v>472</v>
      </c>
      <c r="H861" s="361"/>
      <c r="I861" s="361"/>
      <c r="J861" s="361" t="s">
        <v>966</v>
      </c>
      <c r="K861" s="363"/>
      <c r="L861" s="360"/>
      <c r="M861" s="360"/>
      <c r="N861" s="361"/>
      <c r="O861" s="361"/>
      <c r="P861" s="361"/>
      <c r="Q861" s="361"/>
      <c r="R861" s="362"/>
      <c r="S861" s="361"/>
      <c r="T861" s="360" t="s">
        <v>132</v>
      </c>
    </row>
    <row r="862" ht="34.5">
      <c r="A862" s="360" t="s">
        <v>860</v>
      </c>
      <c r="B862" s="360" t="s">
        <v>861</v>
      </c>
      <c r="C862" s="360" t="s">
        <v>488</v>
      </c>
      <c r="D862" s="360" t="s">
        <v>509</v>
      </c>
      <c r="E862" s="360" t="s">
        <v>470</v>
      </c>
      <c r="F862" s="361" t="s">
        <v>471</v>
      </c>
      <c r="G862" s="360" t="s">
        <v>472</v>
      </c>
      <c r="H862" s="361"/>
      <c r="I862" s="361"/>
      <c r="J862" s="361" t="s">
        <v>510</v>
      </c>
      <c r="K862" s="363"/>
      <c r="L862" s="360"/>
      <c r="M862" s="360"/>
      <c r="N862" s="361"/>
      <c r="O862" s="361"/>
      <c r="P862" s="361"/>
      <c r="Q862" s="361"/>
      <c r="R862" s="362"/>
      <c r="S862" s="361"/>
      <c r="T862" s="360" t="s">
        <v>132</v>
      </c>
    </row>
    <row r="863" ht="34.5">
      <c r="A863" s="360" t="s">
        <v>860</v>
      </c>
      <c r="B863" s="360" t="s">
        <v>861</v>
      </c>
      <c r="C863" s="360" t="s">
        <v>488</v>
      </c>
      <c r="D863" s="360" t="s">
        <v>128</v>
      </c>
      <c r="E863" s="360" t="s">
        <v>470</v>
      </c>
      <c r="F863" s="361" t="s">
        <v>471</v>
      </c>
      <c r="G863" s="360" t="s">
        <v>472</v>
      </c>
      <c r="H863" s="361"/>
      <c r="I863" s="361"/>
      <c r="J863" s="361" t="s">
        <v>967</v>
      </c>
      <c r="K863" s="363"/>
      <c r="L863" s="360"/>
      <c r="M863" s="360"/>
      <c r="N863" s="361"/>
      <c r="O863" s="361"/>
      <c r="P863" s="361"/>
      <c r="Q863" s="361"/>
      <c r="R863" s="362"/>
      <c r="S863" s="361"/>
      <c r="T863" s="360" t="s">
        <v>132</v>
      </c>
    </row>
    <row r="864" ht="34.5">
      <c r="A864" s="360" t="s">
        <v>860</v>
      </c>
      <c r="B864" s="360" t="s">
        <v>861</v>
      </c>
      <c r="C864" s="360" t="s">
        <v>488</v>
      </c>
      <c r="D864" s="360" t="s">
        <v>128</v>
      </c>
      <c r="E864" s="360" t="s">
        <v>470</v>
      </c>
      <c r="F864" s="361" t="s">
        <v>471</v>
      </c>
      <c r="G864" s="360" t="s">
        <v>472</v>
      </c>
      <c r="H864" s="361"/>
      <c r="I864" s="361"/>
      <c r="J864" s="361" t="s">
        <v>968</v>
      </c>
      <c r="K864" s="363"/>
      <c r="L864" s="360"/>
      <c r="M864" s="360"/>
      <c r="N864" s="361"/>
      <c r="O864" s="361"/>
      <c r="P864" s="361"/>
      <c r="Q864" s="361"/>
      <c r="R864" s="362"/>
      <c r="S864" s="361"/>
      <c r="T864" s="360" t="s">
        <v>132</v>
      </c>
    </row>
    <row r="865" ht="34.5">
      <c r="A865" s="360" t="s">
        <v>860</v>
      </c>
      <c r="B865" s="360" t="s">
        <v>861</v>
      </c>
      <c r="C865" s="360" t="s">
        <v>496</v>
      </c>
      <c r="D865" s="360" t="s">
        <v>128</v>
      </c>
      <c r="E865" s="360" t="s">
        <v>497</v>
      </c>
      <c r="F865" s="361" t="s">
        <v>498</v>
      </c>
      <c r="G865" s="360" t="s">
        <v>499</v>
      </c>
      <c r="H865" s="361"/>
      <c r="I865" s="361"/>
      <c r="J865" s="361" t="s">
        <v>500</v>
      </c>
      <c r="K865" s="363"/>
      <c r="L865" s="360"/>
      <c r="M865" s="360"/>
      <c r="N865" s="361"/>
      <c r="O865" s="361"/>
      <c r="P865" s="361"/>
      <c r="Q865" s="361"/>
      <c r="R865" s="362"/>
      <c r="S865" s="361"/>
      <c r="T865" s="360" t="s">
        <v>132</v>
      </c>
    </row>
    <row r="866" ht="34.5">
      <c r="A866" s="360" t="s">
        <v>860</v>
      </c>
      <c r="B866" s="360" t="s">
        <v>861</v>
      </c>
      <c r="C866" s="360" t="s">
        <v>496</v>
      </c>
      <c r="D866" s="360" t="s">
        <v>128</v>
      </c>
      <c r="E866" s="360" t="s">
        <v>497</v>
      </c>
      <c r="F866" s="361" t="s">
        <v>498</v>
      </c>
      <c r="G866" s="360" t="s">
        <v>499</v>
      </c>
      <c r="H866" s="361"/>
      <c r="I866" s="361"/>
      <c r="J866" s="361" t="s">
        <v>501</v>
      </c>
      <c r="K866" s="363"/>
      <c r="L866" s="360"/>
      <c r="M866" s="360"/>
      <c r="N866" s="361"/>
      <c r="O866" s="361"/>
      <c r="P866" s="361"/>
      <c r="Q866" s="361"/>
      <c r="R866" s="362"/>
      <c r="S866" s="361"/>
      <c r="T866" s="360" t="s">
        <v>132</v>
      </c>
    </row>
    <row r="867" ht="34.5">
      <c r="A867" s="360" t="s">
        <v>860</v>
      </c>
      <c r="B867" s="360" t="s">
        <v>861</v>
      </c>
      <c r="C867" s="360" t="s">
        <v>496</v>
      </c>
      <c r="D867" s="360" t="s">
        <v>514</v>
      </c>
      <c r="E867" s="360" t="s">
        <v>497</v>
      </c>
      <c r="F867" s="361" t="s">
        <v>498</v>
      </c>
      <c r="G867" s="360" t="s">
        <v>499</v>
      </c>
      <c r="H867" s="361"/>
      <c r="I867" s="361"/>
      <c r="J867" s="361" t="s">
        <v>515</v>
      </c>
      <c r="K867" s="363"/>
      <c r="L867" s="360"/>
      <c r="M867" s="360"/>
      <c r="N867" s="361"/>
      <c r="O867" s="361"/>
      <c r="P867" s="361"/>
      <c r="Q867" s="361"/>
      <c r="R867" s="362"/>
      <c r="S867" s="361"/>
      <c r="T867" s="360" t="s">
        <v>132</v>
      </c>
    </row>
    <row r="868" ht="34.5">
      <c r="A868" s="360" t="s">
        <v>860</v>
      </c>
      <c r="B868" s="360" t="s">
        <v>861</v>
      </c>
      <c r="C868" s="360" t="s">
        <v>496</v>
      </c>
      <c r="D868" s="360" t="s">
        <v>128</v>
      </c>
      <c r="E868" s="360" t="s">
        <v>497</v>
      </c>
      <c r="F868" s="361" t="s">
        <v>498</v>
      </c>
      <c r="G868" s="360" t="s">
        <v>499</v>
      </c>
      <c r="H868" s="361"/>
      <c r="I868" s="361"/>
      <c r="J868" s="361" t="s">
        <v>504</v>
      </c>
      <c r="K868" s="363"/>
      <c r="L868" s="360"/>
      <c r="M868" s="360"/>
      <c r="N868" s="361"/>
      <c r="O868" s="361"/>
      <c r="P868" s="361"/>
      <c r="Q868" s="361"/>
      <c r="R868" s="362"/>
      <c r="S868" s="361"/>
      <c r="T868" s="360" t="s">
        <v>132</v>
      </c>
    </row>
    <row r="869" ht="34.5">
      <c r="A869" s="360" t="s">
        <v>860</v>
      </c>
      <c r="B869" s="360" t="s">
        <v>861</v>
      </c>
      <c r="C869" s="360" t="s">
        <v>496</v>
      </c>
      <c r="D869" s="360" t="s">
        <v>128</v>
      </c>
      <c r="E869" s="360" t="s">
        <v>505</v>
      </c>
      <c r="F869" s="361" t="s">
        <v>506</v>
      </c>
      <c r="G869" s="360" t="s">
        <v>507</v>
      </c>
      <c r="H869" s="361"/>
      <c r="I869" s="361"/>
      <c r="J869" s="361" t="s">
        <v>508</v>
      </c>
      <c r="K869" s="363"/>
      <c r="L869" s="360"/>
      <c r="M869" s="360"/>
      <c r="N869" s="361"/>
      <c r="O869" s="361"/>
      <c r="P869" s="361"/>
      <c r="Q869" s="361"/>
      <c r="R869" s="362"/>
      <c r="S869" s="361"/>
      <c r="T869" s="360" t="s">
        <v>132</v>
      </c>
    </row>
    <row r="870" ht="34.5">
      <c r="A870" s="360" t="s">
        <v>860</v>
      </c>
      <c r="B870" s="360" t="s">
        <v>861</v>
      </c>
      <c r="C870" s="360" t="s">
        <v>496</v>
      </c>
      <c r="D870" s="360" t="s">
        <v>519</v>
      </c>
      <c r="E870" s="360" t="s">
        <v>505</v>
      </c>
      <c r="F870" s="361" t="s">
        <v>506</v>
      </c>
      <c r="G870" s="360" t="s">
        <v>507</v>
      </c>
      <c r="H870" s="361"/>
      <c r="I870" s="361"/>
      <c r="J870" s="361" t="s">
        <v>520</v>
      </c>
      <c r="K870" s="363"/>
      <c r="L870" s="360"/>
      <c r="M870" s="360"/>
      <c r="N870" s="361"/>
      <c r="O870" s="361"/>
      <c r="P870" s="361"/>
      <c r="Q870" s="361"/>
      <c r="R870" s="362"/>
      <c r="S870" s="361"/>
      <c r="T870" s="360" t="s">
        <v>132</v>
      </c>
    </row>
    <row r="871" ht="34.5">
      <c r="A871" s="360" t="s">
        <v>860</v>
      </c>
      <c r="B871" s="360" t="s">
        <v>861</v>
      </c>
      <c r="C871" s="360" t="s">
        <v>512</v>
      </c>
      <c r="D871" s="360" t="s">
        <v>128</v>
      </c>
      <c r="E871" s="360" t="s">
        <v>516</v>
      </c>
      <c r="F871" s="361" t="s">
        <v>517</v>
      </c>
      <c r="G871" s="360" t="s">
        <v>472</v>
      </c>
      <c r="H871" s="361"/>
      <c r="I871" s="361"/>
      <c r="J871" s="361" t="s">
        <v>969</v>
      </c>
      <c r="K871" s="363"/>
      <c r="L871" s="360"/>
      <c r="M871" s="360"/>
      <c r="N871" s="361"/>
      <c r="O871" s="361"/>
      <c r="P871" s="361"/>
      <c r="Q871" s="361"/>
      <c r="R871" s="362"/>
      <c r="S871" s="361"/>
      <c r="T871" s="360" t="s">
        <v>132</v>
      </c>
    </row>
    <row r="872" ht="34.5">
      <c r="A872" s="360" t="s">
        <v>860</v>
      </c>
      <c r="B872" s="360" t="s">
        <v>861</v>
      </c>
      <c r="C872" s="360" t="s">
        <v>512</v>
      </c>
      <c r="D872" s="360" t="s">
        <v>525</v>
      </c>
      <c r="E872" s="360" t="s">
        <v>516</v>
      </c>
      <c r="F872" s="361" t="s">
        <v>517</v>
      </c>
      <c r="G872" s="360" t="s">
        <v>472</v>
      </c>
      <c r="H872" s="361"/>
      <c r="I872" s="361"/>
      <c r="J872" s="361" t="s">
        <v>526</v>
      </c>
      <c r="K872" s="363"/>
      <c r="L872" s="360"/>
      <c r="M872" s="360"/>
      <c r="N872" s="361"/>
      <c r="O872" s="361"/>
      <c r="P872" s="361"/>
      <c r="Q872" s="361"/>
      <c r="R872" s="362"/>
      <c r="S872" s="361"/>
      <c r="T872" s="360" t="s">
        <v>132</v>
      </c>
    </row>
    <row r="873" ht="34.5">
      <c r="A873" s="360" t="s">
        <v>860</v>
      </c>
      <c r="B873" s="360" t="s">
        <v>861</v>
      </c>
      <c r="C873" s="360" t="s">
        <v>512</v>
      </c>
      <c r="D873" s="360" t="s">
        <v>128</v>
      </c>
      <c r="E873" s="360" t="s">
        <v>521</v>
      </c>
      <c r="F873" s="361" t="s">
        <v>522</v>
      </c>
      <c r="G873" s="360" t="s">
        <v>523</v>
      </c>
      <c r="H873" s="361"/>
      <c r="I873" s="361"/>
      <c r="J873" s="361" t="s">
        <v>524</v>
      </c>
      <c r="K873" s="363"/>
      <c r="L873" s="360"/>
      <c r="M873" s="360"/>
      <c r="N873" s="361"/>
      <c r="O873" s="361"/>
      <c r="P873" s="361"/>
      <c r="Q873" s="361"/>
      <c r="R873" s="362"/>
      <c r="S873" s="361"/>
      <c r="T873" s="360" t="s">
        <v>132</v>
      </c>
    </row>
    <row r="874" ht="34.5">
      <c r="A874" s="360" t="s">
        <v>860</v>
      </c>
      <c r="B874" s="360" t="s">
        <v>861</v>
      </c>
      <c r="C874" s="360" t="s">
        <v>512</v>
      </c>
      <c r="D874" s="360" t="s">
        <v>533</v>
      </c>
      <c r="E874" s="360" t="s">
        <v>521</v>
      </c>
      <c r="F874" s="361" t="s">
        <v>522</v>
      </c>
      <c r="G874" s="360" t="s">
        <v>523</v>
      </c>
      <c r="H874" s="361"/>
      <c r="I874" s="361"/>
      <c r="J874" s="361" t="s">
        <v>534</v>
      </c>
      <c r="K874" s="363"/>
      <c r="L874" s="360"/>
      <c r="M874" s="360"/>
      <c r="N874" s="361"/>
      <c r="O874" s="361"/>
      <c r="P874" s="361"/>
      <c r="Q874" s="361"/>
      <c r="R874" s="362"/>
      <c r="S874" s="361"/>
      <c r="T874" s="360" t="s">
        <v>132</v>
      </c>
    </row>
    <row r="875" ht="34.5">
      <c r="A875" s="360" t="s">
        <v>860</v>
      </c>
      <c r="B875" s="360" t="s">
        <v>861</v>
      </c>
      <c r="C875" s="360" t="s">
        <v>512</v>
      </c>
      <c r="D875" s="360" t="s">
        <v>128</v>
      </c>
      <c r="E875" s="360" t="s">
        <v>529</v>
      </c>
      <c r="F875" s="361" t="s">
        <v>530</v>
      </c>
      <c r="G875" s="360" t="s">
        <v>531</v>
      </c>
      <c r="H875" s="361"/>
      <c r="I875" s="361"/>
      <c r="J875" s="361" t="s">
        <v>532</v>
      </c>
      <c r="K875" s="363"/>
      <c r="L875" s="360"/>
      <c r="M875" s="360"/>
      <c r="N875" s="361"/>
      <c r="O875" s="361"/>
      <c r="P875" s="361"/>
      <c r="Q875" s="361"/>
      <c r="R875" s="362"/>
      <c r="S875" s="361"/>
      <c r="T875" s="360" t="s">
        <v>132</v>
      </c>
    </row>
    <row r="876" ht="34.5">
      <c r="A876" s="360" t="s">
        <v>860</v>
      </c>
      <c r="B876" s="360" t="s">
        <v>861</v>
      </c>
      <c r="C876" s="360" t="s">
        <v>512</v>
      </c>
      <c r="D876" s="360" t="s">
        <v>537</v>
      </c>
      <c r="E876" s="360" t="s">
        <v>529</v>
      </c>
      <c r="F876" s="361" t="s">
        <v>530</v>
      </c>
      <c r="G876" s="360" t="s">
        <v>531</v>
      </c>
      <c r="H876" s="361"/>
      <c r="I876" s="361"/>
      <c r="J876" s="361" t="s">
        <v>538</v>
      </c>
      <c r="K876" s="363"/>
      <c r="L876" s="360"/>
      <c r="M876" s="360"/>
      <c r="N876" s="361"/>
      <c r="O876" s="361"/>
      <c r="P876" s="361"/>
      <c r="Q876" s="361"/>
      <c r="R876" s="362"/>
      <c r="S876" s="361"/>
      <c r="T876" s="360" t="s">
        <v>132</v>
      </c>
    </row>
    <row r="877" ht="34.5">
      <c r="A877" s="360" t="s">
        <v>860</v>
      </c>
      <c r="B877" s="360" t="s">
        <v>861</v>
      </c>
      <c r="C877" s="360" t="s">
        <v>512</v>
      </c>
      <c r="D877" s="360" t="s">
        <v>128</v>
      </c>
      <c r="E877" s="360" t="s">
        <v>529</v>
      </c>
      <c r="F877" s="361" t="s">
        <v>530</v>
      </c>
      <c r="G877" s="360" t="s">
        <v>531</v>
      </c>
      <c r="H877" s="361"/>
      <c r="I877" s="361"/>
      <c r="J877" s="361" t="s">
        <v>970</v>
      </c>
      <c r="K877" s="363">
        <v>9094530</v>
      </c>
      <c r="L877" s="360" t="s">
        <v>314</v>
      </c>
      <c r="M877" s="360"/>
      <c r="N877" s="361"/>
      <c r="O877" s="361"/>
      <c r="P877" s="361"/>
      <c r="Q877" s="361"/>
      <c r="R877" s="362"/>
      <c r="S877" s="361"/>
      <c r="T877" s="360" t="s">
        <v>132</v>
      </c>
    </row>
    <row r="878" ht="34.5">
      <c r="A878" s="360" t="s">
        <v>860</v>
      </c>
      <c r="B878" s="360" t="s">
        <v>861</v>
      </c>
      <c r="C878" s="360" t="s">
        <v>528</v>
      </c>
      <c r="D878" s="360" t="s">
        <v>128</v>
      </c>
      <c r="E878" s="360" t="s">
        <v>544</v>
      </c>
      <c r="F878" s="361" t="s">
        <v>971</v>
      </c>
      <c r="G878" s="360" t="s">
        <v>36</v>
      </c>
      <c r="H878" s="361"/>
      <c r="I878" s="361"/>
      <c r="J878" s="361" t="s">
        <v>555</v>
      </c>
      <c r="K878" s="363"/>
      <c r="L878" s="360"/>
      <c r="M878" s="360"/>
      <c r="N878" s="361"/>
      <c r="O878" s="361"/>
      <c r="P878" s="361"/>
      <c r="Q878" s="361"/>
      <c r="R878" s="362"/>
      <c r="S878" s="361"/>
      <c r="T878" s="360" t="s">
        <v>132</v>
      </c>
    </row>
    <row r="879" ht="34.5">
      <c r="A879" s="360" t="s">
        <v>860</v>
      </c>
      <c r="B879" s="360" t="s">
        <v>861</v>
      </c>
      <c r="C879" s="360" t="s">
        <v>528</v>
      </c>
      <c r="D879" s="360" t="s">
        <v>540</v>
      </c>
      <c r="E879" s="360" t="s">
        <v>544</v>
      </c>
      <c r="F879" s="361" t="s">
        <v>971</v>
      </c>
      <c r="G879" s="360" t="s">
        <v>36</v>
      </c>
      <c r="H879" s="361"/>
      <c r="I879" s="361"/>
      <c r="J879" s="361" t="s">
        <v>541</v>
      </c>
      <c r="K879" s="363"/>
      <c r="L879" s="360"/>
      <c r="M879" s="360"/>
      <c r="N879" s="361"/>
      <c r="O879" s="361"/>
      <c r="P879" s="361"/>
      <c r="Q879" s="361"/>
      <c r="R879" s="362"/>
      <c r="S879" s="361"/>
      <c r="T879" s="360" t="s">
        <v>132</v>
      </c>
    </row>
    <row r="880" ht="34.5">
      <c r="A880" s="360" t="s">
        <v>860</v>
      </c>
      <c r="B880" s="360" t="s">
        <v>861</v>
      </c>
      <c r="C880" s="360" t="s">
        <v>528</v>
      </c>
      <c r="D880" s="360" t="s">
        <v>128</v>
      </c>
      <c r="E880" s="360" t="s">
        <v>544</v>
      </c>
      <c r="F880" s="361" t="s">
        <v>971</v>
      </c>
      <c r="G880" s="360" t="s">
        <v>36</v>
      </c>
      <c r="H880" s="361"/>
      <c r="I880" s="361"/>
      <c r="J880" s="361" t="s">
        <v>560</v>
      </c>
      <c r="K880" s="363"/>
      <c r="L880" s="360"/>
      <c r="M880" s="360"/>
      <c r="N880" s="361"/>
      <c r="O880" s="361"/>
      <c r="P880" s="361"/>
      <c r="Q880" s="361"/>
      <c r="R880" s="362"/>
      <c r="S880" s="361"/>
      <c r="T880" s="360" t="s">
        <v>132</v>
      </c>
    </row>
    <row r="881" ht="34.5">
      <c r="A881" s="360" t="s">
        <v>860</v>
      </c>
      <c r="B881" s="360" t="s">
        <v>861</v>
      </c>
      <c r="C881" s="360" t="s">
        <v>528</v>
      </c>
      <c r="D881" s="360" t="s">
        <v>547</v>
      </c>
      <c r="E881" s="360" t="s">
        <v>544</v>
      </c>
      <c r="F881" s="361" t="s">
        <v>971</v>
      </c>
      <c r="G881" s="360" t="s">
        <v>36</v>
      </c>
      <c r="H881" s="361"/>
      <c r="I881" s="361"/>
      <c r="J881" s="361" t="s">
        <v>548</v>
      </c>
      <c r="K881" s="363"/>
      <c r="L881" s="360"/>
      <c r="M881" s="360"/>
      <c r="N881" s="361"/>
      <c r="O881" s="361"/>
      <c r="P881" s="361"/>
      <c r="Q881" s="361"/>
      <c r="R881" s="362"/>
      <c r="S881" s="361"/>
      <c r="T881" s="360" t="s">
        <v>132</v>
      </c>
    </row>
    <row r="882" ht="34.5">
      <c r="A882" s="360" t="s">
        <v>860</v>
      </c>
      <c r="B882" s="360" t="s">
        <v>861</v>
      </c>
      <c r="C882" s="360" t="s">
        <v>528</v>
      </c>
      <c r="D882" s="360" t="s">
        <v>128</v>
      </c>
      <c r="E882" s="360" t="s">
        <v>544</v>
      </c>
      <c r="F882" s="361" t="s">
        <v>971</v>
      </c>
      <c r="G882" s="360" t="s">
        <v>36</v>
      </c>
      <c r="H882" s="361"/>
      <c r="I882" s="361"/>
      <c r="J882" s="361" t="s">
        <v>563</v>
      </c>
      <c r="K882" s="363"/>
      <c r="L882" s="360"/>
      <c r="M882" s="360"/>
      <c r="N882" s="361"/>
      <c r="O882" s="361"/>
      <c r="P882" s="361"/>
      <c r="Q882" s="361"/>
      <c r="R882" s="362"/>
      <c r="S882" s="361"/>
      <c r="T882" s="360" t="s">
        <v>132</v>
      </c>
    </row>
    <row r="883" ht="34.5">
      <c r="A883" s="360" t="s">
        <v>860</v>
      </c>
      <c r="B883" s="360" t="s">
        <v>861</v>
      </c>
      <c r="C883" s="360" t="s">
        <v>528</v>
      </c>
      <c r="D883" s="360" t="s">
        <v>556</v>
      </c>
      <c r="E883" s="360" t="s">
        <v>544</v>
      </c>
      <c r="F883" s="361" t="s">
        <v>971</v>
      </c>
      <c r="G883" s="360" t="s">
        <v>36</v>
      </c>
      <c r="H883" s="361"/>
      <c r="I883" s="361"/>
      <c r="J883" s="361" t="s">
        <v>557</v>
      </c>
      <c r="K883" s="363"/>
      <c r="L883" s="360"/>
      <c r="M883" s="360"/>
      <c r="N883" s="361"/>
      <c r="O883" s="361"/>
      <c r="P883" s="361"/>
      <c r="Q883" s="361"/>
      <c r="R883" s="362"/>
      <c r="S883" s="361"/>
      <c r="T883" s="360" t="s">
        <v>132</v>
      </c>
    </row>
    <row r="884" ht="34.5">
      <c r="A884" s="360" t="s">
        <v>860</v>
      </c>
      <c r="B884" s="360" t="s">
        <v>861</v>
      </c>
      <c r="C884" s="360" t="s">
        <v>543</v>
      </c>
      <c r="D884" s="360" t="s">
        <v>128</v>
      </c>
      <c r="E884" s="360" t="s">
        <v>550</v>
      </c>
      <c r="F884" s="361" t="s">
        <v>972</v>
      </c>
      <c r="G884" s="360" t="s">
        <v>531</v>
      </c>
      <c r="H884" s="361"/>
      <c r="I884" s="361"/>
      <c r="J884" s="361" t="s">
        <v>568</v>
      </c>
      <c r="K884" s="363"/>
      <c r="L884" s="360"/>
      <c r="M884" s="360"/>
      <c r="N884" s="361"/>
      <c r="O884" s="361"/>
      <c r="P884" s="361"/>
      <c r="Q884" s="361"/>
      <c r="R884" s="362"/>
      <c r="S884" s="361"/>
      <c r="T884" s="360" t="s">
        <v>132</v>
      </c>
    </row>
    <row r="885" ht="34.5">
      <c r="A885" s="360" t="s">
        <v>860</v>
      </c>
      <c r="B885" s="360" t="s">
        <v>861</v>
      </c>
      <c r="C885" s="360" t="s">
        <v>543</v>
      </c>
      <c r="D885" s="360" t="s">
        <v>561</v>
      </c>
      <c r="E885" s="360" t="s">
        <v>550</v>
      </c>
      <c r="F885" s="361" t="s">
        <v>972</v>
      </c>
      <c r="G885" s="360" t="s">
        <v>531</v>
      </c>
      <c r="H885" s="361"/>
      <c r="I885" s="361"/>
      <c r="J885" s="361" t="s">
        <v>562</v>
      </c>
      <c r="K885" s="363"/>
      <c r="L885" s="360"/>
      <c r="M885" s="360"/>
      <c r="N885" s="361"/>
      <c r="O885" s="361"/>
      <c r="P885" s="361"/>
      <c r="Q885" s="361"/>
      <c r="R885" s="362"/>
      <c r="S885" s="361"/>
      <c r="T885" s="360" t="s">
        <v>132</v>
      </c>
    </row>
    <row r="886" ht="34.5">
      <c r="A886" s="360" t="s">
        <v>860</v>
      </c>
      <c r="B886" s="360" t="s">
        <v>861</v>
      </c>
      <c r="C886" s="360" t="s">
        <v>543</v>
      </c>
      <c r="D886" s="360" t="s">
        <v>128</v>
      </c>
      <c r="E886" s="360" t="s">
        <v>550</v>
      </c>
      <c r="F886" s="361" t="s">
        <v>972</v>
      </c>
      <c r="G886" s="360" t="s">
        <v>531</v>
      </c>
      <c r="H886" s="361"/>
      <c r="I886" s="361"/>
      <c r="J886" s="361" t="s">
        <v>560</v>
      </c>
      <c r="K886" s="363"/>
      <c r="L886" s="360"/>
      <c r="M886" s="360"/>
      <c r="N886" s="361"/>
      <c r="O886" s="361"/>
      <c r="P886" s="361"/>
      <c r="Q886" s="361"/>
      <c r="R886" s="362"/>
      <c r="S886" s="361"/>
      <c r="T886" s="360" t="s">
        <v>132</v>
      </c>
    </row>
    <row r="887" ht="34.5">
      <c r="A887" s="360" t="s">
        <v>860</v>
      </c>
      <c r="B887" s="360" t="s">
        <v>861</v>
      </c>
      <c r="C887" s="360" t="s">
        <v>543</v>
      </c>
      <c r="D887" s="360" t="s">
        <v>564</v>
      </c>
      <c r="E887" s="360" t="s">
        <v>550</v>
      </c>
      <c r="F887" s="361" t="s">
        <v>972</v>
      </c>
      <c r="G887" s="360" t="s">
        <v>531</v>
      </c>
      <c r="H887" s="361"/>
      <c r="I887" s="361"/>
      <c r="J887" s="361" t="s">
        <v>565</v>
      </c>
      <c r="K887" s="363"/>
      <c r="L887" s="360"/>
      <c r="M887" s="360"/>
      <c r="N887" s="361"/>
      <c r="O887" s="361"/>
      <c r="P887" s="361"/>
      <c r="Q887" s="361"/>
      <c r="R887" s="362"/>
      <c r="S887" s="361"/>
      <c r="T887" s="360" t="s">
        <v>132</v>
      </c>
    </row>
    <row r="888" ht="34.5">
      <c r="A888" s="360" t="s">
        <v>860</v>
      </c>
      <c r="B888" s="360" t="s">
        <v>861</v>
      </c>
      <c r="C888" s="360" t="s">
        <v>543</v>
      </c>
      <c r="D888" s="360" t="s">
        <v>128</v>
      </c>
      <c r="E888" s="360" t="s">
        <v>550</v>
      </c>
      <c r="F888" s="361" t="s">
        <v>972</v>
      </c>
      <c r="G888" s="360" t="s">
        <v>531</v>
      </c>
      <c r="H888" s="361"/>
      <c r="I888" s="361"/>
      <c r="J888" s="361" t="s">
        <v>575</v>
      </c>
      <c r="K888" s="363"/>
      <c r="L888" s="360"/>
      <c r="M888" s="360"/>
      <c r="N888" s="361"/>
      <c r="O888" s="361"/>
      <c r="P888" s="361"/>
      <c r="Q888" s="361"/>
      <c r="R888" s="362"/>
      <c r="S888" s="361"/>
      <c r="T888" s="360" t="s">
        <v>132</v>
      </c>
    </row>
    <row r="889" ht="34.5">
      <c r="A889" s="360" t="s">
        <v>860</v>
      </c>
      <c r="B889" s="360" t="s">
        <v>861</v>
      </c>
      <c r="C889" s="360" t="s">
        <v>543</v>
      </c>
      <c r="D889" s="360" t="s">
        <v>569</v>
      </c>
      <c r="E889" s="360" t="s">
        <v>550</v>
      </c>
      <c r="F889" s="361" t="s">
        <v>972</v>
      </c>
      <c r="G889" s="360" t="s">
        <v>531</v>
      </c>
      <c r="H889" s="361"/>
      <c r="I889" s="361"/>
      <c r="J889" s="361" t="s">
        <v>570</v>
      </c>
      <c r="K889" s="363"/>
      <c r="L889" s="360"/>
      <c r="M889" s="360"/>
      <c r="N889" s="361"/>
      <c r="O889" s="361"/>
      <c r="P889" s="361"/>
      <c r="Q889" s="361"/>
      <c r="R889" s="362"/>
      <c r="S889" s="361"/>
      <c r="T889" s="360" t="s">
        <v>132</v>
      </c>
    </row>
    <row r="890" ht="34.5">
      <c r="A890" s="360" t="s">
        <v>860</v>
      </c>
      <c r="B890" s="360" t="s">
        <v>861</v>
      </c>
      <c r="C890" s="360" t="s">
        <v>559</v>
      </c>
      <c r="D890" s="360" t="s">
        <v>128</v>
      </c>
      <c r="E890" s="360" t="s">
        <v>553</v>
      </c>
      <c r="F890" s="361" t="s">
        <v>973</v>
      </c>
      <c r="G890" s="360" t="s">
        <v>531</v>
      </c>
      <c r="H890" s="361"/>
      <c r="I890" s="361"/>
      <c r="J890" s="361" t="s">
        <v>582</v>
      </c>
      <c r="K890" s="363"/>
      <c r="L890" s="360"/>
      <c r="M890" s="360"/>
      <c r="N890" s="361"/>
      <c r="O890" s="361"/>
      <c r="P890" s="361"/>
      <c r="Q890" s="361"/>
      <c r="R890" s="362"/>
      <c r="S890" s="361"/>
      <c r="T890" s="360" t="s">
        <v>132</v>
      </c>
    </row>
    <row r="891" ht="34.5">
      <c r="A891" s="360" t="s">
        <v>860</v>
      </c>
      <c r="B891" s="360" t="s">
        <v>861</v>
      </c>
      <c r="C891" s="360" t="s">
        <v>559</v>
      </c>
      <c r="D891" s="360" t="s">
        <v>573</v>
      </c>
      <c r="E891" s="360" t="s">
        <v>553</v>
      </c>
      <c r="F891" s="361" t="s">
        <v>973</v>
      </c>
      <c r="G891" s="360" t="s">
        <v>531</v>
      </c>
      <c r="H891" s="361"/>
      <c r="I891" s="361"/>
      <c r="J891" s="361" t="s">
        <v>574</v>
      </c>
      <c r="K891" s="363"/>
      <c r="L891" s="360"/>
      <c r="M891" s="360"/>
      <c r="N891" s="361"/>
      <c r="O891" s="361"/>
      <c r="P891" s="361"/>
      <c r="Q891" s="361"/>
      <c r="R891" s="362"/>
      <c r="S891" s="361"/>
      <c r="T891" s="360" t="s">
        <v>132</v>
      </c>
    </row>
    <row r="892" ht="34.5">
      <c r="A892" s="360" t="s">
        <v>860</v>
      </c>
      <c r="B892" s="360" t="s">
        <v>861</v>
      </c>
      <c r="C892" s="360" t="s">
        <v>559</v>
      </c>
      <c r="D892" s="360" t="s">
        <v>128</v>
      </c>
      <c r="E892" s="360" t="s">
        <v>553</v>
      </c>
      <c r="F892" s="361" t="s">
        <v>973</v>
      </c>
      <c r="G892" s="360" t="s">
        <v>531</v>
      </c>
      <c r="H892" s="361"/>
      <c r="I892" s="361"/>
      <c r="J892" s="361" t="s">
        <v>585</v>
      </c>
      <c r="K892" s="363"/>
      <c r="L892" s="360"/>
      <c r="M892" s="360"/>
      <c r="N892" s="361"/>
      <c r="O892" s="361"/>
      <c r="P892" s="361"/>
      <c r="Q892" s="361"/>
      <c r="R892" s="362"/>
      <c r="S892" s="361"/>
      <c r="T892" s="360" t="s">
        <v>132</v>
      </c>
    </row>
    <row r="893" ht="34.5">
      <c r="A893" s="360" t="s">
        <v>860</v>
      </c>
      <c r="B893" s="360" t="s">
        <v>861</v>
      </c>
      <c r="C893" s="360" t="s">
        <v>559</v>
      </c>
      <c r="D893" s="360" t="s">
        <v>576</v>
      </c>
      <c r="E893" s="360" t="s">
        <v>553</v>
      </c>
      <c r="F893" s="361" t="s">
        <v>973</v>
      </c>
      <c r="G893" s="360" t="s">
        <v>531</v>
      </c>
      <c r="H893" s="361"/>
      <c r="I893" s="361"/>
      <c r="J893" s="361" t="s">
        <v>577</v>
      </c>
      <c r="K893" s="363"/>
      <c r="L893" s="360"/>
      <c r="M893" s="360"/>
      <c r="N893" s="361"/>
      <c r="O893" s="361"/>
      <c r="P893" s="361"/>
      <c r="Q893" s="361"/>
      <c r="R893" s="362"/>
      <c r="S893" s="361"/>
      <c r="T893" s="360" t="s">
        <v>132</v>
      </c>
    </row>
    <row r="894" ht="34.5">
      <c r="A894" s="360" t="s">
        <v>860</v>
      </c>
      <c r="B894" s="360" t="s">
        <v>861</v>
      </c>
      <c r="C894" s="360" t="s">
        <v>572</v>
      </c>
      <c r="D894" s="360" t="s">
        <v>128</v>
      </c>
      <c r="E894" s="360" t="s">
        <v>566</v>
      </c>
      <c r="F894" s="361" t="s">
        <v>974</v>
      </c>
      <c r="G894" s="360" t="s">
        <v>531</v>
      </c>
      <c r="H894" s="361"/>
      <c r="I894" s="361"/>
      <c r="J894" s="361" t="s">
        <v>546</v>
      </c>
      <c r="K894" s="363"/>
      <c r="L894" s="360"/>
      <c r="M894" s="360"/>
      <c r="N894" s="361"/>
      <c r="O894" s="361"/>
      <c r="P894" s="361"/>
      <c r="Q894" s="361"/>
      <c r="R894" s="362"/>
      <c r="S894" s="361"/>
      <c r="T894" s="360" t="s">
        <v>132</v>
      </c>
    </row>
    <row r="895" ht="34.5">
      <c r="A895" s="360" t="s">
        <v>860</v>
      </c>
      <c r="B895" s="360" t="s">
        <v>861</v>
      </c>
      <c r="C895" s="360" t="s">
        <v>572</v>
      </c>
      <c r="D895" s="360" t="s">
        <v>583</v>
      </c>
      <c r="E895" s="360" t="s">
        <v>566</v>
      </c>
      <c r="F895" s="361" t="s">
        <v>974</v>
      </c>
      <c r="G895" s="360" t="s">
        <v>531</v>
      </c>
      <c r="H895" s="361"/>
      <c r="I895" s="361"/>
      <c r="J895" s="361" t="s">
        <v>584</v>
      </c>
      <c r="K895" s="363"/>
      <c r="L895" s="360"/>
      <c r="M895" s="360"/>
      <c r="N895" s="361"/>
      <c r="O895" s="361"/>
      <c r="P895" s="361"/>
      <c r="Q895" s="361"/>
      <c r="R895" s="362"/>
      <c r="S895" s="361"/>
      <c r="T895" s="360" t="s">
        <v>132</v>
      </c>
    </row>
    <row r="896" ht="34.5">
      <c r="A896" s="360" t="s">
        <v>860</v>
      </c>
      <c r="B896" s="360" t="s">
        <v>861</v>
      </c>
      <c r="C896" s="360" t="s">
        <v>572</v>
      </c>
      <c r="D896" s="360" t="s">
        <v>128</v>
      </c>
      <c r="E896" s="360" t="s">
        <v>566</v>
      </c>
      <c r="F896" s="361" t="s">
        <v>974</v>
      </c>
      <c r="G896" s="360" t="s">
        <v>531</v>
      </c>
      <c r="H896" s="361"/>
      <c r="I896" s="361"/>
      <c r="J896" s="361" t="s">
        <v>975</v>
      </c>
      <c r="K896" s="363"/>
      <c r="L896" s="360"/>
      <c r="M896" s="360"/>
      <c r="N896" s="361"/>
      <c r="O896" s="361"/>
      <c r="P896" s="361"/>
      <c r="Q896" s="361"/>
      <c r="R896" s="362"/>
      <c r="S896" s="361"/>
      <c r="T896" s="360" t="s">
        <v>132</v>
      </c>
    </row>
    <row r="897" ht="34.5">
      <c r="A897" s="360" t="s">
        <v>860</v>
      </c>
      <c r="B897" s="360" t="s">
        <v>861</v>
      </c>
      <c r="C897" s="360" t="s">
        <v>572</v>
      </c>
      <c r="D897" s="360" t="s">
        <v>128</v>
      </c>
      <c r="E897" s="360" t="s">
        <v>580</v>
      </c>
      <c r="F897" s="361" t="s">
        <v>976</v>
      </c>
      <c r="G897" s="360" t="s">
        <v>36</v>
      </c>
      <c r="H897" s="361"/>
      <c r="I897" s="361"/>
      <c r="J897" s="361" t="s">
        <v>977</v>
      </c>
      <c r="K897" s="363">
        <v>16886634</v>
      </c>
      <c r="L897" s="360" t="s">
        <v>314</v>
      </c>
      <c r="M897" s="360"/>
      <c r="N897" s="361"/>
      <c r="O897" s="361"/>
      <c r="P897" s="361"/>
      <c r="Q897" s="361"/>
      <c r="R897" s="362"/>
      <c r="S897" s="361"/>
      <c r="T897" s="360" t="s">
        <v>132</v>
      </c>
    </row>
    <row r="898" ht="34.5">
      <c r="A898" s="360" t="s">
        <v>860</v>
      </c>
      <c r="B898" s="360" t="s">
        <v>861</v>
      </c>
      <c r="C898" s="360" t="s">
        <v>572</v>
      </c>
      <c r="D898" s="360" t="s">
        <v>128</v>
      </c>
      <c r="E898" s="360" t="s">
        <v>590</v>
      </c>
      <c r="F898" s="361" t="s">
        <v>978</v>
      </c>
      <c r="G898" s="360" t="s">
        <v>36</v>
      </c>
      <c r="H898" s="361"/>
      <c r="I898" s="361"/>
      <c r="J898" s="361" t="s">
        <v>979</v>
      </c>
      <c r="K898" s="363"/>
      <c r="L898" s="360"/>
      <c r="M898" s="360"/>
      <c r="N898" s="361"/>
      <c r="O898" s="361"/>
      <c r="P898" s="361"/>
      <c r="Q898" s="361"/>
      <c r="R898" s="362"/>
      <c r="S898" s="361"/>
      <c r="T898" s="360" t="s">
        <v>132</v>
      </c>
    </row>
    <row r="899" ht="34.5">
      <c r="A899" s="360" t="s">
        <v>860</v>
      </c>
      <c r="B899" s="360" t="s">
        <v>861</v>
      </c>
      <c r="C899" s="360" t="s">
        <v>572</v>
      </c>
      <c r="D899" s="360" t="s">
        <v>586</v>
      </c>
      <c r="E899" s="360" t="s">
        <v>590</v>
      </c>
      <c r="F899" s="361" t="s">
        <v>978</v>
      </c>
      <c r="G899" s="360" t="s">
        <v>36</v>
      </c>
      <c r="H899" s="361"/>
      <c r="I899" s="361"/>
      <c r="J899" s="361" t="s">
        <v>587</v>
      </c>
      <c r="K899" s="363"/>
      <c r="L899" s="360"/>
      <c r="M899" s="360"/>
      <c r="N899" s="361"/>
      <c r="O899" s="361"/>
      <c r="P899" s="361"/>
      <c r="Q899" s="361"/>
      <c r="R899" s="362"/>
      <c r="S899" s="361"/>
      <c r="T899" s="360" t="s">
        <v>132</v>
      </c>
    </row>
    <row r="900" ht="34.5">
      <c r="A900" s="360" t="s">
        <v>860</v>
      </c>
      <c r="B900" s="360" t="s">
        <v>861</v>
      </c>
      <c r="C900" s="360" t="s">
        <v>579</v>
      </c>
      <c r="D900" s="360" t="s">
        <v>128</v>
      </c>
      <c r="E900" s="360" t="s">
        <v>621</v>
      </c>
      <c r="F900" s="361" t="s">
        <v>980</v>
      </c>
      <c r="G900" s="360" t="s">
        <v>468</v>
      </c>
      <c r="H900" s="361"/>
      <c r="I900" s="361"/>
      <c r="J900" s="361" t="s">
        <v>981</v>
      </c>
      <c r="K900" s="363"/>
      <c r="L900" s="360"/>
      <c r="M900" s="360"/>
      <c r="N900" s="361"/>
      <c r="O900" s="361"/>
      <c r="P900" s="361"/>
      <c r="Q900" s="361"/>
      <c r="R900" s="362"/>
      <c r="S900" s="361"/>
      <c r="T900" s="360" t="s">
        <v>132</v>
      </c>
    </row>
    <row r="901" ht="34.5">
      <c r="A901" s="360" t="s">
        <v>860</v>
      </c>
      <c r="B901" s="360" t="s">
        <v>861</v>
      </c>
      <c r="C901" s="360" t="s">
        <v>579</v>
      </c>
      <c r="D901" s="360" t="s">
        <v>593</v>
      </c>
      <c r="E901" s="360" t="s">
        <v>621</v>
      </c>
      <c r="F901" s="361" t="s">
        <v>980</v>
      </c>
      <c r="G901" s="360" t="s">
        <v>468</v>
      </c>
      <c r="H901" s="361"/>
      <c r="I901" s="361"/>
      <c r="J901" s="361" t="s">
        <v>594</v>
      </c>
      <c r="K901" s="363"/>
      <c r="L901" s="360"/>
      <c r="M901" s="360"/>
      <c r="N901" s="361"/>
      <c r="O901" s="361"/>
      <c r="P901" s="361"/>
      <c r="Q901" s="361"/>
      <c r="R901" s="362"/>
      <c r="S901" s="361"/>
      <c r="T901" s="360" t="s">
        <v>132</v>
      </c>
    </row>
    <row r="902" ht="34.5">
      <c r="A902" s="360" t="s">
        <v>860</v>
      </c>
      <c r="B902" s="360" t="s">
        <v>861</v>
      </c>
      <c r="C902" s="360" t="s">
        <v>579</v>
      </c>
      <c r="D902" s="360" t="s">
        <v>128</v>
      </c>
      <c r="E902" s="360" t="s">
        <v>621</v>
      </c>
      <c r="F902" s="361" t="s">
        <v>980</v>
      </c>
      <c r="G902" s="360" t="s">
        <v>468</v>
      </c>
      <c r="H902" s="361"/>
      <c r="I902" s="361"/>
      <c r="J902" s="361" t="s">
        <v>595</v>
      </c>
      <c r="K902" s="363"/>
      <c r="L902" s="360"/>
      <c r="M902" s="360"/>
      <c r="N902" s="361"/>
      <c r="O902" s="361"/>
      <c r="P902" s="361"/>
      <c r="Q902" s="361"/>
      <c r="R902" s="362"/>
      <c r="S902" s="361"/>
      <c r="T902" s="360" t="s">
        <v>132</v>
      </c>
    </row>
    <row r="903" ht="34.5">
      <c r="A903" s="360" t="s">
        <v>860</v>
      </c>
      <c r="B903" s="360" t="s">
        <v>861</v>
      </c>
      <c r="C903" s="360" t="s">
        <v>579</v>
      </c>
      <c r="D903" s="360" t="s">
        <v>596</v>
      </c>
      <c r="E903" s="360" t="s">
        <v>621</v>
      </c>
      <c r="F903" s="361" t="s">
        <v>980</v>
      </c>
      <c r="G903" s="360" t="s">
        <v>468</v>
      </c>
      <c r="H903" s="361"/>
      <c r="I903" s="361"/>
      <c r="J903" s="361" t="s">
        <v>597</v>
      </c>
      <c r="K903" s="363"/>
      <c r="L903" s="360"/>
      <c r="M903" s="360"/>
      <c r="N903" s="361"/>
      <c r="O903" s="361"/>
      <c r="P903" s="361"/>
      <c r="Q903" s="361"/>
      <c r="R903" s="362"/>
      <c r="S903" s="361"/>
      <c r="T903" s="360" t="s">
        <v>132</v>
      </c>
    </row>
    <row r="904" ht="34.5">
      <c r="A904" s="360" t="s">
        <v>860</v>
      </c>
      <c r="B904" s="360" t="s">
        <v>861</v>
      </c>
      <c r="C904" s="360" t="s">
        <v>579</v>
      </c>
      <c r="D904" s="360" t="s">
        <v>128</v>
      </c>
      <c r="E904" s="360" t="s">
        <v>621</v>
      </c>
      <c r="F904" s="361" t="s">
        <v>980</v>
      </c>
      <c r="G904" s="360" t="s">
        <v>468</v>
      </c>
      <c r="H904" s="361"/>
      <c r="I904" s="361"/>
      <c r="J904" s="361" t="s">
        <v>982</v>
      </c>
      <c r="K904" s="363"/>
      <c r="L904" s="360"/>
      <c r="M904" s="360"/>
      <c r="N904" s="361"/>
      <c r="O904" s="361"/>
      <c r="P904" s="361"/>
      <c r="Q904" s="361"/>
      <c r="R904" s="362"/>
      <c r="S904" s="361"/>
      <c r="T904" s="360" t="s">
        <v>132</v>
      </c>
    </row>
    <row r="905" ht="34.5">
      <c r="A905" s="360" t="s">
        <v>860</v>
      </c>
      <c r="B905" s="360" t="s">
        <v>861</v>
      </c>
      <c r="C905" s="360" t="s">
        <v>579</v>
      </c>
      <c r="D905" s="360" t="s">
        <v>599</v>
      </c>
      <c r="E905" s="360" t="s">
        <v>621</v>
      </c>
      <c r="F905" s="361" t="s">
        <v>980</v>
      </c>
      <c r="G905" s="360" t="s">
        <v>468</v>
      </c>
      <c r="H905" s="361"/>
      <c r="I905" s="361"/>
      <c r="J905" s="361" t="s">
        <v>600</v>
      </c>
      <c r="K905" s="363"/>
      <c r="L905" s="360"/>
      <c r="M905" s="360"/>
      <c r="N905" s="361"/>
      <c r="O905" s="361"/>
      <c r="P905" s="361"/>
      <c r="Q905" s="361"/>
      <c r="R905" s="362"/>
      <c r="S905" s="361"/>
      <c r="T905" s="360" t="s">
        <v>132</v>
      </c>
    </row>
    <row r="906" ht="34.5">
      <c r="A906" s="360" t="s">
        <v>860</v>
      </c>
      <c r="B906" s="360" t="s">
        <v>861</v>
      </c>
      <c r="C906" s="360" t="s">
        <v>579</v>
      </c>
      <c r="D906" s="360" t="s">
        <v>128</v>
      </c>
      <c r="E906" s="360" t="s">
        <v>621</v>
      </c>
      <c r="F906" s="361" t="s">
        <v>980</v>
      </c>
      <c r="G906" s="360" t="s">
        <v>468</v>
      </c>
      <c r="H906" s="361"/>
      <c r="I906" s="361"/>
      <c r="J906" s="361" t="s">
        <v>598</v>
      </c>
      <c r="K906" s="363"/>
      <c r="L906" s="360"/>
      <c r="M906" s="360"/>
      <c r="N906" s="361"/>
      <c r="O906" s="361"/>
      <c r="P906" s="361"/>
      <c r="Q906" s="361"/>
      <c r="R906" s="362"/>
      <c r="S906" s="361"/>
      <c r="T906" s="360" t="s">
        <v>132</v>
      </c>
    </row>
    <row r="907" ht="34.5">
      <c r="A907" s="360" t="s">
        <v>860</v>
      </c>
      <c r="B907" s="360" t="s">
        <v>861</v>
      </c>
      <c r="C907" s="360" t="s">
        <v>579</v>
      </c>
      <c r="D907" s="360" t="s">
        <v>604</v>
      </c>
      <c r="E907" s="360" t="s">
        <v>621</v>
      </c>
      <c r="F907" s="361" t="s">
        <v>980</v>
      </c>
      <c r="G907" s="360" t="s">
        <v>468</v>
      </c>
      <c r="H907" s="361"/>
      <c r="I907" s="361"/>
      <c r="J907" s="361" t="s">
        <v>605</v>
      </c>
      <c r="K907" s="363"/>
      <c r="L907" s="360"/>
      <c r="M907" s="360"/>
      <c r="N907" s="361"/>
      <c r="O907" s="361"/>
      <c r="P907" s="361"/>
      <c r="Q907" s="361"/>
      <c r="R907" s="362"/>
      <c r="S907" s="361"/>
      <c r="T907" s="360" t="s">
        <v>132</v>
      </c>
    </row>
    <row r="908" ht="34.5">
      <c r="A908" s="360" t="s">
        <v>860</v>
      </c>
      <c r="B908" s="360" t="s">
        <v>861</v>
      </c>
      <c r="C908" s="360" t="s">
        <v>589</v>
      </c>
      <c r="D908" s="360" t="s">
        <v>128</v>
      </c>
      <c r="E908" s="360" t="s">
        <v>621</v>
      </c>
      <c r="F908" s="361" t="s">
        <v>980</v>
      </c>
      <c r="G908" s="360" t="s">
        <v>468</v>
      </c>
      <c r="H908" s="361"/>
      <c r="I908" s="361"/>
      <c r="J908" s="361" t="s">
        <v>603</v>
      </c>
      <c r="K908" s="363"/>
      <c r="L908" s="360"/>
      <c r="M908" s="360"/>
      <c r="N908" s="361"/>
      <c r="O908" s="361"/>
      <c r="P908" s="361"/>
      <c r="Q908" s="361"/>
      <c r="R908" s="362"/>
      <c r="S908" s="361"/>
      <c r="T908" s="360" t="s">
        <v>132</v>
      </c>
    </row>
    <row r="909" ht="34.5">
      <c r="A909" s="360" t="s">
        <v>860</v>
      </c>
      <c r="B909" s="360" t="s">
        <v>861</v>
      </c>
      <c r="C909" s="360" t="s">
        <v>589</v>
      </c>
      <c r="D909" s="360" t="s">
        <v>607</v>
      </c>
      <c r="E909" s="360" t="s">
        <v>621</v>
      </c>
      <c r="F909" s="361" t="s">
        <v>980</v>
      </c>
      <c r="G909" s="360" t="s">
        <v>468</v>
      </c>
      <c r="H909" s="361"/>
      <c r="I909" s="361"/>
      <c r="J909" s="361" t="s">
        <v>608</v>
      </c>
      <c r="K909" s="363"/>
      <c r="L909" s="360"/>
      <c r="M909" s="360"/>
      <c r="N909" s="361"/>
      <c r="O909" s="361"/>
      <c r="P909" s="361"/>
      <c r="Q909" s="361"/>
      <c r="R909" s="362"/>
      <c r="S909" s="361"/>
      <c r="T909" s="360" t="s">
        <v>132</v>
      </c>
    </row>
    <row r="910" ht="34.5">
      <c r="A910" s="360" t="s">
        <v>860</v>
      </c>
      <c r="B910" s="360" t="s">
        <v>861</v>
      </c>
      <c r="C910" s="360" t="s">
        <v>589</v>
      </c>
      <c r="D910" s="360" t="s">
        <v>128</v>
      </c>
      <c r="E910" s="360" t="s">
        <v>621</v>
      </c>
      <c r="F910" s="361" t="s">
        <v>980</v>
      </c>
      <c r="G910" s="360" t="s">
        <v>468</v>
      </c>
      <c r="H910" s="361"/>
      <c r="I910" s="361"/>
      <c r="J910" s="361" t="s">
        <v>606</v>
      </c>
      <c r="K910" s="363"/>
      <c r="L910" s="360"/>
      <c r="M910" s="360"/>
      <c r="N910" s="361"/>
      <c r="O910" s="361"/>
      <c r="P910" s="361"/>
      <c r="Q910" s="361"/>
      <c r="R910" s="362"/>
      <c r="S910" s="361"/>
      <c r="T910" s="360" t="s">
        <v>132</v>
      </c>
    </row>
    <row r="911" ht="34.5">
      <c r="A911" s="360" t="s">
        <v>860</v>
      </c>
      <c r="B911" s="360" t="s">
        <v>861</v>
      </c>
      <c r="C911" s="360" t="s">
        <v>589</v>
      </c>
      <c r="D911" s="360" t="s">
        <v>611</v>
      </c>
      <c r="E911" s="360" t="s">
        <v>621</v>
      </c>
      <c r="F911" s="361" t="s">
        <v>980</v>
      </c>
      <c r="G911" s="360" t="s">
        <v>468</v>
      </c>
      <c r="H911" s="361"/>
      <c r="I911" s="361"/>
      <c r="J911" s="361" t="s">
        <v>612</v>
      </c>
      <c r="K911" s="363"/>
      <c r="L911" s="360"/>
      <c r="M911" s="360"/>
      <c r="N911" s="361"/>
      <c r="O911" s="361"/>
      <c r="P911" s="361"/>
      <c r="Q911" s="361"/>
      <c r="R911" s="362"/>
      <c r="S911" s="361"/>
      <c r="T911" s="360" t="s">
        <v>132</v>
      </c>
    </row>
    <row r="912" ht="34.5">
      <c r="A912" s="360" t="s">
        <v>860</v>
      </c>
      <c r="B912" s="360" t="s">
        <v>861</v>
      </c>
      <c r="C912" s="360" t="s">
        <v>602</v>
      </c>
      <c r="D912" s="360" t="s">
        <v>128</v>
      </c>
      <c r="E912" s="360" t="s">
        <v>621</v>
      </c>
      <c r="F912" s="361" t="s">
        <v>980</v>
      </c>
      <c r="G912" s="360" t="s">
        <v>468</v>
      </c>
      <c r="H912" s="361"/>
      <c r="I912" s="361"/>
      <c r="J912" s="361" t="s">
        <v>983</v>
      </c>
      <c r="K912" s="363"/>
      <c r="L912" s="360"/>
      <c r="M912" s="360"/>
      <c r="N912" s="361"/>
      <c r="O912" s="361"/>
      <c r="P912" s="361"/>
      <c r="Q912" s="361"/>
      <c r="R912" s="362"/>
      <c r="S912" s="361"/>
      <c r="T912" s="360" t="s">
        <v>132</v>
      </c>
    </row>
    <row r="913" ht="34.5">
      <c r="A913" s="360" t="s">
        <v>860</v>
      </c>
      <c r="B913" s="360" t="s">
        <v>861</v>
      </c>
      <c r="C913" s="360" t="s">
        <v>602</v>
      </c>
      <c r="D913" s="360" t="s">
        <v>128</v>
      </c>
      <c r="E913" s="360" t="s">
        <v>621</v>
      </c>
      <c r="F913" s="361" t="s">
        <v>980</v>
      </c>
      <c r="G913" s="360" t="s">
        <v>468</v>
      </c>
      <c r="H913" s="361"/>
      <c r="I913" s="361"/>
      <c r="J913" s="361" t="s">
        <v>610</v>
      </c>
      <c r="K913" s="363"/>
      <c r="L913" s="360"/>
      <c r="M913" s="360"/>
      <c r="N913" s="361"/>
      <c r="O913" s="361"/>
      <c r="P913" s="361"/>
      <c r="Q913" s="361"/>
      <c r="R913" s="362"/>
      <c r="S913" s="361"/>
      <c r="T913" s="360" t="s">
        <v>132</v>
      </c>
    </row>
    <row r="914" ht="34.5">
      <c r="A914" s="360" t="s">
        <v>860</v>
      </c>
      <c r="B914" s="360" t="s">
        <v>861</v>
      </c>
      <c r="C914" s="360" t="s">
        <v>602</v>
      </c>
      <c r="D914" s="360" t="s">
        <v>619</v>
      </c>
      <c r="E914" s="360" t="s">
        <v>621</v>
      </c>
      <c r="F914" s="361" t="s">
        <v>980</v>
      </c>
      <c r="G914" s="360" t="s">
        <v>468</v>
      </c>
      <c r="H914" s="361"/>
      <c r="I914" s="361"/>
      <c r="J914" s="361" t="s">
        <v>620</v>
      </c>
      <c r="K914" s="363"/>
      <c r="L914" s="360"/>
      <c r="M914" s="360"/>
      <c r="N914" s="361"/>
      <c r="O914" s="361"/>
      <c r="P914" s="361"/>
      <c r="Q914" s="361"/>
      <c r="R914" s="362"/>
      <c r="S914" s="361"/>
      <c r="T914" s="360" t="s">
        <v>132</v>
      </c>
    </row>
    <row r="915" ht="34.5">
      <c r="A915" s="360" t="s">
        <v>860</v>
      </c>
      <c r="B915" s="360" t="s">
        <v>861</v>
      </c>
      <c r="C915" s="360" t="s">
        <v>602</v>
      </c>
      <c r="D915" s="360" t="s">
        <v>128</v>
      </c>
      <c r="E915" s="360" t="s">
        <v>621</v>
      </c>
      <c r="F915" s="361" t="s">
        <v>980</v>
      </c>
      <c r="G915" s="360" t="s">
        <v>468</v>
      </c>
      <c r="H915" s="361"/>
      <c r="I915" s="361"/>
      <c r="J915" s="361" t="s">
        <v>984</v>
      </c>
      <c r="K915" s="363">
        <v>1332384</v>
      </c>
      <c r="L915" s="360" t="s">
        <v>314</v>
      </c>
      <c r="M915" s="360"/>
      <c r="N915" s="361"/>
      <c r="O915" s="361"/>
      <c r="P915" s="361"/>
      <c r="Q915" s="361"/>
      <c r="R915" s="362"/>
      <c r="S915" s="361"/>
      <c r="T915" s="360" t="s">
        <v>132</v>
      </c>
    </row>
    <row r="916" ht="34.5">
      <c r="A916" s="360" t="s">
        <v>860</v>
      </c>
      <c r="B916" s="360" t="s">
        <v>861</v>
      </c>
      <c r="C916" s="360" t="s">
        <v>602</v>
      </c>
      <c r="D916" s="360" t="s">
        <v>128</v>
      </c>
      <c r="E916" s="360" t="s">
        <v>621</v>
      </c>
      <c r="F916" s="361" t="s">
        <v>980</v>
      </c>
      <c r="G916" s="360" t="s">
        <v>468</v>
      </c>
      <c r="H916" s="361"/>
      <c r="I916" s="361"/>
      <c r="J916" s="361" t="s">
        <v>985</v>
      </c>
      <c r="K916" s="363"/>
      <c r="L916" s="360"/>
      <c r="M916" s="360"/>
      <c r="N916" s="361"/>
      <c r="O916" s="361"/>
      <c r="P916" s="361"/>
      <c r="Q916" s="361"/>
      <c r="R916" s="362"/>
      <c r="S916" s="361"/>
      <c r="T916" s="360" t="s">
        <v>132</v>
      </c>
    </row>
    <row r="917" ht="34.5">
      <c r="A917" s="360" t="s">
        <v>860</v>
      </c>
      <c r="B917" s="360" t="s">
        <v>861</v>
      </c>
      <c r="C917" s="360" t="s">
        <v>602</v>
      </c>
      <c r="D917" s="360" t="s">
        <v>128</v>
      </c>
      <c r="E917" s="360" t="s">
        <v>621</v>
      </c>
      <c r="F917" s="361" t="s">
        <v>980</v>
      </c>
      <c r="G917" s="360" t="s">
        <v>468</v>
      </c>
      <c r="H917" s="361"/>
      <c r="I917" s="361"/>
      <c r="J917" s="361" t="s">
        <v>986</v>
      </c>
      <c r="K917" s="363"/>
      <c r="L917" s="360"/>
      <c r="M917" s="360"/>
      <c r="N917" s="361"/>
      <c r="O917" s="361"/>
      <c r="P917" s="361"/>
      <c r="Q917" s="361"/>
      <c r="R917" s="362"/>
      <c r="S917" s="361"/>
      <c r="T917" s="360" t="s">
        <v>132</v>
      </c>
    </row>
    <row r="918" ht="34.5">
      <c r="A918" s="360" t="s">
        <v>860</v>
      </c>
      <c r="B918" s="360" t="s">
        <v>861</v>
      </c>
      <c r="C918" s="360" t="s">
        <v>602</v>
      </c>
      <c r="D918" s="360" t="s">
        <v>624</v>
      </c>
      <c r="E918" s="360" t="s">
        <v>621</v>
      </c>
      <c r="F918" s="361" t="s">
        <v>980</v>
      </c>
      <c r="G918" s="360" t="s">
        <v>468</v>
      </c>
      <c r="H918" s="361"/>
      <c r="I918" s="361"/>
      <c r="J918" s="361" t="s">
        <v>625</v>
      </c>
      <c r="K918" s="363"/>
      <c r="L918" s="360"/>
      <c r="M918" s="360"/>
      <c r="N918" s="361"/>
      <c r="O918" s="361"/>
      <c r="P918" s="361"/>
      <c r="Q918" s="361"/>
      <c r="R918" s="362"/>
      <c r="S918" s="361"/>
      <c r="T918" s="360" t="s">
        <v>132</v>
      </c>
    </row>
    <row r="919" ht="34.5">
      <c r="A919" s="360" t="s">
        <v>860</v>
      </c>
      <c r="B919" s="360" t="s">
        <v>861</v>
      </c>
      <c r="C919" s="360" t="s">
        <v>602</v>
      </c>
      <c r="D919" s="360" t="s">
        <v>128</v>
      </c>
      <c r="E919" s="360" t="s">
        <v>621</v>
      </c>
      <c r="F919" s="361" t="s">
        <v>980</v>
      </c>
      <c r="G919" s="360" t="s">
        <v>468</v>
      </c>
      <c r="H919" s="361"/>
      <c r="I919" s="361"/>
      <c r="J919" s="361" t="s">
        <v>987</v>
      </c>
      <c r="K919" s="363"/>
      <c r="L919" s="360"/>
      <c r="M919" s="360"/>
      <c r="N919" s="361"/>
      <c r="O919" s="361"/>
      <c r="P919" s="361"/>
      <c r="Q919" s="361"/>
      <c r="R919" s="362"/>
      <c r="S919" s="361"/>
      <c r="T919" s="360" t="s">
        <v>132</v>
      </c>
    </row>
    <row r="920" ht="34.5">
      <c r="A920" s="360" t="s">
        <v>860</v>
      </c>
      <c r="B920" s="360" t="s">
        <v>861</v>
      </c>
      <c r="C920" s="360" t="s">
        <v>602</v>
      </c>
      <c r="D920" s="360" t="s">
        <v>128</v>
      </c>
      <c r="E920" s="360" t="s">
        <v>621</v>
      </c>
      <c r="F920" s="361" t="s">
        <v>980</v>
      </c>
      <c r="G920" s="360" t="s">
        <v>468</v>
      </c>
      <c r="H920" s="361"/>
      <c r="I920" s="361"/>
      <c r="J920" s="361" t="s">
        <v>623</v>
      </c>
      <c r="K920" s="363"/>
      <c r="L920" s="360"/>
      <c r="M920" s="360"/>
      <c r="N920" s="361"/>
      <c r="O920" s="361"/>
      <c r="P920" s="361"/>
      <c r="Q920" s="361"/>
      <c r="R920" s="362"/>
      <c r="S920" s="361"/>
      <c r="T920" s="360" t="s">
        <v>132</v>
      </c>
    </row>
    <row r="921" ht="34.5">
      <c r="A921" s="360" t="s">
        <v>860</v>
      </c>
      <c r="B921" s="360" t="s">
        <v>861</v>
      </c>
      <c r="C921" s="360" t="s">
        <v>602</v>
      </c>
      <c r="D921" s="360" t="s">
        <v>629</v>
      </c>
      <c r="E921" s="360" t="s">
        <v>621</v>
      </c>
      <c r="F921" s="361" t="s">
        <v>980</v>
      </c>
      <c r="G921" s="360" t="s">
        <v>468</v>
      </c>
      <c r="H921" s="361"/>
      <c r="I921" s="361"/>
      <c r="J921" s="361" t="s">
        <v>630</v>
      </c>
      <c r="K921" s="363"/>
      <c r="L921" s="360"/>
      <c r="M921" s="360"/>
      <c r="N921" s="361"/>
      <c r="O921" s="361"/>
      <c r="P921" s="361"/>
      <c r="Q921" s="361"/>
      <c r="R921" s="362"/>
      <c r="S921" s="361"/>
      <c r="T921" s="360" t="s">
        <v>132</v>
      </c>
    </row>
    <row r="922" ht="34.5">
      <c r="A922" s="360" t="s">
        <v>860</v>
      </c>
      <c r="B922" s="360" t="s">
        <v>861</v>
      </c>
      <c r="C922" s="360" t="s">
        <v>615</v>
      </c>
      <c r="D922" s="360" t="s">
        <v>128</v>
      </c>
      <c r="E922" s="360" t="s">
        <v>633</v>
      </c>
      <c r="F922" s="361" t="s">
        <v>988</v>
      </c>
      <c r="G922" s="360" t="s">
        <v>523</v>
      </c>
      <c r="H922" s="361"/>
      <c r="I922" s="361"/>
      <c r="J922" s="361" t="s">
        <v>628</v>
      </c>
      <c r="K922" s="363"/>
      <c r="L922" s="360"/>
      <c r="M922" s="360"/>
      <c r="N922" s="361"/>
      <c r="O922" s="361"/>
      <c r="P922" s="361"/>
      <c r="Q922" s="361"/>
      <c r="R922" s="362"/>
      <c r="S922" s="361"/>
      <c r="T922" s="360" t="s">
        <v>132</v>
      </c>
    </row>
    <row r="923" ht="34.5">
      <c r="A923" s="360" t="s">
        <v>860</v>
      </c>
      <c r="B923" s="360" t="s">
        <v>861</v>
      </c>
      <c r="C923" s="360" t="s">
        <v>615</v>
      </c>
      <c r="D923" s="360" t="s">
        <v>637</v>
      </c>
      <c r="E923" s="360" t="s">
        <v>633</v>
      </c>
      <c r="F923" s="361" t="s">
        <v>988</v>
      </c>
      <c r="G923" s="360" t="s">
        <v>523</v>
      </c>
      <c r="H923" s="361"/>
      <c r="I923" s="361"/>
      <c r="J923" s="361" t="s">
        <v>638</v>
      </c>
      <c r="K923" s="363"/>
      <c r="L923" s="360"/>
      <c r="M923" s="360"/>
      <c r="N923" s="361"/>
      <c r="O923" s="361"/>
      <c r="P923" s="361"/>
      <c r="Q923" s="361"/>
      <c r="R923" s="362"/>
      <c r="S923" s="361"/>
      <c r="T923" s="360" t="s">
        <v>132</v>
      </c>
    </row>
    <row r="924" ht="34.5">
      <c r="A924" s="360" t="s">
        <v>860</v>
      </c>
      <c r="B924" s="360" t="s">
        <v>861</v>
      </c>
      <c r="C924" s="360" t="s">
        <v>615</v>
      </c>
      <c r="D924" s="360" t="s">
        <v>128</v>
      </c>
      <c r="E924" s="360" t="s">
        <v>645</v>
      </c>
      <c r="F924" s="361" t="s">
        <v>989</v>
      </c>
      <c r="G924" s="360" t="s">
        <v>635</v>
      </c>
      <c r="H924" s="361"/>
      <c r="I924" s="361"/>
      <c r="J924" s="361" t="s">
        <v>636</v>
      </c>
      <c r="K924" s="363"/>
      <c r="L924" s="360"/>
      <c r="M924" s="360"/>
      <c r="N924" s="361"/>
      <c r="O924" s="361"/>
      <c r="P924" s="361"/>
      <c r="Q924" s="361"/>
      <c r="R924" s="362"/>
      <c r="S924" s="361"/>
      <c r="T924" s="360" t="s">
        <v>132</v>
      </c>
    </row>
    <row r="925" ht="34.5">
      <c r="A925" s="360" t="s">
        <v>860</v>
      </c>
      <c r="B925" s="360" t="s">
        <v>861</v>
      </c>
      <c r="C925" s="360" t="s">
        <v>615</v>
      </c>
      <c r="D925" s="360" t="s">
        <v>640</v>
      </c>
      <c r="E925" s="360" t="s">
        <v>645</v>
      </c>
      <c r="F925" s="361" t="s">
        <v>989</v>
      </c>
      <c r="G925" s="360" t="s">
        <v>635</v>
      </c>
      <c r="H925" s="361"/>
      <c r="I925" s="361"/>
      <c r="J925" s="361" t="s">
        <v>641</v>
      </c>
      <c r="K925" s="363"/>
      <c r="L925" s="360"/>
      <c r="M925" s="360"/>
      <c r="N925" s="361"/>
      <c r="O925" s="361"/>
      <c r="P925" s="361"/>
      <c r="Q925" s="361"/>
      <c r="R925" s="362"/>
      <c r="S925" s="361"/>
      <c r="T925" s="360" t="s">
        <v>132</v>
      </c>
    </row>
    <row r="926" ht="34.5">
      <c r="A926" s="360" t="s">
        <v>860</v>
      </c>
      <c r="B926" s="360" t="s">
        <v>861</v>
      </c>
      <c r="C926" s="360" t="s">
        <v>615</v>
      </c>
      <c r="D926" s="360" t="s">
        <v>128</v>
      </c>
      <c r="E926" s="360" t="s">
        <v>645</v>
      </c>
      <c r="F926" s="361" t="s">
        <v>989</v>
      </c>
      <c r="G926" s="360" t="s">
        <v>635</v>
      </c>
      <c r="H926" s="361"/>
      <c r="I926" s="361"/>
      <c r="J926" s="361" t="s">
        <v>990</v>
      </c>
      <c r="K926" s="363"/>
      <c r="L926" s="360"/>
      <c r="M926" s="360"/>
      <c r="N926" s="361"/>
      <c r="O926" s="361"/>
      <c r="P926" s="361"/>
      <c r="Q926" s="361"/>
      <c r="R926" s="362"/>
      <c r="S926" s="361"/>
      <c r="T926" s="360" t="s">
        <v>132</v>
      </c>
    </row>
    <row r="927" ht="34.5">
      <c r="A927" s="360" t="s">
        <v>860</v>
      </c>
      <c r="B927" s="360" t="s">
        <v>861</v>
      </c>
      <c r="C927" s="360" t="s">
        <v>615</v>
      </c>
      <c r="D927" s="360" t="s">
        <v>643</v>
      </c>
      <c r="E927" s="360" t="s">
        <v>645</v>
      </c>
      <c r="F927" s="361" t="s">
        <v>989</v>
      </c>
      <c r="G927" s="360" t="s">
        <v>635</v>
      </c>
      <c r="H927" s="361"/>
      <c r="I927" s="361"/>
      <c r="J927" s="361" t="s">
        <v>644</v>
      </c>
      <c r="K927" s="363"/>
      <c r="L927" s="360"/>
      <c r="M927" s="360"/>
      <c r="N927" s="361"/>
      <c r="O927" s="361"/>
      <c r="P927" s="361"/>
      <c r="Q927" s="361"/>
      <c r="R927" s="362"/>
      <c r="S927" s="361"/>
      <c r="T927" s="360" t="s">
        <v>132</v>
      </c>
    </row>
    <row r="928" ht="34.5">
      <c r="A928" s="360" t="s">
        <v>860</v>
      </c>
      <c r="B928" s="360" t="s">
        <v>861</v>
      </c>
      <c r="C928" s="360" t="s">
        <v>632</v>
      </c>
      <c r="D928" s="360" t="s">
        <v>128</v>
      </c>
      <c r="E928" s="360" t="s">
        <v>645</v>
      </c>
      <c r="F928" s="361" t="s">
        <v>989</v>
      </c>
      <c r="G928" s="360" t="s">
        <v>635</v>
      </c>
      <c r="H928" s="361"/>
      <c r="I928" s="361"/>
      <c r="J928" s="361" t="s">
        <v>991</v>
      </c>
      <c r="K928" s="363"/>
      <c r="L928" s="360"/>
      <c r="M928" s="360"/>
      <c r="N928" s="361"/>
      <c r="O928" s="361"/>
      <c r="P928" s="361"/>
      <c r="Q928" s="361"/>
      <c r="R928" s="362"/>
      <c r="S928" s="361"/>
      <c r="T928" s="360" t="s">
        <v>132</v>
      </c>
    </row>
    <row r="929" ht="34.5">
      <c r="A929" s="360" t="s">
        <v>860</v>
      </c>
      <c r="B929" s="360" t="s">
        <v>861</v>
      </c>
      <c r="C929" s="360" t="s">
        <v>632</v>
      </c>
      <c r="D929" s="360" t="s">
        <v>652</v>
      </c>
      <c r="E929" s="360" t="s">
        <v>645</v>
      </c>
      <c r="F929" s="361" t="s">
        <v>989</v>
      </c>
      <c r="G929" s="360" t="s">
        <v>635</v>
      </c>
      <c r="H929" s="361"/>
      <c r="I929" s="361"/>
      <c r="J929" s="361" t="s">
        <v>653</v>
      </c>
      <c r="K929" s="363"/>
      <c r="L929" s="360"/>
      <c r="M929" s="360"/>
      <c r="N929" s="361"/>
      <c r="O929" s="361"/>
      <c r="P929" s="361"/>
      <c r="Q929" s="361"/>
      <c r="R929" s="362"/>
      <c r="S929" s="361"/>
      <c r="T929" s="360" t="s">
        <v>132</v>
      </c>
    </row>
    <row r="930" ht="34.5">
      <c r="A930" s="360" t="s">
        <v>860</v>
      </c>
      <c r="B930" s="360" t="s">
        <v>861</v>
      </c>
      <c r="C930" s="360" t="s">
        <v>632</v>
      </c>
      <c r="D930" s="360" t="s">
        <v>128</v>
      </c>
      <c r="E930" s="360" t="s">
        <v>662</v>
      </c>
      <c r="F930" s="361" t="s">
        <v>992</v>
      </c>
      <c r="G930" s="360" t="s">
        <v>647</v>
      </c>
      <c r="H930" s="361"/>
      <c r="I930" s="361"/>
      <c r="J930" s="361" t="s">
        <v>993</v>
      </c>
      <c r="K930" s="363"/>
      <c r="L930" s="360"/>
      <c r="M930" s="360"/>
      <c r="N930" s="361"/>
      <c r="O930" s="361"/>
      <c r="P930" s="361"/>
      <c r="Q930" s="361"/>
      <c r="R930" s="362"/>
      <c r="S930" s="361"/>
      <c r="T930" s="360" t="s">
        <v>132</v>
      </c>
    </row>
    <row r="931" ht="34.5">
      <c r="A931" s="360" t="s">
        <v>860</v>
      </c>
      <c r="B931" s="360" t="s">
        <v>861</v>
      </c>
      <c r="C931" s="360" t="s">
        <v>632</v>
      </c>
      <c r="D931" s="360" t="s">
        <v>128</v>
      </c>
      <c r="E931" s="360" t="s">
        <v>662</v>
      </c>
      <c r="F931" s="361" t="s">
        <v>992</v>
      </c>
      <c r="G931" s="360" t="s">
        <v>647</v>
      </c>
      <c r="H931" s="361"/>
      <c r="I931" s="361"/>
      <c r="J931" s="361" t="s">
        <v>648</v>
      </c>
      <c r="K931" s="363"/>
      <c r="L931" s="360"/>
      <c r="M931" s="360"/>
      <c r="N931" s="361"/>
      <c r="O931" s="361"/>
      <c r="P931" s="361"/>
      <c r="Q931" s="361"/>
      <c r="R931" s="362"/>
      <c r="S931" s="361"/>
      <c r="T931" s="360" t="s">
        <v>132</v>
      </c>
    </row>
    <row r="932" ht="34.5">
      <c r="A932" s="360" t="s">
        <v>860</v>
      </c>
      <c r="B932" s="360" t="s">
        <v>861</v>
      </c>
      <c r="C932" s="360" t="s">
        <v>632</v>
      </c>
      <c r="D932" s="360" t="s">
        <v>128</v>
      </c>
      <c r="E932" s="360" t="s">
        <v>662</v>
      </c>
      <c r="F932" s="361" t="s">
        <v>992</v>
      </c>
      <c r="G932" s="360" t="s">
        <v>647</v>
      </c>
      <c r="H932" s="361"/>
      <c r="I932" s="361"/>
      <c r="J932" s="361" t="s">
        <v>651</v>
      </c>
      <c r="K932" s="363"/>
      <c r="L932" s="360"/>
      <c r="M932" s="360"/>
      <c r="N932" s="361"/>
      <c r="O932" s="361"/>
      <c r="P932" s="361"/>
      <c r="Q932" s="361"/>
      <c r="R932" s="362"/>
      <c r="S932" s="361"/>
      <c r="T932" s="360" t="s">
        <v>132</v>
      </c>
    </row>
    <row r="933" ht="34.5">
      <c r="A933" s="360" t="s">
        <v>860</v>
      </c>
      <c r="B933" s="360" t="s">
        <v>861</v>
      </c>
      <c r="C933" s="360" t="s">
        <v>632</v>
      </c>
      <c r="D933" s="360" t="s">
        <v>128</v>
      </c>
      <c r="E933" s="360" t="s">
        <v>662</v>
      </c>
      <c r="F933" s="361" t="s">
        <v>992</v>
      </c>
      <c r="G933" s="360" t="s">
        <v>647</v>
      </c>
      <c r="H933" s="361"/>
      <c r="I933" s="361"/>
      <c r="J933" s="361" t="s">
        <v>994</v>
      </c>
      <c r="K933" s="363"/>
      <c r="L933" s="360"/>
      <c r="M933" s="360"/>
      <c r="N933" s="361"/>
      <c r="O933" s="361"/>
      <c r="P933" s="361"/>
      <c r="Q933" s="361"/>
      <c r="R933" s="362"/>
      <c r="S933" s="361"/>
      <c r="T933" s="360" t="s">
        <v>132</v>
      </c>
    </row>
    <row r="934" ht="34.5">
      <c r="A934" s="360" t="s">
        <v>860</v>
      </c>
      <c r="B934" s="360" t="s">
        <v>861</v>
      </c>
      <c r="C934" s="360" t="s">
        <v>632</v>
      </c>
      <c r="D934" s="360" t="s">
        <v>128</v>
      </c>
      <c r="E934" s="360" t="s">
        <v>662</v>
      </c>
      <c r="F934" s="361" t="s">
        <v>992</v>
      </c>
      <c r="G934" s="360" t="s">
        <v>647</v>
      </c>
      <c r="H934" s="361"/>
      <c r="I934" s="361"/>
      <c r="J934" s="361" t="s">
        <v>995</v>
      </c>
      <c r="K934" s="363"/>
      <c r="L934" s="360"/>
      <c r="M934" s="360"/>
      <c r="N934" s="361"/>
      <c r="O934" s="361"/>
      <c r="P934" s="361"/>
      <c r="Q934" s="361"/>
      <c r="R934" s="362"/>
      <c r="S934" s="361"/>
      <c r="T934" s="360" t="s">
        <v>132</v>
      </c>
    </row>
    <row r="935" ht="34.5">
      <c r="A935" s="360" t="s">
        <v>860</v>
      </c>
      <c r="B935" s="360" t="s">
        <v>861</v>
      </c>
      <c r="C935" s="360" t="s">
        <v>632</v>
      </c>
      <c r="D935" s="360" t="s">
        <v>128</v>
      </c>
      <c r="E935" s="360" t="s">
        <v>662</v>
      </c>
      <c r="F935" s="361" t="s">
        <v>992</v>
      </c>
      <c r="G935" s="360" t="s">
        <v>647</v>
      </c>
      <c r="H935" s="361"/>
      <c r="I935" s="361"/>
      <c r="J935" s="361" t="s">
        <v>654</v>
      </c>
      <c r="K935" s="363"/>
      <c r="L935" s="360"/>
      <c r="M935" s="360"/>
      <c r="N935" s="361"/>
      <c r="O935" s="361"/>
      <c r="P935" s="361"/>
      <c r="Q935" s="361"/>
      <c r="R935" s="362"/>
      <c r="S935" s="361"/>
      <c r="T935" s="360" t="s">
        <v>132</v>
      </c>
    </row>
    <row r="936" ht="34.5">
      <c r="A936" s="360" t="s">
        <v>860</v>
      </c>
      <c r="B936" s="360" t="s">
        <v>861</v>
      </c>
      <c r="C936" s="360" t="s">
        <v>632</v>
      </c>
      <c r="D936" s="360" t="s">
        <v>128</v>
      </c>
      <c r="E936" s="360" t="s">
        <v>662</v>
      </c>
      <c r="F936" s="361" t="s">
        <v>992</v>
      </c>
      <c r="G936" s="360" t="s">
        <v>647</v>
      </c>
      <c r="H936" s="361"/>
      <c r="I936" s="361"/>
      <c r="J936" s="361" t="s">
        <v>996</v>
      </c>
      <c r="K936" s="363"/>
      <c r="L936" s="360"/>
      <c r="M936" s="360"/>
      <c r="N936" s="361"/>
      <c r="O936" s="361"/>
      <c r="P936" s="361"/>
      <c r="Q936" s="361"/>
      <c r="R936" s="362"/>
      <c r="S936" s="361"/>
      <c r="T936" s="360" t="s">
        <v>132</v>
      </c>
    </row>
    <row r="937" ht="34.5">
      <c r="A937" s="360" t="s">
        <v>860</v>
      </c>
      <c r="B937" s="360" t="s">
        <v>861</v>
      </c>
      <c r="C937" s="360" t="s">
        <v>632</v>
      </c>
      <c r="D937" s="360" t="s">
        <v>128</v>
      </c>
      <c r="E937" s="360" t="s">
        <v>662</v>
      </c>
      <c r="F937" s="361" t="s">
        <v>992</v>
      </c>
      <c r="G937" s="360" t="s">
        <v>647</v>
      </c>
      <c r="H937" s="361"/>
      <c r="I937" s="361"/>
      <c r="J937" s="361" t="s">
        <v>997</v>
      </c>
      <c r="K937" s="363"/>
      <c r="L937" s="360"/>
      <c r="M937" s="360"/>
      <c r="N937" s="361"/>
      <c r="O937" s="361"/>
      <c r="P937" s="361"/>
      <c r="Q937" s="361"/>
      <c r="R937" s="362"/>
      <c r="S937" s="361"/>
      <c r="T937" s="360" t="s">
        <v>132</v>
      </c>
    </row>
    <row r="938" ht="34.5">
      <c r="A938" s="360" t="s">
        <v>860</v>
      </c>
      <c r="B938" s="360" t="s">
        <v>861</v>
      </c>
      <c r="C938" s="360" t="s">
        <v>632</v>
      </c>
      <c r="D938" s="360" t="s">
        <v>655</v>
      </c>
      <c r="E938" s="360" t="s">
        <v>662</v>
      </c>
      <c r="F938" s="361" t="s">
        <v>992</v>
      </c>
      <c r="G938" s="360" t="s">
        <v>647</v>
      </c>
      <c r="H938" s="361"/>
      <c r="I938" s="361"/>
      <c r="J938" s="361" t="s">
        <v>656</v>
      </c>
      <c r="K938" s="363"/>
      <c r="L938" s="360"/>
      <c r="M938" s="360"/>
      <c r="N938" s="361"/>
      <c r="O938" s="361"/>
      <c r="P938" s="361"/>
      <c r="Q938" s="361"/>
      <c r="R938" s="362"/>
      <c r="S938" s="361"/>
      <c r="T938" s="360" t="s">
        <v>132</v>
      </c>
    </row>
    <row r="939" ht="34.5">
      <c r="A939" s="360" t="s">
        <v>860</v>
      </c>
      <c r="B939" s="360" t="s">
        <v>861</v>
      </c>
      <c r="C939" s="360" t="s">
        <v>650</v>
      </c>
      <c r="D939" s="360" t="s">
        <v>128</v>
      </c>
      <c r="E939" s="360" t="s">
        <v>662</v>
      </c>
      <c r="F939" s="361" t="s">
        <v>992</v>
      </c>
      <c r="G939" s="360" t="s">
        <v>647</v>
      </c>
      <c r="H939" s="361"/>
      <c r="I939" s="361"/>
      <c r="J939" s="361" t="s">
        <v>998</v>
      </c>
      <c r="K939" s="363"/>
      <c r="L939" s="360"/>
      <c r="M939" s="360"/>
      <c r="N939" s="361"/>
      <c r="O939" s="361"/>
      <c r="P939" s="361"/>
      <c r="Q939" s="361"/>
      <c r="R939" s="362"/>
      <c r="S939" s="361"/>
      <c r="T939" s="360" t="s">
        <v>132</v>
      </c>
    </row>
    <row r="940" ht="34.5">
      <c r="A940" s="360" t="s">
        <v>860</v>
      </c>
      <c r="B940" s="360" t="s">
        <v>861</v>
      </c>
      <c r="C940" s="360" t="s">
        <v>650</v>
      </c>
      <c r="D940" s="360" t="s">
        <v>128</v>
      </c>
      <c r="E940" s="360" t="s">
        <v>662</v>
      </c>
      <c r="F940" s="361" t="s">
        <v>992</v>
      </c>
      <c r="G940" s="360" t="s">
        <v>647</v>
      </c>
      <c r="H940" s="361"/>
      <c r="I940" s="361"/>
      <c r="J940" s="361" t="s">
        <v>999</v>
      </c>
      <c r="K940" s="363"/>
      <c r="L940" s="360"/>
      <c r="M940" s="360"/>
      <c r="N940" s="361"/>
      <c r="O940" s="361"/>
      <c r="P940" s="361"/>
      <c r="Q940" s="361"/>
      <c r="R940" s="362"/>
      <c r="S940" s="361"/>
      <c r="T940" s="360" t="s">
        <v>132</v>
      </c>
    </row>
    <row r="941" ht="34.5">
      <c r="A941" s="360" t="s">
        <v>860</v>
      </c>
      <c r="B941" s="360" t="s">
        <v>861</v>
      </c>
      <c r="C941" s="360" t="s">
        <v>650</v>
      </c>
      <c r="D941" s="360" t="s">
        <v>658</v>
      </c>
      <c r="E941" s="360" t="s">
        <v>662</v>
      </c>
      <c r="F941" s="361" t="s">
        <v>992</v>
      </c>
      <c r="G941" s="360" t="s">
        <v>647</v>
      </c>
      <c r="H941" s="361"/>
      <c r="I941" s="361"/>
      <c r="J941" s="361" t="s">
        <v>659</v>
      </c>
      <c r="K941" s="363"/>
      <c r="L941" s="360"/>
      <c r="M941" s="360"/>
      <c r="N941" s="361"/>
      <c r="O941" s="361"/>
      <c r="P941" s="361"/>
      <c r="Q941" s="361"/>
      <c r="R941" s="362"/>
      <c r="S941" s="361"/>
      <c r="T941" s="360" t="s">
        <v>132</v>
      </c>
    </row>
    <row r="942" ht="34.5">
      <c r="A942" s="360" t="s">
        <v>860</v>
      </c>
      <c r="B942" s="360" t="s">
        <v>861</v>
      </c>
      <c r="C942" s="360" t="s">
        <v>650</v>
      </c>
      <c r="D942" s="360" t="s">
        <v>128</v>
      </c>
      <c r="E942" s="360" t="s">
        <v>1000</v>
      </c>
      <c r="F942" s="361" t="s">
        <v>1001</v>
      </c>
      <c r="G942" s="360" t="s">
        <v>36</v>
      </c>
      <c r="H942" s="361"/>
      <c r="I942" s="361"/>
      <c r="J942" s="361" t="s">
        <v>1002</v>
      </c>
      <c r="K942" s="363"/>
      <c r="L942" s="360"/>
      <c r="M942" s="360"/>
      <c r="N942" s="361"/>
      <c r="O942" s="361"/>
      <c r="P942" s="361"/>
      <c r="Q942" s="361"/>
      <c r="R942" s="362"/>
      <c r="S942" s="361"/>
      <c r="T942" s="360" t="s">
        <v>132</v>
      </c>
    </row>
    <row r="943" ht="34.5">
      <c r="A943" s="360" t="s">
        <v>860</v>
      </c>
      <c r="B943" s="360" t="s">
        <v>861</v>
      </c>
      <c r="C943" s="360" t="s">
        <v>650</v>
      </c>
      <c r="D943" s="360" t="s">
        <v>665</v>
      </c>
      <c r="E943" s="360" t="s">
        <v>1000</v>
      </c>
      <c r="F943" s="361" t="s">
        <v>1001</v>
      </c>
      <c r="G943" s="360" t="s">
        <v>36</v>
      </c>
      <c r="H943" s="361"/>
      <c r="I943" s="361"/>
      <c r="J943" s="361" t="s">
        <v>666</v>
      </c>
      <c r="K943" s="363"/>
      <c r="L943" s="360"/>
      <c r="M943" s="360"/>
      <c r="N943" s="361"/>
      <c r="O943" s="361"/>
      <c r="P943" s="361"/>
      <c r="Q943" s="361"/>
      <c r="R943" s="362"/>
      <c r="S943" s="361"/>
      <c r="T943" s="360" t="s">
        <v>132</v>
      </c>
    </row>
    <row r="944" ht="34.5">
      <c r="A944" s="360" t="s">
        <v>860</v>
      </c>
      <c r="B944" s="360" t="s">
        <v>861</v>
      </c>
      <c r="C944" s="360" t="s">
        <v>661</v>
      </c>
      <c r="D944" s="360" t="s">
        <v>128</v>
      </c>
      <c r="E944" s="360" t="s">
        <v>1003</v>
      </c>
      <c r="F944" s="361" t="s">
        <v>1004</v>
      </c>
      <c r="G944" s="360" t="s">
        <v>36</v>
      </c>
      <c r="H944" s="361"/>
      <c r="I944" s="361"/>
      <c r="J944" s="361" t="s">
        <v>1005</v>
      </c>
      <c r="K944" s="363"/>
      <c r="L944" s="360"/>
      <c r="M944" s="360"/>
      <c r="N944" s="361"/>
      <c r="O944" s="361"/>
      <c r="P944" s="361"/>
      <c r="Q944" s="361"/>
      <c r="R944" s="362"/>
      <c r="S944" s="361"/>
      <c r="T944" s="360" t="s">
        <v>132</v>
      </c>
    </row>
    <row r="945" ht="34.5">
      <c r="A945" s="360" t="s">
        <v>860</v>
      </c>
      <c r="B945" s="360" t="s">
        <v>861</v>
      </c>
      <c r="C945" s="360" t="s">
        <v>667</v>
      </c>
      <c r="D945" s="360" t="s">
        <v>128</v>
      </c>
      <c r="E945" s="360" t="s">
        <v>1003</v>
      </c>
      <c r="F945" s="361" t="s">
        <v>1004</v>
      </c>
      <c r="G945" s="360" t="s">
        <v>36</v>
      </c>
      <c r="H945" s="361"/>
      <c r="I945" s="361"/>
      <c r="J945" s="361" t="s">
        <v>668</v>
      </c>
      <c r="K945" s="363"/>
      <c r="L945" s="360"/>
      <c r="M945" s="360"/>
      <c r="N945" s="361"/>
      <c r="O945" s="361"/>
      <c r="P945" s="361"/>
      <c r="Q945" s="361"/>
      <c r="R945" s="362"/>
      <c r="S945" s="361"/>
      <c r="T945" s="360" t="s">
        <v>132</v>
      </c>
    </row>
    <row r="946" ht="34.5">
      <c r="A946" s="360" t="s">
        <v>860</v>
      </c>
      <c r="B946" s="360" t="s">
        <v>861</v>
      </c>
      <c r="C946" s="360" t="s">
        <v>667</v>
      </c>
      <c r="D946" s="360" t="s">
        <v>128</v>
      </c>
      <c r="E946" s="360" t="s">
        <v>1003</v>
      </c>
      <c r="F946" s="361" t="s">
        <v>1004</v>
      </c>
      <c r="G946" s="360" t="s">
        <v>36</v>
      </c>
      <c r="H946" s="361"/>
      <c r="I946" s="361"/>
      <c r="J946" s="361" t="s">
        <v>1006</v>
      </c>
      <c r="K946" s="363"/>
      <c r="L946" s="360"/>
      <c r="M946" s="360"/>
      <c r="N946" s="361"/>
      <c r="O946" s="361"/>
      <c r="P946" s="361"/>
      <c r="Q946" s="361"/>
      <c r="R946" s="362"/>
      <c r="S946" s="361"/>
      <c r="T946" s="360" t="s">
        <v>132</v>
      </c>
    </row>
    <row r="947" ht="34.5">
      <c r="A947" s="360" t="s">
        <v>860</v>
      </c>
      <c r="B947" s="360" t="s">
        <v>861</v>
      </c>
      <c r="C947" s="360" t="s">
        <v>667</v>
      </c>
      <c r="D947" s="360" t="s">
        <v>128</v>
      </c>
      <c r="E947" s="360" t="s">
        <v>1003</v>
      </c>
      <c r="F947" s="361" t="s">
        <v>1004</v>
      </c>
      <c r="G947" s="360" t="s">
        <v>36</v>
      </c>
      <c r="H947" s="361"/>
      <c r="I947" s="361"/>
      <c r="J947" s="361" t="s">
        <v>1007</v>
      </c>
      <c r="K947" s="363"/>
      <c r="L947" s="360"/>
      <c r="M947" s="360"/>
      <c r="N947" s="361"/>
      <c r="O947" s="361"/>
      <c r="P947" s="361"/>
      <c r="Q947" s="361"/>
      <c r="R947" s="362"/>
      <c r="S947" s="361"/>
      <c r="T947" s="360" t="s">
        <v>132</v>
      </c>
    </row>
    <row r="948" ht="34.5">
      <c r="A948" s="360" t="s">
        <v>860</v>
      </c>
      <c r="B948" s="360" t="s">
        <v>861</v>
      </c>
      <c r="C948" s="360" t="s">
        <v>667</v>
      </c>
      <c r="D948" s="360" t="s">
        <v>128</v>
      </c>
      <c r="E948" s="360" t="s">
        <v>1003</v>
      </c>
      <c r="F948" s="361" t="s">
        <v>1004</v>
      </c>
      <c r="G948" s="360" t="s">
        <v>36</v>
      </c>
      <c r="H948" s="361"/>
      <c r="I948" s="361"/>
      <c r="J948" s="361" t="s">
        <v>671</v>
      </c>
      <c r="K948" s="363"/>
      <c r="L948" s="360"/>
      <c r="M948" s="360"/>
      <c r="N948" s="361"/>
      <c r="O948" s="361"/>
      <c r="P948" s="361"/>
      <c r="Q948" s="361"/>
      <c r="R948" s="362"/>
      <c r="S948" s="361"/>
      <c r="T948" s="360" t="s">
        <v>132</v>
      </c>
    </row>
    <row r="949" ht="34.5">
      <c r="A949" s="360" t="s">
        <v>860</v>
      </c>
      <c r="B949" s="360" t="s">
        <v>861</v>
      </c>
      <c r="C949" s="360" t="s">
        <v>672</v>
      </c>
      <c r="D949" s="360" t="s">
        <v>673</v>
      </c>
      <c r="E949" s="360" t="s">
        <v>1003</v>
      </c>
      <c r="F949" s="361" t="s">
        <v>1004</v>
      </c>
      <c r="G949" s="360" t="s">
        <v>36</v>
      </c>
      <c r="H949" s="361"/>
      <c r="I949" s="361"/>
      <c r="J949" s="361" t="s">
        <v>674</v>
      </c>
      <c r="K949" s="363"/>
      <c r="L949" s="360"/>
      <c r="M949" s="360"/>
      <c r="N949" s="361"/>
      <c r="O949" s="361"/>
      <c r="P949" s="361"/>
      <c r="Q949" s="361"/>
      <c r="R949" s="362"/>
      <c r="S949" s="361"/>
      <c r="T949" s="360" t="s">
        <v>132</v>
      </c>
    </row>
    <row r="950" ht="34.5">
      <c r="A950" s="360" t="s">
        <v>860</v>
      </c>
      <c r="B950" s="360" t="s">
        <v>861</v>
      </c>
      <c r="C950" s="360" t="s">
        <v>675</v>
      </c>
      <c r="D950" s="360" t="s">
        <v>128</v>
      </c>
      <c r="E950" s="360" t="s">
        <v>1003</v>
      </c>
      <c r="F950" s="361" t="s">
        <v>1004</v>
      </c>
      <c r="G950" s="360" t="s">
        <v>36</v>
      </c>
      <c r="H950" s="361"/>
      <c r="I950" s="361"/>
      <c r="J950" s="361" t="s">
        <v>676</v>
      </c>
      <c r="K950" s="363"/>
      <c r="L950" s="360"/>
      <c r="M950" s="360"/>
      <c r="N950" s="361"/>
      <c r="O950" s="361"/>
      <c r="P950" s="361"/>
      <c r="Q950" s="361"/>
      <c r="R950" s="362"/>
      <c r="S950" s="361"/>
      <c r="T950" s="360" t="s">
        <v>132</v>
      </c>
    </row>
    <row r="951" ht="34.5">
      <c r="A951" s="360" t="s">
        <v>860</v>
      </c>
      <c r="B951" s="360" t="s">
        <v>861</v>
      </c>
      <c r="C951" s="360" t="s">
        <v>675</v>
      </c>
      <c r="D951" s="360" t="s">
        <v>128</v>
      </c>
      <c r="E951" s="360" t="s">
        <v>1003</v>
      </c>
      <c r="F951" s="361" t="s">
        <v>1004</v>
      </c>
      <c r="G951" s="360" t="s">
        <v>36</v>
      </c>
      <c r="H951" s="361"/>
      <c r="I951" s="361"/>
      <c r="J951" s="361" t="s">
        <v>1008</v>
      </c>
      <c r="K951" s="363"/>
      <c r="L951" s="360"/>
      <c r="M951" s="360"/>
      <c r="N951" s="361"/>
      <c r="O951" s="361"/>
      <c r="P951" s="361"/>
      <c r="Q951" s="361"/>
      <c r="R951" s="362"/>
      <c r="S951" s="361"/>
      <c r="T951" s="360" t="s">
        <v>132</v>
      </c>
    </row>
    <row r="952" ht="34.5">
      <c r="A952" s="360" t="s">
        <v>860</v>
      </c>
      <c r="B952" s="360" t="s">
        <v>861</v>
      </c>
      <c r="C952" s="360" t="s">
        <v>675</v>
      </c>
      <c r="D952" s="360" t="s">
        <v>128</v>
      </c>
      <c r="E952" s="360" t="s">
        <v>1003</v>
      </c>
      <c r="F952" s="361" t="s">
        <v>1004</v>
      </c>
      <c r="G952" s="360" t="s">
        <v>36</v>
      </c>
      <c r="H952" s="361"/>
      <c r="I952" s="361"/>
      <c r="J952" s="361" t="s">
        <v>1009</v>
      </c>
      <c r="K952" s="363"/>
      <c r="L952" s="360"/>
      <c r="M952" s="360"/>
      <c r="N952" s="361"/>
      <c r="O952" s="361"/>
      <c r="P952" s="361"/>
      <c r="Q952" s="361"/>
      <c r="R952" s="362"/>
      <c r="S952" s="361"/>
      <c r="T952" s="360" t="s">
        <v>132</v>
      </c>
    </row>
    <row r="953" ht="34.5">
      <c r="A953" s="360" t="s">
        <v>860</v>
      </c>
      <c r="B953" s="360" t="s">
        <v>861</v>
      </c>
      <c r="C953" s="360" t="s">
        <v>675</v>
      </c>
      <c r="D953" s="360" t="s">
        <v>128</v>
      </c>
      <c r="E953" s="360" t="s">
        <v>1003</v>
      </c>
      <c r="F953" s="361" t="s">
        <v>1004</v>
      </c>
      <c r="G953" s="360" t="s">
        <v>36</v>
      </c>
      <c r="H953" s="361"/>
      <c r="I953" s="361"/>
      <c r="J953" s="361" t="s">
        <v>1010</v>
      </c>
      <c r="K953" s="363"/>
      <c r="L953" s="360"/>
      <c r="M953" s="360"/>
      <c r="N953" s="361"/>
      <c r="O953" s="361"/>
      <c r="P953" s="361"/>
      <c r="Q953" s="361"/>
      <c r="R953" s="362"/>
      <c r="S953" s="361"/>
      <c r="T953" s="360" t="s">
        <v>132</v>
      </c>
    </row>
    <row r="954" ht="34.5">
      <c r="A954" s="360" t="s">
        <v>860</v>
      </c>
      <c r="B954" s="360" t="s">
        <v>861</v>
      </c>
      <c r="C954" s="360" t="s">
        <v>675</v>
      </c>
      <c r="D954" s="360" t="s">
        <v>128</v>
      </c>
      <c r="E954" s="360" t="s">
        <v>1003</v>
      </c>
      <c r="F954" s="361" t="s">
        <v>1004</v>
      </c>
      <c r="G954" s="360" t="s">
        <v>36</v>
      </c>
      <c r="H954" s="361"/>
      <c r="I954" s="361"/>
      <c r="J954" s="361" t="s">
        <v>1011</v>
      </c>
      <c r="K954" s="363"/>
      <c r="L954" s="360"/>
      <c r="M954" s="360"/>
      <c r="N954" s="361"/>
      <c r="O954" s="361"/>
      <c r="P954" s="361"/>
      <c r="Q954" s="361"/>
      <c r="R954" s="362"/>
      <c r="S954" s="361"/>
      <c r="T954" s="360" t="s">
        <v>132</v>
      </c>
    </row>
    <row r="955" ht="34.5">
      <c r="A955" s="360" t="s">
        <v>860</v>
      </c>
      <c r="B955" s="360" t="s">
        <v>861</v>
      </c>
      <c r="C955" s="360" t="s">
        <v>675</v>
      </c>
      <c r="D955" s="360" t="s">
        <v>128</v>
      </c>
      <c r="E955" s="360" t="s">
        <v>1003</v>
      </c>
      <c r="F955" s="361" t="s">
        <v>1004</v>
      </c>
      <c r="G955" s="360" t="s">
        <v>36</v>
      </c>
      <c r="H955" s="361"/>
      <c r="I955" s="361"/>
      <c r="J955" s="361" t="s">
        <v>1012</v>
      </c>
      <c r="K955" s="363"/>
      <c r="L955" s="360"/>
      <c r="M955" s="360"/>
      <c r="N955" s="361"/>
      <c r="O955" s="361"/>
      <c r="P955" s="361"/>
      <c r="Q955" s="361"/>
      <c r="R955" s="362"/>
      <c r="S955" s="361"/>
      <c r="T955" s="360" t="s">
        <v>132</v>
      </c>
    </row>
    <row r="956" ht="34.5">
      <c r="A956" s="360" t="s">
        <v>860</v>
      </c>
      <c r="B956" s="360" t="s">
        <v>861</v>
      </c>
      <c r="C956" s="360" t="s">
        <v>681</v>
      </c>
      <c r="D956" s="360" t="s">
        <v>128</v>
      </c>
      <c r="E956" s="360" t="s">
        <v>1003</v>
      </c>
      <c r="F956" s="361" t="s">
        <v>1004</v>
      </c>
      <c r="G956" s="360" t="s">
        <v>36</v>
      </c>
      <c r="H956" s="361"/>
      <c r="I956" s="361"/>
      <c r="J956" s="361" t="s">
        <v>1013</v>
      </c>
      <c r="K956" s="363"/>
      <c r="L956" s="360"/>
      <c r="M956" s="360"/>
      <c r="N956" s="361"/>
      <c r="O956" s="361"/>
      <c r="P956" s="361"/>
      <c r="Q956" s="361"/>
      <c r="R956" s="362"/>
      <c r="S956" s="361"/>
      <c r="T956" s="360" t="s">
        <v>132</v>
      </c>
    </row>
    <row r="957" ht="34.5">
      <c r="A957" s="360" t="s">
        <v>860</v>
      </c>
      <c r="B957" s="360" t="s">
        <v>861</v>
      </c>
      <c r="C957" s="360" t="s">
        <v>681</v>
      </c>
      <c r="D957" s="360" t="s">
        <v>128</v>
      </c>
      <c r="E957" s="360" t="s">
        <v>1003</v>
      </c>
      <c r="F957" s="361" t="s">
        <v>1004</v>
      </c>
      <c r="G957" s="360" t="s">
        <v>36</v>
      </c>
      <c r="H957" s="361"/>
      <c r="I957" s="361"/>
      <c r="J957" s="361" t="s">
        <v>1014</v>
      </c>
      <c r="K957" s="363"/>
      <c r="L957" s="360"/>
      <c r="M957" s="360"/>
      <c r="N957" s="361"/>
      <c r="O957" s="361"/>
      <c r="P957" s="361"/>
      <c r="Q957" s="361"/>
      <c r="R957" s="362"/>
      <c r="S957" s="361"/>
      <c r="T957" s="360" t="s">
        <v>132</v>
      </c>
    </row>
    <row r="958" ht="34.5">
      <c r="A958" s="360" t="s">
        <v>860</v>
      </c>
      <c r="B958" s="360" t="s">
        <v>861</v>
      </c>
      <c r="C958" s="360" t="s">
        <v>681</v>
      </c>
      <c r="D958" s="360" t="s">
        <v>128</v>
      </c>
      <c r="E958" s="360" t="s">
        <v>1003</v>
      </c>
      <c r="F958" s="361" t="s">
        <v>1004</v>
      </c>
      <c r="G958" s="360" t="s">
        <v>36</v>
      </c>
      <c r="H958" s="361"/>
      <c r="I958" s="361"/>
      <c r="J958" s="361" t="s">
        <v>1015</v>
      </c>
      <c r="K958" s="363"/>
      <c r="L958" s="360"/>
      <c r="M958" s="360"/>
      <c r="N958" s="361"/>
      <c r="O958" s="361"/>
      <c r="P958" s="361"/>
      <c r="Q958" s="361"/>
      <c r="R958" s="362"/>
      <c r="S958" s="361"/>
      <c r="T958" s="360" t="s">
        <v>132</v>
      </c>
    </row>
    <row r="959" ht="34.5">
      <c r="A959" s="360" t="s">
        <v>860</v>
      </c>
      <c r="B959" s="360" t="s">
        <v>861</v>
      </c>
      <c r="C959" s="360" t="s">
        <v>681</v>
      </c>
      <c r="D959" s="360" t="s">
        <v>128</v>
      </c>
      <c r="E959" s="360" t="s">
        <v>1003</v>
      </c>
      <c r="F959" s="361" t="s">
        <v>1004</v>
      </c>
      <c r="G959" s="360" t="s">
        <v>36</v>
      </c>
      <c r="H959" s="361"/>
      <c r="I959" s="361"/>
      <c r="J959" s="361" t="s">
        <v>685</v>
      </c>
      <c r="K959" s="363"/>
      <c r="L959" s="360"/>
      <c r="M959" s="360"/>
      <c r="N959" s="361"/>
      <c r="O959" s="361"/>
      <c r="P959" s="361"/>
      <c r="Q959" s="361"/>
      <c r="R959" s="362"/>
      <c r="S959" s="361"/>
      <c r="T959" s="360" t="s">
        <v>132</v>
      </c>
    </row>
    <row r="960" ht="34.5">
      <c r="A960" s="360" t="s">
        <v>860</v>
      </c>
      <c r="B960" s="360" t="s">
        <v>861</v>
      </c>
      <c r="C960" s="360" t="s">
        <v>681</v>
      </c>
      <c r="D960" s="360" t="s">
        <v>128</v>
      </c>
      <c r="E960" s="360" t="s">
        <v>1003</v>
      </c>
      <c r="F960" s="361" t="s">
        <v>1004</v>
      </c>
      <c r="G960" s="360" t="s">
        <v>36</v>
      </c>
      <c r="H960" s="361"/>
      <c r="I960" s="361"/>
      <c r="J960" s="361" t="s">
        <v>1016</v>
      </c>
      <c r="K960" s="363"/>
      <c r="L960" s="360"/>
      <c r="M960" s="360"/>
      <c r="N960" s="361"/>
      <c r="O960" s="361"/>
      <c r="P960" s="361"/>
      <c r="Q960" s="361"/>
      <c r="R960" s="362"/>
      <c r="S960" s="361"/>
      <c r="T960" s="360" t="s">
        <v>132</v>
      </c>
    </row>
    <row r="961" ht="34.5">
      <c r="A961" s="360" t="s">
        <v>860</v>
      </c>
      <c r="B961" s="360" t="s">
        <v>861</v>
      </c>
      <c r="C961" s="360" t="s">
        <v>681</v>
      </c>
      <c r="D961" s="360" t="s">
        <v>128</v>
      </c>
      <c r="E961" s="360" t="s">
        <v>1003</v>
      </c>
      <c r="F961" s="361" t="s">
        <v>1004</v>
      </c>
      <c r="G961" s="360" t="s">
        <v>36</v>
      </c>
      <c r="H961" s="361"/>
      <c r="I961" s="361"/>
      <c r="J961" s="361" t="s">
        <v>1017</v>
      </c>
      <c r="K961" s="363"/>
      <c r="L961" s="360"/>
      <c r="M961" s="360"/>
      <c r="N961" s="361"/>
      <c r="O961" s="361"/>
      <c r="P961" s="361"/>
      <c r="Q961" s="361"/>
      <c r="R961" s="362"/>
      <c r="S961" s="361"/>
      <c r="T961" s="360" t="s">
        <v>132</v>
      </c>
    </row>
    <row r="962" ht="34.5">
      <c r="A962" s="360" t="s">
        <v>860</v>
      </c>
      <c r="B962" s="360" t="s">
        <v>861</v>
      </c>
      <c r="C962" s="360" t="s">
        <v>681</v>
      </c>
      <c r="D962" s="360" t="s">
        <v>128</v>
      </c>
      <c r="E962" s="360" t="s">
        <v>1003</v>
      </c>
      <c r="F962" s="361" t="s">
        <v>1004</v>
      </c>
      <c r="G962" s="360" t="s">
        <v>36</v>
      </c>
      <c r="H962" s="361"/>
      <c r="I962" s="361"/>
      <c r="J962" s="361" t="s">
        <v>1018</v>
      </c>
      <c r="K962" s="363"/>
      <c r="L962" s="360"/>
      <c r="M962" s="360"/>
      <c r="N962" s="361"/>
      <c r="O962" s="361"/>
      <c r="P962" s="361"/>
      <c r="Q962" s="361"/>
      <c r="R962" s="362"/>
      <c r="S962" s="361"/>
      <c r="T962" s="360" t="s">
        <v>132</v>
      </c>
    </row>
    <row r="963" ht="34.5">
      <c r="A963" s="360" t="s">
        <v>860</v>
      </c>
      <c r="B963" s="360" t="s">
        <v>861</v>
      </c>
      <c r="C963" s="360" t="s">
        <v>681</v>
      </c>
      <c r="D963" s="360" t="s">
        <v>128</v>
      </c>
      <c r="E963" s="360" t="s">
        <v>1003</v>
      </c>
      <c r="F963" s="361" t="s">
        <v>1004</v>
      </c>
      <c r="G963" s="360" t="s">
        <v>36</v>
      </c>
      <c r="H963" s="361"/>
      <c r="I963" s="361"/>
      <c r="J963" s="361" t="s">
        <v>1019</v>
      </c>
      <c r="K963" s="363"/>
      <c r="L963" s="360"/>
      <c r="M963" s="360"/>
      <c r="N963" s="361"/>
      <c r="O963" s="361"/>
      <c r="P963" s="361"/>
      <c r="Q963" s="361"/>
      <c r="R963" s="362"/>
      <c r="S963" s="361"/>
      <c r="T963" s="360" t="s">
        <v>132</v>
      </c>
    </row>
    <row r="964" ht="34.5">
      <c r="A964" s="360" t="s">
        <v>860</v>
      </c>
      <c r="B964" s="360" t="s">
        <v>861</v>
      </c>
      <c r="C964" s="360" t="s">
        <v>681</v>
      </c>
      <c r="D964" s="360" t="s">
        <v>128</v>
      </c>
      <c r="E964" s="360" t="s">
        <v>1003</v>
      </c>
      <c r="F964" s="361" t="s">
        <v>1004</v>
      </c>
      <c r="G964" s="360" t="s">
        <v>36</v>
      </c>
      <c r="H964" s="361"/>
      <c r="I964" s="361"/>
      <c r="J964" s="361" t="s">
        <v>1020</v>
      </c>
      <c r="K964" s="363"/>
      <c r="L964" s="360"/>
      <c r="M964" s="360"/>
      <c r="N964" s="361"/>
      <c r="O964" s="361"/>
      <c r="P964" s="361"/>
      <c r="Q964" s="361"/>
      <c r="R964" s="362"/>
      <c r="S964" s="361"/>
      <c r="T964" s="360" t="s">
        <v>132</v>
      </c>
    </row>
    <row r="965" ht="34.5">
      <c r="A965" s="360" t="s">
        <v>860</v>
      </c>
      <c r="B965" s="360" t="s">
        <v>861</v>
      </c>
      <c r="C965" s="360" t="s">
        <v>691</v>
      </c>
      <c r="D965" s="360" t="s">
        <v>128</v>
      </c>
      <c r="E965" s="360" t="s">
        <v>1003</v>
      </c>
      <c r="F965" s="361" t="s">
        <v>1004</v>
      </c>
      <c r="G965" s="360" t="s">
        <v>36</v>
      </c>
      <c r="H965" s="361"/>
      <c r="I965" s="361"/>
      <c r="J965" s="361" t="s">
        <v>1021</v>
      </c>
      <c r="K965" s="363"/>
      <c r="L965" s="360"/>
      <c r="M965" s="360"/>
      <c r="N965" s="361"/>
      <c r="O965" s="361"/>
      <c r="P965" s="361"/>
      <c r="Q965" s="361"/>
      <c r="R965" s="362"/>
      <c r="S965" s="361"/>
      <c r="T965" s="360" t="s">
        <v>132</v>
      </c>
    </row>
    <row r="966" ht="34.5">
      <c r="A966" s="360" t="s">
        <v>860</v>
      </c>
      <c r="B966" s="360" t="s">
        <v>861</v>
      </c>
      <c r="C966" s="360" t="s">
        <v>691</v>
      </c>
      <c r="D966" s="360" t="s">
        <v>128</v>
      </c>
      <c r="E966" s="360" t="s">
        <v>1003</v>
      </c>
      <c r="F966" s="361" t="s">
        <v>1004</v>
      </c>
      <c r="G966" s="360" t="s">
        <v>36</v>
      </c>
      <c r="H966" s="361"/>
      <c r="I966" s="361"/>
      <c r="J966" s="361" t="s">
        <v>1022</v>
      </c>
      <c r="K966" s="363"/>
      <c r="L966" s="360"/>
      <c r="M966" s="360"/>
      <c r="N966" s="361"/>
      <c r="O966" s="361"/>
      <c r="P966" s="361"/>
      <c r="Q966" s="361"/>
      <c r="R966" s="362"/>
      <c r="S966" s="361"/>
      <c r="T966" s="360" t="s">
        <v>132</v>
      </c>
    </row>
    <row r="967" ht="34.5">
      <c r="A967" s="360" t="s">
        <v>860</v>
      </c>
      <c r="B967" s="360" t="s">
        <v>861</v>
      </c>
      <c r="C967" s="360" t="s">
        <v>691</v>
      </c>
      <c r="D967" s="360" t="s">
        <v>128</v>
      </c>
      <c r="E967" s="360" t="s">
        <v>1003</v>
      </c>
      <c r="F967" s="361" t="s">
        <v>1004</v>
      </c>
      <c r="G967" s="360" t="s">
        <v>36</v>
      </c>
      <c r="H967" s="361"/>
      <c r="I967" s="361"/>
      <c r="J967" s="361" t="s">
        <v>1023</v>
      </c>
      <c r="K967" s="363"/>
      <c r="L967" s="360"/>
      <c r="M967" s="360"/>
      <c r="N967" s="361"/>
      <c r="O967" s="361"/>
      <c r="P967" s="361"/>
      <c r="Q967" s="361"/>
      <c r="R967" s="362"/>
      <c r="S967" s="361"/>
      <c r="T967" s="360" t="s">
        <v>132</v>
      </c>
    </row>
    <row r="968" ht="34.5">
      <c r="A968" s="360" t="s">
        <v>860</v>
      </c>
      <c r="B968" s="360" t="s">
        <v>861</v>
      </c>
      <c r="C968" s="360" t="s">
        <v>691</v>
      </c>
      <c r="D968" s="360" t="s">
        <v>128</v>
      </c>
      <c r="E968" s="360" t="s">
        <v>1003</v>
      </c>
      <c r="F968" s="361" t="s">
        <v>1004</v>
      </c>
      <c r="G968" s="360" t="s">
        <v>36</v>
      </c>
      <c r="H968" s="361"/>
      <c r="I968" s="361"/>
      <c r="J968" s="361" t="s">
        <v>1024</v>
      </c>
      <c r="K968" s="363"/>
      <c r="L968" s="360"/>
      <c r="M968" s="360"/>
      <c r="N968" s="361"/>
      <c r="O968" s="361"/>
      <c r="P968" s="361"/>
      <c r="Q968" s="361"/>
      <c r="R968" s="362"/>
      <c r="S968" s="361"/>
      <c r="T968" s="360" t="s">
        <v>132</v>
      </c>
    </row>
    <row r="969" ht="34.5">
      <c r="A969" s="360" t="s">
        <v>860</v>
      </c>
      <c r="B969" s="360" t="s">
        <v>861</v>
      </c>
      <c r="C969" s="360" t="s">
        <v>691</v>
      </c>
      <c r="D969" s="360" t="s">
        <v>128</v>
      </c>
      <c r="E969" s="360" t="s">
        <v>1003</v>
      </c>
      <c r="F969" s="361" t="s">
        <v>1004</v>
      </c>
      <c r="G969" s="360" t="s">
        <v>36</v>
      </c>
      <c r="H969" s="361"/>
      <c r="I969" s="361"/>
      <c r="J969" s="361" t="s">
        <v>1025</v>
      </c>
      <c r="K969" s="363"/>
      <c r="L969" s="360"/>
      <c r="M969" s="360"/>
      <c r="N969" s="361"/>
      <c r="O969" s="361"/>
      <c r="P969" s="361"/>
      <c r="Q969" s="361"/>
      <c r="R969" s="362"/>
      <c r="S969" s="361"/>
      <c r="T969" s="360" t="s">
        <v>132</v>
      </c>
    </row>
    <row r="970" ht="34.5">
      <c r="A970" s="360" t="s">
        <v>860</v>
      </c>
      <c r="B970" s="360" t="s">
        <v>861</v>
      </c>
      <c r="C970" s="360" t="s">
        <v>691</v>
      </c>
      <c r="D970" s="360" t="s">
        <v>128</v>
      </c>
      <c r="E970" s="360" t="s">
        <v>1003</v>
      </c>
      <c r="F970" s="361" t="s">
        <v>1004</v>
      </c>
      <c r="G970" s="360" t="s">
        <v>36</v>
      </c>
      <c r="H970" s="361"/>
      <c r="I970" s="361"/>
      <c r="J970" s="361" t="s">
        <v>1026</v>
      </c>
      <c r="K970" s="363"/>
      <c r="L970" s="360"/>
      <c r="M970" s="360"/>
      <c r="N970" s="361"/>
      <c r="O970" s="361"/>
      <c r="P970" s="361"/>
      <c r="Q970" s="361"/>
      <c r="R970" s="362"/>
      <c r="S970" s="361"/>
      <c r="T970" s="360" t="s">
        <v>132</v>
      </c>
    </row>
    <row r="971" ht="34.5">
      <c r="A971" s="360" t="s">
        <v>860</v>
      </c>
      <c r="B971" s="360" t="s">
        <v>861</v>
      </c>
      <c r="C971" s="360" t="s">
        <v>691</v>
      </c>
      <c r="D971" s="360" t="s">
        <v>128</v>
      </c>
      <c r="E971" s="360" t="s">
        <v>1003</v>
      </c>
      <c r="F971" s="361" t="s">
        <v>1004</v>
      </c>
      <c r="G971" s="360" t="s">
        <v>36</v>
      </c>
      <c r="H971" s="361"/>
      <c r="I971" s="361"/>
      <c r="J971" s="361" t="s">
        <v>1027</v>
      </c>
      <c r="K971" s="363"/>
      <c r="L971" s="360"/>
      <c r="M971" s="360"/>
      <c r="N971" s="361"/>
      <c r="O971" s="361"/>
      <c r="P971" s="361"/>
      <c r="Q971" s="361"/>
      <c r="R971" s="362"/>
      <c r="S971" s="361"/>
      <c r="T971" s="360" t="s">
        <v>132</v>
      </c>
    </row>
    <row r="972" ht="34.5">
      <c r="A972" s="360" t="s">
        <v>860</v>
      </c>
      <c r="B972" s="360" t="s">
        <v>861</v>
      </c>
      <c r="C972" s="360" t="s">
        <v>691</v>
      </c>
      <c r="D972" s="360" t="s">
        <v>128</v>
      </c>
      <c r="E972" s="360" t="s">
        <v>1003</v>
      </c>
      <c r="F972" s="361" t="s">
        <v>1004</v>
      </c>
      <c r="G972" s="360" t="s">
        <v>36</v>
      </c>
      <c r="H972" s="361"/>
      <c r="I972" s="361"/>
      <c r="J972" s="361" t="s">
        <v>1028</v>
      </c>
      <c r="K972" s="363"/>
      <c r="L972" s="360"/>
      <c r="M972" s="360"/>
      <c r="N972" s="361"/>
      <c r="O972" s="361"/>
      <c r="P972" s="361"/>
      <c r="Q972" s="361"/>
      <c r="R972" s="362"/>
      <c r="S972" s="361"/>
      <c r="T972" s="360" t="s">
        <v>132</v>
      </c>
    </row>
    <row r="973" ht="34.5">
      <c r="A973" s="360" t="s">
        <v>860</v>
      </c>
      <c r="B973" s="360" t="s">
        <v>861</v>
      </c>
      <c r="C973" s="360" t="s">
        <v>701</v>
      </c>
      <c r="D973" s="360" t="s">
        <v>128</v>
      </c>
      <c r="E973" s="360" t="s">
        <v>1003</v>
      </c>
      <c r="F973" s="361" t="s">
        <v>1004</v>
      </c>
      <c r="G973" s="360" t="s">
        <v>36</v>
      </c>
      <c r="H973" s="361"/>
      <c r="I973" s="361"/>
      <c r="J973" s="361" t="s">
        <v>703</v>
      </c>
      <c r="K973" s="363"/>
      <c r="L973" s="360"/>
      <c r="M973" s="360"/>
      <c r="N973" s="361"/>
      <c r="O973" s="361"/>
      <c r="P973" s="361"/>
      <c r="Q973" s="361"/>
      <c r="R973" s="362"/>
      <c r="S973" s="361"/>
      <c r="T973" s="360" t="s">
        <v>132</v>
      </c>
    </row>
    <row r="974" ht="34.5">
      <c r="A974" s="360" t="s">
        <v>860</v>
      </c>
      <c r="B974" s="360" t="s">
        <v>861</v>
      </c>
      <c r="C974" s="360" t="s">
        <v>701</v>
      </c>
      <c r="D974" s="360" t="s">
        <v>706</v>
      </c>
      <c r="E974" s="360" t="s">
        <v>1003</v>
      </c>
      <c r="F974" s="361" t="s">
        <v>1004</v>
      </c>
      <c r="G974" s="360" t="s">
        <v>36</v>
      </c>
      <c r="H974" s="361"/>
      <c r="I974" s="361"/>
      <c r="J974" s="361" t="s">
        <v>707</v>
      </c>
      <c r="K974" s="363"/>
      <c r="L974" s="360"/>
      <c r="M974" s="360"/>
      <c r="N974" s="361"/>
      <c r="O974" s="361"/>
      <c r="P974" s="361"/>
      <c r="Q974" s="361"/>
      <c r="R974" s="362"/>
      <c r="S974" s="361"/>
      <c r="T974" s="360" t="s">
        <v>132</v>
      </c>
    </row>
    <row r="975" ht="34.5">
      <c r="A975" s="360" t="s">
        <v>860</v>
      </c>
      <c r="B975" s="360" t="s">
        <v>861</v>
      </c>
      <c r="C975" s="360" t="s">
        <v>708</v>
      </c>
      <c r="D975" s="360" t="s">
        <v>128</v>
      </c>
      <c r="E975" s="360" t="s">
        <v>1003</v>
      </c>
      <c r="F975" s="361" t="s">
        <v>1004</v>
      </c>
      <c r="G975" s="360" t="s">
        <v>36</v>
      </c>
      <c r="H975" s="361"/>
      <c r="I975" s="361"/>
      <c r="J975" s="361" t="s">
        <v>1029</v>
      </c>
      <c r="K975" s="363"/>
      <c r="L975" s="360"/>
      <c r="M975" s="360"/>
      <c r="N975" s="361"/>
      <c r="O975" s="361"/>
      <c r="P975" s="361"/>
      <c r="Q975" s="361"/>
      <c r="R975" s="362"/>
      <c r="S975" s="361"/>
      <c r="T975" s="360" t="s">
        <v>132</v>
      </c>
    </row>
    <row r="976" ht="34.5">
      <c r="A976" s="360" t="s">
        <v>860</v>
      </c>
      <c r="B976" s="360" t="s">
        <v>861</v>
      </c>
      <c r="C976" s="360" t="s">
        <v>708</v>
      </c>
      <c r="D976" s="360" t="s">
        <v>710</v>
      </c>
      <c r="E976" s="360" t="s">
        <v>1003</v>
      </c>
      <c r="F976" s="361" t="s">
        <v>1004</v>
      </c>
      <c r="G976" s="360" t="s">
        <v>36</v>
      </c>
      <c r="H976" s="361"/>
      <c r="I976" s="361"/>
      <c r="J976" s="361" t="s">
        <v>711</v>
      </c>
      <c r="K976" s="363"/>
      <c r="L976" s="360"/>
      <c r="M976" s="360"/>
      <c r="N976" s="361"/>
      <c r="O976" s="361"/>
      <c r="P976" s="361"/>
      <c r="Q976" s="361"/>
      <c r="R976" s="362"/>
      <c r="S976" s="361"/>
      <c r="T976" s="360" t="s">
        <v>132</v>
      </c>
    </row>
    <row r="977" ht="34.5">
      <c r="A977" s="360" t="s">
        <v>860</v>
      </c>
      <c r="B977" s="360" t="s">
        <v>861</v>
      </c>
      <c r="C977" s="360" t="s">
        <v>712</v>
      </c>
      <c r="D977" s="360" t="s">
        <v>128</v>
      </c>
      <c r="E977" s="360" t="s">
        <v>1003</v>
      </c>
      <c r="F977" s="361" t="s">
        <v>1004</v>
      </c>
      <c r="G977" s="360" t="s">
        <v>36</v>
      </c>
      <c r="H977" s="361"/>
      <c r="I977" s="361"/>
      <c r="J977" s="361" t="s">
        <v>1030</v>
      </c>
      <c r="K977" s="363"/>
      <c r="L977" s="360"/>
      <c r="M977" s="360"/>
      <c r="N977" s="361"/>
      <c r="O977" s="361"/>
      <c r="P977" s="361"/>
      <c r="Q977" s="361"/>
      <c r="R977" s="362"/>
      <c r="S977" s="361"/>
      <c r="T977" s="360" t="s">
        <v>132</v>
      </c>
    </row>
    <row r="978" ht="34.5">
      <c r="A978" s="360" t="s">
        <v>860</v>
      </c>
      <c r="B978" s="360" t="s">
        <v>861</v>
      </c>
      <c r="C978" s="360" t="s">
        <v>712</v>
      </c>
      <c r="D978" s="360" t="s">
        <v>128</v>
      </c>
      <c r="E978" s="360" t="s">
        <v>129</v>
      </c>
      <c r="F978" s="361" t="s">
        <v>130</v>
      </c>
      <c r="G978" s="360" t="s">
        <v>36</v>
      </c>
      <c r="H978" s="361"/>
      <c r="I978" s="361"/>
      <c r="J978" s="361" t="s">
        <v>714</v>
      </c>
      <c r="K978" s="363"/>
      <c r="L978" s="360"/>
      <c r="M978" s="360"/>
      <c r="N978" s="361"/>
      <c r="O978" s="361"/>
      <c r="P978" s="361"/>
      <c r="Q978" s="361"/>
      <c r="R978" s="362"/>
      <c r="S978" s="361"/>
      <c r="T978" s="360" t="s">
        <v>132</v>
      </c>
    </row>
    <row r="979" ht="34.5">
      <c r="A979" s="360" t="s">
        <v>860</v>
      </c>
      <c r="B979" s="360" t="s">
        <v>861</v>
      </c>
      <c r="C979" s="360" t="s">
        <v>712</v>
      </c>
      <c r="D979" s="360" t="s">
        <v>128</v>
      </c>
      <c r="E979" s="360" t="s">
        <v>129</v>
      </c>
      <c r="F979" s="361" t="s">
        <v>130</v>
      </c>
      <c r="G979" s="360" t="s">
        <v>36</v>
      </c>
      <c r="H979" s="361"/>
      <c r="I979" s="361"/>
      <c r="J979" s="361" t="s">
        <v>715</v>
      </c>
      <c r="K979" s="363">
        <v>50000000</v>
      </c>
      <c r="L979" s="360" t="s">
        <v>314</v>
      </c>
      <c r="M979" s="360"/>
      <c r="N979" s="361"/>
      <c r="O979" s="361"/>
      <c r="P979" s="361"/>
      <c r="Q979" s="361"/>
      <c r="R979" s="362"/>
      <c r="S979" s="361"/>
      <c r="T979" s="360" t="s">
        <v>132</v>
      </c>
    </row>
    <row r="980" ht="34.5">
      <c r="A980" s="360" t="s">
        <v>860</v>
      </c>
      <c r="B980" s="360" t="s">
        <v>861</v>
      </c>
      <c r="C980" s="360" t="s">
        <v>712</v>
      </c>
      <c r="D980" s="360" t="s">
        <v>128</v>
      </c>
      <c r="E980" s="360" t="s">
        <v>129</v>
      </c>
      <c r="F980" s="361" t="s">
        <v>130</v>
      </c>
      <c r="G980" s="360" t="s">
        <v>36</v>
      </c>
      <c r="H980" s="361"/>
      <c r="I980" s="361"/>
      <c r="J980" s="361" t="s">
        <v>716</v>
      </c>
      <c r="K980" s="363">
        <v>10000000</v>
      </c>
      <c r="L980" s="360" t="s">
        <v>314</v>
      </c>
      <c r="M980" s="360"/>
      <c r="N980" s="361"/>
      <c r="O980" s="361"/>
      <c r="P980" s="361"/>
      <c r="Q980" s="361"/>
      <c r="R980" s="362"/>
      <c r="S980" s="361"/>
      <c r="T980" s="360" t="s">
        <v>132</v>
      </c>
    </row>
    <row r="981" ht="34.5">
      <c r="A981" s="360" t="s">
        <v>860</v>
      </c>
      <c r="B981" s="360" t="s">
        <v>861</v>
      </c>
      <c r="C981" s="360" t="s">
        <v>712</v>
      </c>
      <c r="D981" s="360" t="s">
        <v>128</v>
      </c>
      <c r="E981" s="360" t="s">
        <v>129</v>
      </c>
      <c r="F981" s="361" t="s">
        <v>130</v>
      </c>
      <c r="G981" s="360" t="s">
        <v>36</v>
      </c>
      <c r="H981" s="361"/>
      <c r="I981" s="361"/>
      <c r="J981" s="361" t="s">
        <v>717</v>
      </c>
      <c r="K981" s="363"/>
      <c r="L981" s="360"/>
      <c r="M981" s="360"/>
      <c r="N981" s="361"/>
      <c r="O981" s="361"/>
      <c r="P981" s="361"/>
      <c r="Q981" s="361"/>
      <c r="R981" s="362"/>
      <c r="S981" s="361"/>
      <c r="T981" s="360" t="s">
        <v>132</v>
      </c>
    </row>
    <row r="982" ht="34.5">
      <c r="A982" s="360" t="s">
        <v>860</v>
      </c>
      <c r="B982" s="360" t="s">
        <v>861</v>
      </c>
      <c r="C982" s="360" t="s">
        <v>712</v>
      </c>
      <c r="D982" s="360" t="s">
        <v>128</v>
      </c>
      <c r="E982" s="360" t="s">
        <v>129</v>
      </c>
      <c r="F982" s="361" t="s">
        <v>130</v>
      </c>
      <c r="G982" s="360" t="s">
        <v>36</v>
      </c>
      <c r="H982" s="361"/>
      <c r="I982" s="361"/>
      <c r="J982" s="361" t="s">
        <v>718</v>
      </c>
      <c r="K982" s="363"/>
      <c r="L982" s="360"/>
      <c r="M982" s="360"/>
      <c r="N982" s="361"/>
      <c r="O982" s="361"/>
      <c r="P982" s="361"/>
      <c r="Q982" s="361"/>
      <c r="R982" s="362"/>
      <c r="S982" s="361"/>
      <c r="T982" s="360" t="s">
        <v>132</v>
      </c>
    </row>
    <row r="983" ht="34.5">
      <c r="A983" s="360" t="s">
        <v>860</v>
      </c>
      <c r="B983" s="360" t="s">
        <v>861</v>
      </c>
      <c r="C983" s="360" t="s">
        <v>712</v>
      </c>
      <c r="D983" s="360" t="s">
        <v>128</v>
      </c>
      <c r="E983" s="360" t="s">
        <v>129</v>
      </c>
      <c r="F983" s="361" t="s">
        <v>130</v>
      </c>
      <c r="G983" s="360" t="s">
        <v>36</v>
      </c>
      <c r="H983" s="361"/>
      <c r="I983" s="361"/>
      <c r="J983" s="361" t="s">
        <v>1031</v>
      </c>
      <c r="K983" s="363"/>
      <c r="L983" s="360"/>
      <c r="M983" s="360"/>
      <c r="N983" s="361"/>
      <c r="O983" s="361"/>
      <c r="P983" s="361"/>
      <c r="Q983" s="361"/>
      <c r="R983" s="362"/>
      <c r="S983" s="361"/>
      <c r="T983" s="360" t="s">
        <v>132</v>
      </c>
    </row>
    <row r="984" ht="34.5">
      <c r="A984" s="360" t="s">
        <v>860</v>
      </c>
      <c r="B984" s="360" t="s">
        <v>861</v>
      </c>
      <c r="C984" s="360" t="s">
        <v>720</v>
      </c>
      <c r="D984" s="360" t="s">
        <v>128</v>
      </c>
      <c r="E984" s="360" t="s">
        <v>129</v>
      </c>
      <c r="F984" s="361" t="s">
        <v>130</v>
      </c>
      <c r="G984" s="360" t="s">
        <v>36</v>
      </c>
      <c r="H984" s="361"/>
      <c r="I984" s="361"/>
      <c r="J984" s="361" t="s">
        <v>1030</v>
      </c>
      <c r="K984" s="363"/>
      <c r="L984" s="360"/>
      <c r="M984" s="360"/>
      <c r="N984" s="361"/>
      <c r="O984" s="361"/>
      <c r="P984" s="361"/>
      <c r="Q984" s="361"/>
      <c r="R984" s="362"/>
      <c r="S984" s="361"/>
      <c r="T984" s="360" t="s">
        <v>132</v>
      </c>
    </row>
    <row r="985" ht="34.5">
      <c r="A985" s="360" t="s">
        <v>860</v>
      </c>
      <c r="B985" s="360" t="s">
        <v>861</v>
      </c>
      <c r="C985" s="360" t="s">
        <v>720</v>
      </c>
      <c r="D985" s="360" t="s">
        <v>128</v>
      </c>
      <c r="E985" s="360" t="s">
        <v>129</v>
      </c>
      <c r="F985" s="361" t="s">
        <v>130</v>
      </c>
      <c r="G985" s="360" t="s">
        <v>36</v>
      </c>
      <c r="H985" s="361"/>
      <c r="I985" s="361"/>
      <c r="J985" s="361" t="s">
        <v>722</v>
      </c>
      <c r="K985" s="363"/>
      <c r="L985" s="360"/>
      <c r="M985" s="360"/>
      <c r="N985" s="361"/>
      <c r="O985" s="361"/>
      <c r="P985" s="361"/>
      <c r="Q985" s="361"/>
      <c r="R985" s="362"/>
      <c r="S985" s="361"/>
      <c r="T985" s="360" t="s">
        <v>132</v>
      </c>
    </row>
    <row r="986" ht="34.5">
      <c r="A986" s="360" t="s">
        <v>860</v>
      </c>
      <c r="B986" s="360" t="s">
        <v>861</v>
      </c>
      <c r="C986" s="360" t="s">
        <v>720</v>
      </c>
      <c r="D986" s="360" t="s">
        <v>128</v>
      </c>
      <c r="E986" s="360" t="s">
        <v>129</v>
      </c>
      <c r="F986" s="361" t="s">
        <v>130</v>
      </c>
      <c r="G986" s="360" t="s">
        <v>36</v>
      </c>
      <c r="H986" s="361"/>
      <c r="I986" s="361"/>
      <c r="J986" s="361" t="s">
        <v>723</v>
      </c>
      <c r="K986" s="363"/>
      <c r="L986" s="360"/>
      <c r="M986" s="360"/>
      <c r="N986" s="361"/>
      <c r="O986" s="361"/>
      <c r="P986" s="361"/>
      <c r="Q986" s="361"/>
      <c r="R986" s="362"/>
      <c r="S986" s="361"/>
      <c r="T986" s="360" t="s">
        <v>132</v>
      </c>
    </row>
    <row r="987" ht="34.5">
      <c r="A987" s="360" t="s">
        <v>860</v>
      </c>
      <c r="B987" s="360" t="s">
        <v>861</v>
      </c>
      <c r="C987" s="360" t="s">
        <v>720</v>
      </c>
      <c r="D987" s="360" t="s">
        <v>128</v>
      </c>
      <c r="E987" s="360" t="s">
        <v>129</v>
      </c>
      <c r="F987" s="361" t="s">
        <v>130</v>
      </c>
      <c r="G987" s="360" t="s">
        <v>36</v>
      </c>
      <c r="H987" s="361"/>
      <c r="I987" s="361"/>
      <c r="J987" s="361" t="s">
        <v>724</v>
      </c>
      <c r="K987" s="363"/>
      <c r="L987" s="360"/>
      <c r="M987" s="360"/>
      <c r="N987" s="361"/>
      <c r="O987" s="361"/>
      <c r="P987" s="361"/>
      <c r="Q987" s="361"/>
      <c r="R987" s="362"/>
      <c r="S987" s="361"/>
      <c r="T987" s="360" t="s">
        <v>132</v>
      </c>
    </row>
    <row r="988" ht="34.5">
      <c r="A988" s="360" t="s">
        <v>860</v>
      </c>
      <c r="B988" s="360" t="s">
        <v>861</v>
      </c>
      <c r="C988" s="360" t="s">
        <v>720</v>
      </c>
      <c r="D988" s="360" t="s">
        <v>128</v>
      </c>
      <c r="E988" s="360" t="s">
        <v>129</v>
      </c>
      <c r="F988" s="361" t="s">
        <v>130</v>
      </c>
      <c r="G988" s="360" t="s">
        <v>36</v>
      </c>
      <c r="H988" s="361"/>
      <c r="I988" s="361"/>
      <c r="J988" s="361" t="s">
        <v>1032</v>
      </c>
      <c r="K988" s="363"/>
      <c r="L988" s="360"/>
      <c r="M988" s="360"/>
      <c r="N988" s="361"/>
      <c r="O988" s="361"/>
      <c r="P988" s="361"/>
      <c r="Q988" s="361"/>
      <c r="R988" s="362"/>
      <c r="S988" s="361"/>
      <c r="T988" s="360" t="s">
        <v>132</v>
      </c>
    </row>
    <row r="989" ht="34.5">
      <c r="A989" s="360" t="s">
        <v>860</v>
      </c>
      <c r="B989" s="360" t="s">
        <v>861</v>
      </c>
      <c r="C989" s="360" t="s">
        <v>720</v>
      </c>
      <c r="D989" s="360" t="s">
        <v>128</v>
      </c>
      <c r="E989" s="360" t="s">
        <v>129</v>
      </c>
      <c r="F989" s="361" t="s">
        <v>130</v>
      </c>
      <c r="G989" s="360" t="s">
        <v>36</v>
      </c>
      <c r="H989" s="361"/>
      <c r="I989" s="361"/>
      <c r="J989" s="361" t="s">
        <v>1033</v>
      </c>
      <c r="K989" s="363"/>
      <c r="L989" s="360"/>
      <c r="M989" s="360"/>
      <c r="N989" s="361"/>
      <c r="O989" s="361"/>
      <c r="P989" s="361"/>
      <c r="Q989" s="361"/>
      <c r="R989" s="362"/>
      <c r="S989" s="361"/>
      <c r="T989" s="360" t="s">
        <v>132</v>
      </c>
    </row>
    <row r="990" ht="34.5">
      <c r="A990" s="360" t="s">
        <v>860</v>
      </c>
      <c r="B990" s="360" t="s">
        <v>861</v>
      </c>
      <c r="C990" s="360" t="s">
        <v>720</v>
      </c>
      <c r="D990" s="360" t="s">
        <v>128</v>
      </c>
      <c r="E990" s="360" t="s">
        <v>143</v>
      </c>
      <c r="F990" s="361" t="s">
        <v>144</v>
      </c>
      <c r="G990" s="360" t="s">
        <v>145</v>
      </c>
      <c r="H990" s="361"/>
      <c r="I990" s="361"/>
      <c r="J990" s="361" t="s">
        <v>727</v>
      </c>
      <c r="K990" s="363"/>
      <c r="L990" s="360"/>
      <c r="M990" s="360"/>
      <c r="N990" s="361"/>
      <c r="O990" s="361"/>
      <c r="P990" s="361"/>
      <c r="Q990" s="361"/>
      <c r="R990" s="362"/>
      <c r="S990" s="361"/>
      <c r="T990" s="360" t="s">
        <v>132</v>
      </c>
    </row>
    <row r="991" ht="34.5">
      <c r="A991" s="360" t="s">
        <v>860</v>
      </c>
      <c r="B991" s="360" t="s">
        <v>861</v>
      </c>
      <c r="C991" s="360" t="s">
        <v>720</v>
      </c>
      <c r="D991" s="360" t="s">
        <v>128</v>
      </c>
      <c r="E991" s="360" t="s">
        <v>143</v>
      </c>
      <c r="F991" s="361" t="s">
        <v>144</v>
      </c>
      <c r="G991" s="360" t="s">
        <v>145</v>
      </c>
      <c r="H991" s="361"/>
      <c r="I991" s="361"/>
      <c r="J991" s="361" t="s">
        <v>728</v>
      </c>
      <c r="K991" s="363"/>
      <c r="L991" s="360"/>
      <c r="M991" s="360"/>
      <c r="N991" s="361"/>
      <c r="O991" s="361"/>
      <c r="P991" s="361"/>
      <c r="Q991" s="361"/>
      <c r="R991" s="362"/>
      <c r="S991" s="361"/>
      <c r="T991" s="360" t="s">
        <v>132</v>
      </c>
    </row>
    <row r="992" ht="34.5">
      <c r="A992" s="360" t="s">
        <v>860</v>
      </c>
      <c r="B992" s="360" t="s">
        <v>861</v>
      </c>
      <c r="C992" s="360" t="s">
        <v>720</v>
      </c>
      <c r="D992" s="360" t="s">
        <v>128</v>
      </c>
      <c r="E992" s="360" t="s">
        <v>143</v>
      </c>
      <c r="F992" s="361" t="s">
        <v>144</v>
      </c>
      <c r="G992" s="360" t="s">
        <v>145</v>
      </c>
      <c r="H992" s="361"/>
      <c r="I992" s="361"/>
      <c r="J992" s="361" t="s">
        <v>729</v>
      </c>
      <c r="K992" s="363"/>
      <c r="L992" s="360"/>
      <c r="M992" s="360"/>
      <c r="N992" s="361"/>
      <c r="O992" s="361"/>
      <c r="P992" s="361"/>
      <c r="Q992" s="361"/>
      <c r="R992" s="362"/>
      <c r="S992" s="361"/>
      <c r="T992" s="360" t="s">
        <v>132</v>
      </c>
    </row>
    <row r="993" ht="34.5">
      <c r="A993" s="360" t="s">
        <v>860</v>
      </c>
      <c r="B993" s="360" t="s">
        <v>861</v>
      </c>
      <c r="C993" s="360" t="s">
        <v>720</v>
      </c>
      <c r="D993" s="360" t="s">
        <v>128</v>
      </c>
      <c r="E993" s="360" t="s">
        <v>143</v>
      </c>
      <c r="F993" s="361" t="s">
        <v>144</v>
      </c>
      <c r="G993" s="360" t="s">
        <v>145</v>
      </c>
      <c r="H993" s="361"/>
      <c r="I993" s="361"/>
      <c r="J993" s="361" t="s">
        <v>1034</v>
      </c>
      <c r="K993" s="363"/>
      <c r="L993" s="360"/>
      <c r="M993" s="360"/>
      <c r="N993" s="361"/>
      <c r="O993" s="361"/>
      <c r="P993" s="361"/>
      <c r="Q993" s="361"/>
      <c r="R993" s="362"/>
      <c r="S993" s="361"/>
      <c r="T993" s="360" t="s">
        <v>132</v>
      </c>
    </row>
    <row r="994" ht="34.5">
      <c r="A994" s="360" t="s">
        <v>860</v>
      </c>
      <c r="B994" s="360" t="s">
        <v>861</v>
      </c>
      <c r="C994" s="360" t="s">
        <v>731</v>
      </c>
      <c r="D994" s="360" t="s">
        <v>128</v>
      </c>
      <c r="E994" s="360" t="s">
        <v>167</v>
      </c>
      <c r="F994" s="361" t="s">
        <v>885</v>
      </c>
      <c r="G994" s="360" t="s">
        <v>145</v>
      </c>
      <c r="H994" s="361"/>
      <c r="I994" s="361"/>
      <c r="J994" s="361" t="s">
        <v>736</v>
      </c>
      <c r="K994" s="363"/>
      <c r="L994" s="360"/>
      <c r="M994" s="360"/>
      <c r="N994" s="361"/>
      <c r="O994" s="361"/>
      <c r="P994" s="361"/>
      <c r="Q994" s="361"/>
      <c r="R994" s="362"/>
      <c r="S994" s="361"/>
      <c r="T994" s="360" t="s">
        <v>132</v>
      </c>
    </row>
    <row r="995" ht="34.5">
      <c r="A995" s="360" t="s">
        <v>860</v>
      </c>
      <c r="B995" s="360" t="s">
        <v>861</v>
      </c>
      <c r="C995" s="360" t="s">
        <v>731</v>
      </c>
      <c r="D995" s="360" t="s">
        <v>128</v>
      </c>
      <c r="E995" s="360" t="s">
        <v>167</v>
      </c>
      <c r="F995" s="361" t="s">
        <v>885</v>
      </c>
      <c r="G995" s="360" t="s">
        <v>145</v>
      </c>
      <c r="H995" s="361"/>
      <c r="I995" s="361"/>
      <c r="J995" s="361" t="s">
        <v>737</v>
      </c>
      <c r="K995" s="363"/>
      <c r="L995" s="360"/>
      <c r="M995" s="360"/>
      <c r="N995" s="361"/>
      <c r="O995" s="361"/>
      <c r="P995" s="361"/>
      <c r="Q995" s="361"/>
      <c r="R995" s="362"/>
      <c r="S995" s="361"/>
      <c r="T995" s="360" t="s">
        <v>132</v>
      </c>
    </row>
    <row r="996" ht="34.5">
      <c r="A996" s="360" t="s">
        <v>860</v>
      </c>
      <c r="B996" s="360" t="s">
        <v>861</v>
      </c>
      <c r="C996" s="360" t="s">
        <v>731</v>
      </c>
      <c r="D996" s="360" t="s">
        <v>128</v>
      </c>
      <c r="E996" s="360" t="s">
        <v>167</v>
      </c>
      <c r="F996" s="361" t="s">
        <v>885</v>
      </c>
      <c r="G996" s="360" t="s">
        <v>145</v>
      </c>
      <c r="H996" s="361"/>
      <c r="I996" s="361"/>
      <c r="J996" s="361" t="s">
        <v>738</v>
      </c>
      <c r="K996" s="363"/>
      <c r="L996" s="360"/>
      <c r="M996" s="360"/>
      <c r="N996" s="361"/>
      <c r="O996" s="361"/>
      <c r="P996" s="361"/>
      <c r="Q996" s="361"/>
      <c r="R996" s="362"/>
      <c r="S996" s="361"/>
      <c r="T996" s="360" t="s">
        <v>132</v>
      </c>
    </row>
    <row r="997" ht="34.5">
      <c r="A997" s="360" t="s">
        <v>860</v>
      </c>
      <c r="B997" s="360" t="s">
        <v>861</v>
      </c>
      <c r="C997" s="360" t="s">
        <v>731</v>
      </c>
      <c r="D997" s="360" t="s">
        <v>128</v>
      </c>
      <c r="E997" s="360" t="s">
        <v>167</v>
      </c>
      <c r="F997" s="361" t="s">
        <v>885</v>
      </c>
      <c r="G997" s="360" t="s">
        <v>145</v>
      </c>
      <c r="H997" s="361"/>
      <c r="I997" s="361"/>
      <c r="J997" s="361" t="s">
        <v>739</v>
      </c>
      <c r="K997" s="363"/>
      <c r="L997" s="360"/>
      <c r="M997" s="360"/>
      <c r="N997" s="361"/>
      <c r="O997" s="361"/>
      <c r="P997" s="361"/>
      <c r="Q997" s="361"/>
      <c r="R997" s="362"/>
      <c r="S997" s="361"/>
      <c r="T997" s="360" t="s">
        <v>132</v>
      </c>
    </row>
    <row r="998" ht="34.5">
      <c r="A998" s="360" t="s">
        <v>860</v>
      </c>
      <c r="B998" s="360" t="s">
        <v>861</v>
      </c>
      <c r="C998" s="360" t="s">
        <v>731</v>
      </c>
      <c r="D998" s="360" t="s">
        <v>128</v>
      </c>
      <c r="E998" s="360" t="s">
        <v>167</v>
      </c>
      <c r="F998" s="361" t="s">
        <v>885</v>
      </c>
      <c r="G998" s="360" t="s">
        <v>145</v>
      </c>
      <c r="H998" s="361"/>
      <c r="I998" s="361"/>
      <c r="J998" s="361" t="s">
        <v>1035</v>
      </c>
      <c r="K998" s="363"/>
      <c r="L998" s="360"/>
      <c r="M998" s="360"/>
      <c r="N998" s="361"/>
      <c r="O998" s="361"/>
      <c r="P998" s="361"/>
      <c r="Q998" s="361"/>
      <c r="R998" s="362"/>
      <c r="S998" s="361"/>
      <c r="T998" s="360" t="s">
        <v>132</v>
      </c>
    </row>
    <row r="999" ht="34.5">
      <c r="A999" s="360" t="s">
        <v>860</v>
      </c>
      <c r="B999" s="360" t="s">
        <v>861</v>
      </c>
      <c r="C999" s="360" t="s">
        <v>731</v>
      </c>
      <c r="D999" s="360" t="s">
        <v>128</v>
      </c>
      <c r="E999" s="360" t="s">
        <v>167</v>
      </c>
      <c r="F999" s="361" t="s">
        <v>885</v>
      </c>
      <c r="G999" s="360" t="s">
        <v>145</v>
      </c>
      <c r="H999" s="361"/>
      <c r="I999" s="361"/>
      <c r="J999" s="361" t="s">
        <v>743</v>
      </c>
      <c r="K999" s="363"/>
      <c r="L999" s="360"/>
      <c r="M999" s="360"/>
      <c r="N999" s="361"/>
      <c r="O999" s="361"/>
      <c r="P999" s="361"/>
      <c r="Q999" s="361"/>
      <c r="R999" s="362"/>
      <c r="S999" s="361"/>
      <c r="T999" s="360" t="s">
        <v>132</v>
      </c>
    </row>
    <row r="1000" ht="34.5">
      <c r="A1000" s="360" t="s">
        <v>860</v>
      </c>
      <c r="B1000" s="360" t="s">
        <v>861</v>
      </c>
      <c r="C1000" s="360" t="s">
        <v>731</v>
      </c>
      <c r="D1000" s="360" t="s">
        <v>128</v>
      </c>
      <c r="E1000" s="360" t="s">
        <v>167</v>
      </c>
      <c r="F1000" s="361" t="s">
        <v>885</v>
      </c>
      <c r="G1000" s="360" t="s">
        <v>145</v>
      </c>
      <c r="H1000" s="361"/>
      <c r="I1000" s="361"/>
      <c r="J1000" s="361" t="s">
        <v>744</v>
      </c>
      <c r="K1000" s="363"/>
      <c r="L1000" s="360"/>
      <c r="M1000" s="360"/>
      <c r="N1000" s="361"/>
      <c r="O1000" s="361"/>
      <c r="P1000" s="361"/>
      <c r="Q1000" s="361"/>
      <c r="R1000" s="362"/>
      <c r="S1000" s="361"/>
      <c r="T1000" s="360" t="s">
        <v>132</v>
      </c>
    </row>
    <row r="1001" ht="34.5">
      <c r="A1001" s="360" t="s">
        <v>860</v>
      </c>
      <c r="B1001" s="360" t="s">
        <v>861</v>
      </c>
      <c r="C1001" s="360" t="s">
        <v>731</v>
      </c>
      <c r="D1001" s="360" t="s">
        <v>128</v>
      </c>
      <c r="E1001" s="360" t="s">
        <v>167</v>
      </c>
      <c r="F1001" s="361" t="s">
        <v>885</v>
      </c>
      <c r="G1001" s="360" t="s">
        <v>145</v>
      </c>
      <c r="H1001" s="361"/>
      <c r="I1001" s="361"/>
      <c r="J1001" s="361" t="s">
        <v>1036</v>
      </c>
      <c r="K1001" s="363"/>
      <c r="L1001" s="360"/>
      <c r="M1001" s="360"/>
      <c r="N1001" s="361"/>
      <c r="O1001" s="361"/>
      <c r="P1001" s="361"/>
      <c r="Q1001" s="361"/>
      <c r="R1001" s="362"/>
      <c r="S1001" s="361"/>
      <c r="T1001" s="360" t="s">
        <v>132</v>
      </c>
    </row>
    <row r="1002" ht="34.5">
      <c r="A1002" s="360" t="s">
        <v>860</v>
      </c>
      <c r="B1002" s="360" t="s">
        <v>861</v>
      </c>
      <c r="C1002" s="360" t="s">
        <v>731</v>
      </c>
      <c r="D1002" s="360" t="s">
        <v>128</v>
      </c>
      <c r="E1002" s="360" t="s">
        <v>167</v>
      </c>
      <c r="F1002" s="361" t="s">
        <v>885</v>
      </c>
      <c r="G1002" s="360" t="s">
        <v>145</v>
      </c>
      <c r="H1002" s="361"/>
      <c r="I1002" s="361"/>
      <c r="J1002" s="361" t="s">
        <v>746</v>
      </c>
      <c r="K1002" s="363"/>
      <c r="L1002" s="360"/>
      <c r="M1002" s="360"/>
      <c r="N1002" s="361"/>
      <c r="O1002" s="361"/>
      <c r="P1002" s="361"/>
      <c r="Q1002" s="361"/>
      <c r="R1002" s="362"/>
      <c r="S1002" s="361"/>
      <c r="T1002" s="360" t="s">
        <v>132</v>
      </c>
    </row>
    <row r="1003" ht="34.5">
      <c r="A1003" s="360" t="s">
        <v>860</v>
      </c>
      <c r="B1003" s="360" t="s">
        <v>861</v>
      </c>
      <c r="C1003" s="360" t="s">
        <v>731</v>
      </c>
      <c r="D1003" s="360" t="s">
        <v>128</v>
      </c>
      <c r="E1003" s="360" t="s">
        <v>167</v>
      </c>
      <c r="F1003" s="361" t="s">
        <v>885</v>
      </c>
      <c r="G1003" s="360" t="s">
        <v>145</v>
      </c>
      <c r="H1003" s="361"/>
      <c r="I1003" s="361"/>
      <c r="J1003" s="361" t="s">
        <v>747</v>
      </c>
      <c r="K1003" s="363"/>
      <c r="L1003" s="360"/>
      <c r="M1003" s="360"/>
      <c r="N1003" s="361"/>
      <c r="O1003" s="361"/>
      <c r="P1003" s="361"/>
      <c r="Q1003" s="361"/>
      <c r="R1003" s="362"/>
      <c r="S1003" s="361"/>
      <c r="T1003" s="360" t="s">
        <v>132</v>
      </c>
    </row>
    <row r="1004" ht="34.5">
      <c r="A1004" s="360" t="s">
        <v>860</v>
      </c>
      <c r="B1004" s="360" t="s">
        <v>861</v>
      </c>
      <c r="C1004" s="360" t="s">
        <v>740</v>
      </c>
      <c r="D1004" s="360" t="s">
        <v>128</v>
      </c>
      <c r="E1004" s="360" t="s">
        <v>167</v>
      </c>
      <c r="F1004" s="361" t="s">
        <v>885</v>
      </c>
      <c r="G1004" s="360" t="s">
        <v>145</v>
      </c>
      <c r="H1004" s="361"/>
      <c r="I1004" s="361"/>
      <c r="J1004" s="361" t="s">
        <v>741</v>
      </c>
      <c r="K1004" s="363"/>
      <c r="L1004" s="360"/>
      <c r="M1004" s="360"/>
      <c r="N1004" s="361"/>
      <c r="O1004" s="361"/>
      <c r="P1004" s="361"/>
      <c r="Q1004" s="361"/>
      <c r="R1004" s="362"/>
      <c r="S1004" s="361"/>
      <c r="T1004" s="360" t="s">
        <v>132</v>
      </c>
    </row>
    <row r="1005" ht="34.5">
      <c r="A1005" s="360" t="s">
        <v>860</v>
      </c>
      <c r="B1005" s="360" t="s">
        <v>861</v>
      </c>
      <c r="C1005" s="360" t="s">
        <v>740</v>
      </c>
      <c r="D1005" s="360" t="s">
        <v>128</v>
      </c>
      <c r="E1005" s="360" t="s">
        <v>167</v>
      </c>
      <c r="F1005" s="361" t="s">
        <v>885</v>
      </c>
      <c r="G1005" s="360" t="s">
        <v>145</v>
      </c>
      <c r="H1005" s="361"/>
      <c r="I1005" s="361"/>
      <c r="J1005" s="361" t="s">
        <v>1037</v>
      </c>
      <c r="K1005" s="363"/>
      <c r="L1005" s="360"/>
      <c r="M1005" s="360"/>
      <c r="N1005" s="361"/>
      <c r="O1005" s="361"/>
      <c r="P1005" s="361"/>
      <c r="Q1005" s="361"/>
      <c r="R1005" s="362"/>
      <c r="S1005" s="361"/>
      <c r="T1005" s="360" t="s">
        <v>132</v>
      </c>
    </row>
    <row r="1006" ht="34.5">
      <c r="A1006" s="360" t="s">
        <v>860</v>
      </c>
      <c r="B1006" s="360" t="s">
        <v>861</v>
      </c>
      <c r="C1006" s="360" t="s">
        <v>740</v>
      </c>
      <c r="D1006" s="360" t="s">
        <v>128</v>
      </c>
      <c r="E1006" s="360" t="s">
        <v>167</v>
      </c>
      <c r="F1006" s="361" t="s">
        <v>885</v>
      </c>
      <c r="G1006" s="360" t="s">
        <v>145</v>
      </c>
      <c r="H1006" s="361"/>
      <c r="I1006" s="361"/>
      <c r="J1006" s="361" t="s">
        <v>1038</v>
      </c>
      <c r="K1006" s="363"/>
      <c r="L1006" s="360"/>
      <c r="M1006" s="360"/>
      <c r="N1006" s="361"/>
      <c r="O1006" s="361"/>
      <c r="P1006" s="361"/>
      <c r="Q1006" s="361"/>
      <c r="R1006" s="362"/>
      <c r="S1006" s="361"/>
      <c r="T1006" s="360" t="s">
        <v>132</v>
      </c>
    </row>
    <row r="1007" ht="34.5">
      <c r="A1007" s="360" t="s">
        <v>860</v>
      </c>
      <c r="B1007" s="360" t="s">
        <v>861</v>
      </c>
      <c r="C1007" s="360" t="s">
        <v>740</v>
      </c>
      <c r="D1007" s="360" t="s">
        <v>128</v>
      </c>
      <c r="E1007" s="360" t="s">
        <v>167</v>
      </c>
      <c r="F1007" s="361" t="s">
        <v>885</v>
      </c>
      <c r="G1007" s="360" t="s">
        <v>145</v>
      </c>
      <c r="H1007" s="361"/>
      <c r="I1007" s="361"/>
      <c r="J1007" s="361" t="s">
        <v>748</v>
      </c>
      <c r="K1007" s="363"/>
      <c r="L1007" s="360"/>
      <c r="M1007" s="360"/>
      <c r="N1007" s="361"/>
      <c r="O1007" s="361"/>
      <c r="P1007" s="361"/>
      <c r="Q1007" s="361"/>
      <c r="R1007" s="362"/>
      <c r="S1007" s="361"/>
      <c r="T1007" s="360" t="s">
        <v>132</v>
      </c>
    </row>
    <row r="1008" ht="34.5">
      <c r="A1008" s="360" t="s">
        <v>860</v>
      </c>
      <c r="B1008" s="360" t="s">
        <v>861</v>
      </c>
      <c r="C1008" s="360" t="s">
        <v>740</v>
      </c>
      <c r="D1008" s="360" t="s">
        <v>128</v>
      </c>
      <c r="E1008" s="360" t="s">
        <v>167</v>
      </c>
      <c r="F1008" s="361" t="s">
        <v>885</v>
      </c>
      <c r="G1008" s="360" t="s">
        <v>145</v>
      </c>
      <c r="H1008" s="361"/>
      <c r="I1008" s="361"/>
      <c r="J1008" s="361" t="s">
        <v>1039</v>
      </c>
      <c r="K1008" s="363"/>
      <c r="L1008" s="360"/>
      <c r="M1008" s="360"/>
      <c r="N1008" s="361"/>
      <c r="O1008" s="361"/>
      <c r="P1008" s="361"/>
      <c r="Q1008" s="361"/>
      <c r="R1008" s="362"/>
      <c r="S1008" s="361"/>
      <c r="T1008" s="360" t="s">
        <v>132</v>
      </c>
    </row>
    <row r="1009" ht="34.5">
      <c r="A1009" s="360" t="s">
        <v>860</v>
      </c>
      <c r="B1009" s="360" t="s">
        <v>861</v>
      </c>
      <c r="C1009" s="360" t="s">
        <v>740</v>
      </c>
      <c r="D1009" s="360" t="s">
        <v>128</v>
      </c>
      <c r="E1009" s="360" t="s">
        <v>167</v>
      </c>
      <c r="F1009" s="361" t="s">
        <v>885</v>
      </c>
      <c r="G1009" s="360" t="s">
        <v>145</v>
      </c>
      <c r="H1009" s="361"/>
      <c r="I1009" s="361"/>
      <c r="J1009" s="361" t="s">
        <v>751</v>
      </c>
      <c r="K1009" s="363"/>
      <c r="L1009" s="360"/>
      <c r="M1009" s="360"/>
      <c r="N1009" s="361"/>
      <c r="O1009" s="361"/>
      <c r="P1009" s="361"/>
      <c r="Q1009" s="361"/>
      <c r="R1009" s="362"/>
      <c r="S1009" s="361"/>
      <c r="T1009" s="360" t="s">
        <v>132</v>
      </c>
    </row>
    <row r="1010" ht="34.5">
      <c r="A1010" s="360" t="s">
        <v>860</v>
      </c>
      <c r="B1010" s="360" t="s">
        <v>861</v>
      </c>
      <c r="C1010" s="360" t="s">
        <v>740</v>
      </c>
      <c r="D1010" s="360" t="s">
        <v>128</v>
      </c>
      <c r="E1010" s="360" t="s">
        <v>167</v>
      </c>
      <c r="F1010" s="361" t="s">
        <v>885</v>
      </c>
      <c r="G1010" s="360" t="s">
        <v>145</v>
      </c>
      <c r="H1010" s="361"/>
      <c r="I1010" s="361"/>
      <c r="J1010" s="361" t="s">
        <v>752</v>
      </c>
      <c r="K1010" s="363"/>
      <c r="L1010" s="360"/>
      <c r="M1010" s="360"/>
      <c r="N1010" s="361"/>
      <c r="O1010" s="361"/>
      <c r="P1010" s="361"/>
      <c r="Q1010" s="361"/>
      <c r="R1010" s="362"/>
      <c r="S1010" s="361"/>
      <c r="T1010" s="360" t="s">
        <v>132</v>
      </c>
    </row>
    <row r="1011" ht="34.5">
      <c r="A1011" s="360" t="s">
        <v>860</v>
      </c>
      <c r="B1011" s="360" t="s">
        <v>861</v>
      </c>
      <c r="C1011" s="360" t="s">
        <v>749</v>
      </c>
      <c r="D1011" s="360" t="s">
        <v>128</v>
      </c>
      <c r="E1011" s="360" t="s">
        <v>167</v>
      </c>
      <c r="F1011" s="361" t="s">
        <v>885</v>
      </c>
      <c r="G1011" s="360" t="s">
        <v>145</v>
      </c>
      <c r="H1011" s="361"/>
      <c r="I1011" s="361"/>
      <c r="J1011" s="361" t="s">
        <v>1030</v>
      </c>
      <c r="K1011" s="363"/>
      <c r="L1011" s="360"/>
      <c r="M1011" s="360"/>
      <c r="N1011" s="361"/>
      <c r="O1011" s="361"/>
      <c r="P1011" s="361"/>
      <c r="Q1011" s="361"/>
      <c r="R1011" s="362"/>
      <c r="S1011" s="361"/>
      <c r="T1011" s="360" t="s">
        <v>132</v>
      </c>
    </row>
    <row r="1012" ht="34.5">
      <c r="A1012" s="360" t="s">
        <v>860</v>
      </c>
      <c r="B1012" s="360" t="s">
        <v>861</v>
      </c>
      <c r="C1012" s="360" t="s">
        <v>749</v>
      </c>
      <c r="D1012" s="360" t="s">
        <v>128</v>
      </c>
      <c r="E1012" s="360" t="s">
        <v>167</v>
      </c>
      <c r="F1012" s="361" t="s">
        <v>885</v>
      </c>
      <c r="G1012" s="360" t="s">
        <v>145</v>
      </c>
      <c r="H1012" s="361"/>
      <c r="I1012" s="361"/>
      <c r="J1012" s="361" t="s">
        <v>213</v>
      </c>
      <c r="K1012" s="363"/>
      <c r="L1012" s="360"/>
      <c r="M1012" s="360"/>
      <c r="N1012" s="361"/>
      <c r="O1012" s="361"/>
      <c r="P1012" s="361"/>
      <c r="Q1012" s="361"/>
      <c r="R1012" s="362"/>
      <c r="S1012" s="361"/>
      <c r="T1012" s="360" t="s">
        <v>132</v>
      </c>
    </row>
    <row r="1013" ht="34.5">
      <c r="A1013" s="360" t="s">
        <v>860</v>
      </c>
      <c r="B1013" s="360" t="s">
        <v>861</v>
      </c>
      <c r="C1013" s="360" t="s">
        <v>749</v>
      </c>
      <c r="D1013" s="360" t="s">
        <v>128</v>
      </c>
      <c r="E1013" s="360" t="s">
        <v>167</v>
      </c>
      <c r="F1013" s="361" t="s">
        <v>885</v>
      </c>
      <c r="G1013" s="360" t="s">
        <v>145</v>
      </c>
      <c r="H1013" s="361"/>
      <c r="I1013" s="361"/>
      <c r="J1013" s="361" t="s">
        <v>755</v>
      </c>
      <c r="K1013" s="363"/>
      <c r="L1013" s="360"/>
      <c r="M1013" s="360"/>
      <c r="N1013" s="361"/>
      <c r="O1013" s="361"/>
      <c r="P1013" s="361"/>
      <c r="Q1013" s="361"/>
      <c r="R1013" s="362"/>
      <c r="S1013" s="361"/>
      <c r="T1013" s="360" t="s">
        <v>132</v>
      </c>
    </row>
    <row r="1014" ht="34.5">
      <c r="A1014" s="360" t="s">
        <v>860</v>
      </c>
      <c r="B1014" s="360" t="s">
        <v>861</v>
      </c>
      <c r="C1014" s="360" t="s">
        <v>749</v>
      </c>
      <c r="D1014" s="360" t="s">
        <v>128</v>
      </c>
      <c r="E1014" s="360" t="s">
        <v>167</v>
      </c>
      <c r="F1014" s="361" t="s">
        <v>885</v>
      </c>
      <c r="G1014" s="360" t="s">
        <v>145</v>
      </c>
      <c r="H1014" s="361"/>
      <c r="I1014" s="361"/>
      <c r="J1014" s="361" t="s">
        <v>757</v>
      </c>
      <c r="K1014" s="363"/>
      <c r="L1014" s="360"/>
      <c r="M1014" s="360"/>
      <c r="N1014" s="361"/>
      <c r="O1014" s="361"/>
      <c r="P1014" s="361"/>
      <c r="Q1014" s="361"/>
      <c r="R1014" s="362"/>
      <c r="S1014" s="361"/>
      <c r="T1014" s="360" t="s">
        <v>132</v>
      </c>
    </row>
    <row r="1015" ht="34.5">
      <c r="A1015" s="360" t="s">
        <v>860</v>
      </c>
      <c r="B1015" s="360" t="s">
        <v>861</v>
      </c>
      <c r="C1015" s="360" t="s">
        <v>749</v>
      </c>
      <c r="D1015" s="360" t="s">
        <v>128</v>
      </c>
      <c r="E1015" s="360" t="s">
        <v>167</v>
      </c>
      <c r="F1015" s="361" t="s">
        <v>885</v>
      </c>
      <c r="G1015" s="360" t="s">
        <v>145</v>
      </c>
      <c r="H1015" s="361"/>
      <c r="I1015" s="361"/>
      <c r="J1015" s="361" t="s">
        <v>758</v>
      </c>
      <c r="K1015" s="363"/>
      <c r="L1015" s="360"/>
      <c r="M1015" s="360"/>
      <c r="N1015" s="361"/>
      <c r="O1015" s="361"/>
      <c r="P1015" s="361"/>
      <c r="Q1015" s="361"/>
      <c r="R1015" s="362"/>
      <c r="S1015" s="361"/>
      <c r="T1015" s="360" t="s">
        <v>132</v>
      </c>
    </row>
    <row r="1016" ht="34.5">
      <c r="A1016" s="360" t="s">
        <v>860</v>
      </c>
      <c r="B1016" s="360" t="s">
        <v>861</v>
      </c>
      <c r="C1016" s="360" t="s">
        <v>749</v>
      </c>
      <c r="D1016" s="360" t="s">
        <v>128</v>
      </c>
      <c r="E1016" s="360" t="s">
        <v>167</v>
      </c>
      <c r="F1016" s="361" t="s">
        <v>885</v>
      </c>
      <c r="G1016" s="360" t="s">
        <v>145</v>
      </c>
      <c r="H1016" s="361"/>
      <c r="I1016" s="361"/>
      <c r="J1016" s="361" t="s">
        <v>759</v>
      </c>
      <c r="K1016" s="363"/>
      <c r="L1016" s="360"/>
      <c r="M1016" s="360"/>
      <c r="N1016" s="361"/>
      <c r="O1016" s="361"/>
      <c r="P1016" s="361"/>
      <c r="Q1016" s="361"/>
      <c r="R1016" s="362"/>
      <c r="S1016" s="361"/>
      <c r="T1016" s="360" t="s">
        <v>132</v>
      </c>
    </row>
    <row r="1017" ht="34.5">
      <c r="A1017" s="360" t="s">
        <v>860</v>
      </c>
      <c r="B1017" s="360" t="s">
        <v>861</v>
      </c>
      <c r="C1017" s="360" t="s">
        <v>749</v>
      </c>
      <c r="D1017" s="360" t="s">
        <v>128</v>
      </c>
      <c r="E1017" s="360" t="s">
        <v>167</v>
      </c>
      <c r="F1017" s="361" t="s">
        <v>885</v>
      </c>
      <c r="G1017" s="360" t="s">
        <v>145</v>
      </c>
      <c r="H1017" s="361"/>
      <c r="I1017" s="361"/>
      <c r="J1017" s="361" t="s">
        <v>760</v>
      </c>
      <c r="K1017" s="363"/>
      <c r="L1017" s="360"/>
      <c r="M1017" s="360"/>
      <c r="N1017" s="361"/>
      <c r="O1017" s="361"/>
      <c r="P1017" s="361"/>
      <c r="Q1017" s="361"/>
      <c r="R1017" s="362"/>
      <c r="S1017" s="361"/>
      <c r="T1017" s="360" t="s">
        <v>132</v>
      </c>
    </row>
    <row r="1018" ht="34.5">
      <c r="A1018" s="360" t="s">
        <v>860</v>
      </c>
      <c r="B1018" s="360" t="s">
        <v>861</v>
      </c>
      <c r="C1018" s="360" t="s">
        <v>756</v>
      </c>
      <c r="D1018" s="360" t="s">
        <v>128</v>
      </c>
      <c r="E1018" s="360" t="s">
        <v>167</v>
      </c>
      <c r="F1018" s="361" t="s">
        <v>885</v>
      </c>
      <c r="G1018" s="360" t="s">
        <v>145</v>
      </c>
      <c r="H1018" s="361"/>
      <c r="I1018" s="361"/>
      <c r="J1018" s="361" t="s">
        <v>1040</v>
      </c>
      <c r="K1018" s="363"/>
      <c r="L1018" s="360"/>
      <c r="M1018" s="360"/>
      <c r="N1018" s="361"/>
      <c r="O1018" s="361"/>
      <c r="P1018" s="361"/>
      <c r="Q1018" s="361"/>
      <c r="R1018" s="362"/>
      <c r="S1018" s="361"/>
      <c r="T1018" s="360" t="s">
        <v>132</v>
      </c>
    </row>
    <row r="1019" ht="34.5">
      <c r="A1019" s="360" t="s">
        <v>860</v>
      </c>
      <c r="B1019" s="360" t="s">
        <v>861</v>
      </c>
      <c r="C1019" s="360" t="s">
        <v>756</v>
      </c>
      <c r="D1019" s="360" t="s">
        <v>128</v>
      </c>
      <c r="E1019" s="360" t="s">
        <v>167</v>
      </c>
      <c r="F1019" s="361" t="s">
        <v>885</v>
      </c>
      <c r="G1019" s="360" t="s">
        <v>145</v>
      </c>
      <c r="H1019" s="361"/>
      <c r="I1019" s="361"/>
      <c r="J1019" s="361" t="s">
        <v>762</v>
      </c>
      <c r="K1019" s="363"/>
      <c r="L1019" s="360"/>
      <c r="M1019" s="360"/>
      <c r="N1019" s="361"/>
      <c r="O1019" s="361"/>
      <c r="P1019" s="361"/>
      <c r="Q1019" s="361"/>
      <c r="R1019" s="362"/>
      <c r="S1019" s="361"/>
      <c r="T1019" s="360" t="s">
        <v>132</v>
      </c>
    </row>
    <row r="1020" ht="34.5">
      <c r="A1020" s="360" t="s">
        <v>860</v>
      </c>
      <c r="B1020" s="360" t="s">
        <v>861</v>
      </c>
      <c r="C1020" s="360" t="s">
        <v>756</v>
      </c>
      <c r="D1020" s="360" t="s">
        <v>128</v>
      </c>
      <c r="E1020" s="360" t="s">
        <v>317</v>
      </c>
      <c r="F1020" s="361" t="s">
        <v>764</v>
      </c>
      <c r="G1020" s="360" t="s">
        <v>319</v>
      </c>
      <c r="H1020" s="361"/>
      <c r="I1020" s="361"/>
      <c r="J1020" s="361" t="s">
        <v>320</v>
      </c>
      <c r="K1020" s="363"/>
      <c r="L1020" s="360"/>
      <c r="M1020" s="360"/>
      <c r="N1020" s="361"/>
      <c r="O1020" s="361"/>
      <c r="P1020" s="361"/>
      <c r="Q1020" s="361"/>
      <c r="R1020" s="362"/>
      <c r="S1020" s="361"/>
      <c r="T1020" s="360" t="s">
        <v>132</v>
      </c>
    </row>
    <row r="1021" ht="34.5">
      <c r="A1021" s="360" t="s">
        <v>860</v>
      </c>
      <c r="B1021" s="360" t="s">
        <v>861</v>
      </c>
      <c r="C1021" s="360" t="s">
        <v>756</v>
      </c>
      <c r="D1021" s="360" t="s">
        <v>128</v>
      </c>
      <c r="E1021" s="360" t="s">
        <v>317</v>
      </c>
      <c r="F1021" s="361" t="s">
        <v>764</v>
      </c>
      <c r="G1021" s="360" t="s">
        <v>319</v>
      </c>
      <c r="H1021" s="361"/>
      <c r="I1021" s="361"/>
      <c r="J1021" s="361" t="s">
        <v>765</v>
      </c>
      <c r="K1021" s="363"/>
      <c r="L1021" s="360"/>
      <c r="M1021" s="360"/>
      <c r="N1021" s="361"/>
      <c r="O1021" s="361"/>
      <c r="P1021" s="361"/>
      <c r="Q1021" s="361"/>
      <c r="R1021" s="362"/>
      <c r="S1021" s="361"/>
      <c r="T1021" s="360" t="s">
        <v>132</v>
      </c>
    </row>
    <row r="1022" ht="34.5">
      <c r="A1022" s="360" t="s">
        <v>860</v>
      </c>
      <c r="B1022" s="360" t="s">
        <v>861</v>
      </c>
      <c r="C1022" s="360" t="s">
        <v>756</v>
      </c>
      <c r="D1022" s="360" t="s">
        <v>128</v>
      </c>
      <c r="E1022" s="360" t="s">
        <v>317</v>
      </c>
      <c r="F1022" s="361" t="s">
        <v>764</v>
      </c>
      <c r="G1022" s="360" t="s">
        <v>319</v>
      </c>
      <c r="H1022" s="361"/>
      <c r="I1022" s="361"/>
      <c r="J1022" s="361" t="s">
        <v>766</v>
      </c>
      <c r="K1022" s="363"/>
      <c r="L1022" s="360"/>
      <c r="M1022" s="360"/>
      <c r="N1022" s="361"/>
      <c r="O1022" s="361"/>
      <c r="P1022" s="361"/>
      <c r="Q1022" s="361"/>
      <c r="R1022" s="362"/>
      <c r="S1022" s="361"/>
      <c r="T1022" s="360" t="s">
        <v>132</v>
      </c>
    </row>
    <row r="1023" ht="34.5">
      <c r="A1023" s="360" t="s">
        <v>860</v>
      </c>
      <c r="B1023" s="360" t="s">
        <v>861</v>
      </c>
      <c r="C1023" s="360" t="s">
        <v>756</v>
      </c>
      <c r="D1023" s="360" t="s">
        <v>128</v>
      </c>
      <c r="E1023" s="360" t="s">
        <v>317</v>
      </c>
      <c r="F1023" s="361" t="s">
        <v>764</v>
      </c>
      <c r="G1023" s="360" t="s">
        <v>319</v>
      </c>
      <c r="H1023" s="361"/>
      <c r="I1023" s="361"/>
      <c r="J1023" s="361" t="s">
        <v>767</v>
      </c>
      <c r="K1023" s="363"/>
      <c r="L1023" s="360"/>
      <c r="M1023" s="360"/>
      <c r="N1023" s="361"/>
      <c r="O1023" s="361"/>
      <c r="P1023" s="361"/>
      <c r="Q1023" s="361"/>
      <c r="R1023" s="362"/>
      <c r="S1023" s="361"/>
      <c r="T1023" s="360" t="s">
        <v>132</v>
      </c>
    </row>
    <row r="1024" ht="34.5">
      <c r="A1024" s="360" t="s">
        <v>860</v>
      </c>
      <c r="B1024" s="360" t="s">
        <v>861</v>
      </c>
      <c r="C1024" s="360" t="s">
        <v>756</v>
      </c>
      <c r="D1024" s="360" t="s">
        <v>128</v>
      </c>
      <c r="E1024" s="360" t="s">
        <v>317</v>
      </c>
      <c r="F1024" s="361" t="s">
        <v>764</v>
      </c>
      <c r="G1024" s="360" t="s">
        <v>319</v>
      </c>
      <c r="H1024" s="361"/>
      <c r="I1024" s="361"/>
      <c r="J1024" s="361" t="s">
        <v>324</v>
      </c>
      <c r="K1024" s="363"/>
      <c r="L1024" s="360"/>
      <c r="M1024" s="360"/>
      <c r="N1024" s="361"/>
      <c r="O1024" s="361"/>
      <c r="P1024" s="361"/>
      <c r="Q1024" s="361"/>
      <c r="R1024" s="362"/>
      <c r="S1024" s="361"/>
      <c r="T1024" s="360" t="s">
        <v>132</v>
      </c>
    </row>
    <row r="1025" ht="34.5">
      <c r="A1025" s="360" t="s">
        <v>860</v>
      </c>
      <c r="B1025" s="360" t="s">
        <v>861</v>
      </c>
      <c r="C1025" s="360" t="s">
        <v>756</v>
      </c>
      <c r="D1025" s="360" t="s">
        <v>128</v>
      </c>
      <c r="E1025" s="360" t="s">
        <v>317</v>
      </c>
      <c r="F1025" s="361" t="s">
        <v>764</v>
      </c>
      <c r="G1025" s="360" t="s">
        <v>319</v>
      </c>
      <c r="H1025" s="361"/>
      <c r="I1025" s="361"/>
      <c r="J1025" s="361" t="s">
        <v>768</v>
      </c>
      <c r="K1025" s="363"/>
      <c r="L1025" s="360"/>
      <c r="M1025" s="360"/>
      <c r="N1025" s="361"/>
      <c r="O1025" s="361"/>
      <c r="P1025" s="361"/>
      <c r="Q1025" s="361"/>
      <c r="R1025" s="362"/>
      <c r="S1025" s="361"/>
      <c r="T1025" s="360" t="s">
        <v>132</v>
      </c>
    </row>
    <row r="1026" ht="34.5">
      <c r="A1026" s="360" t="s">
        <v>860</v>
      </c>
      <c r="B1026" s="360" t="s">
        <v>861</v>
      </c>
      <c r="C1026" s="360" t="s">
        <v>756</v>
      </c>
      <c r="D1026" s="360" t="s">
        <v>128</v>
      </c>
      <c r="E1026" s="360" t="s">
        <v>317</v>
      </c>
      <c r="F1026" s="361" t="s">
        <v>764</v>
      </c>
      <c r="G1026" s="360" t="s">
        <v>319</v>
      </c>
      <c r="H1026" s="361"/>
      <c r="I1026" s="361"/>
      <c r="J1026" s="361" t="s">
        <v>769</v>
      </c>
      <c r="K1026" s="363"/>
      <c r="L1026" s="360"/>
      <c r="M1026" s="360"/>
      <c r="N1026" s="361"/>
      <c r="O1026" s="361"/>
      <c r="P1026" s="361"/>
      <c r="Q1026" s="361"/>
      <c r="R1026" s="362"/>
      <c r="S1026" s="361"/>
      <c r="T1026" s="360" t="s">
        <v>132</v>
      </c>
    </row>
    <row r="1027" ht="34.5">
      <c r="A1027" s="360" t="s">
        <v>860</v>
      </c>
      <c r="B1027" s="360" t="s">
        <v>861</v>
      </c>
      <c r="C1027" s="360" t="s">
        <v>756</v>
      </c>
      <c r="D1027" s="360" t="s">
        <v>128</v>
      </c>
      <c r="E1027" s="360" t="s">
        <v>317</v>
      </c>
      <c r="F1027" s="361" t="s">
        <v>764</v>
      </c>
      <c r="G1027" s="360" t="s">
        <v>319</v>
      </c>
      <c r="H1027" s="361"/>
      <c r="I1027" s="361"/>
      <c r="J1027" s="361" t="s">
        <v>770</v>
      </c>
      <c r="K1027" s="363"/>
      <c r="L1027" s="360"/>
      <c r="M1027" s="360"/>
      <c r="N1027" s="361"/>
      <c r="O1027" s="361"/>
      <c r="P1027" s="361"/>
      <c r="Q1027" s="361"/>
      <c r="R1027" s="362"/>
      <c r="S1027" s="361"/>
      <c r="T1027" s="360" t="s">
        <v>132</v>
      </c>
    </row>
    <row r="1028" ht="34.5">
      <c r="A1028" s="360" t="s">
        <v>860</v>
      </c>
      <c r="B1028" s="360" t="s">
        <v>861</v>
      </c>
      <c r="C1028" s="360" t="s">
        <v>756</v>
      </c>
      <c r="D1028" s="360" t="s">
        <v>128</v>
      </c>
      <c r="E1028" s="360" t="s">
        <v>317</v>
      </c>
      <c r="F1028" s="361" t="s">
        <v>764</v>
      </c>
      <c r="G1028" s="360" t="s">
        <v>319</v>
      </c>
      <c r="H1028" s="361"/>
      <c r="I1028" s="361"/>
      <c r="J1028" s="361" t="s">
        <v>771</v>
      </c>
      <c r="K1028" s="363"/>
      <c r="L1028" s="360"/>
      <c r="M1028" s="360"/>
      <c r="N1028" s="361"/>
      <c r="O1028" s="361"/>
      <c r="P1028" s="361"/>
      <c r="Q1028" s="361"/>
      <c r="R1028" s="362"/>
      <c r="S1028" s="361"/>
      <c r="T1028" s="360" t="s">
        <v>132</v>
      </c>
    </row>
    <row r="1029" ht="34.5">
      <c r="A1029" s="360" t="s">
        <v>860</v>
      </c>
      <c r="B1029" s="360" t="s">
        <v>861</v>
      </c>
      <c r="C1029" s="360" t="s">
        <v>756</v>
      </c>
      <c r="D1029" s="360" t="s">
        <v>772</v>
      </c>
      <c r="E1029" s="360" t="s">
        <v>317</v>
      </c>
      <c r="F1029" s="361" t="s">
        <v>764</v>
      </c>
      <c r="G1029" s="360" t="s">
        <v>319</v>
      </c>
      <c r="H1029" s="361"/>
      <c r="I1029" s="361"/>
      <c r="J1029" s="361" t="s">
        <v>773</v>
      </c>
      <c r="K1029" s="363"/>
      <c r="L1029" s="360"/>
      <c r="M1029" s="360"/>
      <c r="N1029" s="361"/>
      <c r="O1029" s="361"/>
      <c r="P1029" s="361"/>
      <c r="Q1029" s="361"/>
      <c r="R1029" s="362"/>
      <c r="S1029" s="361"/>
      <c r="T1029" s="360" t="s">
        <v>132</v>
      </c>
    </row>
    <row r="1030" ht="34.5">
      <c r="A1030" s="360" t="s">
        <v>860</v>
      </c>
      <c r="B1030" s="360" t="s">
        <v>861</v>
      </c>
      <c r="C1030" s="360" t="s">
        <v>763</v>
      </c>
      <c r="D1030" s="360" t="s">
        <v>128</v>
      </c>
      <c r="E1030" s="360" t="s">
        <v>317</v>
      </c>
      <c r="F1030" s="361" t="s">
        <v>764</v>
      </c>
      <c r="G1030" s="360" t="s">
        <v>319</v>
      </c>
      <c r="H1030" s="361"/>
      <c r="I1030" s="361"/>
      <c r="J1030" s="361" t="s">
        <v>1030</v>
      </c>
      <c r="K1030" s="363"/>
      <c r="L1030" s="360"/>
      <c r="M1030" s="360"/>
      <c r="N1030" s="361"/>
      <c r="O1030" s="361"/>
      <c r="P1030" s="361"/>
      <c r="Q1030" s="361"/>
      <c r="R1030" s="362"/>
      <c r="S1030" s="361"/>
      <c r="T1030" s="360" t="s">
        <v>132</v>
      </c>
    </row>
    <row r="1031" ht="34.5">
      <c r="A1031" s="360" t="s">
        <v>860</v>
      </c>
      <c r="B1031" s="360" t="s">
        <v>861</v>
      </c>
      <c r="C1031" s="360" t="s">
        <v>763</v>
      </c>
      <c r="D1031" s="360" t="s">
        <v>128</v>
      </c>
      <c r="E1031" s="360" t="s">
        <v>317</v>
      </c>
      <c r="F1031" s="361" t="s">
        <v>764</v>
      </c>
      <c r="G1031" s="360" t="s">
        <v>319</v>
      </c>
      <c r="H1031" s="361"/>
      <c r="I1031" s="361"/>
      <c r="J1031" s="361" t="s">
        <v>1041</v>
      </c>
      <c r="K1031" s="363"/>
      <c r="L1031" s="360"/>
      <c r="M1031" s="360"/>
      <c r="N1031" s="361"/>
      <c r="O1031" s="361"/>
      <c r="P1031" s="361"/>
      <c r="Q1031" s="361"/>
      <c r="R1031" s="362"/>
      <c r="S1031" s="361"/>
      <c r="T1031" s="360" t="s">
        <v>132</v>
      </c>
    </row>
    <row r="1032" ht="34.5">
      <c r="A1032" s="360" t="s">
        <v>860</v>
      </c>
      <c r="B1032" s="360" t="s">
        <v>861</v>
      </c>
      <c r="C1032" s="360" t="s">
        <v>763</v>
      </c>
      <c r="D1032" s="360" t="s">
        <v>128</v>
      </c>
      <c r="E1032" s="360" t="s">
        <v>317</v>
      </c>
      <c r="F1032" s="361" t="s">
        <v>764</v>
      </c>
      <c r="G1032" s="360" t="s">
        <v>319</v>
      </c>
      <c r="H1032" s="361"/>
      <c r="I1032" s="361"/>
      <c r="J1032" s="361" t="s">
        <v>776</v>
      </c>
      <c r="K1032" s="363"/>
      <c r="L1032" s="360"/>
      <c r="M1032" s="360"/>
      <c r="N1032" s="361"/>
      <c r="O1032" s="361"/>
      <c r="P1032" s="361"/>
      <c r="Q1032" s="361"/>
      <c r="R1032" s="362"/>
      <c r="S1032" s="361"/>
      <c r="T1032" s="360" t="s">
        <v>132</v>
      </c>
    </row>
    <row r="1033" ht="34.5">
      <c r="A1033" s="360" t="s">
        <v>860</v>
      </c>
      <c r="B1033" s="360" t="s">
        <v>861</v>
      </c>
      <c r="C1033" s="360" t="s">
        <v>763</v>
      </c>
      <c r="D1033" s="360" t="s">
        <v>128</v>
      </c>
      <c r="E1033" s="360" t="s">
        <v>317</v>
      </c>
      <c r="F1033" s="361" t="s">
        <v>764</v>
      </c>
      <c r="G1033" s="360" t="s">
        <v>319</v>
      </c>
      <c r="H1033" s="361"/>
      <c r="I1033" s="361"/>
      <c r="J1033" s="361" t="s">
        <v>1042</v>
      </c>
      <c r="K1033" s="363"/>
      <c r="L1033" s="360"/>
      <c r="M1033" s="360"/>
      <c r="N1033" s="361"/>
      <c r="O1033" s="361"/>
      <c r="P1033" s="361"/>
      <c r="Q1033" s="361"/>
      <c r="R1033" s="362"/>
      <c r="S1033" s="361"/>
      <c r="T1033" s="360" t="s">
        <v>132</v>
      </c>
    </row>
    <row r="1034" ht="34.5">
      <c r="A1034" s="360" t="s">
        <v>860</v>
      </c>
      <c r="B1034" s="360" t="s">
        <v>861</v>
      </c>
      <c r="C1034" s="360" t="s">
        <v>763</v>
      </c>
      <c r="D1034" s="360" t="s">
        <v>128</v>
      </c>
      <c r="E1034" s="360" t="s">
        <v>317</v>
      </c>
      <c r="F1034" s="361" t="s">
        <v>764</v>
      </c>
      <c r="G1034" s="360" t="s">
        <v>319</v>
      </c>
      <c r="H1034" s="361"/>
      <c r="I1034" s="361"/>
      <c r="J1034" s="361" t="s">
        <v>779</v>
      </c>
      <c r="K1034" s="363"/>
      <c r="L1034" s="360"/>
      <c r="M1034" s="360"/>
      <c r="N1034" s="361"/>
      <c r="O1034" s="361"/>
      <c r="P1034" s="361"/>
      <c r="Q1034" s="361"/>
      <c r="R1034" s="362"/>
      <c r="S1034" s="361"/>
      <c r="T1034" s="360" t="s">
        <v>132</v>
      </c>
    </row>
    <row r="1035" ht="34.5">
      <c r="A1035" s="360" t="s">
        <v>860</v>
      </c>
      <c r="B1035" s="360" t="s">
        <v>861</v>
      </c>
      <c r="C1035" s="360" t="s">
        <v>763</v>
      </c>
      <c r="D1035" s="360" t="s">
        <v>128</v>
      </c>
      <c r="E1035" s="360" t="s">
        <v>317</v>
      </c>
      <c r="F1035" s="361" t="s">
        <v>764</v>
      </c>
      <c r="G1035" s="360" t="s">
        <v>319</v>
      </c>
      <c r="H1035" s="361"/>
      <c r="I1035" s="361"/>
      <c r="J1035" s="361" t="s">
        <v>780</v>
      </c>
      <c r="K1035" s="363"/>
      <c r="L1035" s="360"/>
      <c r="M1035" s="360"/>
      <c r="N1035" s="361"/>
      <c r="O1035" s="361"/>
      <c r="P1035" s="361"/>
      <c r="Q1035" s="361"/>
      <c r="R1035" s="362"/>
      <c r="S1035" s="361"/>
      <c r="T1035" s="360" t="s">
        <v>132</v>
      </c>
    </row>
    <row r="1036" ht="34.5">
      <c r="A1036" s="360" t="s">
        <v>860</v>
      </c>
      <c r="B1036" s="360" t="s">
        <v>861</v>
      </c>
      <c r="C1036" s="360" t="s">
        <v>763</v>
      </c>
      <c r="D1036" s="360" t="s">
        <v>128</v>
      </c>
      <c r="E1036" s="360" t="s">
        <v>317</v>
      </c>
      <c r="F1036" s="361" t="s">
        <v>764</v>
      </c>
      <c r="G1036" s="360" t="s">
        <v>319</v>
      </c>
      <c r="H1036" s="361"/>
      <c r="I1036" s="361"/>
      <c r="J1036" s="361" t="s">
        <v>781</v>
      </c>
      <c r="K1036" s="363"/>
      <c r="L1036" s="360"/>
      <c r="M1036" s="360"/>
      <c r="N1036" s="361"/>
      <c r="O1036" s="361"/>
      <c r="P1036" s="361"/>
      <c r="Q1036" s="361"/>
      <c r="R1036" s="362"/>
      <c r="S1036" s="361"/>
      <c r="T1036" s="360" t="s">
        <v>132</v>
      </c>
    </row>
    <row r="1037" ht="34.5">
      <c r="A1037" s="360" t="s">
        <v>860</v>
      </c>
      <c r="B1037" s="360" t="s">
        <v>861</v>
      </c>
      <c r="C1037" s="360" t="s">
        <v>774</v>
      </c>
      <c r="D1037" s="360" t="s">
        <v>128</v>
      </c>
      <c r="E1037" s="360" t="s">
        <v>317</v>
      </c>
      <c r="F1037" s="361" t="s">
        <v>764</v>
      </c>
      <c r="G1037" s="360" t="s">
        <v>319</v>
      </c>
      <c r="H1037" s="361"/>
      <c r="I1037" s="361"/>
      <c r="J1037" s="361" t="s">
        <v>1043</v>
      </c>
      <c r="K1037" s="363"/>
      <c r="L1037" s="360"/>
      <c r="M1037" s="360"/>
      <c r="N1037" s="361"/>
      <c r="O1037" s="361"/>
      <c r="P1037" s="361"/>
      <c r="Q1037" s="361"/>
      <c r="R1037" s="362"/>
      <c r="S1037" s="361"/>
      <c r="T1037" s="360" t="s">
        <v>132</v>
      </c>
    </row>
    <row r="1038" ht="34.5">
      <c r="A1038" s="360" t="s">
        <v>860</v>
      </c>
      <c r="B1038" s="360" t="s">
        <v>861</v>
      </c>
      <c r="C1038" s="360" t="s">
        <v>774</v>
      </c>
      <c r="D1038" s="360" t="s">
        <v>128</v>
      </c>
      <c r="E1038" s="360" t="s">
        <v>317</v>
      </c>
      <c r="F1038" s="361" t="s">
        <v>764</v>
      </c>
      <c r="G1038" s="360" t="s">
        <v>319</v>
      </c>
      <c r="H1038" s="361"/>
      <c r="I1038" s="361"/>
      <c r="J1038" s="361" t="s">
        <v>784</v>
      </c>
      <c r="K1038" s="363"/>
      <c r="L1038" s="360"/>
      <c r="M1038" s="360"/>
      <c r="N1038" s="361"/>
      <c r="O1038" s="361"/>
      <c r="P1038" s="361"/>
      <c r="Q1038" s="361"/>
      <c r="R1038" s="362"/>
      <c r="S1038" s="361"/>
      <c r="T1038" s="360" t="s">
        <v>132</v>
      </c>
    </row>
    <row r="1039" ht="34.5">
      <c r="A1039" s="360" t="s">
        <v>860</v>
      </c>
      <c r="B1039" s="360" t="s">
        <v>861</v>
      </c>
      <c r="C1039" s="360" t="s">
        <v>774</v>
      </c>
      <c r="D1039" s="360" t="s">
        <v>128</v>
      </c>
      <c r="E1039" s="360" t="s">
        <v>317</v>
      </c>
      <c r="F1039" s="361" t="s">
        <v>764</v>
      </c>
      <c r="G1039" s="360" t="s">
        <v>319</v>
      </c>
      <c r="H1039" s="361"/>
      <c r="I1039" s="361"/>
      <c r="J1039" s="361" t="s">
        <v>785</v>
      </c>
      <c r="K1039" s="363"/>
      <c r="L1039" s="360"/>
      <c r="M1039" s="360"/>
      <c r="N1039" s="361"/>
      <c r="O1039" s="361"/>
      <c r="P1039" s="361"/>
      <c r="Q1039" s="361"/>
      <c r="R1039" s="362"/>
      <c r="S1039" s="361"/>
      <c r="T1039" s="360" t="s">
        <v>132</v>
      </c>
    </row>
    <row r="1040" ht="34.5">
      <c r="A1040" s="360" t="s">
        <v>860</v>
      </c>
      <c r="B1040" s="360" t="s">
        <v>861</v>
      </c>
      <c r="C1040" s="360" t="s">
        <v>774</v>
      </c>
      <c r="D1040" s="360" t="s">
        <v>128</v>
      </c>
      <c r="E1040" s="360" t="s">
        <v>317</v>
      </c>
      <c r="F1040" s="361" t="s">
        <v>764</v>
      </c>
      <c r="G1040" s="360" t="s">
        <v>319</v>
      </c>
      <c r="H1040" s="361"/>
      <c r="I1040" s="361"/>
      <c r="J1040" s="361" t="s">
        <v>786</v>
      </c>
      <c r="K1040" s="363"/>
      <c r="L1040" s="360"/>
      <c r="M1040" s="360"/>
      <c r="N1040" s="361"/>
      <c r="O1040" s="361"/>
      <c r="P1040" s="361"/>
      <c r="Q1040" s="361"/>
      <c r="R1040" s="362"/>
      <c r="S1040" s="361"/>
      <c r="T1040" s="360" t="s">
        <v>132</v>
      </c>
    </row>
    <row r="1041" ht="34.5">
      <c r="A1041" s="360" t="s">
        <v>860</v>
      </c>
      <c r="B1041" s="360" t="s">
        <v>861</v>
      </c>
      <c r="C1041" s="360" t="s">
        <v>774</v>
      </c>
      <c r="D1041" s="360" t="s">
        <v>128</v>
      </c>
      <c r="E1041" s="360" t="s">
        <v>317</v>
      </c>
      <c r="F1041" s="361" t="s">
        <v>764</v>
      </c>
      <c r="G1041" s="360" t="s">
        <v>319</v>
      </c>
      <c r="H1041" s="361"/>
      <c r="I1041" s="361"/>
      <c r="J1041" s="361" t="s">
        <v>787</v>
      </c>
      <c r="K1041" s="363"/>
      <c r="L1041" s="360"/>
      <c r="M1041" s="360"/>
      <c r="N1041" s="361"/>
      <c r="O1041" s="361"/>
      <c r="P1041" s="361"/>
      <c r="Q1041" s="361"/>
      <c r="R1041" s="362"/>
      <c r="S1041" s="361"/>
      <c r="T1041" s="360" t="s">
        <v>132</v>
      </c>
    </row>
    <row r="1042" ht="34.5">
      <c r="A1042" s="360" t="s">
        <v>860</v>
      </c>
      <c r="B1042" s="360" t="s">
        <v>861</v>
      </c>
      <c r="C1042" s="360" t="s">
        <v>774</v>
      </c>
      <c r="D1042" s="360" t="s">
        <v>788</v>
      </c>
      <c r="E1042" s="360" t="s">
        <v>317</v>
      </c>
      <c r="F1042" s="361" t="s">
        <v>764</v>
      </c>
      <c r="G1042" s="360" t="s">
        <v>319</v>
      </c>
      <c r="H1042" s="361"/>
      <c r="I1042" s="361"/>
      <c r="J1042" s="361" t="s">
        <v>789</v>
      </c>
      <c r="K1042" s="363"/>
      <c r="L1042" s="360"/>
      <c r="M1042" s="360"/>
      <c r="N1042" s="361"/>
      <c r="O1042" s="361"/>
      <c r="P1042" s="361"/>
      <c r="Q1042" s="361"/>
      <c r="R1042" s="362"/>
      <c r="S1042" s="361"/>
      <c r="T1042" s="360" t="s">
        <v>132</v>
      </c>
    </row>
    <row r="1043" ht="34.5">
      <c r="A1043" s="360" t="s">
        <v>860</v>
      </c>
      <c r="B1043" s="360" t="s">
        <v>861</v>
      </c>
      <c r="C1043" s="360" t="s">
        <v>774</v>
      </c>
      <c r="D1043" s="360" t="s">
        <v>128</v>
      </c>
      <c r="E1043" s="360" t="s">
        <v>317</v>
      </c>
      <c r="F1043" s="361" t="s">
        <v>764</v>
      </c>
      <c r="G1043" s="360" t="s">
        <v>319</v>
      </c>
      <c r="H1043" s="361"/>
      <c r="I1043" s="361"/>
      <c r="J1043" s="361" t="s">
        <v>790</v>
      </c>
      <c r="K1043" s="363"/>
      <c r="L1043" s="360"/>
      <c r="M1043" s="360"/>
      <c r="N1043" s="361"/>
      <c r="O1043" s="361"/>
      <c r="P1043" s="361"/>
      <c r="Q1043" s="361"/>
      <c r="R1043" s="362"/>
      <c r="S1043" s="361"/>
      <c r="T1043" s="360" t="s">
        <v>132</v>
      </c>
    </row>
    <row r="1044" ht="34.5">
      <c r="A1044" s="360" t="s">
        <v>860</v>
      </c>
      <c r="B1044" s="360" t="s">
        <v>861</v>
      </c>
      <c r="C1044" s="360" t="s">
        <v>774</v>
      </c>
      <c r="D1044" s="360" t="s">
        <v>128</v>
      </c>
      <c r="E1044" s="360" t="s">
        <v>317</v>
      </c>
      <c r="F1044" s="361" t="s">
        <v>764</v>
      </c>
      <c r="G1044" s="360" t="s">
        <v>319</v>
      </c>
      <c r="H1044" s="361"/>
      <c r="I1044" s="361"/>
      <c r="J1044" s="361" t="s">
        <v>791</v>
      </c>
      <c r="K1044" s="363"/>
      <c r="L1044" s="360"/>
      <c r="M1044" s="360"/>
      <c r="N1044" s="361"/>
      <c r="O1044" s="361"/>
      <c r="P1044" s="361"/>
      <c r="Q1044" s="361"/>
      <c r="R1044" s="362"/>
      <c r="S1044" s="361"/>
      <c r="T1044" s="360" t="s">
        <v>132</v>
      </c>
    </row>
    <row r="1045" ht="34.5">
      <c r="A1045" s="360" t="s">
        <v>860</v>
      </c>
      <c r="B1045" s="360" t="s">
        <v>861</v>
      </c>
      <c r="C1045" s="360" t="s">
        <v>774</v>
      </c>
      <c r="D1045" s="360" t="s">
        <v>128</v>
      </c>
      <c r="E1045" s="360" t="s">
        <v>317</v>
      </c>
      <c r="F1045" s="361" t="s">
        <v>764</v>
      </c>
      <c r="G1045" s="360" t="s">
        <v>319</v>
      </c>
      <c r="H1045" s="361"/>
      <c r="I1045" s="361"/>
      <c r="J1045" s="361" t="s">
        <v>792</v>
      </c>
      <c r="K1045" s="363"/>
      <c r="L1045" s="360"/>
      <c r="M1045" s="360"/>
      <c r="N1045" s="361"/>
      <c r="O1045" s="361"/>
      <c r="P1045" s="361"/>
      <c r="Q1045" s="361"/>
      <c r="R1045" s="362"/>
      <c r="S1045" s="361"/>
      <c r="T1045" s="360" t="s">
        <v>132</v>
      </c>
    </row>
    <row r="1046" ht="34.5">
      <c r="A1046" s="360" t="s">
        <v>860</v>
      </c>
      <c r="B1046" s="360" t="s">
        <v>861</v>
      </c>
      <c r="C1046" s="360" t="s">
        <v>774</v>
      </c>
      <c r="D1046" s="360" t="s">
        <v>128</v>
      </c>
      <c r="E1046" s="360" t="s">
        <v>317</v>
      </c>
      <c r="F1046" s="361" t="s">
        <v>764</v>
      </c>
      <c r="G1046" s="360" t="s">
        <v>319</v>
      </c>
      <c r="H1046" s="361"/>
      <c r="I1046" s="361"/>
      <c r="J1046" s="361" t="s">
        <v>793</v>
      </c>
      <c r="K1046" s="363"/>
      <c r="L1046" s="360"/>
      <c r="M1046" s="360"/>
      <c r="N1046" s="361"/>
      <c r="O1046" s="361"/>
      <c r="P1046" s="361"/>
      <c r="Q1046" s="361"/>
      <c r="R1046" s="362"/>
      <c r="S1046" s="361"/>
      <c r="T1046" s="360" t="s">
        <v>132</v>
      </c>
    </row>
    <row r="1047" ht="34.5">
      <c r="A1047" s="360" t="s">
        <v>860</v>
      </c>
      <c r="B1047" s="360" t="s">
        <v>861</v>
      </c>
      <c r="C1047" s="360" t="s">
        <v>782</v>
      </c>
      <c r="D1047" s="360" t="s">
        <v>128</v>
      </c>
      <c r="E1047" s="360" t="s">
        <v>466</v>
      </c>
      <c r="F1047" s="361" t="s">
        <v>795</v>
      </c>
      <c r="G1047" s="360" t="s">
        <v>499</v>
      </c>
      <c r="H1047" s="361"/>
      <c r="I1047" s="361"/>
      <c r="J1047" s="361" t="s">
        <v>796</v>
      </c>
      <c r="K1047" s="363"/>
      <c r="L1047" s="360"/>
      <c r="M1047" s="360"/>
      <c r="N1047" s="361"/>
      <c r="O1047" s="361"/>
      <c r="P1047" s="361"/>
      <c r="Q1047" s="361"/>
      <c r="R1047" s="362"/>
      <c r="S1047" s="361"/>
      <c r="T1047" s="360" t="s">
        <v>132</v>
      </c>
    </row>
    <row r="1048" ht="34.5">
      <c r="A1048" s="360" t="s">
        <v>860</v>
      </c>
      <c r="B1048" s="360" t="s">
        <v>861</v>
      </c>
      <c r="C1048" s="360" t="s">
        <v>782</v>
      </c>
      <c r="D1048" s="360" t="s">
        <v>797</v>
      </c>
      <c r="E1048" s="360" t="s">
        <v>466</v>
      </c>
      <c r="F1048" s="361" t="s">
        <v>795</v>
      </c>
      <c r="G1048" s="360" t="s">
        <v>499</v>
      </c>
      <c r="H1048" s="361"/>
      <c r="I1048" s="361"/>
      <c r="J1048" s="361" t="s">
        <v>798</v>
      </c>
      <c r="K1048" s="363"/>
      <c r="L1048" s="360"/>
      <c r="M1048" s="360"/>
      <c r="N1048" s="361"/>
      <c r="O1048" s="361"/>
      <c r="P1048" s="361"/>
      <c r="Q1048" s="361"/>
      <c r="R1048" s="362"/>
      <c r="S1048" s="361"/>
      <c r="T1048" s="360" t="s">
        <v>132</v>
      </c>
    </row>
    <row r="1049" ht="34.5">
      <c r="A1049" s="360" t="s">
        <v>860</v>
      </c>
      <c r="B1049" s="360" t="s">
        <v>861</v>
      </c>
      <c r="C1049" s="360" t="s">
        <v>782</v>
      </c>
      <c r="D1049" s="360" t="s">
        <v>128</v>
      </c>
      <c r="E1049" s="360" t="s">
        <v>470</v>
      </c>
      <c r="F1049" s="361" t="s">
        <v>799</v>
      </c>
      <c r="G1049" s="360" t="s">
        <v>36</v>
      </c>
      <c r="H1049" s="361"/>
      <c r="I1049" s="361"/>
      <c r="J1049" s="361" t="s">
        <v>800</v>
      </c>
      <c r="K1049" s="363"/>
      <c r="L1049" s="360"/>
      <c r="M1049" s="360"/>
      <c r="N1049" s="361"/>
      <c r="O1049" s="361"/>
      <c r="P1049" s="361"/>
      <c r="Q1049" s="361"/>
      <c r="R1049" s="362"/>
      <c r="S1049" s="361"/>
      <c r="T1049" s="360" t="s">
        <v>132</v>
      </c>
    </row>
    <row r="1050" ht="34.5">
      <c r="A1050" s="360" t="s">
        <v>860</v>
      </c>
      <c r="B1050" s="360" t="s">
        <v>861</v>
      </c>
      <c r="C1050" s="360" t="s">
        <v>782</v>
      </c>
      <c r="D1050" s="360" t="s">
        <v>801</v>
      </c>
      <c r="E1050" s="360" t="s">
        <v>470</v>
      </c>
      <c r="F1050" s="361" t="s">
        <v>799</v>
      </c>
      <c r="G1050" s="360" t="s">
        <v>36</v>
      </c>
      <c r="H1050" s="361"/>
      <c r="I1050" s="361"/>
      <c r="J1050" s="361" t="s">
        <v>802</v>
      </c>
      <c r="K1050" s="363"/>
      <c r="L1050" s="360"/>
      <c r="M1050" s="360"/>
      <c r="N1050" s="361"/>
      <c r="O1050" s="361"/>
      <c r="P1050" s="361"/>
      <c r="Q1050" s="361"/>
      <c r="R1050" s="362"/>
      <c r="S1050" s="361"/>
      <c r="T1050" s="360" t="s">
        <v>132</v>
      </c>
    </row>
    <row r="1051" ht="34.5">
      <c r="A1051" s="360" t="s">
        <v>860</v>
      </c>
      <c r="B1051" s="360" t="s">
        <v>861</v>
      </c>
      <c r="C1051" s="360" t="s">
        <v>782</v>
      </c>
      <c r="D1051" s="360" t="s">
        <v>128</v>
      </c>
      <c r="E1051" s="360" t="s">
        <v>470</v>
      </c>
      <c r="F1051" s="361" t="s">
        <v>799</v>
      </c>
      <c r="G1051" s="360" t="s">
        <v>36</v>
      </c>
      <c r="H1051" s="361"/>
      <c r="I1051" s="361"/>
      <c r="J1051" s="361" t="s">
        <v>803</v>
      </c>
      <c r="K1051" s="363"/>
      <c r="L1051" s="360"/>
      <c r="M1051" s="360"/>
      <c r="N1051" s="361"/>
      <c r="O1051" s="361"/>
      <c r="P1051" s="361"/>
      <c r="Q1051" s="361"/>
      <c r="R1051" s="362"/>
      <c r="S1051" s="361"/>
      <c r="T1051" s="360" t="s">
        <v>132</v>
      </c>
    </row>
    <row r="1052" ht="34.5">
      <c r="A1052" s="360" t="s">
        <v>860</v>
      </c>
      <c r="B1052" s="360" t="s">
        <v>861</v>
      </c>
      <c r="C1052" s="360" t="s">
        <v>782</v>
      </c>
      <c r="D1052" s="360" t="s">
        <v>128</v>
      </c>
      <c r="E1052" s="360" t="s">
        <v>470</v>
      </c>
      <c r="F1052" s="361" t="s">
        <v>799</v>
      </c>
      <c r="G1052" s="360" t="s">
        <v>36</v>
      </c>
      <c r="H1052" s="361"/>
      <c r="I1052" s="361"/>
      <c r="J1052" s="361" t="s">
        <v>804</v>
      </c>
      <c r="K1052" s="363"/>
      <c r="L1052" s="360"/>
      <c r="M1052" s="360"/>
      <c r="N1052" s="361"/>
      <c r="O1052" s="361"/>
      <c r="P1052" s="361"/>
      <c r="Q1052" s="361"/>
      <c r="R1052" s="362"/>
      <c r="S1052" s="361"/>
      <c r="T1052" s="360" t="s">
        <v>132</v>
      </c>
    </row>
    <row r="1053" ht="34.5">
      <c r="A1053" s="360" t="s">
        <v>860</v>
      </c>
      <c r="B1053" s="360" t="s">
        <v>861</v>
      </c>
      <c r="C1053" s="360" t="s">
        <v>782</v>
      </c>
      <c r="D1053" s="360" t="s">
        <v>805</v>
      </c>
      <c r="E1053" s="360" t="s">
        <v>470</v>
      </c>
      <c r="F1053" s="361" t="s">
        <v>799</v>
      </c>
      <c r="G1053" s="360" t="s">
        <v>36</v>
      </c>
      <c r="H1053" s="361"/>
      <c r="I1053" s="361"/>
      <c r="J1053" s="361" t="s">
        <v>806</v>
      </c>
      <c r="K1053" s="363"/>
      <c r="L1053" s="360"/>
      <c r="M1053" s="360"/>
      <c r="N1053" s="361"/>
      <c r="O1053" s="361"/>
      <c r="P1053" s="361"/>
      <c r="Q1053" s="361"/>
      <c r="R1053" s="362"/>
      <c r="S1053" s="361"/>
      <c r="T1053" s="360" t="s">
        <v>132</v>
      </c>
    </row>
    <row r="1054" ht="34.5">
      <c r="A1054" s="360" t="s">
        <v>860</v>
      </c>
      <c r="B1054" s="360" t="s">
        <v>861</v>
      </c>
      <c r="C1054" s="360" t="s">
        <v>794</v>
      </c>
      <c r="D1054" s="360" t="s">
        <v>128</v>
      </c>
      <c r="E1054" s="360" t="s">
        <v>470</v>
      </c>
      <c r="F1054" s="361" t="s">
        <v>799</v>
      </c>
      <c r="G1054" s="360" t="s">
        <v>36</v>
      </c>
      <c r="H1054" s="361"/>
      <c r="I1054" s="361"/>
      <c r="J1054" s="361" t="s">
        <v>1044</v>
      </c>
      <c r="K1054" s="363"/>
      <c r="L1054" s="360"/>
      <c r="M1054" s="360"/>
      <c r="N1054" s="361"/>
      <c r="O1054" s="361"/>
      <c r="P1054" s="361"/>
      <c r="Q1054" s="361"/>
      <c r="R1054" s="362"/>
      <c r="S1054" s="361"/>
      <c r="T1054" s="360" t="s">
        <v>132</v>
      </c>
    </row>
    <row r="1055" ht="34.5">
      <c r="A1055" s="360" t="s">
        <v>860</v>
      </c>
      <c r="B1055" s="360" t="s">
        <v>861</v>
      </c>
      <c r="C1055" s="360" t="s">
        <v>794</v>
      </c>
      <c r="D1055" s="360" t="s">
        <v>128</v>
      </c>
      <c r="E1055" s="360" t="s">
        <v>470</v>
      </c>
      <c r="F1055" s="361" t="s">
        <v>799</v>
      </c>
      <c r="G1055" s="360" t="s">
        <v>36</v>
      </c>
      <c r="H1055" s="361"/>
      <c r="I1055" s="361"/>
      <c r="J1055" s="361" t="s">
        <v>1045</v>
      </c>
      <c r="K1055" s="363"/>
      <c r="L1055" s="360"/>
      <c r="M1055" s="360"/>
      <c r="N1055" s="361"/>
      <c r="O1055" s="361"/>
      <c r="P1055" s="361"/>
      <c r="Q1055" s="361"/>
      <c r="R1055" s="362"/>
      <c r="S1055" s="361"/>
      <c r="T1055" s="360" t="s">
        <v>132</v>
      </c>
    </row>
    <row r="1056" ht="34.5">
      <c r="A1056" s="360" t="s">
        <v>860</v>
      </c>
      <c r="B1056" s="360" t="s">
        <v>861</v>
      </c>
      <c r="C1056" s="360" t="s">
        <v>794</v>
      </c>
      <c r="D1056" s="360" t="s">
        <v>128</v>
      </c>
      <c r="E1056" s="360" t="s">
        <v>470</v>
      </c>
      <c r="F1056" s="361" t="s">
        <v>799</v>
      </c>
      <c r="G1056" s="360" t="s">
        <v>36</v>
      </c>
      <c r="H1056" s="361"/>
      <c r="I1056" s="361"/>
      <c r="J1056" s="361" t="s">
        <v>1046</v>
      </c>
      <c r="K1056" s="363">
        <v>-50000000</v>
      </c>
      <c r="L1056" s="360" t="s">
        <v>314</v>
      </c>
      <c r="M1056" s="360"/>
      <c r="N1056" s="361"/>
      <c r="O1056" s="361"/>
      <c r="P1056" s="361"/>
      <c r="Q1056" s="361"/>
      <c r="R1056" s="362"/>
      <c r="S1056" s="361"/>
      <c r="T1056" s="360" t="s">
        <v>132</v>
      </c>
    </row>
    <row r="1057" ht="34.5">
      <c r="A1057" s="360" t="s">
        <v>860</v>
      </c>
      <c r="B1057" s="360" t="s">
        <v>861</v>
      </c>
      <c r="C1057" s="360" t="s">
        <v>794</v>
      </c>
      <c r="D1057" s="360" t="s">
        <v>128</v>
      </c>
      <c r="E1057" s="360" t="s">
        <v>470</v>
      </c>
      <c r="F1057" s="361" t="s">
        <v>799</v>
      </c>
      <c r="G1057" s="360" t="s">
        <v>36</v>
      </c>
      <c r="H1057" s="361"/>
      <c r="I1057" s="361"/>
      <c r="J1057" s="361" t="s">
        <v>812</v>
      </c>
      <c r="K1057" s="363">
        <v>-7500000</v>
      </c>
      <c r="L1057" s="360" t="s">
        <v>314</v>
      </c>
      <c r="M1057" s="360"/>
      <c r="N1057" s="361"/>
      <c r="O1057" s="361"/>
      <c r="P1057" s="361"/>
      <c r="Q1057" s="361"/>
      <c r="R1057" s="362"/>
      <c r="S1057" s="361"/>
      <c r="T1057" s="360" t="s">
        <v>132</v>
      </c>
    </row>
    <row r="1058" ht="34.5">
      <c r="A1058" s="360" t="s">
        <v>860</v>
      </c>
      <c r="B1058" s="360" t="s">
        <v>861</v>
      </c>
      <c r="C1058" s="360" t="s">
        <v>794</v>
      </c>
      <c r="D1058" s="360" t="s">
        <v>128</v>
      </c>
      <c r="E1058" s="360" t="s">
        <v>470</v>
      </c>
      <c r="F1058" s="361" t="s">
        <v>799</v>
      </c>
      <c r="G1058" s="360" t="s">
        <v>36</v>
      </c>
      <c r="H1058" s="361"/>
      <c r="I1058" s="361"/>
      <c r="J1058" s="361" t="s">
        <v>813</v>
      </c>
      <c r="K1058" s="363"/>
      <c r="L1058" s="360"/>
      <c r="M1058" s="360"/>
      <c r="N1058" s="361"/>
      <c r="O1058" s="361"/>
      <c r="P1058" s="361"/>
      <c r="Q1058" s="361"/>
      <c r="R1058" s="362"/>
      <c r="S1058" s="361"/>
      <c r="T1058" s="360" t="s">
        <v>132</v>
      </c>
    </row>
    <row r="1059" ht="34.5">
      <c r="A1059" s="360" t="s">
        <v>860</v>
      </c>
      <c r="B1059" s="360" t="s">
        <v>861</v>
      </c>
      <c r="C1059" s="360" t="s">
        <v>794</v>
      </c>
      <c r="D1059" s="360" t="s">
        <v>128</v>
      </c>
      <c r="E1059" s="360" t="s">
        <v>470</v>
      </c>
      <c r="F1059" s="361" t="s">
        <v>799</v>
      </c>
      <c r="G1059" s="360" t="s">
        <v>36</v>
      </c>
      <c r="H1059" s="361"/>
      <c r="I1059" s="361"/>
      <c r="J1059" s="361" t="s">
        <v>1047</v>
      </c>
      <c r="K1059" s="363">
        <v>-9094530.21</v>
      </c>
      <c r="L1059" s="360" t="s">
        <v>314</v>
      </c>
      <c r="M1059" s="360"/>
      <c r="N1059" s="361"/>
      <c r="O1059" s="361"/>
      <c r="P1059" s="361"/>
      <c r="Q1059" s="361"/>
      <c r="R1059" s="362"/>
      <c r="S1059" s="361"/>
      <c r="T1059" s="360" t="s">
        <v>132</v>
      </c>
    </row>
    <row r="1060" ht="34.5">
      <c r="A1060" s="360" t="s">
        <v>860</v>
      </c>
      <c r="B1060" s="360" t="s">
        <v>861</v>
      </c>
      <c r="C1060" s="360" t="s">
        <v>794</v>
      </c>
      <c r="D1060" s="360" t="s">
        <v>128</v>
      </c>
      <c r="E1060" s="360" t="s">
        <v>470</v>
      </c>
      <c r="F1060" s="361" t="s">
        <v>799</v>
      </c>
      <c r="G1060" s="360" t="s">
        <v>36</v>
      </c>
      <c r="H1060" s="361"/>
      <c r="I1060" s="361"/>
      <c r="J1060" s="361" t="s">
        <v>1048</v>
      </c>
      <c r="K1060" s="363">
        <v>-100</v>
      </c>
      <c r="L1060" s="360" t="s">
        <v>314</v>
      </c>
      <c r="M1060" s="360"/>
      <c r="N1060" s="361"/>
      <c r="O1060" s="361"/>
      <c r="P1060" s="361"/>
      <c r="Q1060" s="361"/>
      <c r="R1060" s="362"/>
      <c r="S1060" s="361"/>
      <c r="T1060" s="360" t="s">
        <v>132</v>
      </c>
    </row>
    <row r="1061" ht="34.5">
      <c r="A1061" s="360" t="s">
        <v>860</v>
      </c>
      <c r="B1061" s="360" t="s">
        <v>861</v>
      </c>
      <c r="C1061" s="360" t="s">
        <v>794</v>
      </c>
      <c r="D1061" s="360" t="s">
        <v>128</v>
      </c>
      <c r="E1061" s="360" t="s">
        <v>470</v>
      </c>
      <c r="F1061" s="361" t="s">
        <v>799</v>
      </c>
      <c r="G1061" s="360" t="s">
        <v>36</v>
      </c>
      <c r="H1061" s="361"/>
      <c r="I1061" s="361"/>
      <c r="J1061" s="361" t="s">
        <v>1049</v>
      </c>
      <c r="K1061" s="363">
        <v>-9094630.21</v>
      </c>
      <c r="L1061" s="360" t="s">
        <v>314</v>
      </c>
      <c r="M1061" s="360"/>
      <c r="N1061" s="361"/>
      <c r="O1061" s="361"/>
      <c r="P1061" s="361"/>
      <c r="Q1061" s="361"/>
      <c r="R1061" s="362"/>
      <c r="S1061" s="361"/>
      <c r="T1061" s="360" t="s">
        <v>132</v>
      </c>
    </row>
    <row r="1062" ht="34.5">
      <c r="A1062" s="360" t="s">
        <v>860</v>
      </c>
      <c r="B1062" s="360" t="s">
        <v>861</v>
      </c>
      <c r="C1062" s="360" t="s">
        <v>794</v>
      </c>
      <c r="D1062" s="360" t="s">
        <v>128</v>
      </c>
      <c r="E1062" s="360" t="s">
        <v>470</v>
      </c>
      <c r="F1062" s="361" t="s">
        <v>799</v>
      </c>
      <c r="G1062" s="360" t="s">
        <v>36</v>
      </c>
      <c r="H1062" s="361"/>
      <c r="I1062" s="361"/>
      <c r="J1062" s="361" t="s">
        <v>1050</v>
      </c>
      <c r="K1062" s="363"/>
      <c r="L1062" s="360"/>
      <c r="M1062" s="360"/>
      <c r="N1062" s="361"/>
      <c r="O1062" s="361"/>
      <c r="P1062" s="361"/>
      <c r="Q1062" s="361"/>
      <c r="R1062" s="362"/>
      <c r="S1062" s="361"/>
      <c r="T1062" s="360" t="s">
        <v>132</v>
      </c>
    </row>
    <row r="1063" ht="34.5">
      <c r="A1063" s="360" t="s">
        <v>860</v>
      </c>
      <c r="B1063" s="360" t="s">
        <v>861</v>
      </c>
      <c r="C1063" s="360" t="s">
        <v>794</v>
      </c>
      <c r="D1063" s="360" t="s">
        <v>128</v>
      </c>
      <c r="E1063" s="360" t="s">
        <v>470</v>
      </c>
      <c r="F1063" s="361" t="s">
        <v>799</v>
      </c>
      <c r="G1063" s="360" t="s">
        <v>36</v>
      </c>
      <c r="H1063" s="361"/>
      <c r="I1063" s="361"/>
      <c r="J1063" s="361" t="s">
        <v>1051</v>
      </c>
      <c r="K1063" s="363"/>
      <c r="L1063" s="360"/>
      <c r="M1063" s="360"/>
      <c r="N1063" s="361"/>
      <c r="O1063" s="361"/>
      <c r="P1063" s="361"/>
      <c r="Q1063" s="361"/>
      <c r="R1063" s="362"/>
      <c r="S1063" s="361"/>
      <c r="T1063" s="360" t="s">
        <v>132</v>
      </c>
    </row>
    <row r="1064" ht="34.5">
      <c r="A1064" s="360" t="s">
        <v>860</v>
      </c>
      <c r="B1064" s="360" t="s">
        <v>861</v>
      </c>
      <c r="C1064" s="360" t="s">
        <v>794</v>
      </c>
      <c r="D1064" s="360" t="s">
        <v>128</v>
      </c>
      <c r="E1064" s="360" t="s">
        <v>470</v>
      </c>
      <c r="F1064" s="361" t="s">
        <v>799</v>
      </c>
      <c r="G1064" s="360" t="s">
        <v>36</v>
      </c>
      <c r="H1064" s="361"/>
      <c r="I1064" s="361"/>
      <c r="J1064" s="361" t="s">
        <v>819</v>
      </c>
      <c r="K1064" s="363"/>
      <c r="L1064" s="360"/>
      <c r="M1064" s="360"/>
      <c r="N1064" s="361"/>
      <c r="O1064" s="361"/>
      <c r="P1064" s="361"/>
      <c r="Q1064" s="361"/>
      <c r="R1064" s="362"/>
      <c r="S1064" s="361"/>
      <c r="T1064" s="360" t="s">
        <v>132</v>
      </c>
    </row>
    <row r="1065" ht="34.5">
      <c r="A1065" s="360" t="s">
        <v>860</v>
      </c>
      <c r="B1065" s="360" t="s">
        <v>861</v>
      </c>
      <c r="C1065" s="360" t="s">
        <v>794</v>
      </c>
      <c r="D1065" s="360" t="s">
        <v>128</v>
      </c>
      <c r="E1065" s="360" t="s">
        <v>470</v>
      </c>
      <c r="F1065" s="361" t="s">
        <v>799</v>
      </c>
      <c r="G1065" s="360" t="s">
        <v>36</v>
      </c>
      <c r="H1065" s="361"/>
      <c r="I1065" s="361"/>
      <c r="J1065" s="361" t="s">
        <v>1052</v>
      </c>
      <c r="K1065" s="363"/>
      <c r="L1065" s="360"/>
      <c r="M1065" s="360"/>
      <c r="N1065" s="361"/>
      <c r="O1065" s="361"/>
      <c r="P1065" s="361"/>
      <c r="Q1065" s="361"/>
      <c r="R1065" s="362"/>
      <c r="S1065" s="361"/>
      <c r="T1065" s="360" t="s">
        <v>132</v>
      </c>
    </row>
    <row r="1066" ht="34.5">
      <c r="A1066" s="360" t="s">
        <v>860</v>
      </c>
      <c r="B1066" s="360" t="s">
        <v>861</v>
      </c>
      <c r="C1066" s="360" t="s">
        <v>794</v>
      </c>
      <c r="D1066" s="360" t="s">
        <v>128</v>
      </c>
      <c r="E1066" s="360" t="s">
        <v>470</v>
      </c>
      <c r="F1066" s="361" t="s">
        <v>799</v>
      </c>
      <c r="G1066" s="360" t="s">
        <v>36</v>
      </c>
      <c r="H1066" s="361"/>
      <c r="I1066" s="361"/>
      <c r="J1066" s="361" t="s">
        <v>821</v>
      </c>
      <c r="K1066" s="363"/>
      <c r="L1066" s="360"/>
      <c r="M1066" s="360"/>
      <c r="N1066" s="361"/>
      <c r="O1066" s="361"/>
      <c r="P1066" s="361"/>
      <c r="Q1066" s="361"/>
      <c r="R1066" s="362"/>
      <c r="S1066" s="361"/>
      <c r="T1066" s="360" t="s">
        <v>132</v>
      </c>
    </row>
    <row r="1067" ht="34.5">
      <c r="A1067" s="360" t="s">
        <v>860</v>
      </c>
      <c r="B1067" s="360" t="s">
        <v>861</v>
      </c>
      <c r="C1067" s="360" t="s">
        <v>809</v>
      </c>
      <c r="D1067" s="360" t="s">
        <v>128</v>
      </c>
      <c r="E1067" s="360" t="s">
        <v>470</v>
      </c>
      <c r="F1067" s="361" t="s">
        <v>799</v>
      </c>
      <c r="G1067" s="360" t="s">
        <v>36</v>
      </c>
      <c r="H1067" s="361"/>
      <c r="I1067" s="361"/>
      <c r="J1067" s="361" t="s">
        <v>1053</v>
      </c>
      <c r="K1067" s="363"/>
      <c r="L1067" s="360"/>
      <c r="M1067" s="360"/>
      <c r="N1067" s="361"/>
      <c r="O1067" s="361"/>
      <c r="P1067" s="361"/>
      <c r="Q1067" s="361"/>
      <c r="R1067" s="362"/>
      <c r="S1067" s="361"/>
      <c r="T1067" s="360" t="s">
        <v>132</v>
      </c>
    </row>
    <row r="1068" ht="34.5">
      <c r="A1068" s="360" t="s">
        <v>860</v>
      </c>
      <c r="B1068" s="360" t="s">
        <v>861</v>
      </c>
      <c r="C1068" s="360" t="s">
        <v>809</v>
      </c>
      <c r="D1068" s="360" t="s">
        <v>128</v>
      </c>
      <c r="E1068" s="360" t="s">
        <v>470</v>
      </c>
      <c r="F1068" s="361" t="s">
        <v>799</v>
      </c>
      <c r="G1068" s="360" t="s">
        <v>36</v>
      </c>
      <c r="H1068" s="361"/>
      <c r="I1068" s="361"/>
      <c r="J1068" s="361" t="s">
        <v>1054</v>
      </c>
      <c r="K1068" s="363"/>
      <c r="L1068" s="360"/>
      <c r="M1068" s="360"/>
      <c r="N1068" s="361"/>
      <c r="O1068" s="361"/>
      <c r="P1068" s="361"/>
      <c r="Q1068" s="361"/>
      <c r="R1068" s="362"/>
      <c r="S1068" s="361"/>
      <c r="T1068" s="360" t="s">
        <v>132</v>
      </c>
    </row>
    <row r="1069" ht="34.5">
      <c r="A1069" s="360" t="s">
        <v>860</v>
      </c>
      <c r="B1069" s="360" t="s">
        <v>861</v>
      </c>
      <c r="C1069" s="360" t="s">
        <v>809</v>
      </c>
      <c r="D1069" s="360" t="s">
        <v>128</v>
      </c>
      <c r="E1069" s="360" t="s">
        <v>470</v>
      </c>
      <c r="F1069" s="361" t="s">
        <v>799</v>
      </c>
      <c r="G1069" s="360" t="s">
        <v>36</v>
      </c>
      <c r="H1069" s="361"/>
      <c r="I1069" s="361"/>
      <c r="J1069" s="361" t="s">
        <v>1055</v>
      </c>
      <c r="K1069" s="363">
        <v>-100000000</v>
      </c>
      <c r="L1069" s="360" t="s">
        <v>314</v>
      </c>
      <c r="M1069" s="360" t="s">
        <v>832</v>
      </c>
      <c r="N1069" s="361"/>
      <c r="O1069" s="361"/>
      <c r="P1069" s="361"/>
      <c r="Q1069" s="361"/>
      <c r="R1069" s="362"/>
      <c r="S1069" s="361"/>
      <c r="T1069" s="360" t="s">
        <v>132</v>
      </c>
    </row>
    <row r="1070" ht="34.5">
      <c r="A1070" s="360" t="s">
        <v>860</v>
      </c>
      <c r="B1070" s="360" t="s">
        <v>861</v>
      </c>
      <c r="C1070" s="360" t="s">
        <v>809</v>
      </c>
      <c r="D1070" s="360" t="s">
        <v>128</v>
      </c>
      <c r="E1070" s="360" t="s">
        <v>470</v>
      </c>
      <c r="F1070" s="361" t="s">
        <v>799</v>
      </c>
      <c r="G1070" s="360" t="s">
        <v>36</v>
      </c>
      <c r="H1070" s="361"/>
      <c r="I1070" s="361"/>
      <c r="J1070" s="361" t="s">
        <v>1056</v>
      </c>
      <c r="K1070" s="363">
        <v>-100</v>
      </c>
      <c r="L1070" s="360" t="s">
        <v>314</v>
      </c>
      <c r="M1070" s="360"/>
      <c r="N1070" s="361"/>
      <c r="O1070" s="361"/>
      <c r="P1070" s="361"/>
      <c r="Q1070" s="361"/>
      <c r="R1070" s="362"/>
      <c r="S1070" s="361"/>
      <c r="T1070" s="360" t="s">
        <v>132</v>
      </c>
    </row>
    <row r="1071" ht="34.5">
      <c r="A1071" s="360" t="s">
        <v>860</v>
      </c>
      <c r="B1071" s="360" t="s">
        <v>861</v>
      </c>
      <c r="C1071" s="360" t="s">
        <v>809</v>
      </c>
      <c r="D1071" s="360" t="s">
        <v>128</v>
      </c>
      <c r="E1071" s="360" t="s">
        <v>470</v>
      </c>
      <c r="F1071" s="361" t="s">
        <v>799</v>
      </c>
      <c r="G1071" s="360" t="s">
        <v>36</v>
      </c>
      <c r="H1071" s="361"/>
      <c r="I1071" s="361"/>
      <c r="J1071" s="361" t="s">
        <v>1057</v>
      </c>
      <c r="K1071" s="363"/>
      <c r="L1071" s="360"/>
      <c r="M1071" s="360"/>
      <c r="N1071" s="361"/>
      <c r="O1071" s="361"/>
      <c r="P1071" s="361"/>
      <c r="Q1071" s="361"/>
      <c r="R1071" s="362"/>
      <c r="S1071" s="361"/>
      <c r="T1071" s="360" t="s">
        <v>132</v>
      </c>
    </row>
    <row r="1072" ht="34.5">
      <c r="A1072" s="360" t="s">
        <v>860</v>
      </c>
      <c r="B1072" s="360" t="s">
        <v>861</v>
      </c>
      <c r="C1072" s="360" t="s">
        <v>823</v>
      </c>
      <c r="D1072" s="360" t="s">
        <v>128</v>
      </c>
      <c r="E1072" s="360" t="s">
        <v>470</v>
      </c>
      <c r="F1072" s="361" t="s">
        <v>799</v>
      </c>
      <c r="G1072" s="360" t="s">
        <v>36</v>
      </c>
      <c r="H1072" s="361"/>
      <c r="I1072" s="361"/>
      <c r="J1072" s="361" t="s">
        <v>835</v>
      </c>
      <c r="K1072" s="363"/>
      <c r="L1072" s="360"/>
      <c r="M1072" s="360"/>
      <c r="N1072" s="361"/>
      <c r="O1072" s="361"/>
      <c r="P1072" s="361"/>
      <c r="Q1072" s="361"/>
      <c r="R1072" s="362"/>
      <c r="S1072" s="361"/>
      <c r="T1072" s="360" t="s">
        <v>132</v>
      </c>
    </row>
    <row r="1073" ht="34.5">
      <c r="A1073" s="360" t="s">
        <v>860</v>
      </c>
      <c r="B1073" s="360" t="s">
        <v>861</v>
      </c>
      <c r="C1073" s="360" t="s">
        <v>823</v>
      </c>
      <c r="D1073" s="360" t="s">
        <v>128</v>
      </c>
      <c r="E1073" s="360" t="s">
        <v>470</v>
      </c>
      <c r="F1073" s="361" t="s">
        <v>799</v>
      </c>
      <c r="G1073" s="360" t="s">
        <v>36</v>
      </c>
      <c r="H1073" s="361"/>
      <c r="I1073" s="361"/>
      <c r="J1073" s="361" t="s">
        <v>1058</v>
      </c>
      <c r="K1073" s="363"/>
      <c r="L1073" s="360"/>
      <c r="M1073" s="360"/>
      <c r="N1073" s="361"/>
      <c r="O1073" s="361"/>
      <c r="P1073" s="361"/>
      <c r="Q1073" s="361"/>
      <c r="R1073" s="362"/>
      <c r="S1073" s="361"/>
      <c r="T1073" s="360" t="s">
        <v>132</v>
      </c>
    </row>
    <row r="1074" ht="34.5">
      <c r="A1074" s="360" t="s">
        <v>860</v>
      </c>
      <c r="B1074" s="360" t="s">
        <v>861</v>
      </c>
      <c r="C1074" s="360" t="s">
        <v>823</v>
      </c>
      <c r="D1074" s="360" t="s">
        <v>128</v>
      </c>
      <c r="E1074" s="360" t="s">
        <v>470</v>
      </c>
      <c r="F1074" s="361" t="s">
        <v>799</v>
      </c>
      <c r="G1074" s="360" t="s">
        <v>36</v>
      </c>
      <c r="H1074" s="361"/>
      <c r="I1074" s="361"/>
      <c r="J1074" s="361" t="s">
        <v>1059</v>
      </c>
      <c r="K1074" s="363"/>
      <c r="L1074" s="360"/>
      <c r="M1074" s="360"/>
      <c r="N1074" s="361"/>
      <c r="O1074" s="361"/>
      <c r="P1074" s="361"/>
      <c r="Q1074" s="361"/>
      <c r="R1074" s="362"/>
      <c r="S1074" s="361"/>
      <c r="T1074" s="360" t="s">
        <v>132</v>
      </c>
    </row>
    <row r="1075" ht="34.5">
      <c r="A1075" s="360" t="s">
        <v>860</v>
      </c>
      <c r="B1075" s="360" t="s">
        <v>861</v>
      </c>
      <c r="C1075" s="360" t="s">
        <v>823</v>
      </c>
      <c r="D1075" s="360" t="s">
        <v>128</v>
      </c>
      <c r="E1075" s="360" t="s">
        <v>470</v>
      </c>
      <c r="F1075" s="361" t="s">
        <v>799</v>
      </c>
      <c r="G1075" s="360" t="s">
        <v>36</v>
      </c>
      <c r="H1075" s="361"/>
      <c r="I1075" s="361"/>
      <c r="J1075" s="361" t="s">
        <v>1060</v>
      </c>
      <c r="K1075" s="363"/>
      <c r="L1075" s="360"/>
      <c r="M1075" s="360"/>
      <c r="N1075" s="361"/>
      <c r="O1075" s="361"/>
      <c r="P1075" s="361"/>
      <c r="Q1075" s="361"/>
      <c r="R1075" s="362"/>
      <c r="S1075" s="361"/>
      <c r="T1075" s="360" t="s">
        <v>132</v>
      </c>
    </row>
    <row r="1076" ht="34.5">
      <c r="A1076" s="360" t="s">
        <v>860</v>
      </c>
      <c r="B1076" s="360" t="s">
        <v>861</v>
      </c>
      <c r="C1076" s="360" t="s">
        <v>828</v>
      </c>
      <c r="D1076" s="360" t="s">
        <v>128</v>
      </c>
      <c r="E1076" s="360" t="s">
        <v>470</v>
      </c>
      <c r="F1076" s="361" t="s">
        <v>799</v>
      </c>
      <c r="G1076" s="360" t="s">
        <v>36</v>
      </c>
      <c r="H1076" s="361"/>
      <c r="I1076" s="361"/>
      <c r="J1076" s="361" t="s">
        <v>840</v>
      </c>
      <c r="K1076" s="363"/>
      <c r="L1076" s="360"/>
      <c r="M1076" s="360"/>
      <c r="N1076" s="361"/>
      <c r="O1076" s="361"/>
      <c r="P1076" s="361"/>
      <c r="Q1076" s="361"/>
      <c r="R1076" s="362"/>
      <c r="S1076" s="361"/>
      <c r="T1076" s="360" t="s">
        <v>132</v>
      </c>
    </row>
    <row r="1077" ht="34.5">
      <c r="A1077" s="360" t="s">
        <v>860</v>
      </c>
      <c r="B1077" s="360" t="s">
        <v>861</v>
      </c>
      <c r="C1077" s="360" t="s">
        <v>828</v>
      </c>
      <c r="D1077" s="360" t="s">
        <v>128</v>
      </c>
      <c r="E1077" s="360" t="s">
        <v>470</v>
      </c>
      <c r="F1077" s="361" t="s">
        <v>799</v>
      </c>
      <c r="G1077" s="360" t="s">
        <v>36</v>
      </c>
      <c r="H1077" s="361"/>
      <c r="I1077" s="361"/>
      <c r="J1077" s="361" t="s">
        <v>1061</v>
      </c>
      <c r="K1077" s="363"/>
      <c r="L1077" s="360"/>
      <c r="M1077" s="360"/>
      <c r="N1077" s="361"/>
      <c r="O1077" s="361"/>
      <c r="P1077" s="361"/>
      <c r="Q1077" s="361"/>
      <c r="R1077" s="362"/>
      <c r="S1077" s="361"/>
      <c r="T1077" s="360" t="s">
        <v>132</v>
      </c>
    </row>
    <row r="1078" ht="34.5">
      <c r="A1078" s="360" t="s">
        <v>860</v>
      </c>
      <c r="B1078" s="360" t="s">
        <v>861</v>
      </c>
      <c r="C1078" s="360" t="s">
        <v>828</v>
      </c>
      <c r="D1078" s="360" t="s">
        <v>128</v>
      </c>
      <c r="E1078" s="360" t="s">
        <v>470</v>
      </c>
      <c r="F1078" s="361" t="s">
        <v>799</v>
      </c>
      <c r="G1078" s="360" t="s">
        <v>36</v>
      </c>
      <c r="H1078" s="361"/>
      <c r="I1078" s="361"/>
      <c r="J1078" s="361" t="s">
        <v>842</v>
      </c>
      <c r="K1078" s="363"/>
      <c r="L1078" s="360"/>
      <c r="M1078" s="360"/>
      <c r="N1078" s="361"/>
      <c r="O1078" s="361"/>
      <c r="P1078" s="361"/>
      <c r="Q1078" s="361"/>
      <c r="R1078" s="362"/>
      <c r="S1078" s="361"/>
      <c r="T1078" s="360" t="s">
        <v>132</v>
      </c>
    </row>
    <row r="1079" ht="34.5">
      <c r="A1079" s="360" t="s">
        <v>860</v>
      </c>
      <c r="B1079" s="360" t="s">
        <v>861</v>
      </c>
      <c r="C1079" s="360" t="s">
        <v>828</v>
      </c>
      <c r="D1079" s="360" t="s">
        <v>128</v>
      </c>
      <c r="E1079" s="360" t="s">
        <v>470</v>
      </c>
      <c r="F1079" s="361" t="s">
        <v>799</v>
      </c>
      <c r="G1079" s="360" t="s">
        <v>36</v>
      </c>
      <c r="H1079" s="361"/>
      <c r="I1079" s="361"/>
      <c r="J1079" s="361" t="s">
        <v>843</v>
      </c>
      <c r="K1079" s="363"/>
      <c r="L1079" s="360"/>
      <c r="M1079" s="360"/>
      <c r="N1079" s="361"/>
      <c r="O1079" s="361"/>
      <c r="P1079" s="361"/>
      <c r="Q1079" s="361"/>
      <c r="R1079" s="362"/>
      <c r="S1079" s="361"/>
      <c r="T1079" s="360" t="s">
        <v>132</v>
      </c>
    </row>
    <row r="1080" ht="34.5">
      <c r="A1080" s="360" t="s">
        <v>860</v>
      </c>
      <c r="B1080" s="360" t="s">
        <v>861</v>
      </c>
      <c r="C1080" s="360" t="s">
        <v>828</v>
      </c>
      <c r="D1080" s="360" t="s">
        <v>128</v>
      </c>
      <c r="E1080" s="360" t="s">
        <v>470</v>
      </c>
      <c r="F1080" s="361" t="s">
        <v>799</v>
      </c>
      <c r="G1080" s="360" t="s">
        <v>36</v>
      </c>
      <c r="H1080" s="361"/>
      <c r="I1080" s="361"/>
      <c r="J1080" s="361" t="s">
        <v>844</v>
      </c>
      <c r="K1080" s="363"/>
      <c r="L1080" s="360"/>
      <c r="M1080" s="360"/>
      <c r="N1080" s="361"/>
      <c r="O1080" s="361"/>
      <c r="P1080" s="361"/>
      <c r="Q1080" s="361"/>
      <c r="R1080" s="362"/>
      <c r="S1080" s="361"/>
      <c r="T1080" s="360" t="s">
        <v>132</v>
      </c>
    </row>
    <row r="1081" ht="34.5">
      <c r="A1081" s="360" t="s">
        <v>860</v>
      </c>
      <c r="B1081" s="360" t="s">
        <v>861</v>
      </c>
      <c r="C1081" s="360" t="s">
        <v>828</v>
      </c>
      <c r="D1081" s="360" t="s">
        <v>128</v>
      </c>
      <c r="E1081" s="360" t="s">
        <v>470</v>
      </c>
      <c r="F1081" s="361" t="s">
        <v>799</v>
      </c>
      <c r="G1081" s="360" t="s">
        <v>36</v>
      </c>
      <c r="H1081" s="361"/>
      <c r="I1081" s="361"/>
      <c r="J1081" s="361" t="s">
        <v>845</v>
      </c>
      <c r="K1081" s="363"/>
      <c r="L1081" s="360"/>
      <c r="M1081" s="360"/>
      <c r="N1081" s="361"/>
      <c r="O1081" s="361"/>
      <c r="P1081" s="361"/>
      <c r="Q1081" s="361"/>
      <c r="R1081" s="362"/>
      <c r="S1081" s="361"/>
      <c r="T1081" s="360" t="s">
        <v>132</v>
      </c>
    </row>
    <row r="1082" ht="34.5">
      <c r="A1082" s="360" t="s">
        <v>860</v>
      </c>
      <c r="B1082" s="360" t="s">
        <v>861</v>
      </c>
      <c r="C1082" s="360" t="s">
        <v>828</v>
      </c>
      <c r="D1082" s="360" t="s">
        <v>128</v>
      </c>
      <c r="E1082" s="360" t="s">
        <v>470</v>
      </c>
      <c r="F1082" s="361" t="s">
        <v>799</v>
      </c>
      <c r="G1082" s="360" t="s">
        <v>36</v>
      </c>
      <c r="H1082" s="361"/>
      <c r="I1082" s="361"/>
      <c r="J1082" s="361" t="s">
        <v>846</v>
      </c>
      <c r="K1082" s="363"/>
      <c r="L1082" s="360"/>
      <c r="M1082" s="360"/>
      <c r="N1082" s="361"/>
      <c r="O1082" s="361"/>
      <c r="P1082" s="361"/>
      <c r="Q1082" s="361"/>
      <c r="R1082" s="362"/>
      <c r="S1082" s="361"/>
      <c r="T1082" s="360" t="s">
        <v>132</v>
      </c>
    </row>
    <row r="1083" ht="34.5">
      <c r="A1083" s="360" t="s">
        <v>860</v>
      </c>
      <c r="B1083" s="360" t="s">
        <v>861</v>
      </c>
      <c r="C1083" s="360" t="s">
        <v>828</v>
      </c>
      <c r="D1083" s="360" t="s">
        <v>128</v>
      </c>
      <c r="E1083" s="360" t="s">
        <v>470</v>
      </c>
      <c r="F1083" s="361" t="s">
        <v>799</v>
      </c>
      <c r="G1083" s="360" t="s">
        <v>36</v>
      </c>
      <c r="H1083" s="361"/>
      <c r="I1083" s="361"/>
      <c r="J1083" s="361" t="s">
        <v>847</v>
      </c>
      <c r="K1083" s="363"/>
      <c r="L1083" s="360"/>
      <c r="M1083" s="360"/>
      <c r="N1083" s="361"/>
      <c r="O1083" s="361"/>
      <c r="P1083" s="361"/>
      <c r="Q1083" s="361"/>
      <c r="R1083" s="362"/>
      <c r="S1083" s="361"/>
      <c r="T1083" s="360" t="s">
        <v>132</v>
      </c>
    </row>
    <row r="1084" ht="34.5">
      <c r="A1084" s="360" t="s">
        <v>860</v>
      </c>
      <c r="B1084" s="360" t="s">
        <v>861</v>
      </c>
      <c r="C1084" s="360" t="s">
        <v>828</v>
      </c>
      <c r="D1084" s="360" t="s">
        <v>128</v>
      </c>
      <c r="E1084" s="360" t="s">
        <v>470</v>
      </c>
      <c r="F1084" s="361" t="s">
        <v>799</v>
      </c>
      <c r="G1084" s="360" t="s">
        <v>36</v>
      </c>
      <c r="H1084" s="361"/>
      <c r="I1084" s="361"/>
      <c r="J1084" s="361" t="s">
        <v>848</v>
      </c>
      <c r="K1084" s="363"/>
      <c r="L1084" s="360"/>
      <c r="M1084" s="360"/>
      <c r="N1084" s="361"/>
      <c r="O1084" s="361"/>
      <c r="P1084" s="361"/>
      <c r="Q1084" s="361"/>
      <c r="R1084" s="362"/>
      <c r="S1084" s="361"/>
      <c r="T1084" s="360" t="s">
        <v>132</v>
      </c>
    </row>
    <row r="1085" ht="34.5">
      <c r="A1085" s="360" t="s">
        <v>860</v>
      </c>
      <c r="B1085" s="360" t="s">
        <v>861</v>
      </c>
      <c r="C1085" s="360" t="s">
        <v>828</v>
      </c>
      <c r="D1085" s="360" t="s">
        <v>128</v>
      </c>
      <c r="E1085" s="360" t="s">
        <v>470</v>
      </c>
      <c r="F1085" s="361" t="s">
        <v>799</v>
      </c>
      <c r="G1085" s="360" t="s">
        <v>36</v>
      </c>
      <c r="H1085" s="361"/>
      <c r="I1085" s="361"/>
      <c r="J1085" s="361" t="s">
        <v>1062</v>
      </c>
      <c r="K1085" s="363"/>
      <c r="L1085" s="360"/>
      <c r="M1085" s="360"/>
      <c r="N1085" s="361"/>
      <c r="O1085" s="361"/>
      <c r="P1085" s="361"/>
      <c r="Q1085" s="361"/>
      <c r="R1085" s="362"/>
      <c r="S1085" s="361"/>
      <c r="T1085" s="360" t="s">
        <v>132</v>
      </c>
    </row>
    <row r="1086" ht="34.5">
      <c r="A1086" s="360" t="s">
        <v>860</v>
      </c>
      <c r="B1086" s="360" t="s">
        <v>861</v>
      </c>
      <c r="C1086" s="360" t="s">
        <v>834</v>
      </c>
      <c r="D1086" s="360" t="s">
        <v>128</v>
      </c>
      <c r="E1086" s="360" t="s">
        <v>470</v>
      </c>
      <c r="F1086" s="361" t="s">
        <v>799</v>
      </c>
      <c r="G1086" s="360" t="s">
        <v>36</v>
      </c>
      <c r="H1086" s="361"/>
      <c r="I1086" s="361"/>
      <c r="J1086" s="361" t="s">
        <v>1063</v>
      </c>
      <c r="K1086" s="363"/>
      <c r="L1086" s="360"/>
      <c r="M1086" s="360"/>
      <c r="N1086" s="361"/>
      <c r="O1086" s="361"/>
      <c r="P1086" s="361"/>
      <c r="Q1086" s="361"/>
      <c r="R1086" s="362"/>
      <c r="S1086" s="361"/>
      <c r="T1086" s="360" t="s">
        <v>132</v>
      </c>
    </row>
    <row r="1087" ht="34.5">
      <c r="A1087" s="360" t="s">
        <v>860</v>
      </c>
      <c r="B1087" s="360" t="s">
        <v>861</v>
      </c>
      <c r="C1087" s="360" t="s">
        <v>834</v>
      </c>
      <c r="D1087" s="360" t="s">
        <v>128</v>
      </c>
      <c r="E1087" s="360" t="s">
        <v>470</v>
      </c>
      <c r="F1087" s="361" t="s">
        <v>799</v>
      </c>
      <c r="G1087" s="360" t="s">
        <v>36</v>
      </c>
      <c r="H1087" s="361"/>
      <c r="I1087" s="361"/>
      <c r="J1087" s="361" t="s">
        <v>1064</v>
      </c>
      <c r="K1087" s="363"/>
      <c r="L1087" s="360"/>
      <c r="M1087" s="360"/>
      <c r="N1087" s="361"/>
      <c r="O1087" s="361"/>
      <c r="P1087" s="361"/>
      <c r="Q1087" s="361"/>
      <c r="R1087" s="362"/>
      <c r="S1087" s="361"/>
      <c r="T1087" s="360" t="s">
        <v>132</v>
      </c>
    </row>
    <row r="1088" ht="34.5">
      <c r="A1088" s="360" t="s">
        <v>860</v>
      </c>
      <c r="B1088" s="360" t="s">
        <v>861</v>
      </c>
      <c r="C1088" s="360" t="s">
        <v>834</v>
      </c>
      <c r="D1088" s="360" t="s">
        <v>128</v>
      </c>
      <c r="E1088" s="360" t="s">
        <v>470</v>
      </c>
      <c r="F1088" s="361" t="s">
        <v>799</v>
      </c>
      <c r="G1088" s="360" t="s">
        <v>36</v>
      </c>
      <c r="H1088" s="361"/>
      <c r="I1088" s="361"/>
      <c r="J1088" s="361" t="s">
        <v>1065</v>
      </c>
      <c r="K1088" s="363"/>
      <c r="L1088" s="360"/>
      <c r="M1088" s="360"/>
      <c r="N1088" s="361"/>
      <c r="O1088" s="361"/>
      <c r="P1088" s="361"/>
      <c r="Q1088" s="361"/>
      <c r="R1088" s="362"/>
      <c r="S1088" s="361"/>
      <c r="T1088" s="360" t="s">
        <v>132</v>
      </c>
    </row>
    <row r="1089" ht="34.5">
      <c r="A1089" s="360" t="s">
        <v>860</v>
      </c>
      <c r="B1089" s="360" t="s">
        <v>861</v>
      </c>
      <c r="C1089" s="360" t="s">
        <v>834</v>
      </c>
      <c r="D1089" s="360" t="s">
        <v>128</v>
      </c>
      <c r="E1089" s="360" t="s">
        <v>470</v>
      </c>
      <c r="F1089" s="361" t="s">
        <v>799</v>
      </c>
      <c r="G1089" s="360" t="s">
        <v>36</v>
      </c>
      <c r="H1089" s="361"/>
      <c r="I1089" s="361"/>
      <c r="J1089" s="361" t="s">
        <v>852</v>
      </c>
      <c r="K1089" s="363"/>
      <c r="L1089" s="360"/>
      <c r="M1089" s="360"/>
      <c r="N1089" s="361"/>
      <c r="O1089" s="361"/>
      <c r="P1089" s="361"/>
      <c r="Q1089" s="361"/>
      <c r="R1089" s="362"/>
      <c r="S1089" s="361"/>
      <c r="T1089" s="360" t="s">
        <v>132</v>
      </c>
    </row>
    <row r="1090" ht="34.5">
      <c r="A1090" s="360" t="s">
        <v>860</v>
      </c>
      <c r="B1090" s="360" t="s">
        <v>861</v>
      </c>
      <c r="C1090" s="360" t="s">
        <v>834</v>
      </c>
      <c r="D1090" s="360" t="s">
        <v>128</v>
      </c>
      <c r="E1090" s="360" t="s">
        <v>470</v>
      </c>
      <c r="F1090" s="361" t="s">
        <v>799</v>
      </c>
      <c r="G1090" s="360" t="s">
        <v>36</v>
      </c>
      <c r="H1090" s="361"/>
      <c r="I1090" s="361"/>
      <c r="J1090" s="361" t="s">
        <v>853</v>
      </c>
      <c r="K1090" s="363"/>
      <c r="L1090" s="360"/>
      <c r="M1090" s="360"/>
      <c r="N1090" s="361"/>
      <c r="O1090" s="361"/>
      <c r="P1090" s="361"/>
      <c r="Q1090" s="361"/>
      <c r="R1090" s="362"/>
      <c r="S1090" s="361"/>
      <c r="T1090" s="360" t="s">
        <v>132</v>
      </c>
    </row>
    <row r="1091" ht="34.5">
      <c r="A1091" s="360" t="s">
        <v>860</v>
      </c>
      <c r="B1091" s="360" t="s">
        <v>861</v>
      </c>
      <c r="C1091" s="360" t="s">
        <v>834</v>
      </c>
      <c r="D1091" s="360" t="s">
        <v>128</v>
      </c>
      <c r="E1091" s="360" t="s">
        <v>470</v>
      </c>
      <c r="F1091" s="361" t="s">
        <v>799</v>
      </c>
      <c r="G1091" s="360" t="s">
        <v>36</v>
      </c>
      <c r="H1091" s="361"/>
      <c r="I1091" s="361"/>
      <c r="J1091" s="361" t="s">
        <v>854</v>
      </c>
      <c r="K1091" s="363"/>
      <c r="L1091" s="360"/>
      <c r="M1091" s="360"/>
      <c r="N1091" s="361"/>
      <c r="O1091" s="361"/>
      <c r="P1091" s="361"/>
      <c r="Q1091" s="361"/>
      <c r="R1091" s="362"/>
      <c r="S1091" s="361"/>
      <c r="T1091" s="360" t="s">
        <v>132</v>
      </c>
    </row>
    <row r="1092" ht="34.5">
      <c r="A1092" s="360" t="s">
        <v>860</v>
      </c>
      <c r="B1092" s="360" t="s">
        <v>861</v>
      </c>
      <c r="C1092" s="360" t="s">
        <v>834</v>
      </c>
      <c r="D1092" s="360" t="s">
        <v>128</v>
      </c>
      <c r="E1092" s="360" t="s">
        <v>470</v>
      </c>
      <c r="F1092" s="361" t="s">
        <v>799</v>
      </c>
      <c r="G1092" s="360" t="s">
        <v>36</v>
      </c>
      <c r="H1092" s="361"/>
      <c r="I1092" s="361"/>
      <c r="J1092" s="361" t="s">
        <v>855</v>
      </c>
      <c r="K1092" s="363"/>
      <c r="L1092" s="360"/>
      <c r="M1092" s="360"/>
      <c r="N1092" s="361"/>
      <c r="O1092" s="361"/>
      <c r="P1092" s="361"/>
      <c r="Q1092" s="361"/>
      <c r="R1092" s="362"/>
      <c r="S1092" s="361"/>
      <c r="T1092" s="360" t="s">
        <v>132</v>
      </c>
    </row>
    <row r="1093" ht="34.5">
      <c r="A1093" s="360" t="s">
        <v>860</v>
      </c>
      <c r="B1093" s="360" t="s">
        <v>861</v>
      </c>
      <c r="C1093" s="360" t="s">
        <v>834</v>
      </c>
      <c r="D1093" s="360" t="s">
        <v>128</v>
      </c>
      <c r="E1093" s="360" t="s">
        <v>470</v>
      </c>
      <c r="F1093" s="361" t="s">
        <v>799</v>
      </c>
      <c r="G1093" s="360" t="s">
        <v>36</v>
      </c>
      <c r="H1093" s="361"/>
      <c r="I1093" s="361"/>
      <c r="J1093" s="361" t="s">
        <v>856</v>
      </c>
      <c r="K1093" s="363"/>
      <c r="L1093" s="360"/>
      <c r="M1093" s="360"/>
      <c r="N1093" s="361"/>
      <c r="O1093" s="361"/>
      <c r="P1093" s="361"/>
      <c r="Q1093" s="361"/>
      <c r="R1093" s="362"/>
      <c r="S1093" s="361"/>
      <c r="T1093" s="360" t="s">
        <v>132</v>
      </c>
    </row>
    <row r="1094" ht="34.5">
      <c r="A1094" s="360" t="s">
        <v>860</v>
      </c>
      <c r="B1094" s="360" t="s">
        <v>861</v>
      </c>
      <c r="C1094" s="360" t="s">
        <v>834</v>
      </c>
      <c r="D1094" s="360" t="s">
        <v>128</v>
      </c>
      <c r="E1094" s="360" t="s">
        <v>470</v>
      </c>
      <c r="F1094" s="361" t="s">
        <v>799</v>
      </c>
      <c r="G1094" s="360" t="s">
        <v>36</v>
      </c>
      <c r="H1094" s="361"/>
      <c r="I1094" s="361"/>
      <c r="J1094" s="361" t="s">
        <v>857</v>
      </c>
      <c r="K1094" s="363"/>
      <c r="L1094" s="360"/>
      <c r="M1094" s="360"/>
      <c r="N1094" s="361"/>
      <c r="O1094" s="361"/>
      <c r="P1094" s="361"/>
      <c r="Q1094" s="361"/>
      <c r="R1094" s="362"/>
      <c r="S1094" s="361"/>
      <c r="T1094" s="360" t="s">
        <v>132</v>
      </c>
    </row>
    <row r="1095" ht="34.5">
      <c r="A1095" s="360" t="s">
        <v>860</v>
      </c>
      <c r="B1095" s="360" t="s">
        <v>861</v>
      </c>
      <c r="C1095" s="360" t="s">
        <v>834</v>
      </c>
      <c r="D1095" s="360" t="s">
        <v>128</v>
      </c>
      <c r="E1095" s="360" t="s">
        <v>470</v>
      </c>
      <c r="F1095" s="361" t="s">
        <v>799</v>
      </c>
      <c r="G1095" s="360" t="s">
        <v>36</v>
      </c>
      <c r="H1095" s="361"/>
      <c r="I1095" s="361"/>
      <c r="J1095" s="361" t="s">
        <v>858</v>
      </c>
      <c r="K1095" s="363"/>
      <c r="L1095" s="360"/>
      <c r="M1095" s="360"/>
      <c r="N1095" s="361"/>
      <c r="O1095" s="361"/>
      <c r="P1095" s="361"/>
      <c r="Q1095" s="361"/>
      <c r="R1095" s="362"/>
      <c r="S1095" s="361"/>
      <c r="T1095" s="360" t="s">
        <v>132</v>
      </c>
    </row>
    <row r="1096" ht="34.5">
      <c r="A1096" s="360" t="s">
        <v>860</v>
      </c>
      <c r="B1096" s="360" t="s">
        <v>861</v>
      </c>
      <c r="C1096" s="360" t="s">
        <v>834</v>
      </c>
      <c r="D1096" s="360" t="s">
        <v>128</v>
      </c>
      <c r="E1096" s="360" t="s">
        <v>470</v>
      </c>
      <c r="F1096" s="361" t="s">
        <v>799</v>
      </c>
      <c r="G1096" s="360" t="s">
        <v>36</v>
      </c>
      <c r="H1096" s="361"/>
      <c r="I1096" s="361"/>
      <c r="J1096" s="361" t="s">
        <v>859</v>
      </c>
      <c r="K1096" s="363"/>
      <c r="L1096" s="360"/>
      <c r="M1096" s="360"/>
      <c r="N1096" s="361"/>
      <c r="O1096" s="361"/>
      <c r="P1096" s="361"/>
      <c r="Q1096" s="361"/>
      <c r="R1096" s="362"/>
      <c r="S1096" s="361"/>
      <c r="T1096" s="360" t="s">
        <v>132</v>
      </c>
    </row>
    <row r="1097" ht="34.5">
      <c r="A1097" s="360" t="s">
        <v>1066</v>
      </c>
      <c r="B1097" s="360" t="s">
        <v>1067</v>
      </c>
      <c r="C1097" s="360" t="s">
        <v>160</v>
      </c>
      <c r="D1097" s="360" t="s">
        <v>128</v>
      </c>
      <c r="E1097" s="360" t="s">
        <v>129</v>
      </c>
      <c r="F1097" s="361" t="s">
        <v>1068</v>
      </c>
      <c r="G1097" s="360" t="s">
        <v>36</v>
      </c>
      <c r="H1097" s="361"/>
      <c r="I1097" s="361"/>
      <c r="J1097" s="361" t="s">
        <v>1069</v>
      </c>
      <c r="K1097" s="363"/>
      <c r="L1097" s="360"/>
      <c r="M1097" s="360"/>
      <c r="N1097" s="361"/>
      <c r="O1097" s="361"/>
      <c r="P1097" s="361"/>
      <c r="Q1097" s="361"/>
      <c r="R1097" s="362"/>
      <c r="S1097" s="361"/>
      <c r="T1097" s="360" t="s">
        <v>132</v>
      </c>
    </row>
    <row r="1098" ht="34.5">
      <c r="A1098" s="360" t="s">
        <v>1066</v>
      </c>
      <c r="B1098" s="360" t="s">
        <v>1067</v>
      </c>
      <c r="C1098" s="360" t="s">
        <v>160</v>
      </c>
      <c r="D1098" s="360" t="s">
        <v>128</v>
      </c>
      <c r="E1098" s="360" t="s">
        <v>129</v>
      </c>
      <c r="F1098" s="361" t="s">
        <v>1068</v>
      </c>
      <c r="G1098" s="360" t="s">
        <v>36</v>
      </c>
      <c r="H1098" s="361"/>
      <c r="I1098" s="361"/>
      <c r="J1098" s="361" t="s">
        <v>136</v>
      </c>
      <c r="K1098" s="363"/>
      <c r="L1098" s="360"/>
      <c r="M1098" s="360"/>
      <c r="N1098" s="361"/>
      <c r="O1098" s="361"/>
      <c r="P1098" s="361"/>
      <c r="Q1098" s="361"/>
      <c r="R1098" s="362"/>
      <c r="S1098" s="361"/>
      <c r="T1098" s="360" t="s">
        <v>132</v>
      </c>
    </row>
    <row r="1099" ht="34.5">
      <c r="A1099" s="360" t="s">
        <v>1066</v>
      </c>
      <c r="B1099" s="360" t="s">
        <v>1067</v>
      </c>
      <c r="C1099" s="360" t="s">
        <v>160</v>
      </c>
      <c r="D1099" s="360" t="s">
        <v>128</v>
      </c>
      <c r="E1099" s="360" t="s">
        <v>129</v>
      </c>
      <c r="F1099" s="361" t="s">
        <v>1068</v>
      </c>
      <c r="G1099" s="360" t="s">
        <v>36</v>
      </c>
      <c r="H1099" s="361"/>
      <c r="I1099" s="361"/>
      <c r="J1099" s="361" t="s">
        <v>1070</v>
      </c>
      <c r="K1099" s="363"/>
      <c r="L1099" s="360"/>
      <c r="M1099" s="360"/>
      <c r="N1099" s="361"/>
      <c r="O1099" s="361"/>
      <c r="P1099" s="361"/>
      <c r="Q1099" s="361"/>
      <c r="R1099" s="362"/>
      <c r="S1099" s="361"/>
      <c r="T1099" s="360" t="s">
        <v>132</v>
      </c>
    </row>
    <row r="1100" ht="34.5">
      <c r="A1100" s="360" t="s">
        <v>1066</v>
      </c>
      <c r="B1100" s="360" t="s">
        <v>1067</v>
      </c>
      <c r="C1100" s="360" t="s">
        <v>160</v>
      </c>
      <c r="D1100" s="360" t="s">
        <v>128</v>
      </c>
      <c r="E1100" s="360" t="s">
        <v>129</v>
      </c>
      <c r="F1100" s="361" t="s">
        <v>1068</v>
      </c>
      <c r="G1100" s="360" t="s">
        <v>36</v>
      </c>
      <c r="H1100" s="361"/>
      <c r="I1100" s="361"/>
      <c r="J1100" s="361" t="s">
        <v>1071</v>
      </c>
      <c r="K1100" s="363"/>
      <c r="L1100" s="360"/>
      <c r="M1100" s="360"/>
      <c r="N1100" s="361"/>
      <c r="O1100" s="361"/>
      <c r="P1100" s="361"/>
      <c r="Q1100" s="361"/>
      <c r="R1100" s="362"/>
      <c r="S1100" s="361"/>
      <c r="T1100" s="360" t="s">
        <v>132</v>
      </c>
    </row>
    <row r="1101" ht="34.5">
      <c r="A1101" s="360" t="s">
        <v>1066</v>
      </c>
      <c r="B1101" s="360" t="s">
        <v>1067</v>
      </c>
      <c r="C1101" s="360" t="s">
        <v>160</v>
      </c>
      <c r="D1101" s="360" t="s">
        <v>128</v>
      </c>
      <c r="E1101" s="360" t="s">
        <v>129</v>
      </c>
      <c r="F1101" s="361" t="s">
        <v>1068</v>
      </c>
      <c r="G1101" s="360" t="s">
        <v>36</v>
      </c>
      <c r="H1101" s="361"/>
      <c r="I1101" s="361"/>
      <c r="J1101" s="361" t="s">
        <v>1072</v>
      </c>
      <c r="K1101" s="363"/>
      <c r="L1101" s="360"/>
      <c r="M1101" s="360"/>
      <c r="N1101" s="361"/>
      <c r="O1101" s="361"/>
      <c r="P1101" s="361"/>
      <c r="Q1101" s="361"/>
      <c r="R1101" s="362"/>
      <c r="S1101" s="361"/>
      <c r="T1101" s="360" t="s">
        <v>132</v>
      </c>
    </row>
    <row r="1102" ht="34.5">
      <c r="A1102" s="360" t="s">
        <v>1066</v>
      </c>
      <c r="B1102" s="360" t="s">
        <v>1067</v>
      </c>
      <c r="C1102" s="360" t="s">
        <v>160</v>
      </c>
      <c r="D1102" s="360" t="s">
        <v>128</v>
      </c>
      <c r="E1102" s="360" t="s">
        <v>129</v>
      </c>
      <c r="F1102" s="361" t="s">
        <v>1068</v>
      </c>
      <c r="G1102" s="360" t="s">
        <v>36</v>
      </c>
      <c r="H1102" s="361"/>
      <c r="I1102" s="361"/>
      <c r="J1102" s="361" t="s">
        <v>1073</v>
      </c>
      <c r="K1102" s="363"/>
      <c r="L1102" s="360"/>
      <c r="M1102" s="360"/>
      <c r="N1102" s="361"/>
      <c r="O1102" s="361"/>
      <c r="P1102" s="361"/>
      <c r="Q1102" s="361"/>
      <c r="R1102" s="362"/>
      <c r="S1102" s="361"/>
      <c r="T1102" s="360" t="s">
        <v>132</v>
      </c>
    </row>
    <row r="1103" ht="34.5">
      <c r="A1103" s="360" t="s">
        <v>1066</v>
      </c>
      <c r="B1103" s="360" t="s">
        <v>1067</v>
      </c>
      <c r="C1103" s="360" t="s">
        <v>160</v>
      </c>
      <c r="D1103" s="360" t="s">
        <v>128</v>
      </c>
      <c r="E1103" s="360" t="s">
        <v>129</v>
      </c>
      <c r="F1103" s="361" t="s">
        <v>1068</v>
      </c>
      <c r="G1103" s="360" t="s">
        <v>36</v>
      </c>
      <c r="H1103" s="361"/>
      <c r="I1103" s="361"/>
      <c r="J1103" s="361" t="s">
        <v>1074</v>
      </c>
      <c r="K1103" s="363"/>
      <c r="L1103" s="360"/>
      <c r="M1103" s="360"/>
      <c r="N1103" s="361"/>
      <c r="O1103" s="361"/>
      <c r="P1103" s="361"/>
      <c r="Q1103" s="361"/>
      <c r="R1103" s="362"/>
      <c r="S1103" s="361"/>
      <c r="T1103" s="360" t="s">
        <v>132</v>
      </c>
    </row>
    <row r="1104" ht="34.5">
      <c r="A1104" s="360" t="s">
        <v>1066</v>
      </c>
      <c r="B1104" s="360" t="s">
        <v>1067</v>
      </c>
      <c r="C1104" s="360" t="s">
        <v>160</v>
      </c>
      <c r="D1104" s="360" t="s">
        <v>376</v>
      </c>
      <c r="E1104" s="360" t="s">
        <v>129</v>
      </c>
      <c r="F1104" s="361" t="s">
        <v>1068</v>
      </c>
      <c r="G1104" s="360" t="s">
        <v>36</v>
      </c>
      <c r="H1104" s="361"/>
      <c r="I1104" s="361"/>
      <c r="J1104" s="361" t="s">
        <v>377</v>
      </c>
      <c r="K1104" s="363"/>
      <c r="L1104" s="360"/>
      <c r="M1104" s="360"/>
      <c r="N1104" s="361"/>
      <c r="O1104" s="361"/>
      <c r="P1104" s="361"/>
      <c r="Q1104" s="361"/>
      <c r="R1104" s="362"/>
      <c r="S1104" s="361"/>
      <c r="T1104" s="360" t="s">
        <v>132</v>
      </c>
    </row>
    <row r="1105" ht="34.5">
      <c r="A1105" s="360" t="s">
        <v>1066</v>
      </c>
      <c r="B1105" s="360" t="s">
        <v>1067</v>
      </c>
      <c r="C1105" s="360" t="s">
        <v>160</v>
      </c>
      <c r="D1105" s="360" t="s">
        <v>128</v>
      </c>
      <c r="E1105" s="360" t="s">
        <v>129</v>
      </c>
      <c r="F1105" s="361" t="s">
        <v>1068</v>
      </c>
      <c r="G1105" s="360" t="s">
        <v>36</v>
      </c>
      <c r="H1105" s="361"/>
      <c r="I1105" s="361"/>
      <c r="J1105" s="361" t="s">
        <v>1075</v>
      </c>
      <c r="K1105" s="363"/>
      <c r="L1105" s="360"/>
      <c r="M1105" s="360"/>
      <c r="N1105" s="361"/>
      <c r="O1105" s="361"/>
      <c r="P1105" s="361"/>
      <c r="Q1105" s="361"/>
      <c r="R1105" s="362"/>
      <c r="S1105" s="361"/>
      <c r="T1105" s="360" t="s">
        <v>132</v>
      </c>
    </row>
    <row r="1106" ht="34.5">
      <c r="A1106" s="360" t="s">
        <v>1066</v>
      </c>
      <c r="B1106" s="360" t="s">
        <v>1067</v>
      </c>
      <c r="C1106" s="360" t="s">
        <v>177</v>
      </c>
      <c r="D1106" s="360" t="s">
        <v>128</v>
      </c>
      <c r="E1106" s="360" t="s">
        <v>143</v>
      </c>
      <c r="F1106" s="361" t="s">
        <v>1076</v>
      </c>
      <c r="G1106" s="360" t="s">
        <v>145</v>
      </c>
      <c r="H1106" s="361"/>
      <c r="I1106" s="361"/>
      <c r="J1106" s="361" t="s">
        <v>1077</v>
      </c>
      <c r="K1106" s="363"/>
      <c r="L1106" s="360"/>
      <c r="M1106" s="360"/>
      <c r="N1106" s="361"/>
      <c r="O1106" s="361"/>
      <c r="P1106" s="361"/>
      <c r="Q1106" s="361"/>
      <c r="R1106" s="362"/>
      <c r="S1106" s="361"/>
      <c r="T1106" s="360" t="s">
        <v>132</v>
      </c>
    </row>
    <row r="1107" ht="34.5">
      <c r="A1107" s="360" t="s">
        <v>1066</v>
      </c>
      <c r="B1107" s="360" t="s">
        <v>1067</v>
      </c>
      <c r="C1107" s="360" t="s">
        <v>177</v>
      </c>
      <c r="D1107" s="360" t="s">
        <v>128</v>
      </c>
      <c r="E1107" s="360" t="s">
        <v>143</v>
      </c>
      <c r="F1107" s="361" t="s">
        <v>1076</v>
      </c>
      <c r="G1107" s="360" t="s">
        <v>145</v>
      </c>
      <c r="H1107" s="361"/>
      <c r="I1107" s="361"/>
      <c r="J1107" s="361" t="s">
        <v>1078</v>
      </c>
      <c r="K1107" s="363"/>
      <c r="L1107" s="360"/>
      <c r="M1107" s="360"/>
      <c r="N1107" s="361"/>
      <c r="O1107" s="361"/>
      <c r="P1107" s="361"/>
      <c r="Q1107" s="361"/>
      <c r="R1107" s="362"/>
      <c r="S1107" s="361"/>
      <c r="T1107" s="360" t="s">
        <v>132</v>
      </c>
    </row>
    <row r="1108" ht="34.5">
      <c r="A1108" s="360" t="s">
        <v>1066</v>
      </c>
      <c r="B1108" s="360" t="s">
        <v>1067</v>
      </c>
      <c r="C1108" s="360" t="s">
        <v>177</v>
      </c>
      <c r="D1108" s="360" t="s">
        <v>128</v>
      </c>
      <c r="E1108" s="360" t="s">
        <v>143</v>
      </c>
      <c r="F1108" s="361" t="s">
        <v>1076</v>
      </c>
      <c r="G1108" s="360" t="s">
        <v>145</v>
      </c>
      <c r="H1108" s="361"/>
      <c r="I1108" s="361"/>
      <c r="J1108" s="361" t="s">
        <v>1079</v>
      </c>
      <c r="K1108" s="363"/>
      <c r="L1108" s="360"/>
      <c r="M1108" s="360"/>
      <c r="N1108" s="361"/>
      <c r="O1108" s="361"/>
      <c r="P1108" s="361"/>
      <c r="Q1108" s="361"/>
      <c r="R1108" s="362"/>
      <c r="S1108" s="361"/>
      <c r="T1108" s="360" t="s">
        <v>132</v>
      </c>
    </row>
    <row r="1109" ht="34.5">
      <c r="A1109" s="360" t="s">
        <v>1066</v>
      </c>
      <c r="B1109" s="360" t="s">
        <v>1067</v>
      </c>
      <c r="C1109" s="360" t="s">
        <v>177</v>
      </c>
      <c r="D1109" s="360" t="s">
        <v>128</v>
      </c>
      <c r="E1109" s="360" t="s">
        <v>143</v>
      </c>
      <c r="F1109" s="361" t="s">
        <v>1076</v>
      </c>
      <c r="G1109" s="360" t="s">
        <v>145</v>
      </c>
      <c r="H1109" s="361"/>
      <c r="I1109" s="361"/>
      <c r="J1109" s="361" t="s">
        <v>1080</v>
      </c>
      <c r="K1109" s="363"/>
      <c r="L1109" s="360"/>
      <c r="M1109" s="360"/>
      <c r="N1109" s="361"/>
      <c r="O1109" s="361"/>
      <c r="P1109" s="361"/>
      <c r="Q1109" s="361"/>
      <c r="R1109" s="362"/>
      <c r="S1109" s="361"/>
      <c r="T1109" s="360" t="s">
        <v>132</v>
      </c>
    </row>
    <row r="1110" ht="34.5">
      <c r="A1110" s="360" t="s">
        <v>1066</v>
      </c>
      <c r="B1110" s="360" t="s">
        <v>1067</v>
      </c>
      <c r="C1110" s="360" t="s">
        <v>177</v>
      </c>
      <c r="D1110" s="360" t="s">
        <v>128</v>
      </c>
      <c r="E1110" s="360" t="s">
        <v>143</v>
      </c>
      <c r="F1110" s="361" t="s">
        <v>1076</v>
      </c>
      <c r="G1110" s="360" t="s">
        <v>145</v>
      </c>
      <c r="H1110" s="361"/>
      <c r="I1110" s="361"/>
      <c r="J1110" s="361" t="s">
        <v>1081</v>
      </c>
      <c r="K1110" s="363"/>
      <c r="L1110" s="360"/>
      <c r="M1110" s="360"/>
      <c r="N1110" s="361"/>
      <c r="O1110" s="361"/>
      <c r="P1110" s="361"/>
      <c r="Q1110" s="361"/>
      <c r="R1110" s="362"/>
      <c r="S1110" s="361"/>
      <c r="T1110" s="360" t="s">
        <v>132</v>
      </c>
    </row>
    <row r="1111" ht="34.5">
      <c r="A1111" s="360" t="s">
        <v>1066</v>
      </c>
      <c r="B1111" s="360" t="s">
        <v>1067</v>
      </c>
      <c r="C1111" s="360" t="s">
        <v>177</v>
      </c>
      <c r="D1111" s="360" t="s">
        <v>128</v>
      </c>
      <c r="E1111" s="360" t="s">
        <v>143</v>
      </c>
      <c r="F1111" s="361" t="s">
        <v>1076</v>
      </c>
      <c r="G1111" s="360" t="s">
        <v>145</v>
      </c>
      <c r="H1111" s="361"/>
      <c r="I1111" s="361"/>
      <c r="J1111" s="361" t="s">
        <v>1082</v>
      </c>
      <c r="K1111" s="363"/>
      <c r="L1111" s="360"/>
      <c r="M1111" s="360"/>
      <c r="N1111" s="361"/>
      <c r="O1111" s="361"/>
      <c r="P1111" s="361"/>
      <c r="Q1111" s="361"/>
      <c r="R1111" s="362"/>
      <c r="S1111" s="361"/>
      <c r="T1111" s="360" t="s">
        <v>132</v>
      </c>
    </row>
    <row r="1112" ht="34.5">
      <c r="A1112" s="360" t="s">
        <v>1066</v>
      </c>
      <c r="B1112" s="360" t="s">
        <v>1067</v>
      </c>
      <c r="C1112" s="360" t="s">
        <v>177</v>
      </c>
      <c r="D1112" s="360" t="s">
        <v>128</v>
      </c>
      <c r="E1112" s="360" t="s">
        <v>167</v>
      </c>
      <c r="F1112" s="361" t="s">
        <v>1083</v>
      </c>
      <c r="G1112" s="360" t="s">
        <v>145</v>
      </c>
      <c r="H1112" s="361"/>
      <c r="I1112" s="361"/>
      <c r="J1112" s="361" t="s">
        <v>1084</v>
      </c>
      <c r="K1112" s="363"/>
      <c r="L1112" s="360"/>
      <c r="M1112" s="360"/>
      <c r="N1112" s="361"/>
      <c r="O1112" s="361"/>
      <c r="P1112" s="361"/>
      <c r="Q1112" s="361"/>
      <c r="R1112" s="362"/>
      <c r="S1112" s="361"/>
      <c r="T1112" s="360" t="s">
        <v>132</v>
      </c>
    </row>
    <row r="1113" ht="34.5">
      <c r="A1113" s="360" t="s">
        <v>1066</v>
      </c>
      <c r="B1113" s="360" t="s">
        <v>1067</v>
      </c>
      <c r="C1113" s="360" t="s">
        <v>177</v>
      </c>
      <c r="D1113" s="360" t="s">
        <v>128</v>
      </c>
      <c r="E1113" s="360" t="s">
        <v>167</v>
      </c>
      <c r="F1113" s="361" t="s">
        <v>1083</v>
      </c>
      <c r="G1113" s="360" t="s">
        <v>145</v>
      </c>
      <c r="H1113" s="361"/>
      <c r="I1113" s="361"/>
      <c r="J1113" s="361" t="s">
        <v>1085</v>
      </c>
      <c r="K1113" s="363"/>
      <c r="L1113" s="360"/>
      <c r="M1113" s="360"/>
      <c r="N1113" s="361"/>
      <c r="O1113" s="361"/>
      <c r="P1113" s="361"/>
      <c r="Q1113" s="361"/>
      <c r="R1113" s="362"/>
      <c r="S1113" s="361"/>
      <c r="T1113" s="360" t="s">
        <v>132</v>
      </c>
    </row>
    <row r="1114" ht="34.5">
      <c r="A1114" s="360" t="s">
        <v>1066</v>
      </c>
      <c r="B1114" s="360" t="s">
        <v>1067</v>
      </c>
      <c r="C1114" s="360" t="s">
        <v>177</v>
      </c>
      <c r="D1114" s="360" t="s">
        <v>128</v>
      </c>
      <c r="E1114" s="360" t="s">
        <v>167</v>
      </c>
      <c r="F1114" s="361" t="s">
        <v>1083</v>
      </c>
      <c r="G1114" s="360" t="s">
        <v>145</v>
      </c>
      <c r="H1114" s="361"/>
      <c r="I1114" s="361"/>
      <c r="J1114" s="361" t="s">
        <v>1086</v>
      </c>
      <c r="K1114" s="363"/>
      <c r="L1114" s="360"/>
      <c r="M1114" s="360"/>
      <c r="N1114" s="361"/>
      <c r="O1114" s="361"/>
      <c r="P1114" s="361"/>
      <c r="Q1114" s="361"/>
      <c r="R1114" s="362"/>
      <c r="S1114" s="361"/>
      <c r="T1114" s="360" t="s">
        <v>132</v>
      </c>
    </row>
    <row r="1115" ht="34.5">
      <c r="A1115" s="360" t="s">
        <v>1066</v>
      </c>
      <c r="B1115" s="360" t="s">
        <v>1067</v>
      </c>
      <c r="C1115" s="360" t="s">
        <v>177</v>
      </c>
      <c r="D1115" s="360" t="s">
        <v>128</v>
      </c>
      <c r="E1115" s="360" t="s">
        <v>167</v>
      </c>
      <c r="F1115" s="361" t="s">
        <v>1083</v>
      </c>
      <c r="G1115" s="360" t="s">
        <v>145</v>
      </c>
      <c r="H1115" s="361"/>
      <c r="I1115" s="361"/>
      <c r="J1115" s="361" t="s">
        <v>1087</v>
      </c>
      <c r="K1115" s="363"/>
      <c r="L1115" s="360"/>
      <c r="M1115" s="360"/>
      <c r="N1115" s="361"/>
      <c r="O1115" s="361"/>
      <c r="P1115" s="361"/>
      <c r="Q1115" s="361"/>
      <c r="R1115" s="362"/>
      <c r="S1115" s="361"/>
      <c r="T1115" s="360" t="s">
        <v>132</v>
      </c>
    </row>
    <row r="1116" ht="34.5">
      <c r="A1116" s="360" t="s">
        <v>1066</v>
      </c>
      <c r="B1116" s="360" t="s">
        <v>1067</v>
      </c>
      <c r="C1116" s="360" t="s">
        <v>177</v>
      </c>
      <c r="D1116" s="360" t="s">
        <v>128</v>
      </c>
      <c r="E1116" s="360" t="s">
        <v>167</v>
      </c>
      <c r="F1116" s="361" t="s">
        <v>1083</v>
      </c>
      <c r="G1116" s="360" t="s">
        <v>145</v>
      </c>
      <c r="H1116" s="361"/>
      <c r="I1116" s="361"/>
      <c r="J1116" s="361" t="s">
        <v>1088</v>
      </c>
      <c r="K1116" s="363"/>
      <c r="L1116" s="360"/>
      <c r="M1116" s="360"/>
      <c r="N1116" s="361"/>
      <c r="O1116" s="361"/>
      <c r="P1116" s="361"/>
      <c r="Q1116" s="361"/>
      <c r="R1116" s="362"/>
      <c r="S1116" s="361"/>
      <c r="T1116" s="360" t="s">
        <v>132</v>
      </c>
    </row>
    <row r="1117" ht="34.5">
      <c r="A1117" s="360" t="s">
        <v>1066</v>
      </c>
      <c r="B1117" s="360" t="s">
        <v>1067</v>
      </c>
      <c r="C1117" s="360" t="s">
        <v>177</v>
      </c>
      <c r="D1117" s="360" t="s">
        <v>128</v>
      </c>
      <c r="E1117" s="360" t="s">
        <v>167</v>
      </c>
      <c r="F1117" s="361" t="s">
        <v>1083</v>
      </c>
      <c r="G1117" s="360" t="s">
        <v>145</v>
      </c>
      <c r="H1117" s="361"/>
      <c r="I1117" s="361"/>
      <c r="J1117" s="361" t="s">
        <v>1089</v>
      </c>
      <c r="K1117" s="363"/>
      <c r="L1117" s="360"/>
      <c r="M1117" s="360"/>
      <c r="N1117" s="361"/>
      <c r="O1117" s="361"/>
      <c r="P1117" s="361"/>
      <c r="Q1117" s="361"/>
      <c r="R1117" s="362"/>
      <c r="S1117" s="361"/>
      <c r="T1117" s="360" t="s">
        <v>132</v>
      </c>
    </row>
    <row r="1118" ht="34.5">
      <c r="A1118" s="360" t="s">
        <v>1066</v>
      </c>
      <c r="B1118" s="360" t="s">
        <v>1067</v>
      </c>
      <c r="C1118" s="360" t="s">
        <v>177</v>
      </c>
      <c r="D1118" s="360" t="s">
        <v>128</v>
      </c>
      <c r="E1118" s="360" t="s">
        <v>167</v>
      </c>
      <c r="F1118" s="361" t="s">
        <v>1083</v>
      </c>
      <c r="G1118" s="360" t="s">
        <v>145</v>
      </c>
      <c r="H1118" s="361"/>
      <c r="I1118" s="361"/>
      <c r="J1118" s="361" t="s">
        <v>173</v>
      </c>
      <c r="K1118" s="363"/>
      <c r="L1118" s="360"/>
      <c r="M1118" s="360"/>
      <c r="N1118" s="361"/>
      <c r="O1118" s="361"/>
      <c r="P1118" s="361"/>
      <c r="Q1118" s="361"/>
      <c r="R1118" s="362"/>
      <c r="S1118" s="361"/>
      <c r="T1118" s="360" t="s">
        <v>132</v>
      </c>
    </row>
    <row r="1119" ht="34.5">
      <c r="A1119" s="360" t="s">
        <v>1066</v>
      </c>
      <c r="B1119" s="360" t="s">
        <v>1067</v>
      </c>
      <c r="C1119" s="360" t="s">
        <v>189</v>
      </c>
      <c r="D1119" s="360" t="s">
        <v>128</v>
      </c>
      <c r="E1119" s="360" t="s">
        <v>167</v>
      </c>
      <c r="F1119" s="361" t="s">
        <v>1090</v>
      </c>
      <c r="G1119" s="360" t="s">
        <v>145</v>
      </c>
      <c r="H1119" s="361"/>
      <c r="I1119" s="361"/>
      <c r="J1119" s="361" t="s">
        <v>1091</v>
      </c>
      <c r="K1119" s="363"/>
      <c r="L1119" s="360"/>
      <c r="M1119" s="360"/>
      <c r="N1119" s="361"/>
      <c r="O1119" s="361"/>
      <c r="P1119" s="361"/>
      <c r="Q1119" s="361"/>
      <c r="R1119" s="362"/>
      <c r="S1119" s="361"/>
      <c r="T1119" s="360" t="s">
        <v>132</v>
      </c>
    </row>
    <row r="1120" ht="34.5">
      <c r="A1120" s="360" t="s">
        <v>1066</v>
      </c>
      <c r="B1120" s="360" t="s">
        <v>1067</v>
      </c>
      <c r="C1120" s="360" t="s">
        <v>189</v>
      </c>
      <c r="D1120" s="360" t="s">
        <v>128</v>
      </c>
      <c r="E1120" s="360" t="s">
        <v>167</v>
      </c>
      <c r="F1120" s="361" t="s">
        <v>1090</v>
      </c>
      <c r="G1120" s="360" t="s">
        <v>145</v>
      </c>
      <c r="H1120" s="361"/>
      <c r="I1120" s="361"/>
      <c r="J1120" s="361" t="s">
        <v>893</v>
      </c>
      <c r="K1120" s="363"/>
      <c r="L1120" s="360"/>
      <c r="M1120" s="360"/>
      <c r="N1120" s="361"/>
      <c r="O1120" s="361"/>
      <c r="P1120" s="361"/>
      <c r="Q1120" s="361"/>
      <c r="R1120" s="362"/>
      <c r="S1120" s="361"/>
      <c r="T1120" s="360" t="s">
        <v>132</v>
      </c>
    </row>
    <row r="1121" ht="34.5">
      <c r="A1121" s="360" t="s">
        <v>1066</v>
      </c>
      <c r="B1121" s="360" t="s">
        <v>1067</v>
      </c>
      <c r="C1121" s="360" t="s">
        <v>189</v>
      </c>
      <c r="D1121" s="360" t="s">
        <v>128</v>
      </c>
      <c r="E1121" s="360" t="s">
        <v>167</v>
      </c>
      <c r="F1121" s="361" t="s">
        <v>1090</v>
      </c>
      <c r="G1121" s="360" t="s">
        <v>145</v>
      </c>
      <c r="H1121" s="361"/>
      <c r="I1121" s="361"/>
      <c r="J1121" s="361" t="s">
        <v>894</v>
      </c>
      <c r="K1121" s="363"/>
      <c r="L1121" s="360"/>
      <c r="M1121" s="360"/>
      <c r="N1121" s="361"/>
      <c r="O1121" s="361"/>
      <c r="P1121" s="361"/>
      <c r="Q1121" s="361"/>
      <c r="R1121" s="362"/>
      <c r="S1121" s="361"/>
      <c r="T1121" s="360" t="s">
        <v>132</v>
      </c>
    </row>
    <row r="1122" ht="34.5">
      <c r="A1122" s="360" t="s">
        <v>1066</v>
      </c>
      <c r="B1122" s="360" t="s">
        <v>1067</v>
      </c>
      <c r="C1122" s="360" t="s">
        <v>189</v>
      </c>
      <c r="D1122" s="360" t="s">
        <v>128</v>
      </c>
      <c r="E1122" s="360" t="s">
        <v>167</v>
      </c>
      <c r="F1122" s="361" t="s">
        <v>1090</v>
      </c>
      <c r="G1122" s="360" t="s">
        <v>145</v>
      </c>
      <c r="H1122" s="361"/>
      <c r="I1122" s="361"/>
      <c r="J1122" s="361" t="s">
        <v>895</v>
      </c>
      <c r="K1122" s="363"/>
      <c r="L1122" s="360"/>
      <c r="M1122" s="360"/>
      <c r="N1122" s="361"/>
      <c r="O1122" s="361"/>
      <c r="P1122" s="361"/>
      <c r="Q1122" s="361"/>
      <c r="R1122" s="362"/>
      <c r="S1122" s="361"/>
      <c r="T1122" s="360" t="s">
        <v>132</v>
      </c>
    </row>
    <row r="1123" ht="34.5">
      <c r="A1123" s="360" t="s">
        <v>1066</v>
      </c>
      <c r="B1123" s="360" t="s">
        <v>1067</v>
      </c>
      <c r="C1123" s="360" t="s">
        <v>189</v>
      </c>
      <c r="D1123" s="360" t="s">
        <v>128</v>
      </c>
      <c r="E1123" s="360" t="s">
        <v>167</v>
      </c>
      <c r="F1123" s="361" t="s">
        <v>1090</v>
      </c>
      <c r="G1123" s="360" t="s">
        <v>145</v>
      </c>
      <c r="H1123" s="361"/>
      <c r="I1123" s="361"/>
      <c r="J1123" s="361" t="s">
        <v>1092</v>
      </c>
      <c r="K1123" s="363"/>
      <c r="L1123" s="360"/>
      <c r="M1123" s="360"/>
      <c r="N1123" s="361"/>
      <c r="O1123" s="361"/>
      <c r="P1123" s="361"/>
      <c r="Q1123" s="361"/>
      <c r="R1123" s="362"/>
      <c r="S1123" s="361"/>
      <c r="T1123" s="360" t="s">
        <v>132</v>
      </c>
    </row>
    <row r="1124" ht="34.5">
      <c r="A1124" s="360" t="s">
        <v>1066</v>
      </c>
      <c r="B1124" s="360" t="s">
        <v>1067</v>
      </c>
      <c r="C1124" s="360" t="s">
        <v>189</v>
      </c>
      <c r="D1124" s="360" t="s">
        <v>128</v>
      </c>
      <c r="E1124" s="360" t="s">
        <v>167</v>
      </c>
      <c r="F1124" s="361" t="s">
        <v>1090</v>
      </c>
      <c r="G1124" s="360" t="s">
        <v>145</v>
      </c>
      <c r="H1124" s="361"/>
      <c r="I1124" s="361"/>
      <c r="J1124" s="361" t="s">
        <v>897</v>
      </c>
      <c r="K1124" s="363"/>
      <c r="L1124" s="360"/>
      <c r="M1124" s="360"/>
      <c r="N1124" s="361"/>
      <c r="O1124" s="361"/>
      <c r="P1124" s="361"/>
      <c r="Q1124" s="361"/>
      <c r="R1124" s="362"/>
      <c r="S1124" s="361"/>
      <c r="T1124" s="360" t="s">
        <v>132</v>
      </c>
    </row>
    <row r="1125" ht="34.5">
      <c r="A1125" s="360" t="s">
        <v>1066</v>
      </c>
      <c r="B1125" s="360" t="s">
        <v>1067</v>
      </c>
      <c r="C1125" s="360" t="s">
        <v>189</v>
      </c>
      <c r="D1125" s="360" t="s">
        <v>128</v>
      </c>
      <c r="E1125" s="360" t="s">
        <v>167</v>
      </c>
      <c r="F1125" s="361" t="s">
        <v>1090</v>
      </c>
      <c r="G1125" s="360" t="s">
        <v>145</v>
      </c>
      <c r="H1125" s="361"/>
      <c r="I1125" s="361"/>
      <c r="J1125" s="361" t="s">
        <v>1093</v>
      </c>
      <c r="K1125" s="363"/>
      <c r="L1125" s="360"/>
      <c r="M1125" s="360"/>
      <c r="N1125" s="361"/>
      <c r="O1125" s="361"/>
      <c r="P1125" s="361"/>
      <c r="Q1125" s="361"/>
      <c r="R1125" s="362"/>
      <c r="S1125" s="361"/>
      <c r="T1125" s="360" t="s">
        <v>132</v>
      </c>
    </row>
    <row r="1126" ht="34.5">
      <c r="A1126" s="360" t="s">
        <v>1066</v>
      </c>
      <c r="B1126" s="360" t="s">
        <v>1067</v>
      </c>
      <c r="C1126" s="360" t="s">
        <v>189</v>
      </c>
      <c r="D1126" s="360" t="s">
        <v>128</v>
      </c>
      <c r="E1126" s="360" t="s">
        <v>167</v>
      </c>
      <c r="F1126" s="361" t="s">
        <v>1090</v>
      </c>
      <c r="G1126" s="360" t="s">
        <v>145</v>
      </c>
      <c r="H1126" s="361"/>
      <c r="I1126" s="361"/>
      <c r="J1126" s="361" t="s">
        <v>1094</v>
      </c>
      <c r="K1126" s="363"/>
      <c r="L1126" s="360"/>
      <c r="M1126" s="360"/>
      <c r="N1126" s="361"/>
      <c r="O1126" s="361"/>
      <c r="P1126" s="361"/>
      <c r="Q1126" s="361"/>
      <c r="R1126" s="362"/>
      <c r="S1126" s="361"/>
      <c r="T1126" s="360" t="s">
        <v>132</v>
      </c>
    </row>
    <row r="1127" ht="34.5">
      <c r="A1127" s="360" t="s">
        <v>1066</v>
      </c>
      <c r="B1127" s="360" t="s">
        <v>1067</v>
      </c>
      <c r="C1127" s="360" t="s">
        <v>189</v>
      </c>
      <c r="D1127" s="360" t="s">
        <v>128</v>
      </c>
      <c r="E1127" s="360" t="s">
        <v>167</v>
      </c>
      <c r="F1127" s="361" t="s">
        <v>1090</v>
      </c>
      <c r="G1127" s="360" t="s">
        <v>145</v>
      </c>
      <c r="H1127" s="361"/>
      <c r="I1127" s="361"/>
      <c r="J1127" s="361" t="s">
        <v>1095</v>
      </c>
      <c r="K1127" s="363"/>
      <c r="L1127" s="360"/>
      <c r="M1127" s="360"/>
      <c r="N1127" s="361"/>
      <c r="O1127" s="361"/>
      <c r="P1127" s="361"/>
      <c r="Q1127" s="361"/>
      <c r="R1127" s="362"/>
      <c r="S1127" s="361"/>
      <c r="T1127" s="360" t="s">
        <v>132</v>
      </c>
    </row>
    <row r="1128" ht="34.5">
      <c r="A1128" s="360" t="s">
        <v>1066</v>
      </c>
      <c r="B1128" s="360" t="s">
        <v>1067</v>
      </c>
      <c r="C1128" s="360" t="s">
        <v>189</v>
      </c>
      <c r="D1128" s="360" t="s">
        <v>128</v>
      </c>
      <c r="E1128" s="360" t="s">
        <v>167</v>
      </c>
      <c r="F1128" s="361" t="s">
        <v>1090</v>
      </c>
      <c r="G1128" s="360" t="s">
        <v>145</v>
      </c>
      <c r="H1128" s="361"/>
      <c r="I1128" s="361"/>
      <c r="J1128" s="361" t="s">
        <v>1096</v>
      </c>
      <c r="K1128" s="363"/>
      <c r="L1128" s="360"/>
      <c r="M1128" s="360"/>
      <c r="N1128" s="361"/>
      <c r="O1128" s="361"/>
      <c r="P1128" s="361"/>
      <c r="Q1128" s="361"/>
      <c r="R1128" s="362"/>
      <c r="S1128" s="361"/>
      <c r="T1128" s="360" t="s">
        <v>132</v>
      </c>
    </row>
    <row r="1129" ht="34.5">
      <c r="A1129" s="360" t="s">
        <v>1066</v>
      </c>
      <c r="B1129" s="360" t="s">
        <v>1067</v>
      </c>
      <c r="C1129" s="360" t="s">
        <v>201</v>
      </c>
      <c r="D1129" s="360" t="s">
        <v>128</v>
      </c>
      <c r="E1129" s="360" t="s">
        <v>167</v>
      </c>
      <c r="F1129" s="361" t="s">
        <v>1090</v>
      </c>
      <c r="G1129" s="360" t="s">
        <v>145</v>
      </c>
      <c r="H1129" s="361"/>
      <c r="I1129" s="361"/>
      <c r="J1129" s="361" t="s">
        <v>1097</v>
      </c>
      <c r="K1129" s="363"/>
      <c r="L1129" s="360"/>
      <c r="M1129" s="360"/>
      <c r="N1129" s="361"/>
      <c r="O1129" s="361"/>
      <c r="P1129" s="361"/>
      <c r="Q1129" s="361"/>
      <c r="R1129" s="362"/>
      <c r="S1129" s="361"/>
      <c r="T1129" s="360" t="s">
        <v>132</v>
      </c>
    </row>
    <row r="1130" ht="34.5">
      <c r="A1130" s="360" t="s">
        <v>1066</v>
      </c>
      <c r="B1130" s="360" t="s">
        <v>1067</v>
      </c>
      <c r="C1130" s="360" t="s">
        <v>201</v>
      </c>
      <c r="D1130" s="360" t="s">
        <v>128</v>
      </c>
      <c r="E1130" s="360" t="s">
        <v>167</v>
      </c>
      <c r="F1130" s="361" t="s">
        <v>1090</v>
      </c>
      <c r="G1130" s="360" t="s">
        <v>145</v>
      </c>
      <c r="H1130" s="361"/>
      <c r="I1130" s="361"/>
      <c r="J1130" s="361" t="s">
        <v>902</v>
      </c>
      <c r="K1130" s="363"/>
      <c r="L1130" s="360"/>
      <c r="M1130" s="360"/>
      <c r="N1130" s="361"/>
      <c r="O1130" s="361"/>
      <c r="P1130" s="361"/>
      <c r="Q1130" s="361"/>
      <c r="R1130" s="362"/>
      <c r="S1130" s="361"/>
      <c r="T1130" s="360" t="s">
        <v>132</v>
      </c>
    </row>
    <row r="1131" ht="34.5">
      <c r="A1131" s="360" t="s">
        <v>1066</v>
      </c>
      <c r="B1131" s="360" t="s">
        <v>1067</v>
      </c>
      <c r="C1131" s="360" t="s">
        <v>201</v>
      </c>
      <c r="D1131" s="360" t="s">
        <v>128</v>
      </c>
      <c r="E1131" s="360" t="s">
        <v>167</v>
      </c>
      <c r="F1131" s="361" t="s">
        <v>1090</v>
      </c>
      <c r="G1131" s="360" t="s">
        <v>145</v>
      </c>
      <c r="H1131" s="361"/>
      <c r="I1131" s="361"/>
      <c r="J1131" s="361" t="s">
        <v>1098</v>
      </c>
      <c r="K1131" s="363"/>
      <c r="L1131" s="360"/>
      <c r="M1131" s="360"/>
      <c r="N1131" s="361"/>
      <c r="O1131" s="361"/>
      <c r="P1131" s="361"/>
      <c r="Q1131" s="361"/>
      <c r="R1131" s="362"/>
      <c r="S1131" s="361"/>
      <c r="T1131" s="360" t="s">
        <v>132</v>
      </c>
    </row>
    <row r="1132" ht="34.5">
      <c r="A1132" s="360" t="s">
        <v>1066</v>
      </c>
      <c r="B1132" s="360" t="s">
        <v>1067</v>
      </c>
      <c r="C1132" s="360" t="s">
        <v>201</v>
      </c>
      <c r="D1132" s="360" t="s">
        <v>128</v>
      </c>
      <c r="E1132" s="360" t="s">
        <v>167</v>
      </c>
      <c r="F1132" s="361" t="s">
        <v>1090</v>
      </c>
      <c r="G1132" s="360" t="s">
        <v>145</v>
      </c>
      <c r="H1132" s="361"/>
      <c r="I1132" s="361"/>
      <c r="J1132" s="361" t="s">
        <v>1099</v>
      </c>
      <c r="K1132" s="363"/>
      <c r="L1132" s="360"/>
      <c r="M1132" s="360"/>
      <c r="N1132" s="361"/>
      <c r="O1132" s="361"/>
      <c r="P1132" s="361"/>
      <c r="Q1132" s="361"/>
      <c r="R1132" s="362"/>
      <c r="S1132" s="361"/>
      <c r="T1132" s="360" t="s">
        <v>132</v>
      </c>
    </row>
    <row r="1133" ht="34.5">
      <c r="A1133" s="360" t="s">
        <v>1066</v>
      </c>
      <c r="B1133" s="360" t="s">
        <v>1067</v>
      </c>
      <c r="C1133" s="360" t="s">
        <v>201</v>
      </c>
      <c r="D1133" s="360" t="s">
        <v>128</v>
      </c>
      <c r="E1133" s="360" t="s">
        <v>167</v>
      </c>
      <c r="F1133" s="361" t="s">
        <v>1090</v>
      </c>
      <c r="G1133" s="360" t="s">
        <v>145</v>
      </c>
      <c r="H1133" s="361"/>
      <c r="I1133" s="361"/>
      <c r="J1133" s="361" t="s">
        <v>1100</v>
      </c>
      <c r="K1133" s="363"/>
      <c r="L1133" s="360"/>
      <c r="M1133" s="360"/>
      <c r="N1133" s="361"/>
      <c r="O1133" s="361"/>
      <c r="P1133" s="361"/>
      <c r="Q1133" s="361"/>
      <c r="R1133" s="362"/>
      <c r="S1133" s="361"/>
      <c r="T1133" s="360" t="s">
        <v>132</v>
      </c>
    </row>
    <row r="1134" ht="34.5">
      <c r="A1134" s="360" t="s">
        <v>1066</v>
      </c>
      <c r="B1134" s="360" t="s">
        <v>1067</v>
      </c>
      <c r="C1134" s="360" t="s">
        <v>201</v>
      </c>
      <c r="D1134" s="360" t="s">
        <v>128</v>
      </c>
      <c r="E1134" s="360" t="s">
        <v>167</v>
      </c>
      <c r="F1134" s="361" t="s">
        <v>1090</v>
      </c>
      <c r="G1134" s="360" t="s">
        <v>145</v>
      </c>
      <c r="H1134" s="361"/>
      <c r="I1134" s="361"/>
      <c r="J1134" s="361" t="s">
        <v>1101</v>
      </c>
      <c r="K1134" s="363"/>
      <c r="L1134" s="360"/>
      <c r="M1134" s="360"/>
      <c r="N1134" s="361"/>
      <c r="O1134" s="361"/>
      <c r="P1134" s="361"/>
      <c r="Q1134" s="361"/>
      <c r="R1134" s="362"/>
      <c r="S1134" s="361"/>
      <c r="T1134" s="360" t="s">
        <v>132</v>
      </c>
    </row>
    <row r="1135" ht="34.5">
      <c r="A1135" s="360" t="s">
        <v>1066</v>
      </c>
      <c r="B1135" s="360" t="s">
        <v>1067</v>
      </c>
      <c r="C1135" s="360" t="s">
        <v>201</v>
      </c>
      <c r="D1135" s="360" t="s">
        <v>128</v>
      </c>
      <c r="E1135" s="360" t="s">
        <v>167</v>
      </c>
      <c r="F1135" s="361" t="s">
        <v>1090</v>
      </c>
      <c r="G1135" s="360" t="s">
        <v>145</v>
      </c>
      <c r="H1135" s="361"/>
      <c r="I1135" s="361"/>
      <c r="J1135" s="361" t="s">
        <v>1102</v>
      </c>
      <c r="K1135" s="363"/>
      <c r="L1135" s="360"/>
      <c r="M1135" s="360"/>
      <c r="N1135" s="361"/>
      <c r="O1135" s="361"/>
      <c r="P1135" s="361"/>
      <c r="Q1135" s="361"/>
      <c r="R1135" s="362"/>
      <c r="S1135" s="361"/>
      <c r="T1135" s="360" t="s">
        <v>132</v>
      </c>
    </row>
    <row r="1136" ht="34.5">
      <c r="A1136" s="360" t="s">
        <v>1066</v>
      </c>
      <c r="B1136" s="360" t="s">
        <v>1067</v>
      </c>
      <c r="C1136" s="360" t="s">
        <v>201</v>
      </c>
      <c r="D1136" s="360" t="s">
        <v>128</v>
      </c>
      <c r="E1136" s="360" t="s">
        <v>167</v>
      </c>
      <c r="F1136" s="361" t="s">
        <v>1090</v>
      </c>
      <c r="G1136" s="360" t="s">
        <v>145</v>
      </c>
      <c r="H1136" s="361"/>
      <c r="I1136" s="361"/>
      <c r="J1136" s="361" t="s">
        <v>186</v>
      </c>
      <c r="K1136" s="363"/>
      <c r="L1136" s="360"/>
      <c r="M1136" s="360"/>
      <c r="N1136" s="361"/>
      <c r="O1136" s="361"/>
      <c r="P1136" s="361"/>
      <c r="Q1136" s="361"/>
      <c r="R1136" s="362"/>
      <c r="S1136" s="361"/>
      <c r="T1136" s="360" t="s">
        <v>132</v>
      </c>
    </row>
    <row r="1137" ht="34.5">
      <c r="A1137" s="360" t="s">
        <v>1066</v>
      </c>
      <c r="B1137" s="360" t="s">
        <v>1067</v>
      </c>
      <c r="C1137" s="360" t="s">
        <v>201</v>
      </c>
      <c r="D1137" s="360" t="s">
        <v>128</v>
      </c>
      <c r="E1137" s="360" t="s">
        <v>167</v>
      </c>
      <c r="F1137" s="361" t="s">
        <v>1090</v>
      </c>
      <c r="G1137" s="360" t="s">
        <v>145</v>
      </c>
      <c r="H1137" s="361"/>
      <c r="I1137" s="361"/>
      <c r="J1137" s="361" t="s">
        <v>909</v>
      </c>
      <c r="K1137" s="363"/>
      <c r="L1137" s="360"/>
      <c r="M1137" s="360"/>
      <c r="N1137" s="361"/>
      <c r="O1137" s="361"/>
      <c r="P1137" s="361"/>
      <c r="Q1137" s="361"/>
      <c r="R1137" s="362"/>
      <c r="S1137" s="361"/>
      <c r="T1137" s="360" t="s">
        <v>132</v>
      </c>
    </row>
    <row r="1138" ht="34.5">
      <c r="A1138" s="360" t="s">
        <v>1066</v>
      </c>
      <c r="B1138" s="360" t="s">
        <v>1067</v>
      </c>
      <c r="C1138" s="360" t="s">
        <v>201</v>
      </c>
      <c r="D1138" s="360" t="s">
        <v>128</v>
      </c>
      <c r="E1138" s="360" t="s">
        <v>167</v>
      </c>
      <c r="F1138" s="361" t="s">
        <v>1090</v>
      </c>
      <c r="G1138" s="360" t="s">
        <v>145</v>
      </c>
      <c r="H1138" s="361"/>
      <c r="I1138" s="361"/>
      <c r="J1138" s="361" t="s">
        <v>1103</v>
      </c>
      <c r="K1138" s="363"/>
      <c r="L1138" s="360"/>
      <c r="M1138" s="360"/>
      <c r="N1138" s="361"/>
      <c r="O1138" s="361"/>
      <c r="P1138" s="361"/>
      <c r="Q1138" s="361"/>
      <c r="R1138" s="362"/>
      <c r="S1138" s="361"/>
      <c r="T1138" s="360" t="s">
        <v>132</v>
      </c>
    </row>
    <row r="1139" ht="34.5">
      <c r="A1139" s="360" t="s">
        <v>1066</v>
      </c>
      <c r="B1139" s="360" t="s">
        <v>1067</v>
      </c>
      <c r="C1139" s="360" t="s">
        <v>201</v>
      </c>
      <c r="D1139" s="360" t="s">
        <v>128</v>
      </c>
      <c r="E1139" s="360" t="s">
        <v>167</v>
      </c>
      <c r="F1139" s="361" t="s">
        <v>1090</v>
      </c>
      <c r="G1139" s="360" t="s">
        <v>145</v>
      </c>
      <c r="H1139" s="361"/>
      <c r="I1139" s="361"/>
      <c r="J1139" s="361" t="s">
        <v>1104</v>
      </c>
      <c r="K1139" s="363"/>
      <c r="L1139" s="360"/>
      <c r="M1139" s="360"/>
      <c r="N1139" s="361"/>
      <c r="O1139" s="361"/>
      <c r="P1139" s="361"/>
      <c r="Q1139" s="361"/>
      <c r="R1139" s="362"/>
      <c r="S1139" s="361"/>
      <c r="T1139" s="360" t="s">
        <v>132</v>
      </c>
    </row>
    <row r="1140" ht="34.5">
      <c r="A1140" s="360" t="s">
        <v>1066</v>
      </c>
      <c r="B1140" s="360" t="s">
        <v>1067</v>
      </c>
      <c r="C1140" s="360" t="s">
        <v>201</v>
      </c>
      <c r="D1140" s="360" t="s">
        <v>128</v>
      </c>
      <c r="E1140" s="360" t="s">
        <v>167</v>
      </c>
      <c r="F1140" s="361" t="s">
        <v>1090</v>
      </c>
      <c r="G1140" s="360" t="s">
        <v>145</v>
      </c>
      <c r="H1140" s="361"/>
      <c r="I1140" s="361"/>
      <c r="J1140" s="361" t="s">
        <v>192</v>
      </c>
      <c r="K1140" s="363"/>
      <c r="L1140" s="360"/>
      <c r="M1140" s="360"/>
      <c r="N1140" s="361"/>
      <c r="O1140" s="361"/>
      <c r="P1140" s="361"/>
      <c r="Q1140" s="361"/>
      <c r="R1140" s="362"/>
      <c r="S1140" s="361"/>
      <c r="T1140" s="360" t="s">
        <v>132</v>
      </c>
    </row>
    <row r="1141" ht="34.5">
      <c r="A1141" s="360" t="s">
        <v>1066</v>
      </c>
      <c r="B1141" s="360" t="s">
        <v>1067</v>
      </c>
      <c r="C1141" s="360" t="s">
        <v>211</v>
      </c>
      <c r="D1141" s="360" t="s">
        <v>128</v>
      </c>
      <c r="E1141" s="360" t="s">
        <v>167</v>
      </c>
      <c r="F1141" s="361" t="s">
        <v>1090</v>
      </c>
      <c r="G1141" s="360" t="s">
        <v>145</v>
      </c>
      <c r="H1141" s="361"/>
      <c r="I1141" s="361"/>
      <c r="J1141" s="361" t="s">
        <v>1105</v>
      </c>
      <c r="K1141" s="363"/>
      <c r="L1141" s="360"/>
      <c r="M1141" s="360"/>
      <c r="N1141" s="361"/>
      <c r="O1141" s="361"/>
      <c r="P1141" s="361"/>
      <c r="Q1141" s="361"/>
      <c r="R1141" s="362"/>
      <c r="S1141" s="361"/>
      <c r="T1141" s="360" t="s">
        <v>132</v>
      </c>
    </row>
    <row r="1142" ht="34.5">
      <c r="A1142" s="360" t="s">
        <v>1066</v>
      </c>
      <c r="B1142" s="360" t="s">
        <v>1067</v>
      </c>
      <c r="C1142" s="360" t="s">
        <v>211</v>
      </c>
      <c r="D1142" s="360" t="s">
        <v>128</v>
      </c>
      <c r="E1142" s="360" t="s">
        <v>167</v>
      </c>
      <c r="F1142" s="361" t="s">
        <v>1090</v>
      </c>
      <c r="G1142" s="360" t="s">
        <v>145</v>
      </c>
      <c r="H1142" s="361"/>
      <c r="I1142" s="361"/>
      <c r="J1142" s="361" t="s">
        <v>202</v>
      </c>
      <c r="K1142" s="363"/>
      <c r="L1142" s="360"/>
      <c r="M1142" s="360"/>
      <c r="N1142" s="361"/>
      <c r="O1142" s="361"/>
      <c r="P1142" s="361"/>
      <c r="Q1142" s="361"/>
      <c r="R1142" s="362"/>
      <c r="S1142" s="361"/>
      <c r="T1142" s="360" t="s">
        <v>132</v>
      </c>
    </row>
    <row r="1143" ht="34.5">
      <c r="A1143" s="360" t="s">
        <v>1066</v>
      </c>
      <c r="B1143" s="360" t="s">
        <v>1067</v>
      </c>
      <c r="C1143" s="360" t="s">
        <v>211</v>
      </c>
      <c r="D1143" s="360" t="s">
        <v>128</v>
      </c>
      <c r="E1143" s="360" t="s">
        <v>167</v>
      </c>
      <c r="F1143" s="361" t="s">
        <v>1090</v>
      </c>
      <c r="G1143" s="360" t="s">
        <v>145</v>
      </c>
      <c r="H1143" s="361"/>
      <c r="I1143" s="361"/>
      <c r="J1143" s="361" t="s">
        <v>910</v>
      </c>
      <c r="K1143" s="363"/>
      <c r="L1143" s="360"/>
      <c r="M1143" s="360"/>
      <c r="N1143" s="361"/>
      <c r="O1143" s="361"/>
      <c r="P1143" s="361"/>
      <c r="Q1143" s="361"/>
      <c r="R1143" s="362"/>
      <c r="S1143" s="361"/>
      <c r="T1143" s="360" t="s">
        <v>132</v>
      </c>
    </row>
    <row r="1144" ht="34.5">
      <c r="A1144" s="360" t="s">
        <v>1066</v>
      </c>
      <c r="B1144" s="360" t="s">
        <v>1067</v>
      </c>
      <c r="C1144" s="360" t="s">
        <v>211</v>
      </c>
      <c r="D1144" s="360" t="s">
        <v>128</v>
      </c>
      <c r="E1144" s="360" t="s">
        <v>167</v>
      </c>
      <c r="F1144" s="361" t="s">
        <v>1090</v>
      </c>
      <c r="G1144" s="360" t="s">
        <v>145</v>
      </c>
      <c r="H1144" s="361"/>
      <c r="I1144" s="361"/>
      <c r="J1144" s="361" t="s">
        <v>1106</v>
      </c>
      <c r="K1144" s="363"/>
      <c r="L1144" s="360"/>
      <c r="M1144" s="360"/>
      <c r="N1144" s="361"/>
      <c r="O1144" s="361"/>
      <c r="P1144" s="361"/>
      <c r="Q1144" s="361"/>
      <c r="R1144" s="362"/>
      <c r="S1144" s="361"/>
      <c r="T1144" s="360" t="s">
        <v>132</v>
      </c>
    </row>
    <row r="1145" ht="34.5">
      <c r="A1145" s="360" t="s">
        <v>1066</v>
      </c>
      <c r="B1145" s="360" t="s">
        <v>1067</v>
      </c>
      <c r="C1145" s="360" t="s">
        <v>211</v>
      </c>
      <c r="D1145" s="360" t="s">
        <v>128</v>
      </c>
      <c r="E1145" s="360" t="s">
        <v>167</v>
      </c>
      <c r="F1145" s="361" t="s">
        <v>1090</v>
      </c>
      <c r="G1145" s="360" t="s">
        <v>145</v>
      </c>
      <c r="H1145" s="361"/>
      <c r="I1145" s="361"/>
      <c r="J1145" s="361" t="s">
        <v>197</v>
      </c>
      <c r="K1145" s="363"/>
      <c r="L1145" s="360"/>
      <c r="M1145" s="360"/>
      <c r="N1145" s="361"/>
      <c r="O1145" s="361"/>
      <c r="P1145" s="361"/>
      <c r="Q1145" s="361"/>
      <c r="R1145" s="362"/>
      <c r="S1145" s="361"/>
      <c r="T1145" s="360" t="s">
        <v>132</v>
      </c>
    </row>
    <row r="1146" ht="34.5">
      <c r="A1146" s="360" t="s">
        <v>1066</v>
      </c>
      <c r="B1146" s="360" t="s">
        <v>1067</v>
      </c>
      <c r="C1146" s="360" t="s">
        <v>211</v>
      </c>
      <c r="D1146" s="360" t="s">
        <v>128</v>
      </c>
      <c r="E1146" s="360" t="s">
        <v>167</v>
      </c>
      <c r="F1146" s="361" t="s">
        <v>1090</v>
      </c>
      <c r="G1146" s="360" t="s">
        <v>145</v>
      </c>
      <c r="H1146" s="361"/>
      <c r="I1146" s="361"/>
      <c r="J1146" s="361" t="s">
        <v>1107</v>
      </c>
      <c r="K1146" s="363"/>
      <c r="L1146" s="360"/>
      <c r="M1146" s="360"/>
      <c r="N1146" s="361"/>
      <c r="O1146" s="361"/>
      <c r="P1146" s="361"/>
      <c r="Q1146" s="361"/>
      <c r="R1146" s="362"/>
      <c r="S1146" s="361"/>
      <c r="T1146" s="360" t="s">
        <v>132</v>
      </c>
    </row>
    <row r="1147" ht="34.5">
      <c r="A1147" s="360" t="s">
        <v>1066</v>
      </c>
      <c r="B1147" s="360" t="s">
        <v>1067</v>
      </c>
      <c r="C1147" s="360" t="s">
        <v>211</v>
      </c>
      <c r="D1147" s="360" t="s">
        <v>128</v>
      </c>
      <c r="E1147" s="360" t="s">
        <v>167</v>
      </c>
      <c r="F1147" s="361" t="s">
        <v>1090</v>
      </c>
      <c r="G1147" s="360" t="s">
        <v>145</v>
      </c>
      <c r="H1147" s="361"/>
      <c r="I1147" s="361"/>
      <c r="J1147" s="361" t="s">
        <v>912</v>
      </c>
      <c r="K1147" s="363"/>
      <c r="L1147" s="360"/>
      <c r="M1147" s="360"/>
      <c r="N1147" s="361"/>
      <c r="O1147" s="361"/>
      <c r="P1147" s="361"/>
      <c r="Q1147" s="361"/>
      <c r="R1147" s="362"/>
      <c r="S1147" s="361"/>
      <c r="T1147" s="360" t="s">
        <v>132</v>
      </c>
    </row>
    <row r="1148" ht="34.5">
      <c r="A1148" s="360" t="s">
        <v>1066</v>
      </c>
      <c r="B1148" s="360" t="s">
        <v>1067</v>
      </c>
      <c r="C1148" s="360" t="s">
        <v>211</v>
      </c>
      <c r="D1148" s="360" t="s">
        <v>128</v>
      </c>
      <c r="E1148" s="360" t="s">
        <v>167</v>
      </c>
      <c r="F1148" s="361" t="s">
        <v>1090</v>
      </c>
      <c r="G1148" s="360" t="s">
        <v>145</v>
      </c>
      <c r="H1148" s="361"/>
      <c r="I1148" s="361"/>
      <c r="J1148" s="361" t="s">
        <v>1108</v>
      </c>
      <c r="K1148" s="363"/>
      <c r="L1148" s="360"/>
      <c r="M1148" s="360"/>
      <c r="N1148" s="361"/>
      <c r="O1148" s="361"/>
      <c r="P1148" s="361"/>
      <c r="Q1148" s="361"/>
      <c r="R1148" s="362"/>
      <c r="S1148" s="361"/>
      <c r="T1148" s="360" t="s">
        <v>132</v>
      </c>
    </row>
    <row r="1149" ht="34.5">
      <c r="A1149" s="360" t="s">
        <v>1066</v>
      </c>
      <c r="B1149" s="360" t="s">
        <v>1067</v>
      </c>
      <c r="C1149" s="360" t="s">
        <v>222</v>
      </c>
      <c r="D1149" s="360" t="s">
        <v>128</v>
      </c>
      <c r="E1149" s="360" t="s">
        <v>167</v>
      </c>
      <c r="F1149" s="361" t="s">
        <v>1090</v>
      </c>
      <c r="G1149" s="360" t="s">
        <v>145</v>
      </c>
      <c r="H1149" s="361"/>
      <c r="I1149" s="361"/>
      <c r="J1149" s="361" t="s">
        <v>204</v>
      </c>
      <c r="K1149" s="363"/>
      <c r="L1149" s="360"/>
      <c r="M1149" s="360"/>
      <c r="N1149" s="361"/>
      <c r="O1149" s="361"/>
      <c r="P1149" s="361"/>
      <c r="Q1149" s="361"/>
      <c r="R1149" s="362"/>
      <c r="S1149" s="361"/>
      <c r="T1149" s="360" t="s">
        <v>132</v>
      </c>
    </row>
    <row r="1150" ht="34.5">
      <c r="A1150" s="360" t="s">
        <v>1066</v>
      </c>
      <c r="B1150" s="360" t="s">
        <v>1067</v>
      </c>
      <c r="C1150" s="360" t="s">
        <v>222</v>
      </c>
      <c r="D1150" s="360" t="s">
        <v>128</v>
      </c>
      <c r="E1150" s="360" t="s">
        <v>167</v>
      </c>
      <c r="F1150" s="361" t="s">
        <v>1090</v>
      </c>
      <c r="G1150" s="360" t="s">
        <v>145</v>
      </c>
      <c r="H1150" s="361"/>
      <c r="I1150" s="361"/>
      <c r="J1150" s="361" t="s">
        <v>1109</v>
      </c>
      <c r="K1150" s="363"/>
      <c r="L1150" s="360"/>
      <c r="M1150" s="360"/>
      <c r="N1150" s="361"/>
      <c r="O1150" s="361"/>
      <c r="P1150" s="361"/>
      <c r="Q1150" s="361"/>
      <c r="R1150" s="362"/>
      <c r="S1150" s="361"/>
      <c r="T1150" s="360" t="s">
        <v>132</v>
      </c>
    </row>
    <row r="1151" ht="34.5">
      <c r="A1151" s="360" t="s">
        <v>1066</v>
      </c>
      <c r="B1151" s="360" t="s">
        <v>1067</v>
      </c>
      <c r="C1151" s="360" t="s">
        <v>222</v>
      </c>
      <c r="D1151" s="360" t="s">
        <v>128</v>
      </c>
      <c r="E1151" s="360" t="s">
        <v>167</v>
      </c>
      <c r="F1151" s="361" t="s">
        <v>1090</v>
      </c>
      <c r="G1151" s="360" t="s">
        <v>145</v>
      </c>
      <c r="H1151" s="361"/>
      <c r="I1151" s="361"/>
      <c r="J1151" s="361" t="s">
        <v>206</v>
      </c>
      <c r="K1151" s="363"/>
      <c r="L1151" s="360"/>
      <c r="M1151" s="360"/>
      <c r="N1151" s="361"/>
      <c r="O1151" s="361"/>
      <c r="P1151" s="361"/>
      <c r="Q1151" s="361"/>
      <c r="R1151" s="362"/>
      <c r="S1151" s="361"/>
      <c r="T1151" s="360" t="s">
        <v>132</v>
      </c>
    </row>
    <row r="1152" ht="34.5">
      <c r="A1152" s="360" t="s">
        <v>1066</v>
      </c>
      <c r="B1152" s="360" t="s">
        <v>1067</v>
      </c>
      <c r="C1152" s="360" t="s">
        <v>222</v>
      </c>
      <c r="D1152" s="360" t="s">
        <v>128</v>
      </c>
      <c r="E1152" s="360" t="s">
        <v>167</v>
      </c>
      <c r="F1152" s="361" t="s">
        <v>1090</v>
      </c>
      <c r="G1152" s="360" t="s">
        <v>145</v>
      </c>
      <c r="H1152" s="361"/>
      <c r="I1152" s="361"/>
      <c r="J1152" s="361" t="s">
        <v>913</v>
      </c>
      <c r="K1152" s="363"/>
      <c r="L1152" s="360"/>
      <c r="M1152" s="360"/>
      <c r="N1152" s="361"/>
      <c r="O1152" s="361"/>
      <c r="P1152" s="361"/>
      <c r="Q1152" s="361"/>
      <c r="R1152" s="362"/>
      <c r="S1152" s="361"/>
      <c r="T1152" s="360" t="s">
        <v>132</v>
      </c>
    </row>
    <row r="1153" ht="34.5">
      <c r="A1153" s="360" t="s">
        <v>1066</v>
      </c>
      <c r="B1153" s="360" t="s">
        <v>1067</v>
      </c>
      <c r="C1153" s="360" t="s">
        <v>222</v>
      </c>
      <c r="D1153" s="360" t="s">
        <v>128</v>
      </c>
      <c r="E1153" s="360" t="s">
        <v>167</v>
      </c>
      <c r="F1153" s="361" t="s">
        <v>1090</v>
      </c>
      <c r="G1153" s="360" t="s">
        <v>145</v>
      </c>
      <c r="H1153" s="361"/>
      <c r="I1153" s="361"/>
      <c r="J1153" s="361" t="s">
        <v>1110</v>
      </c>
      <c r="K1153" s="363"/>
      <c r="L1153" s="360"/>
      <c r="M1153" s="360"/>
      <c r="N1153" s="361"/>
      <c r="O1153" s="361"/>
      <c r="P1153" s="361"/>
      <c r="Q1153" s="361"/>
      <c r="R1153" s="362"/>
      <c r="S1153" s="361"/>
      <c r="T1153" s="360" t="s">
        <v>132</v>
      </c>
    </row>
    <row r="1154" ht="34.5">
      <c r="A1154" s="360" t="s">
        <v>1066</v>
      </c>
      <c r="B1154" s="360" t="s">
        <v>1067</v>
      </c>
      <c r="C1154" s="360" t="s">
        <v>222</v>
      </c>
      <c r="D1154" s="360" t="s">
        <v>128</v>
      </c>
      <c r="E1154" s="360" t="s">
        <v>167</v>
      </c>
      <c r="F1154" s="361" t="s">
        <v>1090</v>
      </c>
      <c r="G1154" s="360" t="s">
        <v>145</v>
      </c>
      <c r="H1154" s="361"/>
      <c r="I1154" s="361"/>
      <c r="J1154" s="361" t="s">
        <v>753</v>
      </c>
      <c r="K1154" s="363"/>
      <c r="L1154" s="360"/>
      <c r="M1154" s="360"/>
      <c r="N1154" s="361"/>
      <c r="O1154" s="361"/>
      <c r="P1154" s="361"/>
      <c r="Q1154" s="361"/>
      <c r="R1154" s="362"/>
      <c r="S1154" s="361"/>
      <c r="T1154" s="360" t="s">
        <v>132</v>
      </c>
    </row>
    <row r="1155" ht="34.5">
      <c r="A1155" s="360" t="s">
        <v>1066</v>
      </c>
      <c r="B1155" s="360" t="s">
        <v>1067</v>
      </c>
      <c r="C1155" s="360" t="s">
        <v>222</v>
      </c>
      <c r="D1155" s="360" t="s">
        <v>128</v>
      </c>
      <c r="E1155" s="360" t="s">
        <v>167</v>
      </c>
      <c r="F1155" s="361" t="s">
        <v>1090</v>
      </c>
      <c r="G1155" s="360" t="s">
        <v>145</v>
      </c>
      <c r="H1155" s="361"/>
      <c r="I1155" s="361"/>
      <c r="J1155" s="361" t="s">
        <v>754</v>
      </c>
      <c r="K1155" s="363"/>
      <c r="L1155" s="360"/>
      <c r="M1155" s="360"/>
      <c r="N1155" s="361"/>
      <c r="O1155" s="361"/>
      <c r="P1155" s="361"/>
      <c r="Q1155" s="361"/>
      <c r="R1155" s="362"/>
      <c r="S1155" s="361"/>
      <c r="T1155" s="360" t="s">
        <v>132</v>
      </c>
    </row>
    <row r="1156" ht="34.5">
      <c r="A1156" s="360" t="s">
        <v>1066</v>
      </c>
      <c r="B1156" s="360" t="s">
        <v>1067</v>
      </c>
      <c r="C1156" s="360" t="s">
        <v>222</v>
      </c>
      <c r="D1156" s="360" t="s">
        <v>128</v>
      </c>
      <c r="E1156" s="360" t="s">
        <v>167</v>
      </c>
      <c r="F1156" s="361" t="s">
        <v>1090</v>
      </c>
      <c r="G1156" s="360" t="s">
        <v>145</v>
      </c>
      <c r="H1156" s="361"/>
      <c r="I1156" s="361"/>
      <c r="J1156" s="361" t="s">
        <v>214</v>
      </c>
      <c r="K1156" s="363"/>
      <c r="L1156" s="360"/>
      <c r="M1156" s="360"/>
      <c r="N1156" s="361"/>
      <c r="O1156" s="361"/>
      <c r="P1156" s="361"/>
      <c r="Q1156" s="361"/>
      <c r="R1156" s="362"/>
      <c r="S1156" s="361"/>
      <c r="T1156" s="360" t="s">
        <v>132</v>
      </c>
    </row>
    <row r="1157" ht="34.5">
      <c r="A1157" s="360" t="s">
        <v>1066</v>
      </c>
      <c r="B1157" s="360" t="s">
        <v>1067</v>
      </c>
      <c r="C1157" s="360" t="s">
        <v>222</v>
      </c>
      <c r="D1157" s="360" t="s">
        <v>128</v>
      </c>
      <c r="E1157" s="360" t="s">
        <v>167</v>
      </c>
      <c r="F1157" s="361" t="s">
        <v>1090</v>
      </c>
      <c r="G1157" s="360" t="s">
        <v>145</v>
      </c>
      <c r="H1157" s="361"/>
      <c r="I1157" s="361"/>
      <c r="J1157" s="361" t="s">
        <v>215</v>
      </c>
      <c r="K1157" s="363"/>
      <c r="L1157" s="360"/>
      <c r="M1157" s="360"/>
      <c r="N1157" s="361"/>
      <c r="O1157" s="361"/>
      <c r="P1157" s="361"/>
      <c r="Q1157" s="361"/>
      <c r="R1157" s="362"/>
      <c r="S1157" s="361"/>
      <c r="T1157" s="360" t="s">
        <v>132</v>
      </c>
    </row>
    <row r="1158" ht="34.5">
      <c r="A1158" s="360" t="s">
        <v>1066</v>
      </c>
      <c r="B1158" s="360" t="s">
        <v>1067</v>
      </c>
      <c r="C1158" s="360" t="s">
        <v>222</v>
      </c>
      <c r="D1158" s="360" t="s">
        <v>128</v>
      </c>
      <c r="E1158" s="360" t="s">
        <v>167</v>
      </c>
      <c r="F1158" s="361" t="s">
        <v>1090</v>
      </c>
      <c r="G1158" s="360" t="s">
        <v>145</v>
      </c>
      <c r="H1158" s="361"/>
      <c r="I1158" s="361"/>
      <c r="J1158" s="361" t="s">
        <v>1111</v>
      </c>
      <c r="K1158" s="363"/>
      <c r="L1158" s="360"/>
      <c r="M1158" s="360"/>
      <c r="N1158" s="361"/>
      <c r="O1158" s="361"/>
      <c r="P1158" s="361"/>
      <c r="Q1158" s="361"/>
      <c r="R1158" s="362"/>
      <c r="S1158" s="361"/>
      <c r="T1158" s="360" t="s">
        <v>132</v>
      </c>
    </row>
    <row r="1159" ht="34.5">
      <c r="A1159" s="360" t="s">
        <v>1066</v>
      </c>
      <c r="B1159" s="360" t="s">
        <v>1067</v>
      </c>
      <c r="C1159" s="360" t="s">
        <v>222</v>
      </c>
      <c r="D1159" s="360" t="s">
        <v>128</v>
      </c>
      <c r="E1159" s="360" t="s">
        <v>167</v>
      </c>
      <c r="F1159" s="361" t="s">
        <v>1090</v>
      </c>
      <c r="G1159" s="360" t="s">
        <v>145</v>
      </c>
      <c r="H1159" s="361"/>
      <c r="I1159" s="361"/>
      <c r="J1159" s="361" t="s">
        <v>216</v>
      </c>
      <c r="K1159" s="363"/>
      <c r="L1159" s="360"/>
      <c r="M1159" s="360"/>
      <c r="N1159" s="361"/>
      <c r="O1159" s="361"/>
      <c r="P1159" s="361"/>
      <c r="Q1159" s="361"/>
      <c r="R1159" s="362"/>
      <c r="S1159" s="361"/>
      <c r="T1159" s="360" t="s">
        <v>132</v>
      </c>
    </row>
    <row r="1160" ht="34.5">
      <c r="A1160" s="360" t="s">
        <v>1066</v>
      </c>
      <c r="B1160" s="360" t="s">
        <v>1067</v>
      </c>
      <c r="C1160" s="360" t="s">
        <v>229</v>
      </c>
      <c r="D1160" s="360" t="s">
        <v>128</v>
      </c>
      <c r="E1160" s="360" t="s">
        <v>167</v>
      </c>
      <c r="F1160" s="361" t="s">
        <v>1090</v>
      </c>
      <c r="G1160" s="360" t="s">
        <v>145</v>
      </c>
      <c r="H1160" s="361"/>
      <c r="I1160" s="361"/>
      <c r="J1160" s="361" t="s">
        <v>1112</v>
      </c>
      <c r="K1160" s="363"/>
      <c r="L1160" s="360"/>
      <c r="M1160" s="360"/>
      <c r="N1160" s="361"/>
      <c r="O1160" s="361"/>
      <c r="P1160" s="361"/>
      <c r="Q1160" s="361"/>
      <c r="R1160" s="362"/>
      <c r="S1160" s="361"/>
      <c r="T1160" s="360" t="s">
        <v>132</v>
      </c>
    </row>
    <row r="1161" ht="34.5">
      <c r="A1161" s="360" t="s">
        <v>1066</v>
      </c>
      <c r="B1161" s="360" t="s">
        <v>1067</v>
      </c>
      <c r="C1161" s="360" t="s">
        <v>229</v>
      </c>
      <c r="D1161" s="360" t="s">
        <v>128</v>
      </c>
      <c r="E1161" s="360" t="s">
        <v>167</v>
      </c>
      <c r="F1161" s="361" t="s">
        <v>1090</v>
      </c>
      <c r="G1161" s="360" t="s">
        <v>145</v>
      </c>
      <c r="H1161" s="361"/>
      <c r="I1161" s="361"/>
      <c r="J1161" s="361" t="s">
        <v>218</v>
      </c>
      <c r="K1161" s="363"/>
      <c r="L1161" s="360"/>
      <c r="M1161" s="360"/>
      <c r="N1161" s="361"/>
      <c r="O1161" s="361"/>
      <c r="P1161" s="361"/>
      <c r="Q1161" s="361"/>
      <c r="R1161" s="362"/>
      <c r="S1161" s="361"/>
      <c r="T1161" s="360" t="s">
        <v>132</v>
      </c>
    </row>
    <row r="1162" ht="34.5">
      <c r="A1162" s="360" t="s">
        <v>1066</v>
      </c>
      <c r="B1162" s="360" t="s">
        <v>1067</v>
      </c>
      <c r="C1162" s="360" t="s">
        <v>229</v>
      </c>
      <c r="D1162" s="360" t="s">
        <v>128</v>
      </c>
      <c r="E1162" s="360" t="s">
        <v>167</v>
      </c>
      <c r="F1162" s="361" t="s">
        <v>1090</v>
      </c>
      <c r="G1162" s="360" t="s">
        <v>145</v>
      </c>
      <c r="H1162" s="361"/>
      <c r="I1162" s="361"/>
      <c r="J1162" s="361" t="s">
        <v>1113</v>
      </c>
      <c r="K1162" s="363"/>
      <c r="L1162" s="360"/>
      <c r="M1162" s="360"/>
      <c r="N1162" s="361"/>
      <c r="O1162" s="361"/>
      <c r="P1162" s="361"/>
      <c r="Q1162" s="361"/>
      <c r="R1162" s="362"/>
      <c r="S1162" s="361"/>
      <c r="T1162" s="360" t="s">
        <v>132</v>
      </c>
    </row>
    <row r="1163" ht="34.5">
      <c r="A1163" s="360" t="s">
        <v>1066</v>
      </c>
      <c r="B1163" s="360" t="s">
        <v>1067</v>
      </c>
      <c r="C1163" s="360" t="s">
        <v>229</v>
      </c>
      <c r="D1163" s="360" t="s">
        <v>128</v>
      </c>
      <c r="E1163" s="360" t="s">
        <v>167</v>
      </c>
      <c r="F1163" s="361" t="s">
        <v>1090</v>
      </c>
      <c r="G1163" s="360" t="s">
        <v>145</v>
      </c>
      <c r="H1163" s="361"/>
      <c r="I1163" s="361"/>
      <c r="J1163" s="361" t="s">
        <v>1114</v>
      </c>
      <c r="K1163" s="363"/>
      <c r="L1163" s="360"/>
      <c r="M1163" s="360"/>
      <c r="N1163" s="361"/>
      <c r="O1163" s="361"/>
      <c r="P1163" s="361"/>
      <c r="Q1163" s="361"/>
      <c r="R1163" s="362"/>
      <c r="S1163" s="361"/>
      <c r="T1163" s="360" t="s">
        <v>132</v>
      </c>
    </row>
    <row r="1164" ht="34.5">
      <c r="A1164" s="360" t="s">
        <v>1066</v>
      </c>
      <c r="B1164" s="360" t="s">
        <v>1067</v>
      </c>
      <c r="C1164" s="360" t="s">
        <v>229</v>
      </c>
      <c r="D1164" s="360" t="s">
        <v>128</v>
      </c>
      <c r="E1164" s="360" t="s">
        <v>167</v>
      </c>
      <c r="F1164" s="361" t="s">
        <v>1090</v>
      </c>
      <c r="G1164" s="360" t="s">
        <v>145</v>
      </c>
      <c r="H1164" s="361"/>
      <c r="I1164" s="361"/>
      <c r="J1164" s="361" t="s">
        <v>1115</v>
      </c>
      <c r="K1164" s="363"/>
      <c r="L1164" s="360"/>
      <c r="M1164" s="360"/>
      <c r="N1164" s="361"/>
      <c r="O1164" s="361"/>
      <c r="P1164" s="361"/>
      <c r="Q1164" s="361"/>
      <c r="R1164" s="362"/>
      <c r="S1164" s="361"/>
      <c r="T1164" s="360" t="s">
        <v>132</v>
      </c>
    </row>
    <row r="1165" ht="34.5">
      <c r="A1165" s="360" t="s">
        <v>1066</v>
      </c>
      <c r="B1165" s="360" t="s">
        <v>1067</v>
      </c>
      <c r="C1165" s="360" t="s">
        <v>229</v>
      </c>
      <c r="D1165" s="360" t="s">
        <v>128</v>
      </c>
      <c r="E1165" s="360" t="s">
        <v>167</v>
      </c>
      <c r="F1165" s="361" t="s">
        <v>1090</v>
      </c>
      <c r="G1165" s="360" t="s">
        <v>145</v>
      </c>
      <c r="H1165" s="361"/>
      <c r="I1165" s="361"/>
      <c r="J1165" s="361" t="s">
        <v>1116</v>
      </c>
      <c r="K1165" s="363"/>
      <c r="L1165" s="360"/>
      <c r="M1165" s="360"/>
      <c r="N1165" s="361"/>
      <c r="O1165" s="361"/>
      <c r="P1165" s="361"/>
      <c r="Q1165" s="361"/>
      <c r="R1165" s="362"/>
      <c r="S1165" s="361"/>
      <c r="T1165" s="360" t="s">
        <v>132</v>
      </c>
    </row>
    <row r="1166" ht="34.5">
      <c r="A1166" s="360" t="s">
        <v>1066</v>
      </c>
      <c r="B1166" s="360" t="s">
        <v>1067</v>
      </c>
      <c r="C1166" s="360" t="s">
        <v>229</v>
      </c>
      <c r="D1166" s="360" t="s">
        <v>128</v>
      </c>
      <c r="E1166" s="360" t="s">
        <v>167</v>
      </c>
      <c r="F1166" s="361" t="s">
        <v>1090</v>
      </c>
      <c r="G1166" s="360" t="s">
        <v>145</v>
      </c>
      <c r="H1166" s="361"/>
      <c r="I1166" s="361"/>
      <c r="J1166" s="361" t="s">
        <v>225</v>
      </c>
      <c r="K1166" s="363"/>
      <c r="L1166" s="360"/>
      <c r="M1166" s="360"/>
      <c r="N1166" s="361"/>
      <c r="O1166" s="361"/>
      <c r="P1166" s="361"/>
      <c r="Q1166" s="361"/>
      <c r="R1166" s="362"/>
      <c r="S1166" s="361"/>
      <c r="T1166" s="360" t="s">
        <v>132</v>
      </c>
    </row>
    <row r="1167" ht="34.5">
      <c r="A1167" s="360" t="s">
        <v>1066</v>
      </c>
      <c r="B1167" s="360" t="s">
        <v>1067</v>
      </c>
      <c r="C1167" s="360" t="s">
        <v>241</v>
      </c>
      <c r="D1167" s="360" t="s">
        <v>128</v>
      </c>
      <c r="E1167" s="360" t="s">
        <v>167</v>
      </c>
      <c r="F1167" s="361" t="s">
        <v>1090</v>
      </c>
      <c r="G1167" s="360" t="s">
        <v>145</v>
      </c>
      <c r="H1167" s="361"/>
      <c r="I1167" s="361"/>
      <c r="J1167" s="361" t="s">
        <v>226</v>
      </c>
      <c r="K1167" s="363"/>
      <c r="L1167" s="360"/>
      <c r="M1167" s="360"/>
      <c r="N1167" s="361"/>
      <c r="O1167" s="361"/>
      <c r="P1167" s="361"/>
      <c r="Q1167" s="361"/>
      <c r="R1167" s="362"/>
      <c r="S1167" s="361"/>
      <c r="T1167" s="360" t="s">
        <v>132</v>
      </c>
    </row>
    <row r="1168" ht="34.5">
      <c r="A1168" s="360" t="s">
        <v>1066</v>
      </c>
      <c r="B1168" s="360" t="s">
        <v>1067</v>
      </c>
      <c r="C1168" s="360" t="s">
        <v>241</v>
      </c>
      <c r="D1168" s="360" t="s">
        <v>128</v>
      </c>
      <c r="E1168" s="360" t="s">
        <v>167</v>
      </c>
      <c r="F1168" s="361" t="s">
        <v>1090</v>
      </c>
      <c r="G1168" s="360" t="s">
        <v>145</v>
      </c>
      <c r="H1168" s="361"/>
      <c r="I1168" s="361"/>
      <c r="J1168" s="361" t="s">
        <v>1117</v>
      </c>
      <c r="K1168" s="363"/>
      <c r="L1168" s="360"/>
      <c r="M1168" s="360"/>
      <c r="N1168" s="361"/>
      <c r="O1168" s="361"/>
      <c r="P1168" s="361"/>
      <c r="Q1168" s="361"/>
      <c r="R1168" s="362"/>
      <c r="S1168" s="361"/>
      <c r="T1168" s="360" t="s">
        <v>132</v>
      </c>
    </row>
    <row r="1169" ht="34.5">
      <c r="A1169" s="360" t="s">
        <v>1066</v>
      </c>
      <c r="B1169" s="360" t="s">
        <v>1067</v>
      </c>
      <c r="C1169" s="360" t="s">
        <v>241</v>
      </c>
      <c r="D1169" s="360" t="s">
        <v>128</v>
      </c>
      <c r="E1169" s="360" t="s">
        <v>167</v>
      </c>
      <c r="F1169" s="361" t="s">
        <v>1090</v>
      </c>
      <c r="G1169" s="360" t="s">
        <v>145</v>
      </c>
      <c r="H1169" s="361"/>
      <c r="I1169" s="361"/>
      <c r="J1169" s="361" t="s">
        <v>1118</v>
      </c>
      <c r="K1169" s="363"/>
      <c r="L1169" s="360"/>
      <c r="M1169" s="360"/>
      <c r="N1169" s="361"/>
      <c r="O1169" s="361"/>
      <c r="P1169" s="361"/>
      <c r="Q1169" s="361"/>
      <c r="R1169" s="362"/>
      <c r="S1169" s="361"/>
      <c r="T1169" s="360" t="s">
        <v>132</v>
      </c>
    </row>
    <row r="1170" ht="34.5">
      <c r="A1170" s="360" t="s">
        <v>1066</v>
      </c>
      <c r="B1170" s="360" t="s">
        <v>1067</v>
      </c>
      <c r="C1170" s="360" t="s">
        <v>241</v>
      </c>
      <c r="D1170" s="360" t="s">
        <v>128</v>
      </c>
      <c r="E1170" s="360" t="s">
        <v>167</v>
      </c>
      <c r="F1170" s="361" t="s">
        <v>1090</v>
      </c>
      <c r="G1170" s="360" t="s">
        <v>145</v>
      </c>
      <c r="H1170" s="361"/>
      <c r="I1170" s="361"/>
      <c r="J1170" s="361" t="s">
        <v>917</v>
      </c>
      <c r="K1170" s="363"/>
      <c r="L1170" s="360"/>
      <c r="M1170" s="360"/>
      <c r="N1170" s="361"/>
      <c r="O1170" s="361"/>
      <c r="P1170" s="361"/>
      <c r="Q1170" s="361"/>
      <c r="R1170" s="362"/>
      <c r="S1170" s="361"/>
      <c r="T1170" s="360" t="s">
        <v>132</v>
      </c>
    </row>
    <row r="1171" ht="34.5">
      <c r="A1171" s="360" t="s">
        <v>1066</v>
      </c>
      <c r="B1171" s="360" t="s">
        <v>1067</v>
      </c>
      <c r="C1171" s="360" t="s">
        <v>241</v>
      </c>
      <c r="D1171" s="360" t="s">
        <v>128</v>
      </c>
      <c r="E1171" s="360" t="s">
        <v>167</v>
      </c>
      <c r="F1171" s="361" t="s">
        <v>1090</v>
      </c>
      <c r="G1171" s="360" t="s">
        <v>145</v>
      </c>
      <c r="H1171" s="361"/>
      <c r="I1171" s="361"/>
      <c r="J1171" s="361" t="s">
        <v>165</v>
      </c>
      <c r="K1171" s="363"/>
      <c r="L1171" s="360"/>
      <c r="M1171" s="360"/>
      <c r="N1171" s="361"/>
      <c r="O1171" s="361"/>
      <c r="P1171" s="361"/>
      <c r="Q1171" s="361"/>
      <c r="R1171" s="362"/>
      <c r="S1171" s="361"/>
      <c r="T1171" s="360" t="s">
        <v>132</v>
      </c>
    </row>
    <row r="1172" ht="34.5">
      <c r="A1172" s="360" t="s">
        <v>1066</v>
      </c>
      <c r="B1172" s="360" t="s">
        <v>1067</v>
      </c>
      <c r="C1172" s="360" t="s">
        <v>241</v>
      </c>
      <c r="D1172" s="360" t="s">
        <v>128</v>
      </c>
      <c r="E1172" s="360" t="s">
        <v>167</v>
      </c>
      <c r="F1172" s="361" t="s">
        <v>1090</v>
      </c>
      <c r="G1172" s="360" t="s">
        <v>145</v>
      </c>
      <c r="H1172" s="361"/>
      <c r="I1172" s="361"/>
      <c r="J1172" s="361" t="s">
        <v>1119</v>
      </c>
      <c r="K1172" s="363"/>
      <c r="L1172" s="360"/>
      <c r="M1172" s="360"/>
      <c r="N1172" s="361"/>
      <c r="O1172" s="361"/>
      <c r="P1172" s="361"/>
      <c r="Q1172" s="361"/>
      <c r="R1172" s="362"/>
      <c r="S1172" s="361"/>
      <c r="T1172" s="360" t="s">
        <v>132</v>
      </c>
    </row>
    <row r="1173" ht="34.5">
      <c r="A1173" s="360" t="s">
        <v>1066</v>
      </c>
      <c r="B1173" s="360" t="s">
        <v>1067</v>
      </c>
      <c r="C1173" s="360" t="s">
        <v>241</v>
      </c>
      <c r="D1173" s="360" t="s">
        <v>128</v>
      </c>
      <c r="E1173" s="360" t="s">
        <v>167</v>
      </c>
      <c r="F1173" s="361" t="s">
        <v>1090</v>
      </c>
      <c r="G1173" s="360" t="s">
        <v>145</v>
      </c>
      <c r="H1173" s="361"/>
      <c r="I1173" s="361"/>
      <c r="J1173" s="361" t="s">
        <v>1120</v>
      </c>
      <c r="K1173" s="363"/>
      <c r="L1173" s="360"/>
      <c r="M1173" s="360"/>
      <c r="N1173" s="361"/>
      <c r="O1173" s="361"/>
      <c r="P1173" s="361"/>
      <c r="Q1173" s="361"/>
      <c r="R1173" s="362"/>
      <c r="S1173" s="361"/>
      <c r="T1173" s="360" t="s">
        <v>132</v>
      </c>
    </row>
    <row r="1174" ht="34.5">
      <c r="A1174" s="360" t="s">
        <v>1066</v>
      </c>
      <c r="B1174" s="360" t="s">
        <v>1067</v>
      </c>
      <c r="C1174" s="360" t="s">
        <v>241</v>
      </c>
      <c r="D1174" s="360" t="s">
        <v>128</v>
      </c>
      <c r="E1174" s="360" t="s">
        <v>167</v>
      </c>
      <c r="F1174" s="361" t="s">
        <v>1090</v>
      </c>
      <c r="G1174" s="360" t="s">
        <v>145</v>
      </c>
      <c r="H1174" s="361"/>
      <c r="I1174" s="361"/>
      <c r="J1174" s="361" t="s">
        <v>1121</v>
      </c>
      <c r="K1174" s="363"/>
      <c r="L1174" s="360"/>
      <c r="M1174" s="360"/>
      <c r="N1174" s="361"/>
      <c r="O1174" s="361"/>
      <c r="P1174" s="361"/>
      <c r="Q1174" s="361"/>
      <c r="R1174" s="362"/>
      <c r="S1174" s="361"/>
      <c r="T1174" s="360" t="s">
        <v>132</v>
      </c>
    </row>
    <row r="1175" ht="34.5">
      <c r="A1175" s="360" t="s">
        <v>1066</v>
      </c>
      <c r="B1175" s="360" t="s">
        <v>1067</v>
      </c>
      <c r="C1175" s="360" t="s">
        <v>252</v>
      </c>
      <c r="D1175" s="360" t="s">
        <v>128</v>
      </c>
      <c r="E1175" s="360" t="s">
        <v>167</v>
      </c>
      <c r="F1175" s="361" t="s">
        <v>1090</v>
      </c>
      <c r="G1175" s="360" t="s">
        <v>145</v>
      </c>
      <c r="H1175" s="361"/>
      <c r="I1175" s="361"/>
      <c r="J1175" s="361" t="s">
        <v>1122</v>
      </c>
      <c r="K1175" s="363"/>
      <c r="L1175" s="360"/>
      <c r="M1175" s="360"/>
      <c r="N1175" s="361"/>
      <c r="O1175" s="361"/>
      <c r="P1175" s="361"/>
      <c r="Q1175" s="361"/>
      <c r="R1175" s="362"/>
      <c r="S1175" s="361"/>
      <c r="T1175" s="360" t="s">
        <v>132</v>
      </c>
    </row>
    <row r="1176" ht="34.5">
      <c r="A1176" s="360" t="s">
        <v>1066</v>
      </c>
      <c r="B1176" s="360" t="s">
        <v>1067</v>
      </c>
      <c r="C1176" s="360" t="s">
        <v>252</v>
      </c>
      <c r="D1176" s="360" t="s">
        <v>128</v>
      </c>
      <c r="E1176" s="360" t="s">
        <v>167</v>
      </c>
      <c r="F1176" s="361" t="s">
        <v>1090</v>
      </c>
      <c r="G1176" s="360" t="s">
        <v>145</v>
      </c>
      <c r="H1176" s="361"/>
      <c r="I1176" s="361"/>
      <c r="J1176" s="361" t="s">
        <v>244</v>
      </c>
      <c r="K1176" s="363"/>
      <c r="L1176" s="360"/>
      <c r="M1176" s="360"/>
      <c r="N1176" s="361"/>
      <c r="O1176" s="361"/>
      <c r="P1176" s="361"/>
      <c r="Q1176" s="361"/>
      <c r="R1176" s="362"/>
      <c r="S1176" s="361"/>
      <c r="T1176" s="360" t="s">
        <v>132</v>
      </c>
    </row>
    <row r="1177" ht="34.5">
      <c r="A1177" s="360" t="s">
        <v>1066</v>
      </c>
      <c r="B1177" s="360" t="s">
        <v>1067</v>
      </c>
      <c r="C1177" s="360" t="s">
        <v>252</v>
      </c>
      <c r="D1177" s="360" t="s">
        <v>128</v>
      </c>
      <c r="E1177" s="360" t="s">
        <v>167</v>
      </c>
      <c r="F1177" s="361" t="s">
        <v>1090</v>
      </c>
      <c r="G1177" s="360" t="s">
        <v>145</v>
      </c>
      <c r="H1177" s="361"/>
      <c r="I1177" s="361"/>
      <c r="J1177" s="361" t="s">
        <v>245</v>
      </c>
      <c r="K1177" s="363"/>
      <c r="L1177" s="360"/>
      <c r="M1177" s="360"/>
      <c r="N1177" s="361"/>
      <c r="O1177" s="361"/>
      <c r="P1177" s="361"/>
      <c r="Q1177" s="361"/>
      <c r="R1177" s="362"/>
      <c r="S1177" s="361"/>
      <c r="T1177" s="360" t="s">
        <v>132</v>
      </c>
    </row>
    <row r="1178" ht="34.5">
      <c r="A1178" s="360" t="s">
        <v>1066</v>
      </c>
      <c r="B1178" s="360" t="s">
        <v>1067</v>
      </c>
      <c r="C1178" s="360" t="s">
        <v>252</v>
      </c>
      <c r="D1178" s="360" t="s">
        <v>128</v>
      </c>
      <c r="E1178" s="360" t="s">
        <v>167</v>
      </c>
      <c r="F1178" s="361" t="s">
        <v>1090</v>
      </c>
      <c r="G1178" s="360" t="s">
        <v>145</v>
      </c>
      <c r="H1178" s="361"/>
      <c r="I1178" s="361"/>
      <c r="J1178" s="361" t="s">
        <v>1123</v>
      </c>
      <c r="K1178" s="363"/>
      <c r="L1178" s="360"/>
      <c r="M1178" s="360"/>
      <c r="N1178" s="361"/>
      <c r="O1178" s="361"/>
      <c r="P1178" s="361"/>
      <c r="Q1178" s="361"/>
      <c r="R1178" s="362"/>
      <c r="S1178" s="361"/>
      <c r="T1178" s="360" t="s">
        <v>132</v>
      </c>
    </row>
    <row r="1179" ht="34.5">
      <c r="A1179" s="360" t="s">
        <v>1066</v>
      </c>
      <c r="B1179" s="360" t="s">
        <v>1067</v>
      </c>
      <c r="C1179" s="360" t="s">
        <v>252</v>
      </c>
      <c r="D1179" s="360" t="s">
        <v>128</v>
      </c>
      <c r="E1179" s="360" t="s">
        <v>167</v>
      </c>
      <c r="F1179" s="361" t="s">
        <v>1090</v>
      </c>
      <c r="G1179" s="360" t="s">
        <v>145</v>
      </c>
      <c r="H1179" s="361"/>
      <c r="I1179" s="361"/>
      <c r="J1179" s="361" t="s">
        <v>247</v>
      </c>
      <c r="K1179" s="363"/>
      <c r="L1179" s="360"/>
      <c r="M1179" s="360"/>
      <c r="N1179" s="361"/>
      <c r="O1179" s="361"/>
      <c r="P1179" s="361"/>
      <c r="Q1179" s="361"/>
      <c r="R1179" s="362"/>
      <c r="S1179" s="361"/>
      <c r="T1179" s="360" t="s">
        <v>132</v>
      </c>
    </row>
    <row r="1180" ht="34.5">
      <c r="A1180" s="360" t="s">
        <v>1066</v>
      </c>
      <c r="B1180" s="360" t="s">
        <v>1067</v>
      </c>
      <c r="C1180" s="360" t="s">
        <v>252</v>
      </c>
      <c r="D1180" s="360" t="s">
        <v>128</v>
      </c>
      <c r="E1180" s="360" t="s">
        <v>167</v>
      </c>
      <c r="F1180" s="361" t="s">
        <v>1090</v>
      </c>
      <c r="G1180" s="360" t="s">
        <v>145</v>
      </c>
      <c r="H1180" s="361"/>
      <c r="I1180" s="361"/>
      <c r="J1180" s="361" t="s">
        <v>1124</v>
      </c>
      <c r="K1180" s="363"/>
      <c r="L1180" s="360"/>
      <c r="M1180" s="360"/>
      <c r="N1180" s="361"/>
      <c r="O1180" s="361"/>
      <c r="P1180" s="361"/>
      <c r="Q1180" s="361"/>
      <c r="R1180" s="362"/>
      <c r="S1180" s="361"/>
      <c r="T1180" s="360" t="s">
        <v>132</v>
      </c>
    </row>
    <row r="1181" ht="34.5">
      <c r="A1181" s="360" t="s">
        <v>1066</v>
      </c>
      <c r="B1181" s="360" t="s">
        <v>1067</v>
      </c>
      <c r="C1181" s="360" t="s">
        <v>252</v>
      </c>
      <c r="D1181" s="360" t="s">
        <v>128</v>
      </c>
      <c r="E1181" s="360" t="s">
        <v>167</v>
      </c>
      <c r="F1181" s="361" t="s">
        <v>1090</v>
      </c>
      <c r="G1181" s="360" t="s">
        <v>145</v>
      </c>
      <c r="H1181" s="361"/>
      <c r="I1181" s="361"/>
      <c r="J1181" s="361" t="s">
        <v>249</v>
      </c>
      <c r="K1181" s="363"/>
      <c r="L1181" s="360"/>
      <c r="M1181" s="360"/>
      <c r="N1181" s="361"/>
      <c r="O1181" s="361"/>
      <c r="P1181" s="361"/>
      <c r="Q1181" s="361"/>
      <c r="R1181" s="362"/>
      <c r="S1181" s="361"/>
      <c r="T1181" s="360" t="s">
        <v>132</v>
      </c>
    </row>
    <row r="1182" ht="34.5">
      <c r="A1182" s="360" t="s">
        <v>1066</v>
      </c>
      <c r="B1182" s="360" t="s">
        <v>1067</v>
      </c>
      <c r="C1182" s="360" t="s">
        <v>252</v>
      </c>
      <c r="D1182" s="360" t="s">
        <v>128</v>
      </c>
      <c r="E1182" s="360" t="s">
        <v>167</v>
      </c>
      <c r="F1182" s="361" t="s">
        <v>1090</v>
      </c>
      <c r="G1182" s="360" t="s">
        <v>145</v>
      </c>
      <c r="H1182" s="361"/>
      <c r="I1182" s="361"/>
      <c r="J1182" s="361" t="s">
        <v>1125</v>
      </c>
      <c r="K1182" s="363"/>
      <c r="L1182" s="360"/>
      <c r="M1182" s="360"/>
      <c r="N1182" s="361"/>
      <c r="O1182" s="361"/>
      <c r="P1182" s="361"/>
      <c r="Q1182" s="361"/>
      <c r="R1182" s="362"/>
      <c r="S1182" s="361"/>
      <c r="T1182" s="360" t="s">
        <v>132</v>
      </c>
    </row>
    <row r="1183" ht="34.5">
      <c r="A1183" s="360" t="s">
        <v>1066</v>
      </c>
      <c r="B1183" s="360" t="s">
        <v>1067</v>
      </c>
      <c r="C1183" s="360" t="s">
        <v>252</v>
      </c>
      <c r="D1183" s="360" t="s">
        <v>128</v>
      </c>
      <c r="E1183" s="360" t="s">
        <v>167</v>
      </c>
      <c r="F1183" s="361" t="s">
        <v>1090</v>
      </c>
      <c r="G1183" s="360" t="s">
        <v>145</v>
      </c>
      <c r="H1183" s="361"/>
      <c r="I1183" s="361"/>
      <c r="J1183" s="361" t="s">
        <v>1126</v>
      </c>
      <c r="K1183" s="363"/>
      <c r="L1183" s="360"/>
      <c r="M1183" s="360"/>
      <c r="N1183" s="361"/>
      <c r="O1183" s="361"/>
      <c r="P1183" s="361"/>
      <c r="Q1183" s="361"/>
      <c r="R1183" s="362"/>
      <c r="S1183" s="361"/>
      <c r="T1183" s="360" t="s">
        <v>132</v>
      </c>
    </row>
    <row r="1184" ht="34.5">
      <c r="A1184" s="360" t="s">
        <v>1066</v>
      </c>
      <c r="B1184" s="360" t="s">
        <v>1067</v>
      </c>
      <c r="C1184" s="360" t="s">
        <v>263</v>
      </c>
      <c r="D1184" s="360" t="s">
        <v>128</v>
      </c>
      <c r="E1184" s="360" t="s">
        <v>167</v>
      </c>
      <c r="F1184" s="361" t="s">
        <v>1090</v>
      </c>
      <c r="G1184" s="360" t="s">
        <v>145</v>
      </c>
      <c r="H1184" s="361"/>
      <c r="I1184" s="361"/>
      <c r="J1184" s="361" t="s">
        <v>1127</v>
      </c>
      <c r="K1184" s="363"/>
      <c r="L1184" s="360"/>
      <c r="M1184" s="360"/>
      <c r="N1184" s="361"/>
      <c r="O1184" s="361"/>
      <c r="P1184" s="361"/>
      <c r="Q1184" s="361"/>
      <c r="R1184" s="362"/>
      <c r="S1184" s="361"/>
      <c r="T1184" s="360" t="s">
        <v>132</v>
      </c>
    </row>
    <row r="1185" ht="34.5">
      <c r="A1185" s="360" t="s">
        <v>1066</v>
      </c>
      <c r="B1185" s="360" t="s">
        <v>1067</v>
      </c>
      <c r="C1185" s="360" t="s">
        <v>263</v>
      </c>
      <c r="D1185" s="360" t="s">
        <v>128</v>
      </c>
      <c r="E1185" s="360" t="s">
        <v>167</v>
      </c>
      <c r="F1185" s="361" t="s">
        <v>1090</v>
      </c>
      <c r="G1185" s="360" t="s">
        <v>145</v>
      </c>
      <c r="H1185" s="361"/>
      <c r="I1185" s="361"/>
      <c r="J1185" s="361" t="s">
        <v>1128</v>
      </c>
      <c r="K1185" s="363"/>
      <c r="L1185" s="360"/>
      <c r="M1185" s="360"/>
      <c r="N1185" s="361"/>
      <c r="O1185" s="361"/>
      <c r="P1185" s="361"/>
      <c r="Q1185" s="361"/>
      <c r="R1185" s="362"/>
      <c r="S1185" s="361"/>
      <c r="T1185" s="360" t="s">
        <v>132</v>
      </c>
    </row>
    <row r="1186" ht="34.5">
      <c r="A1186" s="360" t="s">
        <v>1066</v>
      </c>
      <c r="B1186" s="360" t="s">
        <v>1067</v>
      </c>
      <c r="C1186" s="360" t="s">
        <v>263</v>
      </c>
      <c r="D1186" s="360" t="s">
        <v>128</v>
      </c>
      <c r="E1186" s="360" t="s">
        <v>167</v>
      </c>
      <c r="F1186" s="361" t="s">
        <v>1090</v>
      </c>
      <c r="G1186" s="360" t="s">
        <v>145</v>
      </c>
      <c r="H1186" s="361"/>
      <c r="I1186" s="361"/>
      <c r="J1186" s="361" t="s">
        <v>1129</v>
      </c>
      <c r="K1186" s="363"/>
      <c r="L1186" s="360"/>
      <c r="M1186" s="360"/>
      <c r="N1186" s="361"/>
      <c r="O1186" s="361"/>
      <c r="P1186" s="361"/>
      <c r="Q1186" s="361"/>
      <c r="R1186" s="362"/>
      <c r="S1186" s="361"/>
      <c r="T1186" s="360" t="s">
        <v>132</v>
      </c>
    </row>
    <row r="1187" ht="34.5">
      <c r="A1187" s="360" t="s">
        <v>1066</v>
      </c>
      <c r="B1187" s="360" t="s">
        <v>1067</v>
      </c>
      <c r="C1187" s="360" t="s">
        <v>263</v>
      </c>
      <c r="D1187" s="360" t="s">
        <v>128</v>
      </c>
      <c r="E1187" s="360" t="s">
        <v>167</v>
      </c>
      <c r="F1187" s="361" t="s">
        <v>1090</v>
      </c>
      <c r="G1187" s="360" t="s">
        <v>145</v>
      </c>
      <c r="H1187" s="361"/>
      <c r="I1187" s="361"/>
      <c r="J1187" s="361" t="s">
        <v>257</v>
      </c>
      <c r="K1187" s="363"/>
      <c r="L1187" s="360"/>
      <c r="M1187" s="360"/>
      <c r="N1187" s="361"/>
      <c r="O1187" s="361"/>
      <c r="P1187" s="361"/>
      <c r="Q1187" s="361"/>
      <c r="R1187" s="362"/>
      <c r="S1187" s="361"/>
      <c r="T1187" s="360" t="s">
        <v>132</v>
      </c>
    </row>
    <row r="1188" ht="34.5">
      <c r="A1188" s="360" t="s">
        <v>1066</v>
      </c>
      <c r="B1188" s="360" t="s">
        <v>1067</v>
      </c>
      <c r="C1188" s="360" t="s">
        <v>263</v>
      </c>
      <c r="D1188" s="360" t="s">
        <v>128</v>
      </c>
      <c r="E1188" s="360" t="s">
        <v>167</v>
      </c>
      <c r="F1188" s="361" t="s">
        <v>1090</v>
      </c>
      <c r="G1188" s="360" t="s">
        <v>145</v>
      </c>
      <c r="H1188" s="361"/>
      <c r="I1188" s="361"/>
      <c r="J1188" s="361" t="s">
        <v>1130</v>
      </c>
      <c r="K1188" s="363"/>
      <c r="L1188" s="360"/>
      <c r="M1188" s="360"/>
      <c r="N1188" s="361"/>
      <c r="O1188" s="361"/>
      <c r="P1188" s="361"/>
      <c r="Q1188" s="361"/>
      <c r="R1188" s="362"/>
      <c r="S1188" s="361"/>
      <c r="T1188" s="360" t="s">
        <v>132</v>
      </c>
    </row>
    <row r="1189" ht="34.5">
      <c r="A1189" s="360" t="s">
        <v>1066</v>
      </c>
      <c r="B1189" s="360" t="s">
        <v>1067</v>
      </c>
      <c r="C1189" s="360" t="s">
        <v>263</v>
      </c>
      <c r="D1189" s="360" t="s">
        <v>128</v>
      </c>
      <c r="E1189" s="360" t="s">
        <v>167</v>
      </c>
      <c r="F1189" s="361" t="s">
        <v>1090</v>
      </c>
      <c r="G1189" s="360" t="s">
        <v>145</v>
      </c>
      <c r="H1189" s="361"/>
      <c r="I1189" s="361"/>
      <c r="J1189" s="361" t="s">
        <v>1131</v>
      </c>
      <c r="K1189" s="363"/>
      <c r="L1189" s="360"/>
      <c r="M1189" s="360"/>
      <c r="N1189" s="361"/>
      <c r="O1189" s="361"/>
      <c r="P1189" s="361"/>
      <c r="Q1189" s="361"/>
      <c r="R1189" s="362"/>
      <c r="S1189" s="361"/>
      <c r="T1189" s="360" t="s">
        <v>132</v>
      </c>
    </row>
    <row r="1190" ht="34.5">
      <c r="A1190" s="360" t="s">
        <v>1066</v>
      </c>
      <c r="B1190" s="360" t="s">
        <v>1067</v>
      </c>
      <c r="C1190" s="360" t="s">
        <v>263</v>
      </c>
      <c r="D1190" s="360" t="s">
        <v>128</v>
      </c>
      <c r="E1190" s="360" t="s">
        <v>167</v>
      </c>
      <c r="F1190" s="361" t="s">
        <v>1090</v>
      </c>
      <c r="G1190" s="360" t="s">
        <v>145</v>
      </c>
      <c r="H1190" s="361"/>
      <c r="I1190" s="361"/>
      <c r="J1190" s="361" t="s">
        <v>1132</v>
      </c>
      <c r="K1190" s="363"/>
      <c r="L1190" s="360"/>
      <c r="M1190" s="360"/>
      <c r="N1190" s="361"/>
      <c r="O1190" s="361"/>
      <c r="P1190" s="361"/>
      <c r="Q1190" s="361"/>
      <c r="R1190" s="362"/>
      <c r="S1190" s="361"/>
      <c r="T1190" s="360" t="s">
        <v>132</v>
      </c>
    </row>
    <row r="1191" ht="34.5">
      <c r="A1191" s="360" t="s">
        <v>1066</v>
      </c>
      <c r="B1191" s="360" t="s">
        <v>1067</v>
      </c>
      <c r="C1191" s="360" t="s">
        <v>263</v>
      </c>
      <c r="D1191" s="360" t="s">
        <v>128</v>
      </c>
      <c r="E1191" s="360" t="s">
        <v>167</v>
      </c>
      <c r="F1191" s="361" t="s">
        <v>1090</v>
      </c>
      <c r="G1191" s="360" t="s">
        <v>145</v>
      </c>
      <c r="H1191" s="361"/>
      <c r="I1191" s="361"/>
      <c r="J1191" s="361" t="s">
        <v>266</v>
      </c>
      <c r="K1191" s="363"/>
      <c r="L1191" s="360"/>
      <c r="M1191" s="360"/>
      <c r="N1191" s="361"/>
      <c r="O1191" s="361"/>
      <c r="P1191" s="361"/>
      <c r="Q1191" s="361"/>
      <c r="R1191" s="362"/>
      <c r="S1191" s="361"/>
      <c r="T1191" s="360" t="s">
        <v>132</v>
      </c>
    </row>
    <row r="1192" ht="34.5">
      <c r="A1192" s="360" t="s">
        <v>1066</v>
      </c>
      <c r="B1192" s="360" t="s">
        <v>1067</v>
      </c>
      <c r="C1192" s="360" t="s">
        <v>263</v>
      </c>
      <c r="D1192" s="360" t="s">
        <v>128</v>
      </c>
      <c r="E1192" s="360" t="s">
        <v>167</v>
      </c>
      <c r="F1192" s="361" t="s">
        <v>1090</v>
      </c>
      <c r="G1192" s="360" t="s">
        <v>145</v>
      </c>
      <c r="H1192" s="361"/>
      <c r="I1192" s="361"/>
      <c r="J1192" s="361" t="s">
        <v>1133</v>
      </c>
      <c r="K1192" s="363"/>
      <c r="L1192" s="360"/>
      <c r="M1192" s="360"/>
      <c r="N1192" s="361"/>
      <c r="O1192" s="361"/>
      <c r="P1192" s="361"/>
      <c r="Q1192" s="361"/>
      <c r="R1192" s="362"/>
      <c r="S1192" s="361"/>
      <c r="T1192" s="360" t="s">
        <v>132</v>
      </c>
    </row>
    <row r="1193" ht="34.5">
      <c r="A1193" s="360" t="s">
        <v>1066</v>
      </c>
      <c r="B1193" s="360" t="s">
        <v>1067</v>
      </c>
      <c r="C1193" s="360" t="s">
        <v>263</v>
      </c>
      <c r="D1193" s="360" t="s">
        <v>128</v>
      </c>
      <c r="E1193" s="360" t="s">
        <v>167</v>
      </c>
      <c r="F1193" s="361" t="s">
        <v>1090</v>
      </c>
      <c r="G1193" s="360" t="s">
        <v>145</v>
      </c>
      <c r="H1193" s="361"/>
      <c r="I1193" s="361"/>
      <c r="J1193" s="361" t="s">
        <v>1134</v>
      </c>
      <c r="K1193" s="363"/>
      <c r="L1193" s="360"/>
      <c r="M1193" s="360"/>
      <c r="N1193" s="361"/>
      <c r="O1193" s="361"/>
      <c r="P1193" s="361"/>
      <c r="Q1193" s="361"/>
      <c r="R1193" s="362"/>
      <c r="S1193" s="361"/>
      <c r="T1193" s="360" t="s">
        <v>132</v>
      </c>
    </row>
    <row r="1194" ht="34.5">
      <c r="A1194" s="360" t="s">
        <v>1066</v>
      </c>
      <c r="B1194" s="360" t="s">
        <v>1067</v>
      </c>
      <c r="C1194" s="360" t="s">
        <v>273</v>
      </c>
      <c r="D1194" s="360" t="s">
        <v>128</v>
      </c>
      <c r="E1194" s="360" t="s">
        <v>167</v>
      </c>
      <c r="F1194" s="361" t="s">
        <v>1090</v>
      </c>
      <c r="G1194" s="360" t="s">
        <v>145</v>
      </c>
      <c r="H1194" s="361"/>
      <c r="I1194" s="361"/>
      <c r="J1194" s="361" t="s">
        <v>269</v>
      </c>
      <c r="K1194" s="363"/>
      <c r="L1194" s="360"/>
      <c r="M1194" s="360"/>
      <c r="N1194" s="361"/>
      <c r="O1194" s="361"/>
      <c r="P1194" s="361"/>
      <c r="Q1194" s="361"/>
      <c r="R1194" s="362"/>
      <c r="S1194" s="361"/>
      <c r="T1194" s="360" t="s">
        <v>132</v>
      </c>
    </row>
    <row r="1195" ht="34.5">
      <c r="A1195" s="360" t="s">
        <v>1066</v>
      </c>
      <c r="B1195" s="360" t="s">
        <v>1067</v>
      </c>
      <c r="C1195" s="360" t="s">
        <v>273</v>
      </c>
      <c r="D1195" s="360" t="s">
        <v>128</v>
      </c>
      <c r="E1195" s="360" t="s">
        <v>167</v>
      </c>
      <c r="F1195" s="361" t="s">
        <v>1090</v>
      </c>
      <c r="G1195" s="360" t="s">
        <v>145</v>
      </c>
      <c r="H1195" s="361"/>
      <c r="I1195" s="361"/>
      <c r="J1195" s="361" t="s">
        <v>1135</v>
      </c>
      <c r="K1195" s="363"/>
      <c r="L1195" s="360"/>
      <c r="M1195" s="360"/>
      <c r="N1195" s="361"/>
      <c r="O1195" s="361"/>
      <c r="P1195" s="361"/>
      <c r="Q1195" s="361"/>
      <c r="R1195" s="362"/>
      <c r="S1195" s="361"/>
      <c r="T1195" s="360" t="s">
        <v>132</v>
      </c>
    </row>
    <row r="1196" ht="34.5">
      <c r="A1196" s="360" t="s">
        <v>1066</v>
      </c>
      <c r="B1196" s="360" t="s">
        <v>1067</v>
      </c>
      <c r="C1196" s="360" t="s">
        <v>273</v>
      </c>
      <c r="D1196" s="360" t="s">
        <v>128</v>
      </c>
      <c r="E1196" s="360" t="s">
        <v>167</v>
      </c>
      <c r="F1196" s="361" t="s">
        <v>1090</v>
      </c>
      <c r="G1196" s="360" t="s">
        <v>145</v>
      </c>
      <c r="H1196" s="361"/>
      <c r="I1196" s="361"/>
      <c r="J1196" s="361" t="s">
        <v>1136</v>
      </c>
      <c r="K1196" s="363"/>
      <c r="L1196" s="360"/>
      <c r="M1196" s="360"/>
      <c r="N1196" s="361"/>
      <c r="O1196" s="361"/>
      <c r="P1196" s="361"/>
      <c r="Q1196" s="361"/>
      <c r="R1196" s="362"/>
      <c r="S1196" s="361"/>
      <c r="T1196" s="360" t="s">
        <v>132</v>
      </c>
    </row>
    <row r="1197" ht="34.5">
      <c r="A1197" s="360" t="s">
        <v>1066</v>
      </c>
      <c r="B1197" s="360" t="s">
        <v>1067</v>
      </c>
      <c r="C1197" s="360" t="s">
        <v>273</v>
      </c>
      <c r="D1197" s="360" t="s">
        <v>128</v>
      </c>
      <c r="E1197" s="360" t="s">
        <v>167</v>
      </c>
      <c r="F1197" s="361" t="s">
        <v>1090</v>
      </c>
      <c r="G1197" s="360" t="s">
        <v>145</v>
      </c>
      <c r="H1197" s="361"/>
      <c r="I1197" s="361"/>
      <c r="J1197" s="361" t="s">
        <v>1137</v>
      </c>
      <c r="K1197" s="363"/>
      <c r="L1197" s="360"/>
      <c r="M1197" s="360"/>
      <c r="N1197" s="361"/>
      <c r="O1197" s="361"/>
      <c r="P1197" s="361"/>
      <c r="Q1197" s="361"/>
      <c r="R1197" s="362"/>
      <c r="S1197" s="361"/>
      <c r="T1197" s="360" t="s">
        <v>132</v>
      </c>
    </row>
    <row r="1198" ht="34.5">
      <c r="A1198" s="360" t="s">
        <v>1066</v>
      </c>
      <c r="B1198" s="360" t="s">
        <v>1067</v>
      </c>
      <c r="C1198" s="360" t="s">
        <v>273</v>
      </c>
      <c r="D1198" s="360" t="s">
        <v>128</v>
      </c>
      <c r="E1198" s="360" t="s">
        <v>167</v>
      </c>
      <c r="F1198" s="361" t="s">
        <v>1090</v>
      </c>
      <c r="G1198" s="360" t="s">
        <v>145</v>
      </c>
      <c r="H1198" s="361"/>
      <c r="I1198" s="361"/>
      <c r="J1198" s="361" t="s">
        <v>1138</v>
      </c>
      <c r="K1198" s="363"/>
      <c r="L1198" s="360"/>
      <c r="M1198" s="360"/>
      <c r="N1198" s="361"/>
      <c r="O1198" s="361"/>
      <c r="P1198" s="361"/>
      <c r="Q1198" s="361"/>
      <c r="R1198" s="362"/>
      <c r="S1198" s="361"/>
      <c r="T1198" s="360" t="s">
        <v>132</v>
      </c>
    </row>
    <row r="1199" ht="34.5">
      <c r="A1199" s="360" t="s">
        <v>1066</v>
      </c>
      <c r="B1199" s="360" t="s">
        <v>1067</v>
      </c>
      <c r="C1199" s="360" t="s">
        <v>273</v>
      </c>
      <c r="D1199" s="360" t="s">
        <v>128</v>
      </c>
      <c r="E1199" s="360" t="s">
        <v>167</v>
      </c>
      <c r="F1199" s="361" t="s">
        <v>1090</v>
      </c>
      <c r="G1199" s="360" t="s">
        <v>145</v>
      </c>
      <c r="H1199" s="361"/>
      <c r="I1199" s="361"/>
      <c r="J1199" s="361" t="s">
        <v>1139</v>
      </c>
      <c r="K1199" s="363"/>
      <c r="L1199" s="360"/>
      <c r="M1199" s="360"/>
      <c r="N1199" s="361"/>
      <c r="O1199" s="361"/>
      <c r="P1199" s="361"/>
      <c r="Q1199" s="361"/>
      <c r="R1199" s="362"/>
      <c r="S1199" s="361"/>
      <c r="T1199" s="360" t="s">
        <v>132</v>
      </c>
    </row>
    <row r="1200" ht="34.5">
      <c r="A1200" s="360" t="s">
        <v>1066</v>
      </c>
      <c r="B1200" s="360" t="s">
        <v>1067</v>
      </c>
      <c r="C1200" s="360" t="s">
        <v>273</v>
      </c>
      <c r="D1200" s="360" t="s">
        <v>128</v>
      </c>
      <c r="E1200" s="360" t="s">
        <v>167</v>
      </c>
      <c r="F1200" s="361" t="s">
        <v>1090</v>
      </c>
      <c r="G1200" s="360" t="s">
        <v>145</v>
      </c>
      <c r="H1200" s="361"/>
      <c r="I1200" s="361"/>
      <c r="J1200" s="361" t="s">
        <v>1140</v>
      </c>
      <c r="K1200" s="363"/>
      <c r="L1200" s="360"/>
      <c r="M1200" s="360"/>
      <c r="N1200" s="361"/>
      <c r="O1200" s="361"/>
      <c r="P1200" s="361"/>
      <c r="Q1200" s="361"/>
      <c r="R1200" s="362"/>
      <c r="S1200" s="361"/>
      <c r="T1200" s="360" t="s">
        <v>132</v>
      </c>
    </row>
    <row r="1201" ht="34.5">
      <c r="A1201" s="360" t="s">
        <v>1066</v>
      </c>
      <c r="B1201" s="360" t="s">
        <v>1067</v>
      </c>
      <c r="C1201" s="360" t="s">
        <v>273</v>
      </c>
      <c r="D1201" s="360" t="s">
        <v>128</v>
      </c>
      <c r="E1201" s="360" t="s">
        <v>167</v>
      </c>
      <c r="F1201" s="361" t="s">
        <v>1090</v>
      </c>
      <c r="G1201" s="360" t="s">
        <v>145</v>
      </c>
      <c r="H1201" s="361"/>
      <c r="I1201" s="361"/>
      <c r="J1201" s="361" t="s">
        <v>1141</v>
      </c>
      <c r="K1201" s="363"/>
      <c r="L1201" s="360"/>
      <c r="M1201" s="360"/>
      <c r="N1201" s="361"/>
      <c r="O1201" s="361"/>
      <c r="P1201" s="361"/>
      <c r="Q1201" s="361"/>
      <c r="R1201" s="362"/>
      <c r="S1201" s="361"/>
      <c r="T1201" s="360" t="s">
        <v>132</v>
      </c>
    </row>
    <row r="1202" ht="34.5">
      <c r="A1202" s="360" t="s">
        <v>1066</v>
      </c>
      <c r="B1202" s="360" t="s">
        <v>1067</v>
      </c>
      <c r="C1202" s="360" t="s">
        <v>273</v>
      </c>
      <c r="D1202" s="360" t="s">
        <v>128</v>
      </c>
      <c r="E1202" s="360" t="s">
        <v>167</v>
      </c>
      <c r="F1202" s="361" t="s">
        <v>1090</v>
      </c>
      <c r="G1202" s="360" t="s">
        <v>145</v>
      </c>
      <c r="H1202" s="361"/>
      <c r="I1202" s="361"/>
      <c r="J1202" s="361" t="s">
        <v>1142</v>
      </c>
      <c r="K1202" s="363"/>
      <c r="L1202" s="360"/>
      <c r="M1202" s="360"/>
      <c r="N1202" s="361"/>
      <c r="O1202" s="361"/>
      <c r="P1202" s="361"/>
      <c r="Q1202" s="361"/>
      <c r="R1202" s="362"/>
      <c r="S1202" s="361"/>
      <c r="T1202" s="360" t="s">
        <v>132</v>
      </c>
    </row>
    <row r="1203" ht="34.5">
      <c r="A1203" s="360" t="s">
        <v>1066</v>
      </c>
      <c r="B1203" s="360" t="s">
        <v>1067</v>
      </c>
      <c r="C1203" s="360" t="s">
        <v>273</v>
      </c>
      <c r="D1203" s="360" t="s">
        <v>128</v>
      </c>
      <c r="E1203" s="360" t="s">
        <v>167</v>
      </c>
      <c r="F1203" s="361" t="s">
        <v>1090</v>
      </c>
      <c r="G1203" s="360" t="s">
        <v>145</v>
      </c>
      <c r="H1203" s="361"/>
      <c r="I1203" s="361"/>
      <c r="J1203" s="361" t="s">
        <v>1143</v>
      </c>
      <c r="K1203" s="363"/>
      <c r="L1203" s="360"/>
      <c r="M1203" s="360"/>
      <c r="N1203" s="361"/>
      <c r="O1203" s="361"/>
      <c r="P1203" s="361"/>
      <c r="Q1203" s="361"/>
      <c r="R1203" s="362"/>
      <c r="S1203" s="361"/>
      <c r="T1203" s="360" t="s">
        <v>132</v>
      </c>
    </row>
    <row r="1204" ht="34.5">
      <c r="A1204" s="360" t="s">
        <v>1066</v>
      </c>
      <c r="B1204" s="360" t="s">
        <v>1067</v>
      </c>
      <c r="C1204" s="360" t="s">
        <v>273</v>
      </c>
      <c r="D1204" s="360" t="s">
        <v>128</v>
      </c>
      <c r="E1204" s="360" t="s">
        <v>167</v>
      </c>
      <c r="F1204" s="361" t="s">
        <v>1090</v>
      </c>
      <c r="G1204" s="360" t="s">
        <v>145</v>
      </c>
      <c r="H1204" s="361"/>
      <c r="I1204" s="361"/>
      <c r="J1204" s="361" t="s">
        <v>283</v>
      </c>
      <c r="K1204" s="363"/>
      <c r="L1204" s="360"/>
      <c r="M1204" s="360"/>
      <c r="N1204" s="361"/>
      <c r="O1204" s="361"/>
      <c r="P1204" s="361"/>
      <c r="Q1204" s="361"/>
      <c r="R1204" s="362"/>
      <c r="S1204" s="361"/>
      <c r="T1204" s="360" t="s">
        <v>132</v>
      </c>
    </row>
    <row r="1205" ht="34.5">
      <c r="A1205" s="360" t="s">
        <v>1066</v>
      </c>
      <c r="B1205" s="360" t="s">
        <v>1067</v>
      </c>
      <c r="C1205" s="360" t="s">
        <v>273</v>
      </c>
      <c r="D1205" s="360" t="s">
        <v>128</v>
      </c>
      <c r="E1205" s="360" t="s">
        <v>167</v>
      </c>
      <c r="F1205" s="361" t="s">
        <v>1090</v>
      </c>
      <c r="G1205" s="360" t="s">
        <v>145</v>
      </c>
      <c r="H1205" s="361"/>
      <c r="I1205" s="361"/>
      <c r="J1205" s="361" t="s">
        <v>1144</v>
      </c>
      <c r="K1205" s="363"/>
      <c r="L1205" s="360"/>
      <c r="M1205" s="360"/>
      <c r="N1205" s="361"/>
      <c r="O1205" s="361"/>
      <c r="P1205" s="361"/>
      <c r="Q1205" s="361"/>
      <c r="R1205" s="362"/>
      <c r="S1205" s="361"/>
      <c r="T1205" s="360" t="s">
        <v>132</v>
      </c>
    </row>
    <row r="1206" ht="34.5">
      <c r="A1206" s="360" t="s">
        <v>1066</v>
      </c>
      <c r="B1206" s="360" t="s">
        <v>1067</v>
      </c>
      <c r="C1206" s="360" t="s">
        <v>273</v>
      </c>
      <c r="D1206" s="360" t="s">
        <v>128</v>
      </c>
      <c r="E1206" s="360" t="s">
        <v>167</v>
      </c>
      <c r="F1206" s="361" t="s">
        <v>1090</v>
      </c>
      <c r="G1206" s="360" t="s">
        <v>145</v>
      </c>
      <c r="H1206" s="361"/>
      <c r="I1206" s="361"/>
      <c r="J1206" s="361" t="s">
        <v>285</v>
      </c>
      <c r="K1206" s="363"/>
      <c r="L1206" s="360"/>
      <c r="M1206" s="360"/>
      <c r="N1206" s="361"/>
      <c r="O1206" s="361"/>
      <c r="P1206" s="361"/>
      <c r="Q1206" s="361"/>
      <c r="R1206" s="362"/>
      <c r="S1206" s="361"/>
      <c r="T1206" s="360" t="s">
        <v>132</v>
      </c>
    </row>
    <row r="1207" ht="34.5">
      <c r="A1207" s="360" t="s">
        <v>1066</v>
      </c>
      <c r="B1207" s="360" t="s">
        <v>1067</v>
      </c>
      <c r="C1207" s="360" t="s">
        <v>273</v>
      </c>
      <c r="D1207" s="360" t="s">
        <v>128</v>
      </c>
      <c r="E1207" s="360" t="s">
        <v>167</v>
      </c>
      <c r="F1207" s="361" t="s">
        <v>1090</v>
      </c>
      <c r="G1207" s="360" t="s">
        <v>145</v>
      </c>
      <c r="H1207" s="361"/>
      <c r="I1207" s="361"/>
      <c r="J1207" s="361" t="s">
        <v>1145</v>
      </c>
      <c r="K1207" s="363"/>
      <c r="L1207" s="360"/>
      <c r="M1207" s="360"/>
      <c r="N1207" s="361"/>
      <c r="O1207" s="361"/>
      <c r="P1207" s="361"/>
      <c r="Q1207" s="361"/>
      <c r="R1207" s="362"/>
      <c r="S1207" s="361"/>
      <c r="T1207" s="360" t="s">
        <v>132</v>
      </c>
    </row>
    <row r="1208" ht="34.5">
      <c r="A1208" s="360" t="s">
        <v>1066</v>
      </c>
      <c r="B1208" s="360" t="s">
        <v>1067</v>
      </c>
      <c r="C1208" s="360" t="s">
        <v>288</v>
      </c>
      <c r="D1208" s="360" t="s">
        <v>128</v>
      </c>
      <c r="E1208" s="360" t="s">
        <v>167</v>
      </c>
      <c r="F1208" s="361" t="s">
        <v>1090</v>
      </c>
      <c r="G1208" s="360" t="s">
        <v>145</v>
      </c>
      <c r="H1208" s="361"/>
      <c r="I1208" s="361"/>
      <c r="J1208" s="361" t="s">
        <v>1146</v>
      </c>
      <c r="K1208" s="363"/>
      <c r="L1208" s="360"/>
      <c r="M1208" s="360"/>
      <c r="N1208" s="361"/>
      <c r="O1208" s="361"/>
      <c r="P1208" s="361"/>
      <c r="Q1208" s="361"/>
      <c r="R1208" s="362"/>
      <c r="S1208" s="361"/>
      <c r="T1208" s="360" t="s">
        <v>132</v>
      </c>
    </row>
    <row r="1209" ht="34.5">
      <c r="A1209" s="360" t="s">
        <v>1066</v>
      </c>
      <c r="B1209" s="360" t="s">
        <v>1067</v>
      </c>
      <c r="C1209" s="360" t="s">
        <v>288</v>
      </c>
      <c r="D1209" s="360" t="s">
        <v>128</v>
      </c>
      <c r="E1209" s="360" t="s">
        <v>167</v>
      </c>
      <c r="F1209" s="361" t="s">
        <v>1090</v>
      </c>
      <c r="G1209" s="360" t="s">
        <v>145</v>
      </c>
      <c r="H1209" s="361"/>
      <c r="I1209" s="361"/>
      <c r="J1209" s="361" t="s">
        <v>1147</v>
      </c>
      <c r="K1209" s="363"/>
      <c r="L1209" s="360"/>
      <c r="M1209" s="360"/>
      <c r="N1209" s="361"/>
      <c r="O1209" s="361"/>
      <c r="P1209" s="361"/>
      <c r="Q1209" s="361"/>
      <c r="R1209" s="362"/>
      <c r="S1209" s="361"/>
      <c r="T1209" s="360" t="s">
        <v>132</v>
      </c>
    </row>
    <row r="1210" ht="34.5">
      <c r="A1210" s="360" t="s">
        <v>1066</v>
      </c>
      <c r="B1210" s="360" t="s">
        <v>1067</v>
      </c>
      <c r="C1210" s="360" t="s">
        <v>288</v>
      </c>
      <c r="D1210" s="360" t="s">
        <v>128</v>
      </c>
      <c r="E1210" s="360" t="s">
        <v>167</v>
      </c>
      <c r="F1210" s="361" t="s">
        <v>1090</v>
      </c>
      <c r="G1210" s="360" t="s">
        <v>145</v>
      </c>
      <c r="H1210" s="361"/>
      <c r="I1210" s="361"/>
      <c r="J1210" s="361" t="s">
        <v>924</v>
      </c>
      <c r="K1210" s="363"/>
      <c r="L1210" s="360"/>
      <c r="M1210" s="360"/>
      <c r="N1210" s="361"/>
      <c r="O1210" s="361"/>
      <c r="P1210" s="361"/>
      <c r="Q1210" s="361"/>
      <c r="R1210" s="362"/>
      <c r="S1210" s="361"/>
      <c r="T1210" s="360" t="s">
        <v>132</v>
      </c>
    </row>
    <row r="1211" ht="34.5">
      <c r="A1211" s="360" t="s">
        <v>1066</v>
      </c>
      <c r="B1211" s="360" t="s">
        <v>1067</v>
      </c>
      <c r="C1211" s="360" t="s">
        <v>288</v>
      </c>
      <c r="D1211" s="360" t="s">
        <v>128</v>
      </c>
      <c r="E1211" s="360" t="s">
        <v>167</v>
      </c>
      <c r="F1211" s="361" t="s">
        <v>1090</v>
      </c>
      <c r="G1211" s="360" t="s">
        <v>145</v>
      </c>
      <c r="H1211" s="361"/>
      <c r="I1211" s="361"/>
      <c r="J1211" s="361" t="s">
        <v>1148</v>
      </c>
      <c r="K1211" s="363"/>
      <c r="L1211" s="360"/>
      <c r="M1211" s="360"/>
      <c r="N1211" s="361"/>
      <c r="O1211" s="361"/>
      <c r="P1211" s="361"/>
      <c r="Q1211" s="361"/>
      <c r="R1211" s="362"/>
      <c r="S1211" s="361"/>
      <c r="T1211" s="360" t="s">
        <v>132</v>
      </c>
    </row>
    <row r="1212" ht="34.5">
      <c r="A1212" s="360" t="s">
        <v>1066</v>
      </c>
      <c r="B1212" s="360" t="s">
        <v>1067</v>
      </c>
      <c r="C1212" s="360" t="s">
        <v>288</v>
      </c>
      <c r="D1212" s="360" t="s">
        <v>128</v>
      </c>
      <c r="E1212" s="360" t="s">
        <v>167</v>
      </c>
      <c r="F1212" s="361" t="s">
        <v>1090</v>
      </c>
      <c r="G1212" s="360" t="s">
        <v>145</v>
      </c>
      <c r="H1212" s="361"/>
      <c r="I1212" s="361"/>
      <c r="J1212" s="361" t="s">
        <v>1149</v>
      </c>
      <c r="K1212" s="363"/>
      <c r="L1212" s="360"/>
      <c r="M1212" s="360"/>
      <c r="N1212" s="361"/>
      <c r="O1212" s="361"/>
      <c r="P1212" s="361"/>
      <c r="Q1212" s="361"/>
      <c r="R1212" s="362"/>
      <c r="S1212" s="361"/>
      <c r="T1212" s="360" t="s">
        <v>132</v>
      </c>
    </row>
    <row r="1213" ht="34.5">
      <c r="A1213" s="360" t="s">
        <v>1066</v>
      </c>
      <c r="B1213" s="360" t="s">
        <v>1067</v>
      </c>
      <c r="C1213" s="360" t="s">
        <v>288</v>
      </c>
      <c r="D1213" s="360" t="s">
        <v>128</v>
      </c>
      <c r="E1213" s="360" t="s">
        <v>167</v>
      </c>
      <c r="F1213" s="361" t="s">
        <v>1090</v>
      </c>
      <c r="G1213" s="360" t="s">
        <v>145</v>
      </c>
      <c r="H1213" s="361"/>
      <c r="I1213" s="361"/>
      <c r="J1213" s="361" t="s">
        <v>1150</v>
      </c>
      <c r="K1213" s="363"/>
      <c r="L1213" s="360"/>
      <c r="M1213" s="360"/>
      <c r="N1213" s="361"/>
      <c r="O1213" s="361"/>
      <c r="P1213" s="361"/>
      <c r="Q1213" s="361"/>
      <c r="R1213" s="362"/>
      <c r="S1213" s="361"/>
      <c r="T1213" s="360" t="s">
        <v>132</v>
      </c>
    </row>
    <row r="1214" ht="34.5">
      <c r="A1214" s="360" t="s">
        <v>1066</v>
      </c>
      <c r="B1214" s="360" t="s">
        <v>1067</v>
      </c>
      <c r="C1214" s="360" t="s">
        <v>288</v>
      </c>
      <c r="D1214" s="360" t="s">
        <v>128</v>
      </c>
      <c r="E1214" s="360" t="s">
        <v>167</v>
      </c>
      <c r="F1214" s="361" t="s">
        <v>1090</v>
      </c>
      <c r="G1214" s="360" t="s">
        <v>145</v>
      </c>
      <c r="H1214" s="361"/>
      <c r="I1214" s="361"/>
      <c r="J1214" s="361" t="s">
        <v>1151</v>
      </c>
      <c r="K1214" s="363"/>
      <c r="L1214" s="360"/>
      <c r="M1214" s="360"/>
      <c r="N1214" s="361"/>
      <c r="O1214" s="361"/>
      <c r="P1214" s="361"/>
      <c r="Q1214" s="361"/>
      <c r="R1214" s="362"/>
      <c r="S1214" s="361"/>
      <c r="T1214" s="360" t="s">
        <v>132</v>
      </c>
    </row>
    <row r="1215" ht="34.5">
      <c r="A1215" s="360" t="s">
        <v>1066</v>
      </c>
      <c r="B1215" s="360" t="s">
        <v>1067</v>
      </c>
      <c r="C1215" s="360" t="s">
        <v>288</v>
      </c>
      <c r="D1215" s="360" t="s">
        <v>128</v>
      </c>
      <c r="E1215" s="360" t="s">
        <v>167</v>
      </c>
      <c r="F1215" s="361" t="s">
        <v>1090</v>
      </c>
      <c r="G1215" s="360" t="s">
        <v>145</v>
      </c>
      <c r="H1215" s="361"/>
      <c r="I1215" s="361"/>
      <c r="J1215" s="361" t="s">
        <v>929</v>
      </c>
      <c r="K1215" s="363"/>
      <c r="L1215" s="360"/>
      <c r="M1215" s="360"/>
      <c r="N1215" s="361"/>
      <c r="O1215" s="361"/>
      <c r="P1215" s="361"/>
      <c r="Q1215" s="361"/>
      <c r="R1215" s="362"/>
      <c r="S1215" s="361"/>
      <c r="T1215" s="360" t="s">
        <v>132</v>
      </c>
    </row>
    <row r="1216" ht="34.5">
      <c r="A1216" s="360" t="s">
        <v>1066</v>
      </c>
      <c r="B1216" s="360" t="s">
        <v>1067</v>
      </c>
      <c r="C1216" s="360" t="s">
        <v>288</v>
      </c>
      <c r="D1216" s="360" t="s">
        <v>128</v>
      </c>
      <c r="E1216" s="360" t="s">
        <v>167</v>
      </c>
      <c r="F1216" s="361" t="s">
        <v>1090</v>
      </c>
      <c r="G1216" s="360" t="s">
        <v>145</v>
      </c>
      <c r="H1216" s="361"/>
      <c r="I1216" s="361"/>
      <c r="J1216" s="361" t="s">
        <v>930</v>
      </c>
      <c r="K1216" s="363"/>
      <c r="L1216" s="360"/>
      <c r="M1216" s="360"/>
      <c r="N1216" s="361"/>
      <c r="O1216" s="361"/>
      <c r="P1216" s="361"/>
      <c r="Q1216" s="361"/>
      <c r="R1216" s="362"/>
      <c r="S1216" s="361"/>
      <c r="T1216" s="360" t="s">
        <v>132</v>
      </c>
    </row>
    <row r="1217" ht="34.5">
      <c r="A1217" s="360" t="s">
        <v>1066</v>
      </c>
      <c r="B1217" s="360" t="s">
        <v>1067</v>
      </c>
      <c r="C1217" s="360" t="s">
        <v>288</v>
      </c>
      <c r="D1217" s="360" t="s">
        <v>128</v>
      </c>
      <c r="E1217" s="360" t="s">
        <v>167</v>
      </c>
      <c r="F1217" s="361" t="s">
        <v>1090</v>
      </c>
      <c r="G1217" s="360" t="s">
        <v>145</v>
      </c>
      <c r="H1217" s="361"/>
      <c r="I1217" s="361"/>
      <c r="J1217" s="361" t="s">
        <v>1152</v>
      </c>
      <c r="K1217" s="363"/>
      <c r="L1217" s="360"/>
      <c r="M1217" s="360"/>
      <c r="N1217" s="361"/>
      <c r="O1217" s="361"/>
      <c r="P1217" s="361"/>
      <c r="Q1217" s="361"/>
      <c r="R1217" s="362"/>
      <c r="S1217" s="361"/>
      <c r="T1217" s="360" t="s">
        <v>132</v>
      </c>
    </row>
    <row r="1218" ht="34.5">
      <c r="A1218" s="360" t="s">
        <v>1066</v>
      </c>
      <c r="B1218" s="360" t="s">
        <v>1067</v>
      </c>
      <c r="C1218" s="360" t="s">
        <v>288</v>
      </c>
      <c r="D1218" s="360" t="s">
        <v>128</v>
      </c>
      <c r="E1218" s="360" t="s">
        <v>167</v>
      </c>
      <c r="F1218" s="361" t="s">
        <v>1090</v>
      </c>
      <c r="G1218" s="360" t="s">
        <v>145</v>
      </c>
      <c r="H1218" s="361"/>
      <c r="I1218" s="361"/>
      <c r="J1218" s="361" t="s">
        <v>290</v>
      </c>
      <c r="K1218" s="363"/>
      <c r="L1218" s="360"/>
      <c r="M1218" s="360"/>
      <c r="N1218" s="361"/>
      <c r="O1218" s="361"/>
      <c r="P1218" s="361"/>
      <c r="Q1218" s="361"/>
      <c r="R1218" s="362"/>
      <c r="S1218" s="361"/>
      <c r="T1218" s="360" t="s">
        <v>132</v>
      </c>
    </row>
    <row r="1219" ht="34.5">
      <c r="A1219" s="360" t="s">
        <v>1066</v>
      </c>
      <c r="B1219" s="360" t="s">
        <v>1067</v>
      </c>
      <c r="C1219" s="360" t="s">
        <v>288</v>
      </c>
      <c r="D1219" s="360" t="s">
        <v>128</v>
      </c>
      <c r="E1219" s="360" t="s">
        <v>167</v>
      </c>
      <c r="F1219" s="361" t="s">
        <v>1090</v>
      </c>
      <c r="G1219" s="360" t="s">
        <v>145</v>
      </c>
      <c r="H1219" s="361"/>
      <c r="I1219" s="361"/>
      <c r="J1219" s="361" t="s">
        <v>291</v>
      </c>
      <c r="K1219" s="363"/>
      <c r="L1219" s="360"/>
      <c r="M1219" s="360"/>
      <c r="N1219" s="361"/>
      <c r="O1219" s="361"/>
      <c r="P1219" s="361"/>
      <c r="Q1219" s="361"/>
      <c r="R1219" s="362"/>
      <c r="S1219" s="361"/>
      <c r="T1219" s="360" t="s">
        <v>132</v>
      </c>
    </row>
    <row r="1220" ht="34.5">
      <c r="A1220" s="360" t="s">
        <v>1066</v>
      </c>
      <c r="B1220" s="360" t="s">
        <v>1067</v>
      </c>
      <c r="C1220" s="360" t="s">
        <v>300</v>
      </c>
      <c r="D1220" s="360" t="s">
        <v>128</v>
      </c>
      <c r="E1220" s="360" t="s">
        <v>167</v>
      </c>
      <c r="F1220" s="361" t="s">
        <v>1090</v>
      </c>
      <c r="G1220" s="360" t="s">
        <v>145</v>
      </c>
      <c r="H1220" s="361"/>
      <c r="I1220" s="361"/>
      <c r="J1220" s="361" t="s">
        <v>931</v>
      </c>
      <c r="K1220" s="363"/>
      <c r="L1220" s="360"/>
      <c r="M1220" s="360"/>
      <c r="N1220" s="361"/>
      <c r="O1220" s="361"/>
      <c r="P1220" s="361"/>
      <c r="Q1220" s="361"/>
      <c r="R1220" s="362"/>
      <c r="S1220" s="361"/>
      <c r="T1220" s="360" t="s">
        <v>132</v>
      </c>
    </row>
    <row r="1221" ht="34.5">
      <c r="A1221" s="360" t="s">
        <v>1066</v>
      </c>
      <c r="B1221" s="360" t="s">
        <v>1067</v>
      </c>
      <c r="C1221" s="360" t="s">
        <v>300</v>
      </c>
      <c r="D1221" s="360" t="s">
        <v>128</v>
      </c>
      <c r="E1221" s="360" t="s">
        <v>167</v>
      </c>
      <c r="F1221" s="361" t="s">
        <v>1090</v>
      </c>
      <c r="G1221" s="360" t="s">
        <v>145</v>
      </c>
      <c r="H1221" s="361"/>
      <c r="I1221" s="361"/>
      <c r="J1221" s="361" t="s">
        <v>293</v>
      </c>
      <c r="K1221" s="363"/>
      <c r="L1221" s="360"/>
      <c r="M1221" s="360"/>
      <c r="N1221" s="361"/>
      <c r="O1221" s="361"/>
      <c r="P1221" s="361"/>
      <c r="Q1221" s="361"/>
      <c r="R1221" s="362"/>
      <c r="S1221" s="361"/>
      <c r="T1221" s="360" t="s">
        <v>132</v>
      </c>
    </row>
    <row r="1222" ht="34.5">
      <c r="A1222" s="360" t="s">
        <v>1066</v>
      </c>
      <c r="B1222" s="360" t="s">
        <v>1067</v>
      </c>
      <c r="C1222" s="360" t="s">
        <v>300</v>
      </c>
      <c r="D1222" s="360" t="s">
        <v>128</v>
      </c>
      <c r="E1222" s="360" t="s">
        <v>167</v>
      </c>
      <c r="F1222" s="361" t="s">
        <v>1090</v>
      </c>
      <c r="G1222" s="360" t="s">
        <v>145</v>
      </c>
      <c r="H1222" s="361"/>
      <c r="I1222" s="361"/>
      <c r="J1222" s="361" t="s">
        <v>1153</v>
      </c>
      <c r="K1222" s="363"/>
      <c r="L1222" s="360"/>
      <c r="M1222" s="360"/>
      <c r="N1222" s="361"/>
      <c r="O1222" s="361"/>
      <c r="P1222" s="361"/>
      <c r="Q1222" s="361"/>
      <c r="R1222" s="362"/>
      <c r="S1222" s="361"/>
      <c r="T1222" s="360" t="s">
        <v>132</v>
      </c>
    </row>
    <row r="1223" ht="34.5">
      <c r="A1223" s="360" t="s">
        <v>1066</v>
      </c>
      <c r="B1223" s="360" t="s">
        <v>1067</v>
      </c>
      <c r="C1223" s="360" t="s">
        <v>300</v>
      </c>
      <c r="D1223" s="360" t="s">
        <v>128</v>
      </c>
      <c r="E1223" s="360" t="s">
        <v>167</v>
      </c>
      <c r="F1223" s="361" t="s">
        <v>1090</v>
      </c>
      <c r="G1223" s="360" t="s">
        <v>145</v>
      </c>
      <c r="H1223" s="361"/>
      <c r="I1223" s="361"/>
      <c r="J1223" s="361" t="s">
        <v>1154</v>
      </c>
      <c r="K1223" s="363"/>
      <c r="L1223" s="360"/>
      <c r="M1223" s="360"/>
      <c r="N1223" s="361"/>
      <c r="O1223" s="361"/>
      <c r="P1223" s="361"/>
      <c r="Q1223" s="361"/>
      <c r="R1223" s="362"/>
      <c r="S1223" s="361"/>
      <c r="T1223" s="360" t="s">
        <v>132</v>
      </c>
    </row>
    <row r="1224" ht="34.5">
      <c r="A1224" s="360" t="s">
        <v>1066</v>
      </c>
      <c r="B1224" s="360" t="s">
        <v>1067</v>
      </c>
      <c r="C1224" s="360" t="s">
        <v>300</v>
      </c>
      <c r="D1224" s="360" t="s">
        <v>128</v>
      </c>
      <c r="E1224" s="360" t="s">
        <v>167</v>
      </c>
      <c r="F1224" s="361" t="s">
        <v>1090</v>
      </c>
      <c r="G1224" s="360" t="s">
        <v>145</v>
      </c>
      <c r="H1224" s="361"/>
      <c r="I1224" s="361"/>
      <c r="J1224" s="361" t="s">
        <v>1155</v>
      </c>
      <c r="K1224" s="363"/>
      <c r="L1224" s="360"/>
      <c r="M1224" s="360"/>
      <c r="N1224" s="361"/>
      <c r="O1224" s="361"/>
      <c r="P1224" s="361"/>
      <c r="Q1224" s="361"/>
      <c r="R1224" s="362"/>
      <c r="S1224" s="361"/>
      <c r="T1224" s="360" t="s">
        <v>132</v>
      </c>
    </row>
    <row r="1225" ht="34.5">
      <c r="A1225" s="360" t="s">
        <v>1066</v>
      </c>
      <c r="B1225" s="360" t="s">
        <v>1067</v>
      </c>
      <c r="C1225" s="360" t="s">
        <v>300</v>
      </c>
      <c r="D1225" s="360" t="s">
        <v>128</v>
      </c>
      <c r="E1225" s="360" t="s">
        <v>167</v>
      </c>
      <c r="F1225" s="361" t="s">
        <v>1090</v>
      </c>
      <c r="G1225" s="360" t="s">
        <v>145</v>
      </c>
      <c r="H1225" s="361"/>
      <c r="I1225" s="361"/>
      <c r="J1225" s="361" t="s">
        <v>297</v>
      </c>
      <c r="K1225" s="363"/>
      <c r="L1225" s="360"/>
      <c r="M1225" s="360"/>
      <c r="N1225" s="361"/>
      <c r="O1225" s="361"/>
      <c r="P1225" s="361"/>
      <c r="Q1225" s="361"/>
      <c r="R1225" s="362"/>
      <c r="S1225" s="361"/>
      <c r="T1225" s="360" t="s">
        <v>132</v>
      </c>
    </row>
    <row r="1226" ht="34.5">
      <c r="A1226" s="360" t="s">
        <v>1066</v>
      </c>
      <c r="B1226" s="360" t="s">
        <v>1067</v>
      </c>
      <c r="C1226" s="360" t="s">
        <v>300</v>
      </c>
      <c r="D1226" s="360" t="s">
        <v>128</v>
      </c>
      <c r="E1226" s="360" t="s">
        <v>167</v>
      </c>
      <c r="F1226" s="361" t="s">
        <v>1090</v>
      </c>
      <c r="G1226" s="360" t="s">
        <v>145</v>
      </c>
      <c r="H1226" s="361"/>
      <c r="I1226" s="361"/>
      <c r="J1226" s="361" t="s">
        <v>1156</v>
      </c>
      <c r="K1226" s="363"/>
      <c r="L1226" s="360"/>
      <c r="M1226" s="360"/>
      <c r="N1226" s="361"/>
      <c r="O1226" s="361"/>
      <c r="P1226" s="361"/>
      <c r="Q1226" s="361"/>
      <c r="R1226" s="362"/>
      <c r="S1226" s="361"/>
      <c r="T1226" s="360" t="s">
        <v>132</v>
      </c>
    </row>
    <row r="1227" ht="34.5">
      <c r="A1227" s="360" t="s">
        <v>1066</v>
      </c>
      <c r="B1227" s="360" t="s">
        <v>1067</v>
      </c>
      <c r="C1227" s="360" t="s">
        <v>300</v>
      </c>
      <c r="D1227" s="360" t="s">
        <v>128</v>
      </c>
      <c r="E1227" s="360" t="s">
        <v>167</v>
      </c>
      <c r="F1227" s="361" t="s">
        <v>1090</v>
      </c>
      <c r="G1227" s="360" t="s">
        <v>145</v>
      </c>
      <c r="H1227" s="361"/>
      <c r="I1227" s="361"/>
      <c r="J1227" s="361" t="s">
        <v>1157</v>
      </c>
      <c r="K1227" s="363"/>
      <c r="L1227" s="360"/>
      <c r="M1227" s="360"/>
      <c r="N1227" s="361"/>
      <c r="O1227" s="361"/>
      <c r="P1227" s="361"/>
      <c r="Q1227" s="361"/>
      <c r="R1227" s="362"/>
      <c r="S1227" s="361"/>
      <c r="T1227" s="360" t="s">
        <v>132</v>
      </c>
    </row>
    <row r="1228" ht="34.5">
      <c r="A1228" s="360" t="s">
        <v>1066</v>
      </c>
      <c r="B1228" s="360" t="s">
        <v>1067</v>
      </c>
      <c r="C1228" s="360" t="s">
        <v>300</v>
      </c>
      <c r="D1228" s="360" t="s">
        <v>128</v>
      </c>
      <c r="E1228" s="360" t="s">
        <v>167</v>
      </c>
      <c r="F1228" s="361" t="s">
        <v>1090</v>
      </c>
      <c r="G1228" s="360" t="s">
        <v>145</v>
      </c>
      <c r="H1228" s="361"/>
      <c r="I1228" s="361"/>
      <c r="J1228" s="361" t="s">
        <v>302</v>
      </c>
      <c r="K1228" s="363"/>
      <c r="L1228" s="360"/>
      <c r="M1228" s="360"/>
      <c r="N1228" s="361"/>
      <c r="O1228" s="361"/>
      <c r="P1228" s="361"/>
      <c r="Q1228" s="361"/>
      <c r="R1228" s="362"/>
      <c r="S1228" s="361"/>
      <c r="T1228" s="360" t="s">
        <v>132</v>
      </c>
    </row>
    <row r="1229" ht="34.5">
      <c r="A1229" s="360" t="s">
        <v>1066</v>
      </c>
      <c r="B1229" s="360" t="s">
        <v>1067</v>
      </c>
      <c r="C1229" s="360" t="s">
        <v>311</v>
      </c>
      <c r="D1229" s="360" t="s">
        <v>128</v>
      </c>
      <c r="E1229" s="360" t="s">
        <v>167</v>
      </c>
      <c r="F1229" s="361" t="s">
        <v>1090</v>
      </c>
      <c r="G1229" s="360" t="s">
        <v>145</v>
      </c>
      <c r="H1229" s="361"/>
      <c r="I1229" s="361"/>
      <c r="J1229" s="361" t="s">
        <v>1158</v>
      </c>
      <c r="K1229" s="363"/>
      <c r="L1229" s="360"/>
      <c r="M1229" s="360"/>
      <c r="N1229" s="361"/>
      <c r="O1229" s="361"/>
      <c r="P1229" s="361"/>
      <c r="Q1229" s="361"/>
      <c r="R1229" s="362"/>
      <c r="S1229" s="361"/>
      <c r="T1229" s="360" t="s">
        <v>132</v>
      </c>
    </row>
    <row r="1230" ht="34.5">
      <c r="A1230" s="360" t="s">
        <v>1066</v>
      </c>
      <c r="B1230" s="360" t="s">
        <v>1067</v>
      </c>
      <c r="C1230" s="360" t="s">
        <v>311</v>
      </c>
      <c r="D1230" s="360" t="s">
        <v>128</v>
      </c>
      <c r="E1230" s="360" t="s">
        <v>167</v>
      </c>
      <c r="F1230" s="361" t="s">
        <v>1090</v>
      </c>
      <c r="G1230" s="360" t="s">
        <v>145</v>
      </c>
      <c r="H1230" s="361"/>
      <c r="I1230" s="361"/>
      <c r="J1230" s="361" t="s">
        <v>303</v>
      </c>
      <c r="K1230" s="363"/>
      <c r="L1230" s="360"/>
      <c r="M1230" s="360"/>
      <c r="N1230" s="361"/>
      <c r="O1230" s="361"/>
      <c r="P1230" s="361"/>
      <c r="Q1230" s="361"/>
      <c r="R1230" s="362"/>
      <c r="S1230" s="361"/>
      <c r="T1230" s="360" t="s">
        <v>132</v>
      </c>
    </row>
    <row r="1231" ht="34.5">
      <c r="A1231" s="360" t="s">
        <v>1066</v>
      </c>
      <c r="B1231" s="360" t="s">
        <v>1067</v>
      </c>
      <c r="C1231" s="360" t="s">
        <v>311</v>
      </c>
      <c r="D1231" s="360" t="s">
        <v>128</v>
      </c>
      <c r="E1231" s="360" t="s">
        <v>167</v>
      </c>
      <c r="F1231" s="361" t="s">
        <v>1090</v>
      </c>
      <c r="G1231" s="360" t="s">
        <v>145</v>
      </c>
      <c r="H1231" s="361"/>
      <c r="I1231" s="361"/>
      <c r="J1231" s="361" t="s">
        <v>1159</v>
      </c>
      <c r="K1231" s="363"/>
      <c r="L1231" s="360"/>
      <c r="M1231" s="360"/>
      <c r="N1231" s="361"/>
      <c r="O1231" s="361"/>
      <c r="P1231" s="361"/>
      <c r="Q1231" s="361"/>
      <c r="R1231" s="362"/>
      <c r="S1231" s="361"/>
      <c r="T1231" s="360" t="s">
        <v>132</v>
      </c>
    </row>
    <row r="1232" ht="34.5">
      <c r="A1232" s="360" t="s">
        <v>1066</v>
      </c>
      <c r="B1232" s="360" t="s">
        <v>1067</v>
      </c>
      <c r="C1232" s="360" t="s">
        <v>311</v>
      </c>
      <c r="D1232" s="360" t="s">
        <v>128</v>
      </c>
      <c r="E1232" s="360" t="s">
        <v>167</v>
      </c>
      <c r="F1232" s="361" t="s">
        <v>1090</v>
      </c>
      <c r="G1232" s="360" t="s">
        <v>145</v>
      </c>
      <c r="H1232" s="361"/>
      <c r="I1232" s="361"/>
      <c r="J1232" s="361" t="s">
        <v>306</v>
      </c>
      <c r="K1232" s="363"/>
      <c r="L1232" s="360"/>
      <c r="M1232" s="360"/>
      <c r="N1232" s="361"/>
      <c r="O1232" s="361"/>
      <c r="P1232" s="361"/>
      <c r="Q1232" s="361"/>
      <c r="R1232" s="362"/>
      <c r="S1232" s="361"/>
      <c r="T1232" s="360" t="s">
        <v>132</v>
      </c>
    </row>
    <row r="1233" ht="34.5">
      <c r="A1233" s="360" t="s">
        <v>1066</v>
      </c>
      <c r="B1233" s="360" t="s">
        <v>1067</v>
      </c>
      <c r="C1233" s="360" t="s">
        <v>311</v>
      </c>
      <c r="D1233" s="360" t="s">
        <v>128</v>
      </c>
      <c r="E1233" s="360" t="s">
        <v>167</v>
      </c>
      <c r="F1233" s="361" t="s">
        <v>1090</v>
      </c>
      <c r="G1233" s="360" t="s">
        <v>145</v>
      </c>
      <c r="H1233" s="361"/>
      <c r="I1233" s="361"/>
      <c r="J1233" s="361" t="s">
        <v>1160</v>
      </c>
      <c r="K1233" s="363"/>
      <c r="L1233" s="360"/>
      <c r="M1233" s="360"/>
      <c r="N1233" s="361"/>
      <c r="O1233" s="361"/>
      <c r="P1233" s="361"/>
      <c r="Q1233" s="361"/>
      <c r="R1233" s="362"/>
      <c r="S1233" s="361"/>
      <c r="T1233" s="360" t="s">
        <v>132</v>
      </c>
    </row>
    <row r="1234" ht="34.5">
      <c r="A1234" s="360" t="s">
        <v>1066</v>
      </c>
      <c r="B1234" s="360" t="s">
        <v>1067</v>
      </c>
      <c r="C1234" s="360" t="s">
        <v>311</v>
      </c>
      <c r="D1234" s="360" t="s">
        <v>128</v>
      </c>
      <c r="E1234" s="360" t="s">
        <v>167</v>
      </c>
      <c r="F1234" s="361" t="s">
        <v>1090</v>
      </c>
      <c r="G1234" s="360" t="s">
        <v>145</v>
      </c>
      <c r="H1234" s="361"/>
      <c r="I1234" s="361"/>
      <c r="J1234" s="361" t="s">
        <v>308</v>
      </c>
      <c r="K1234" s="363"/>
      <c r="L1234" s="360"/>
      <c r="M1234" s="360"/>
      <c r="N1234" s="361"/>
      <c r="O1234" s="361"/>
      <c r="P1234" s="361"/>
      <c r="Q1234" s="361"/>
      <c r="R1234" s="362"/>
      <c r="S1234" s="361"/>
      <c r="T1234" s="360" t="s">
        <v>132</v>
      </c>
    </row>
    <row r="1235" ht="34.5">
      <c r="A1235" s="360" t="s">
        <v>1066</v>
      </c>
      <c r="B1235" s="360" t="s">
        <v>1067</v>
      </c>
      <c r="C1235" s="360" t="s">
        <v>311</v>
      </c>
      <c r="D1235" s="360" t="s">
        <v>128</v>
      </c>
      <c r="E1235" s="360" t="s">
        <v>167</v>
      </c>
      <c r="F1235" s="361" t="s">
        <v>1090</v>
      </c>
      <c r="G1235" s="360" t="s">
        <v>145</v>
      </c>
      <c r="H1235" s="361"/>
      <c r="I1235" s="361"/>
      <c r="J1235" s="361" t="s">
        <v>309</v>
      </c>
      <c r="K1235" s="363"/>
      <c r="L1235" s="360"/>
      <c r="M1235" s="360"/>
      <c r="N1235" s="361"/>
      <c r="O1235" s="361"/>
      <c r="P1235" s="361"/>
      <c r="Q1235" s="361"/>
      <c r="R1235" s="362"/>
      <c r="S1235" s="361"/>
      <c r="T1235" s="360" t="s">
        <v>132</v>
      </c>
    </row>
    <row r="1236" ht="34.5">
      <c r="A1236" s="360" t="s">
        <v>1066</v>
      </c>
      <c r="B1236" s="360" t="s">
        <v>1067</v>
      </c>
      <c r="C1236" s="360" t="s">
        <v>311</v>
      </c>
      <c r="D1236" s="360" t="s">
        <v>128</v>
      </c>
      <c r="E1236" s="360" t="s">
        <v>167</v>
      </c>
      <c r="F1236" s="361" t="s">
        <v>1090</v>
      </c>
      <c r="G1236" s="360" t="s">
        <v>145</v>
      </c>
      <c r="H1236" s="361"/>
      <c r="I1236" s="361"/>
      <c r="J1236" s="361" t="s">
        <v>312</v>
      </c>
      <c r="K1236" s="363"/>
      <c r="L1236" s="360"/>
      <c r="M1236" s="360"/>
      <c r="N1236" s="361"/>
      <c r="O1236" s="361"/>
      <c r="P1236" s="361"/>
      <c r="Q1236" s="361"/>
      <c r="R1236" s="362"/>
      <c r="S1236" s="361"/>
      <c r="T1236" s="360" t="s">
        <v>132</v>
      </c>
    </row>
    <row r="1237" ht="34.5">
      <c r="A1237" s="360" t="s">
        <v>1066</v>
      </c>
      <c r="B1237" s="360" t="s">
        <v>1067</v>
      </c>
      <c r="C1237" s="360" t="s">
        <v>311</v>
      </c>
      <c r="D1237" s="360" t="s">
        <v>128</v>
      </c>
      <c r="E1237" s="360" t="s">
        <v>167</v>
      </c>
      <c r="F1237" s="361" t="s">
        <v>1090</v>
      </c>
      <c r="G1237" s="360" t="s">
        <v>145</v>
      </c>
      <c r="H1237" s="361"/>
      <c r="I1237" s="361"/>
      <c r="J1237" s="361" t="s">
        <v>933</v>
      </c>
      <c r="K1237" s="363">
        <v>1500000</v>
      </c>
      <c r="L1237" s="360" t="s">
        <v>314</v>
      </c>
      <c r="M1237" s="360"/>
      <c r="N1237" s="361"/>
      <c r="O1237" s="361"/>
      <c r="P1237" s="361"/>
      <c r="Q1237" s="361"/>
      <c r="R1237" s="362"/>
      <c r="S1237" s="361"/>
      <c r="T1237" s="360" t="s">
        <v>132</v>
      </c>
    </row>
    <row r="1238" ht="34.5">
      <c r="A1238" s="360" t="s">
        <v>1066</v>
      </c>
      <c r="B1238" s="360" t="s">
        <v>1067</v>
      </c>
      <c r="C1238" s="360" t="s">
        <v>311</v>
      </c>
      <c r="D1238" s="360" t="s">
        <v>128</v>
      </c>
      <c r="E1238" s="360" t="s">
        <v>167</v>
      </c>
      <c r="F1238" s="361" t="s">
        <v>1090</v>
      </c>
      <c r="G1238" s="360" t="s">
        <v>145</v>
      </c>
      <c r="H1238" s="361"/>
      <c r="I1238" s="361"/>
      <c r="J1238" s="361" t="s">
        <v>1161</v>
      </c>
      <c r="K1238" s="363"/>
      <c r="L1238" s="360"/>
      <c r="M1238" s="360"/>
      <c r="N1238" s="361"/>
      <c r="O1238" s="361"/>
      <c r="P1238" s="361"/>
      <c r="Q1238" s="361"/>
      <c r="R1238" s="362"/>
      <c r="S1238" s="361"/>
      <c r="T1238" s="360" t="s">
        <v>132</v>
      </c>
    </row>
    <row r="1239" ht="34.5">
      <c r="A1239" s="360" t="s">
        <v>1066</v>
      </c>
      <c r="B1239" s="360" t="s">
        <v>1067</v>
      </c>
      <c r="C1239" s="360" t="s">
        <v>327</v>
      </c>
      <c r="D1239" s="360" t="s">
        <v>128</v>
      </c>
      <c r="E1239" s="360" t="s">
        <v>317</v>
      </c>
      <c r="F1239" s="361" t="s">
        <v>1162</v>
      </c>
      <c r="G1239" s="360" t="s">
        <v>319</v>
      </c>
      <c r="H1239" s="361"/>
      <c r="I1239" s="361"/>
      <c r="J1239" s="361" t="s">
        <v>1163</v>
      </c>
      <c r="K1239" s="363"/>
      <c r="L1239" s="360"/>
      <c r="M1239" s="360"/>
      <c r="N1239" s="361"/>
      <c r="O1239" s="361"/>
      <c r="P1239" s="361"/>
      <c r="Q1239" s="361"/>
      <c r="R1239" s="362"/>
      <c r="S1239" s="361"/>
      <c r="T1239" s="360" t="s">
        <v>132</v>
      </c>
    </row>
    <row r="1240" ht="34.5">
      <c r="A1240" s="360" t="s">
        <v>1066</v>
      </c>
      <c r="B1240" s="360" t="s">
        <v>1067</v>
      </c>
      <c r="C1240" s="360" t="s">
        <v>327</v>
      </c>
      <c r="D1240" s="360" t="s">
        <v>128</v>
      </c>
      <c r="E1240" s="360" t="s">
        <v>317</v>
      </c>
      <c r="F1240" s="361" t="s">
        <v>1162</v>
      </c>
      <c r="G1240" s="360" t="s">
        <v>319</v>
      </c>
      <c r="H1240" s="361"/>
      <c r="I1240" s="361"/>
      <c r="J1240" s="361" t="s">
        <v>1164</v>
      </c>
      <c r="K1240" s="363"/>
      <c r="L1240" s="360"/>
      <c r="M1240" s="360"/>
      <c r="N1240" s="361"/>
      <c r="O1240" s="361"/>
      <c r="P1240" s="361"/>
      <c r="Q1240" s="361"/>
      <c r="R1240" s="362"/>
      <c r="S1240" s="361"/>
      <c r="T1240" s="360" t="s">
        <v>132</v>
      </c>
    </row>
    <row r="1241" ht="34.5">
      <c r="A1241" s="360" t="s">
        <v>1066</v>
      </c>
      <c r="B1241" s="360" t="s">
        <v>1067</v>
      </c>
      <c r="C1241" s="360" t="s">
        <v>327</v>
      </c>
      <c r="D1241" s="360" t="s">
        <v>128</v>
      </c>
      <c r="E1241" s="360" t="s">
        <v>317</v>
      </c>
      <c r="F1241" s="361" t="s">
        <v>1162</v>
      </c>
      <c r="G1241" s="360" t="s">
        <v>319</v>
      </c>
      <c r="H1241" s="361"/>
      <c r="I1241" s="361"/>
      <c r="J1241" s="361" t="s">
        <v>1165</v>
      </c>
      <c r="K1241" s="363"/>
      <c r="L1241" s="360"/>
      <c r="M1241" s="360"/>
      <c r="N1241" s="361"/>
      <c r="O1241" s="361"/>
      <c r="P1241" s="361"/>
      <c r="Q1241" s="361"/>
      <c r="R1241" s="362"/>
      <c r="S1241" s="361"/>
      <c r="T1241" s="360" t="s">
        <v>132</v>
      </c>
    </row>
    <row r="1242" ht="34.5">
      <c r="A1242" s="360" t="s">
        <v>1066</v>
      </c>
      <c r="B1242" s="360" t="s">
        <v>1067</v>
      </c>
      <c r="C1242" s="360" t="s">
        <v>327</v>
      </c>
      <c r="D1242" s="360" t="s">
        <v>381</v>
      </c>
      <c r="E1242" s="360" t="s">
        <v>317</v>
      </c>
      <c r="F1242" s="361" t="s">
        <v>1162</v>
      </c>
      <c r="G1242" s="360" t="s">
        <v>319</v>
      </c>
      <c r="H1242" s="361"/>
      <c r="I1242" s="361"/>
      <c r="J1242" s="361" t="s">
        <v>382</v>
      </c>
      <c r="K1242" s="363"/>
      <c r="L1242" s="360"/>
      <c r="M1242" s="360"/>
      <c r="N1242" s="361"/>
      <c r="O1242" s="361"/>
      <c r="P1242" s="361"/>
      <c r="Q1242" s="361"/>
      <c r="R1242" s="362"/>
      <c r="S1242" s="361"/>
      <c r="T1242" s="360" t="s">
        <v>132</v>
      </c>
    </row>
    <row r="1243" ht="34.5">
      <c r="A1243" s="360" t="s">
        <v>1066</v>
      </c>
      <c r="B1243" s="360" t="s">
        <v>1067</v>
      </c>
      <c r="C1243" s="360" t="s">
        <v>327</v>
      </c>
      <c r="D1243" s="360" t="s">
        <v>128</v>
      </c>
      <c r="E1243" s="360" t="s">
        <v>317</v>
      </c>
      <c r="F1243" s="361" t="s">
        <v>1162</v>
      </c>
      <c r="G1243" s="360" t="s">
        <v>319</v>
      </c>
      <c r="H1243" s="361"/>
      <c r="I1243" s="361"/>
      <c r="J1243" s="361" t="s">
        <v>1166</v>
      </c>
      <c r="K1243" s="363"/>
      <c r="L1243" s="360"/>
      <c r="M1243" s="360"/>
      <c r="N1243" s="361"/>
      <c r="O1243" s="361"/>
      <c r="P1243" s="361"/>
      <c r="Q1243" s="361"/>
      <c r="R1243" s="362"/>
      <c r="S1243" s="361"/>
      <c r="T1243" s="360" t="s">
        <v>132</v>
      </c>
    </row>
    <row r="1244" ht="34.5">
      <c r="A1244" s="360" t="s">
        <v>1066</v>
      </c>
      <c r="B1244" s="360" t="s">
        <v>1067</v>
      </c>
      <c r="C1244" s="360" t="s">
        <v>327</v>
      </c>
      <c r="D1244" s="360" t="s">
        <v>128</v>
      </c>
      <c r="E1244" s="360" t="s">
        <v>317</v>
      </c>
      <c r="F1244" s="361" t="s">
        <v>1162</v>
      </c>
      <c r="G1244" s="360" t="s">
        <v>319</v>
      </c>
      <c r="H1244" s="361"/>
      <c r="I1244" s="361"/>
      <c r="J1244" s="361" t="s">
        <v>1167</v>
      </c>
      <c r="K1244" s="363"/>
      <c r="L1244" s="360"/>
      <c r="M1244" s="360"/>
      <c r="N1244" s="361"/>
      <c r="O1244" s="361"/>
      <c r="P1244" s="361"/>
      <c r="Q1244" s="361"/>
      <c r="R1244" s="362"/>
      <c r="S1244" s="361"/>
      <c r="T1244" s="360" t="s">
        <v>132</v>
      </c>
    </row>
    <row r="1245" ht="34.5">
      <c r="A1245" s="360" t="s">
        <v>1066</v>
      </c>
      <c r="B1245" s="360" t="s">
        <v>1067</v>
      </c>
      <c r="C1245" s="360" t="s">
        <v>327</v>
      </c>
      <c r="D1245" s="360" t="s">
        <v>128</v>
      </c>
      <c r="E1245" s="360" t="s">
        <v>317</v>
      </c>
      <c r="F1245" s="361" t="s">
        <v>1162</v>
      </c>
      <c r="G1245" s="360" t="s">
        <v>319</v>
      </c>
      <c r="H1245" s="361"/>
      <c r="I1245" s="361"/>
      <c r="J1245" s="361" t="s">
        <v>1168</v>
      </c>
      <c r="K1245" s="363"/>
      <c r="L1245" s="360"/>
      <c r="M1245" s="360"/>
      <c r="N1245" s="361"/>
      <c r="O1245" s="361"/>
      <c r="P1245" s="361"/>
      <c r="Q1245" s="361"/>
      <c r="R1245" s="362"/>
      <c r="S1245" s="361"/>
      <c r="T1245" s="360" t="s">
        <v>132</v>
      </c>
    </row>
    <row r="1246" ht="34.5">
      <c r="A1246" s="360" t="s">
        <v>1066</v>
      </c>
      <c r="B1246" s="360" t="s">
        <v>1067</v>
      </c>
      <c r="C1246" s="360" t="s">
        <v>327</v>
      </c>
      <c r="D1246" s="360" t="s">
        <v>128</v>
      </c>
      <c r="E1246" s="360" t="s">
        <v>317</v>
      </c>
      <c r="F1246" s="361" t="s">
        <v>1162</v>
      </c>
      <c r="G1246" s="360" t="s">
        <v>319</v>
      </c>
      <c r="H1246" s="361"/>
      <c r="I1246" s="361"/>
      <c r="J1246" s="361" t="s">
        <v>325</v>
      </c>
      <c r="K1246" s="363"/>
      <c r="L1246" s="360"/>
      <c r="M1246" s="360"/>
      <c r="N1246" s="361"/>
      <c r="O1246" s="361"/>
      <c r="P1246" s="361"/>
      <c r="Q1246" s="361"/>
      <c r="R1246" s="362"/>
      <c r="S1246" s="361"/>
      <c r="T1246" s="360" t="s">
        <v>132</v>
      </c>
    </row>
    <row r="1247" ht="34.5">
      <c r="A1247" s="360" t="s">
        <v>1066</v>
      </c>
      <c r="B1247" s="360" t="s">
        <v>1067</v>
      </c>
      <c r="C1247" s="360" t="s">
        <v>338</v>
      </c>
      <c r="D1247" s="360" t="s">
        <v>128</v>
      </c>
      <c r="E1247" s="360" t="s">
        <v>317</v>
      </c>
      <c r="F1247" s="361" t="s">
        <v>1169</v>
      </c>
      <c r="G1247" s="360" t="s">
        <v>319</v>
      </c>
      <c r="H1247" s="361"/>
      <c r="I1247" s="361"/>
      <c r="J1247" s="361" t="s">
        <v>328</v>
      </c>
      <c r="K1247" s="363"/>
      <c r="L1247" s="360"/>
      <c r="M1247" s="360"/>
      <c r="N1247" s="361"/>
      <c r="O1247" s="361"/>
      <c r="P1247" s="361"/>
      <c r="Q1247" s="361"/>
      <c r="R1247" s="362"/>
      <c r="S1247" s="361"/>
      <c r="T1247" s="360" t="s">
        <v>132</v>
      </c>
    </row>
    <row r="1248" ht="34.5">
      <c r="A1248" s="360" t="s">
        <v>1066</v>
      </c>
      <c r="B1248" s="360" t="s">
        <v>1067</v>
      </c>
      <c r="C1248" s="360" t="s">
        <v>338</v>
      </c>
      <c r="D1248" s="360" t="s">
        <v>128</v>
      </c>
      <c r="E1248" s="360" t="s">
        <v>317</v>
      </c>
      <c r="F1248" s="361" t="s">
        <v>1169</v>
      </c>
      <c r="G1248" s="360" t="s">
        <v>319</v>
      </c>
      <c r="H1248" s="361"/>
      <c r="I1248" s="361"/>
      <c r="J1248" s="361" t="s">
        <v>1170</v>
      </c>
      <c r="K1248" s="363"/>
      <c r="L1248" s="360"/>
      <c r="M1248" s="360"/>
      <c r="N1248" s="361"/>
      <c r="O1248" s="361"/>
      <c r="P1248" s="361"/>
      <c r="Q1248" s="361"/>
      <c r="R1248" s="362"/>
      <c r="S1248" s="361"/>
      <c r="T1248" s="360" t="s">
        <v>132</v>
      </c>
    </row>
    <row r="1249" ht="34.5">
      <c r="A1249" s="360" t="s">
        <v>1066</v>
      </c>
      <c r="B1249" s="360" t="s">
        <v>1067</v>
      </c>
      <c r="C1249" s="360" t="s">
        <v>338</v>
      </c>
      <c r="D1249" s="360" t="s">
        <v>128</v>
      </c>
      <c r="E1249" s="360" t="s">
        <v>317</v>
      </c>
      <c r="F1249" s="361" t="s">
        <v>1169</v>
      </c>
      <c r="G1249" s="360" t="s">
        <v>319</v>
      </c>
      <c r="H1249" s="361"/>
      <c r="I1249" s="361"/>
      <c r="J1249" s="361" t="s">
        <v>1171</v>
      </c>
      <c r="K1249" s="363"/>
      <c r="L1249" s="360"/>
      <c r="M1249" s="360"/>
      <c r="N1249" s="361"/>
      <c r="O1249" s="361"/>
      <c r="P1249" s="361"/>
      <c r="Q1249" s="361"/>
      <c r="R1249" s="362"/>
      <c r="S1249" s="361"/>
      <c r="T1249" s="360" t="s">
        <v>132</v>
      </c>
    </row>
    <row r="1250" ht="34.5">
      <c r="A1250" s="360" t="s">
        <v>1066</v>
      </c>
      <c r="B1250" s="360" t="s">
        <v>1067</v>
      </c>
      <c r="C1250" s="360" t="s">
        <v>338</v>
      </c>
      <c r="D1250" s="360" t="s">
        <v>128</v>
      </c>
      <c r="E1250" s="360" t="s">
        <v>317</v>
      </c>
      <c r="F1250" s="361" t="s">
        <v>1169</v>
      </c>
      <c r="G1250" s="360" t="s">
        <v>319</v>
      </c>
      <c r="H1250" s="361"/>
      <c r="I1250" s="361"/>
      <c r="J1250" s="361" t="s">
        <v>1172</v>
      </c>
      <c r="K1250" s="363"/>
      <c r="L1250" s="360"/>
      <c r="M1250" s="360"/>
      <c r="N1250" s="361"/>
      <c r="O1250" s="361"/>
      <c r="P1250" s="361"/>
      <c r="Q1250" s="361"/>
      <c r="R1250" s="362"/>
      <c r="S1250" s="361"/>
      <c r="T1250" s="360" t="s">
        <v>132</v>
      </c>
    </row>
    <row r="1251" ht="34.5">
      <c r="A1251" s="360" t="s">
        <v>1066</v>
      </c>
      <c r="B1251" s="360" t="s">
        <v>1067</v>
      </c>
      <c r="C1251" s="360" t="s">
        <v>338</v>
      </c>
      <c r="D1251" s="360" t="s">
        <v>128</v>
      </c>
      <c r="E1251" s="360" t="s">
        <v>317</v>
      </c>
      <c r="F1251" s="361" t="s">
        <v>1169</v>
      </c>
      <c r="G1251" s="360" t="s">
        <v>319</v>
      </c>
      <c r="H1251" s="361"/>
      <c r="I1251" s="361"/>
      <c r="J1251" s="361" t="s">
        <v>1173</v>
      </c>
      <c r="K1251" s="363"/>
      <c r="L1251" s="360"/>
      <c r="M1251" s="360"/>
      <c r="N1251" s="361"/>
      <c r="O1251" s="361"/>
      <c r="P1251" s="361"/>
      <c r="Q1251" s="361"/>
      <c r="R1251" s="362"/>
      <c r="S1251" s="361"/>
      <c r="T1251" s="360" t="s">
        <v>132</v>
      </c>
    </row>
    <row r="1252" ht="34.5">
      <c r="A1252" s="360" t="s">
        <v>1066</v>
      </c>
      <c r="B1252" s="360" t="s">
        <v>1067</v>
      </c>
      <c r="C1252" s="360" t="s">
        <v>338</v>
      </c>
      <c r="D1252" s="360" t="s">
        <v>128</v>
      </c>
      <c r="E1252" s="360" t="s">
        <v>317</v>
      </c>
      <c r="F1252" s="361" t="s">
        <v>1169</v>
      </c>
      <c r="G1252" s="360" t="s">
        <v>319</v>
      </c>
      <c r="H1252" s="361"/>
      <c r="I1252" s="361"/>
      <c r="J1252" s="361" t="s">
        <v>1174</v>
      </c>
      <c r="K1252" s="363"/>
      <c r="L1252" s="360"/>
      <c r="M1252" s="360"/>
      <c r="N1252" s="361"/>
      <c r="O1252" s="361"/>
      <c r="P1252" s="361"/>
      <c r="Q1252" s="361"/>
      <c r="R1252" s="362"/>
      <c r="S1252" s="361"/>
      <c r="T1252" s="360" t="s">
        <v>132</v>
      </c>
    </row>
    <row r="1253" ht="34.5">
      <c r="A1253" s="360" t="s">
        <v>1066</v>
      </c>
      <c r="B1253" s="360" t="s">
        <v>1067</v>
      </c>
      <c r="C1253" s="360" t="s">
        <v>338</v>
      </c>
      <c r="D1253" s="360" t="s">
        <v>128</v>
      </c>
      <c r="E1253" s="360" t="s">
        <v>317</v>
      </c>
      <c r="F1253" s="361" t="s">
        <v>1169</v>
      </c>
      <c r="G1253" s="360" t="s">
        <v>319</v>
      </c>
      <c r="H1253" s="361"/>
      <c r="I1253" s="361"/>
      <c r="J1253" s="361" t="s">
        <v>1175</v>
      </c>
      <c r="K1253" s="363"/>
      <c r="L1253" s="360"/>
      <c r="M1253" s="360"/>
      <c r="N1253" s="361"/>
      <c r="O1253" s="361"/>
      <c r="P1253" s="361"/>
      <c r="Q1253" s="361"/>
      <c r="R1253" s="362"/>
      <c r="S1253" s="361"/>
      <c r="T1253" s="360" t="s">
        <v>132</v>
      </c>
    </row>
    <row r="1254" ht="34.5">
      <c r="A1254" s="360" t="s">
        <v>1066</v>
      </c>
      <c r="B1254" s="360" t="s">
        <v>1067</v>
      </c>
      <c r="C1254" s="360" t="s">
        <v>338</v>
      </c>
      <c r="D1254" s="360" t="s">
        <v>128</v>
      </c>
      <c r="E1254" s="360" t="s">
        <v>317</v>
      </c>
      <c r="F1254" s="361" t="s">
        <v>1169</v>
      </c>
      <c r="G1254" s="360" t="s">
        <v>319</v>
      </c>
      <c r="H1254" s="361"/>
      <c r="I1254" s="361"/>
      <c r="J1254" s="361" t="s">
        <v>1176</v>
      </c>
      <c r="K1254" s="363"/>
      <c r="L1254" s="360"/>
      <c r="M1254" s="360"/>
      <c r="N1254" s="361"/>
      <c r="O1254" s="361"/>
      <c r="P1254" s="361"/>
      <c r="Q1254" s="361"/>
      <c r="R1254" s="362"/>
      <c r="S1254" s="361"/>
      <c r="T1254" s="360" t="s">
        <v>132</v>
      </c>
    </row>
    <row r="1255" ht="34.5">
      <c r="A1255" s="360" t="s">
        <v>1066</v>
      </c>
      <c r="B1255" s="360" t="s">
        <v>1067</v>
      </c>
      <c r="C1255" s="360" t="s">
        <v>338</v>
      </c>
      <c r="D1255" s="360" t="s">
        <v>128</v>
      </c>
      <c r="E1255" s="360" t="s">
        <v>317</v>
      </c>
      <c r="F1255" s="361" t="s">
        <v>1169</v>
      </c>
      <c r="G1255" s="360" t="s">
        <v>319</v>
      </c>
      <c r="H1255" s="361"/>
      <c r="I1255" s="361"/>
      <c r="J1255" s="361" t="s">
        <v>1177</v>
      </c>
      <c r="K1255" s="363"/>
      <c r="L1255" s="360"/>
      <c r="M1255" s="360"/>
      <c r="N1255" s="361"/>
      <c r="O1255" s="361"/>
      <c r="P1255" s="361"/>
      <c r="Q1255" s="361"/>
      <c r="R1255" s="362"/>
      <c r="S1255" s="361"/>
      <c r="T1255" s="360" t="s">
        <v>132</v>
      </c>
    </row>
    <row r="1256" ht="34.5">
      <c r="A1256" s="360" t="s">
        <v>1066</v>
      </c>
      <c r="B1256" s="360" t="s">
        <v>1067</v>
      </c>
      <c r="C1256" s="360" t="s">
        <v>348</v>
      </c>
      <c r="D1256" s="360" t="s">
        <v>128</v>
      </c>
      <c r="E1256" s="360" t="s">
        <v>317</v>
      </c>
      <c r="F1256" s="361" t="s">
        <v>1169</v>
      </c>
      <c r="G1256" s="360" t="s">
        <v>319</v>
      </c>
      <c r="H1256" s="361"/>
      <c r="I1256" s="361"/>
      <c r="J1256" s="361" t="s">
        <v>1178</v>
      </c>
      <c r="K1256" s="363"/>
      <c r="L1256" s="360"/>
      <c r="M1256" s="360"/>
      <c r="N1256" s="361"/>
      <c r="O1256" s="361"/>
      <c r="P1256" s="361"/>
      <c r="Q1256" s="361"/>
      <c r="R1256" s="362"/>
      <c r="S1256" s="361"/>
      <c r="T1256" s="360" t="s">
        <v>132</v>
      </c>
    </row>
    <row r="1257" ht="34.5">
      <c r="A1257" s="360" t="s">
        <v>1066</v>
      </c>
      <c r="B1257" s="360" t="s">
        <v>1067</v>
      </c>
      <c r="C1257" s="360" t="s">
        <v>348</v>
      </c>
      <c r="D1257" s="360" t="s">
        <v>128</v>
      </c>
      <c r="E1257" s="360" t="s">
        <v>317</v>
      </c>
      <c r="F1257" s="361" t="s">
        <v>1169</v>
      </c>
      <c r="G1257" s="360" t="s">
        <v>319</v>
      </c>
      <c r="H1257" s="361"/>
      <c r="I1257" s="361"/>
      <c r="J1257" s="361" t="s">
        <v>1179</v>
      </c>
      <c r="K1257" s="363"/>
      <c r="L1257" s="360"/>
      <c r="M1257" s="360"/>
      <c r="N1257" s="361"/>
      <c r="O1257" s="361"/>
      <c r="P1257" s="361"/>
      <c r="Q1257" s="361"/>
      <c r="R1257" s="362"/>
      <c r="S1257" s="361"/>
      <c r="T1257" s="360" t="s">
        <v>132</v>
      </c>
    </row>
    <row r="1258" ht="34.5">
      <c r="A1258" s="360" t="s">
        <v>1066</v>
      </c>
      <c r="B1258" s="360" t="s">
        <v>1067</v>
      </c>
      <c r="C1258" s="360" t="s">
        <v>348</v>
      </c>
      <c r="D1258" s="360" t="s">
        <v>128</v>
      </c>
      <c r="E1258" s="360" t="s">
        <v>317</v>
      </c>
      <c r="F1258" s="361" t="s">
        <v>1169</v>
      </c>
      <c r="G1258" s="360" t="s">
        <v>319</v>
      </c>
      <c r="H1258" s="361"/>
      <c r="I1258" s="361"/>
      <c r="J1258" s="361" t="s">
        <v>1180</v>
      </c>
      <c r="K1258" s="363"/>
      <c r="L1258" s="360"/>
      <c r="M1258" s="360"/>
      <c r="N1258" s="361"/>
      <c r="O1258" s="361"/>
      <c r="P1258" s="361"/>
      <c r="Q1258" s="361"/>
      <c r="R1258" s="362"/>
      <c r="S1258" s="361"/>
      <c r="T1258" s="360" t="s">
        <v>132</v>
      </c>
    </row>
    <row r="1259" ht="34.5">
      <c r="A1259" s="360" t="s">
        <v>1066</v>
      </c>
      <c r="B1259" s="360" t="s">
        <v>1067</v>
      </c>
      <c r="C1259" s="360" t="s">
        <v>348</v>
      </c>
      <c r="D1259" s="360" t="s">
        <v>128</v>
      </c>
      <c r="E1259" s="360" t="s">
        <v>317</v>
      </c>
      <c r="F1259" s="361" t="s">
        <v>1169</v>
      </c>
      <c r="G1259" s="360" t="s">
        <v>319</v>
      </c>
      <c r="H1259" s="361"/>
      <c r="I1259" s="361"/>
      <c r="J1259" s="361" t="s">
        <v>1181</v>
      </c>
      <c r="K1259" s="363"/>
      <c r="L1259" s="360"/>
      <c r="M1259" s="360"/>
      <c r="N1259" s="361"/>
      <c r="O1259" s="361"/>
      <c r="P1259" s="361"/>
      <c r="Q1259" s="361"/>
      <c r="R1259" s="362"/>
      <c r="S1259" s="361"/>
      <c r="T1259" s="360" t="s">
        <v>132</v>
      </c>
    </row>
    <row r="1260" ht="34.5">
      <c r="A1260" s="360" t="s">
        <v>1066</v>
      </c>
      <c r="B1260" s="360" t="s">
        <v>1067</v>
      </c>
      <c r="C1260" s="360" t="s">
        <v>348</v>
      </c>
      <c r="D1260" s="360" t="s">
        <v>128</v>
      </c>
      <c r="E1260" s="360" t="s">
        <v>317</v>
      </c>
      <c r="F1260" s="361" t="s">
        <v>1169</v>
      </c>
      <c r="G1260" s="360" t="s">
        <v>319</v>
      </c>
      <c r="H1260" s="361"/>
      <c r="I1260" s="361"/>
      <c r="J1260" s="361" t="s">
        <v>1182</v>
      </c>
      <c r="K1260" s="363"/>
      <c r="L1260" s="360"/>
      <c r="M1260" s="360"/>
      <c r="N1260" s="361"/>
      <c r="O1260" s="361"/>
      <c r="P1260" s="361"/>
      <c r="Q1260" s="361"/>
      <c r="R1260" s="362"/>
      <c r="S1260" s="361"/>
      <c r="T1260" s="360" t="s">
        <v>132</v>
      </c>
    </row>
    <row r="1261" ht="34.5">
      <c r="A1261" s="360" t="s">
        <v>1066</v>
      </c>
      <c r="B1261" s="360" t="s">
        <v>1067</v>
      </c>
      <c r="C1261" s="360" t="s">
        <v>348</v>
      </c>
      <c r="D1261" s="360" t="s">
        <v>128</v>
      </c>
      <c r="E1261" s="360" t="s">
        <v>317</v>
      </c>
      <c r="F1261" s="361" t="s">
        <v>1169</v>
      </c>
      <c r="G1261" s="360" t="s">
        <v>319</v>
      </c>
      <c r="H1261" s="361"/>
      <c r="I1261" s="361"/>
      <c r="J1261" s="361" t="s">
        <v>1183</v>
      </c>
      <c r="K1261" s="363"/>
      <c r="L1261" s="360"/>
      <c r="M1261" s="360"/>
      <c r="N1261" s="361"/>
      <c r="O1261" s="361"/>
      <c r="P1261" s="361"/>
      <c r="Q1261" s="361"/>
      <c r="R1261" s="362"/>
      <c r="S1261" s="361"/>
      <c r="T1261" s="360" t="s">
        <v>132</v>
      </c>
    </row>
    <row r="1262" ht="34.5">
      <c r="A1262" s="360" t="s">
        <v>1066</v>
      </c>
      <c r="B1262" s="360" t="s">
        <v>1067</v>
      </c>
      <c r="C1262" s="360" t="s">
        <v>348</v>
      </c>
      <c r="D1262" s="360" t="s">
        <v>128</v>
      </c>
      <c r="E1262" s="360" t="s">
        <v>317</v>
      </c>
      <c r="F1262" s="361" t="s">
        <v>1169</v>
      </c>
      <c r="G1262" s="360" t="s">
        <v>319</v>
      </c>
      <c r="H1262" s="361"/>
      <c r="I1262" s="361"/>
      <c r="J1262" s="361" t="s">
        <v>1184</v>
      </c>
      <c r="K1262" s="363"/>
      <c r="L1262" s="360"/>
      <c r="M1262" s="360"/>
      <c r="N1262" s="361"/>
      <c r="O1262" s="361"/>
      <c r="P1262" s="361"/>
      <c r="Q1262" s="361"/>
      <c r="R1262" s="362"/>
      <c r="S1262" s="361"/>
      <c r="T1262" s="360" t="s">
        <v>132</v>
      </c>
    </row>
    <row r="1263" ht="34.5">
      <c r="A1263" s="360" t="s">
        <v>1066</v>
      </c>
      <c r="B1263" s="360" t="s">
        <v>1067</v>
      </c>
      <c r="C1263" s="360" t="s">
        <v>348</v>
      </c>
      <c r="D1263" s="360" t="s">
        <v>128</v>
      </c>
      <c r="E1263" s="360" t="s">
        <v>317</v>
      </c>
      <c r="F1263" s="361" t="s">
        <v>1169</v>
      </c>
      <c r="G1263" s="360" t="s">
        <v>319</v>
      </c>
      <c r="H1263" s="361"/>
      <c r="I1263" s="361"/>
      <c r="J1263" s="361" t="s">
        <v>1185</v>
      </c>
      <c r="K1263" s="363"/>
      <c r="L1263" s="360"/>
      <c r="M1263" s="360"/>
      <c r="N1263" s="361"/>
      <c r="O1263" s="361"/>
      <c r="P1263" s="361"/>
      <c r="Q1263" s="361"/>
      <c r="R1263" s="362"/>
      <c r="S1263" s="361"/>
      <c r="T1263" s="360" t="s">
        <v>132</v>
      </c>
    </row>
    <row r="1264" ht="34.5">
      <c r="A1264" s="360" t="s">
        <v>1066</v>
      </c>
      <c r="B1264" s="360" t="s">
        <v>1067</v>
      </c>
      <c r="C1264" s="360" t="s">
        <v>348</v>
      </c>
      <c r="D1264" s="360" t="s">
        <v>128</v>
      </c>
      <c r="E1264" s="360" t="s">
        <v>317</v>
      </c>
      <c r="F1264" s="361" t="s">
        <v>1169</v>
      </c>
      <c r="G1264" s="360" t="s">
        <v>319</v>
      </c>
      <c r="H1264" s="361"/>
      <c r="I1264" s="361"/>
      <c r="J1264" s="361" t="s">
        <v>1186</v>
      </c>
      <c r="K1264" s="363"/>
      <c r="L1264" s="360"/>
      <c r="M1264" s="360"/>
      <c r="N1264" s="361"/>
      <c r="O1264" s="361"/>
      <c r="P1264" s="361"/>
      <c r="Q1264" s="361"/>
      <c r="R1264" s="362"/>
      <c r="S1264" s="361"/>
      <c r="T1264" s="360" t="s">
        <v>132</v>
      </c>
    </row>
    <row r="1265" ht="34.5">
      <c r="A1265" s="360" t="s">
        <v>1066</v>
      </c>
      <c r="B1265" s="360" t="s">
        <v>1067</v>
      </c>
      <c r="C1265" s="360" t="s">
        <v>348</v>
      </c>
      <c r="D1265" s="360" t="s">
        <v>128</v>
      </c>
      <c r="E1265" s="360" t="s">
        <v>317</v>
      </c>
      <c r="F1265" s="361" t="s">
        <v>1169</v>
      </c>
      <c r="G1265" s="360" t="s">
        <v>319</v>
      </c>
      <c r="H1265" s="361"/>
      <c r="I1265" s="361"/>
      <c r="J1265" s="361" t="s">
        <v>1187</v>
      </c>
      <c r="K1265" s="363"/>
      <c r="L1265" s="360"/>
      <c r="M1265" s="360"/>
      <c r="N1265" s="361"/>
      <c r="O1265" s="361"/>
      <c r="P1265" s="361"/>
      <c r="Q1265" s="361"/>
      <c r="R1265" s="362"/>
      <c r="S1265" s="361"/>
      <c r="T1265" s="360" t="s">
        <v>132</v>
      </c>
    </row>
    <row r="1266" ht="34.5">
      <c r="A1266" s="360" t="s">
        <v>1066</v>
      </c>
      <c r="B1266" s="360" t="s">
        <v>1067</v>
      </c>
      <c r="C1266" s="360" t="s">
        <v>348</v>
      </c>
      <c r="D1266" s="360" t="s">
        <v>128</v>
      </c>
      <c r="E1266" s="360" t="s">
        <v>317</v>
      </c>
      <c r="F1266" s="361" t="s">
        <v>1169</v>
      </c>
      <c r="G1266" s="360" t="s">
        <v>319</v>
      </c>
      <c r="H1266" s="361"/>
      <c r="I1266" s="361"/>
      <c r="J1266" s="361" t="s">
        <v>1188</v>
      </c>
      <c r="K1266" s="363"/>
      <c r="L1266" s="360"/>
      <c r="M1266" s="360"/>
      <c r="N1266" s="361"/>
      <c r="O1266" s="361"/>
      <c r="P1266" s="361"/>
      <c r="Q1266" s="361"/>
      <c r="R1266" s="362"/>
      <c r="S1266" s="361"/>
      <c r="T1266" s="360" t="s">
        <v>132</v>
      </c>
    </row>
    <row r="1267" ht="34.5">
      <c r="A1267" s="360" t="s">
        <v>1066</v>
      </c>
      <c r="B1267" s="360" t="s">
        <v>1067</v>
      </c>
      <c r="C1267" s="360" t="s">
        <v>348</v>
      </c>
      <c r="D1267" s="360" t="s">
        <v>128</v>
      </c>
      <c r="E1267" s="360" t="s">
        <v>317</v>
      </c>
      <c r="F1267" s="361" t="s">
        <v>1169</v>
      </c>
      <c r="G1267" s="360" t="s">
        <v>319</v>
      </c>
      <c r="H1267" s="361"/>
      <c r="I1267" s="361"/>
      <c r="J1267" s="361" t="s">
        <v>1189</v>
      </c>
      <c r="K1267" s="363">
        <v>50372362</v>
      </c>
      <c r="L1267" s="360" t="s">
        <v>314</v>
      </c>
      <c r="M1267" s="360"/>
      <c r="N1267" s="361"/>
      <c r="O1267" s="361"/>
      <c r="P1267" s="361"/>
      <c r="Q1267" s="361"/>
      <c r="R1267" s="362"/>
      <c r="S1267" s="361"/>
      <c r="T1267" s="360" t="s">
        <v>132</v>
      </c>
    </row>
    <row r="1268" ht="34.5">
      <c r="A1268" s="360" t="s">
        <v>1066</v>
      </c>
      <c r="B1268" s="360" t="s">
        <v>1067</v>
      </c>
      <c r="C1268" s="360" t="s">
        <v>357</v>
      </c>
      <c r="D1268" s="360" t="s">
        <v>128</v>
      </c>
      <c r="E1268" s="360" t="s">
        <v>317</v>
      </c>
      <c r="F1268" s="361" t="s">
        <v>1169</v>
      </c>
      <c r="G1268" s="360" t="s">
        <v>319</v>
      </c>
      <c r="H1268" s="361"/>
      <c r="I1268" s="361"/>
      <c r="J1268" s="361" t="s">
        <v>1190</v>
      </c>
      <c r="K1268" s="363"/>
      <c r="L1268" s="360"/>
      <c r="M1268" s="360"/>
      <c r="N1268" s="361"/>
      <c r="O1268" s="361"/>
      <c r="P1268" s="361"/>
      <c r="Q1268" s="361"/>
      <c r="R1268" s="362"/>
      <c r="S1268" s="361"/>
      <c r="T1268" s="360" t="s">
        <v>132</v>
      </c>
    </row>
    <row r="1269" ht="34.5">
      <c r="A1269" s="360" t="s">
        <v>1066</v>
      </c>
      <c r="B1269" s="360" t="s">
        <v>1067</v>
      </c>
      <c r="C1269" s="360" t="s">
        <v>357</v>
      </c>
      <c r="D1269" s="360" t="s">
        <v>128</v>
      </c>
      <c r="E1269" s="360" t="s">
        <v>317</v>
      </c>
      <c r="F1269" s="361" t="s">
        <v>1169</v>
      </c>
      <c r="G1269" s="360" t="s">
        <v>319</v>
      </c>
      <c r="H1269" s="361"/>
      <c r="I1269" s="361"/>
      <c r="J1269" s="361" t="s">
        <v>1191</v>
      </c>
      <c r="K1269" s="363"/>
      <c r="L1269" s="360"/>
      <c r="M1269" s="360"/>
      <c r="N1269" s="361"/>
      <c r="O1269" s="361"/>
      <c r="P1269" s="361"/>
      <c r="Q1269" s="361"/>
      <c r="R1269" s="362"/>
      <c r="S1269" s="361"/>
      <c r="T1269" s="360" t="s">
        <v>132</v>
      </c>
    </row>
    <row r="1270" ht="34.5">
      <c r="A1270" s="360" t="s">
        <v>1066</v>
      </c>
      <c r="B1270" s="360" t="s">
        <v>1067</v>
      </c>
      <c r="C1270" s="360" t="s">
        <v>357</v>
      </c>
      <c r="D1270" s="360" t="s">
        <v>128</v>
      </c>
      <c r="E1270" s="360" t="s">
        <v>317</v>
      </c>
      <c r="F1270" s="361" t="s">
        <v>1169</v>
      </c>
      <c r="G1270" s="360" t="s">
        <v>319</v>
      </c>
      <c r="H1270" s="361"/>
      <c r="I1270" s="361"/>
      <c r="J1270" s="361" t="s">
        <v>1192</v>
      </c>
      <c r="K1270" s="363"/>
      <c r="L1270" s="360"/>
      <c r="M1270" s="360"/>
      <c r="N1270" s="361"/>
      <c r="O1270" s="361"/>
      <c r="P1270" s="361"/>
      <c r="Q1270" s="361"/>
      <c r="R1270" s="362"/>
      <c r="S1270" s="361"/>
      <c r="T1270" s="360" t="s">
        <v>132</v>
      </c>
    </row>
    <row r="1271" ht="34.5">
      <c r="A1271" s="360" t="s">
        <v>1066</v>
      </c>
      <c r="B1271" s="360" t="s">
        <v>1067</v>
      </c>
      <c r="C1271" s="360" t="s">
        <v>357</v>
      </c>
      <c r="D1271" s="360" t="s">
        <v>436</v>
      </c>
      <c r="E1271" s="360" t="s">
        <v>317</v>
      </c>
      <c r="F1271" s="361" t="s">
        <v>1169</v>
      </c>
      <c r="G1271" s="360" t="s">
        <v>319</v>
      </c>
      <c r="H1271" s="361"/>
      <c r="I1271" s="361"/>
      <c r="J1271" s="361" t="s">
        <v>437</v>
      </c>
      <c r="K1271" s="363"/>
      <c r="L1271" s="360"/>
      <c r="M1271" s="360"/>
      <c r="N1271" s="361"/>
      <c r="O1271" s="361"/>
      <c r="P1271" s="361"/>
      <c r="Q1271" s="361"/>
      <c r="R1271" s="362"/>
      <c r="S1271" s="361"/>
      <c r="T1271" s="360" t="s">
        <v>132</v>
      </c>
    </row>
    <row r="1272" ht="34.5">
      <c r="A1272" s="360" t="s">
        <v>1066</v>
      </c>
      <c r="B1272" s="360" t="s">
        <v>1067</v>
      </c>
      <c r="C1272" s="360" t="s">
        <v>357</v>
      </c>
      <c r="D1272" s="360" t="s">
        <v>128</v>
      </c>
      <c r="E1272" s="360" t="s">
        <v>317</v>
      </c>
      <c r="F1272" s="361" t="s">
        <v>1169</v>
      </c>
      <c r="G1272" s="360" t="s">
        <v>319</v>
      </c>
      <c r="H1272" s="361"/>
      <c r="I1272" s="361"/>
      <c r="J1272" s="361" t="s">
        <v>1193</v>
      </c>
      <c r="K1272" s="363"/>
      <c r="L1272" s="360"/>
      <c r="M1272" s="360"/>
      <c r="N1272" s="361"/>
      <c r="O1272" s="361"/>
      <c r="P1272" s="361"/>
      <c r="Q1272" s="361"/>
      <c r="R1272" s="362"/>
      <c r="S1272" s="361"/>
      <c r="T1272" s="360" t="s">
        <v>132</v>
      </c>
    </row>
    <row r="1273" ht="34.5">
      <c r="A1273" s="360" t="s">
        <v>1066</v>
      </c>
      <c r="B1273" s="360" t="s">
        <v>1067</v>
      </c>
      <c r="C1273" s="360" t="s">
        <v>357</v>
      </c>
      <c r="D1273" s="360" t="s">
        <v>447</v>
      </c>
      <c r="E1273" s="360" t="s">
        <v>317</v>
      </c>
      <c r="F1273" s="361" t="s">
        <v>1169</v>
      </c>
      <c r="G1273" s="360" t="s">
        <v>319</v>
      </c>
      <c r="H1273" s="361"/>
      <c r="I1273" s="361"/>
      <c r="J1273" s="361" t="s">
        <v>448</v>
      </c>
      <c r="K1273" s="363"/>
      <c r="L1273" s="360"/>
      <c r="M1273" s="360"/>
      <c r="N1273" s="361"/>
      <c r="O1273" s="361"/>
      <c r="P1273" s="361"/>
      <c r="Q1273" s="361"/>
      <c r="R1273" s="362"/>
      <c r="S1273" s="361"/>
      <c r="T1273" s="360" t="s">
        <v>132</v>
      </c>
    </row>
    <row r="1274" ht="34.5">
      <c r="A1274" s="360" t="s">
        <v>1066</v>
      </c>
      <c r="B1274" s="360" t="s">
        <v>1067</v>
      </c>
      <c r="C1274" s="360" t="s">
        <v>357</v>
      </c>
      <c r="D1274" s="360" t="s">
        <v>128</v>
      </c>
      <c r="E1274" s="360" t="s">
        <v>317</v>
      </c>
      <c r="F1274" s="361" t="s">
        <v>1169</v>
      </c>
      <c r="G1274" s="360" t="s">
        <v>319</v>
      </c>
      <c r="H1274" s="361"/>
      <c r="I1274" s="361"/>
      <c r="J1274" s="361" t="s">
        <v>1194</v>
      </c>
      <c r="K1274" s="363"/>
      <c r="L1274" s="360"/>
      <c r="M1274" s="360"/>
      <c r="N1274" s="361"/>
      <c r="O1274" s="361"/>
      <c r="P1274" s="361"/>
      <c r="Q1274" s="361"/>
      <c r="R1274" s="362"/>
      <c r="S1274" s="361"/>
      <c r="T1274" s="360" t="s">
        <v>132</v>
      </c>
    </row>
    <row r="1275" ht="34.5">
      <c r="A1275" s="360" t="s">
        <v>1066</v>
      </c>
      <c r="B1275" s="360" t="s">
        <v>1067</v>
      </c>
      <c r="C1275" s="360" t="s">
        <v>357</v>
      </c>
      <c r="D1275" s="360" t="s">
        <v>128</v>
      </c>
      <c r="E1275" s="360" t="s">
        <v>317</v>
      </c>
      <c r="F1275" s="361" t="s">
        <v>1169</v>
      </c>
      <c r="G1275" s="360" t="s">
        <v>319</v>
      </c>
      <c r="H1275" s="361"/>
      <c r="I1275" s="361"/>
      <c r="J1275" s="361" t="s">
        <v>1195</v>
      </c>
      <c r="K1275" s="363"/>
      <c r="L1275" s="360"/>
      <c r="M1275" s="360"/>
      <c r="N1275" s="361"/>
      <c r="O1275" s="361"/>
      <c r="P1275" s="361"/>
      <c r="Q1275" s="361"/>
      <c r="R1275" s="362"/>
      <c r="S1275" s="361"/>
      <c r="T1275" s="360" t="s">
        <v>132</v>
      </c>
    </row>
    <row r="1276" ht="34.5">
      <c r="A1276" s="360" t="s">
        <v>1066</v>
      </c>
      <c r="B1276" s="360" t="s">
        <v>1067</v>
      </c>
      <c r="C1276" s="360" t="s">
        <v>357</v>
      </c>
      <c r="D1276" s="360" t="s">
        <v>451</v>
      </c>
      <c r="E1276" s="360" t="s">
        <v>317</v>
      </c>
      <c r="F1276" s="361" t="s">
        <v>1169</v>
      </c>
      <c r="G1276" s="360" t="s">
        <v>319</v>
      </c>
      <c r="H1276" s="361"/>
      <c r="I1276" s="361"/>
      <c r="J1276" s="361" t="s">
        <v>452</v>
      </c>
      <c r="K1276" s="363"/>
      <c r="L1276" s="360"/>
      <c r="M1276" s="360"/>
      <c r="N1276" s="361"/>
      <c r="O1276" s="361"/>
      <c r="P1276" s="361"/>
      <c r="Q1276" s="361"/>
      <c r="R1276" s="362"/>
      <c r="S1276" s="361"/>
      <c r="T1276" s="360" t="s">
        <v>132</v>
      </c>
    </row>
    <row r="1277" ht="34.5">
      <c r="A1277" s="360" t="s">
        <v>1066</v>
      </c>
      <c r="B1277" s="360" t="s">
        <v>1067</v>
      </c>
      <c r="C1277" s="360" t="s">
        <v>369</v>
      </c>
      <c r="D1277" s="360" t="s">
        <v>455</v>
      </c>
      <c r="E1277" s="360" t="s">
        <v>317</v>
      </c>
      <c r="F1277" s="361" t="s">
        <v>1169</v>
      </c>
      <c r="G1277" s="360" t="s">
        <v>319</v>
      </c>
      <c r="H1277" s="361"/>
      <c r="I1277" s="361"/>
      <c r="J1277" s="361" t="s">
        <v>456</v>
      </c>
      <c r="K1277" s="363"/>
      <c r="L1277" s="360"/>
      <c r="M1277" s="360"/>
      <c r="N1277" s="361"/>
      <c r="O1277" s="361"/>
      <c r="P1277" s="361"/>
      <c r="Q1277" s="361"/>
      <c r="R1277" s="362"/>
      <c r="S1277" s="361"/>
      <c r="T1277" s="360" t="s">
        <v>132</v>
      </c>
    </row>
    <row r="1278" ht="34.5">
      <c r="A1278" s="360" t="s">
        <v>1066</v>
      </c>
      <c r="B1278" s="360" t="s">
        <v>1067</v>
      </c>
      <c r="C1278" s="360" t="s">
        <v>369</v>
      </c>
      <c r="D1278" s="360" t="s">
        <v>128</v>
      </c>
      <c r="E1278" s="360" t="s">
        <v>317</v>
      </c>
      <c r="F1278" s="361" t="s">
        <v>1169</v>
      </c>
      <c r="G1278" s="360" t="s">
        <v>319</v>
      </c>
      <c r="H1278" s="361"/>
      <c r="I1278" s="361"/>
      <c r="J1278" s="361" t="s">
        <v>1196</v>
      </c>
      <c r="K1278" s="363"/>
      <c r="L1278" s="360"/>
      <c r="M1278" s="360"/>
      <c r="N1278" s="361"/>
      <c r="O1278" s="361"/>
      <c r="P1278" s="361"/>
      <c r="Q1278" s="361"/>
      <c r="R1278" s="362"/>
      <c r="S1278" s="361"/>
      <c r="T1278" s="360" t="s">
        <v>132</v>
      </c>
    </row>
    <row r="1279" ht="34.5">
      <c r="A1279" s="360" t="s">
        <v>1066</v>
      </c>
      <c r="B1279" s="360" t="s">
        <v>1067</v>
      </c>
      <c r="C1279" s="360" t="s">
        <v>369</v>
      </c>
      <c r="D1279" s="360" t="s">
        <v>128</v>
      </c>
      <c r="E1279" s="360" t="s">
        <v>317</v>
      </c>
      <c r="F1279" s="361" t="s">
        <v>1169</v>
      </c>
      <c r="G1279" s="360" t="s">
        <v>319</v>
      </c>
      <c r="H1279" s="361"/>
      <c r="I1279" s="361"/>
      <c r="J1279" s="361" t="s">
        <v>1197</v>
      </c>
      <c r="K1279" s="363"/>
      <c r="L1279" s="360"/>
      <c r="M1279" s="360"/>
      <c r="N1279" s="361"/>
      <c r="O1279" s="361"/>
      <c r="P1279" s="361"/>
      <c r="Q1279" s="361"/>
      <c r="R1279" s="362"/>
      <c r="S1279" s="361"/>
      <c r="T1279" s="360" t="s">
        <v>132</v>
      </c>
    </row>
    <row r="1280" ht="34.5">
      <c r="A1280" s="360" t="s">
        <v>1066</v>
      </c>
      <c r="B1280" s="360" t="s">
        <v>1067</v>
      </c>
      <c r="C1280" s="360" t="s">
        <v>369</v>
      </c>
      <c r="D1280" s="360" t="s">
        <v>128</v>
      </c>
      <c r="E1280" s="360" t="s">
        <v>317</v>
      </c>
      <c r="F1280" s="361" t="s">
        <v>1169</v>
      </c>
      <c r="G1280" s="360" t="s">
        <v>319</v>
      </c>
      <c r="H1280" s="361"/>
      <c r="I1280" s="361"/>
      <c r="J1280" s="361" t="s">
        <v>1198</v>
      </c>
      <c r="K1280" s="363"/>
      <c r="L1280" s="360"/>
      <c r="M1280" s="360"/>
      <c r="N1280" s="361"/>
      <c r="O1280" s="361"/>
      <c r="P1280" s="361"/>
      <c r="Q1280" s="361"/>
      <c r="R1280" s="362"/>
      <c r="S1280" s="361"/>
      <c r="T1280" s="360" t="s">
        <v>132</v>
      </c>
    </row>
    <row r="1281" ht="34.5">
      <c r="A1281" s="360" t="s">
        <v>1066</v>
      </c>
      <c r="B1281" s="360" t="s">
        <v>1067</v>
      </c>
      <c r="C1281" s="360" t="s">
        <v>369</v>
      </c>
      <c r="D1281" s="360" t="s">
        <v>128</v>
      </c>
      <c r="E1281" s="360" t="s">
        <v>317</v>
      </c>
      <c r="F1281" s="361" t="s">
        <v>1169</v>
      </c>
      <c r="G1281" s="360" t="s">
        <v>319</v>
      </c>
      <c r="H1281" s="361"/>
      <c r="I1281" s="361"/>
      <c r="J1281" s="361" t="s">
        <v>1199</v>
      </c>
      <c r="K1281" s="363"/>
      <c r="L1281" s="360"/>
      <c r="M1281" s="360"/>
      <c r="N1281" s="361"/>
      <c r="O1281" s="361"/>
      <c r="P1281" s="361"/>
      <c r="Q1281" s="361"/>
      <c r="R1281" s="362"/>
      <c r="S1281" s="361"/>
      <c r="T1281" s="360" t="s">
        <v>132</v>
      </c>
    </row>
    <row r="1282" ht="34.5">
      <c r="A1282" s="360" t="s">
        <v>1066</v>
      </c>
      <c r="B1282" s="360" t="s">
        <v>1067</v>
      </c>
      <c r="C1282" s="360" t="s">
        <v>369</v>
      </c>
      <c r="D1282" s="360" t="s">
        <v>463</v>
      </c>
      <c r="E1282" s="360" t="s">
        <v>317</v>
      </c>
      <c r="F1282" s="361" t="s">
        <v>1169</v>
      </c>
      <c r="G1282" s="360" t="s">
        <v>319</v>
      </c>
      <c r="H1282" s="361"/>
      <c r="I1282" s="361"/>
      <c r="J1282" s="361" t="s">
        <v>464</v>
      </c>
      <c r="K1282" s="363"/>
      <c r="L1282" s="360"/>
      <c r="M1282" s="360"/>
      <c r="N1282" s="361"/>
      <c r="O1282" s="361"/>
      <c r="P1282" s="361"/>
      <c r="Q1282" s="361"/>
      <c r="R1282" s="362"/>
      <c r="S1282" s="361"/>
      <c r="T1282" s="360" t="s">
        <v>132</v>
      </c>
    </row>
    <row r="1283" ht="34.5">
      <c r="A1283" s="360" t="s">
        <v>1066</v>
      </c>
      <c r="B1283" s="360" t="s">
        <v>1067</v>
      </c>
      <c r="C1283" s="360" t="s">
        <v>369</v>
      </c>
      <c r="D1283" s="360" t="s">
        <v>128</v>
      </c>
      <c r="E1283" s="360" t="s">
        <v>317</v>
      </c>
      <c r="F1283" s="361" t="s">
        <v>1169</v>
      </c>
      <c r="G1283" s="360" t="s">
        <v>319</v>
      </c>
      <c r="H1283" s="361"/>
      <c r="I1283" s="361"/>
      <c r="J1283" s="361" t="s">
        <v>1200</v>
      </c>
      <c r="K1283" s="363"/>
      <c r="L1283" s="360"/>
      <c r="M1283" s="360"/>
      <c r="N1283" s="361"/>
      <c r="O1283" s="361"/>
      <c r="P1283" s="361"/>
      <c r="Q1283" s="361"/>
      <c r="R1283" s="362"/>
      <c r="S1283" s="361"/>
      <c r="T1283" s="360" t="s">
        <v>132</v>
      </c>
    </row>
    <row r="1284" ht="34.5">
      <c r="A1284" s="360" t="s">
        <v>1066</v>
      </c>
      <c r="B1284" s="360" t="s">
        <v>1067</v>
      </c>
      <c r="C1284" s="360" t="s">
        <v>378</v>
      </c>
      <c r="D1284" s="360" t="s">
        <v>128</v>
      </c>
      <c r="E1284" s="360" t="s">
        <v>317</v>
      </c>
      <c r="F1284" s="361" t="s">
        <v>1169</v>
      </c>
      <c r="G1284" s="360" t="s">
        <v>319</v>
      </c>
      <c r="H1284" s="361"/>
      <c r="I1284" s="361"/>
      <c r="J1284" s="361" t="s">
        <v>1201</v>
      </c>
      <c r="K1284" s="363"/>
      <c r="L1284" s="360"/>
      <c r="M1284" s="360"/>
      <c r="N1284" s="361"/>
      <c r="O1284" s="361"/>
      <c r="P1284" s="361"/>
      <c r="Q1284" s="361"/>
      <c r="R1284" s="362"/>
      <c r="S1284" s="361"/>
      <c r="T1284" s="360" t="s">
        <v>132</v>
      </c>
    </row>
    <row r="1285" ht="34.5">
      <c r="A1285" s="360" t="s">
        <v>1066</v>
      </c>
      <c r="B1285" s="360" t="s">
        <v>1067</v>
      </c>
      <c r="C1285" s="360" t="s">
        <v>378</v>
      </c>
      <c r="D1285" s="360" t="s">
        <v>128</v>
      </c>
      <c r="E1285" s="360" t="s">
        <v>317</v>
      </c>
      <c r="F1285" s="361" t="s">
        <v>1169</v>
      </c>
      <c r="G1285" s="360" t="s">
        <v>319</v>
      </c>
      <c r="H1285" s="361"/>
      <c r="I1285" s="361"/>
      <c r="J1285" s="361" t="s">
        <v>1202</v>
      </c>
      <c r="K1285" s="363"/>
      <c r="L1285" s="360"/>
      <c r="M1285" s="360"/>
      <c r="N1285" s="361"/>
      <c r="O1285" s="361"/>
      <c r="P1285" s="361"/>
      <c r="Q1285" s="361"/>
      <c r="R1285" s="362"/>
      <c r="S1285" s="361"/>
      <c r="T1285" s="360" t="s">
        <v>132</v>
      </c>
    </row>
    <row r="1286" ht="34.5">
      <c r="A1286" s="360" t="s">
        <v>1066</v>
      </c>
      <c r="B1286" s="360" t="s">
        <v>1067</v>
      </c>
      <c r="C1286" s="360" t="s">
        <v>378</v>
      </c>
      <c r="D1286" s="360" t="s">
        <v>128</v>
      </c>
      <c r="E1286" s="360" t="s">
        <v>317</v>
      </c>
      <c r="F1286" s="361" t="s">
        <v>1169</v>
      </c>
      <c r="G1286" s="360" t="s">
        <v>319</v>
      </c>
      <c r="H1286" s="361"/>
      <c r="I1286" s="361"/>
      <c r="J1286" s="361" t="s">
        <v>1203</v>
      </c>
      <c r="K1286" s="363">
        <v>4085869</v>
      </c>
      <c r="L1286" s="360" t="s">
        <v>314</v>
      </c>
      <c r="M1286" s="360"/>
      <c r="N1286" s="361"/>
      <c r="O1286" s="361"/>
      <c r="P1286" s="361"/>
      <c r="Q1286" s="361"/>
      <c r="R1286" s="362"/>
      <c r="S1286" s="361"/>
      <c r="T1286" s="360" t="s">
        <v>132</v>
      </c>
    </row>
    <row r="1287" ht="34.5">
      <c r="A1287" s="360" t="s">
        <v>1066</v>
      </c>
      <c r="B1287" s="360" t="s">
        <v>1067</v>
      </c>
      <c r="C1287" s="360" t="s">
        <v>378</v>
      </c>
      <c r="D1287" s="360" t="s">
        <v>486</v>
      </c>
      <c r="E1287" s="360" t="s">
        <v>317</v>
      </c>
      <c r="F1287" s="361" t="s">
        <v>1169</v>
      </c>
      <c r="G1287" s="360" t="s">
        <v>319</v>
      </c>
      <c r="H1287" s="361"/>
      <c r="I1287" s="361"/>
      <c r="J1287" s="361" t="s">
        <v>487</v>
      </c>
      <c r="K1287" s="363"/>
      <c r="L1287" s="360"/>
      <c r="M1287" s="360"/>
      <c r="N1287" s="361"/>
      <c r="O1287" s="361"/>
      <c r="P1287" s="361"/>
      <c r="Q1287" s="361"/>
      <c r="R1287" s="362"/>
      <c r="S1287" s="361"/>
      <c r="T1287" s="360" t="s">
        <v>132</v>
      </c>
    </row>
    <row r="1288" ht="34.5">
      <c r="A1288" s="360" t="s">
        <v>1066</v>
      </c>
      <c r="B1288" s="360" t="s">
        <v>1067</v>
      </c>
      <c r="C1288" s="360" t="s">
        <v>378</v>
      </c>
      <c r="D1288" s="360" t="s">
        <v>128</v>
      </c>
      <c r="E1288" s="360" t="s">
        <v>317</v>
      </c>
      <c r="F1288" s="361" t="s">
        <v>1169</v>
      </c>
      <c r="G1288" s="360" t="s">
        <v>319</v>
      </c>
      <c r="H1288" s="361"/>
      <c r="I1288" s="361"/>
      <c r="J1288" s="361" t="s">
        <v>1204</v>
      </c>
      <c r="K1288" s="363"/>
      <c r="L1288" s="360"/>
      <c r="M1288" s="360"/>
      <c r="N1288" s="361"/>
      <c r="O1288" s="361"/>
      <c r="P1288" s="361"/>
      <c r="Q1288" s="361"/>
      <c r="R1288" s="362"/>
      <c r="S1288" s="361"/>
      <c r="T1288" s="360" t="s">
        <v>132</v>
      </c>
    </row>
    <row r="1289" ht="34.5">
      <c r="A1289" s="360" t="s">
        <v>1066</v>
      </c>
      <c r="B1289" s="360" t="s">
        <v>1067</v>
      </c>
      <c r="C1289" s="360" t="s">
        <v>378</v>
      </c>
      <c r="D1289" s="360" t="s">
        <v>128</v>
      </c>
      <c r="E1289" s="360" t="s">
        <v>317</v>
      </c>
      <c r="F1289" s="361" t="s">
        <v>1169</v>
      </c>
      <c r="G1289" s="360" t="s">
        <v>319</v>
      </c>
      <c r="H1289" s="361"/>
      <c r="I1289" s="361"/>
      <c r="J1289" s="361" t="s">
        <v>1205</v>
      </c>
      <c r="K1289" s="363"/>
      <c r="L1289" s="360"/>
      <c r="M1289" s="360"/>
      <c r="N1289" s="361"/>
      <c r="O1289" s="361"/>
      <c r="P1289" s="361"/>
      <c r="Q1289" s="361"/>
      <c r="R1289" s="362"/>
      <c r="S1289" s="361"/>
      <c r="T1289" s="360" t="s">
        <v>132</v>
      </c>
    </row>
    <row r="1290" ht="34.5">
      <c r="A1290" s="360" t="s">
        <v>1066</v>
      </c>
      <c r="B1290" s="360" t="s">
        <v>1067</v>
      </c>
      <c r="C1290" s="360" t="s">
        <v>394</v>
      </c>
      <c r="D1290" s="360" t="s">
        <v>491</v>
      </c>
      <c r="E1290" s="360" t="s">
        <v>317</v>
      </c>
      <c r="F1290" s="361" t="s">
        <v>1169</v>
      </c>
      <c r="G1290" s="360" t="s">
        <v>319</v>
      </c>
      <c r="H1290" s="361"/>
      <c r="I1290" s="361"/>
      <c r="J1290" s="361" t="s">
        <v>1206</v>
      </c>
      <c r="K1290" s="363"/>
      <c r="L1290" s="360"/>
      <c r="M1290" s="360"/>
      <c r="N1290" s="361"/>
      <c r="O1290" s="361"/>
      <c r="P1290" s="361"/>
      <c r="Q1290" s="361"/>
      <c r="R1290" s="362"/>
      <c r="S1290" s="361"/>
      <c r="T1290" s="360" t="s">
        <v>132</v>
      </c>
    </row>
    <row r="1291" ht="34.5">
      <c r="A1291" s="360" t="s">
        <v>1066</v>
      </c>
      <c r="B1291" s="360" t="s">
        <v>1067</v>
      </c>
      <c r="C1291" s="360" t="s">
        <v>394</v>
      </c>
      <c r="D1291" s="360" t="s">
        <v>128</v>
      </c>
      <c r="E1291" s="360" t="s">
        <v>317</v>
      </c>
      <c r="F1291" s="361" t="s">
        <v>1169</v>
      </c>
      <c r="G1291" s="360" t="s">
        <v>319</v>
      </c>
      <c r="H1291" s="361"/>
      <c r="I1291" s="361"/>
      <c r="J1291" s="361" t="s">
        <v>1207</v>
      </c>
      <c r="K1291" s="363"/>
      <c r="L1291" s="360"/>
      <c r="M1291" s="360"/>
      <c r="N1291" s="361"/>
      <c r="O1291" s="361"/>
      <c r="P1291" s="361"/>
      <c r="Q1291" s="361"/>
      <c r="R1291" s="362"/>
      <c r="S1291" s="361"/>
      <c r="T1291" s="360" t="s">
        <v>132</v>
      </c>
    </row>
    <row r="1292" ht="34.5">
      <c r="A1292" s="360" t="s">
        <v>1066</v>
      </c>
      <c r="B1292" s="360" t="s">
        <v>1067</v>
      </c>
      <c r="C1292" s="360" t="s">
        <v>404</v>
      </c>
      <c r="D1292" s="360" t="s">
        <v>128</v>
      </c>
      <c r="E1292" s="360" t="s">
        <v>317</v>
      </c>
      <c r="F1292" s="361" t="s">
        <v>1169</v>
      </c>
      <c r="G1292" s="360" t="s">
        <v>319</v>
      </c>
      <c r="H1292" s="361"/>
      <c r="I1292" s="361"/>
      <c r="J1292" s="361" t="s">
        <v>1208</v>
      </c>
      <c r="K1292" s="363"/>
      <c r="L1292" s="360"/>
      <c r="M1292" s="360"/>
      <c r="N1292" s="361"/>
      <c r="O1292" s="361"/>
      <c r="P1292" s="361"/>
      <c r="Q1292" s="361"/>
      <c r="R1292" s="362"/>
      <c r="S1292" s="361"/>
      <c r="T1292" s="360" t="s">
        <v>132</v>
      </c>
    </row>
    <row r="1293" ht="34.5">
      <c r="A1293" s="360" t="s">
        <v>1066</v>
      </c>
      <c r="B1293" s="360" t="s">
        <v>1067</v>
      </c>
      <c r="C1293" s="360" t="s">
        <v>404</v>
      </c>
      <c r="D1293" s="360" t="s">
        <v>128</v>
      </c>
      <c r="E1293" s="360" t="s">
        <v>317</v>
      </c>
      <c r="F1293" s="361" t="s">
        <v>1169</v>
      </c>
      <c r="G1293" s="360" t="s">
        <v>319</v>
      </c>
      <c r="H1293" s="361"/>
      <c r="I1293" s="361"/>
      <c r="J1293" s="361" t="s">
        <v>1209</v>
      </c>
      <c r="K1293" s="363"/>
      <c r="L1293" s="360"/>
      <c r="M1293" s="360"/>
      <c r="N1293" s="361"/>
      <c r="O1293" s="361"/>
      <c r="P1293" s="361"/>
      <c r="Q1293" s="361"/>
      <c r="R1293" s="362"/>
      <c r="S1293" s="361"/>
      <c r="T1293" s="360" t="s">
        <v>132</v>
      </c>
    </row>
    <row r="1294" ht="34.5">
      <c r="A1294" s="360" t="s">
        <v>1066</v>
      </c>
      <c r="B1294" s="360" t="s">
        <v>1067</v>
      </c>
      <c r="C1294" s="360" t="s">
        <v>404</v>
      </c>
      <c r="D1294" s="360" t="s">
        <v>128</v>
      </c>
      <c r="E1294" s="360" t="s">
        <v>317</v>
      </c>
      <c r="F1294" s="361" t="s">
        <v>1169</v>
      </c>
      <c r="G1294" s="360" t="s">
        <v>319</v>
      </c>
      <c r="H1294" s="361"/>
      <c r="I1294" s="361"/>
      <c r="J1294" s="361" t="s">
        <v>1210</v>
      </c>
      <c r="K1294" s="363"/>
      <c r="L1294" s="360"/>
      <c r="M1294" s="360"/>
      <c r="N1294" s="361"/>
      <c r="O1294" s="361"/>
      <c r="P1294" s="361"/>
      <c r="Q1294" s="361"/>
      <c r="R1294" s="362"/>
      <c r="S1294" s="361"/>
      <c r="T1294" s="360" t="s">
        <v>132</v>
      </c>
    </row>
    <row r="1295" ht="34.5">
      <c r="A1295" s="360" t="s">
        <v>1066</v>
      </c>
      <c r="B1295" s="360" t="s">
        <v>1067</v>
      </c>
      <c r="C1295" s="360" t="s">
        <v>404</v>
      </c>
      <c r="D1295" s="360" t="s">
        <v>509</v>
      </c>
      <c r="E1295" s="360" t="s">
        <v>317</v>
      </c>
      <c r="F1295" s="361" t="s">
        <v>1169</v>
      </c>
      <c r="G1295" s="360" t="s">
        <v>319</v>
      </c>
      <c r="H1295" s="361"/>
      <c r="I1295" s="361"/>
      <c r="J1295" s="361" t="s">
        <v>1211</v>
      </c>
      <c r="K1295" s="363"/>
      <c r="L1295" s="360"/>
      <c r="M1295" s="360"/>
      <c r="N1295" s="361"/>
      <c r="O1295" s="361"/>
      <c r="P1295" s="361"/>
      <c r="Q1295" s="361"/>
      <c r="R1295" s="362"/>
      <c r="S1295" s="361"/>
      <c r="T1295" s="360" t="s">
        <v>132</v>
      </c>
    </row>
    <row r="1296" ht="34.5">
      <c r="A1296" s="360" t="s">
        <v>1066</v>
      </c>
      <c r="B1296" s="360" t="s">
        <v>1067</v>
      </c>
      <c r="C1296" s="360" t="s">
        <v>404</v>
      </c>
      <c r="D1296" s="360" t="s">
        <v>128</v>
      </c>
      <c r="E1296" s="360" t="s">
        <v>317</v>
      </c>
      <c r="F1296" s="361" t="s">
        <v>1169</v>
      </c>
      <c r="G1296" s="360" t="s">
        <v>319</v>
      </c>
      <c r="H1296" s="361"/>
      <c r="I1296" s="361"/>
      <c r="J1296" s="361" t="s">
        <v>1212</v>
      </c>
      <c r="K1296" s="363"/>
      <c r="L1296" s="360"/>
      <c r="M1296" s="360"/>
      <c r="N1296" s="361"/>
      <c r="O1296" s="361"/>
      <c r="P1296" s="361"/>
      <c r="Q1296" s="361"/>
      <c r="R1296" s="362"/>
      <c r="S1296" s="361"/>
      <c r="T1296" s="360" t="s">
        <v>132</v>
      </c>
    </row>
    <row r="1297" ht="34.5">
      <c r="A1297" s="360" t="s">
        <v>1066</v>
      </c>
      <c r="B1297" s="360" t="s">
        <v>1067</v>
      </c>
      <c r="C1297" s="360" t="s">
        <v>404</v>
      </c>
      <c r="D1297" s="360" t="s">
        <v>519</v>
      </c>
      <c r="E1297" s="360" t="s">
        <v>317</v>
      </c>
      <c r="F1297" s="361" t="s">
        <v>1169</v>
      </c>
      <c r="G1297" s="360" t="s">
        <v>319</v>
      </c>
      <c r="H1297" s="361"/>
      <c r="I1297" s="361"/>
      <c r="J1297" s="361" t="s">
        <v>520</v>
      </c>
      <c r="K1297" s="363"/>
      <c r="L1297" s="360"/>
      <c r="M1297" s="360"/>
      <c r="N1297" s="361"/>
      <c r="O1297" s="361"/>
      <c r="P1297" s="361"/>
      <c r="Q1297" s="361"/>
      <c r="R1297" s="362"/>
      <c r="S1297" s="361"/>
      <c r="T1297" s="360" t="s">
        <v>132</v>
      </c>
    </row>
    <row r="1298" ht="34.5">
      <c r="A1298" s="360" t="s">
        <v>1066</v>
      </c>
      <c r="B1298" s="360" t="s">
        <v>1067</v>
      </c>
      <c r="C1298" s="360" t="s">
        <v>404</v>
      </c>
      <c r="D1298" s="360" t="s">
        <v>128</v>
      </c>
      <c r="E1298" s="360" t="s">
        <v>317</v>
      </c>
      <c r="F1298" s="361" t="s">
        <v>1169</v>
      </c>
      <c r="G1298" s="360" t="s">
        <v>319</v>
      </c>
      <c r="H1298" s="361"/>
      <c r="I1298" s="361"/>
      <c r="J1298" s="361" t="s">
        <v>1213</v>
      </c>
      <c r="K1298" s="363"/>
      <c r="L1298" s="360"/>
      <c r="M1298" s="360"/>
      <c r="N1298" s="361"/>
      <c r="O1298" s="361"/>
      <c r="P1298" s="361"/>
      <c r="Q1298" s="361"/>
      <c r="R1298" s="362"/>
      <c r="S1298" s="361"/>
      <c r="T1298" s="360" t="s">
        <v>132</v>
      </c>
    </row>
    <row r="1299" ht="34.5">
      <c r="A1299" s="360" t="s">
        <v>1066</v>
      </c>
      <c r="B1299" s="360" t="s">
        <v>1067</v>
      </c>
      <c r="C1299" s="360" t="s">
        <v>404</v>
      </c>
      <c r="D1299" s="360" t="s">
        <v>128</v>
      </c>
      <c r="E1299" s="360" t="s">
        <v>317</v>
      </c>
      <c r="F1299" s="361" t="s">
        <v>1169</v>
      </c>
      <c r="G1299" s="360" t="s">
        <v>319</v>
      </c>
      <c r="H1299" s="361"/>
      <c r="I1299" s="361"/>
      <c r="J1299" s="361" t="s">
        <v>1214</v>
      </c>
      <c r="K1299" s="363"/>
      <c r="L1299" s="360"/>
      <c r="M1299" s="360"/>
      <c r="N1299" s="361"/>
      <c r="O1299" s="361"/>
      <c r="P1299" s="361"/>
      <c r="Q1299" s="361"/>
      <c r="R1299" s="362"/>
      <c r="S1299" s="361"/>
      <c r="T1299" s="360" t="s">
        <v>132</v>
      </c>
    </row>
    <row r="1300" ht="34.5">
      <c r="A1300" s="360" t="s">
        <v>1066</v>
      </c>
      <c r="B1300" s="360" t="s">
        <v>1067</v>
      </c>
      <c r="C1300" s="360" t="s">
        <v>404</v>
      </c>
      <c r="D1300" s="360" t="s">
        <v>128</v>
      </c>
      <c r="E1300" s="360" t="s">
        <v>317</v>
      </c>
      <c r="F1300" s="361" t="s">
        <v>1169</v>
      </c>
      <c r="G1300" s="360" t="s">
        <v>319</v>
      </c>
      <c r="H1300" s="361"/>
      <c r="I1300" s="361"/>
      <c r="J1300" s="361" t="s">
        <v>1215</v>
      </c>
      <c r="K1300" s="363"/>
      <c r="L1300" s="360"/>
      <c r="M1300" s="360"/>
      <c r="N1300" s="361"/>
      <c r="O1300" s="361"/>
      <c r="P1300" s="361"/>
      <c r="Q1300" s="361"/>
      <c r="R1300" s="362"/>
      <c r="S1300" s="361"/>
      <c r="T1300" s="360" t="s">
        <v>132</v>
      </c>
    </row>
    <row r="1301" ht="34.5">
      <c r="A1301" s="360" t="s">
        <v>1066</v>
      </c>
      <c r="B1301" s="360" t="s">
        <v>1067</v>
      </c>
      <c r="C1301" s="360" t="s">
        <v>404</v>
      </c>
      <c r="D1301" s="360" t="s">
        <v>128</v>
      </c>
      <c r="E1301" s="360" t="s">
        <v>317</v>
      </c>
      <c r="F1301" s="361" t="s">
        <v>1169</v>
      </c>
      <c r="G1301" s="360" t="s">
        <v>319</v>
      </c>
      <c r="H1301" s="361"/>
      <c r="I1301" s="361"/>
      <c r="J1301" s="361" t="s">
        <v>1216</v>
      </c>
      <c r="K1301" s="363"/>
      <c r="L1301" s="360"/>
      <c r="M1301" s="360"/>
      <c r="N1301" s="361"/>
      <c r="O1301" s="361"/>
      <c r="P1301" s="361"/>
      <c r="Q1301" s="361"/>
      <c r="R1301" s="362"/>
      <c r="S1301" s="361"/>
      <c r="T1301" s="360" t="s">
        <v>132</v>
      </c>
    </row>
    <row r="1302" ht="34.5">
      <c r="A1302" s="360" t="s">
        <v>1066</v>
      </c>
      <c r="B1302" s="360" t="s">
        <v>1067</v>
      </c>
      <c r="C1302" s="360" t="s">
        <v>417</v>
      </c>
      <c r="D1302" s="360" t="s">
        <v>128</v>
      </c>
      <c r="E1302" s="360" t="s">
        <v>317</v>
      </c>
      <c r="F1302" s="361" t="s">
        <v>1169</v>
      </c>
      <c r="G1302" s="360" t="s">
        <v>319</v>
      </c>
      <c r="H1302" s="361"/>
      <c r="I1302" s="361"/>
      <c r="J1302" s="361" t="s">
        <v>1217</v>
      </c>
      <c r="K1302" s="363"/>
      <c r="L1302" s="360"/>
      <c r="M1302" s="360"/>
      <c r="N1302" s="361"/>
      <c r="O1302" s="361"/>
      <c r="P1302" s="361"/>
      <c r="Q1302" s="361"/>
      <c r="R1302" s="362"/>
      <c r="S1302" s="361"/>
      <c r="T1302" s="360" t="s">
        <v>132</v>
      </c>
    </row>
    <row r="1303" ht="34.5">
      <c r="A1303" s="360" t="s">
        <v>1066</v>
      </c>
      <c r="B1303" s="360" t="s">
        <v>1067</v>
      </c>
      <c r="C1303" s="360" t="s">
        <v>417</v>
      </c>
      <c r="D1303" s="360" t="s">
        <v>128</v>
      </c>
      <c r="E1303" s="360" t="s">
        <v>317</v>
      </c>
      <c r="F1303" s="361" t="s">
        <v>1169</v>
      </c>
      <c r="G1303" s="360" t="s">
        <v>319</v>
      </c>
      <c r="H1303" s="361"/>
      <c r="I1303" s="361"/>
      <c r="J1303" s="361" t="s">
        <v>1218</v>
      </c>
      <c r="K1303" s="363"/>
      <c r="L1303" s="360"/>
      <c r="M1303" s="360"/>
      <c r="N1303" s="361"/>
      <c r="O1303" s="361"/>
      <c r="P1303" s="361"/>
      <c r="Q1303" s="361"/>
      <c r="R1303" s="362"/>
      <c r="S1303" s="361"/>
      <c r="T1303" s="360" t="s">
        <v>132</v>
      </c>
    </row>
    <row r="1304" ht="34.5">
      <c r="A1304" s="360" t="s">
        <v>1066</v>
      </c>
      <c r="B1304" s="360" t="s">
        <v>1067</v>
      </c>
      <c r="C1304" s="360" t="s">
        <v>417</v>
      </c>
      <c r="D1304" s="360" t="s">
        <v>128</v>
      </c>
      <c r="E1304" s="360" t="s">
        <v>317</v>
      </c>
      <c r="F1304" s="361" t="s">
        <v>1169</v>
      </c>
      <c r="G1304" s="360" t="s">
        <v>319</v>
      </c>
      <c r="H1304" s="361"/>
      <c r="I1304" s="361"/>
      <c r="J1304" s="361" t="s">
        <v>1219</v>
      </c>
      <c r="K1304" s="363"/>
      <c r="L1304" s="360"/>
      <c r="M1304" s="360"/>
      <c r="N1304" s="361"/>
      <c r="O1304" s="361"/>
      <c r="P1304" s="361"/>
      <c r="Q1304" s="361"/>
      <c r="R1304" s="362"/>
      <c r="S1304" s="361"/>
      <c r="T1304" s="360" t="s">
        <v>132</v>
      </c>
    </row>
    <row r="1305" ht="34.5">
      <c r="A1305" s="360" t="s">
        <v>1066</v>
      </c>
      <c r="B1305" s="360" t="s">
        <v>1067</v>
      </c>
      <c r="C1305" s="360" t="s">
        <v>417</v>
      </c>
      <c r="D1305" s="360" t="s">
        <v>525</v>
      </c>
      <c r="E1305" s="360" t="s">
        <v>317</v>
      </c>
      <c r="F1305" s="361" t="s">
        <v>1169</v>
      </c>
      <c r="G1305" s="360" t="s">
        <v>319</v>
      </c>
      <c r="H1305" s="361"/>
      <c r="I1305" s="361"/>
      <c r="J1305" s="361" t="s">
        <v>526</v>
      </c>
      <c r="K1305" s="363"/>
      <c r="L1305" s="360"/>
      <c r="M1305" s="360"/>
      <c r="N1305" s="361"/>
      <c r="O1305" s="361"/>
      <c r="P1305" s="361"/>
      <c r="Q1305" s="361"/>
      <c r="R1305" s="362"/>
      <c r="S1305" s="361"/>
      <c r="T1305" s="360" t="s">
        <v>132</v>
      </c>
    </row>
    <row r="1306" ht="34.5">
      <c r="A1306" s="360" t="s">
        <v>1066</v>
      </c>
      <c r="B1306" s="360" t="s">
        <v>1067</v>
      </c>
      <c r="C1306" s="360" t="s">
        <v>428</v>
      </c>
      <c r="D1306" s="360" t="s">
        <v>128</v>
      </c>
      <c r="E1306" s="360" t="s">
        <v>317</v>
      </c>
      <c r="F1306" s="361" t="s">
        <v>1169</v>
      </c>
      <c r="G1306" s="360" t="s">
        <v>319</v>
      </c>
      <c r="H1306" s="361"/>
      <c r="I1306" s="361"/>
      <c r="J1306" s="361" t="s">
        <v>1220</v>
      </c>
      <c r="K1306" s="363"/>
      <c r="L1306" s="360"/>
      <c r="M1306" s="360"/>
      <c r="N1306" s="361"/>
      <c r="O1306" s="361"/>
      <c r="P1306" s="361"/>
      <c r="Q1306" s="361"/>
      <c r="R1306" s="362"/>
      <c r="S1306" s="361"/>
      <c r="T1306" s="360" t="s">
        <v>132</v>
      </c>
    </row>
    <row r="1307" ht="34.5">
      <c r="A1307" s="360" t="s">
        <v>1066</v>
      </c>
      <c r="B1307" s="360" t="s">
        <v>1067</v>
      </c>
      <c r="C1307" s="360" t="s">
        <v>428</v>
      </c>
      <c r="D1307" s="360" t="s">
        <v>128</v>
      </c>
      <c r="E1307" s="360" t="s">
        <v>317</v>
      </c>
      <c r="F1307" s="361" t="s">
        <v>1169</v>
      </c>
      <c r="G1307" s="360" t="s">
        <v>319</v>
      </c>
      <c r="H1307" s="361"/>
      <c r="I1307" s="361"/>
      <c r="J1307" s="361" t="s">
        <v>1221</v>
      </c>
      <c r="K1307" s="363"/>
      <c r="L1307" s="360"/>
      <c r="M1307" s="360"/>
      <c r="N1307" s="361"/>
      <c r="O1307" s="361"/>
      <c r="P1307" s="361"/>
      <c r="Q1307" s="361"/>
      <c r="R1307" s="362"/>
      <c r="S1307" s="361"/>
      <c r="T1307" s="360" t="s">
        <v>132</v>
      </c>
    </row>
    <row r="1308" ht="34.5">
      <c r="A1308" s="360" t="s">
        <v>1066</v>
      </c>
      <c r="B1308" s="360" t="s">
        <v>1067</v>
      </c>
      <c r="C1308" s="360" t="s">
        <v>428</v>
      </c>
      <c r="D1308" s="360" t="s">
        <v>128</v>
      </c>
      <c r="E1308" s="360" t="s">
        <v>317</v>
      </c>
      <c r="F1308" s="361" t="s">
        <v>1169</v>
      </c>
      <c r="G1308" s="360" t="s">
        <v>319</v>
      </c>
      <c r="H1308" s="361"/>
      <c r="I1308" s="361"/>
      <c r="J1308" s="361" t="s">
        <v>1222</v>
      </c>
      <c r="K1308" s="363"/>
      <c r="L1308" s="360"/>
      <c r="M1308" s="360"/>
      <c r="N1308" s="361"/>
      <c r="O1308" s="361"/>
      <c r="P1308" s="361"/>
      <c r="Q1308" s="361"/>
      <c r="R1308" s="362"/>
      <c r="S1308" s="361"/>
      <c r="T1308" s="360" t="s">
        <v>132</v>
      </c>
    </row>
    <row r="1309" ht="34.5">
      <c r="A1309" s="360" t="s">
        <v>1066</v>
      </c>
      <c r="B1309" s="360" t="s">
        <v>1067</v>
      </c>
      <c r="C1309" s="360" t="s">
        <v>428</v>
      </c>
      <c r="D1309" s="360" t="s">
        <v>128</v>
      </c>
      <c r="E1309" s="360" t="s">
        <v>317</v>
      </c>
      <c r="F1309" s="361" t="s">
        <v>1169</v>
      </c>
      <c r="G1309" s="360" t="s">
        <v>319</v>
      </c>
      <c r="H1309" s="361"/>
      <c r="I1309" s="361"/>
      <c r="J1309" s="361" t="s">
        <v>1223</v>
      </c>
      <c r="K1309" s="363"/>
      <c r="L1309" s="360"/>
      <c r="M1309" s="360"/>
      <c r="N1309" s="361"/>
      <c r="O1309" s="361"/>
      <c r="P1309" s="361"/>
      <c r="Q1309" s="361"/>
      <c r="R1309" s="362"/>
      <c r="S1309" s="361"/>
      <c r="T1309" s="360" t="s">
        <v>132</v>
      </c>
    </row>
    <row r="1310" ht="34.5">
      <c r="A1310" s="360" t="s">
        <v>1066</v>
      </c>
      <c r="B1310" s="360" t="s">
        <v>1067</v>
      </c>
      <c r="C1310" s="360" t="s">
        <v>428</v>
      </c>
      <c r="D1310" s="360" t="s">
        <v>128</v>
      </c>
      <c r="E1310" s="360" t="s">
        <v>317</v>
      </c>
      <c r="F1310" s="361" t="s">
        <v>1169</v>
      </c>
      <c r="G1310" s="360" t="s">
        <v>319</v>
      </c>
      <c r="H1310" s="361"/>
      <c r="I1310" s="361"/>
      <c r="J1310" s="361" t="s">
        <v>1224</v>
      </c>
      <c r="K1310" s="363"/>
      <c r="L1310" s="360"/>
      <c r="M1310" s="360"/>
      <c r="N1310" s="361"/>
      <c r="O1310" s="361"/>
      <c r="P1310" s="361"/>
      <c r="Q1310" s="361"/>
      <c r="R1310" s="362"/>
      <c r="S1310" s="361"/>
      <c r="T1310" s="360" t="s">
        <v>132</v>
      </c>
    </row>
    <row r="1311" ht="34.5">
      <c r="A1311" s="360" t="s">
        <v>1066</v>
      </c>
      <c r="B1311" s="360" t="s">
        <v>1067</v>
      </c>
      <c r="C1311" s="360" t="s">
        <v>428</v>
      </c>
      <c r="D1311" s="360" t="s">
        <v>128</v>
      </c>
      <c r="E1311" s="360" t="s">
        <v>317</v>
      </c>
      <c r="F1311" s="361" t="s">
        <v>1169</v>
      </c>
      <c r="G1311" s="360" t="s">
        <v>319</v>
      </c>
      <c r="H1311" s="361"/>
      <c r="I1311" s="361"/>
      <c r="J1311" s="361" t="s">
        <v>1225</v>
      </c>
      <c r="K1311" s="363"/>
      <c r="L1311" s="360"/>
      <c r="M1311" s="360"/>
      <c r="N1311" s="361"/>
      <c r="O1311" s="361"/>
      <c r="P1311" s="361"/>
      <c r="Q1311" s="361"/>
      <c r="R1311" s="362"/>
      <c r="S1311" s="361"/>
      <c r="T1311" s="360" t="s">
        <v>132</v>
      </c>
    </row>
    <row r="1312" ht="34.5">
      <c r="A1312" s="360" t="s">
        <v>1066</v>
      </c>
      <c r="B1312" s="360" t="s">
        <v>1067</v>
      </c>
      <c r="C1312" s="360" t="s">
        <v>428</v>
      </c>
      <c r="D1312" s="360" t="s">
        <v>128</v>
      </c>
      <c r="E1312" s="360" t="s">
        <v>317</v>
      </c>
      <c r="F1312" s="361" t="s">
        <v>1169</v>
      </c>
      <c r="G1312" s="360" t="s">
        <v>319</v>
      </c>
      <c r="H1312" s="361"/>
      <c r="I1312" s="361"/>
      <c r="J1312" s="361" t="s">
        <v>1226</v>
      </c>
      <c r="K1312" s="363"/>
      <c r="L1312" s="360"/>
      <c r="M1312" s="360"/>
      <c r="N1312" s="361"/>
      <c r="O1312" s="361"/>
      <c r="P1312" s="361"/>
      <c r="Q1312" s="361"/>
      <c r="R1312" s="362"/>
      <c r="S1312" s="361"/>
      <c r="T1312" s="360" t="s">
        <v>132</v>
      </c>
    </row>
    <row r="1313" ht="34.5">
      <c r="A1313" s="360" t="s">
        <v>1066</v>
      </c>
      <c r="B1313" s="360" t="s">
        <v>1067</v>
      </c>
      <c r="C1313" s="360" t="s">
        <v>428</v>
      </c>
      <c r="D1313" s="360" t="s">
        <v>128</v>
      </c>
      <c r="E1313" s="360" t="s">
        <v>317</v>
      </c>
      <c r="F1313" s="361" t="s">
        <v>1169</v>
      </c>
      <c r="G1313" s="360" t="s">
        <v>319</v>
      </c>
      <c r="H1313" s="361"/>
      <c r="I1313" s="361"/>
      <c r="J1313" s="361" t="s">
        <v>1227</v>
      </c>
      <c r="K1313" s="363"/>
      <c r="L1313" s="360"/>
      <c r="M1313" s="360"/>
      <c r="N1313" s="361"/>
      <c r="O1313" s="361"/>
      <c r="P1313" s="361"/>
      <c r="Q1313" s="361"/>
      <c r="R1313" s="362"/>
      <c r="S1313" s="361"/>
      <c r="T1313" s="360" t="s">
        <v>132</v>
      </c>
    </row>
    <row r="1314" ht="34.5">
      <c r="A1314" s="360" t="s">
        <v>1066</v>
      </c>
      <c r="B1314" s="360" t="s">
        <v>1067</v>
      </c>
      <c r="C1314" s="360" t="s">
        <v>428</v>
      </c>
      <c r="D1314" s="360" t="s">
        <v>128</v>
      </c>
      <c r="E1314" s="360" t="s">
        <v>317</v>
      </c>
      <c r="F1314" s="361" t="s">
        <v>1169</v>
      </c>
      <c r="G1314" s="360" t="s">
        <v>319</v>
      </c>
      <c r="H1314" s="361"/>
      <c r="I1314" s="361"/>
      <c r="J1314" s="361" t="s">
        <v>1228</v>
      </c>
      <c r="K1314" s="363"/>
      <c r="L1314" s="360"/>
      <c r="M1314" s="360"/>
      <c r="N1314" s="361"/>
      <c r="O1314" s="361"/>
      <c r="P1314" s="361"/>
      <c r="Q1314" s="361"/>
      <c r="R1314" s="362"/>
      <c r="S1314" s="361"/>
      <c r="T1314" s="360" t="s">
        <v>132</v>
      </c>
    </row>
    <row r="1315" ht="34.5">
      <c r="A1315" s="360" t="s">
        <v>1066</v>
      </c>
      <c r="B1315" s="360" t="s">
        <v>1067</v>
      </c>
      <c r="C1315" s="360" t="s">
        <v>428</v>
      </c>
      <c r="D1315" s="360" t="s">
        <v>128</v>
      </c>
      <c r="E1315" s="360" t="s">
        <v>317</v>
      </c>
      <c r="F1315" s="361" t="s">
        <v>1169</v>
      </c>
      <c r="G1315" s="360" t="s">
        <v>319</v>
      </c>
      <c r="H1315" s="361"/>
      <c r="I1315" s="361"/>
      <c r="J1315" s="361" t="s">
        <v>1229</v>
      </c>
      <c r="K1315" s="363"/>
      <c r="L1315" s="360"/>
      <c r="M1315" s="360"/>
      <c r="N1315" s="361"/>
      <c r="O1315" s="361"/>
      <c r="P1315" s="361"/>
      <c r="Q1315" s="361"/>
      <c r="R1315" s="362"/>
      <c r="S1315" s="361"/>
      <c r="T1315" s="360" t="s">
        <v>132</v>
      </c>
    </row>
    <row r="1316" ht="34.5">
      <c r="A1316" s="360" t="s">
        <v>1066</v>
      </c>
      <c r="B1316" s="360" t="s">
        <v>1067</v>
      </c>
      <c r="C1316" s="360" t="s">
        <v>428</v>
      </c>
      <c r="D1316" s="360" t="s">
        <v>128</v>
      </c>
      <c r="E1316" s="360" t="s">
        <v>317</v>
      </c>
      <c r="F1316" s="361" t="s">
        <v>1169</v>
      </c>
      <c r="G1316" s="360" t="s">
        <v>319</v>
      </c>
      <c r="H1316" s="361"/>
      <c r="I1316" s="361"/>
      <c r="J1316" s="361" t="s">
        <v>1230</v>
      </c>
      <c r="K1316" s="363"/>
      <c r="L1316" s="360"/>
      <c r="M1316" s="360"/>
      <c r="N1316" s="361"/>
      <c r="O1316" s="361"/>
      <c r="P1316" s="361"/>
      <c r="Q1316" s="361"/>
      <c r="R1316" s="362"/>
      <c r="S1316" s="361"/>
      <c r="T1316" s="360" t="s">
        <v>132</v>
      </c>
    </row>
    <row r="1317" ht="34.5">
      <c r="A1317" s="360" t="s">
        <v>1066</v>
      </c>
      <c r="B1317" s="360" t="s">
        <v>1067</v>
      </c>
      <c r="C1317" s="360" t="s">
        <v>428</v>
      </c>
      <c r="D1317" s="360" t="s">
        <v>128</v>
      </c>
      <c r="E1317" s="360" t="s">
        <v>317</v>
      </c>
      <c r="F1317" s="361" t="s">
        <v>1169</v>
      </c>
      <c r="G1317" s="360" t="s">
        <v>319</v>
      </c>
      <c r="H1317" s="361"/>
      <c r="I1317" s="361"/>
      <c r="J1317" s="361" t="s">
        <v>1231</v>
      </c>
      <c r="K1317" s="363"/>
      <c r="L1317" s="360"/>
      <c r="M1317" s="360"/>
      <c r="N1317" s="361"/>
      <c r="O1317" s="361"/>
      <c r="P1317" s="361"/>
      <c r="Q1317" s="361"/>
      <c r="R1317" s="362"/>
      <c r="S1317" s="361"/>
      <c r="T1317" s="360" t="s">
        <v>132</v>
      </c>
    </row>
    <row r="1318" ht="34.5">
      <c r="A1318" s="360" t="s">
        <v>1066</v>
      </c>
      <c r="B1318" s="360" t="s">
        <v>1067</v>
      </c>
      <c r="C1318" s="360" t="s">
        <v>439</v>
      </c>
      <c r="D1318" s="360" t="s">
        <v>128</v>
      </c>
      <c r="E1318" s="360" t="s">
        <v>317</v>
      </c>
      <c r="F1318" s="361" t="s">
        <v>1169</v>
      </c>
      <c r="G1318" s="360" t="s">
        <v>319</v>
      </c>
      <c r="H1318" s="361"/>
      <c r="I1318" s="361"/>
      <c r="J1318" s="361" t="s">
        <v>1232</v>
      </c>
      <c r="K1318" s="363"/>
      <c r="L1318" s="360"/>
      <c r="M1318" s="360"/>
      <c r="N1318" s="361"/>
      <c r="O1318" s="361"/>
      <c r="P1318" s="361"/>
      <c r="Q1318" s="361"/>
      <c r="R1318" s="362"/>
      <c r="S1318" s="361"/>
      <c r="T1318" s="360" t="s">
        <v>132</v>
      </c>
    </row>
    <row r="1319" ht="34.5">
      <c r="A1319" s="360" t="s">
        <v>1066</v>
      </c>
      <c r="B1319" s="360" t="s">
        <v>1067</v>
      </c>
      <c r="C1319" s="360" t="s">
        <v>439</v>
      </c>
      <c r="D1319" s="360" t="s">
        <v>128</v>
      </c>
      <c r="E1319" s="360" t="s">
        <v>317</v>
      </c>
      <c r="F1319" s="361" t="s">
        <v>1169</v>
      </c>
      <c r="G1319" s="360" t="s">
        <v>319</v>
      </c>
      <c r="H1319" s="361"/>
      <c r="I1319" s="361"/>
      <c r="J1319" s="361" t="s">
        <v>1233</v>
      </c>
      <c r="K1319" s="363"/>
      <c r="L1319" s="360"/>
      <c r="M1319" s="360"/>
      <c r="N1319" s="361"/>
      <c r="O1319" s="361"/>
      <c r="P1319" s="361"/>
      <c r="Q1319" s="361"/>
      <c r="R1319" s="362"/>
      <c r="S1319" s="361"/>
      <c r="T1319" s="360" t="s">
        <v>132</v>
      </c>
    </row>
    <row r="1320" ht="34.5">
      <c r="A1320" s="360" t="s">
        <v>1066</v>
      </c>
      <c r="B1320" s="360" t="s">
        <v>1067</v>
      </c>
      <c r="C1320" s="360" t="s">
        <v>439</v>
      </c>
      <c r="D1320" s="360" t="s">
        <v>533</v>
      </c>
      <c r="E1320" s="360" t="s">
        <v>317</v>
      </c>
      <c r="F1320" s="361" t="s">
        <v>1169</v>
      </c>
      <c r="G1320" s="360" t="s">
        <v>319</v>
      </c>
      <c r="H1320" s="361"/>
      <c r="I1320" s="361"/>
      <c r="J1320" s="361" t="s">
        <v>534</v>
      </c>
      <c r="K1320" s="363"/>
      <c r="L1320" s="360"/>
      <c r="M1320" s="360"/>
      <c r="N1320" s="361"/>
      <c r="O1320" s="361"/>
      <c r="P1320" s="361"/>
      <c r="Q1320" s="361"/>
      <c r="R1320" s="362"/>
      <c r="S1320" s="361"/>
      <c r="T1320" s="360" t="s">
        <v>132</v>
      </c>
    </row>
    <row r="1321" ht="34.5">
      <c r="A1321" s="360" t="s">
        <v>1066</v>
      </c>
      <c r="B1321" s="360" t="s">
        <v>1067</v>
      </c>
      <c r="C1321" s="360" t="s">
        <v>439</v>
      </c>
      <c r="D1321" s="360" t="s">
        <v>128</v>
      </c>
      <c r="E1321" s="360" t="s">
        <v>317</v>
      </c>
      <c r="F1321" s="361" t="s">
        <v>1169</v>
      </c>
      <c r="G1321" s="360" t="s">
        <v>319</v>
      </c>
      <c r="H1321" s="361"/>
      <c r="I1321" s="361"/>
      <c r="J1321" s="361" t="s">
        <v>1234</v>
      </c>
      <c r="K1321" s="363"/>
      <c r="L1321" s="360"/>
      <c r="M1321" s="360"/>
      <c r="N1321" s="361"/>
      <c r="O1321" s="361"/>
      <c r="P1321" s="361"/>
      <c r="Q1321" s="361"/>
      <c r="R1321" s="362"/>
      <c r="S1321" s="361"/>
      <c r="T1321" s="360" t="s">
        <v>132</v>
      </c>
    </row>
    <row r="1322" ht="34.5">
      <c r="A1322" s="360" t="s">
        <v>1066</v>
      </c>
      <c r="B1322" s="360" t="s">
        <v>1067</v>
      </c>
      <c r="C1322" s="360" t="s">
        <v>439</v>
      </c>
      <c r="D1322" s="360" t="s">
        <v>537</v>
      </c>
      <c r="E1322" s="360" t="s">
        <v>317</v>
      </c>
      <c r="F1322" s="361" t="s">
        <v>1169</v>
      </c>
      <c r="G1322" s="360" t="s">
        <v>319</v>
      </c>
      <c r="H1322" s="361"/>
      <c r="I1322" s="361"/>
      <c r="J1322" s="361" t="s">
        <v>538</v>
      </c>
      <c r="K1322" s="363"/>
      <c r="L1322" s="360"/>
      <c r="M1322" s="360"/>
      <c r="N1322" s="361"/>
      <c r="O1322" s="361"/>
      <c r="P1322" s="361"/>
      <c r="Q1322" s="361"/>
      <c r="R1322" s="362"/>
      <c r="S1322" s="361"/>
      <c r="T1322" s="360" t="s">
        <v>132</v>
      </c>
    </row>
    <row r="1323" ht="34.5">
      <c r="A1323" s="360" t="s">
        <v>1066</v>
      </c>
      <c r="B1323" s="360" t="s">
        <v>1067</v>
      </c>
      <c r="C1323" s="360" t="s">
        <v>450</v>
      </c>
      <c r="D1323" s="360" t="s">
        <v>128</v>
      </c>
      <c r="E1323" s="360" t="s">
        <v>317</v>
      </c>
      <c r="F1323" s="361" t="s">
        <v>1169</v>
      </c>
      <c r="G1323" s="360" t="s">
        <v>319</v>
      </c>
      <c r="H1323" s="361"/>
      <c r="I1323" s="361"/>
      <c r="J1323" s="361" t="s">
        <v>1235</v>
      </c>
      <c r="K1323" s="363"/>
      <c r="L1323" s="360"/>
      <c r="M1323" s="360"/>
      <c r="N1323" s="361"/>
      <c r="O1323" s="361"/>
      <c r="P1323" s="361"/>
      <c r="Q1323" s="361"/>
      <c r="R1323" s="362"/>
      <c r="S1323" s="361"/>
      <c r="T1323" s="360" t="s">
        <v>132</v>
      </c>
    </row>
    <row r="1324" ht="34.5">
      <c r="A1324" s="360" t="s">
        <v>1066</v>
      </c>
      <c r="B1324" s="360" t="s">
        <v>1067</v>
      </c>
      <c r="C1324" s="360" t="s">
        <v>450</v>
      </c>
      <c r="D1324" s="360" t="s">
        <v>128</v>
      </c>
      <c r="E1324" s="360" t="s">
        <v>317</v>
      </c>
      <c r="F1324" s="361" t="s">
        <v>1169</v>
      </c>
      <c r="G1324" s="360" t="s">
        <v>319</v>
      </c>
      <c r="H1324" s="361"/>
      <c r="I1324" s="361"/>
      <c r="J1324" s="361" t="s">
        <v>1236</v>
      </c>
      <c r="K1324" s="363"/>
      <c r="L1324" s="360"/>
      <c r="M1324" s="360"/>
      <c r="N1324" s="361"/>
      <c r="O1324" s="361"/>
      <c r="P1324" s="361"/>
      <c r="Q1324" s="361"/>
      <c r="R1324" s="362"/>
      <c r="S1324" s="361"/>
      <c r="T1324" s="360" t="s">
        <v>132</v>
      </c>
    </row>
    <row r="1325" ht="34.5">
      <c r="A1325" s="360" t="s">
        <v>1066</v>
      </c>
      <c r="B1325" s="360" t="s">
        <v>1067</v>
      </c>
      <c r="C1325" s="360" t="s">
        <v>450</v>
      </c>
      <c r="D1325" s="360" t="s">
        <v>128</v>
      </c>
      <c r="E1325" s="360" t="s">
        <v>317</v>
      </c>
      <c r="F1325" s="361" t="s">
        <v>1169</v>
      </c>
      <c r="G1325" s="360" t="s">
        <v>319</v>
      </c>
      <c r="H1325" s="361"/>
      <c r="I1325" s="361"/>
      <c r="J1325" s="361" t="s">
        <v>1237</v>
      </c>
      <c r="K1325" s="363"/>
      <c r="L1325" s="360"/>
      <c r="M1325" s="360"/>
      <c r="N1325" s="361"/>
      <c r="O1325" s="361"/>
      <c r="P1325" s="361"/>
      <c r="Q1325" s="361"/>
      <c r="R1325" s="362"/>
      <c r="S1325" s="361"/>
      <c r="T1325" s="360" t="s">
        <v>132</v>
      </c>
    </row>
    <row r="1326" ht="34.5">
      <c r="A1326" s="360" t="s">
        <v>1066</v>
      </c>
      <c r="B1326" s="360" t="s">
        <v>1067</v>
      </c>
      <c r="C1326" s="360" t="s">
        <v>450</v>
      </c>
      <c r="D1326" s="360" t="s">
        <v>128</v>
      </c>
      <c r="E1326" s="360" t="s">
        <v>317</v>
      </c>
      <c r="F1326" s="361" t="s">
        <v>1169</v>
      </c>
      <c r="G1326" s="360" t="s">
        <v>319</v>
      </c>
      <c r="H1326" s="361"/>
      <c r="I1326" s="361"/>
      <c r="J1326" s="361" t="s">
        <v>1238</v>
      </c>
      <c r="K1326" s="363"/>
      <c r="L1326" s="360"/>
      <c r="M1326" s="360"/>
      <c r="N1326" s="361"/>
      <c r="O1326" s="361"/>
      <c r="P1326" s="361"/>
      <c r="Q1326" s="361"/>
      <c r="R1326" s="362"/>
      <c r="S1326" s="361"/>
      <c r="T1326" s="360" t="s">
        <v>132</v>
      </c>
    </row>
    <row r="1327" ht="34.5">
      <c r="A1327" s="360" t="s">
        <v>1066</v>
      </c>
      <c r="B1327" s="360" t="s">
        <v>1067</v>
      </c>
      <c r="C1327" s="360" t="s">
        <v>450</v>
      </c>
      <c r="D1327" s="360" t="s">
        <v>128</v>
      </c>
      <c r="E1327" s="360" t="s">
        <v>317</v>
      </c>
      <c r="F1327" s="361" t="s">
        <v>1169</v>
      </c>
      <c r="G1327" s="360" t="s">
        <v>319</v>
      </c>
      <c r="H1327" s="361"/>
      <c r="I1327" s="361"/>
      <c r="J1327" s="361" t="s">
        <v>1239</v>
      </c>
      <c r="K1327" s="363"/>
      <c r="L1327" s="360"/>
      <c r="M1327" s="360"/>
      <c r="N1327" s="361"/>
      <c r="O1327" s="361"/>
      <c r="P1327" s="361"/>
      <c r="Q1327" s="361"/>
      <c r="R1327" s="362"/>
      <c r="S1327" s="361"/>
      <c r="T1327" s="360" t="s">
        <v>132</v>
      </c>
    </row>
    <row r="1328" ht="34.5">
      <c r="A1328" s="360" t="s">
        <v>1066</v>
      </c>
      <c r="B1328" s="360" t="s">
        <v>1067</v>
      </c>
      <c r="C1328" s="360" t="s">
        <v>450</v>
      </c>
      <c r="D1328" s="360" t="s">
        <v>128</v>
      </c>
      <c r="E1328" s="360" t="s">
        <v>317</v>
      </c>
      <c r="F1328" s="361" t="s">
        <v>1169</v>
      </c>
      <c r="G1328" s="360" t="s">
        <v>319</v>
      </c>
      <c r="H1328" s="361"/>
      <c r="I1328" s="361"/>
      <c r="J1328" s="361" t="s">
        <v>1240</v>
      </c>
      <c r="K1328" s="363"/>
      <c r="L1328" s="360"/>
      <c r="M1328" s="360"/>
      <c r="N1328" s="361"/>
      <c r="O1328" s="361"/>
      <c r="P1328" s="361"/>
      <c r="Q1328" s="361"/>
      <c r="R1328" s="362"/>
      <c r="S1328" s="361"/>
      <c r="T1328" s="360" t="s">
        <v>132</v>
      </c>
    </row>
    <row r="1329" ht="34.5">
      <c r="A1329" s="360" t="s">
        <v>1066</v>
      </c>
      <c r="B1329" s="360" t="s">
        <v>1067</v>
      </c>
      <c r="C1329" s="360" t="s">
        <v>450</v>
      </c>
      <c r="D1329" s="360" t="s">
        <v>128</v>
      </c>
      <c r="E1329" s="360" t="s">
        <v>317</v>
      </c>
      <c r="F1329" s="361" t="s">
        <v>1169</v>
      </c>
      <c r="G1329" s="360" t="s">
        <v>319</v>
      </c>
      <c r="H1329" s="361"/>
      <c r="I1329" s="361"/>
      <c r="J1329" s="361" t="s">
        <v>1241</v>
      </c>
      <c r="K1329" s="363"/>
      <c r="L1329" s="360"/>
      <c r="M1329" s="360"/>
      <c r="N1329" s="361"/>
      <c r="O1329" s="361"/>
      <c r="P1329" s="361"/>
      <c r="Q1329" s="361"/>
      <c r="R1329" s="362"/>
      <c r="S1329" s="361"/>
      <c r="T1329" s="360" t="s">
        <v>132</v>
      </c>
    </row>
    <row r="1330" ht="34.5">
      <c r="A1330" s="360" t="s">
        <v>1066</v>
      </c>
      <c r="B1330" s="360" t="s">
        <v>1067</v>
      </c>
      <c r="C1330" s="360" t="s">
        <v>450</v>
      </c>
      <c r="D1330" s="360" t="s">
        <v>128</v>
      </c>
      <c r="E1330" s="360" t="s">
        <v>317</v>
      </c>
      <c r="F1330" s="361" t="s">
        <v>1169</v>
      </c>
      <c r="G1330" s="360" t="s">
        <v>319</v>
      </c>
      <c r="H1330" s="361"/>
      <c r="I1330" s="361"/>
      <c r="J1330" s="361" t="s">
        <v>1242</v>
      </c>
      <c r="K1330" s="363"/>
      <c r="L1330" s="360"/>
      <c r="M1330" s="360"/>
      <c r="N1330" s="361"/>
      <c r="O1330" s="361"/>
      <c r="P1330" s="361"/>
      <c r="Q1330" s="361"/>
      <c r="R1330" s="362"/>
      <c r="S1330" s="361"/>
      <c r="T1330" s="360" t="s">
        <v>132</v>
      </c>
    </row>
    <row r="1331" ht="34.5">
      <c r="A1331" s="360" t="s">
        <v>1243</v>
      </c>
      <c r="B1331" s="360" t="s">
        <v>1244</v>
      </c>
      <c r="C1331" s="360" t="s">
        <v>211</v>
      </c>
      <c r="D1331" s="360" t="s">
        <v>128</v>
      </c>
      <c r="E1331" s="360" t="s">
        <v>129</v>
      </c>
      <c r="F1331" s="361" t="s">
        <v>1068</v>
      </c>
      <c r="G1331" s="360" t="s">
        <v>36</v>
      </c>
      <c r="H1331" s="361"/>
      <c r="I1331" s="361"/>
      <c r="J1331" s="361" t="s">
        <v>1069</v>
      </c>
      <c r="K1331" s="363"/>
      <c r="L1331" s="360"/>
      <c r="M1331" s="360"/>
      <c r="N1331" s="361"/>
      <c r="O1331" s="361"/>
      <c r="P1331" s="361"/>
      <c r="Q1331" s="361"/>
      <c r="R1331" s="362"/>
      <c r="S1331" s="361"/>
      <c r="T1331" s="360" t="s">
        <v>132</v>
      </c>
    </row>
    <row r="1332" ht="34.5">
      <c r="A1332" s="360" t="s">
        <v>1243</v>
      </c>
      <c r="B1332" s="360" t="s">
        <v>1244</v>
      </c>
      <c r="C1332" s="360" t="s">
        <v>211</v>
      </c>
      <c r="D1332" s="360" t="s">
        <v>128</v>
      </c>
      <c r="E1332" s="360" t="s">
        <v>129</v>
      </c>
      <c r="F1332" s="361" t="s">
        <v>1068</v>
      </c>
      <c r="G1332" s="360" t="s">
        <v>36</v>
      </c>
      <c r="H1332" s="361"/>
      <c r="I1332" s="361"/>
      <c r="J1332" s="361" t="s">
        <v>136</v>
      </c>
      <c r="K1332" s="363"/>
      <c r="L1332" s="360"/>
      <c r="M1332" s="360"/>
      <c r="N1332" s="361"/>
      <c r="O1332" s="361"/>
      <c r="P1332" s="361"/>
      <c r="Q1332" s="361"/>
      <c r="R1332" s="362"/>
      <c r="S1332" s="361"/>
      <c r="T1332" s="360" t="s">
        <v>132</v>
      </c>
    </row>
    <row r="1333" ht="34.5">
      <c r="A1333" s="360" t="s">
        <v>1243</v>
      </c>
      <c r="B1333" s="360" t="s">
        <v>1244</v>
      </c>
      <c r="C1333" s="360" t="s">
        <v>211</v>
      </c>
      <c r="D1333" s="360" t="s">
        <v>128</v>
      </c>
      <c r="E1333" s="360" t="s">
        <v>129</v>
      </c>
      <c r="F1333" s="361" t="s">
        <v>1068</v>
      </c>
      <c r="G1333" s="360" t="s">
        <v>36</v>
      </c>
      <c r="H1333" s="361"/>
      <c r="I1333" s="361"/>
      <c r="J1333" s="361" t="s">
        <v>1070</v>
      </c>
      <c r="K1333" s="363"/>
      <c r="L1333" s="360"/>
      <c r="M1333" s="360"/>
      <c r="N1333" s="361"/>
      <c r="O1333" s="361"/>
      <c r="P1333" s="361"/>
      <c r="Q1333" s="361"/>
      <c r="R1333" s="362"/>
      <c r="S1333" s="361"/>
      <c r="T1333" s="360" t="s">
        <v>132</v>
      </c>
    </row>
    <row r="1334" ht="34.5">
      <c r="A1334" s="360" t="s">
        <v>1243</v>
      </c>
      <c r="B1334" s="360" t="s">
        <v>1244</v>
      </c>
      <c r="C1334" s="360" t="s">
        <v>211</v>
      </c>
      <c r="D1334" s="360" t="s">
        <v>128</v>
      </c>
      <c r="E1334" s="360" t="s">
        <v>129</v>
      </c>
      <c r="F1334" s="361" t="s">
        <v>1068</v>
      </c>
      <c r="G1334" s="360" t="s">
        <v>36</v>
      </c>
      <c r="H1334" s="361"/>
      <c r="I1334" s="361"/>
      <c r="J1334" s="361" t="s">
        <v>1071</v>
      </c>
      <c r="K1334" s="363"/>
      <c r="L1334" s="360"/>
      <c r="M1334" s="360"/>
      <c r="N1334" s="361"/>
      <c r="O1334" s="361"/>
      <c r="P1334" s="361"/>
      <c r="Q1334" s="361"/>
      <c r="R1334" s="362"/>
      <c r="S1334" s="361"/>
      <c r="T1334" s="360" t="s">
        <v>132</v>
      </c>
    </row>
    <row r="1335" ht="34.5">
      <c r="A1335" s="360" t="s">
        <v>1243</v>
      </c>
      <c r="B1335" s="360" t="s">
        <v>1244</v>
      </c>
      <c r="C1335" s="360" t="s">
        <v>211</v>
      </c>
      <c r="D1335" s="360" t="s">
        <v>128</v>
      </c>
      <c r="E1335" s="360" t="s">
        <v>129</v>
      </c>
      <c r="F1335" s="361" t="s">
        <v>1068</v>
      </c>
      <c r="G1335" s="360" t="s">
        <v>36</v>
      </c>
      <c r="H1335" s="361"/>
      <c r="I1335" s="361"/>
      <c r="J1335" s="361" t="s">
        <v>1072</v>
      </c>
      <c r="K1335" s="363"/>
      <c r="L1335" s="360"/>
      <c r="M1335" s="360"/>
      <c r="N1335" s="361"/>
      <c r="O1335" s="361"/>
      <c r="P1335" s="361"/>
      <c r="Q1335" s="361"/>
      <c r="R1335" s="362"/>
      <c r="S1335" s="361"/>
      <c r="T1335" s="360" t="s">
        <v>132</v>
      </c>
    </row>
    <row r="1336" ht="34.5">
      <c r="A1336" s="360" t="s">
        <v>1243</v>
      </c>
      <c r="B1336" s="360" t="s">
        <v>1244</v>
      </c>
      <c r="C1336" s="360" t="s">
        <v>211</v>
      </c>
      <c r="D1336" s="360" t="s">
        <v>128</v>
      </c>
      <c r="E1336" s="360" t="s">
        <v>129</v>
      </c>
      <c r="F1336" s="361" t="s">
        <v>1068</v>
      </c>
      <c r="G1336" s="360" t="s">
        <v>36</v>
      </c>
      <c r="H1336" s="361"/>
      <c r="I1336" s="361"/>
      <c r="J1336" s="361" t="s">
        <v>1073</v>
      </c>
      <c r="K1336" s="363"/>
      <c r="L1336" s="360"/>
      <c r="M1336" s="360"/>
      <c r="N1336" s="361"/>
      <c r="O1336" s="361"/>
      <c r="P1336" s="361"/>
      <c r="Q1336" s="361"/>
      <c r="R1336" s="362"/>
      <c r="S1336" s="361"/>
      <c r="T1336" s="360" t="s">
        <v>132</v>
      </c>
    </row>
    <row r="1337" ht="34.5">
      <c r="A1337" s="360" t="s">
        <v>1243</v>
      </c>
      <c r="B1337" s="360" t="s">
        <v>1244</v>
      </c>
      <c r="C1337" s="360" t="s">
        <v>211</v>
      </c>
      <c r="D1337" s="360" t="s">
        <v>128</v>
      </c>
      <c r="E1337" s="360" t="s">
        <v>129</v>
      </c>
      <c r="F1337" s="361" t="s">
        <v>1068</v>
      </c>
      <c r="G1337" s="360" t="s">
        <v>36</v>
      </c>
      <c r="H1337" s="361"/>
      <c r="I1337" s="361"/>
      <c r="J1337" s="361" t="s">
        <v>1074</v>
      </c>
      <c r="K1337" s="363"/>
      <c r="L1337" s="360"/>
      <c r="M1337" s="360"/>
      <c r="N1337" s="361"/>
      <c r="O1337" s="361"/>
      <c r="P1337" s="361"/>
      <c r="Q1337" s="361"/>
      <c r="R1337" s="362"/>
      <c r="S1337" s="361"/>
      <c r="T1337" s="360" t="s">
        <v>132</v>
      </c>
    </row>
    <row r="1338" ht="34.5">
      <c r="A1338" s="360" t="s">
        <v>1243</v>
      </c>
      <c r="B1338" s="360" t="s">
        <v>1244</v>
      </c>
      <c r="C1338" s="360" t="s">
        <v>211</v>
      </c>
      <c r="D1338" s="360" t="s">
        <v>447</v>
      </c>
      <c r="E1338" s="360" t="s">
        <v>129</v>
      </c>
      <c r="F1338" s="361" t="s">
        <v>1068</v>
      </c>
      <c r="G1338" s="360" t="s">
        <v>36</v>
      </c>
      <c r="H1338" s="361"/>
      <c r="I1338" s="361"/>
      <c r="J1338" s="361" t="s">
        <v>448</v>
      </c>
      <c r="K1338" s="363"/>
      <c r="L1338" s="360"/>
      <c r="M1338" s="360"/>
      <c r="N1338" s="361"/>
      <c r="O1338" s="361"/>
      <c r="P1338" s="361"/>
      <c r="Q1338" s="361"/>
      <c r="R1338" s="362"/>
      <c r="S1338" s="361"/>
      <c r="T1338" s="360" t="s">
        <v>132</v>
      </c>
    </row>
    <row r="1339" ht="34.5">
      <c r="A1339" s="360" t="s">
        <v>1243</v>
      </c>
      <c r="B1339" s="360" t="s">
        <v>1244</v>
      </c>
      <c r="C1339" s="360" t="s">
        <v>211</v>
      </c>
      <c r="D1339" s="360" t="s">
        <v>128</v>
      </c>
      <c r="E1339" s="360" t="s">
        <v>129</v>
      </c>
      <c r="F1339" s="361" t="s">
        <v>1068</v>
      </c>
      <c r="G1339" s="360" t="s">
        <v>36</v>
      </c>
      <c r="H1339" s="361"/>
      <c r="I1339" s="361"/>
      <c r="J1339" s="361" t="s">
        <v>1075</v>
      </c>
      <c r="K1339" s="363"/>
      <c r="L1339" s="360"/>
      <c r="M1339" s="360"/>
      <c r="N1339" s="361"/>
      <c r="O1339" s="361"/>
      <c r="P1339" s="361"/>
      <c r="Q1339" s="361"/>
      <c r="R1339" s="362"/>
      <c r="S1339" s="361"/>
      <c r="T1339" s="360" t="s">
        <v>132</v>
      </c>
    </row>
    <row r="1340" ht="34.5">
      <c r="A1340" s="360" t="s">
        <v>1243</v>
      </c>
      <c r="B1340" s="360" t="s">
        <v>1244</v>
      </c>
      <c r="C1340" s="360" t="s">
        <v>222</v>
      </c>
      <c r="D1340" s="360" t="s">
        <v>128</v>
      </c>
      <c r="E1340" s="360" t="s">
        <v>143</v>
      </c>
      <c r="F1340" s="361" t="s">
        <v>1076</v>
      </c>
      <c r="G1340" s="360" t="s">
        <v>145</v>
      </c>
      <c r="H1340" s="361"/>
      <c r="I1340" s="361"/>
      <c r="J1340" s="361" t="s">
        <v>1077</v>
      </c>
      <c r="K1340" s="363"/>
      <c r="L1340" s="360"/>
      <c r="M1340" s="360"/>
      <c r="N1340" s="361"/>
      <c r="O1340" s="361"/>
      <c r="P1340" s="361"/>
      <c r="Q1340" s="361"/>
      <c r="R1340" s="362"/>
      <c r="S1340" s="361"/>
      <c r="T1340" s="360" t="s">
        <v>132</v>
      </c>
    </row>
    <row r="1341" ht="34.5">
      <c r="A1341" s="360" t="s">
        <v>1243</v>
      </c>
      <c r="B1341" s="360" t="s">
        <v>1244</v>
      </c>
      <c r="C1341" s="360" t="s">
        <v>222</v>
      </c>
      <c r="D1341" s="360" t="s">
        <v>128</v>
      </c>
      <c r="E1341" s="360" t="s">
        <v>143</v>
      </c>
      <c r="F1341" s="361" t="s">
        <v>1076</v>
      </c>
      <c r="G1341" s="360" t="s">
        <v>145</v>
      </c>
      <c r="H1341" s="361"/>
      <c r="I1341" s="361"/>
      <c r="J1341" s="361" t="s">
        <v>1078</v>
      </c>
      <c r="K1341" s="363"/>
      <c r="L1341" s="360"/>
      <c r="M1341" s="360"/>
      <c r="N1341" s="361"/>
      <c r="O1341" s="361"/>
      <c r="P1341" s="361"/>
      <c r="Q1341" s="361"/>
      <c r="R1341" s="362"/>
      <c r="S1341" s="361"/>
      <c r="T1341" s="360" t="s">
        <v>132</v>
      </c>
    </row>
    <row r="1342" ht="34.5">
      <c r="A1342" s="360" t="s">
        <v>1243</v>
      </c>
      <c r="B1342" s="360" t="s">
        <v>1244</v>
      </c>
      <c r="C1342" s="360" t="s">
        <v>222</v>
      </c>
      <c r="D1342" s="360" t="s">
        <v>128</v>
      </c>
      <c r="E1342" s="360" t="s">
        <v>143</v>
      </c>
      <c r="F1342" s="361" t="s">
        <v>1076</v>
      </c>
      <c r="G1342" s="360" t="s">
        <v>145</v>
      </c>
      <c r="H1342" s="361"/>
      <c r="I1342" s="361"/>
      <c r="J1342" s="361" t="s">
        <v>1245</v>
      </c>
      <c r="K1342" s="363"/>
      <c r="L1342" s="360"/>
      <c r="M1342" s="360"/>
      <c r="N1342" s="361"/>
      <c r="O1342" s="361"/>
      <c r="P1342" s="361"/>
      <c r="Q1342" s="361"/>
      <c r="R1342" s="362"/>
      <c r="S1342" s="361"/>
      <c r="T1342" s="360" t="s">
        <v>132</v>
      </c>
    </row>
    <row r="1343" ht="34.5">
      <c r="A1343" s="360" t="s">
        <v>1243</v>
      </c>
      <c r="B1343" s="360" t="s">
        <v>1244</v>
      </c>
      <c r="C1343" s="360" t="s">
        <v>222</v>
      </c>
      <c r="D1343" s="360" t="s">
        <v>128</v>
      </c>
      <c r="E1343" s="360" t="s">
        <v>143</v>
      </c>
      <c r="F1343" s="361" t="s">
        <v>1076</v>
      </c>
      <c r="G1343" s="360" t="s">
        <v>145</v>
      </c>
      <c r="H1343" s="361"/>
      <c r="I1343" s="361"/>
      <c r="J1343" s="361" t="s">
        <v>1080</v>
      </c>
      <c r="K1343" s="363"/>
      <c r="L1343" s="360"/>
      <c r="M1343" s="360"/>
      <c r="N1343" s="361"/>
      <c r="O1343" s="361"/>
      <c r="P1343" s="361"/>
      <c r="Q1343" s="361"/>
      <c r="R1343" s="362"/>
      <c r="S1343" s="361"/>
      <c r="T1343" s="360" t="s">
        <v>132</v>
      </c>
    </row>
    <row r="1344" ht="34.5">
      <c r="A1344" s="360" t="s">
        <v>1243</v>
      </c>
      <c r="B1344" s="360" t="s">
        <v>1244</v>
      </c>
      <c r="C1344" s="360" t="s">
        <v>222</v>
      </c>
      <c r="D1344" s="360" t="s">
        <v>128</v>
      </c>
      <c r="E1344" s="360" t="s">
        <v>143</v>
      </c>
      <c r="F1344" s="361" t="s">
        <v>1076</v>
      </c>
      <c r="G1344" s="360" t="s">
        <v>145</v>
      </c>
      <c r="H1344" s="361"/>
      <c r="I1344" s="361"/>
      <c r="J1344" s="361" t="s">
        <v>1081</v>
      </c>
      <c r="K1344" s="363"/>
      <c r="L1344" s="360"/>
      <c r="M1344" s="360"/>
      <c r="N1344" s="361"/>
      <c r="O1344" s="361"/>
      <c r="P1344" s="361"/>
      <c r="Q1344" s="361"/>
      <c r="R1344" s="362"/>
      <c r="S1344" s="361"/>
      <c r="T1344" s="360" t="s">
        <v>132</v>
      </c>
    </row>
    <row r="1345" ht="34.5">
      <c r="A1345" s="360" t="s">
        <v>1243</v>
      </c>
      <c r="B1345" s="360" t="s">
        <v>1244</v>
      </c>
      <c r="C1345" s="360" t="s">
        <v>222</v>
      </c>
      <c r="D1345" s="360" t="s">
        <v>128</v>
      </c>
      <c r="E1345" s="360" t="s">
        <v>143</v>
      </c>
      <c r="F1345" s="361" t="s">
        <v>1076</v>
      </c>
      <c r="G1345" s="360" t="s">
        <v>145</v>
      </c>
      <c r="H1345" s="361"/>
      <c r="I1345" s="361"/>
      <c r="J1345" s="361" t="s">
        <v>1082</v>
      </c>
      <c r="K1345" s="363"/>
      <c r="L1345" s="360"/>
      <c r="M1345" s="360"/>
      <c r="N1345" s="361"/>
      <c r="O1345" s="361"/>
      <c r="P1345" s="361"/>
      <c r="Q1345" s="361"/>
      <c r="R1345" s="362"/>
      <c r="S1345" s="361"/>
      <c r="T1345" s="360" t="s">
        <v>132</v>
      </c>
    </row>
    <row r="1346" ht="34.5">
      <c r="A1346" s="360" t="s">
        <v>1243</v>
      </c>
      <c r="B1346" s="360" t="s">
        <v>1244</v>
      </c>
      <c r="C1346" s="360" t="s">
        <v>222</v>
      </c>
      <c r="D1346" s="360" t="s">
        <v>128</v>
      </c>
      <c r="E1346" s="360" t="s">
        <v>167</v>
      </c>
      <c r="F1346" s="361" t="s">
        <v>1083</v>
      </c>
      <c r="G1346" s="360" t="s">
        <v>145</v>
      </c>
      <c r="H1346" s="361"/>
      <c r="I1346" s="361"/>
      <c r="J1346" s="361" t="s">
        <v>1084</v>
      </c>
      <c r="K1346" s="363"/>
      <c r="L1346" s="360"/>
      <c r="M1346" s="360"/>
      <c r="N1346" s="361"/>
      <c r="O1346" s="361"/>
      <c r="P1346" s="361"/>
      <c r="Q1346" s="361"/>
      <c r="R1346" s="362"/>
      <c r="S1346" s="361"/>
      <c r="T1346" s="360" t="s">
        <v>132</v>
      </c>
    </row>
    <row r="1347" ht="34.5">
      <c r="A1347" s="360" t="s">
        <v>1243</v>
      </c>
      <c r="B1347" s="360" t="s">
        <v>1244</v>
      </c>
      <c r="C1347" s="360" t="s">
        <v>222</v>
      </c>
      <c r="D1347" s="360" t="s">
        <v>128</v>
      </c>
      <c r="E1347" s="360" t="s">
        <v>167</v>
      </c>
      <c r="F1347" s="361" t="s">
        <v>1083</v>
      </c>
      <c r="G1347" s="360" t="s">
        <v>145</v>
      </c>
      <c r="H1347" s="361"/>
      <c r="I1347" s="361"/>
      <c r="J1347" s="361" t="s">
        <v>1085</v>
      </c>
      <c r="K1347" s="363"/>
      <c r="L1347" s="360"/>
      <c r="M1347" s="360"/>
      <c r="N1347" s="361"/>
      <c r="O1347" s="361"/>
      <c r="P1347" s="361"/>
      <c r="Q1347" s="361"/>
      <c r="R1347" s="362"/>
      <c r="S1347" s="361"/>
      <c r="T1347" s="360" t="s">
        <v>132</v>
      </c>
    </row>
    <row r="1348" ht="34.5">
      <c r="A1348" s="360" t="s">
        <v>1243</v>
      </c>
      <c r="B1348" s="360" t="s">
        <v>1244</v>
      </c>
      <c r="C1348" s="360" t="s">
        <v>222</v>
      </c>
      <c r="D1348" s="360" t="s">
        <v>128</v>
      </c>
      <c r="E1348" s="360" t="s">
        <v>167</v>
      </c>
      <c r="F1348" s="361" t="s">
        <v>1083</v>
      </c>
      <c r="G1348" s="360" t="s">
        <v>145</v>
      </c>
      <c r="H1348" s="361"/>
      <c r="I1348" s="361"/>
      <c r="J1348" s="361" t="s">
        <v>1246</v>
      </c>
      <c r="K1348" s="363"/>
      <c r="L1348" s="360"/>
      <c r="M1348" s="360"/>
      <c r="N1348" s="361"/>
      <c r="O1348" s="361"/>
      <c r="P1348" s="361"/>
      <c r="Q1348" s="361"/>
      <c r="R1348" s="362"/>
      <c r="S1348" s="361"/>
      <c r="T1348" s="360" t="s">
        <v>132</v>
      </c>
    </row>
    <row r="1349" ht="34.5">
      <c r="A1349" s="360" t="s">
        <v>1243</v>
      </c>
      <c r="B1349" s="360" t="s">
        <v>1244</v>
      </c>
      <c r="C1349" s="360" t="s">
        <v>222</v>
      </c>
      <c r="D1349" s="360" t="s">
        <v>128</v>
      </c>
      <c r="E1349" s="360" t="s">
        <v>167</v>
      </c>
      <c r="F1349" s="361" t="s">
        <v>1083</v>
      </c>
      <c r="G1349" s="360" t="s">
        <v>145</v>
      </c>
      <c r="H1349" s="361"/>
      <c r="I1349" s="361"/>
      <c r="J1349" s="361" t="s">
        <v>1247</v>
      </c>
      <c r="K1349" s="363"/>
      <c r="L1349" s="360"/>
      <c r="M1349" s="360"/>
      <c r="N1349" s="361"/>
      <c r="O1349" s="361"/>
      <c r="P1349" s="361"/>
      <c r="Q1349" s="361"/>
      <c r="R1349" s="362"/>
      <c r="S1349" s="361"/>
      <c r="T1349" s="360" t="s">
        <v>132</v>
      </c>
    </row>
    <row r="1350" ht="34.5">
      <c r="A1350" s="360" t="s">
        <v>1243</v>
      </c>
      <c r="B1350" s="360" t="s">
        <v>1244</v>
      </c>
      <c r="C1350" s="360" t="s">
        <v>222</v>
      </c>
      <c r="D1350" s="360" t="s">
        <v>128</v>
      </c>
      <c r="E1350" s="360" t="s">
        <v>167</v>
      </c>
      <c r="F1350" s="361" t="s">
        <v>1083</v>
      </c>
      <c r="G1350" s="360" t="s">
        <v>145</v>
      </c>
      <c r="H1350" s="361"/>
      <c r="I1350" s="361"/>
      <c r="J1350" s="361" t="s">
        <v>1088</v>
      </c>
      <c r="K1350" s="363"/>
      <c r="L1350" s="360"/>
      <c r="M1350" s="360"/>
      <c r="N1350" s="361"/>
      <c r="O1350" s="361"/>
      <c r="P1350" s="361"/>
      <c r="Q1350" s="361"/>
      <c r="R1350" s="362"/>
      <c r="S1350" s="361"/>
      <c r="T1350" s="360" t="s">
        <v>132</v>
      </c>
    </row>
    <row r="1351" ht="34.5">
      <c r="A1351" s="360" t="s">
        <v>1243</v>
      </c>
      <c r="B1351" s="360" t="s">
        <v>1244</v>
      </c>
      <c r="C1351" s="360" t="s">
        <v>222</v>
      </c>
      <c r="D1351" s="360" t="s">
        <v>128</v>
      </c>
      <c r="E1351" s="360" t="s">
        <v>167</v>
      </c>
      <c r="F1351" s="361" t="s">
        <v>1083</v>
      </c>
      <c r="G1351" s="360" t="s">
        <v>145</v>
      </c>
      <c r="H1351" s="361"/>
      <c r="I1351" s="361"/>
      <c r="J1351" s="361" t="s">
        <v>1089</v>
      </c>
      <c r="K1351" s="363"/>
      <c r="L1351" s="360"/>
      <c r="M1351" s="360"/>
      <c r="N1351" s="361"/>
      <c r="O1351" s="361"/>
      <c r="P1351" s="361"/>
      <c r="Q1351" s="361"/>
      <c r="R1351" s="362"/>
      <c r="S1351" s="361"/>
      <c r="T1351" s="360" t="s">
        <v>132</v>
      </c>
    </row>
    <row r="1352" ht="34.5">
      <c r="A1352" s="360" t="s">
        <v>1243</v>
      </c>
      <c r="B1352" s="360" t="s">
        <v>1244</v>
      </c>
      <c r="C1352" s="360" t="s">
        <v>222</v>
      </c>
      <c r="D1352" s="360" t="s">
        <v>128</v>
      </c>
      <c r="E1352" s="360" t="s">
        <v>167</v>
      </c>
      <c r="F1352" s="361" t="s">
        <v>1083</v>
      </c>
      <c r="G1352" s="360" t="s">
        <v>145</v>
      </c>
      <c r="H1352" s="361"/>
      <c r="I1352" s="361"/>
      <c r="J1352" s="361" t="s">
        <v>173</v>
      </c>
      <c r="K1352" s="363"/>
      <c r="L1352" s="360"/>
      <c r="M1352" s="360"/>
      <c r="N1352" s="361"/>
      <c r="O1352" s="361"/>
      <c r="P1352" s="361"/>
      <c r="Q1352" s="361"/>
      <c r="R1352" s="362"/>
      <c r="S1352" s="361"/>
      <c r="T1352" s="360" t="s">
        <v>132</v>
      </c>
    </row>
    <row r="1353" ht="34.5">
      <c r="A1353" s="360" t="s">
        <v>1243</v>
      </c>
      <c r="B1353" s="360" t="s">
        <v>1244</v>
      </c>
      <c r="C1353" s="360" t="s">
        <v>229</v>
      </c>
      <c r="D1353" s="360" t="s">
        <v>128</v>
      </c>
      <c r="E1353" s="360" t="s">
        <v>167</v>
      </c>
      <c r="F1353" s="361" t="s">
        <v>1090</v>
      </c>
      <c r="G1353" s="360" t="s">
        <v>145</v>
      </c>
      <c r="H1353" s="361"/>
      <c r="I1353" s="361"/>
      <c r="J1353" s="361" t="s">
        <v>1091</v>
      </c>
      <c r="K1353" s="363"/>
      <c r="L1353" s="360"/>
      <c r="M1353" s="360"/>
      <c r="N1353" s="361"/>
      <c r="O1353" s="361"/>
      <c r="P1353" s="361"/>
      <c r="Q1353" s="361"/>
      <c r="R1353" s="362"/>
      <c r="S1353" s="361"/>
      <c r="T1353" s="360" t="s">
        <v>132</v>
      </c>
    </row>
    <row r="1354" ht="34.5">
      <c r="A1354" s="360" t="s">
        <v>1243</v>
      </c>
      <c r="B1354" s="360" t="s">
        <v>1244</v>
      </c>
      <c r="C1354" s="360" t="s">
        <v>229</v>
      </c>
      <c r="D1354" s="360" t="s">
        <v>128</v>
      </c>
      <c r="E1354" s="360" t="s">
        <v>167</v>
      </c>
      <c r="F1354" s="361" t="s">
        <v>1090</v>
      </c>
      <c r="G1354" s="360" t="s">
        <v>145</v>
      </c>
      <c r="H1354" s="361"/>
      <c r="I1354" s="361"/>
      <c r="J1354" s="361" t="s">
        <v>893</v>
      </c>
      <c r="K1354" s="363"/>
      <c r="L1354" s="360"/>
      <c r="M1354" s="360"/>
      <c r="N1354" s="361"/>
      <c r="O1354" s="361"/>
      <c r="P1354" s="361"/>
      <c r="Q1354" s="361"/>
      <c r="R1354" s="362"/>
      <c r="S1354" s="361"/>
      <c r="T1354" s="360" t="s">
        <v>132</v>
      </c>
    </row>
    <row r="1355" ht="34.5">
      <c r="A1355" s="360" t="s">
        <v>1243</v>
      </c>
      <c r="B1355" s="360" t="s">
        <v>1244</v>
      </c>
      <c r="C1355" s="360" t="s">
        <v>229</v>
      </c>
      <c r="D1355" s="360" t="s">
        <v>128</v>
      </c>
      <c r="E1355" s="360" t="s">
        <v>167</v>
      </c>
      <c r="F1355" s="361" t="s">
        <v>1090</v>
      </c>
      <c r="G1355" s="360" t="s">
        <v>145</v>
      </c>
      <c r="H1355" s="361"/>
      <c r="I1355" s="361"/>
      <c r="J1355" s="361" t="s">
        <v>894</v>
      </c>
      <c r="K1355" s="363"/>
      <c r="L1355" s="360"/>
      <c r="M1355" s="360"/>
      <c r="N1355" s="361"/>
      <c r="O1355" s="361"/>
      <c r="P1355" s="361"/>
      <c r="Q1355" s="361"/>
      <c r="R1355" s="362"/>
      <c r="S1355" s="361"/>
      <c r="T1355" s="360" t="s">
        <v>132</v>
      </c>
    </row>
    <row r="1356" ht="34.5">
      <c r="A1356" s="360" t="s">
        <v>1243</v>
      </c>
      <c r="B1356" s="360" t="s">
        <v>1244</v>
      </c>
      <c r="C1356" s="360" t="s">
        <v>229</v>
      </c>
      <c r="D1356" s="360" t="s">
        <v>128</v>
      </c>
      <c r="E1356" s="360" t="s">
        <v>167</v>
      </c>
      <c r="F1356" s="361" t="s">
        <v>1090</v>
      </c>
      <c r="G1356" s="360" t="s">
        <v>145</v>
      </c>
      <c r="H1356" s="361"/>
      <c r="I1356" s="361"/>
      <c r="J1356" s="361" t="s">
        <v>895</v>
      </c>
      <c r="K1356" s="363"/>
      <c r="L1356" s="360"/>
      <c r="M1356" s="360"/>
      <c r="N1356" s="361"/>
      <c r="O1356" s="361"/>
      <c r="P1356" s="361"/>
      <c r="Q1356" s="361"/>
      <c r="R1356" s="362"/>
      <c r="S1356" s="361"/>
      <c r="T1356" s="360" t="s">
        <v>132</v>
      </c>
    </row>
    <row r="1357" ht="34.5">
      <c r="A1357" s="360" t="s">
        <v>1243</v>
      </c>
      <c r="B1357" s="360" t="s">
        <v>1244</v>
      </c>
      <c r="C1357" s="360" t="s">
        <v>229</v>
      </c>
      <c r="D1357" s="360" t="s">
        <v>128</v>
      </c>
      <c r="E1357" s="360" t="s">
        <v>167</v>
      </c>
      <c r="F1357" s="361" t="s">
        <v>1090</v>
      </c>
      <c r="G1357" s="360" t="s">
        <v>145</v>
      </c>
      <c r="H1357" s="361"/>
      <c r="I1357" s="361"/>
      <c r="J1357" s="361" t="s">
        <v>1092</v>
      </c>
      <c r="K1357" s="363"/>
      <c r="L1357" s="360"/>
      <c r="M1357" s="360"/>
      <c r="N1357" s="361"/>
      <c r="O1357" s="361"/>
      <c r="P1357" s="361"/>
      <c r="Q1357" s="361"/>
      <c r="R1357" s="362"/>
      <c r="S1357" s="361"/>
      <c r="T1357" s="360" t="s">
        <v>132</v>
      </c>
    </row>
    <row r="1358" ht="34.5">
      <c r="A1358" s="360" t="s">
        <v>1243</v>
      </c>
      <c r="B1358" s="360" t="s">
        <v>1244</v>
      </c>
      <c r="C1358" s="360" t="s">
        <v>229</v>
      </c>
      <c r="D1358" s="360" t="s">
        <v>128</v>
      </c>
      <c r="E1358" s="360" t="s">
        <v>167</v>
      </c>
      <c r="F1358" s="361" t="s">
        <v>1090</v>
      </c>
      <c r="G1358" s="360" t="s">
        <v>145</v>
      </c>
      <c r="H1358" s="361"/>
      <c r="I1358" s="361"/>
      <c r="J1358" s="361" t="s">
        <v>897</v>
      </c>
      <c r="K1358" s="363"/>
      <c r="L1358" s="360"/>
      <c r="M1358" s="360"/>
      <c r="N1358" s="361"/>
      <c r="O1358" s="361"/>
      <c r="P1358" s="361"/>
      <c r="Q1358" s="361"/>
      <c r="R1358" s="362"/>
      <c r="S1358" s="361"/>
      <c r="T1358" s="360" t="s">
        <v>132</v>
      </c>
    </row>
    <row r="1359" ht="34.5">
      <c r="A1359" s="360" t="s">
        <v>1243</v>
      </c>
      <c r="B1359" s="360" t="s">
        <v>1244</v>
      </c>
      <c r="C1359" s="360" t="s">
        <v>229</v>
      </c>
      <c r="D1359" s="360" t="s">
        <v>128</v>
      </c>
      <c r="E1359" s="360" t="s">
        <v>167</v>
      </c>
      <c r="F1359" s="361" t="s">
        <v>1090</v>
      </c>
      <c r="G1359" s="360" t="s">
        <v>145</v>
      </c>
      <c r="H1359" s="361"/>
      <c r="I1359" s="361"/>
      <c r="J1359" s="361" t="s">
        <v>1093</v>
      </c>
      <c r="K1359" s="363"/>
      <c r="L1359" s="360"/>
      <c r="M1359" s="360"/>
      <c r="N1359" s="361"/>
      <c r="O1359" s="361"/>
      <c r="P1359" s="361"/>
      <c r="Q1359" s="361"/>
      <c r="R1359" s="362"/>
      <c r="S1359" s="361"/>
      <c r="T1359" s="360" t="s">
        <v>132</v>
      </c>
    </row>
    <row r="1360" ht="34.5">
      <c r="A1360" s="360" t="s">
        <v>1243</v>
      </c>
      <c r="B1360" s="360" t="s">
        <v>1244</v>
      </c>
      <c r="C1360" s="360" t="s">
        <v>229</v>
      </c>
      <c r="D1360" s="360" t="s">
        <v>128</v>
      </c>
      <c r="E1360" s="360" t="s">
        <v>167</v>
      </c>
      <c r="F1360" s="361" t="s">
        <v>1090</v>
      </c>
      <c r="G1360" s="360" t="s">
        <v>145</v>
      </c>
      <c r="H1360" s="361"/>
      <c r="I1360" s="361"/>
      <c r="J1360" s="361" t="s">
        <v>1094</v>
      </c>
      <c r="K1360" s="363"/>
      <c r="L1360" s="360"/>
      <c r="M1360" s="360"/>
      <c r="N1360" s="361"/>
      <c r="O1360" s="361"/>
      <c r="P1360" s="361"/>
      <c r="Q1360" s="361"/>
      <c r="R1360" s="362"/>
      <c r="S1360" s="361"/>
      <c r="T1360" s="360" t="s">
        <v>132</v>
      </c>
    </row>
    <row r="1361" ht="34.5">
      <c r="A1361" s="360" t="s">
        <v>1243</v>
      </c>
      <c r="B1361" s="360" t="s">
        <v>1244</v>
      </c>
      <c r="C1361" s="360" t="s">
        <v>229</v>
      </c>
      <c r="D1361" s="360" t="s">
        <v>128</v>
      </c>
      <c r="E1361" s="360" t="s">
        <v>167</v>
      </c>
      <c r="F1361" s="361" t="s">
        <v>1090</v>
      </c>
      <c r="G1361" s="360" t="s">
        <v>145</v>
      </c>
      <c r="H1361" s="361"/>
      <c r="I1361" s="361"/>
      <c r="J1361" s="361" t="s">
        <v>1095</v>
      </c>
      <c r="K1361" s="363"/>
      <c r="L1361" s="360"/>
      <c r="M1361" s="360"/>
      <c r="N1361" s="361"/>
      <c r="O1361" s="361"/>
      <c r="P1361" s="361"/>
      <c r="Q1361" s="361"/>
      <c r="R1361" s="362"/>
      <c r="S1361" s="361"/>
      <c r="T1361" s="360" t="s">
        <v>132</v>
      </c>
    </row>
    <row r="1362" ht="34.5">
      <c r="A1362" s="360" t="s">
        <v>1243</v>
      </c>
      <c r="B1362" s="360" t="s">
        <v>1244</v>
      </c>
      <c r="C1362" s="360" t="s">
        <v>229</v>
      </c>
      <c r="D1362" s="360" t="s">
        <v>128</v>
      </c>
      <c r="E1362" s="360" t="s">
        <v>167</v>
      </c>
      <c r="F1362" s="361" t="s">
        <v>1090</v>
      </c>
      <c r="G1362" s="360" t="s">
        <v>145</v>
      </c>
      <c r="H1362" s="361"/>
      <c r="I1362" s="361"/>
      <c r="J1362" s="361" t="s">
        <v>1096</v>
      </c>
      <c r="K1362" s="363"/>
      <c r="L1362" s="360"/>
      <c r="M1362" s="360"/>
      <c r="N1362" s="361"/>
      <c r="O1362" s="361"/>
      <c r="P1362" s="361"/>
      <c r="Q1362" s="361"/>
      <c r="R1362" s="362"/>
      <c r="S1362" s="361"/>
      <c r="T1362" s="360" t="s">
        <v>132</v>
      </c>
    </row>
    <row r="1363" ht="34.5">
      <c r="A1363" s="360" t="s">
        <v>1243</v>
      </c>
      <c r="B1363" s="360" t="s">
        <v>1244</v>
      </c>
      <c r="C1363" s="360" t="s">
        <v>241</v>
      </c>
      <c r="D1363" s="360" t="s">
        <v>128</v>
      </c>
      <c r="E1363" s="360" t="s">
        <v>167</v>
      </c>
      <c r="F1363" s="361" t="s">
        <v>1090</v>
      </c>
      <c r="G1363" s="360" t="s">
        <v>145</v>
      </c>
      <c r="H1363" s="361"/>
      <c r="I1363" s="361"/>
      <c r="J1363" s="361" t="s">
        <v>1097</v>
      </c>
      <c r="K1363" s="363"/>
      <c r="L1363" s="360"/>
      <c r="M1363" s="360"/>
      <c r="N1363" s="361"/>
      <c r="O1363" s="361"/>
      <c r="P1363" s="361"/>
      <c r="Q1363" s="361"/>
      <c r="R1363" s="362"/>
      <c r="S1363" s="361"/>
      <c r="T1363" s="360" t="s">
        <v>132</v>
      </c>
    </row>
    <row r="1364" ht="34.5">
      <c r="A1364" s="360" t="s">
        <v>1243</v>
      </c>
      <c r="B1364" s="360" t="s">
        <v>1244</v>
      </c>
      <c r="C1364" s="360" t="s">
        <v>241</v>
      </c>
      <c r="D1364" s="360" t="s">
        <v>128</v>
      </c>
      <c r="E1364" s="360" t="s">
        <v>167</v>
      </c>
      <c r="F1364" s="361" t="s">
        <v>1090</v>
      </c>
      <c r="G1364" s="360" t="s">
        <v>145</v>
      </c>
      <c r="H1364" s="361"/>
      <c r="I1364" s="361"/>
      <c r="J1364" s="361" t="s">
        <v>902</v>
      </c>
      <c r="K1364" s="363"/>
      <c r="L1364" s="360"/>
      <c r="M1364" s="360"/>
      <c r="N1364" s="361"/>
      <c r="O1364" s="361"/>
      <c r="P1364" s="361"/>
      <c r="Q1364" s="361"/>
      <c r="R1364" s="362"/>
      <c r="S1364" s="361"/>
      <c r="T1364" s="360" t="s">
        <v>132</v>
      </c>
    </row>
    <row r="1365" ht="34.5">
      <c r="A1365" s="360" t="s">
        <v>1243</v>
      </c>
      <c r="B1365" s="360" t="s">
        <v>1244</v>
      </c>
      <c r="C1365" s="360" t="s">
        <v>241</v>
      </c>
      <c r="D1365" s="360" t="s">
        <v>128</v>
      </c>
      <c r="E1365" s="360" t="s">
        <v>167</v>
      </c>
      <c r="F1365" s="361" t="s">
        <v>1090</v>
      </c>
      <c r="G1365" s="360" t="s">
        <v>145</v>
      </c>
      <c r="H1365" s="361"/>
      <c r="I1365" s="361"/>
      <c r="J1365" s="361" t="s">
        <v>1098</v>
      </c>
      <c r="K1365" s="363"/>
      <c r="L1365" s="360"/>
      <c r="M1365" s="360"/>
      <c r="N1365" s="361"/>
      <c r="O1365" s="361"/>
      <c r="P1365" s="361"/>
      <c r="Q1365" s="361"/>
      <c r="R1365" s="362"/>
      <c r="S1365" s="361"/>
      <c r="T1365" s="360" t="s">
        <v>132</v>
      </c>
    </row>
    <row r="1366" ht="34.5">
      <c r="A1366" s="360" t="s">
        <v>1243</v>
      </c>
      <c r="B1366" s="360" t="s">
        <v>1244</v>
      </c>
      <c r="C1366" s="360" t="s">
        <v>241</v>
      </c>
      <c r="D1366" s="360" t="s">
        <v>128</v>
      </c>
      <c r="E1366" s="360" t="s">
        <v>167</v>
      </c>
      <c r="F1366" s="361" t="s">
        <v>1090</v>
      </c>
      <c r="G1366" s="360" t="s">
        <v>145</v>
      </c>
      <c r="H1366" s="361"/>
      <c r="I1366" s="361"/>
      <c r="J1366" s="361" t="s">
        <v>1099</v>
      </c>
      <c r="K1366" s="363"/>
      <c r="L1366" s="360"/>
      <c r="M1366" s="360"/>
      <c r="N1366" s="361"/>
      <c r="O1366" s="361"/>
      <c r="P1366" s="361"/>
      <c r="Q1366" s="361"/>
      <c r="R1366" s="362"/>
      <c r="S1366" s="361"/>
      <c r="T1366" s="360" t="s">
        <v>132</v>
      </c>
    </row>
    <row r="1367" ht="34.5">
      <c r="A1367" s="360" t="s">
        <v>1243</v>
      </c>
      <c r="B1367" s="360" t="s">
        <v>1244</v>
      </c>
      <c r="C1367" s="360" t="s">
        <v>241</v>
      </c>
      <c r="D1367" s="360" t="s">
        <v>128</v>
      </c>
      <c r="E1367" s="360" t="s">
        <v>167</v>
      </c>
      <c r="F1367" s="361" t="s">
        <v>1090</v>
      </c>
      <c r="G1367" s="360" t="s">
        <v>145</v>
      </c>
      <c r="H1367" s="361"/>
      <c r="I1367" s="361"/>
      <c r="J1367" s="361" t="s">
        <v>1100</v>
      </c>
      <c r="K1367" s="363"/>
      <c r="L1367" s="360"/>
      <c r="M1367" s="360"/>
      <c r="N1367" s="361"/>
      <c r="O1367" s="361"/>
      <c r="P1367" s="361"/>
      <c r="Q1367" s="361"/>
      <c r="R1367" s="362"/>
      <c r="S1367" s="361"/>
      <c r="T1367" s="360" t="s">
        <v>132</v>
      </c>
    </row>
    <row r="1368" ht="34.5">
      <c r="A1368" s="360" t="s">
        <v>1243</v>
      </c>
      <c r="B1368" s="360" t="s">
        <v>1244</v>
      </c>
      <c r="C1368" s="360" t="s">
        <v>241</v>
      </c>
      <c r="D1368" s="360" t="s">
        <v>128</v>
      </c>
      <c r="E1368" s="360" t="s">
        <v>167</v>
      </c>
      <c r="F1368" s="361" t="s">
        <v>1090</v>
      </c>
      <c r="G1368" s="360" t="s">
        <v>145</v>
      </c>
      <c r="H1368" s="361"/>
      <c r="I1368" s="361"/>
      <c r="J1368" s="361" t="s">
        <v>1101</v>
      </c>
      <c r="K1368" s="363"/>
      <c r="L1368" s="360"/>
      <c r="M1368" s="360"/>
      <c r="N1368" s="361"/>
      <c r="O1368" s="361"/>
      <c r="P1368" s="361"/>
      <c r="Q1368" s="361"/>
      <c r="R1368" s="362"/>
      <c r="S1368" s="361"/>
      <c r="T1368" s="360" t="s">
        <v>132</v>
      </c>
    </row>
    <row r="1369" ht="34.5">
      <c r="A1369" s="360" t="s">
        <v>1243</v>
      </c>
      <c r="B1369" s="360" t="s">
        <v>1244</v>
      </c>
      <c r="C1369" s="360" t="s">
        <v>241</v>
      </c>
      <c r="D1369" s="360" t="s">
        <v>128</v>
      </c>
      <c r="E1369" s="360" t="s">
        <v>167</v>
      </c>
      <c r="F1369" s="361" t="s">
        <v>1090</v>
      </c>
      <c r="G1369" s="360" t="s">
        <v>145</v>
      </c>
      <c r="H1369" s="361"/>
      <c r="I1369" s="361"/>
      <c r="J1369" s="361" t="s">
        <v>1102</v>
      </c>
      <c r="K1369" s="363"/>
      <c r="L1369" s="360"/>
      <c r="M1369" s="360"/>
      <c r="N1369" s="361"/>
      <c r="O1369" s="361"/>
      <c r="P1369" s="361"/>
      <c r="Q1369" s="361"/>
      <c r="R1369" s="362"/>
      <c r="S1369" s="361"/>
      <c r="T1369" s="360" t="s">
        <v>132</v>
      </c>
    </row>
    <row r="1370" ht="34.5">
      <c r="A1370" s="360" t="s">
        <v>1243</v>
      </c>
      <c r="B1370" s="360" t="s">
        <v>1244</v>
      </c>
      <c r="C1370" s="360" t="s">
        <v>241</v>
      </c>
      <c r="D1370" s="360" t="s">
        <v>128</v>
      </c>
      <c r="E1370" s="360" t="s">
        <v>167</v>
      </c>
      <c r="F1370" s="361" t="s">
        <v>1090</v>
      </c>
      <c r="G1370" s="360" t="s">
        <v>145</v>
      </c>
      <c r="H1370" s="361"/>
      <c r="I1370" s="361"/>
      <c r="J1370" s="361" t="s">
        <v>186</v>
      </c>
      <c r="K1370" s="363"/>
      <c r="L1370" s="360"/>
      <c r="M1370" s="360"/>
      <c r="N1370" s="361"/>
      <c r="O1370" s="361"/>
      <c r="P1370" s="361"/>
      <c r="Q1370" s="361"/>
      <c r="R1370" s="362"/>
      <c r="S1370" s="361"/>
      <c r="T1370" s="360" t="s">
        <v>132</v>
      </c>
    </row>
    <row r="1371" ht="34.5">
      <c r="A1371" s="360" t="s">
        <v>1243</v>
      </c>
      <c r="B1371" s="360" t="s">
        <v>1244</v>
      </c>
      <c r="C1371" s="360" t="s">
        <v>241</v>
      </c>
      <c r="D1371" s="360" t="s">
        <v>128</v>
      </c>
      <c r="E1371" s="360" t="s">
        <v>167</v>
      </c>
      <c r="F1371" s="361" t="s">
        <v>1090</v>
      </c>
      <c r="G1371" s="360" t="s">
        <v>145</v>
      </c>
      <c r="H1371" s="361"/>
      <c r="I1371" s="361"/>
      <c r="J1371" s="361" t="s">
        <v>909</v>
      </c>
      <c r="K1371" s="363"/>
      <c r="L1371" s="360"/>
      <c r="M1371" s="360"/>
      <c r="N1371" s="361"/>
      <c r="O1371" s="361"/>
      <c r="P1371" s="361"/>
      <c r="Q1371" s="361"/>
      <c r="R1371" s="362"/>
      <c r="S1371" s="361"/>
      <c r="T1371" s="360" t="s">
        <v>132</v>
      </c>
    </row>
    <row r="1372" ht="34.5">
      <c r="A1372" s="360" t="s">
        <v>1243</v>
      </c>
      <c r="B1372" s="360" t="s">
        <v>1244</v>
      </c>
      <c r="C1372" s="360" t="s">
        <v>241</v>
      </c>
      <c r="D1372" s="360" t="s">
        <v>128</v>
      </c>
      <c r="E1372" s="360" t="s">
        <v>167</v>
      </c>
      <c r="F1372" s="361" t="s">
        <v>1090</v>
      </c>
      <c r="G1372" s="360" t="s">
        <v>145</v>
      </c>
      <c r="H1372" s="361"/>
      <c r="I1372" s="361"/>
      <c r="J1372" s="361" t="s">
        <v>1103</v>
      </c>
      <c r="K1372" s="363"/>
      <c r="L1372" s="360"/>
      <c r="M1372" s="360"/>
      <c r="N1372" s="361"/>
      <c r="O1372" s="361"/>
      <c r="P1372" s="361"/>
      <c r="Q1372" s="361"/>
      <c r="R1372" s="362"/>
      <c r="S1372" s="361"/>
      <c r="T1372" s="360" t="s">
        <v>132</v>
      </c>
    </row>
    <row r="1373" ht="34.5">
      <c r="A1373" s="360" t="s">
        <v>1243</v>
      </c>
      <c r="B1373" s="360" t="s">
        <v>1244</v>
      </c>
      <c r="C1373" s="360" t="s">
        <v>241</v>
      </c>
      <c r="D1373" s="360" t="s">
        <v>128</v>
      </c>
      <c r="E1373" s="360" t="s">
        <v>167</v>
      </c>
      <c r="F1373" s="361" t="s">
        <v>1090</v>
      </c>
      <c r="G1373" s="360" t="s">
        <v>145</v>
      </c>
      <c r="H1373" s="361"/>
      <c r="I1373" s="361"/>
      <c r="J1373" s="361" t="s">
        <v>1104</v>
      </c>
      <c r="K1373" s="363"/>
      <c r="L1373" s="360"/>
      <c r="M1373" s="360"/>
      <c r="N1373" s="361"/>
      <c r="O1373" s="361"/>
      <c r="P1373" s="361"/>
      <c r="Q1373" s="361"/>
      <c r="R1373" s="362"/>
      <c r="S1373" s="361"/>
      <c r="T1373" s="360" t="s">
        <v>132</v>
      </c>
    </row>
    <row r="1374" ht="34.5">
      <c r="A1374" s="360" t="s">
        <v>1243</v>
      </c>
      <c r="B1374" s="360" t="s">
        <v>1244</v>
      </c>
      <c r="C1374" s="360" t="s">
        <v>241</v>
      </c>
      <c r="D1374" s="360" t="s">
        <v>128</v>
      </c>
      <c r="E1374" s="360" t="s">
        <v>167</v>
      </c>
      <c r="F1374" s="361" t="s">
        <v>1090</v>
      </c>
      <c r="G1374" s="360" t="s">
        <v>145</v>
      </c>
      <c r="H1374" s="361"/>
      <c r="I1374" s="361"/>
      <c r="J1374" s="361" t="s">
        <v>192</v>
      </c>
      <c r="K1374" s="363"/>
      <c r="L1374" s="360"/>
      <c r="M1374" s="360"/>
      <c r="N1374" s="361"/>
      <c r="O1374" s="361"/>
      <c r="P1374" s="361"/>
      <c r="Q1374" s="361"/>
      <c r="R1374" s="362"/>
      <c r="S1374" s="361"/>
      <c r="T1374" s="360" t="s">
        <v>132</v>
      </c>
    </row>
    <row r="1375" ht="34.5">
      <c r="A1375" s="360" t="s">
        <v>1243</v>
      </c>
      <c r="B1375" s="360" t="s">
        <v>1244</v>
      </c>
      <c r="C1375" s="360" t="s">
        <v>252</v>
      </c>
      <c r="D1375" s="360" t="s">
        <v>128</v>
      </c>
      <c r="E1375" s="360" t="s">
        <v>167</v>
      </c>
      <c r="F1375" s="361" t="s">
        <v>1090</v>
      </c>
      <c r="G1375" s="360" t="s">
        <v>145</v>
      </c>
      <c r="H1375" s="361"/>
      <c r="I1375" s="361"/>
      <c r="J1375" s="361" t="s">
        <v>1105</v>
      </c>
      <c r="K1375" s="363"/>
      <c r="L1375" s="360"/>
      <c r="M1375" s="360"/>
      <c r="N1375" s="361"/>
      <c r="O1375" s="361"/>
      <c r="P1375" s="361"/>
      <c r="Q1375" s="361"/>
      <c r="R1375" s="362"/>
      <c r="S1375" s="361"/>
      <c r="T1375" s="360" t="s">
        <v>132</v>
      </c>
    </row>
    <row r="1376" ht="34.5">
      <c r="A1376" s="360" t="s">
        <v>1243</v>
      </c>
      <c r="B1376" s="360" t="s">
        <v>1244</v>
      </c>
      <c r="C1376" s="360" t="s">
        <v>252</v>
      </c>
      <c r="D1376" s="360" t="s">
        <v>128</v>
      </c>
      <c r="E1376" s="360" t="s">
        <v>167</v>
      </c>
      <c r="F1376" s="361" t="s">
        <v>1090</v>
      </c>
      <c r="G1376" s="360" t="s">
        <v>145</v>
      </c>
      <c r="H1376" s="361"/>
      <c r="I1376" s="361"/>
      <c r="J1376" s="361" t="s">
        <v>202</v>
      </c>
      <c r="K1376" s="363"/>
      <c r="L1376" s="360"/>
      <c r="M1376" s="360"/>
      <c r="N1376" s="361"/>
      <c r="O1376" s="361"/>
      <c r="P1376" s="361"/>
      <c r="Q1376" s="361"/>
      <c r="R1376" s="362"/>
      <c r="S1376" s="361"/>
      <c r="T1376" s="360" t="s">
        <v>132</v>
      </c>
    </row>
    <row r="1377" ht="34.5">
      <c r="A1377" s="360" t="s">
        <v>1243</v>
      </c>
      <c r="B1377" s="360" t="s">
        <v>1244</v>
      </c>
      <c r="C1377" s="360" t="s">
        <v>252</v>
      </c>
      <c r="D1377" s="360" t="s">
        <v>128</v>
      </c>
      <c r="E1377" s="360" t="s">
        <v>167</v>
      </c>
      <c r="F1377" s="361" t="s">
        <v>1090</v>
      </c>
      <c r="G1377" s="360" t="s">
        <v>145</v>
      </c>
      <c r="H1377" s="361"/>
      <c r="I1377" s="361"/>
      <c r="J1377" s="361" t="s">
        <v>910</v>
      </c>
      <c r="K1377" s="363"/>
      <c r="L1377" s="360"/>
      <c r="M1377" s="360"/>
      <c r="N1377" s="361"/>
      <c r="O1377" s="361"/>
      <c r="P1377" s="361"/>
      <c r="Q1377" s="361"/>
      <c r="R1377" s="362"/>
      <c r="S1377" s="361"/>
      <c r="T1377" s="360" t="s">
        <v>132</v>
      </c>
    </row>
    <row r="1378" ht="34.5">
      <c r="A1378" s="360" t="s">
        <v>1243</v>
      </c>
      <c r="B1378" s="360" t="s">
        <v>1244</v>
      </c>
      <c r="C1378" s="360" t="s">
        <v>252</v>
      </c>
      <c r="D1378" s="360" t="s">
        <v>128</v>
      </c>
      <c r="E1378" s="360" t="s">
        <v>167</v>
      </c>
      <c r="F1378" s="361" t="s">
        <v>1090</v>
      </c>
      <c r="G1378" s="360" t="s">
        <v>145</v>
      </c>
      <c r="H1378" s="361"/>
      <c r="I1378" s="361"/>
      <c r="J1378" s="361" t="s">
        <v>1106</v>
      </c>
      <c r="K1378" s="363"/>
      <c r="L1378" s="360"/>
      <c r="M1378" s="360"/>
      <c r="N1378" s="361"/>
      <c r="O1378" s="361"/>
      <c r="P1378" s="361"/>
      <c r="Q1378" s="361"/>
      <c r="R1378" s="362"/>
      <c r="S1378" s="361"/>
      <c r="T1378" s="360" t="s">
        <v>132</v>
      </c>
    </row>
    <row r="1379" ht="34.5">
      <c r="A1379" s="360" t="s">
        <v>1243</v>
      </c>
      <c r="B1379" s="360" t="s">
        <v>1244</v>
      </c>
      <c r="C1379" s="360" t="s">
        <v>252</v>
      </c>
      <c r="D1379" s="360" t="s">
        <v>128</v>
      </c>
      <c r="E1379" s="360" t="s">
        <v>167</v>
      </c>
      <c r="F1379" s="361" t="s">
        <v>1090</v>
      </c>
      <c r="G1379" s="360" t="s">
        <v>145</v>
      </c>
      <c r="H1379" s="361"/>
      <c r="I1379" s="361"/>
      <c r="J1379" s="361" t="s">
        <v>197</v>
      </c>
      <c r="K1379" s="363"/>
      <c r="L1379" s="360"/>
      <c r="M1379" s="360"/>
      <c r="N1379" s="361"/>
      <c r="O1379" s="361"/>
      <c r="P1379" s="361"/>
      <c r="Q1379" s="361"/>
      <c r="R1379" s="362"/>
      <c r="S1379" s="361"/>
      <c r="T1379" s="360" t="s">
        <v>132</v>
      </c>
    </row>
    <row r="1380" ht="34.5">
      <c r="A1380" s="360" t="s">
        <v>1243</v>
      </c>
      <c r="B1380" s="360" t="s">
        <v>1244</v>
      </c>
      <c r="C1380" s="360" t="s">
        <v>252</v>
      </c>
      <c r="D1380" s="360" t="s">
        <v>128</v>
      </c>
      <c r="E1380" s="360" t="s">
        <v>167</v>
      </c>
      <c r="F1380" s="361" t="s">
        <v>1090</v>
      </c>
      <c r="G1380" s="360" t="s">
        <v>145</v>
      </c>
      <c r="H1380" s="361"/>
      <c r="I1380" s="361"/>
      <c r="J1380" s="361" t="s">
        <v>1107</v>
      </c>
      <c r="K1380" s="363"/>
      <c r="L1380" s="360"/>
      <c r="M1380" s="360"/>
      <c r="N1380" s="361"/>
      <c r="O1380" s="361"/>
      <c r="P1380" s="361"/>
      <c r="Q1380" s="361"/>
      <c r="R1380" s="362"/>
      <c r="S1380" s="361"/>
      <c r="T1380" s="360" t="s">
        <v>132</v>
      </c>
    </row>
    <row r="1381" ht="34.5">
      <c r="A1381" s="360" t="s">
        <v>1243</v>
      </c>
      <c r="B1381" s="360" t="s">
        <v>1244</v>
      </c>
      <c r="C1381" s="360" t="s">
        <v>252</v>
      </c>
      <c r="D1381" s="360" t="s">
        <v>128</v>
      </c>
      <c r="E1381" s="360" t="s">
        <v>167</v>
      </c>
      <c r="F1381" s="361" t="s">
        <v>1090</v>
      </c>
      <c r="G1381" s="360" t="s">
        <v>145</v>
      </c>
      <c r="H1381" s="361"/>
      <c r="I1381" s="361"/>
      <c r="J1381" s="361" t="s">
        <v>912</v>
      </c>
      <c r="K1381" s="363"/>
      <c r="L1381" s="360"/>
      <c r="M1381" s="360"/>
      <c r="N1381" s="361"/>
      <c r="O1381" s="361"/>
      <c r="P1381" s="361"/>
      <c r="Q1381" s="361"/>
      <c r="R1381" s="362"/>
      <c r="S1381" s="361"/>
      <c r="T1381" s="360" t="s">
        <v>132</v>
      </c>
    </row>
    <row r="1382" ht="34.5">
      <c r="A1382" s="360" t="s">
        <v>1243</v>
      </c>
      <c r="B1382" s="360" t="s">
        <v>1244</v>
      </c>
      <c r="C1382" s="360" t="s">
        <v>252</v>
      </c>
      <c r="D1382" s="360" t="s">
        <v>128</v>
      </c>
      <c r="E1382" s="360" t="s">
        <v>167</v>
      </c>
      <c r="F1382" s="361" t="s">
        <v>1090</v>
      </c>
      <c r="G1382" s="360" t="s">
        <v>145</v>
      </c>
      <c r="H1382" s="361"/>
      <c r="I1382" s="361"/>
      <c r="J1382" s="361" t="s">
        <v>1108</v>
      </c>
      <c r="K1382" s="363"/>
      <c r="L1382" s="360"/>
      <c r="M1382" s="360"/>
      <c r="N1382" s="361"/>
      <c r="O1382" s="361"/>
      <c r="P1382" s="361"/>
      <c r="Q1382" s="361"/>
      <c r="R1382" s="362"/>
      <c r="S1382" s="361"/>
      <c r="T1382" s="360" t="s">
        <v>132</v>
      </c>
    </row>
    <row r="1383" ht="34.5">
      <c r="A1383" s="360" t="s">
        <v>1243</v>
      </c>
      <c r="B1383" s="360" t="s">
        <v>1244</v>
      </c>
      <c r="C1383" s="360" t="s">
        <v>263</v>
      </c>
      <c r="D1383" s="360" t="s">
        <v>128</v>
      </c>
      <c r="E1383" s="360" t="s">
        <v>167</v>
      </c>
      <c r="F1383" s="361" t="s">
        <v>1090</v>
      </c>
      <c r="G1383" s="360" t="s">
        <v>145</v>
      </c>
      <c r="H1383" s="361"/>
      <c r="I1383" s="361"/>
      <c r="J1383" s="361" t="s">
        <v>204</v>
      </c>
      <c r="K1383" s="363"/>
      <c r="L1383" s="360"/>
      <c r="M1383" s="360"/>
      <c r="N1383" s="361"/>
      <c r="O1383" s="361"/>
      <c r="P1383" s="361"/>
      <c r="Q1383" s="361"/>
      <c r="R1383" s="362"/>
      <c r="S1383" s="361"/>
      <c r="T1383" s="360" t="s">
        <v>132</v>
      </c>
    </row>
    <row r="1384" ht="34.5">
      <c r="A1384" s="360" t="s">
        <v>1243</v>
      </c>
      <c r="B1384" s="360" t="s">
        <v>1244</v>
      </c>
      <c r="C1384" s="360" t="s">
        <v>263</v>
      </c>
      <c r="D1384" s="360" t="s">
        <v>128</v>
      </c>
      <c r="E1384" s="360" t="s">
        <v>167</v>
      </c>
      <c r="F1384" s="361" t="s">
        <v>1090</v>
      </c>
      <c r="G1384" s="360" t="s">
        <v>145</v>
      </c>
      <c r="H1384" s="361"/>
      <c r="I1384" s="361"/>
      <c r="J1384" s="361" t="s">
        <v>1109</v>
      </c>
      <c r="K1384" s="363"/>
      <c r="L1384" s="360"/>
      <c r="M1384" s="360"/>
      <c r="N1384" s="361"/>
      <c r="O1384" s="361"/>
      <c r="P1384" s="361"/>
      <c r="Q1384" s="361"/>
      <c r="R1384" s="362"/>
      <c r="S1384" s="361"/>
      <c r="T1384" s="360" t="s">
        <v>132</v>
      </c>
    </row>
    <row r="1385" ht="34.5">
      <c r="A1385" s="360" t="s">
        <v>1243</v>
      </c>
      <c r="B1385" s="360" t="s">
        <v>1244</v>
      </c>
      <c r="C1385" s="360" t="s">
        <v>263</v>
      </c>
      <c r="D1385" s="360" t="s">
        <v>128</v>
      </c>
      <c r="E1385" s="360" t="s">
        <v>167</v>
      </c>
      <c r="F1385" s="361" t="s">
        <v>1090</v>
      </c>
      <c r="G1385" s="360" t="s">
        <v>145</v>
      </c>
      <c r="H1385" s="361"/>
      <c r="I1385" s="361"/>
      <c r="J1385" s="361" t="s">
        <v>206</v>
      </c>
      <c r="K1385" s="363"/>
      <c r="L1385" s="360"/>
      <c r="M1385" s="360"/>
      <c r="N1385" s="361"/>
      <c r="O1385" s="361"/>
      <c r="P1385" s="361"/>
      <c r="Q1385" s="361"/>
      <c r="R1385" s="362"/>
      <c r="S1385" s="361"/>
      <c r="T1385" s="360" t="s">
        <v>132</v>
      </c>
    </row>
    <row r="1386" ht="34.5">
      <c r="A1386" s="360" t="s">
        <v>1243</v>
      </c>
      <c r="B1386" s="360" t="s">
        <v>1244</v>
      </c>
      <c r="C1386" s="360" t="s">
        <v>263</v>
      </c>
      <c r="D1386" s="360" t="s">
        <v>128</v>
      </c>
      <c r="E1386" s="360" t="s">
        <v>167</v>
      </c>
      <c r="F1386" s="361" t="s">
        <v>1090</v>
      </c>
      <c r="G1386" s="360" t="s">
        <v>145</v>
      </c>
      <c r="H1386" s="361"/>
      <c r="I1386" s="361"/>
      <c r="J1386" s="361" t="s">
        <v>913</v>
      </c>
      <c r="K1386" s="363"/>
      <c r="L1386" s="360"/>
      <c r="M1386" s="360"/>
      <c r="N1386" s="361"/>
      <c r="O1386" s="361"/>
      <c r="P1386" s="361"/>
      <c r="Q1386" s="361"/>
      <c r="R1386" s="362"/>
      <c r="S1386" s="361"/>
      <c r="T1386" s="360" t="s">
        <v>132</v>
      </c>
    </row>
    <row r="1387" ht="34.5">
      <c r="A1387" s="360" t="s">
        <v>1243</v>
      </c>
      <c r="B1387" s="360" t="s">
        <v>1244</v>
      </c>
      <c r="C1387" s="360" t="s">
        <v>263</v>
      </c>
      <c r="D1387" s="360" t="s">
        <v>128</v>
      </c>
      <c r="E1387" s="360" t="s">
        <v>167</v>
      </c>
      <c r="F1387" s="361" t="s">
        <v>1090</v>
      </c>
      <c r="G1387" s="360" t="s">
        <v>145</v>
      </c>
      <c r="H1387" s="361"/>
      <c r="I1387" s="361"/>
      <c r="J1387" s="361" t="s">
        <v>1110</v>
      </c>
      <c r="K1387" s="363"/>
      <c r="L1387" s="360"/>
      <c r="M1387" s="360"/>
      <c r="N1387" s="361"/>
      <c r="O1387" s="361"/>
      <c r="P1387" s="361"/>
      <c r="Q1387" s="361"/>
      <c r="R1387" s="362"/>
      <c r="S1387" s="361"/>
      <c r="T1387" s="360" t="s">
        <v>132</v>
      </c>
    </row>
    <row r="1388" ht="34.5">
      <c r="A1388" s="360" t="s">
        <v>1243</v>
      </c>
      <c r="B1388" s="360" t="s">
        <v>1244</v>
      </c>
      <c r="C1388" s="360" t="s">
        <v>263</v>
      </c>
      <c r="D1388" s="360" t="s">
        <v>128</v>
      </c>
      <c r="E1388" s="360" t="s">
        <v>167</v>
      </c>
      <c r="F1388" s="361" t="s">
        <v>1090</v>
      </c>
      <c r="G1388" s="360" t="s">
        <v>145</v>
      </c>
      <c r="H1388" s="361"/>
      <c r="I1388" s="361"/>
      <c r="J1388" s="361" t="s">
        <v>753</v>
      </c>
      <c r="K1388" s="363"/>
      <c r="L1388" s="360"/>
      <c r="M1388" s="360"/>
      <c r="N1388" s="361"/>
      <c r="O1388" s="361"/>
      <c r="P1388" s="361"/>
      <c r="Q1388" s="361"/>
      <c r="R1388" s="362"/>
      <c r="S1388" s="361"/>
      <c r="T1388" s="360" t="s">
        <v>132</v>
      </c>
    </row>
    <row r="1389" ht="34.5">
      <c r="A1389" s="360" t="s">
        <v>1243</v>
      </c>
      <c r="B1389" s="360" t="s">
        <v>1244</v>
      </c>
      <c r="C1389" s="360" t="s">
        <v>263</v>
      </c>
      <c r="D1389" s="360" t="s">
        <v>128</v>
      </c>
      <c r="E1389" s="360" t="s">
        <v>167</v>
      </c>
      <c r="F1389" s="361" t="s">
        <v>1090</v>
      </c>
      <c r="G1389" s="360" t="s">
        <v>145</v>
      </c>
      <c r="H1389" s="361"/>
      <c r="I1389" s="361"/>
      <c r="J1389" s="361" t="s">
        <v>754</v>
      </c>
      <c r="K1389" s="363"/>
      <c r="L1389" s="360"/>
      <c r="M1389" s="360"/>
      <c r="N1389" s="361"/>
      <c r="O1389" s="361"/>
      <c r="P1389" s="361"/>
      <c r="Q1389" s="361"/>
      <c r="R1389" s="362"/>
      <c r="S1389" s="361"/>
      <c r="T1389" s="360" t="s">
        <v>132</v>
      </c>
    </row>
    <row r="1390" ht="34.5">
      <c r="A1390" s="360" t="s">
        <v>1243</v>
      </c>
      <c r="B1390" s="360" t="s">
        <v>1244</v>
      </c>
      <c r="C1390" s="360" t="s">
        <v>263</v>
      </c>
      <c r="D1390" s="360" t="s">
        <v>128</v>
      </c>
      <c r="E1390" s="360" t="s">
        <v>167</v>
      </c>
      <c r="F1390" s="361" t="s">
        <v>1090</v>
      </c>
      <c r="G1390" s="360" t="s">
        <v>145</v>
      </c>
      <c r="H1390" s="361"/>
      <c r="I1390" s="361"/>
      <c r="J1390" s="361" t="s">
        <v>214</v>
      </c>
      <c r="K1390" s="363"/>
      <c r="L1390" s="360"/>
      <c r="M1390" s="360"/>
      <c r="N1390" s="361"/>
      <c r="O1390" s="361"/>
      <c r="P1390" s="361"/>
      <c r="Q1390" s="361"/>
      <c r="R1390" s="362"/>
      <c r="S1390" s="361"/>
      <c r="T1390" s="360" t="s">
        <v>132</v>
      </c>
    </row>
    <row r="1391" ht="34.5">
      <c r="A1391" s="360" t="s">
        <v>1243</v>
      </c>
      <c r="B1391" s="360" t="s">
        <v>1244</v>
      </c>
      <c r="C1391" s="360" t="s">
        <v>263</v>
      </c>
      <c r="D1391" s="360" t="s">
        <v>128</v>
      </c>
      <c r="E1391" s="360" t="s">
        <v>167</v>
      </c>
      <c r="F1391" s="361" t="s">
        <v>1090</v>
      </c>
      <c r="G1391" s="360" t="s">
        <v>145</v>
      </c>
      <c r="H1391" s="361"/>
      <c r="I1391" s="361"/>
      <c r="J1391" s="361" t="s">
        <v>215</v>
      </c>
      <c r="K1391" s="363"/>
      <c r="L1391" s="360"/>
      <c r="M1391" s="360"/>
      <c r="N1391" s="361"/>
      <c r="O1391" s="361"/>
      <c r="P1391" s="361"/>
      <c r="Q1391" s="361"/>
      <c r="R1391" s="362"/>
      <c r="S1391" s="361"/>
      <c r="T1391" s="360" t="s">
        <v>132</v>
      </c>
    </row>
    <row r="1392" ht="34.5">
      <c r="A1392" s="360" t="s">
        <v>1243</v>
      </c>
      <c r="B1392" s="360" t="s">
        <v>1244</v>
      </c>
      <c r="C1392" s="360" t="s">
        <v>263</v>
      </c>
      <c r="D1392" s="360" t="s">
        <v>128</v>
      </c>
      <c r="E1392" s="360" t="s">
        <v>167</v>
      </c>
      <c r="F1392" s="361" t="s">
        <v>1090</v>
      </c>
      <c r="G1392" s="360" t="s">
        <v>145</v>
      </c>
      <c r="H1392" s="361"/>
      <c r="I1392" s="361"/>
      <c r="J1392" s="361" t="s">
        <v>1111</v>
      </c>
      <c r="K1392" s="363"/>
      <c r="L1392" s="360"/>
      <c r="M1392" s="360"/>
      <c r="N1392" s="361"/>
      <c r="O1392" s="361"/>
      <c r="P1392" s="361"/>
      <c r="Q1392" s="361"/>
      <c r="R1392" s="362"/>
      <c r="S1392" s="361"/>
      <c r="T1392" s="360" t="s">
        <v>132</v>
      </c>
    </row>
    <row r="1393" ht="34.5">
      <c r="A1393" s="360" t="s">
        <v>1243</v>
      </c>
      <c r="B1393" s="360" t="s">
        <v>1244</v>
      </c>
      <c r="C1393" s="360" t="s">
        <v>263</v>
      </c>
      <c r="D1393" s="360" t="s">
        <v>128</v>
      </c>
      <c r="E1393" s="360" t="s">
        <v>167</v>
      </c>
      <c r="F1393" s="361" t="s">
        <v>1090</v>
      </c>
      <c r="G1393" s="360" t="s">
        <v>145</v>
      </c>
      <c r="H1393" s="361"/>
      <c r="I1393" s="361"/>
      <c r="J1393" s="361" t="s">
        <v>216</v>
      </c>
      <c r="K1393" s="363"/>
      <c r="L1393" s="360"/>
      <c r="M1393" s="360"/>
      <c r="N1393" s="361"/>
      <c r="O1393" s="361"/>
      <c r="P1393" s="361"/>
      <c r="Q1393" s="361"/>
      <c r="R1393" s="362"/>
      <c r="S1393" s="361"/>
      <c r="T1393" s="360" t="s">
        <v>132</v>
      </c>
    </row>
    <row r="1394" ht="34.5">
      <c r="A1394" s="360" t="s">
        <v>1243</v>
      </c>
      <c r="B1394" s="360" t="s">
        <v>1244</v>
      </c>
      <c r="C1394" s="360" t="s">
        <v>273</v>
      </c>
      <c r="D1394" s="360" t="s">
        <v>128</v>
      </c>
      <c r="E1394" s="360" t="s">
        <v>167</v>
      </c>
      <c r="F1394" s="361" t="s">
        <v>1090</v>
      </c>
      <c r="G1394" s="360" t="s">
        <v>145</v>
      </c>
      <c r="H1394" s="361"/>
      <c r="I1394" s="361"/>
      <c r="J1394" s="361" t="s">
        <v>1112</v>
      </c>
      <c r="K1394" s="363"/>
      <c r="L1394" s="360"/>
      <c r="M1394" s="360"/>
      <c r="N1394" s="361"/>
      <c r="O1394" s="361"/>
      <c r="P1394" s="361"/>
      <c r="Q1394" s="361"/>
      <c r="R1394" s="362"/>
      <c r="S1394" s="361"/>
      <c r="T1394" s="360" t="s">
        <v>132</v>
      </c>
    </row>
    <row r="1395" ht="34.5">
      <c r="A1395" s="360" t="s">
        <v>1243</v>
      </c>
      <c r="B1395" s="360" t="s">
        <v>1244</v>
      </c>
      <c r="C1395" s="360" t="s">
        <v>273</v>
      </c>
      <c r="D1395" s="360" t="s">
        <v>128</v>
      </c>
      <c r="E1395" s="360" t="s">
        <v>167</v>
      </c>
      <c r="F1395" s="361" t="s">
        <v>1090</v>
      </c>
      <c r="G1395" s="360" t="s">
        <v>145</v>
      </c>
      <c r="H1395" s="361"/>
      <c r="I1395" s="361"/>
      <c r="J1395" s="361" t="s">
        <v>218</v>
      </c>
      <c r="K1395" s="363"/>
      <c r="L1395" s="360"/>
      <c r="M1395" s="360"/>
      <c r="N1395" s="361"/>
      <c r="O1395" s="361"/>
      <c r="P1395" s="361"/>
      <c r="Q1395" s="361"/>
      <c r="R1395" s="362"/>
      <c r="S1395" s="361"/>
      <c r="T1395" s="360" t="s">
        <v>132</v>
      </c>
    </row>
    <row r="1396" ht="34.5">
      <c r="A1396" s="360" t="s">
        <v>1243</v>
      </c>
      <c r="B1396" s="360" t="s">
        <v>1244</v>
      </c>
      <c r="C1396" s="360" t="s">
        <v>273</v>
      </c>
      <c r="D1396" s="360" t="s">
        <v>128</v>
      </c>
      <c r="E1396" s="360" t="s">
        <v>167</v>
      </c>
      <c r="F1396" s="361" t="s">
        <v>1090</v>
      </c>
      <c r="G1396" s="360" t="s">
        <v>145</v>
      </c>
      <c r="H1396" s="361"/>
      <c r="I1396" s="361"/>
      <c r="J1396" s="361" t="s">
        <v>1113</v>
      </c>
      <c r="K1396" s="363"/>
      <c r="L1396" s="360"/>
      <c r="M1396" s="360"/>
      <c r="N1396" s="361"/>
      <c r="O1396" s="361"/>
      <c r="P1396" s="361"/>
      <c r="Q1396" s="361"/>
      <c r="R1396" s="362"/>
      <c r="S1396" s="361"/>
      <c r="T1396" s="360" t="s">
        <v>132</v>
      </c>
    </row>
    <row r="1397" ht="34.5">
      <c r="A1397" s="360" t="s">
        <v>1243</v>
      </c>
      <c r="B1397" s="360" t="s">
        <v>1244</v>
      </c>
      <c r="C1397" s="360" t="s">
        <v>273</v>
      </c>
      <c r="D1397" s="360" t="s">
        <v>128</v>
      </c>
      <c r="E1397" s="360" t="s">
        <v>167</v>
      </c>
      <c r="F1397" s="361" t="s">
        <v>1090</v>
      </c>
      <c r="G1397" s="360" t="s">
        <v>145</v>
      </c>
      <c r="H1397" s="361"/>
      <c r="I1397" s="361"/>
      <c r="J1397" s="361" t="s">
        <v>1114</v>
      </c>
      <c r="K1397" s="363"/>
      <c r="L1397" s="360"/>
      <c r="M1397" s="360"/>
      <c r="N1397" s="361"/>
      <c r="O1397" s="361"/>
      <c r="P1397" s="361"/>
      <c r="Q1397" s="361"/>
      <c r="R1397" s="362"/>
      <c r="S1397" s="361"/>
      <c r="T1397" s="360" t="s">
        <v>132</v>
      </c>
    </row>
    <row r="1398" ht="34.5">
      <c r="A1398" s="360" t="s">
        <v>1243</v>
      </c>
      <c r="B1398" s="360" t="s">
        <v>1244</v>
      </c>
      <c r="C1398" s="360" t="s">
        <v>273</v>
      </c>
      <c r="D1398" s="360" t="s">
        <v>128</v>
      </c>
      <c r="E1398" s="360" t="s">
        <v>167</v>
      </c>
      <c r="F1398" s="361" t="s">
        <v>1090</v>
      </c>
      <c r="G1398" s="360" t="s">
        <v>145</v>
      </c>
      <c r="H1398" s="361"/>
      <c r="I1398" s="361"/>
      <c r="J1398" s="361" t="s">
        <v>1115</v>
      </c>
      <c r="K1398" s="363"/>
      <c r="L1398" s="360"/>
      <c r="M1398" s="360"/>
      <c r="N1398" s="361"/>
      <c r="O1398" s="361"/>
      <c r="P1398" s="361"/>
      <c r="Q1398" s="361"/>
      <c r="R1398" s="362"/>
      <c r="S1398" s="361"/>
      <c r="T1398" s="360" t="s">
        <v>132</v>
      </c>
    </row>
    <row r="1399" ht="34.5">
      <c r="A1399" s="360" t="s">
        <v>1243</v>
      </c>
      <c r="B1399" s="360" t="s">
        <v>1244</v>
      </c>
      <c r="C1399" s="360" t="s">
        <v>273</v>
      </c>
      <c r="D1399" s="360" t="s">
        <v>128</v>
      </c>
      <c r="E1399" s="360" t="s">
        <v>167</v>
      </c>
      <c r="F1399" s="361" t="s">
        <v>1090</v>
      </c>
      <c r="G1399" s="360" t="s">
        <v>145</v>
      </c>
      <c r="H1399" s="361"/>
      <c r="I1399" s="361"/>
      <c r="J1399" s="361" t="s">
        <v>1116</v>
      </c>
      <c r="K1399" s="363"/>
      <c r="L1399" s="360"/>
      <c r="M1399" s="360"/>
      <c r="N1399" s="361"/>
      <c r="O1399" s="361"/>
      <c r="P1399" s="361"/>
      <c r="Q1399" s="361"/>
      <c r="R1399" s="362"/>
      <c r="S1399" s="361"/>
      <c r="T1399" s="360" t="s">
        <v>132</v>
      </c>
    </row>
    <row r="1400" ht="34.5">
      <c r="A1400" s="360" t="s">
        <v>1243</v>
      </c>
      <c r="B1400" s="360" t="s">
        <v>1244</v>
      </c>
      <c r="C1400" s="360" t="s">
        <v>273</v>
      </c>
      <c r="D1400" s="360" t="s">
        <v>128</v>
      </c>
      <c r="E1400" s="360" t="s">
        <v>167</v>
      </c>
      <c r="F1400" s="361" t="s">
        <v>1090</v>
      </c>
      <c r="G1400" s="360" t="s">
        <v>145</v>
      </c>
      <c r="H1400" s="361"/>
      <c r="I1400" s="361"/>
      <c r="J1400" s="361" t="s">
        <v>225</v>
      </c>
      <c r="K1400" s="363"/>
      <c r="L1400" s="360"/>
      <c r="M1400" s="360"/>
      <c r="N1400" s="361"/>
      <c r="O1400" s="361"/>
      <c r="P1400" s="361"/>
      <c r="Q1400" s="361"/>
      <c r="R1400" s="362"/>
      <c r="S1400" s="361"/>
      <c r="T1400" s="360" t="s">
        <v>132</v>
      </c>
    </row>
    <row r="1401" ht="34.5">
      <c r="A1401" s="360" t="s">
        <v>1243</v>
      </c>
      <c r="B1401" s="360" t="s">
        <v>1244</v>
      </c>
      <c r="C1401" s="360" t="s">
        <v>288</v>
      </c>
      <c r="D1401" s="360" t="s">
        <v>128</v>
      </c>
      <c r="E1401" s="360" t="s">
        <v>167</v>
      </c>
      <c r="F1401" s="361" t="s">
        <v>1090</v>
      </c>
      <c r="G1401" s="360" t="s">
        <v>145</v>
      </c>
      <c r="H1401" s="361"/>
      <c r="I1401" s="361"/>
      <c r="J1401" s="361" t="s">
        <v>226</v>
      </c>
      <c r="K1401" s="363"/>
      <c r="L1401" s="360"/>
      <c r="M1401" s="360"/>
      <c r="N1401" s="361"/>
      <c r="O1401" s="361"/>
      <c r="P1401" s="361"/>
      <c r="Q1401" s="361"/>
      <c r="R1401" s="362"/>
      <c r="S1401" s="361"/>
      <c r="T1401" s="360" t="s">
        <v>132</v>
      </c>
    </row>
    <row r="1402" ht="34.5">
      <c r="A1402" s="360" t="s">
        <v>1243</v>
      </c>
      <c r="B1402" s="360" t="s">
        <v>1244</v>
      </c>
      <c r="C1402" s="360" t="s">
        <v>288</v>
      </c>
      <c r="D1402" s="360" t="s">
        <v>128</v>
      </c>
      <c r="E1402" s="360" t="s">
        <v>167</v>
      </c>
      <c r="F1402" s="361" t="s">
        <v>1090</v>
      </c>
      <c r="G1402" s="360" t="s">
        <v>145</v>
      </c>
      <c r="H1402" s="361"/>
      <c r="I1402" s="361"/>
      <c r="J1402" s="361" t="s">
        <v>1117</v>
      </c>
      <c r="K1402" s="363"/>
      <c r="L1402" s="360"/>
      <c r="M1402" s="360"/>
      <c r="N1402" s="361"/>
      <c r="O1402" s="361"/>
      <c r="P1402" s="361"/>
      <c r="Q1402" s="361"/>
      <c r="R1402" s="362"/>
      <c r="S1402" s="361"/>
      <c r="T1402" s="360" t="s">
        <v>132</v>
      </c>
    </row>
    <row r="1403" ht="34.5">
      <c r="A1403" s="360" t="s">
        <v>1243</v>
      </c>
      <c r="B1403" s="360" t="s">
        <v>1244</v>
      </c>
      <c r="C1403" s="360" t="s">
        <v>288</v>
      </c>
      <c r="D1403" s="360" t="s">
        <v>128</v>
      </c>
      <c r="E1403" s="360" t="s">
        <v>167</v>
      </c>
      <c r="F1403" s="361" t="s">
        <v>1090</v>
      </c>
      <c r="G1403" s="360" t="s">
        <v>145</v>
      </c>
      <c r="H1403" s="361"/>
      <c r="I1403" s="361"/>
      <c r="J1403" s="361" t="s">
        <v>1118</v>
      </c>
      <c r="K1403" s="363"/>
      <c r="L1403" s="360"/>
      <c r="M1403" s="360"/>
      <c r="N1403" s="361"/>
      <c r="O1403" s="361"/>
      <c r="P1403" s="361"/>
      <c r="Q1403" s="361"/>
      <c r="R1403" s="362"/>
      <c r="S1403" s="361"/>
      <c r="T1403" s="360" t="s">
        <v>132</v>
      </c>
    </row>
    <row r="1404" ht="34.5">
      <c r="A1404" s="360" t="s">
        <v>1243</v>
      </c>
      <c r="B1404" s="360" t="s">
        <v>1244</v>
      </c>
      <c r="C1404" s="360" t="s">
        <v>288</v>
      </c>
      <c r="D1404" s="360" t="s">
        <v>128</v>
      </c>
      <c r="E1404" s="360" t="s">
        <v>167</v>
      </c>
      <c r="F1404" s="361" t="s">
        <v>1090</v>
      </c>
      <c r="G1404" s="360" t="s">
        <v>145</v>
      </c>
      <c r="H1404" s="361"/>
      <c r="I1404" s="361"/>
      <c r="J1404" s="361" t="s">
        <v>917</v>
      </c>
      <c r="K1404" s="363"/>
      <c r="L1404" s="360"/>
      <c r="M1404" s="360"/>
      <c r="N1404" s="361"/>
      <c r="O1404" s="361"/>
      <c r="P1404" s="361"/>
      <c r="Q1404" s="361"/>
      <c r="R1404" s="362"/>
      <c r="S1404" s="361"/>
      <c r="T1404" s="360" t="s">
        <v>132</v>
      </c>
    </row>
    <row r="1405" ht="34.5">
      <c r="A1405" s="360" t="s">
        <v>1243</v>
      </c>
      <c r="B1405" s="360" t="s">
        <v>1244</v>
      </c>
      <c r="C1405" s="360" t="s">
        <v>288</v>
      </c>
      <c r="D1405" s="360" t="s">
        <v>128</v>
      </c>
      <c r="E1405" s="360" t="s">
        <v>167</v>
      </c>
      <c r="F1405" s="361" t="s">
        <v>1090</v>
      </c>
      <c r="G1405" s="360" t="s">
        <v>145</v>
      </c>
      <c r="H1405" s="361"/>
      <c r="I1405" s="361"/>
      <c r="J1405" s="361" t="s">
        <v>165</v>
      </c>
      <c r="K1405" s="363"/>
      <c r="L1405" s="360"/>
      <c r="M1405" s="360"/>
      <c r="N1405" s="361"/>
      <c r="O1405" s="361"/>
      <c r="P1405" s="361"/>
      <c r="Q1405" s="361"/>
      <c r="R1405" s="362"/>
      <c r="S1405" s="361"/>
      <c r="T1405" s="360" t="s">
        <v>132</v>
      </c>
    </row>
    <row r="1406" ht="34.5">
      <c r="A1406" s="360" t="s">
        <v>1243</v>
      </c>
      <c r="B1406" s="360" t="s">
        <v>1244</v>
      </c>
      <c r="C1406" s="360" t="s">
        <v>288</v>
      </c>
      <c r="D1406" s="360" t="s">
        <v>128</v>
      </c>
      <c r="E1406" s="360" t="s">
        <v>167</v>
      </c>
      <c r="F1406" s="361" t="s">
        <v>1090</v>
      </c>
      <c r="G1406" s="360" t="s">
        <v>145</v>
      </c>
      <c r="H1406" s="361"/>
      <c r="I1406" s="361"/>
      <c r="J1406" s="361" t="s">
        <v>1119</v>
      </c>
      <c r="K1406" s="363"/>
      <c r="L1406" s="360"/>
      <c r="M1406" s="360"/>
      <c r="N1406" s="361"/>
      <c r="O1406" s="361"/>
      <c r="P1406" s="361"/>
      <c r="Q1406" s="361"/>
      <c r="R1406" s="362"/>
      <c r="S1406" s="361"/>
      <c r="T1406" s="360" t="s">
        <v>132</v>
      </c>
    </row>
    <row r="1407" ht="34.5">
      <c r="A1407" s="360" t="s">
        <v>1243</v>
      </c>
      <c r="B1407" s="360" t="s">
        <v>1244</v>
      </c>
      <c r="C1407" s="360" t="s">
        <v>288</v>
      </c>
      <c r="D1407" s="360" t="s">
        <v>128</v>
      </c>
      <c r="E1407" s="360" t="s">
        <v>167</v>
      </c>
      <c r="F1407" s="361" t="s">
        <v>1090</v>
      </c>
      <c r="G1407" s="360" t="s">
        <v>145</v>
      </c>
      <c r="H1407" s="361"/>
      <c r="I1407" s="361"/>
      <c r="J1407" s="361" t="s">
        <v>238</v>
      </c>
      <c r="K1407" s="363"/>
      <c r="L1407" s="360"/>
      <c r="M1407" s="360"/>
      <c r="N1407" s="361"/>
      <c r="O1407" s="361"/>
      <c r="P1407" s="361"/>
      <c r="Q1407" s="361"/>
      <c r="R1407" s="362"/>
      <c r="S1407" s="361"/>
      <c r="T1407" s="360" t="s">
        <v>132</v>
      </c>
    </row>
    <row r="1408" ht="34.5">
      <c r="A1408" s="360" t="s">
        <v>1243</v>
      </c>
      <c r="B1408" s="360" t="s">
        <v>1244</v>
      </c>
      <c r="C1408" s="360" t="s">
        <v>288</v>
      </c>
      <c r="D1408" s="360" t="s">
        <v>128</v>
      </c>
      <c r="E1408" s="360" t="s">
        <v>167</v>
      </c>
      <c r="F1408" s="361" t="s">
        <v>1090</v>
      </c>
      <c r="G1408" s="360" t="s">
        <v>145</v>
      </c>
      <c r="H1408" s="361"/>
      <c r="I1408" s="361"/>
      <c r="J1408" s="361" t="s">
        <v>1121</v>
      </c>
      <c r="K1408" s="363"/>
      <c r="L1408" s="360"/>
      <c r="M1408" s="360"/>
      <c r="N1408" s="361"/>
      <c r="O1408" s="361"/>
      <c r="P1408" s="361"/>
      <c r="Q1408" s="361"/>
      <c r="R1408" s="362"/>
      <c r="S1408" s="361"/>
      <c r="T1408" s="360" t="s">
        <v>132</v>
      </c>
    </row>
    <row r="1409" ht="34.5">
      <c r="A1409" s="360" t="s">
        <v>1243</v>
      </c>
      <c r="B1409" s="360" t="s">
        <v>1244</v>
      </c>
      <c r="C1409" s="360" t="s">
        <v>300</v>
      </c>
      <c r="D1409" s="360" t="s">
        <v>128</v>
      </c>
      <c r="E1409" s="360" t="s">
        <v>167</v>
      </c>
      <c r="F1409" s="361" t="s">
        <v>1090</v>
      </c>
      <c r="G1409" s="360" t="s">
        <v>145</v>
      </c>
      <c r="H1409" s="361"/>
      <c r="I1409" s="361"/>
      <c r="J1409" s="361" t="s">
        <v>1122</v>
      </c>
      <c r="K1409" s="363"/>
      <c r="L1409" s="360"/>
      <c r="M1409" s="360"/>
      <c r="N1409" s="361"/>
      <c r="O1409" s="361"/>
      <c r="P1409" s="361"/>
      <c r="Q1409" s="361"/>
      <c r="R1409" s="362"/>
      <c r="S1409" s="361"/>
      <c r="T1409" s="360" t="s">
        <v>132</v>
      </c>
    </row>
    <row r="1410" ht="34.5">
      <c r="A1410" s="360" t="s">
        <v>1243</v>
      </c>
      <c r="B1410" s="360" t="s">
        <v>1244</v>
      </c>
      <c r="C1410" s="360" t="s">
        <v>300</v>
      </c>
      <c r="D1410" s="360" t="s">
        <v>128</v>
      </c>
      <c r="E1410" s="360" t="s">
        <v>167</v>
      </c>
      <c r="F1410" s="361" t="s">
        <v>1090</v>
      </c>
      <c r="G1410" s="360" t="s">
        <v>145</v>
      </c>
      <c r="H1410" s="361"/>
      <c r="I1410" s="361"/>
      <c r="J1410" s="361" t="s">
        <v>244</v>
      </c>
      <c r="K1410" s="363"/>
      <c r="L1410" s="360"/>
      <c r="M1410" s="360"/>
      <c r="N1410" s="361"/>
      <c r="O1410" s="361"/>
      <c r="P1410" s="361"/>
      <c r="Q1410" s="361"/>
      <c r="R1410" s="362"/>
      <c r="S1410" s="361"/>
      <c r="T1410" s="360" t="s">
        <v>132</v>
      </c>
    </row>
    <row r="1411" ht="34.5">
      <c r="A1411" s="360" t="s">
        <v>1243</v>
      </c>
      <c r="B1411" s="360" t="s">
        <v>1244</v>
      </c>
      <c r="C1411" s="360" t="s">
        <v>300</v>
      </c>
      <c r="D1411" s="360" t="s">
        <v>128</v>
      </c>
      <c r="E1411" s="360" t="s">
        <v>167</v>
      </c>
      <c r="F1411" s="361" t="s">
        <v>1090</v>
      </c>
      <c r="G1411" s="360" t="s">
        <v>145</v>
      </c>
      <c r="H1411" s="361"/>
      <c r="I1411" s="361"/>
      <c r="J1411" s="361" t="s">
        <v>245</v>
      </c>
      <c r="K1411" s="363"/>
      <c r="L1411" s="360"/>
      <c r="M1411" s="360"/>
      <c r="N1411" s="361"/>
      <c r="O1411" s="361"/>
      <c r="P1411" s="361"/>
      <c r="Q1411" s="361"/>
      <c r="R1411" s="362"/>
      <c r="S1411" s="361"/>
      <c r="T1411" s="360" t="s">
        <v>132</v>
      </c>
    </row>
    <row r="1412" ht="34.5">
      <c r="A1412" s="360" t="s">
        <v>1243</v>
      </c>
      <c r="B1412" s="360" t="s">
        <v>1244</v>
      </c>
      <c r="C1412" s="360" t="s">
        <v>300</v>
      </c>
      <c r="D1412" s="360" t="s">
        <v>128</v>
      </c>
      <c r="E1412" s="360" t="s">
        <v>167</v>
      </c>
      <c r="F1412" s="361" t="s">
        <v>1090</v>
      </c>
      <c r="G1412" s="360" t="s">
        <v>145</v>
      </c>
      <c r="H1412" s="361"/>
      <c r="I1412" s="361"/>
      <c r="J1412" s="361" t="s">
        <v>1123</v>
      </c>
      <c r="K1412" s="363"/>
      <c r="L1412" s="360"/>
      <c r="M1412" s="360"/>
      <c r="N1412" s="361"/>
      <c r="O1412" s="361"/>
      <c r="P1412" s="361"/>
      <c r="Q1412" s="361"/>
      <c r="R1412" s="362"/>
      <c r="S1412" s="361"/>
      <c r="T1412" s="360" t="s">
        <v>132</v>
      </c>
    </row>
    <row r="1413" ht="34.5">
      <c r="A1413" s="360" t="s">
        <v>1243</v>
      </c>
      <c r="B1413" s="360" t="s">
        <v>1244</v>
      </c>
      <c r="C1413" s="360" t="s">
        <v>300</v>
      </c>
      <c r="D1413" s="360" t="s">
        <v>128</v>
      </c>
      <c r="E1413" s="360" t="s">
        <v>167</v>
      </c>
      <c r="F1413" s="361" t="s">
        <v>1090</v>
      </c>
      <c r="G1413" s="360" t="s">
        <v>145</v>
      </c>
      <c r="H1413" s="361"/>
      <c r="I1413" s="361"/>
      <c r="J1413" s="361" t="s">
        <v>247</v>
      </c>
      <c r="K1413" s="363"/>
      <c r="L1413" s="360"/>
      <c r="M1413" s="360"/>
      <c r="N1413" s="361"/>
      <c r="O1413" s="361"/>
      <c r="P1413" s="361"/>
      <c r="Q1413" s="361"/>
      <c r="R1413" s="362"/>
      <c r="S1413" s="361"/>
      <c r="T1413" s="360" t="s">
        <v>132</v>
      </c>
    </row>
    <row r="1414" ht="34.5">
      <c r="A1414" s="360" t="s">
        <v>1243</v>
      </c>
      <c r="B1414" s="360" t="s">
        <v>1244</v>
      </c>
      <c r="C1414" s="360" t="s">
        <v>300</v>
      </c>
      <c r="D1414" s="360" t="s">
        <v>128</v>
      </c>
      <c r="E1414" s="360" t="s">
        <v>167</v>
      </c>
      <c r="F1414" s="361" t="s">
        <v>1090</v>
      </c>
      <c r="G1414" s="360" t="s">
        <v>145</v>
      </c>
      <c r="H1414" s="361"/>
      <c r="I1414" s="361"/>
      <c r="J1414" s="361" t="s">
        <v>1124</v>
      </c>
      <c r="K1414" s="363"/>
      <c r="L1414" s="360"/>
      <c r="M1414" s="360"/>
      <c r="N1414" s="361"/>
      <c r="O1414" s="361"/>
      <c r="P1414" s="361"/>
      <c r="Q1414" s="361"/>
      <c r="R1414" s="362"/>
      <c r="S1414" s="361"/>
      <c r="T1414" s="360" t="s">
        <v>132</v>
      </c>
    </row>
    <row r="1415" ht="34.5">
      <c r="A1415" s="360" t="s">
        <v>1243</v>
      </c>
      <c r="B1415" s="360" t="s">
        <v>1244</v>
      </c>
      <c r="C1415" s="360" t="s">
        <v>300</v>
      </c>
      <c r="D1415" s="360" t="s">
        <v>128</v>
      </c>
      <c r="E1415" s="360" t="s">
        <v>167</v>
      </c>
      <c r="F1415" s="361" t="s">
        <v>1090</v>
      </c>
      <c r="G1415" s="360" t="s">
        <v>145</v>
      </c>
      <c r="H1415" s="361"/>
      <c r="I1415" s="361"/>
      <c r="J1415" s="361" t="s">
        <v>249</v>
      </c>
      <c r="K1415" s="363"/>
      <c r="L1415" s="360"/>
      <c r="M1415" s="360"/>
      <c r="N1415" s="361"/>
      <c r="O1415" s="361"/>
      <c r="P1415" s="361"/>
      <c r="Q1415" s="361"/>
      <c r="R1415" s="362"/>
      <c r="S1415" s="361"/>
      <c r="T1415" s="360" t="s">
        <v>132</v>
      </c>
    </row>
    <row r="1416" ht="34.5">
      <c r="A1416" s="360" t="s">
        <v>1243</v>
      </c>
      <c r="B1416" s="360" t="s">
        <v>1244</v>
      </c>
      <c r="C1416" s="360" t="s">
        <v>300</v>
      </c>
      <c r="D1416" s="360" t="s">
        <v>128</v>
      </c>
      <c r="E1416" s="360" t="s">
        <v>167</v>
      </c>
      <c r="F1416" s="361" t="s">
        <v>1090</v>
      </c>
      <c r="G1416" s="360" t="s">
        <v>145</v>
      </c>
      <c r="H1416" s="361"/>
      <c r="I1416" s="361"/>
      <c r="J1416" s="361" t="s">
        <v>1125</v>
      </c>
      <c r="K1416" s="363"/>
      <c r="L1416" s="360"/>
      <c r="M1416" s="360"/>
      <c r="N1416" s="361"/>
      <c r="O1416" s="361"/>
      <c r="P1416" s="361"/>
      <c r="Q1416" s="361"/>
      <c r="R1416" s="362"/>
      <c r="S1416" s="361"/>
      <c r="T1416" s="360" t="s">
        <v>132</v>
      </c>
    </row>
    <row r="1417" ht="34.5">
      <c r="A1417" s="360" t="s">
        <v>1243</v>
      </c>
      <c r="B1417" s="360" t="s">
        <v>1244</v>
      </c>
      <c r="C1417" s="360" t="s">
        <v>300</v>
      </c>
      <c r="D1417" s="360" t="s">
        <v>128</v>
      </c>
      <c r="E1417" s="360" t="s">
        <v>167</v>
      </c>
      <c r="F1417" s="361" t="s">
        <v>1090</v>
      </c>
      <c r="G1417" s="360" t="s">
        <v>145</v>
      </c>
      <c r="H1417" s="361"/>
      <c r="I1417" s="361"/>
      <c r="J1417" s="361" t="s">
        <v>1126</v>
      </c>
      <c r="K1417" s="363"/>
      <c r="L1417" s="360"/>
      <c r="M1417" s="360"/>
      <c r="N1417" s="361"/>
      <c r="O1417" s="361"/>
      <c r="P1417" s="361"/>
      <c r="Q1417" s="361"/>
      <c r="R1417" s="362"/>
      <c r="S1417" s="361"/>
      <c r="T1417" s="360" t="s">
        <v>132</v>
      </c>
    </row>
    <row r="1418" ht="34.5">
      <c r="A1418" s="360" t="s">
        <v>1243</v>
      </c>
      <c r="B1418" s="360" t="s">
        <v>1244</v>
      </c>
      <c r="C1418" s="360" t="s">
        <v>311</v>
      </c>
      <c r="D1418" s="360" t="s">
        <v>128</v>
      </c>
      <c r="E1418" s="360" t="s">
        <v>167</v>
      </c>
      <c r="F1418" s="361" t="s">
        <v>1090</v>
      </c>
      <c r="G1418" s="360" t="s">
        <v>145</v>
      </c>
      <c r="H1418" s="361"/>
      <c r="I1418" s="361"/>
      <c r="J1418" s="361" t="s">
        <v>1127</v>
      </c>
      <c r="K1418" s="363"/>
      <c r="L1418" s="360"/>
      <c r="M1418" s="360"/>
      <c r="N1418" s="361"/>
      <c r="O1418" s="361"/>
      <c r="P1418" s="361"/>
      <c r="Q1418" s="361"/>
      <c r="R1418" s="362"/>
      <c r="S1418" s="361"/>
      <c r="T1418" s="360" t="s">
        <v>132</v>
      </c>
    </row>
    <row r="1419" ht="34.5">
      <c r="A1419" s="360" t="s">
        <v>1243</v>
      </c>
      <c r="B1419" s="360" t="s">
        <v>1244</v>
      </c>
      <c r="C1419" s="360" t="s">
        <v>311</v>
      </c>
      <c r="D1419" s="360" t="s">
        <v>128</v>
      </c>
      <c r="E1419" s="360" t="s">
        <v>167</v>
      </c>
      <c r="F1419" s="361" t="s">
        <v>1090</v>
      </c>
      <c r="G1419" s="360" t="s">
        <v>145</v>
      </c>
      <c r="H1419" s="361"/>
      <c r="I1419" s="361"/>
      <c r="J1419" s="361" t="s">
        <v>1128</v>
      </c>
      <c r="K1419" s="363"/>
      <c r="L1419" s="360"/>
      <c r="M1419" s="360"/>
      <c r="N1419" s="361"/>
      <c r="O1419" s="361"/>
      <c r="P1419" s="361"/>
      <c r="Q1419" s="361"/>
      <c r="R1419" s="362"/>
      <c r="S1419" s="361"/>
      <c r="T1419" s="360" t="s">
        <v>132</v>
      </c>
    </row>
    <row r="1420" ht="34.5">
      <c r="A1420" s="360" t="s">
        <v>1243</v>
      </c>
      <c r="B1420" s="360" t="s">
        <v>1244</v>
      </c>
      <c r="C1420" s="360" t="s">
        <v>311</v>
      </c>
      <c r="D1420" s="360" t="s">
        <v>128</v>
      </c>
      <c r="E1420" s="360" t="s">
        <v>167</v>
      </c>
      <c r="F1420" s="361" t="s">
        <v>1090</v>
      </c>
      <c r="G1420" s="360" t="s">
        <v>145</v>
      </c>
      <c r="H1420" s="361"/>
      <c r="I1420" s="361"/>
      <c r="J1420" s="361" t="s">
        <v>1129</v>
      </c>
      <c r="K1420" s="363"/>
      <c r="L1420" s="360"/>
      <c r="M1420" s="360"/>
      <c r="N1420" s="361"/>
      <c r="O1420" s="361"/>
      <c r="P1420" s="361"/>
      <c r="Q1420" s="361"/>
      <c r="R1420" s="362"/>
      <c r="S1420" s="361"/>
      <c r="T1420" s="360" t="s">
        <v>132</v>
      </c>
    </row>
    <row r="1421" ht="34.5">
      <c r="A1421" s="360" t="s">
        <v>1243</v>
      </c>
      <c r="B1421" s="360" t="s">
        <v>1244</v>
      </c>
      <c r="C1421" s="360" t="s">
        <v>311</v>
      </c>
      <c r="D1421" s="360" t="s">
        <v>128</v>
      </c>
      <c r="E1421" s="360" t="s">
        <v>167</v>
      </c>
      <c r="F1421" s="361" t="s">
        <v>1090</v>
      </c>
      <c r="G1421" s="360" t="s">
        <v>145</v>
      </c>
      <c r="H1421" s="361"/>
      <c r="I1421" s="361"/>
      <c r="J1421" s="361" t="s">
        <v>257</v>
      </c>
      <c r="K1421" s="363"/>
      <c r="L1421" s="360"/>
      <c r="M1421" s="360"/>
      <c r="N1421" s="361"/>
      <c r="O1421" s="361"/>
      <c r="P1421" s="361"/>
      <c r="Q1421" s="361"/>
      <c r="R1421" s="362"/>
      <c r="S1421" s="361"/>
      <c r="T1421" s="360" t="s">
        <v>132</v>
      </c>
    </row>
    <row r="1422" ht="34.5">
      <c r="A1422" s="360" t="s">
        <v>1243</v>
      </c>
      <c r="B1422" s="360" t="s">
        <v>1244</v>
      </c>
      <c r="C1422" s="360" t="s">
        <v>311</v>
      </c>
      <c r="D1422" s="360" t="s">
        <v>128</v>
      </c>
      <c r="E1422" s="360" t="s">
        <v>167</v>
      </c>
      <c r="F1422" s="361" t="s">
        <v>1090</v>
      </c>
      <c r="G1422" s="360" t="s">
        <v>145</v>
      </c>
      <c r="H1422" s="361"/>
      <c r="I1422" s="361"/>
      <c r="J1422" s="361" t="s">
        <v>1130</v>
      </c>
      <c r="K1422" s="363"/>
      <c r="L1422" s="360"/>
      <c r="M1422" s="360"/>
      <c r="N1422" s="361"/>
      <c r="O1422" s="361"/>
      <c r="P1422" s="361"/>
      <c r="Q1422" s="361"/>
      <c r="R1422" s="362"/>
      <c r="S1422" s="361"/>
      <c r="T1422" s="360" t="s">
        <v>132</v>
      </c>
    </row>
    <row r="1423" ht="34.5">
      <c r="A1423" s="360" t="s">
        <v>1243</v>
      </c>
      <c r="B1423" s="360" t="s">
        <v>1244</v>
      </c>
      <c r="C1423" s="360" t="s">
        <v>311</v>
      </c>
      <c r="D1423" s="360" t="s">
        <v>128</v>
      </c>
      <c r="E1423" s="360" t="s">
        <v>167</v>
      </c>
      <c r="F1423" s="361" t="s">
        <v>1090</v>
      </c>
      <c r="G1423" s="360" t="s">
        <v>145</v>
      </c>
      <c r="H1423" s="361"/>
      <c r="I1423" s="361"/>
      <c r="J1423" s="361" t="s">
        <v>1131</v>
      </c>
      <c r="K1423" s="363"/>
      <c r="L1423" s="360"/>
      <c r="M1423" s="360"/>
      <c r="N1423" s="361"/>
      <c r="O1423" s="361"/>
      <c r="P1423" s="361"/>
      <c r="Q1423" s="361"/>
      <c r="R1423" s="362"/>
      <c r="S1423" s="361"/>
      <c r="T1423" s="360" t="s">
        <v>132</v>
      </c>
    </row>
    <row r="1424" ht="34.5">
      <c r="A1424" s="360" t="s">
        <v>1243</v>
      </c>
      <c r="B1424" s="360" t="s">
        <v>1244</v>
      </c>
      <c r="C1424" s="360" t="s">
        <v>311</v>
      </c>
      <c r="D1424" s="360" t="s">
        <v>128</v>
      </c>
      <c r="E1424" s="360" t="s">
        <v>167</v>
      </c>
      <c r="F1424" s="361" t="s">
        <v>1090</v>
      </c>
      <c r="G1424" s="360" t="s">
        <v>145</v>
      </c>
      <c r="H1424" s="361"/>
      <c r="I1424" s="361"/>
      <c r="J1424" s="361" t="s">
        <v>1132</v>
      </c>
      <c r="K1424" s="363"/>
      <c r="L1424" s="360"/>
      <c r="M1424" s="360"/>
      <c r="N1424" s="361"/>
      <c r="O1424" s="361"/>
      <c r="P1424" s="361"/>
      <c r="Q1424" s="361"/>
      <c r="R1424" s="362"/>
      <c r="S1424" s="361"/>
      <c r="T1424" s="360" t="s">
        <v>132</v>
      </c>
    </row>
    <row r="1425" ht="34.5">
      <c r="A1425" s="360" t="s">
        <v>1243</v>
      </c>
      <c r="B1425" s="360" t="s">
        <v>1244</v>
      </c>
      <c r="C1425" s="360" t="s">
        <v>311</v>
      </c>
      <c r="D1425" s="360" t="s">
        <v>128</v>
      </c>
      <c r="E1425" s="360" t="s">
        <v>167</v>
      </c>
      <c r="F1425" s="361" t="s">
        <v>1090</v>
      </c>
      <c r="G1425" s="360" t="s">
        <v>145</v>
      </c>
      <c r="H1425" s="361"/>
      <c r="I1425" s="361"/>
      <c r="J1425" s="361" t="s">
        <v>266</v>
      </c>
      <c r="K1425" s="363"/>
      <c r="L1425" s="360"/>
      <c r="M1425" s="360"/>
      <c r="N1425" s="361"/>
      <c r="O1425" s="361"/>
      <c r="P1425" s="361"/>
      <c r="Q1425" s="361"/>
      <c r="R1425" s="362"/>
      <c r="S1425" s="361"/>
      <c r="T1425" s="360" t="s">
        <v>132</v>
      </c>
    </row>
    <row r="1426" ht="34.5">
      <c r="A1426" s="360" t="s">
        <v>1243</v>
      </c>
      <c r="B1426" s="360" t="s">
        <v>1244</v>
      </c>
      <c r="C1426" s="360" t="s">
        <v>311</v>
      </c>
      <c r="D1426" s="360" t="s">
        <v>128</v>
      </c>
      <c r="E1426" s="360" t="s">
        <v>167</v>
      </c>
      <c r="F1426" s="361" t="s">
        <v>1090</v>
      </c>
      <c r="G1426" s="360" t="s">
        <v>145</v>
      </c>
      <c r="H1426" s="361"/>
      <c r="I1426" s="361"/>
      <c r="J1426" s="361" t="s">
        <v>1133</v>
      </c>
      <c r="K1426" s="363"/>
      <c r="L1426" s="360"/>
      <c r="M1426" s="360"/>
      <c r="N1426" s="361"/>
      <c r="O1426" s="361"/>
      <c r="P1426" s="361"/>
      <c r="Q1426" s="361"/>
      <c r="R1426" s="362"/>
      <c r="S1426" s="361"/>
      <c r="T1426" s="360" t="s">
        <v>132</v>
      </c>
    </row>
    <row r="1427" ht="34.5">
      <c r="A1427" s="360" t="s">
        <v>1243</v>
      </c>
      <c r="B1427" s="360" t="s">
        <v>1244</v>
      </c>
      <c r="C1427" s="360" t="s">
        <v>311</v>
      </c>
      <c r="D1427" s="360" t="s">
        <v>128</v>
      </c>
      <c r="E1427" s="360" t="s">
        <v>167</v>
      </c>
      <c r="F1427" s="361" t="s">
        <v>1090</v>
      </c>
      <c r="G1427" s="360" t="s">
        <v>145</v>
      </c>
      <c r="H1427" s="361"/>
      <c r="I1427" s="361"/>
      <c r="J1427" s="361" t="s">
        <v>1134</v>
      </c>
      <c r="K1427" s="363"/>
      <c r="L1427" s="360"/>
      <c r="M1427" s="360"/>
      <c r="N1427" s="361"/>
      <c r="O1427" s="361"/>
      <c r="P1427" s="361"/>
      <c r="Q1427" s="361"/>
      <c r="R1427" s="362"/>
      <c r="S1427" s="361"/>
      <c r="T1427" s="360" t="s">
        <v>132</v>
      </c>
    </row>
    <row r="1428" ht="34.5">
      <c r="A1428" s="360" t="s">
        <v>1243</v>
      </c>
      <c r="B1428" s="360" t="s">
        <v>1244</v>
      </c>
      <c r="C1428" s="360" t="s">
        <v>327</v>
      </c>
      <c r="D1428" s="360" t="s">
        <v>128</v>
      </c>
      <c r="E1428" s="360" t="s">
        <v>167</v>
      </c>
      <c r="F1428" s="361" t="s">
        <v>1090</v>
      </c>
      <c r="G1428" s="360" t="s">
        <v>145</v>
      </c>
      <c r="H1428" s="361"/>
      <c r="I1428" s="361"/>
      <c r="J1428" s="361" t="s">
        <v>269</v>
      </c>
      <c r="K1428" s="363"/>
      <c r="L1428" s="360"/>
      <c r="M1428" s="360"/>
      <c r="N1428" s="361"/>
      <c r="O1428" s="361"/>
      <c r="P1428" s="361"/>
      <c r="Q1428" s="361"/>
      <c r="R1428" s="362"/>
      <c r="S1428" s="361"/>
      <c r="T1428" s="360" t="s">
        <v>132</v>
      </c>
    </row>
    <row r="1429" ht="34.5">
      <c r="A1429" s="360" t="s">
        <v>1243</v>
      </c>
      <c r="B1429" s="360" t="s">
        <v>1244</v>
      </c>
      <c r="C1429" s="360" t="s">
        <v>327</v>
      </c>
      <c r="D1429" s="360" t="s">
        <v>128</v>
      </c>
      <c r="E1429" s="360" t="s">
        <v>167</v>
      </c>
      <c r="F1429" s="361" t="s">
        <v>1090</v>
      </c>
      <c r="G1429" s="360" t="s">
        <v>145</v>
      </c>
      <c r="H1429" s="361"/>
      <c r="I1429" s="361"/>
      <c r="J1429" s="361" t="s">
        <v>270</v>
      </c>
      <c r="K1429" s="363"/>
      <c r="L1429" s="360"/>
      <c r="M1429" s="360"/>
      <c r="N1429" s="361"/>
      <c r="O1429" s="361"/>
      <c r="P1429" s="361"/>
      <c r="Q1429" s="361"/>
      <c r="R1429" s="362"/>
      <c r="S1429" s="361"/>
      <c r="T1429" s="360" t="s">
        <v>132</v>
      </c>
    </row>
    <row r="1430" ht="34.5">
      <c r="A1430" s="360" t="s">
        <v>1243</v>
      </c>
      <c r="B1430" s="360" t="s">
        <v>1244</v>
      </c>
      <c r="C1430" s="360" t="s">
        <v>327</v>
      </c>
      <c r="D1430" s="360" t="s">
        <v>128</v>
      </c>
      <c r="E1430" s="360" t="s">
        <v>167</v>
      </c>
      <c r="F1430" s="361" t="s">
        <v>1090</v>
      </c>
      <c r="G1430" s="360" t="s">
        <v>145</v>
      </c>
      <c r="H1430" s="361"/>
      <c r="I1430" s="361"/>
      <c r="J1430" s="361" t="s">
        <v>1136</v>
      </c>
      <c r="K1430" s="363"/>
      <c r="L1430" s="360"/>
      <c r="M1430" s="360"/>
      <c r="N1430" s="361"/>
      <c r="O1430" s="361"/>
      <c r="P1430" s="361"/>
      <c r="Q1430" s="361"/>
      <c r="R1430" s="362"/>
      <c r="S1430" s="361"/>
      <c r="T1430" s="360" t="s">
        <v>132</v>
      </c>
    </row>
    <row r="1431" ht="34.5">
      <c r="A1431" s="360" t="s">
        <v>1243</v>
      </c>
      <c r="B1431" s="360" t="s">
        <v>1244</v>
      </c>
      <c r="C1431" s="360" t="s">
        <v>327</v>
      </c>
      <c r="D1431" s="360" t="s">
        <v>128</v>
      </c>
      <c r="E1431" s="360" t="s">
        <v>167</v>
      </c>
      <c r="F1431" s="361" t="s">
        <v>1090</v>
      </c>
      <c r="G1431" s="360" t="s">
        <v>145</v>
      </c>
      <c r="H1431" s="361"/>
      <c r="I1431" s="361"/>
      <c r="J1431" s="361" t="s">
        <v>1137</v>
      </c>
      <c r="K1431" s="363"/>
      <c r="L1431" s="360"/>
      <c r="M1431" s="360"/>
      <c r="N1431" s="361"/>
      <c r="O1431" s="361"/>
      <c r="P1431" s="361"/>
      <c r="Q1431" s="361"/>
      <c r="R1431" s="362"/>
      <c r="S1431" s="361"/>
      <c r="T1431" s="360" t="s">
        <v>132</v>
      </c>
    </row>
    <row r="1432" ht="34.5">
      <c r="A1432" s="360" t="s">
        <v>1243</v>
      </c>
      <c r="B1432" s="360" t="s">
        <v>1244</v>
      </c>
      <c r="C1432" s="360" t="s">
        <v>327</v>
      </c>
      <c r="D1432" s="360" t="s">
        <v>128</v>
      </c>
      <c r="E1432" s="360" t="s">
        <v>167</v>
      </c>
      <c r="F1432" s="361" t="s">
        <v>1090</v>
      </c>
      <c r="G1432" s="360" t="s">
        <v>145</v>
      </c>
      <c r="H1432" s="361"/>
      <c r="I1432" s="361"/>
      <c r="J1432" s="361" t="s">
        <v>1138</v>
      </c>
      <c r="K1432" s="363"/>
      <c r="L1432" s="360"/>
      <c r="M1432" s="360"/>
      <c r="N1432" s="361"/>
      <c r="O1432" s="361"/>
      <c r="P1432" s="361"/>
      <c r="Q1432" s="361"/>
      <c r="R1432" s="362"/>
      <c r="S1432" s="361"/>
      <c r="T1432" s="360" t="s">
        <v>132</v>
      </c>
    </row>
    <row r="1433" ht="34.5">
      <c r="A1433" s="360" t="s">
        <v>1243</v>
      </c>
      <c r="B1433" s="360" t="s">
        <v>1244</v>
      </c>
      <c r="C1433" s="360" t="s">
        <v>327</v>
      </c>
      <c r="D1433" s="360" t="s">
        <v>128</v>
      </c>
      <c r="E1433" s="360" t="s">
        <v>167</v>
      </c>
      <c r="F1433" s="361" t="s">
        <v>1090</v>
      </c>
      <c r="G1433" s="360" t="s">
        <v>145</v>
      </c>
      <c r="H1433" s="361"/>
      <c r="I1433" s="361"/>
      <c r="J1433" s="361" t="s">
        <v>1139</v>
      </c>
      <c r="K1433" s="363"/>
      <c r="L1433" s="360"/>
      <c r="M1433" s="360"/>
      <c r="N1433" s="361"/>
      <c r="O1433" s="361"/>
      <c r="P1433" s="361"/>
      <c r="Q1433" s="361"/>
      <c r="R1433" s="362"/>
      <c r="S1433" s="361"/>
      <c r="T1433" s="360" t="s">
        <v>132</v>
      </c>
    </row>
    <row r="1434" ht="34.5">
      <c r="A1434" s="360" t="s">
        <v>1243</v>
      </c>
      <c r="B1434" s="360" t="s">
        <v>1244</v>
      </c>
      <c r="C1434" s="360" t="s">
        <v>327</v>
      </c>
      <c r="D1434" s="360" t="s">
        <v>128</v>
      </c>
      <c r="E1434" s="360" t="s">
        <v>167</v>
      </c>
      <c r="F1434" s="361" t="s">
        <v>1090</v>
      </c>
      <c r="G1434" s="360" t="s">
        <v>145</v>
      </c>
      <c r="H1434" s="361"/>
      <c r="I1434" s="361"/>
      <c r="J1434" s="361" t="s">
        <v>1140</v>
      </c>
      <c r="K1434" s="363"/>
      <c r="L1434" s="360"/>
      <c r="M1434" s="360"/>
      <c r="N1434" s="361"/>
      <c r="O1434" s="361"/>
      <c r="P1434" s="361"/>
      <c r="Q1434" s="361"/>
      <c r="R1434" s="362"/>
      <c r="S1434" s="361"/>
      <c r="T1434" s="360" t="s">
        <v>132</v>
      </c>
    </row>
    <row r="1435" ht="34.5">
      <c r="A1435" s="360" t="s">
        <v>1243</v>
      </c>
      <c r="B1435" s="360" t="s">
        <v>1244</v>
      </c>
      <c r="C1435" s="360" t="s">
        <v>327</v>
      </c>
      <c r="D1435" s="360" t="s">
        <v>128</v>
      </c>
      <c r="E1435" s="360" t="s">
        <v>167</v>
      </c>
      <c r="F1435" s="361" t="s">
        <v>1090</v>
      </c>
      <c r="G1435" s="360" t="s">
        <v>145</v>
      </c>
      <c r="H1435" s="361"/>
      <c r="I1435" s="361"/>
      <c r="J1435" s="361" t="s">
        <v>1141</v>
      </c>
      <c r="K1435" s="363"/>
      <c r="L1435" s="360"/>
      <c r="M1435" s="360"/>
      <c r="N1435" s="361"/>
      <c r="O1435" s="361"/>
      <c r="P1435" s="361"/>
      <c r="Q1435" s="361"/>
      <c r="R1435" s="362"/>
      <c r="S1435" s="361"/>
      <c r="T1435" s="360" t="s">
        <v>132</v>
      </c>
    </row>
    <row r="1436" ht="34.5">
      <c r="A1436" s="360" t="s">
        <v>1243</v>
      </c>
      <c r="B1436" s="360" t="s">
        <v>1244</v>
      </c>
      <c r="C1436" s="360" t="s">
        <v>327</v>
      </c>
      <c r="D1436" s="360" t="s">
        <v>128</v>
      </c>
      <c r="E1436" s="360" t="s">
        <v>167</v>
      </c>
      <c r="F1436" s="361" t="s">
        <v>1090</v>
      </c>
      <c r="G1436" s="360" t="s">
        <v>145</v>
      </c>
      <c r="H1436" s="361"/>
      <c r="I1436" s="361"/>
      <c r="J1436" s="361" t="s">
        <v>1142</v>
      </c>
      <c r="K1436" s="363"/>
      <c r="L1436" s="360"/>
      <c r="M1436" s="360"/>
      <c r="N1436" s="361"/>
      <c r="O1436" s="361"/>
      <c r="P1436" s="361"/>
      <c r="Q1436" s="361"/>
      <c r="R1436" s="362"/>
      <c r="S1436" s="361"/>
      <c r="T1436" s="360" t="s">
        <v>132</v>
      </c>
    </row>
    <row r="1437" ht="34.5">
      <c r="A1437" s="360" t="s">
        <v>1243</v>
      </c>
      <c r="B1437" s="360" t="s">
        <v>1244</v>
      </c>
      <c r="C1437" s="360" t="s">
        <v>327</v>
      </c>
      <c r="D1437" s="360" t="s">
        <v>128</v>
      </c>
      <c r="E1437" s="360" t="s">
        <v>167</v>
      </c>
      <c r="F1437" s="361" t="s">
        <v>1090</v>
      </c>
      <c r="G1437" s="360" t="s">
        <v>145</v>
      </c>
      <c r="H1437" s="361"/>
      <c r="I1437" s="361"/>
      <c r="J1437" s="361" t="s">
        <v>1143</v>
      </c>
      <c r="K1437" s="363"/>
      <c r="L1437" s="360"/>
      <c r="M1437" s="360"/>
      <c r="N1437" s="361"/>
      <c r="O1437" s="361"/>
      <c r="P1437" s="361"/>
      <c r="Q1437" s="361"/>
      <c r="R1437" s="362"/>
      <c r="S1437" s="361"/>
      <c r="T1437" s="360" t="s">
        <v>132</v>
      </c>
    </row>
    <row r="1438" ht="34.5">
      <c r="A1438" s="360" t="s">
        <v>1243</v>
      </c>
      <c r="B1438" s="360" t="s">
        <v>1244</v>
      </c>
      <c r="C1438" s="360" t="s">
        <v>327</v>
      </c>
      <c r="D1438" s="360" t="s">
        <v>128</v>
      </c>
      <c r="E1438" s="360" t="s">
        <v>167</v>
      </c>
      <c r="F1438" s="361" t="s">
        <v>1090</v>
      </c>
      <c r="G1438" s="360" t="s">
        <v>145</v>
      </c>
      <c r="H1438" s="361"/>
      <c r="I1438" s="361"/>
      <c r="J1438" s="361" t="s">
        <v>283</v>
      </c>
      <c r="K1438" s="363"/>
      <c r="L1438" s="360"/>
      <c r="M1438" s="360"/>
      <c r="N1438" s="361"/>
      <c r="O1438" s="361"/>
      <c r="P1438" s="361"/>
      <c r="Q1438" s="361"/>
      <c r="R1438" s="362"/>
      <c r="S1438" s="361"/>
      <c r="T1438" s="360" t="s">
        <v>132</v>
      </c>
    </row>
    <row r="1439" ht="34.5">
      <c r="A1439" s="360" t="s">
        <v>1243</v>
      </c>
      <c r="B1439" s="360" t="s">
        <v>1244</v>
      </c>
      <c r="C1439" s="360" t="s">
        <v>327</v>
      </c>
      <c r="D1439" s="360" t="s">
        <v>128</v>
      </c>
      <c r="E1439" s="360" t="s">
        <v>167</v>
      </c>
      <c r="F1439" s="361" t="s">
        <v>1090</v>
      </c>
      <c r="G1439" s="360" t="s">
        <v>145</v>
      </c>
      <c r="H1439" s="361"/>
      <c r="I1439" s="361"/>
      <c r="J1439" s="361" t="s">
        <v>1144</v>
      </c>
      <c r="K1439" s="363"/>
      <c r="L1439" s="360"/>
      <c r="M1439" s="360"/>
      <c r="N1439" s="361"/>
      <c r="O1439" s="361"/>
      <c r="P1439" s="361"/>
      <c r="Q1439" s="361"/>
      <c r="R1439" s="362"/>
      <c r="S1439" s="361"/>
      <c r="T1439" s="360" t="s">
        <v>132</v>
      </c>
    </row>
    <row r="1440" ht="34.5">
      <c r="A1440" s="360" t="s">
        <v>1243</v>
      </c>
      <c r="B1440" s="360" t="s">
        <v>1244</v>
      </c>
      <c r="C1440" s="360" t="s">
        <v>327</v>
      </c>
      <c r="D1440" s="360" t="s">
        <v>128</v>
      </c>
      <c r="E1440" s="360" t="s">
        <v>167</v>
      </c>
      <c r="F1440" s="361" t="s">
        <v>1090</v>
      </c>
      <c r="G1440" s="360" t="s">
        <v>145</v>
      </c>
      <c r="H1440" s="361"/>
      <c r="I1440" s="361"/>
      <c r="J1440" s="361" t="s">
        <v>285</v>
      </c>
      <c r="K1440" s="363"/>
      <c r="L1440" s="360"/>
      <c r="M1440" s="360"/>
      <c r="N1440" s="361"/>
      <c r="O1440" s="361"/>
      <c r="P1440" s="361"/>
      <c r="Q1440" s="361"/>
      <c r="R1440" s="362"/>
      <c r="S1440" s="361"/>
      <c r="T1440" s="360" t="s">
        <v>132</v>
      </c>
    </row>
    <row r="1441" ht="34.5">
      <c r="A1441" s="360" t="s">
        <v>1243</v>
      </c>
      <c r="B1441" s="360" t="s">
        <v>1244</v>
      </c>
      <c r="C1441" s="360" t="s">
        <v>327</v>
      </c>
      <c r="D1441" s="360" t="s">
        <v>128</v>
      </c>
      <c r="E1441" s="360" t="s">
        <v>167</v>
      </c>
      <c r="F1441" s="361" t="s">
        <v>1090</v>
      </c>
      <c r="G1441" s="360" t="s">
        <v>145</v>
      </c>
      <c r="H1441" s="361"/>
      <c r="I1441" s="361"/>
      <c r="J1441" s="361" t="s">
        <v>1248</v>
      </c>
      <c r="K1441" s="363"/>
      <c r="L1441" s="360"/>
      <c r="M1441" s="360"/>
      <c r="N1441" s="361"/>
      <c r="O1441" s="361"/>
      <c r="P1441" s="361"/>
      <c r="Q1441" s="361"/>
      <c r="R1441" s="362"/>
      <c r="S1441" s="361"/>
      <c r="T1441" s="360" t="s">
        <v>132</v>
      </c>
    </row>
    <row r="1442" ht="34.5">
      <c r="A1442" s="360" t="s">
        <v>1243</v>
      </c>
      <c r="B1442" s="360" t="s">
        <v>1244</v>
      </c>
      <c r="C1442" s="360" t="s">
        <v>338</v>
      </c>
      <c r="D1442" s="360" t="s">
        <v>128</v>
      </c>
      <c r="E1442" s="360" t="s">
        <v>167</v>
      </c>
      <c r="F1442" s="361" t="s">
        <v>1090</v>
      </c>
      <c r="G1442" s="360" t="s">
        <v>145</v>
      </c>
      <c r="H1442" s="361"/>
      <c r="I1442" s="361"/>
      <c r="J1442" s="361" t="s">
        <v>1249</v>
      </c>
      <c r="K1442" s="363"/>
      <c r="L1442" s="360"/>
      <c r="M1442" s="360"/>
      <c r="N1442" s="361"/>
      <c r="O1442" s="361"/>
      <c r="P1442" s="361"/>
      <c r="Q1442" s="361"/>
      <c r="R1442" s="362"/>
      <c r="S1442" s="361"/>
      <c r="T1442" s="360" t="s">
        <v>132</v>
      </c>
    </row>
    <row r="1443" ht="34.5">
      <c r="A1443" s="360" t="s">
        <v>1243</v>
      </c>
      <c r="B1443" s="360" t="s">
        <v>1244</v>
      </c>
      <c r="C1443" s="360" t="s">
        <v>338</v>
      </c>
      <c r="D1443" s="360" t="s">
        <v>128</v>
      </c>
      <c r="E1443" s="360" t="s">
        <v>167</v>
      </c>
      <c r="F1443" s="361" t="s">
        <v>1090</v>
      </c>
      <c r="G1443" s="360" t="s">
        <v>145</v>
      </c>
      <c r="H1443" s="361"/>
      <c r="I1443" s="361"/>
      <c r="J1443" s="361" t="s">
        <v>924</v>
      </c>
      <c r="K1443" s="363"/>
      <c r="L1443" s="360"/>
      <c r="M1443" s="360"/>
      <c r="N1443" s="361"/>
      <c r="O1443" s="361"/>
      <c r="P1443" s="361"/>
      <c r="Q1443" s="361"/>
      <c r="R1443" s="362"/>
      <c r="S1443" s="361"/>
      <c r="T1443" s="360" t="s">
        <v>132</v>
      </c>
    </row>
    <row r="1444" ht="34.5">
      <c r="A1444" s="360" t="s">
        <v>1243</v>
      </c>
      <c r="B1444" s="360" t="s">
        <v>1244</v>
      </c>
      <c r="C1444" s="360" t="s">
        <v>338</v>
      </c>
      <c r="D1444" s="360" t="s">
        <v>128</v>
      </c>
      <c r="E1444" s="360" t="s">
        <v>167</v>
      </c>
      <c r="F1444" s="361" t="s">
        <v>1090</v>
      </c>
      <c r="G1444" s="360" t="s">
        <v>145</v>
      </c>
      <c r="H1444" s="361"/>
      <c r="I1444" s="361"/>
      <c r="J1444" s="361" t="s">
        <v>1148</v>
      </c>
      <c r="K1444" s="363"/>
      <c r="L1444" s="360"/>
      <c r="M1444" s="360"/>
      <c r="N1444" s="361"/>
      <c r="O1444" s="361"/>
      <c r="P1444" s="361"/>
      <c r="Q1444" s="361"/>
      <c r="R1444" s="362"/>
      <c r="S1444" s="361"/>
      <c r="T1444" s="360" t="s">
        <v>132</v>
      </c>
    </row>
    <row r="1445" ht="34.5">
      <c r="A1445" s="360" t="s">
        <v>1243</v>
      </c>
      <c r="B1445" s="360" t="s">
        <v>1244</v>
      </c>
      <c r="C1445" s="360" t="s">
        <v>338</v>
      </c>
      <c r="D1445" s="360" t="s">
        <v>128</v>
      </c>
      <c r="E1445" s="360" t="s">
        <v>167</v>
      </c>
      <c r="F1445" s="361" t="s">
        <v>1090</v>
      </c>
      <c r="G1445" s="360" t="s">
        <v>145</v>
      </c>
      <c r="H1445" s="361"/>
      <c r="I1445" s="361"/>
      <c r="J1445" s="361" t="s">
        <v>1149</v>
      </c>
      <c r="K1445" s="363"/>
      <c r="L1445" s="360"/>
      <c r="M1445" s="360"/>
      <c r="N1445" s="361"/>
      <c r="O1445" s="361"/>
      <c r="P1445" s="361"/>
      <c r="Q1445" s="361"/>
      <c r="R1445" s="362"/>
      <c r="S1445" s="361"/>
      <c r="T1445" s="360" t="s">
        <v>132</v>
      </c>
    </row>
    <row r="1446" ht="34.5">
      <c r="A1446" s="360" t="s">
        <v>1243</v>
      </c>
      <c r="B1446" s="360" t="s">
        <v>1244</v>
      </c>
      <c r="C1446" s="360" t="s">
        <v>338</v>
      </c>
      <c r="D1446" s="360" t="s">
        <v>128</v>
      </c>
      <c r="E1446" s="360" t="s">
        <v>167</v>
      </c>
      <c r="F1446" s="361" t="s">
        <v>1090</v>
      </c>
      <c r="G1446" s="360" t="s">
        <v>145</v>
      </c>
      <c r="H1446" s="361"/>
      <c r="I1446" s="361"/>
      <c r="J1446" s="361" t="s">
        <v>1150</v>
      </c>
      <c r="K1446" s="363"/>
      <c r="L1446" s="360"/>
      <c r="M1446" s="360"/>
      <c r="N1446" s="361"/>
      <c r="O1446" s="361"/>
      <c r="P1446" s="361"/>
      <c r="Q1446" s="361"/>
      <c r="R1446" s="362"/>
      <c r="S1446" s="361"/>
      <c r="T1446" s="360" t="s">
        <v>132</v>
      </c>
    </row>
    <row r="1447" ht="34.5">
      <c r="A1447" s="360" t="s">
        <v>1243</v>
      </c>
      <c r="B1447" s="360" t="s">
        <v>1244</v>
      </c>
      <c r="C1447" s="360" t="s">
        <v>338</v>
      </c>
      <c r="D1447" s="360" t="s">
        <v>128</v>
      </c>
      <c r="E1447" s="360" t="s">
        <v>167</v>
      </c>
      <c r="F1447" s="361" t="s">
        <v>1090</v>
      </c>
      <c r="G1447" s="360" t="s">
        <v>145</v>
      </c>
      <c r="H1447" s="361"/>
      <c r="I1447" s="361"/>
      <c r="J1447" s="361" t="s">
        <v>1250</v>
      </c>
      <c r="K1447" s="363"/>
      <c r="L1447" s="360"/>
      <c r="M1447" s="360"/>
      <c r="N1447" s="361"/>
      <c r="O1447" s="361"/>
      <c r="P1447" s="361"/>
      <c r="Q1447" s="361"/>
      <c r="R1447" s="362"/>
      <c r="S1447" s="361"/>
      <c r="T1447" s="360" t="s">
        <v>132</v>
      </c>
    </row>
    <row r="1448" ht="34.5">
      <c r="A1448" s="360" t="s">
        <v>1243</v>
      </c>
      <c r="B1448" s="360" t="s">
        <v>1244</v>
      </c>
      <c r="C1448" s="360" t="s">
        <v>338</v>
      </c>
      <c r="D1448" s="360" t="s">
        <v>128</v>
      </c>
      <c r="E1448" s="360" t="s">
        <v>167</v>
      </c>
      <c r="F1448" s="361" t="s">
        <v>1090</v>
      </c>
      <c r="G1448" s="360" t="s">
        <v>145</v>
      </c>
      <c r="H1448" s="361"/>
      <c r="I1448" s="361"/>
      <c r="J1448" s="361" t="s">
        <v>929</v>
      </c>
      <c r="K1448" s="363"/>
      <c r="L1448" s="360"/>
      <c r="M1448" s="360"/>
      <c r="N1448" s="361"/>
      <c r="O1448" s="361"/>
      <c r="P1448" s="361"/>
      <c r="Q1448" s="361"/>
      <c r="R1448" s="362"/>
      <c r="S1448" s="361"/>
      <c r="T1448" s="360" t="s">
        <v>132</v>
      </c>
    </row>
    <row r="1449" ht="34.5">
      <c r="A1449" s="360" t="s">
        <v>1243</v>
      </c>
      <c r="B1449" s="360" t="s">
        <v>1244</v>
      </c>
      <c r="C1449" s="360" t="s">
        <v>338</v>
      </c>
      <c r="D1449" s="360" t="s">
        <v>128</v>
      </c>
      <c r="E1449" s="360" t="s">
        <v>167</v>
      </c>
      <c r="F1449" s="361" t="s">
        <v>1090</v>
      </c>
      <c r="G1449" s="360" t="s">
        <v>145</v>
      </c>
      <c r="H1449" s="361"/>
      <c r="I1449" s="361"/>
      <c r="J1449" s="361" t="s">
        <v>930</v>
      </c>
      <c r="K1449" s="363"/>
      <c r="L1449" s="360"/>
      <c r="M1449" s="360"/>
      <c r="N1449" s="361"/>
      <c r="O1449" s="361"/>
      <c r="P1449" s="361"/>
      <c r="Q1449" s="361"/>
      <c r="R1449" s="362"/>
      <c r="S1449" s="361"/>
      <c r="T1449" s="360" t="s">
        <v>132</v>
      </c>
    </row>
    <row r="1450" ht="34.5">
      <c r="A1450" s="360" t="s">
        <v>1243</v>
      </c>
      <c r="B1450" s="360" t="s">
        <v>1244</v>
      </c>
      <c r="C1450" s="360" t="s">
        <v>348</v>
      </c>
      <c r="D1450" s="360" t="s">
        <v>128</v>
      </c>
      <c r="E1450" s="360" t="s">
        <v>167</v>
      </c>
      <c r="F1450" s="361" t="s">
        <v>1090</v>
      </c>
      <c r="G1450" s="360" t="s">
        <v>145</v>
      </c>
      <c r="H1450" s="361"/>
      <c r="I1450" s="361"/>
      <c r="J1450" s="361" t="s">
        <v>1251</v>
      </c>
      <c r="K1450" s="363"/>
      <c r="L1450" s="360"/>
      <c r="M1450" s="360"/>
      <c r="N1450" s="361"/>
      <c r="O1450" s="361"/>
      <c r="P1450" s="361"/>
      <c r="Q1450" s="361"/>
      <c r="R1450" s="362"/>
      <c r="S1450" s="361"/>
      <c r="T1450" s="360" t="s">
        <v>132</v>
      </c>
    </row>
    <row r="1451" ht="34.5">
      <c r="A1451" s="360" t="s">
        <v>1243</v>
      </c>
      <c r="B1451" s="360" t="s">
        <v>1244</v>
      </c>
      <c r="C1451" s="360" t="s">
        <v>348</v>
      </c>
      <c r="D1451" s="360" t="s">
        <v>128</v>
      </c>
      <c r="E1451" s="360" t="s">
        <v>167</v>
      </c>
      <c r="F1451" s="361" t="s">
        <v>1090</v>
      </c>
      <c r="G1451" s="360" t="s">
        <v>145</v>
      </c>
      <c r="H1451" s="361"/>
      <c r="I1451" s="361"/>
      <c r="J1451" s="361" t="s">
        <v>1252</v>
      </c>
      <c r="K1451" s="363"/>
      <c r="L1451" s="360"/>
      <c r="M1451" s="360"/>
      <c r="N1451" s="361"/>
      <c r="O1451" s="361"/>
      <c r="P1451" s="361"/>
      <c r="Q1451" s="361"/>
      <c r="R1451" s="362"/>
      <c r="S1451" s="361"/>
      <c r="T1451" s="360" t="s">
        <v>132</v>
      </c>
    </row>
    <row r="1452" ht="34.5">
      <c r="A1452" s="360" t="s">
        <v>1243</v>
      </c>
      <c r="B1452" s="360" t="s">
        <v>1244</v>
      </c>
      <c r="C1452" s="360" t="s">
        <v>348</v>
      </c>
      <c r="D1452" s="360" t="s">
        <v>128</v>
      </c>
      <c r="E1452" s="360" t="s">
        <v>167</v>
      </c>
      <c r="F1452" s="361" t="s">
        <v>1090</v>
      </c>
      <c r="G1452" s="360" t="s">
        <v>145</v>
      </c>
      <c r="H1452" s="361"/>
      <c r="I1452" s="361"/>
      <c r="J1452" s="361" t="s">
        <v>291</v>
      </c>
      <c r="K1452" s="363"/>
      <c r="L1452" s="360"/>
      <c r="M1452" s="360"/>
      <c r="N1452" s="361"/>
      <c r="O1452" s="361"/>
      <c r="P1452" s="361"/>
      <c r="Q1452" s="361"/>
      <c r="R1452" s="362"/>
      <c r="S1452" s="361"/>
      <c r="T1452" s="360" t="s">
        <v>132</v>
      </c>
    </row>
    <row r="1453" ht="34.5">
      <c r="A1453" s="360" t="s">
        <v>1243</v>
      </c>
      <c r="B1453" s="360" t="s">
        <v>1244</v>
      </c>
      <c r="C1453" s="360" t="s">
        <v>348</v>
      </c>
      <c r="D1453" s="360" t="s">
        <v>128</v>
      </c>
      <c r="E1453" s="360" t="s">
        <v>167</v>
      </c>
      <c r="F1453" s="361" t="s">
        <v>1090</v>
      </c>
      <c r="G1453" s="360" t="s">
        <v>145</v>
      </c>
      <c r="H1453" s="361"/>
      <c r="I1453" s="361"/>
      <c r="J1453" s="361" t="s">
        <v>931</v>
      </c>
      <c r="K1453" s="363"/>
      <c r="L1453" s="360"/>
      <c r="M1453" s="360"/>
      <c r="N1453" s="361"/>
      <c r="O1453" s="361"/>
      <c r="P1453" s="361"/>
      <c r="Q1453" s="361"/>
      <c r="R1453" s="362"/>
      <c r="S1453" s="361"/>
      <c r="T1453" s="360" t="s">
        <v>132</v>
      </c>
    </row>
    <row r="1454" ht="34.5">
      <c r="A1454" s="360" t="s">
        <v>1243</v>
      </c>
      <c r="B1454" s="360" t="s">
        <v>1244</v>
      </c>
      <c r="C1454" s="360" t="s">
        <v>348</v>
      </c>
      <c r="D1454" s="360" t="s">
        <v>128</v>
      </c>
      <c r="E1454" s="360" t="s">
        <v>167</v>
      </c>
      <c r="F1454" s="361" t="s">
        <v>1090</v>
      </c>
      <c r="G1454" s="360" t="s">
        <v>145</v>
      </c>
      <c r="H1454" s="361"/>
      <c r="I1454" s="361"/>
      <c r="J1454" s="361" t="s">
        <v>293</v>
      </c>
      <c r="K1454" s="363"/>
      <c r="L1454" s="360"/>
      <c r="M1454" s="360"/>
      <c r="N1454" s="361"/>
      <c r="O1454" s="361"/>
      <c r="P1454" s="361"/>
      <c r="Q1454" s="361"/>
      <c r="R1454" s="362"/>
      <c r="S1454" s="361"/>
      <c r="T1454" s="360" t="s">
        <v>132</v>
      </c>
    </row>
    <row r="1455" ht="34.5">
      <c r="A1455" s="360" t="s">
        <v>1243</v>
      </c>
      <c r="B1455" s="360" t="s">
        <v>1244</v>
      </c>
      <c r="C1455" s="360" t="s">
        <v>348</v>
      </c>
      <c r="D1455" s="360" t="s">
        <v>128</v>
      </c>
      <c r="E1455" s="360" t="s">
        <v>167</v>
      </c>
      <c r="F1455" s="361" t="s">
        <v>1090</v>
      </c>
      <c r="G1455" s="360" t="s">
        <v>145</v>
      </c>
      <c r="H1455" s="361"/>
      <c r="I1455" s="361"/>
      <c r="J1455" s="361" t="s">
        <v>1253</v>
      </c>
      <c r="K1455" s="363"/>
      <c r="L1455" s="360"/>
      <c r="M1455" s="360"/>
      <c r="N1455" s="361"/>
      <c r="O1455" s="361"/>
      <c r="P1455" s="361"/>
      <c r="Q1455" s="361"/>
      <c r="R1455" s="362"/>
      <c r="S1455" s="361"/>
      <c r="T1455" s="360" t="s">
        <v>132</v>
      </c>
    </row>
    <row r="1456" ht="34.5">
      <c r="A1456" s="360" t="s">
        <v>1243</v>
      </c>
      <c r="B1456" s="360" t="s">
        <v>1244</v>
      </c>
      <c r="C1456" s="360" t="s">
        <v>348</v>
      </c>
      <c r="D1456" s="360" t="s">
        <v>128</v>
      </c>
      <c r="E1456" s="360" t="s">
        <v>167</v>
      </c>
      <c r="F1456" s="361" t="s">
        <v>1090</v>
      </c>
      <c r="G1456" s="360" t="s">
        <v>145</v>
      </c>
      <c r="H1456" s="361"/>
      <c r="I1456" s="361"/>
      <c r="J1456" s="361" t="s">
        <v>1154</v>
      </c>
      <c r="K1456" s="363"/>
      <c r="L1456" s="360"/>
      <c r="M1456" s="360"/>
      <c r="N1456" s="361"/>
      <c r="O1456" s="361"/>
      <c r="P1456" s="361"/>
      <c r="Q1456" s="361"/>
      <c r="R1456" s="362"/>
      <c r="S1456" s="361"/>
      <c r="T1456" s="360" t="s">
        <v>132</v>
      </c>
    </row>
    <row r="1457" ht="34.5">
      <c r="A1457" s="360" t="s">
        <v>1243</v>
      </c>
      <c r="B1457" s="360" t="s">
        <v>1244</v>
      </c>
      <c r="C1457" s="360" t="s">
        <v>348</v>
      </c>
      <c r="D1457" s="360" t="s">
        <v>128</v>
      </c>
      <c r="E1457" s="360" t="s">
        <v>167</v>
      </c>
      <c r="F1457" s="361" t="s">
        <v>1090</v>
      </c>
      <c r="G1457" s="360" t="s">
        <v>145</v>
      </c>
      <c r="H1457" s="361"/>
      <c r="I1457" s="361"/>
      <c r="J1457" s="361" t="s">
        <v>1254</v>
      </c>
      <c r="K1457" s="363"/>
      <c r="L1457" s="360"/>
      <c r="M1457" s="360"/>
      <c r="N1457" s="361"/>
      <c r="O1457" s="361"/>
      <c r="P1457" s="361"/>
      <c r="Q1457" s="361"/>
      <c r="R1457" s="362"/>
      <c r="S1457" s="361"/>
      <c r="T1457" s="360" t="s">
        <v>132</v>
      </c>
    </row>
    <row r="1458" ht="34.5">
      <c r="A1458" s="360" t="s">
        <v>1243</v>
      </c>
      <c r="B1458" s="360" t="s">
        <v>1244</v>
      </c>
      <c r="C1458" s="360" t="s">
        <v>348</v>
      </c>
      <c r="D1458" s="360" t="s">
        <v>128</v>
      </c>
      <c r="E1458" s="360" t="s">
        <v>167</v>
      </c>
      <c r="F1458" s="361" t="s">
        <v>1090</v>
      </c>
      <c r="G1458" s="360" t="s">
        <v>145</v>
      </c>
      <c r="H1458" s="361"/>
      <c r="I1458" s="361"/>
      <c r="J1458" s="361" t="s">
        <v>297</v>
      </c>
      <c r="K1458" s="363"/>
      <c r="L1458" s="360"/>
      <c r="M1458" s="360"/>
      <c r="N1458" s="361"/>
      <c r="O1458" s="361"/>
      <c r="P1458" s="361"/>
      <c r="Q1458" s="361"/>
      <c r="R1458" s="362"/>
      <c r="S1458" s="361"/>
      <c r="T1458" s="360" t="s">
        <v>132</v>
      </c>
    </row>
    <row r="1459" ht="34.5">
      <c r="A1459" s="360" t="s">
        <v>1243</v>
      </c>
      <c r="B1459" s="360" t="s">
        <v>1244</v>
      </c>
      <c r="C1459" s="360" t="s">
        <v>348</v>
      </c>
      <c r="D1459" s="360" t="s">
        <v>128</v>
      </c>
      <c r="E1459" s="360" t="s">
        <v>167</v>
      </c>
      <c r="F1459" s="361" t="s">
        <v>1090</v>
      </c>
      <c r="G1459" s="360" t="s">
        <v>145</v>
      </c>
      <c r="H1459" s="361"/>
      <c r="I1459" s="361"/>
      <c r="J1459" s="361" t="s">
        <v>1156</v>
      </c>
      <c r="K1459" s="363"/>
      <c r="L1459" s="360"/>
      <c r="M1459" s="360"/>
      <c r="N1459" s="361"/>
      <c r="O1459" s="361"/>
      <c r="P1459" s="361"/>
      <c r="Q1459" s="361"/>
      <c r="R1459" s="362"/>
      <c r="S1459" s="361"/>
      <c r="T1459" s="360" t="s">
        <v>132</v>
      </c>
    </row>
    <row r="1460" ht="34.5">
      <c r="A1460" s="360" t="s">
        <v>1243</v>
      </c>
      <c r="B1460" s="360" t="s">
        <v>1244</v>
      </c>
      <c r="C1460" s="360" t="s">
        <v>357</v>
      </c>
      <c r="D1460" s="360" t="s">
        <v>128</v>
      </c>
      <c r="E1460" s="360" t="s">
        <v>167</v>
      </c>
      <c r="F1460" s="361" t="s">
        <v>1090</v>
      </c>
      <c r="G1460" s="360" t="s">
        <v>145</v>
      </c>
      <c r="H1460" s="361"/>
      <c r="I1460" s="361"/>
      <c r="J1460" s="361" t="s">
        <v>1157</v>
      </c>
      <c r="K1460" s="363"/>
      <c r="L1460" s="360"/>
      <c r="M1460" s="360"/>
      <c r="N1460" s="361"/>
      <c r="O1460" s="361"/>
      <c r="P1460" s="361"/>
      <c r="Q1460" s="361"/>
      <c r="R1460" s="362"/>
      <c r="S1460" s="361"/>
      <c r="T1460" s="360" t="s">
        <v>132</v>
      </c>
    </row>
    <row r="1461" ht="34.5">
      <c r="A1461" s="360" t="s">
        <v>1243</v>
      </c>
      <c r="B1461" s="360" t="s">
        <v>1244</v>
      </c>
      <c r="C1461" s="360" t="s">
        <v>357</v>
      </c>
      <c r="D1461" s="360" t="s">
        <v>128</v>
      </c>
      <c r="E1461" s="360" t="s">
        <v>167</v>
      </c>
      <c r="F1461" s="361" t="s">
        <v>1090</v>
      </c>
      <c r="G1461" s="360" t="s">
        <v>145</v>
      </c>
      <c r="H1461" s="361"/>
      <c r="I1461" s="361"/>
      <c r="J1461" s="361" t="s">
        <v>302</v>
      </c>
      <c r="K1461" s="363"/>
      <c r="L1461" s="360"/>
      <c r="M1461" s="360"/>
      <c r="N1461" s="361"/>
      <c r="O1461" s="361"/>
      <c r="P1461" s="361"/>
      <c r="Q1461" s="361"/>
      <c r="R1461" s="362"/>
      <c r="S1461" s="361"/>
      <c r="T1461" s="360" t="s">
        <v>132</v>
      </c>
    </row>
    <row r="1462" ht="34.5">
      <c r="A1462" s="360" t="s">
        <v>1243</v>
      </c>
      <c r="B1462" s="360" t="s">
        <v>1244</v>
      </c>
      <c r="C1462" s="360" t="s">
        <v>357</v>
      </c>
      <c r="D1462" s="360" t="s">
        <v>128</v>
      </c>
      <c r="E1462" s="360" t="s">
        <v>167</v>
      </c>
      <c r="F1462" s="361" t="s">
        <v>1090</v>
      </c>
      <c r="G1462" s="360" t="s">
        <v>145</v>
      </c>
      <c r="H1462" s="361"/>
      <c r="I1462" s="361"/>
      <c r="J1462" s="361" t="s">
        <v>1255</v>
      </c>
      <c r="K1462" s="363"/>
      <c r="L1462" s="360"/>
      <c r="M1462" s="360"/>
      <c r="N1462" s="361"/>
      <c r="O1462" s="361"/>
      <c r="P1462" s="361"/>
      <c r="Q1462" s="361"/>
      <c r="R1462" s="362"/>
      <c r="S1462" s="361"/>
      <c r="T1462" s="360" t="s">
        <v>132</v>
      </c>
    </row>
    <row r="1463" ht="34.5">
      <c r="A1463" s="360" t="s">
        <v>1243</v>
      </c>
      <c r="B1463" s="360" t="s">
        <v>1244</v>
      </c>
      <c r="C1463" s="360" t="s">
        <v>357</v>
      </c>
      <c r="D1463" s="360" t="s">
        <v>128</v>
      </c>
      <c r="E1463" s="360" t="s">
        <v>167</v>
      </c>
      <c r="F1463" s="361" t="s">
        <v>1090</v>
      </c>
      <c r="G1463" s="360" t="s">
        <v>145</v>
      </c>
      <c r="H1463" s="361"/>
      <c r="I1463" s="361"/>
      <c r="J1463" s="361" t="s">
        <v>303</v>
      </c>
      <c r="K1463" s="363"/>
      <c r="L1463" s="360"/>
      <c r="M1463" s="360"/>
      <c r="N1463" s="361"/>
      <c r="O1463" s="361"/>
      <c r="P1463" s="361"/>
      <c r="Q1463" s="361"/>
      <c r="R1463" s="362"/>
      <c r="S1463" s="361"/>
      <c r="T1463" s="360" t="s">
        <v>132</v>
      </c>
    </row>
    <row r="1464" ht="34.5">
      <c r="A1464" s="360" t="s">
        <v>1243</v>
      </c>
      <c r="B1464" s="360" t="s">
        <v>1244</v>
      </c>
      <c r="C1464" s="360" t="s">
        <v>357</v>
      </c>
      <c r="D1464" s="360" t="s">
        <v>128</v>
      </c>
      <c r="E1464" s="360" t="s">
        <v>167</v>
      </c>
      <c r="F1464" s="361" t="s">
        <v>1090</v>
      </c>
      <c r="G1464" s="360" t="s">
        <v>145</v>
      </c>
      <c r="H1464" s="361"/>
      <c r="I1464" s="361"/>
      <c r="J1464" s="361" t="s">
        <v>1256</v>
      </c>
      <c r="K1464" s="363"/>
      <c r="L1464" s="360"/>
      <c r="M1464" s="360"/>
      <c r="N1464" s="361"/>
      <c r="O1464" s="361"/>
      <c r="P1464" s="361"/>
      <c r="Q1464" s="361"/>
      <c r="R1464" s="362"/>
      <c r="S1464" s="361"/>
      <c r="T1464" s="360" t="s">
        <v>132</v>
      </c>
    </row>
    <row r="1465" ht="34.5">
      <c r="A1465" s="360" t="s">
        <v>1243</v>
      </c>
      <c r="B1465" s="360" t="s">
        <v>1244</v>
      </c>
      <c r="C1465" s="360" t="s">
        <v>357</v>
      </c>
      <c r="D1465" s="360" t="s">
        <v>128</v>
      </c>
      <c r="E1465" s="360" t="s">
        <v>167</v>
      </c>
      <c r="F1465" s="361" t="s">
        <v>1090</v>
      </c>
      <c r="G1465" s="360" t="s">
        <v>145</v>
      </c>
      <c r="H1465" s="361"/>
      <c r="I1465" s="361"/>
      <c r="J1465" s="361" t="s">
        <v>306</v>
      </c>
      <c r="K1465" s="363"/>
      <c r="L1465" s="360"/>
      <c r="M1465" s="360"/>
      <c r="N1465" s="361"/>
      <c r="O1465" s="361"/>
      <c r="P1465" s="361"/>
      <c r="Q1465" s="361"/>
      <c r="R1465" s="362"/>
      <c r="S1465" s="361"/>
      <c r="T1465" s="360" t="s">
        <v>132</v>
      </c>
    </row>
    <row r="1466" ht="34.5">
      <c r="A1466" s="360" t="s">
        <v>1243</v>
      </c>
      <c r="B1466" s="360" t="s">
        <v>1244</v>
      </c>
      <c r="C1466" s="360" t="s">
        <v>357</v>
      </c>
      <c r="D1466" s="360" t="s">
        <v>128</v>
      </c>
      <c r="E1466" s="360" t="s">
        <v>167</v>
      </c>
      <c r="F1466" s="361" t="s">
        <v>1090</v>
      </c>
      <c r="G1466" s="360" t="s">
        <v>145</v>
      </c>
      <c r="H1466" s="361"/>
      <c r="I1466" s="361"/>
      <c r="J1466" s="361" t="s">
        <v>1160</v>
      </c>
      <c r="K1466" s="363"/>
      <c r="L1466" s="360"/>
      <c r="M1466" s="360"/>
      <c r="N1466" s="361"/>
      <c r="O1466" s="361"/>
      <c r="P1466" s="361"/>
      <c r="Q1466" s="361"/>
      <c r="R1466" s="362"/>
      <c r="S1466" s="361"/>
      <c r="T1466" s="360" t="s">
        <v>132</v>
      </c>
    </row>
    <row r="1467" ht="34.5">
      <c r="A1467" s="360" t="s">
        <v>1243</v>
      </c>
      <c r="B1467" s="360" t="s">
        <v>1244</v>
      </c>
      <c r="C1467" s="360" t="s">
        <v>357</v>
      </c>
      <c r="D1467" s="360" t="s">
        <v>128</v>
      </c>
      <c r="E1467" s="360" t="s">
        <v>167</v>
      </c>
      <c r="F1467" s="361" t="s">
        <v>1090</v>
      </c>
      <c r="G1467" s="360" t="s">
        <v>145</v>
      </c>
      <c r="H1467" s="361"/>
      <c r="I1467" s="361"/>
      <c r="J1467" s="361" t="s">
        <v>308</v>
      </c>
      <c r="K1467" s="363"/>
      <c r="L1467" s="360"/>
      <c r="M1467" s="360"/>
      <c r="N1467" s="361"/>
      <c r="O1467" s="361"/>
      <c r="P1467" s="361"/>
      <c r="Q1467" s="361"/>
      <c r="R1467" s="362"/>
      <c r="S1467" s="361"/>
      <c r="T1467" s="360" t="s">
        <v>132</v>
      </c>
    </row>
    <row r="1468" ht="34.5">
      <c r="A1468" s="360" t="s">
        <v>1243</v>
      </c>
      <c r="B1468" s="360" t="s">
        <v>1244</v>
      </c>
      <c r="C1468" s="360" t="s">
        <v>357</v>
      </c>
      <c r="D1468" s="360" t="s">
        <v>128</v>
      </c>
      <c r="E1468" s="360" t="s">
        <v>167</v>
      </c>
      <c r="F1468" s="361" t="s">
        <v>1090</v>
      </c>
      <c r="G1468" s="360" t="s">
        <v>145</v>
      </c>
      <c r="H1468" s="361"/>
      <c r="I1468" s="361"/>
      <c r="J1468" s="361" t="s">
        <v>309</v>
      </c>
      <c r="K1468" s="363"/>
      <c r="L1468" s="360"/>
      <c r="M1468" s="360"/>
      <c r="N1468" s="361"/>
      <c r="O1468" s="361"/>
      <c r="P1468" s="361"/>
      <c r="Q1468" s="361"/>
      <c r="R1468" s="362"/>
      <c r="S1468" s="361"/>
      <c r="T1468" s="360" t="s">
        <v>132</v>
      </c>
    </row>
    <row r="1469" ht="34.5">
      <c r="A1469" s="360" t="s">
        <v>1243</v>
      </c>
      <c r="B1469" s="360" t="s">
        <v>1244</v>
      </c>
      <c r="C1469" s="360" t="s">
        <v>357</v>
      </c>
      <c r="D1469" s="360" t="s">
        <v>128</v>
      </c>
      <c r="E1469" s="360" t="s">
        <v>167</v>
      </c>
      <c r="F1469" s="361" t="s">
        <v>1090</v>
      </c>
      <c r="G1469" s="360" t="s">
        <v>145</v>
      </c>
      <c r="H1469" s="361"/>
      <c r="I1469" s="361"/>
      <c r="J1469" s="361" t="s">
        <v>312</v>
      </c>
      <c r="K1469" s="363"/>
      <c r="L1469" s="360"/>
      <c r="M1469" s="360"/>
      <c r="N1469" s="361"/>
      <c r="O1469" s="361"/>
      <c r="P1469" s="361"/>
      <c r="Q1469" s="361"/>
      <c r="R1469" s="362"/>
      <c r="S1469" s="361"/>
      <c r="T1469" s="360" t="s">
        <v>132</v>
      </c>
    </row>
    <row r="1470" ht="34.5">
      <c r="A1470" s="360" t="s">
        <v>1243</v>
      </c>
      <c r="B1470" s="360" t="s">
        <v>1244</v>
      </c>
      <c r="C1470" s="360" t="s">
        <v>369</v>
      </c>
      <c r="D1470" s="360" t="s">
        <v>128</v>
      </c>
      <c r="E1470" s="360" t="s">
        <v>167</v>
      </c>
      <c r="F1470" s="361" t="s">
        <v>1090</v>
      </c>
      <c r="G1470" s="360" t="s">
        <v>145</v>
      </c>
      <c r="H1470" s="361"/>
      <c r="I1470" s="361"/>
      <c r="J1470" s="361" t="s">
        <v>313</v>
      </c>
      <c r="K1470" s="363">
        <v>1500000</v>
      </c>
      <c r="L1470" s="360" t="s">
        <v>314</v>
      </c>
      <c r="M1470" s="360"/>
      <c r="N1470" s="361"/>
      <c r="O1470" s="361"/>
      <c r="P1470" s="361"/>
      <c r="Q1470" s="361"/>
      <c r="R1470" s="362"/>
      <c r="S1470" s="361"/>
      <c r="T1470" s="360" t="s">
        <v>132</v>
      </c>
    </row>
    <row r="1471" ht="34.5">
      <c r="A1471" s="360" t="s">
        <v>1243</v>
      </c>
      <c r="B1471" s="360" t="s">
        <v>1244</v>
      </c>
      <c r="C1471" s="360" t="s">
        <v>369</v>
      </c>
      <c r="D1471" s="360" t="s">
        <v>128</v>
      </c>
      <c r="E1471" s="360" t="s">
        <v>167</v>
      </c>
      <c r="F1471" s="361" t="s">
        <v>1090</v>
      </c>
      <c r="G1471" s="360" t="s">
        <v>145</v>
      </c>
      <c r="H1471" s="361"/>
      <c r="I1471" s="361"/>
      <c r="J1471" s="361" t="s">
        <v>1257</v>
      </c>
      <c r="K1471" s="363"/>
      <c r="L1471" s="360"/>
      <c r="M1471" s="360"/>
      <c r="N1471" s="361"/>
      <c r="O1471" s="361"/>
      <c r="P1471" s="361"/>
      <c r="Q1471" s="361"/>
      <c r="R1471" s="362"/>
      <c r="S1471" s="361"/>
      <c r="T1471" s="360" t="s">
        <v>132</v>
      </c>
    </row>
    <row r="1472" ht="34.5">
      <c r="A1472" s="360" t="s">
        <v>1243</v>
      </c>
      <c r="B1472" s="360" t="s">
        <v>1244</v>
      </c>
      <c r="C1472" s="360" t="s">
        <v>369</v>
      </c>
      <c r="D1472" s="360" t="s">
        <v>128</v>
      </c>
      <c r="E1472" s="360" t="s">
        <v>317</v>
      </c>
      <c r="F1472" s="361" t="s">
        <v>1162</v>
      </c>
      <c r="G1472" s="360" t="s">
        <v>319</v>
      </c>
      <c r="H1472" s="361"/>
      <c r="I1472" s="361"/>
      <c r="J1472" s="361" t="s">
        <v>1163</v>
      </c>
      <c r="K1472" s="363"/>
      <c r="L1472" s="360"/>
      <c r="M1472" s="360"/>
      <c r="N1472" s="361"/>
      <c r="O1472" s="361"/>
      <c r="P1472" s="361"/>
      <c r="Q1472" s="361"/>
      <c r="R1472" s="362"/>
      <c r="S1472" s="361"/>
      <c r="T1472" s="360" t="s">
        <v>132</v>
      </c>
    </row>
    <row r="1473" ht="34.5">
      <c r="A1473" s="360" t="s">
        <v>1243</v>
      </c>
      <c r="B1473" s="360" t="s">
        <v>1244</v>
      </c>
      <c r="C1473" s="360" t="s">
        <v>369</v>
      </c>
      <c r="D1473" s="360" t="s">
        <v>128</v>
      </c>
      <c r="E1473" s="360" t="s">
        <v>317</v>
      </c>
      <c r="F1473" s="361" t="s">
        <v>1162</v>
      </c>
      <c r="G1473" s="360" t="s">
        <v>319</v>
      </c>
      <c r="H1473" s="361"/>
      <c r="I1473" s="361"/>
      <c r="J1473" s="361" t="s">
        <v>1258</v>
      </c>
      <c r="K1473" s="363"/>
      <c r="L1473" s="360"/>
      <c r="M1473" s="360"/>
      <c r="N1473" s="361"/>
      <c r="O1473" s="361"/>
      <c r="P1473" s="361"/>
      <c r="Q1473" s="361"/>
      <c r="R1473" s="362"/>
      <c r="S1473" s="361"/>
      <c r="T1473" s="360" t="s">
        <v>132</v>
      </c>
    </row>
    <row r="1474" ht="34.5">
      <c r="A1474" s="360" t="s">
        <v>1243</v>
      </c>
      <c r="B1474" s="360" t="s">
        <v>1244</v>
      </c>
      <c r="C1474" s="360" t="s">
        <v>369</v>
      </c>
      <c r="D1474" s="360" t="s">
        <v>128</v>
      </c>
      <c r="E1474" s="360" t="s">
        <v>317</v>
      </c>
      <c r="F1474" s="361" t="s">
        <v>1162</v>
      </c>
      <c r="G1474" s="360" t="s">
        <v>319</v>
      </c>
      <c r="H1474" s="361"/>
      <c r="I1474" s="361"/>
      <c r="J1474" s="361" t="s">
        <v>1165</v>
      </c>
      <c r="K1474" s="363"/>
      <c r="L1474" s="360"/>
      <c r="M1474" s="360"/>
      <c r="N1474" s="361"/>
      <c r="O1474" s="361"/>
      <c r="P1474" s="361"/>
      <c r="Q1474" s="361"/>
      <c r="R1474" s="362"/>
      <c r="S1474" s="361"/>
      <c r="T1474" s="360" t="s">
        <v>132</v>
      </c>
    </row>
    <row r="1475" ht="34.5">
      <c r="A1475" s="360" t="s">
        <v>1243</v>
      </c>
      <c r="B1475" s="360" t="s">
        <v>1244</v>
      </c>
      <c r="C1475" s="360" t="s">
        <v>369</v>
      </c>
      <c r="D1475" s="360" t="s">
        <v>451</v>
      </c>
      <c r="E1475" s="360" t="s">
        <v>317</v>
      </c>
      <c r="F1475" s="361" t="s">
        <v>1162</v>
      </c>
      <c r="G1475" s="360" t="s">
        <v>319</v>
      </c>
      <c r="H1475" s="361"/>
      <c r="I1475" s="361"/>
      <c r="J1475" s="361" t="s">
        <v>452</v>
      </c>
      <c r="K1475" s="363"/>
      <c r="L1475" s="360"/>
      <c r="M1475" s="360"/>
      <c r="N1475" s="361"/>
      <c r="O1475" s="361"/>
      <c r="P1475" s="361"/>
      <c r="Q1475" s="361"/>
      <c r="R1475" s="362"/>
      <c r="S1475" s="361"/>
      <c r="T1475" s="360" t="s">
        <v>132</v>
      </c>
    </row>
    <row r="1476" ht="34.5">
      <c r="A1476" s="360" t="s">
        <v>1243</v>
      </c>
      <c r="B1476" s="360" t="s">
        <v>1244</v>
      </c>
      <c r="C1476" s="360" t="s">
        <v>369</v>
      </c>
      <c r="D1476" s="360" t="s">
        <v>128</v>
      </c>
      <c r="E1476" s="360" t="s">
        <v>317</v>
      </c>
      <c r="F1476" s="361" t="s">
        <v>1162</v>
      </c>
      <c r="G1476" s="360" t="s">
        <v>319</v>
      </c>
      <c r="H1476" s="361"/>
      <c r="I1476" s="361"/>
      <c r="J1476" s="361" t="s">
        <v>1166</v>
      </c>
      <c r="K1476" s="363"/>
      <c r="L1476" s="360"/>
      <c r="M1476" s="360"/>
      <c r="N1476" s="361"/>
      <c r="O1476" s="361"/>
      <c r="P1476" s="361"/>
      <c r="Q1476" s="361"/>
      <c r="R1476" s="362"/>
      <c r="S1476" s="361"/>
      <c r="T1476" s="360" t="s">
        <v>132</v>
      </c>
    </row>
    <row r="1477" ht="34.5">
      <c r="A1477" s="360" t="s">
        <v>1243</v>
      </c>
      <c r="B1477" s="360" t="s">
        <v>1244</v>
      </c>
      <c r="C1477" s="360" t="s">
        <v>378</v>
      </c>
      <c r="D1477" s="360" t="s">
        <v>128</v>
      </c>
      <c r="E1477" s="360" t="s">
        <v>317</v>
      </c>
      <c r="F1477" s="361" t="s">
        <v>1169</v>
      </c>
      <c r="G1477" s="360" t="s">
        <v>319</v>
      </c>
      <c r="H1477" s="361"/>
      <c r="I1477" s="361"/>
      <c r="J1477" s="361" t="s">
        <v>1167</v>
      </c>
      <c r="K1477" s="363"/>
      <c r="L1477" s="360"/>
      <c r="M1477" s="360"/>
      <c r="N1477" s="361"/>
      <c r="O1477" s="361"/>
      <c r="P1477" s="361"/>
      <c r="Q1477" s="361"/>
      <c r="R1477" s="362"/>
      <c r="S1477" s="361"/>
      <c r="T1477" s="360" t="s">
        <v>132</v>
      </c>
    </row>
    <row r="1478" ht="34.5">
      <c r="A1478" s="360" t="s">
        <v>1243</v>
      </c>
      <c r="B1478" s="360" t="s">
        <v>1244</v>
      </c>
      <c r="C1478" s="360" t="s">
        <v>378</v>
      </c>
      <c r="D1478" s="360" t="s">
        <v>128</v>
      </c>
      <c r="E1478" s="360" t="s">
        <v>317</v>
      </c>
      <c r="F1478" s="361" t="s">
        <v>1169</v>
      </c>
      <c r="G1478" s="360" t="s">
        <v>319</v>
      </c>
      <c r="H1478" s="361"/>
      <c r="I1478" s="361"/>
      <c r="J1478" s="361" t="s">
        <v>1259</v>
      </c>
      <c r="K1478" s="363"/>
      <c r="L1478" s="360"/>
      <c r="M1478" s="360"/>
      <c r="N1478" s="361"/>
      <c r="O1478" s="361"/>
      <c r="P1478" s="361"/>
      <c r="Q1478" s="361"/>
      <c r="R1478" s="362"/>
      <c r="S1478" s="361"/>
      <c r="T1478" s="360" t="s">
        <v>132</v>
      </c>
    </row>
    <row r="1479" ht="34.5">
      <c r="A1479" s="360" t="s">
        <v>1243</v>
      </c>
      <c r="B1479" s="360" t="s">
        <v>1244</v>
      </c>
      <c r="C1479" s="360" t="s">
        <v>378</v>
      </c>
      <c r="D1479" s="360" t="s">
        <v>128</v>
      </c>
      <c r="E1479" s="360" t="s">
        <v>317</v>
      </c>
      <c r="F1479" s="361" t="s">
        <v>1169</v>
      </c>
      <c r="G1479" s="360" t="s">
        <v>319</v>
      </c>
      <c r="H1479" s="361"/>
      <c r="I1479" s="361"/>
      <c r="J1479" s="361" t="s">
        <v>325</v>
      </c>
      <c r="K1479" s="363"/>
      <c r="L1479" s="360"/>
      <c r="M1479" s="360"/>
      <c r="N1479" s="361"/>
      <c r="O1479" s="361"/>
      <c r="P1479" s="361"/>
      <c r="Q1479" s="361"/>
      <c r="R1479" s="362"/>
      <c r="S1479" s="361"/>
      <c r="T1479" s="360" t="s">
        <v>132</v>
      </c>
    </row>
    <row r="1480" ht="34.5">
      <c r="A1480" s="360" t="s">
        <v>1243</v>
      </c>
      <c r="B1480" s="360" t="s">
        <v>1244</v>
      </c>
      <c r="C1480" s="360" t="s">
        <v>378</v>
      </c>
      <c r="D1480" s="360" t="s">
        <v>128</v>
      </c>
      <c r="E1480" s="360" t="s">
        <v>317</v>
      </c>
      <c r="F1480" s="361" t="s">
        <v>1169</v>
      </c>
      <c r="G1480" s="360" t="s">
        <v>319</v>
      </c>
      <c r="H1480" s="361"/>
      <c r="I1480" s="361"/>
      <c r="J1480" s="361" t="s">
        <v>328</v>
      </c>
      <c r="K1480" s="363"/>
      <c r="L1480" s="360"/>
      <c r="M1480" s="360"/>
      <c r="N1480" s="361"/>
      <c r="O1480" s="361"/>
      <c r="P1480" s="361"/>
      <c r="Q1480" s="361"/>
      <c r="R1480" s="362"/>
      <c r="S1480" s="361"/>
      <c r="T1480" s="360" t="s">
        <v>132</v>
      </c>
    </row>
    <row r="1481" ht="34.5">
      <c r="A1481" s="360" t="s">
        <v>1243</v>
      </c>
      <c r="B1481" s="360" t="s">
        <v>1244</v>
      </c>
      <c r="C1481" s="360" t="s">
        <v>378</v>
      </c>
      <c r="D1481" s="360" t="s">
        <v>128</v>
      </c>
      <c r="E1481" s="360" t="s">
        <v>317</v>
      </c>
      <c r="F1481" s="361" t="s">
        <v>1169</v>
      </c>
      <c r="G1481" s="360" t="s">
        <v>319</v>
      </c>
      <c r="H1481" s="361"/>
      <c r="I1481" s="361"/>
      <c r="J1481" s="361" t="s">
        <v>1260</v>
      </c>
      <c r="K1481" s="363"/>
      <c r="L1481" s="360"/>
      <c r="M1481" s="360"/>
      <c r="N1481" s="361"/>
      <c r="O1481" s="361"/>
      <c r="P1481" s="361"/>
      <c r="Q1481" s="361"/>
      <c r="R1481" s="362"/>
      <c r="S1481" s="361"/>
      <c r="T1481" s="360" t="s">
        <v>132</v>
      </c>
    </row>
    <row r="1482" ht="34.5">
      <c r="A1482" s="360" t="s">
        <v>1243</v>
      </c>
      <c r="B1482" s="360" t="s">
        <v>1244</v>
      </c>
      <c r="C1482" s="360" t="s">
        <v>378</v>
      </c>
      <c r="D1482" s="360" t="s">
        <v>128</v>
      </c>
      <c r="E1482" s="360" t="s">
        <v>317</v>
      </c>
      <c r="F1482" s="361" t="s">
        <v>1169</v>
      </c>
      <c r="G1482" s="360" t="s">
        <v>319</v>
      </c>
      <c r="H1482" s="361"/>
      <c r="I1482" s="361"/>
      <c r="J1482" s="361" t="s">
        <v>1172</v>
      </c>
      <c r="K1482" s="363"/>
      <c r="L1482" s="360"/>
      <c r="M1482" s="360"/>
      <c r="N1482" s="361"/>
      <c r="O1482" s="361"/>
      <c r="P1482" s="361"/>
      <c r="Q1482" s="361"/>
      <c r="R1482" s="362"/>
      <c r="S1482" s="361"/>
      <c r="T1482" s="360" t="s">
        <v>132</v>
      </c>
    </row>
    <row r="1483" ht="34.5">
      <c r="A1483" s="360" t="s">
        <v>1243</v>
      </c>
      <c r="B1483" s="360" t="s">
        <v>1244</v>
      </c>
      <c r="C1483" s="360" t="s">
        <v>378</v>
      </c>
      <c r="D1483" s="360" t="s">
        <v>128</v>
      </c>
      <c r="E1483" s="360" t="s">
        <v>317</v>
      </c>
      <c r="F1483" s="361" t="s">
        <v>1169</v>
      </c>
      <c r="G1483" s="360" t="s">
        <v>319</v>
      </c>
      <c r="H1483" s="361"/>
      <c r="I1483" s="361"/>
      <c r="J1483" s="361" t="s">
        <v>1173</v>
      </c>
      <c r="K1483" s="363"/>
      <c r="L1483" s="360"/>
      <c r="M1483" s="360"/>
      <c r="N1483" s="361"/>
      <c r="O1483" s="361"/>
      <c r="P1483" s="361"/>
      <c r="Q1483" s="361"/>
      <c r="R1483" s="362"/>
      <c r="S1483" s="361"/>
      <c r="T1483" s="360" t="s">
        <v>132</v>
      </c>
    </row>
    <row r="1484" ht="34.5">
      <c r="A1484" s="360" t="s">
        <v>1243</v>
      </c>
      <c r="B1484" s="360" t="s">
        <v>1244</v>
      </c>
      <c r="C1484" s="360" t="s">
        <v>378</v>
      </c>
      <c r="D1484" s="360" t="s">
        <v>128</v>
      </c>
      <c r="E1484" s="360" t="s">
        <v>317</v>
      </c>
      <c r="F1484" s="361" t="s">
        <v>1169</v>
      </c>
      <c r="G1484" s="360" t="s">
        <v>319</v>
      </c>
      <c r="H1484" s="361"/>
      <c r="I1484" s="361"/>
      <c r="J1484" s="361" t="s">
        <v>1174</v>
      </c>
      <c r="K1484" s="363"/>
      <c r="L1484" s="360"/>
      <c r="M1484" s="360"/>
      <c r="N1484" s="361"/>
      <c r="O1484" s="361"/>
      <c r="P1484" s="361"/>
      <c r="Q1484" s="361"/>
      <c r="R1484" s="362"/>
      <c r="S1484" s="361"/>
      <c r="T1484" s="360" t="s">
        <v>132</v>
      </c>
    </row>
    <row r="1485" ht="34.5">
      <c r="A1485" s="360" t="s">
        <v>1243</v>
      </c>
      <c r="B1485" s="360" t="s">
        <v>1244</v>
      </c>
      <c r="C1485" s="360" t="s">
        <v>394</v>
      </c>
      <c r="D1485" s="360" t="s">
        <v>128</v>
      </c>
      <c r="E1485" s="360" t="s">
        <v>317</v>
      </c>
      <c r="F1485" s="361" t="s">
        <v>1169</v>
      </c>
      <c r="G1485" s="360" t="s">
        <v>319</v>
      </c>
      <c r="H1485" s="361"/>
      <c r="I1485" s="361"/>
      <c r="J1485" s="361" t="s">
        <v>1175</v>
      </c>
      <c r="K1485" s="363"/>
      <c r="L1485" s="360"/>
      <c r="M1485" s="360"/>
      <c r="N1485" s="361"/>
      <c r="O1485" s="361"/>
      <c r="P1485" s="361"/>
      <c r="Q1485" s="361"/>
      <c r="R1485" s="362"/>
      <c r="S1485" s="361"/>
      <c r="T1485" s="360" t="s">
        <v>132</v>
      </c>
    </row>
    <row r="1486" ht="34.5">
      <c r="A1486" s="360" t="s">
        <v>1243</v>
      </c>
      <c r="B1486" s="360" t="s">
        <v>1244</v>
      </c>
      <c r="C1486" s="360" t="s">
        <v>394</v>
      </c>
      <c r="D1486" s="360" t="s">
        <v>128</v>
      </c>
      <c r="E1486" s="360" t="s">
        <v>317</v>
      </c>
      <c r="F1486" s="361" t="s">
        <v>1169</v>
      </c>
      <c r="G1486" s="360" t="s">
        <v>319</v>
      </c>
      <c r="H1486" s="361"/>
      <c r="I1486" s="361"/>
      <c r="J1486" s="361" t="s">
        <v>1176</v>
      </c>
      <c r="K1486" s="363"/>
      <c r="L1486" s="360"/>
      <c r="M1486" s="360"/>
      <c r="N1486" s="361"/>
      <c r="O1486" s="361"/>
      <c r="P1486" s="361"/>
      <c r="Q1486" s="361"/>
      <c r="R1486" s="362"/>
      <c r="S1486" s="361"/>
      <c r="T1486" s="360" t="s">
        <v>132</v>
      </c>
    </row>
    <row r="1487" ht="34.5">
      <c r="A1487" s="360" t="s">
        <v>1243</v>
      </c>
      <c r="B1487" s="360" t="s">
        <v>1244</v>
      </c>
      <c r="C1487" s="360" t="s">
        <v>394</v>
      </c>
      <c r="D1487" s="360" t="s">
        <v>128</v>
      </c>
      <c r="E1487" s="360" t="s">
        <v>317</v>
      </c>
      <c r="F1487" s="361" t="s">
        <v>1169</v>
      </c>
      <c r="G1487" s="360" t="s">
        <v>319</v>
      </c>
      <c r="H1487" s="361"/>
      <c r="I1487" s="361"/>
      <c r="J1487" s="361" t="s">
        <v>1177</v>
      </c>
      <c r="K1487" s="363"/>
      <c r="L1487" s="360"/>
      <c r="M1487" s="360"/>
      <c r="N1487" s="361"/>
      <c r="O1487" s="361"/>
      <c r="P1487" s="361"/>
      <c r="Q1487" s="361"/>
      <c r="R1487" s="362"/>
      <c r="S1487" s="361"/>
      <c r="T1487" s="360" t="s">
        <v>132</v>
      </c>
    </row>
    <row r="1488" ht="34.5">
      <c r="A1488" s="360" t="s">
        <v>1243</v>
      </c>
      <c r="B1488" s="360" t="s">
        <v>1244</v>
      </c>
      <c r="C1488" s="360" t="s">
        <v>394</v>
      </c>
      <c r="D1488" s="360" t="s">
        <v>128</v>
      </c>
      <c r="E1488" s="360" t="s">
        <v>317</v>
      </c>
      <c r="F1488" s="361" t="s">
        <v>1169</v>
      </c>
      <c r="G1488" s="360" t="s">
        <v>319</v>
      </c>
      <c r="H1488" s="361"/>
      <c r="I1488" s="361"/>
      <c r="J1488" s="361" t="s">
        <v>1178</v>
      </c>
      <c r="K1488" s="363"/>
      <c r="L1488" s="360"/>
      <c r="M1488" s="360"/>
      <c r="N1488" s="361"/>
      <c r="O1488" s="361"/>
      <c r="P1488" s="361"/>
      <c r="Q1488" s="361"/>
      <c r="R1488" s="362"/>
      <c r="S1488" s="361"/>
      <c r="T1488" s="360" t="s">
        <v>132</v>
      </c>
    </row>
    <row r="1489" ht="34.5">
      <c r="A1489" s="360" t="s">
        <v>1243</v>
      </c>
      <c r="B1489" s="360" t="s">
        <v>1244</v>
      </c>
      <c r="C1489" s="360" t="s">
        <v>394</v>
      </c>
      <c r="D1489" s="360" t="s">
        <v>128</v>
      </c>
      <c r="E1489" s="360" t="s">
        <v>317</v>
      </c>
      <c r="F1489" s="361" t="s">
        <v>1169</v>
      </c>
      <c r="G1489" s="360" t="s">
        <v>319</v>
      </c>
      <c r="H1489" s="361"/>
      <c r="I1489" s="361"/>
      <c r="J1489" s="361" t="s">
        <v>1179</v>
      </c>
      <c r="K1489" s="363"/>
      <c r="L1489" s="360"/>
      <c r="M1489" s="360"/>
      <c r="N1489" s="361"/>
      <c r="O1489" s="361"/>
      <c r="P1489" s="361"/>
      <c r="Q1489" s="361"/>
      <c r="R1489" s="362"/>
      <c r="S1489" s="361"/>
      <c r="T1489" s="360" t="s">
        <v>132</v>
      </c>
    </row>
    <row r="1490" ht="34.5">
      <c r="A1490" s="360" t="s">
        <v>1243</v>
      </c>
      <c r="B1490" s="360" t="s">
        <v>1244</v>
      </c>
      <c r="C1490" s="360" t="s">
        <v>394</v>
      </c>
      <c r="D1490" s="360" t="s">
        <v>128</v>
      </c>
      <c r="E1490" s="360" t="s">
        <v>317</v>
      </c>
      <c r="F1490" s="361" t="s">
        <v>1169</v>
      </c>
      <c r="G1490" s="360" t="s">
        <v>319</v>
      </c>
      <c r="H1490" s="361"/>
      <c r="I1490" s="361"/>
      <c r="J1490" s="361" t="s">
        <v>1180</v>
      </c>
      <c r="K1490" s="363"/>
      <c r="L1490" s="360"/>
      <c r="M1490" s="360"/>
      <c r="N1490" s="361"/>
      <c r="O1490" s="361"/>
      <c r="P1490" s="361"/>
      <c r="Q1490" s="361"/>
      <c r="R1490" s="362"/>
      <c r="S1490" s="361"/>
      <c r="T1490" s="360" t="s">
        <v>132</v>
      </c>
    </row>
    <row r="1491" ht="34.5">
      <c r="A1491" s="360" t="s">
        <v>1243</v>
      </c>
      <c r="B1491" s="360" t="s">
        <v>1244</v>
      </c>
      <c r="C1491" s="360" t="s">
        <v>394</v>
      </c>
      <c r="D1491" s="360" t="s">
        <v>128</v>
      </c>
      <c r="E1491" s="360" t="s">
        <v>317</v>
      </c>
      <c r="F1491" s="361" t="s">
        <v>1169</v>
      </c>
      <c r="G1491" s="360" t="s">
        <v>319</v>
      </c>
      <c r="H1491" s="361"/>
      <c r="I1491" s="361"/>
      <c r="J1491" s="361" t="s">
        <v>1181</v>
      </c>
      <c r="K1491" s="363"/>
      <c r="L1491" s="360"/>
      <c r="M1491" s="360"/>
      <c r="N1491" s="361"/>
      <c r="O1491" s="361"/>
      <c r="P1491" s="361"/>
      <c r="Q1491" s="361"/>
      <c r="R1491" s="362"/>
      <c r="S1491" s="361"/>
      <c r="T1491" s="360" t="s">
        <v>132</v>
      </c>
    </row>
    <row r="1492" ht="34.5">
      <c r="A1492" s="360" t="s">
        <v>1243</v>
      </c>
      <c r="B1492" s="360" t="s">
        <v>1244</v>
      </c>
      <c r="C1492" s="360" t="s">
        <v>394</v>
      </c>
      <c r="D1492" s="360" t="s">
        <v>128</v>
      </c>
      <c r="E1492" s="360" t="s">
        <v>317</v>
      </c>
      <c r="F1492" s="361" t="s">
        <v>1169</v>
      </c>
      <c r="G1492" s="360" t="s">
        <v>319</v>
      </c>
      <c r="H1492" s="361"/>
      <c r="I1492" s="361"/>
      <c r="J1492" s="361" t="s">
        <v>1182</v>
      </c>
      <c r="K1492" s="363"/>
      <c r="L1492" s="360"/>
      <c r="M1492" s="360"/>
      <c r="N1492" s="361"/>
      <c r="O1492" s="361"/>
      <c r="P1492" s="361"/>
      <c r="Q1492" s="361"/>
      <c r="R1492" s="362"/>
      <c r="S1492" s="361"/>
      <c r="T1492" s="360" t="s">
        <v>132</v>
      </c>
    </row>
    <row r="1493" ht="34.5">
      <c r="A1493" s="360" t="s">
        <v>1243</v>
      </c>
      <c r="B1493" s="360" t="s">
        <v>1244</v>
      </c>
      <c r="C1493" s="360" t="s">
        <v>394</v>
      </c>
      <c r="D1493" s="360" t="s">
        <v>128</v>
      </c>
      <c r="E1493" s="360" t="s">
        <v>317</v>
      </c>
      <c r="F1493" s="361" t="s">
        <v>1169</v>
      </c>
      <c r="G1493" s="360" t="s">
        <v>319</v>
      </c>
      <c r="H1493" s="361"/>
      <c r="I1493" s="361"/>
      <c r="J1493" s="361" t="s">
        <v>1183</v>
      </c>
      <c r="K1493" s="363"/>
      <c r="L1493" s="360"/>
      <c r="M1493" s="360"/>
      <c r="N1493" s="361"/>
      <c r="O1493" s="361"/>
      <c r="P1493" s="361"/>
      <c r="Q1493" s="361"/>
      <c r="R1493" s="362"/>
      <c r="S1493" s="361"/>
      <c r="T1493" s="360" t="s">
        <v>132</v>
      </c>
    </row>
    <row r="1494" ht="34.5">
      <c r="A1494" s="360" t="s">
        <v>1243</v>
      </c>
      <c r="B1494" s="360" t="s">
        <v>1244</v>
      </c>
      <c r="C1494" s="360" t="s">
        <v>394</v>
      </c>
      <c r="D1494" s="360" t="s">
        <v>128</v>
      </c>
      <c r="E1494" s="360" t="s">
        <v>317</v>
      </c>
      <c r="F1494" s="361" t="s">
        <v>1169</v>
      </c>
      <c r="G1494" s="360" t="s">
        <v>319</v>
      </c>
      <c r="H1494" s="361"/>
      <c r="I1494" s="361"/>
      <c r="J1494" s="361" t="s">
        <v>1184</v>
      </c>
      <c r="K1494" s="363"/>
      <c r="L1494" s="360"/>
      <c r="M1494" s="360"/>
      <c r="N1494" s="361"/>
      <c r="O1494" s="361"/>
      <c r="P1494" s="361"/>
      <c r="Q1494" s="361"/>
      <c r="R1494" s="362"/>
      <c r="S1494" s="361"/>
      <c r="T1494" s="360" t="s">
        <v>132</v>
      </c>
    </row>
    <row r="1495" ht="34.5">
      <c r="A1495" s="360" t="s">
        <v>1243</v>
      </c>
      <c r="B1495" s="360" t="s">
        <v>1244</v>
      </c>
      <c r="C1495" s="360" t="s">
        <v>394</v>
      </c>
      <c r="D1495" s="360" t="s">
        <v>128</v>
      </c>
      <c r="E1495" s="360" t="s">
        <v>317</v>
      </c>
      <c r="F1495" s="361" t="s">
        <v>1169</v>
      </c>
      <c r="G1495" s="360" t="s">
        <v>319</v>
      </c>
      <c r="H1495" s="361"/>
      <c r="I1495" s="361"/>
      <c r="J1495" s="361" t="s">
        <v>1185</v>
      </c>
      <c r="K1495" s="363"/>
      <c r="L1495" s="360"/>
      <c r="M1495" s="360"/>
      <c r="N1495" s="361"/>
      <c r="O1495" s="361"/>
      <c r="P1495" s="361"/>
      <c r="Q1495" s="361"/>
      <c r="R1495" s="362"/>
      <c r="S1495" s="361"/>
      <c r="T1495" s="360" t="s">
        <v>132</v>
      </c>
    </row>
    <row r="1496" ht="34.5">
      <c r="A1496" s="360" t="s">
        <v>1243</v>
      </c>
      <c r="B1496" s="360" t="s">
        <v>1244</v>
      </c>
      <c r="C1496" s="360" t="s">
        <v>394</v>
      </c>
      <c r="D1496" s="360" t="s">
        <v>128</v>
      </c>
      <c r="E1496" s="360" t="s">
        <v>317</v>
      </c>
      <c r="F1496" s="361" t="s">
        <v>1169</v>
      </c>
      <c r="G1496" s="360" t="s">
        <v>319</v>
      </c>
      <c r="H1496" s="361"/>
      <c r="I1496" s="361"/>
      <c r="J1496" s="361" t="s">
        <v>1186</v>
      </c>
      <c r="K1496" s="363"/>
      <c r="L1496" s="360"/>
      <c r="M1496" s="360"/>
      <c r="N1496" s="361"/>
      <c r="O1496" s="361"/>
      <c r="P1496" s="361"/>
      <c r="Q1496" s="361"/>
      <c r="R1496" s="362"/>
      <c r="S1496" s="361"/>
      <c r="T1496" s="360" t="s">
        <v>132</v>
      </c>
    </row>
    <row r="1497" ht="34.5">
      <c r="A1497" s="360" t="s">
        <v>1243</v>
      </c>
      <c r="B1497" s="360" t="s">
        <v>1244</v>
      </c>
      <c r="C1497" s="360" t="s">
        <v>404</v>
      </c>
      <c r="D1497" s="360" t="s">
        <v>128</v>
      </c>
      <c r="E1497" s="360" t="s">
        <v>317</v>
      </c>
      <c r="F1497" s="361" t="s">
        <v>1169</v>
      </c>
      <c r="G1497" s="360" t="s">
        <v>319</v>
      </c>
      <c r="H1497" s="361"/>
      <c r="I1497" s="361"/>
      <c r="J1497" s="361" t="s">
        <v>1187</v>
      </c>
      <c r="K1497" s="363"/>
      <c r="L1497" s="360"/>
      <c r="M1497" s="360"/>
      <c r="N1497" s="361"/>
      <c r="O1497" s="361"/>
      <c r="P1497" s="361"/>
      <c r="Q1497" s="361"/>
      <c r="R1497" s="362"/>
      <c r="S1497" s="361"/>
      <c r="T1497" s="360" t="s">
        <v>132</v>
      </c>
    </row>
    <row r="1498" ht="34.5">
      <c r="A1498" s="360" t="s">
        <v>1243</v>
      </c>
      <c r="B1498" s="360" t="s">
        <v>1244</v>
      </c>
      <c r="C1498" s="360" t="s">
        <v>404</v>
      </c>
      <c r="D1498" s="360" t="s">
        <v>128</v>
      </c>
      <c r="E1498" s="360" t="s">
        <v>317</v>
      </c>
      <c r="F1498" s="361" t="s">
        <v>1169</v>
      </c>
      <c r="G1498" s="360" t="s">
        <v>319</v>
      </c>
      <c r="H1498" s="361"/>
      <c r="I1498" s="361"/>
      <c r="J1498" s="361" t="s">
        <v>1261</v>
      </c>
      <c r="K1498" s="363"/>
      <c r="L1498" s="360"/>
      <c r="M1498" s="360"/>
      <c r="N1498" s="361"/>
      <c r="O1498" s="361"/>
      <c r="P1498" s="361"/>
      <c r="Q1498" s="361"/>
      <c r="R1498" s="362"/>
      <c r="S1498" s="361"/>
      <c r="T1498" s="360" t="s">
        <v>132</v>
      </c>
    </row>
    <row r="1499" ht="34.5">
      <c r="A1499" s="360" t="s">
        <v>1243</v>
      </c>
      <c r="B1499" s="360" t="s">
        <v>1244</v>
      </c>
      <c r="C1499" s="360" t="s">
        <v>404</v>
      </c>
      <c r="D1499" s="360" t="s">
        <v>128</v>
      </c>
      <c r="E1499" s="360" t="s">
        <v>317</v>
      </c>
      <c r="F1499" s="361" t="s">
        <v>1169</v>
      </c>
      <c r="G1499" s="360" t="s">
        <v>319</v>
      </c>
      <c r="H1499" s="361"/>
      <c r="I1499" s="361"/>
      <c r="J1499" s="361" t="s">
        <v>1262</v>
      </c>
      <c r="K1499" s="363">
        <v>54041375</v>
      </c>
      <c r="L1499" s="360" t="s">
        <v>314</v>
      </c>
      <c r="M1499" s="360"/>
      <c r="N1499" s="361"/>
      <c r="O1499" s="361"/>
      <c r="P1499" s="361"/>
      <c r="Q1499" s="361"/>
      <c r="R1499" s="362"/>
      <c r="S1499" s="361"/>
      <c r="T1499" s="360" t="s">
        <v>132</v>
      </c>
    </row>
    <row r="1500" ht="34.5">
      <c r="A1500" s="360" t="s">
        <v>1243</v>
      </c>
      <c r="B1500" s="360" t="s">
        <v>1244</v>
      </c>
      <c r="C1500" s="360" t="s">
        <v>404</v>
      </c>
      <c r="D1500" s="360" t="s">
        <v>128</v>
      </c>
      <c r="E1500" s="360" t="s">
        <v>317</v>
      </c>
      <c r="F1500" s="361" t="s">
        <v>1169</v>
      </c>
      <c r="G1500" s="360" t="s">
        <v>319</v>
      </c>
      <c r="H1500" s="361"/>
      <c r="I1500" s="361"/>
      <c r="J1500" s="361" t="s">
        <v>1263</v>
      </c>
      <c r="K1500" s="363"/>
      <c r="L1500" s="360"/>
      <c r="M1500" s="360"/>
      <c r="N1500" s="361"/>
      <c r="O1500" s="361"/>
      <c r="P1500" s="361"/>
      <c r="Q1500" s="361"/>
      <c r="R1500" s="362"/>
      <c r="S1500" s="361"/>
      <c r="T1500" s="360" t="s">
        <v>132</v>
      </c>
    </row>
    <row r="1501" ht="34.5">
      <c r="A1501" s="360" t="s">
        <v>1243</v>
      </c>
      <c r="B1501" s="360" t="s">
        <v>1244</v>
      </c>
      <c r="C1501" s="360" t="s">
        <v>404</v>
      </c>
      <c r="D1501" s="360" t="s">
        <v>128</v>
      </c>
      <c r="E1501" s="360" t="s">
        <v>317</v>
      </c>
      <c r="F1501" s="361" t="s">
        <v>1169</v>
      </c>
      <c r="G1501" s="360" t="s">
        <v>319</v>
      </c>
      <c r="H1501" s="361"/>
      <c r="I1501" s="361"/>
      <c r="J1501" s="361" t="s">
        <v>1264</v>
      </c>
      <c r="K1501" s="363"/>
      <c r="L1501" s="360"/>
      <c r="M1501" s="360"/>
      <c r="N1501" s="361"/>
      <c r="O1501" s="361"/>
      <c r="P1501" s="361"/>
      <c r="Q1501" s="361"/>
      <c r="R1501" s="362"/>
      <c r="S1501" s="361"/>
      <c r="T1501" s="360" t="s">
        <v>132</v>
      </c>
    </row>
    <row r="1502" ht="34.5">
      <c r="A1502" s="360" t="s">
        <v>1243</v>
      </c>
      <c r="B1502" s="360" t="s">
        <v>1244</v>
      </c>
      <c r="C1502" s="360" t="s">
        <v>404</v>
      </c>
      <c r="D1502" s="360" t="s">
        <v>128</v>
      </c>
      <c r="E1502" s="360" t="s">
        <v>317</v>
      </c>
      <c r="F1502" s="361" t="s">
        <v>1169</v>
      </c>
      <c r="G1502" s="360" t="s">
        <v>319</v>
      </c>
      <c r="H1502" s="361"/>
      <c r="I1502" s="361"/>
      <c r="J1502" s="361" t="s">
        <v>1192</v>
      </c>
      <c r="K1502" s="363"/>
      <c r="L1502" s="360"/>
      <c r="M1502" s="360"/>
      <c r="N1502" s="361"/>
      <c r="O1502" s="361"/>
      <c r="P1502" s="361"/>
      <c r="Q1502" s="361"/>
      <c r="R1502" s="362"/>
      <c r="S1502" s="361"/>
      <c r="T1502" s="360" t="s">
        <v>132</v>
      </c>
    </row>
    <row r="1503" ht="34.5">
      <c r="A1503" s="360" t="s">
        <v>1243</v>
      </c>
      <c r="B1503" s="360" t="s">
        <v>1244</v>
      </c>
      <c r="C1503" s="360" t="s">
        <v>404</v>
      </c>
      <c r="D1503" s="360" t="s">
        <v>455</v>
      </c>
      <c r="E1503" s="360" t="s">
        <v>317</v>
      </c>
      <c r="F1503" s="361" t="s">
        <v>1169</v>
      </c>
      <c r="G1503" s="360" t="s">
        <v>319</v>
      </c>
      <c r="H1503" s="361"/>
      <c r="I1503" s="361"/>
      <c r="J1503" s="361" t="s">
        <v>456</v>
      </c>
      <c r="K1503" s="363"/>
      <c r="L1503" s="360"/>
      <c r="M1503" s="360"/>
      <c r="N1503" s="361"/>
      <c r="O1503" s="361"/>
      <c r="P1503" s="361"/>
      <c r="Q1503" s="361"/>
      <c r="R1503" s="362"/>
      <c r="S1503" s="361"/>
      <c r="T1503" s="360" t="s">
        <v>132</v>
      </c>
    </row>
    <row r="1504" ht="34.5">
      <c r="A1504" s="360" t="s">
        <v>1243</v>
      </c>
      <c r="B1504" s="360" t="s">
        <v>1244</v>
      </c>
      <c r="C1504" s="360" t="s">
        <v>404</v>
      </c>
      <c r="D1504" s="360" t="s">
        <v>128</v>
      </c>
      <c r="E1504" s="360" t="s">
        <v>317</v>
      </c>
      <c r="F1504" s="361" t="s">
        <v>1169</v>
      </c>
      <c r="G1504" s="360" t="s">
        <v>319</v>
      </c>
      <c r="H1504" s="361"/>
      <c r="I1504" s="361"/>
      <c r="J1504" s="361" t="s">
        <v>1193</v>
      </c>
      <c r="K1504" s="363"/>
      <c r="L1504" s="360"/>
      <c r="M1504" s="360"/>
      <c r="N1504" s="361"/>
      <c r="O1504" s="361"/>
      <c r="P1504" s="361"/>
      <c r="Q1504" s="361"/>
      <c r="R1504" s="362"/>
      <c r="S1504" s="361"/>
      <c r="T1504" s="360" t="s">
        <v>132</v>
      </c>
    </row>
    <row r="1505" ht="34.5">
      <c r="A1505" s="360" t="s">
        <v>1243</v>
      </c>
      <c r="B1505" s="360" t="s">
        <v>1244</v>
      </c>
      <c r="C1505" s="360" t="s">
        <v>404</v>
      </c>
      <c r="D1505" s="360" t="s">
        <v>463</v>
      </c>
      <c r="E1505" s="360" t="s">
        <v>317</v>
      </c>
      <c r="F1505" s="361" t="s">
        <v>1169</v>
      </c>
      <c r="G1505" s="360" t="s">
        <v>319</v>
      </c>
      <c r="H1505" s="361"/>
      <c r="I1505" s="361"/>
      <c r="J1505" s="361" t="s">
        <v>464</v>
      </c>
      <c r="K1505" s="363"/>
      <c r="L1505" s="360"/>
      <c r="M1505" s="360"/>
      <c r="N1505" s="361"/>
      <c r="O1505" s="361"/>
      <c r="P1505" s="361"/>
      <c r="Q1505" s="361"/>
      <c r="R1505" s="362"/>
      <c r="S1505" s="361"/>
      <c r="T1505" s="360" t="s">
        <v>132</v>
      </c>
    </row>
    <row r="1506" ht="34.5">
      <c r="A1506" s="360" t="s">
        <v>1243</v>
      </c>
      <c r="B1506" s="360" t="s">
        <v>1244</v>
      </c>
      <c r="C1506" s="360" t="s">
        <v>404</v>
      </c>
      <c r="D1506" s="360" t="s">
        <v>128</v>
      </c>
      <c r="E1506" s="360" t="s">
        <v>317</v>
      </c>
      <c r="F1506" s="361" t="s">
        <v>1169</v>
      </c>
      <c r="G1506" s="360" t="s">
        <v>319</v>
      </c>
      <c r="H1506" s="361"/>
      <c r="I1506" s="361"/>
      <c r="J1506" s="361" t="s">
        <v>1194</v>
      </c>
      <c r="K1506" s="363"/>
      <c r="L1506" s="360"/>
      <c r="M1506" s="360"/>
      <c r="N1506" s="361"/>
      <c r="O1506" s="361"/>
      <c r="P1506" s="361"/>
      <c r="Q1506" s="361"/>
      <c r="R1506" s="362"/>
      <c r="S1506" s="361"/>
      <c r="T1506" s="360" t="s">
        <v>132</v>
      </c>
    </row>
    <row r="1507" ht="34.5">
      <c r="A1507" s="360" t="s">
        <v>1243</v>
      </c>
      <c r="B1507" s="360" t="s">
        <v>1244</v>
      </c>
      <c r="C1507" s="360" t="s">
        <v>417</v>
      </c>
      <c r="D1507" s="360" t="s">
        <v>128</v>
      </c>
      <c r="E1507" s="360" t="s">
        <v>317</v>
      </c>
      <c r="F1507" s="361" t="s">
        <v>1169</v>
      </c>
      <c r="G1507" s="360" t="s">
        <v>319</v>
      </c>
      <c r="H1507" s="361"/>
      <c r="I1507" s="361"/>
      <c r="J1507" s="361" t="s">
        <v>1195</v>
      </c>
      <c r="K1507" s="363"/>
      <c r="L1507" s="360"/>
      <c r="M1507" s="360"/>
      <c r="N1507" s="361"/>
      <c r="O1507" s="361"/>
      <c r="P1507" s="361"/>
      <c r="Q1507" s="361"/>
      <c r="R1507" s="362"/>
      <c r="S1507" s="361"/>
      <c r="T1507" s="360" t="s">
        <v>132</v>
      </c>
    </row>
    <row r="1508" ht="34.5">
      <c r="A1508" s="360" t="s">
        <v>1243</v>
      </c>
      <c r="B1508" s="360" t="s">
        <v>1244</v>
      </c>
      <c r="C1508" s="360" t="s">
        <v>417</v>
      </c>
      <c r="D1508" s="360" t="s">
        <v>486</v>
      </c>
      <c r="E1508" s="360" t="s">
        <v>317</v>
      </c>
      <c r="F1508" s="361" t="s">
        <v>1169</v>
      </c>
      <c r="G1508" s="360" t="s">
        <v>319</v>
      </c>
      <c r="H1508" s="361"/>
      <c r="I1508" s="361"/>
      <c r="J1508" s="361" t="s">
        <v>1265</v>
      </c>
      <c r="K1508" s="363"/>
      <c r="L1508" s="360"/>
      <c r="M1508" s="360"/>
      <c r="N1508" s="361"/>
      <c r="O1508" s="361"/>
      <c r="P1508" s="361"/>
      <c r="Q1508" s="361"/>
      <c r="R1508" s="362"/>
      <c r="S1508" s="361"/>
      <c r="T1508" s="360" t="s">
        <v>132</v>
      </c>
    </row>
    <row r="1509" ht="34.5">
      <c r="A1509" s="360" t="s">
        <v>1243</v>
      </c>
      <c r="B1509" s="360" t="s">
        <v>1244</v>
      </c>
      <c r="C1509" s="360" t="s">
        <v>417</v>
      </c>
      <c r="D1509" s="360" t="s">
        <v>128</v>
      </c>
      <c r="E1509" s="360" t="s">
        <v>317</v>
      </c>
      <c r="F1509" s="361" t="s">
        <v>1169</v>
      </c>
      <c r="G1509" s="360" t="s">
        <v>319</v>
      </c>
      <c r="H1509" s="361"/>
      <c r="I1509" s="361"/>
      <c r="J1509" s="361" t="s">
        <v>1196</v>
      </c>
      <c r="K1509" s="363"/>
      <c r="L1509" s="360"/>
      <c r="M1509" s="360"/>
      <c r="N1509" s="361"/>
      <c r="O1509" s="361"/>
      <c r="P1509" s="361"/>
      <c r="Q1509" s="361"/>
      <c r="R1509" s="362"/>
      <c r="S1509" s="361"/>
      <c r="T1509" s="360" t="s">
        <v>132</v>
      </c>
    </row>
    <row r="1510" ht="34.5">
      <c r="A1510" s="360" t="s">
        <v>1243</v>
      </c>
      <c r="B1510" s="360" t="s">
        <v>1244</v>
      </c>
      <c r="C1510" s="360" t="s">
        <v>417</v>
      </c>
      <c r="D1510" s="360" t="s">
        <v>128</v>
      </c>
      <c r="E1510" s="360" t="s">
        <v>317</v>
      </c>
      <c r="F1510" s="361" t="s">
        <v>1169</v>
      </c>
      <c r="G1510" s="360" t="s">
        <v>319</v>
      </c>
      <c r="H1510" s="361"/>
      <c r="I1510" s="361"/>
      <c r="J1510" s="361" t="s">
        <v>1266</v>
      </c>
      <c r="K1510" s="363"/>
      <c r="L1510" s="360"/>
      <c r="M1510" s="360"/>
      <c r="N1510" s="361"/>
      <c r="O1510" s="361"/>
      <c r="P1510" s="361"/>
      <c r="Q1510" s="361"/>
      <c r="R1510" s="362"/>
      <c r="S1510" s="361"/>
      <c r="T1510" s="360" t="s">
        <v>132</v>
      </c>
    </row>
    <row r="1511" ht="34.5">
      <c r="A1511" s="360" t="s">
        <v>1243</v>
      </c>
      <c r="B1511" s="360" t="s">
        <v>1244</v>
      </c>
      <c r="C1511" s="360" t="s">
        <v>417</v>
      </c>
      <c r="D1511" s="360" t="s">
        <v>128</v>
      </c>
      <c r="E1511" s="360" t="s">
        <v>317</v>
      </c>
      <c r="F1511" s="361" t="s">
        <v>1169</v>
      </c>
      <c r="G1511" s="360" t="s">
        <v>319</v>
      </c>
      <c r="H1511" s="361"/>
      <c r="I1511" s="361"/>
      <c r="J1511" s="361" t="s">
        <v>1267</v>
      </c>
      <c r="K1511" s="363"/>
      <c r="L1511" s="360"/>
      <c r="M1511" s="360"/>
      <c r="N1511" s="361"/>
      <c r="O1511" s="361"/>
      <c r="P1511" s="361"/>
      <c r="Q1511" s="361"/>
      <c r="R1511" s="362"/>
      <c r="S1511" s="361"/>
      <c r="T1511" s="360" t="s">
        <v>132</v>
      </c>
    </row>
    <row r="1512" ht="34.5">
      <c r="A1512" s="360" t="s">
        <v>1243</v>
      </c>
      <c r="B1512" s="360" t="s">
        <v>1244</v>
      </c>
      <c r="C1512" s="360" t="s">
        <v>428</v>
      </c>
      <c r="D1512" s="360" t="s">
        <v>502</v>
      </c>
      <c r="E1512" s="360" t="s">
        <v>317</v>
      </c>
      <c r="F1512" s="361" t="s">
        <v>1169</v>
      </c>
      <c r="G1512" s="360" t="s">
        <v>319</v>
      </c>
      <c r="H1512" s="361"/>
      <c r="I1512" s="361"/>
      <c r="J1512" s="361" t="s">
        <v>503</v>
      </c>
      <c r="K1512" s="363"/>
      <c r="L1512" s="360"/>
      <c r="M1512" s="360"/>
      <c r="N1512" s="361"/>
      <c r="O1512" s="361"/>
      <c r="P1512" s="361"/>
      <c r="Q1512" s="361"/>
      <c r="R1512" s="362"/>
      <c r="S1512" s="361"/>
      <c r="T1512" s="360" t="s">
        <v>132</v>
      </c>
    </row>
    <row r="1513" ht="34.5">
      <c r="A1513" s="360" t="s">
        <v>1243</v>
      </c>
      <c r="B1513" s="360" t="s">
        <v>1244</v>
      </c>
      <c r="C1513" s="360" t="s">
        <v>439</v>
      </c>
      <c r="D1513" s="360" t="s">
        <v>128</v>
      </c>
      <c r="E1513" s="360" t="s">
        <v>317</v>
      </c>
      <c r="F1513" s="361" t="s">
        <v>1169</v>
      </c>
      <c r="G1513" s="360" t="s">
        <v>319</v>
      </c>
      <c r="H1513" s="361"/>
      <c r="I1513" s="361"/>
      <c r="J1513" s="361" t="s">
        <v>1268</v>
      </c>
      <c r="K1513" s="363"/>
      <c r="L1513" s="360"/>
      <c r="M1513" s="360"/>
      <c r="N1513" s="361"/>
      <c r="O1513" s="361"/>
      <c r="P1513" s="361"/>
      <c r="Q1513" s="361"/>
      <c r="R1513" s="362"/>
      <c r="S1513" s="361"/>
      <c r="T1513" s="360" t="s">
        <v>132</v>
      </c>
    </row>
    <row r="1514" ht="34.5">
      <c r="A1514" s="360" t="s">
        <v>1243</v>
      </c>
      <c r="B1514" s="360" t="s">
        <v>1244</v>
      </c>
      <c r="C1514" s="360" t="s">
        <v>439</v>
      </c>
      <c r="D1514" s="360" t="s">
        <v>509</v>
      </c>
      <c r="E1514" s="360" t="s">
        <v>317</v>
      </c>
      <c r="F1514" s="361" t="s">
        <v>1169</v>
      </c>
      <c r="G1514" s="360" t="s">
        <v>319</v>
      </c>
      <c r="H1514" s="361"/>
      <c r="I1514" s="361"/>
      <c r="J1514" s="361" t="s">
        <v>510</v>
      </c>
      <c r="K1514" s="363"/>
      <c r="L1514" s="360"/>
      <c r="M1514" s="360"/>
      <c r="N1514" s="361"/>
      <c r="O1514" s="361"/>
      <c r="P1514" s="361"/>
      <c r="Q1514" s="361"/>
      <c r="R1514" s="362"/>
      <c r="S1514" s="361"/>
      <c r="T1514" s="360" t="s">
        <v>132</v>
      </c>
    </row>
    <row r="1515" ht="34.5">
      <c r="A1515" s="360" t="s">
        <v>1243</v>
      </c>
      <c r="B1515" s="360" t="s">
        <v>1244</v>
      </c>
      <c r="C1515" s="360" t="s">
        <v>439</v>
      </c>
      <c r="D1515" s="360" t="s">
        <v>128</v>
      </c>
      <c r="E1515" s="360" t="s">
        <v>317</v>
      </c>
      <c r="F1515" s="361" t="s">
        <v>1169</v>
      </c>
      <c r="G1515" s="360" t="s">
        <v>319</v>
      </c>
      <c r="H1515" s="361"/>
      <c r="I1515" s="361"/>
      <c r="J1515" s="361" t="s">
        <v>1269</v>
      </c>
      <c r="K1515" s="363"/>
      <c r="L1515" s="360"/>
      <c r="M1515" s="360"/>
      <c r="N1515" s="361"/>
      <c r="O1515" s="361"/>
      <c r="P1515" s="361"/>
      <c r="Q1515" s="361"/>
      <c r="R1515" s="362"/>
      <c r="S1515" s="361"/>
      <c r="T1515" s="360" t="s">
        <v>132</v>
      </c>
    </row>
    <row r="1516" ht="34.5">
      <c r="A1516" s="360" t="s">
        <v>1243</v>
      </c>
      <c r="B1516" s="360" t="s">
        <v>1244</v>
      </c>
      <c r="C1516" s="360" t="s">
        <v>439</v>
      </c>
      <c r="D1516" s="360" t="s">
        <v>514</v>
      </c>
      <c r="E1516" s="360" t="s">
        <v>317</v>
      </c>
      <c r="F1516" s="361" t="s">
        <v>1169</v>
      </c>
      <c r="G1516" s="360" t="s">
        <v>319</v>
      </c>
      <c r="H1516" s="361"/>
      <c r="I1516" s="361"/>
      <c r="J1516" s="361" t="s">
        <v>515</v>
      </c>
      <c r="K1516" s="363"/>
      <c r="L1516" s="360"/>
      <c r="M1516" s="360"/>
      <c r="N1516" s="361"/>
      <c r="O1516" s="361"/>
      <c r="P1516" s="361"/>
      <c r="Q1516" s="361"/>
      <c r="R1516" s="362"/>
      <c r="S1516" s="361"/>
      <c r="T1516" s="360" t="s">
        <v>132</v>
      </c>
    </row>
    <row r="1517" ht="34.5">
      <c r="A1517" s="360" t="s">
        <v>1243</v>
      </c>
      <c r="B1517" s="360" t="s">
        <v>1244</v>
      </c>
      <c r="C1517" s="360" t="s">
        <v>450</v>
      </c>
      <c r="D1517" s="360" t="s">
        <v>128</v>
      </c>
      <c r="E1517" s="360" t="s">
        <v>317</v>
      </c>
      <c r="F1517" s="361" t="s">
        <v>1169</v>
      </c>
      <c r="G1517" s="360" t="s">
        <v>319</v>
      </c>
      <c r="H1517" s="361"/>
      <c r="I1517" s="361"/>
      <c r="J1517" s="361" t="s">
        <v>1270</v>
      </c>
      <c r="K1517" s="363"/>
      <c r="L1517" s="360"/>
      <c r="M1517" s="360"/>
      <c r="N1517" s="361"/>
      <c r="O1517" s="361"/>
      <c r="P1517" s="361"/>
      <c r="Q1517" s="361"/>
      <c r="R1517" s="362"/>
      <c r="S1517" s="361"/>
      <c r="T1517" s="360" t="s">
        <v>132</v>
      </c>
    </row>
    <row r="1518" ht="34.5">
      <c r="A1518" s="360" t="s">
        <v>1243</v>
      </c>
      <c r="B1518" s="360" t="s">
        <v>1244</v>
      </c>
      <c r="C1518" s="360" t="s">
        <v>450</v>
      </c>
      <c r="D1518" s="360" t="s">
        <v>128</v>
      </c>
      <c r="E1518" s="360" t="s">
        <v>317</v>
      </c>
      <c r="F1518" s="361" t="s">
        <v>1169</v>
      </c>
      <c r="G1518" s="360" t="s">
        <v>319</v>
      </c>
      <c r="H1518" s="361"/>
      <c r="I1518" s="361"/>
      <c r="J1518" s="361" t="s">
        <v>1271</v>
      </c>
      <c r="K1518" s="363"/>
      <c r="L1518" s="360"/>
      <c r="M1518" s="360"/>
      <c r="N1518" s="361"/>
      <c r="O1518" s="361"/>
      <c r="P1518" s="361"/>
      <c r="Q1518" s="361"/>
      <c r="R1518" s="362"/>
      <c r="S1518" s="361"/>
      <c r="T1518" s="360" t="s">
        <v>132</v>
      </c>
    </row>
    <row r="1519" ht="34.5">
      <c r="A1519" s="360" t="s">
        <v>1243</v>
      </c>
      <c r="B1519" s="360" t="s">
        <v>1244</v>
      </c>
      <c r="C1519" s="360" t="s">
        <v>450</v>
      </c>
      <c r="D1519" s="360" t="s">
        <v>128</v>
      </c>
      <c r="E1519" s="360" t="s">
        <v>317</v>
      </c>
      <c r="F1519" s="361" t="s">
        <v>1169</v>
      </c>
      <c r="G1519" s="360" t="s">
        <v>319</v>
      </c>
      <c r="H1519" s="361"/>
      <c r="I1519" s="361"/>
      <c r="J1519" s="361" t="s">
        <v>1272</v>
      </c>
      <c r="K1519" s="363"/>
      <c r="L1519" s="360"/>
      <c r="M1519" s="360"/>
      <c r="N1519" s="361"/>
      <c r="O1519" s="361"/>
      <c r="P1519" s="361"/>
      <c r="Q1519" s="361"/>
      <c r="R1519" s="362"/>
      <c r="S1519" s="361"/>
      <c r="T1519" s="360" t="s">
        <v>132</v>
      </c>
    </row>
    <row r="1520" ht="34.5">
      <c r="A1520" s="360" t="s">
        <v>1243</v>
      </c>
      <c r="B1520" s="360" t="s">
        <v>1244</v>
      </c>
      <c r="C1520" s="360" t="s">
        <v>450</v>
      </c>
      <c r="D1520" s="360" t="s">
        <v>128</v>
      </c>
      <c r="E1520" s="360" t="s">
        <v>317</v>
      </c>
      <c r="F1520" s="361" t="s">
        <v>1169</v>
      </c>
      <c r="G1520" s="360" t="s">
        <v>319</v>
      </c>
      <c r="H1520" s="361"/>
      <c r="I1520" s="361"/>
      <c r="J1520" s="361" t="s">
        <v>1273</v>
      </c>
      <c r="K1520" s="363"/>
      <c r="L1520" s="360"/>
      <c r="M1520" s="360"/>
      <c r="N1520" s="361"/>
      <c r="O1520" s="361"/>
      <c r="P1520" s="361"/>
      <c r="Q1520" s="361"/>
      <c r="R1520" s="362"/>
      <c r="S1520" s="361"/>
      <c r="T1520" s="360" t="s">
        <v>132</v>
      </c>
    </row>
    <row r="1521" ht="34.5">
      <c r="A1521" s="360" t="s">
        <v>1243</v>
      </c>
      <c r="B1521" s="360" t="s">
        <v>1244</v>
      </c>
      <c r="C1521" s="360" t="s">
        <v>450</v>
      </c>
      <c r="D1521" s="360" t="s">
        <v>128</v>
      </c>
      <c r="E1521" s="360" t="s">
        <v>317</v>
      </c>
      <c r="F1521" s="361" t="s">
        <v>1169</v>
      </c>
      <c r="G1521" s="360" t="s">
        <v>319</v>
      </c>
      <c r="H1521" s="361"/>
      <c r="I1521" s="361"/>
      <c r="J1521" s="361" t="s">
        <v>1274</v>
      </c>
      <c r="K1521" s="363"/>
      <c r="L1521" s="360"/>
      <c r="M1521" s="360"/>
      <c r="N1521" s="361"/>
      <c r="O1521" s="361"/>
      <c r="P1521" s="361"/>
      <c r="Q1521" s="361"/>
      <c r="R1521" s="362"/>
      <c r="S1521" s="361"/>
      <c r="T1521" s="360" t="s">
        <v>132</v>
      </c>
    </row>
    <row r="1522" ht="34.5">
      <c r="A1522" s="360" t="s">
        <v>1243</v>
      </c>
      <c r="B1522" s="360" t="s">
        <v>1244</v>
      </c>
      <c r="C1522" s="360" t="s">
        <v>450</v>
      </c>
      <c r="D1522" s="360" t="s">
        <v>519</v>
      </c>
      <c r="E1522" s="360" t="s">
        <v>317</v>
      </c>
      <c r="F1522" s="361" t="s">
        <v>1169</v>
      </c>
      <c r="G1522" s="360" t="s">
        <v>319</v>
      </c>
      <c r="H1522" s="361"/>
      <c r="I1522" s="361"/>
      <c r="J1522" s="361" t="s">
        <v>520</v>
      </c>
      <c r="K1522" s="363"/>
      <c r="L1522" s="360"/>
      <c r="M1522" s="360"/>
      <c r="N1522" s="361"/>
      <c r="O1522" s="361"/>
      <c r="P1522" s="361"/>
      <c r="Q1522" s="361"/>
      <c r="R1522" s="362"/>
      <c r="S1522" s="361"/>
      <c r="T1522" s="360" t="s">
        <v>132</v>
      </c>
    </row>
    <row r="1523" ht="34.5">
      <c r="A1523" s="360" t="s">
        <v>1243</v>
      </c>
      <c r="B1523" s="360" t="s">
        <v>1244</v>
      </c>
      <c r="C1523" s="360" t="s">
        <v>450</v>
      </c>
      <c r="D1523" s="360" t="s">
        <v>128</v>
      </c>
      <c r="E1523" s="360" t="s">
        <v>317</v>
      </c>
      <c r="F1523" s="361" t="s">
        <v>1169</v>
      </c>
      <c r="G1523" s="360" t="s">
        <v>319</v>
      </c>
      <c r="H1523" s="361"/>
      <c r="I1523" s="361"/>
      <c r="J1523" s="361" t="s">
        <v>1275</v>
      </c>
      <c r="K1523" s="363"/>
      <c r="L1523" s="360"/>
      <c r="M1523" s="360"/>
      <c r="N1523" s="361"/>
      <c r="O1523" s="361"/>
      <c r="P1523" s="361"/>
      <c r="Q1523" s="361"/>
      <c r="R1523" s="362"/>
      <c r="S1523" s="361"/>
      <c r="T1523" s="360" t="s">
        <v>132</v>
      </c>
    </row>
    <row r="1524" ht="34.5">
      <c r="A1524" s="360" t="s">
        <v>1243</v>
      </c>
      <c r="B1524" s="360" t="s">
        <v>1244</v>
      </c>
      <c r="C1524" s="360" t="s">
        <v>450</v>
      </c>
      <c r="D1524" s="360" t="s">
        <v>128</v>
      </c>
      <c r="E1524" s="360" t="s">
        <v>317</v>
      </c>
      <c r="F1524" s="361" t="s">
        <v>1169</v>
      </c>
      <c r="G1524" s="360" t="s">
        <v>319</v>
      </c>
      <c r="H1524" s="361"/>
      <c r="I1524" s="361"/>
      <c r="J1524" s="361" t="s">
        <v>1276</v>
      </c>
      <c r="K1524" s="363"/>
      <c r="L1524" s="360"/>
      <c r="M1524" s="360"/>
      <c r="N1524" s="361"/>
      <c r="O1524" s="361"/>
      <c r="P1524" s="361"/>
      <c r="Q1524" s="361"/>
      <c r="R1524" s="362"/>
      <c r="S1524" s="361"/>
      <c r="T1524" s="360" t="s">
        <v>132</v>
      </c>
    </row>
    <row r="1525" ht="34.5">
      <c r="A1525" s="360" t="s">
        <v>1243</v>
      </c>
      <c r="B1525" s="360" t="s">
        <v>1244</v>
      </c>
      <c r="C1525" s="360" t="s">
        <v>458</v>
      </c>
      <c r="D1525" s="360" t="s">
        <v>128</v>
      </c>
      <c r="E1525" s="360" t="s">
        <v>317</v>
      </c>
      <c r="F1525" s="361" t="s">
        <v>1169</v>
      </c>
      <c r="G1525" s="360" t="s">
        <v>319</v>
      </c>
      <c r="H1525" s="361"/>
      <c r="I1525" s="361"/>
      <c r="J1525" s="361" t="s">
        <v>1277</v>
      </c>
      <c r="K1525" s="363"/>
      <c r="L1525" s="360"/>
      <c r="M1525" s="360"/>
      <c r="N1525" s="361"/>
      <c r="O1525" s="361"/>
      <c r="P1525" s="361"/>
      <c r="Q1525" s="361"/>
      <c r="R1525" s="362"/>
      <c r="S1525" s="361"/>
      <c r="T1525" s="360" t="s">
        <v>132</v>
      </c>
    </row>
    <row r="1526" ht="34.5">
      <c r="A1526" s="360" t="s">
        <v>1243</v>
      </c>
      <c r="B1526" s="360" t="s">
        <v>1244</v>
      </c>
      <c r="C1526" s="360" t="s">
        <v>458</v>
      </c>
      <c r="D1526" s="360" t="s">
        <v>525</v>
      </c>
      <c r="E1526" s="360" t="s">
        <v>317</v>
      </c>
      <c r="F1526" s="361" t="s">
        <v>1169</v>
      </c>
      <c r="G1526" s="360" t="s">
        <v>319</v>
      </c>
      <c r="H1526" s="361"/>
      <c r="I1526" s="361"/>
      <c r="J1526" s="361" t="s">
        <v>526</v>
      </c>
      <c r="K1526" s="363"/>
      <c r="L1526" s="360"/>
      <c r="M1526" s="360"/>
      <c r="N1526" s="361"/>
      <c r="O1526" s="361"/>
      <c r="P1526" s="361"/>
      <c r="Q1526" s="361"/>
      <c r="R1526" s="362"/>
      <c r="S1526" s="361"/>
      <c r="T1526" s="360" t="s">
        <v>132</v>
      </c>
    </row>
    <row r="1527" ht="34.5">
      <c r="A1527" s="360" t="s">
        <v>1243</v>
      </c>
      <c r="B1527" s="360" t="s">
        <v>1244</v>
      </c>
      <c r="C1527" s="360" t="s">
        <v>458</v>
      </c>
      <c r="D1527" s="360" t="s">
        <v>128</v>
      </c>
      <c r="E1527" s="360" t="s">
        <v>317</v>
      </c>
      <c r="F1527" s="361" t="s">
        <v>1169</v>
      </c>
      <c r="G1527" s="360" t="s">
        <v>319</v>
      </c>
      <c r="H1527" s="361"/>
      <c r="I1527" s="361"/>
      <c r="J1527" s="361" t="s">
        <v>1278</v>
      </c>
      <c r="K1527" s="363"/>
      <c r="L1527" s="360"/>
      <c r="M1527" s="360"/>
      <c r="N1527" s="361"/>
      <c r="O1527" s="361"/>
      <c r="P1527" s="361"/>
      <c r="Q1527" s="361"/>
      <c r="R1527" s="362"/>
      <c r="S1527" s="361"/>
      <c r="T1527" s="360" t="s">
        <v>132</v>
      </c>
    </row>
    <row r="1528" ht="34.5">
      <c r="A1528" s="360" t="s">
        <v>1243</v>
      </c>
      <c r="B1528" s="360" t="s">
        <v>1244</v>
      </c>
      <c r="C1528" s="360" t="s">
        <v>458</v>
      </c>
      <c r="D1528" s="360" t="s">
        <v>128</v>
      </c>
      <c r="E1528" s="360" t="s">
        <v>317</v>
      </c>
      <c r="F1528" s="361" t="s">
        <v>1169</v>
      </c>
      <c r="G1528" s="360" t="s">
        <v>319</v>
      </c>
      <c r="H1528" s="361"/>
      <c r="I1528" s="361"/>
      <c r="J1528" s="361" t="s">
        <v>1198</v>
      </c>
      <c r="K1528" s="363"/>
      <c r="L1528" s="360"/>
      <c r="M1528" s="360"/>
      <c r="N1528" s="361"/>
      <c r="O1528" s="361"/>
      <c r="P1528" s="361"/>
      <c r="Q1528" s="361"/>
      <c r="R1528" s="362"/>
      <c r="S1528" s="361"/>
      <c r="T1528" s="360" t="s">
        <v>132</v>
      </c>
    </row>
    <row r="1529" ht="34.5">
      <c r="A1529" s="360" t="s">
        <v>1243</v>
      </c>
      <c r="B1529" s="360" t="s">
        <v>1244</v>
      </c>
      <c r="C1529" s="360" t="s">
        <v>458</v>
      </c>
      <c r="D1529" s="360" t="s">
        <v>128</v>
      </c>
      <c r="E1529" s="360" t="s">
        <v>317</v>
      </c>
      <c r="F1529" s="361" t="s">
        <v>1169</v>
      </c>
      <c r="G1529" s="360" t="s">
        <v>319</v>
      </c>
      <c r="H1529" s="361"/>
      <c r="I1529" s="361"/>
      <c r="J1529" s="361" t="s">
        <v>1279</v>
      </c>
      <c r="K1529" s="363"/>
      <c r="L1529" s="360"/>
      <c r="M1529" s="360"/>
      <c r="N1529" s="361"/>
      <c r="O1529" s="361"/>
      <c r="P1529" s="361"/>
      <c r="Q1529" s="361"/>
      <c r="R1529" s="362"/>
      <c r="S1529" s="361"/>
      <c r="T1529" s="360" t="s">
        <v>132</v>
      </c>
    </row>
    <row r="1530" ht="34.5">
      <c r="A1530" s="360" t="s">
        <v>1243</v>
      </c>
      <c r="B1530" s="360" t="s">
        <v>1244</v>
      </c>
      <c r="C1530" s="360" t="s">
        <v>458</v>
      </c>
      <c r="D1530" s="360" t="s">
        <v>533</v>
      </c>
      <c r="E1530" s="360" t="s">
        <v>317</v>
      </c>
      <c r="F1530" s="361" t="s">
        <v>1169</v>
      </c>
      <c r="G1530" s="360" t="s">
        <v>319</v>
      </c>
      <c r="H1530" s="361"/>
      <c r="I1530" s="361"/>
      <c r="J1530" s="361" t="s">
        <v>534</v>
      </c>
      <c r="K1530" s="363"/>
      <c r="L1530" s="360"/>
      <c r="M1530" s="360"/>
      <c r="N1530" s="361"/>
      <c r="O1530" s="361"/>
      <c r="P1530" s="361"/>
      <c r="Q1530" s="361"/>
      <c r="R1530" s="362"/>
      <c r="S1530" s="361"/>
      <c r="T1530" s="360" t="s">
        <v>132</v>
      </c>
    </row>
    <row r="1531" ht="34.5">
      <c r="A1531" s="360" t="s">
        <v>1243</v>
      </c>
      <c r="B1531" s="360" t="s">
        <v>1244</v>
      </c>
      <c r="C1531" s="360" t="s">
        <v>465</v>
      </c>
      <c r="D1531" s="360" t="s">
        <v>128</v>
      </c>
      <c r="E1531" s="360" t="s">
        <v>317</v>
      </c>
      <c r="F1531" s="361" t="s">
        <v>1169</v>
      </c>
      <c r="G1531" s="360" t="s">
        <v>319</v>
      </c>
      <c r="H1531" s="361"/>
      <c r="I1531" s="361"/>
      <c r="J1531" s="361" t="s">
        <v>1200</v>
      </c>
      <c r="K1531" s="363"/>
      <c r="L1531" s="360"/>
      <c r="M1531" s="360"/>
      <c r="N1531" s="361"/>
      <c r="O1531" s="361"/>
      <c r="P1531" s="361"/>
      <c r="Q1531" s="361"/>
      <c r="R1531" s="362"/>
      <c r="S1531" s="361"/>
      <c r="T1531" s="360" t="s">
        <v>132</v>
      </c>
    </row>
    <row r="1532" ht="34.5">
      <c r="A1532" s="360" t="s">
        <v>1243</v>
      </c>
      <c r="B1532" s="360" t="s">
        <v>1244</v>
      </c>
      <c r="C1532" s="360" t="s">
        <v>465</v>
      </c>
      <c r="D1532" s="360" t="s">
        <v>128</v>
      </c>
      <c r="E1532" s="360" t="s">
        <v>317</v>
      </c>
      <c r="F1532" s="361" t="s">
        <v>1169</v>
      </c>
      <c r="G1532" s="360" t="s">
        <v>319</v>
      </c>
      <c r="H1532" s="361"/>
      <c r="I1532" s="361"/>
      <c r="J1532" s="361" t="s">
        <v>1280</v>
      </c>
      <c r="K1532" s="363"/>
      <c r="L1532" s="360"/>
      <c r="M1532" s="360"/>
      <c r="N1532" s="361"/>
      <c r="O1532" s="361"/>
      <c r="P1532" s="361"/>
      <c r="Q1532" s="361"/>
      <c r="R1532" s="362"/>
      <c r="S1532" s="361"/>
      <c r="T1532" s="360" t="s">
        <v>132</v>
      </c>
    </row>
    <row r="1533" ht="34.5">
      <c r="A1533" s="360" t="s">
        <v>1243</v>
      </c>
      <c r="B1533" s="360" t="s">
        <v>1244</v>
      </c>
      <c r="C1533" s="360" t="s">
        <v>465</v>
      </c>
      <c r="D1533" s="360" t="s">
        <v>128</v>
      </c>
      <c r="E1533" s="360" t="s">
        <v>317</v>
      </c>
      <c r="F1533" s="361" t="s">
        <v>1169</v>
      </c>
      <c r="G1533" s="360" t="s">
        <v>319</v>
      </c>
      <c r="H1533" s="361"/>
      <c r="I1533" s="361"/>
      <c r="J1533" s="361" t="s">
        <v>1281</v>
      </c>
      <c r="K1533" s="363"/>
      <c r="L1533" s="360"/>
      <c r="M1533" s="360"/>
      <c r="N1533" s="361"/>
      <c r="O1533" s="361"/>
      <c r="P1533" s="361"/>
      <c r="Q1533" s="361"/>
      <c r="R1533" s="362"/>
      <c r="S1533" s="361"/>
      <c r="T1533" s="360" t="s">
        <v>132</v>
      </c>
    </row>
    <row r="1534" ht="34.5">
      <c r="A1534" s="360" t="s">
        <v>1243</v>
      </c>
      <c r="B1534" s="360" t="s">
        <v>1244</v>
      </c>
      <c r="C1534" s="360" t="s">
        <v>465</v>
      </c>
      <c r="D1534" s="360" t="s">
        <v>128</v>
      </c>
      <c r="E1534" s="360" t="s">
        <v>317</v>
      </c>
      <c r="F1534" s="361" t="s">
        <v>1169</v>
      </c>
      <c r="G1534" s="360" t="s">
        <v>319</v>
      </c>
      <c r="H1534" s="361"/>
      <c r="I1534" s="361"/>
      <c r="J1534" s="361" t="s">
        <v>1282</v>
      </c>
      <c r="K1534" s="363">
        <v>4855272</v>
      </c>
      <c r="L1534" s="360" t="s">
        <v>314</v>
      </c>
      <c r="M1534" s="360"/>
      <c r="N1534" s="361"/>
      <c r="O1534" s="361"/>
      <c r="P1534" s="361"/>
      <c r="Q1534" s="361"/>
      <c r="R1534" s="362"/>
      <c r="S1534" s="361"/>
      <c r="T1534" s="360" t="s">
        <v>132</v>
      </c>
    </row>
    <row r="1535" ht="34.5">
      <c r="A1535" s="360" t="s">
        <v>1243</v>
      </c>
      <c r="B1535" s="360" t="s">
        <v>1244</v>
      </c>
      <c r="C1535" s="360" t="s">
        <v>465</v>
      </c>
      <c r="D1535" s="360" t="s">
        <v>537</v>
      </c>
      <c r="E1535" s="360" t="s">
        <v>317</v>
      </c>
      <c r="F1535" s="361" t="s">
        <v>1169</v>
      </c>
      <c r="G1535" s="360" t="s">
        <v>319</v>
      </c>
      <c r="H1535" s="361"/>
      <c r="I1535" s="361"/>
      <c r="J1535" s="361" t="s">
        <v>538</v>
      </c>
      <c r="K1535" s="363"/>
      <c r="L1535" s="360"/>
      <c r="M1535" s="360"/>
      <c r="N1535" s="361"/>
      <c r="O1535" s="361"/>
      <c r="P1535" s="361"/>
      <c r="Q1535" s="361"/>
      <c r="R1535" s="362"/>
      <c r="S1535" s="361"/>
      <c r="T1535" s="360" t="s">
        <v>132</v>
      </c>
    </row>
    <row r="1536" ht="34.5">
      <c r="A1536" s="360" t="s">
        <v>1243</v>
      </c>
      <c r="B1536" s="360" t="s">
        <v>1244</v>
      </c>
      <c r="C1536" s="360" t="s">
        <v>479</v>
      </c>
      <c r="D1536" s="360" t="s">
        <v>128</v>
      </c>
      <c r="E1536" s="360" t="s">
        <v>317</v>
      </c>
      <c r="F1536" s="361" t="s">
        <v>1169</v>
      </c>
      <c r="G1536" s="360" t="s">
        <v>319</v>
      </c>
      <c r="H1536" s="361"/>
      <c r="I1536" s="361"/>
      <c r="J1536" s="361" t="s">
        <v>1283</v>
      </c>
      <c r="K1536" s="363"/>
      <c r="L1536" s="360"/>
      <c r="M1536" s="360"/>
      <c r="N1536" s="361"/>
      <c r="O1536" s="361"/>
      <c r="P1536" s="361"/>
      <c r="Q1536" s="361"/>
      <c r="R1536" s="362"/>
      <c r="S1536" s="361"/>
      <c r="T1536" s="360" t="s">
        <v>132</v>
      </c>
    </row>
    <row r="1537" ht="34.5">
      <c r="A1537" s="360" t="s">
        <v>1243</v>
      </c>
      <c r="B1537" s="360" t="s">
        <v>1244</v>
      </c>
      <c r="C1537" s="360" t="s">
        <v>479</v>
      </c>
      <c r="D1537" s="360" t="s">
        <v>128</v>
      </c>
      <c r="E1537" s="360" t="s">
        <v>317</v>
      </c>
      <c r="F1537" s="361" t="s">
        <v>1169</v>
      </c>
      <c r="G1537" s="360" t="s">
        <v>319</v>
      </c>
      <c r="H1537" s="361"/>
      <c r="I1537" s="361"/>
      <c r="J1537" s="361" t="s">
        <v>1205</v>
      </c>
      <c r="K1537" s="363"/>
      <c r="L1537" s="360"/>
      <c r="M1537" s="360"/>
      <c r="N1537" s="361"/>
      <c r="O1537" s="361"/>
      <c r="P1537" s="361"/>
      <c r="Q1537" s="361"/>
      <c r="R1537" s="362"/>
      <c r="S1537" s="361"/>
      <c r="T1537" s="360" t="s">
        <v>132</v>
      </c>
    </row>
    <row r="1538" ht="34.5">
      <c r="A1538" s="360" t="s">
        <v>1243</v>
      </c>
      <c r="B1538" s="360" t="s">
        <v>1244</v>
      </c>
      <c r="C1538" s="360" t="s">
        <v>479</v>
      </c>
      <c r="D1538" s="360" t="s">
        <v>540</v>
      </c>
      <c r="E1538" s="360" t="s">
        <v>317</v>
      </c>
      <c r="F1538" s="361" t="s">
        <v>1169</v>
      </c>
      <c r="G1538" s="360" t="s">
        <v>319</v>
      </c>
      <c r="H1538" s="361"/>
      <c r="I1538" s="361"/>
      <c r="J1538" s="361" t="s">
        <v>1284</v>
      </c>
      <c r="K1538" s="363"/>
      <c r="L1538" s="360"/>
      <c r="M1538" s="360"/>
      <c r="N1538" s="361"/>
      <c r="O1538" s="361"/>
      <c r="P1538" s="361"/>
      <c r="Q1538" s="361"/>
      <c r="R1538" s="362"/>
      <c r="S1538" s="361"/>
      <c r="T1538" s="360" t="s">
        <v>132</v>
      </c>
    </row>
    <row r="1539" ht="34.5">
      <c r="A1539" s="360" t="s">
        <v>1243</v>
      </c>
      <c r="B1539" s="360" t="s">
        <v>1244</v>
      </c>
      <c r="C1539" s="360" t="s">
        <v>488</v>
      </c>
      <c r="D1539" s="360" t="s">
        <v>128</v>
      </c>
      <c r="E1539" s="360" t="s">
        <v>317</v>
      </c>
      <c r="F1539" s="361" t="s">
        <v>1169</v>
      </c>
      <c r="G1539" s="360" t="s">
        <v>319</v>
      </c>
      <c r="H1539" s="361"/>
      <c r="I1539" s="361"/>
      <c r="J1539" s="361" t="s">
        <v>1207</v>
      </c>
      <c r="K1539" s="363"/>
      <c r="L1539" s="360"/>
      <c r="M1539" s="360"/>
      <c r="N1539" s="361"/>
      <c r="O1539" s="361"/>
      <c r="P1539" s="361"/>
      <c r="Q1539" s="361"/>
      <c r="R1539" s="362"/>
      <c r="S1539" s="361"/>
      <c r="T1539" s="360" t="s">
        <v>132</v>
      </c>
    </row>
    <row r="1540" ht="34.5">
      <c r="A1540" s="360" t="s">
        <v>1243</v>
      </c>
      <c r="B1540" s="360" t="s">
        <v>1244</v>
      </c>
      <c r="C1540" s="360" t="s">
        <v>488</v>
      </c>
      <c r="D1540" s="360" t="s">
        <v>128</v>
      </c>
      <c r="E1540" s="360" t="s">
        <v>317</v>
      </c>
      <c r="F1540" s="361" t="s">
        <v>1169</v>
      </c>
      <c r="G1540" s="360" t="s">
        <v>319</v>
      </c>
      <c r="H1540" s="361"/>
      <c r="I1540" s="361"/>
      <c r="J1540" s="361" t="s">
        <v>1285</v>
      </c>
      <c r="K1540" s="363"/>
      <c r="L1540" s="360"/>
      <c r="M1540" s="360"/>
      <c r="N1540" s="361"/>
      <c r="O1540" s="361"/>
      <c r="P1540" s="361"/>
      <c r="Q1540" s="361"/>
      <c r="R1540" s="362"/>
      <c r="S1540" s="361"/>
      <c r="T1540" s="360" t="s">
        <v>132</v>
      </c>
    </row>
    <row r="1541" ht="34.5">
      <c r="A1541" s="360" t="s">
        <v>1243</v>
      </c>
      <c r="B1541" s="360" t="s">
        <v>1244</v>
      </c>
      <c r="C1541" s="360" t="s">
        <v>488</v>
      </c>
      <c r="D1541" s="360" t="s">
        <v>128</v>
      </c>
      <c r="E1541" s="360" t="s">
        <v>317</v>
      </c>
      <c r="F1541" s="361" t="s">
        <v>1169</v>
      </c>
      <c r="G1541" s="360" t="s">
        <v>319</v>
      </c>
      <c r="H1541" s="361"/>
      <c r="I1541" s="361"/>
      <c r="J1541" s="361" t="s">
        <v>1209</v>
      </c>
      <c r="K1541" s="363"/>
      <c r="L1541" s="360"/>
      <c r="M1541" s="360"/>
      <c r="N1541" s="361"/>
      <c r="O1541" s="361"/>
      <c r="P1541" s="361"/>
      <c r="Q1541" s="361"/>
      <c r="R1541" s="362"/>
      <c r="S1541" s="361"/>
      <c r="T1541" s="360" t="s">
        <v>132</v>
      </c>
    </row>
    <row r="1542" ht="34.5">
      <c r="A1542" s="360" t="s">
        <v>1243</v>
      </c>
      <c r="B1542" s="360" t="s">
        <v>1244</v>
      </c>
      <c r="C1542" s="360" t="s">
        <v>488</v>
      </c>
      <c r="D1542" s="360" t="s">
        <v>128</v>
      </c>
      <c r="E1542" s="360" t="s">
        <v>317</v>
      </c>
      <c r="F1542" s="361" t="s">
        <v>1169</v>
      </c>
      <c r="G1542" s="360" t="s">
        <v>319</v>
      </c>
      <c r="H1542" s="361"/>
      <c r="I1542" s="361"/>
      <c r="J1542" s="361" t="s">
        <v>1210</v>
      </c>
      <c r="K1542" s="363"/>
      <c r="L1542" s="360"/>
      <c r="M1542" s="360"/>
      <c r="N1542" s="361"/>
      <c r="O1542" s="361"/>
      <c r="P1542" s="361"/>
      <c r="Q1542" s="361"/>
      <c r="R1542" s="362"/>
      <c r="S1542" s="361"/>
      <c r="T1542" s="360" t="s">
        <v>132</v>
      </c>
    </row>
    <row r="1543" ht="34.5">
      <c r="A1543" s="360" t="s">
        <v>1243</v>
      </c>
      <c r="B1543" s="360" t="s">
        <v>1244</v>
      </c>
      <c r="C1543" s="360" t="s">
        <v>488</v>
      </c>
      <c r="D1543" s="360" t="s">
        <v>556</v>
      </c>
      <c r="E1543" s="360" t="s">
        <v>317</v>
      </c>
      <c r="F1543" s="361" t="s">
        <v>1169</v>
      </c>
      <c r="G1543" s="360" t="s">
        <v>319</v>
      </c>
      <c r="H1543" s="361"/>
      <c r="I1543" s="361"/>
      <c r="J1543" s="361" t="s">
        <v>1286</v>
      </c>
      <c r="K1543" s="363"/>
      <c r="L1543" s="360"/>
      <c r="M1543" s="360"/>
      <c r="N1543" s="361"/>
      <c r="O1543" s="361"/>
      <c r="P1543" s="361"/>
      <c r="Q1543" s="361"/>
      <c r="R1543" s="362"/>
      <c r="S1543" s="361"/>
      <c r="T1543" s="360" t="s">
        <v>132</v>
      </c>
    </row>
    <row r="1544" ht="34.5">
      <c r="A1544" s="360" t="s">
        <v>1243</v>
      </c>
      <c r="B1544" s="360" t="s">
        <v>1244</v>
      </c>
      <c r="C1544" s="360" t="s">
        <v>488</v>
      </c>
      <c r="D1544" s="360" t="s">
        <v>128</v>
      </c>
      <c r="E1544" s="360" t="s">
        <v>317</v>
      </c>
      <c r="F1544" s="361" t="s">
        <v>1169</v>
      </c>
      <c r="G1544" s="360" t="s">
        <v>319</v>
      </c>
      <c r="H1544" s="361"/>
      <c r="I1544" s="361"/>
      <c r="J1544" s="361" t="s">
        <v>1212</v>
      </c>
      <c r="K1544" s="363"/>
      <c r="L1544" s="360"/>
      <c r="M1544" s="360"/>
      <c r="N1544" s="361"/>
      <c r="O1544" s="361"/>
      <c r="P1544" s="361"/>
      <c r="Q1544" s="361"/>
      <c r="R1544" s="362"/>
      <c r="S1544" s="361"/>
      <c r="T1544" s="360" t="s">
        <v>132</v>
      </c>
    </row>
    <row r="1545" ht="34.5">
      <c r="A1545" s="360" t="s">
        <v>1243</v>
      </c>
      <c r="B1545" s="360" t="s">
        <v>1244</v>
      </c>
      <c r="C1545" s="360" t="s">
        <v>488</v>
      </c>
      <c r="D1545" s="360" t="s">
        <v>564</v>
      </c>
      <c r="E1545" s="360" t="s">
        <v>317</v>
      </c>
      <c r="F1545" s="361" t="s">
        <v>1169</v>
      </c>
      <c r="G1545" s="360" t="s">
        <v>319</v>
      </c>
      <c r="H1545" s="361"/>
      <c r="I1545" s="361"/>
      <c r="J1545" s="361" t="s">
        <v>565</v>
      </c>
      <c r="K1545" s="363"/>
      <c r="L1545" s="360"/>
      <c r="M1545" s="360"/>
      <c r="N1545" s="361"/>
      <c r="O1545" s="361"/>
      <c r="P1545" s="361"/>
      <c r="Q1545" s="361"/>
      <c r="R1545" s="362"/>
      <c r="S1545" s="361"/>
      <c r="T1545" s="360" t="s">
        <v>132</v>
      </c>
    </row>
    <row r="1546" ht="34.5">
      <c r="A1546" s="360" t="s">
        <v>1243</v>
      </c>
      <c r="B1546" s="360" t="s">
        <v>1244</v>
      </c>
      <c r="C1546" s="360" t="s">
        <v>488</v>
      </c>
      <c r="D1546" s="360" t="s">
        <v>128</v>
      </c>
      <c r="E1546" s="360" t="s">
        <v>317</v>
      </c>
      <c r="F1546" s="361" t="s">
        <v>1169</v>
      </c>
      <c r="G1546" s="360" t="s">
        <v>319</v>
      </c>
      <c r="H1546" s="361"/>
      <c r="I1546" s="361"/>
      <c r="J1546" s="361" t="s">
        <v>1213</v>
      </c>
      <c r="K1546" s="363"/>
      <c r="L1546" s="360"/>
      <c r="M1546" s="360"/>
      <c r="N1546" s="361"/>
      <c r="O1546" s="361"/>
      <c r="P1546" s="361"/>
      <c r="Q1546" s="361"/>
      <c r="R1546" s="362"/>
      <c r="S1546" s="361"/>
      <c r="T1546" s="360" t="s">
        <v>132</v>
      </c>
    </row>
    <row r="1547" ht="34.5">
      <c r="A1547" s="360" t="s">
        <v>1243</v>
      </c>
      <c r="B1547" s="360" t="s">
        <v>1244</v>
      </c>
      <c r="C1547" s="360" t="s">
        <v>488</v>
      </c>
      <c r="D1547" s="360" t="s">
        <v>128</v>
      </c>
      <c r="E1547" s="360" t="s">
        <v>317</v>
      </c>
      <c r="F1547" s="361" t="s">
        <v>1169</v>
      </c>
      <c r="G1547" s="360" t="s">
        <v>319</v>
      </c>
      <c r="H1547" s="361"/>
      <c r="I1547" s="361"/>
      <c r="J1547" s="361" t="s">
        <v>1214</v>
      </c>
      <c r="K1547" s="363"/>
      <c r="L1547" s="360"/>
      <c r="M1547" s="360"/>
      <c r="N1547" s="361"/>
      <c r="O1547" s="361"/>
      <c r="P1547" s="361"/>
      <c r="Q1547" s="361"/>
      <c r="R1547" s="362"/>
      <c r="S1547" s="361"/>
      <c r="T1547" s="360" t="s">
        <v>132</v>
      </c>
    </row>
    <row r="1548" ht="34.5">
      <c r="A1548" s="360" t="s">
        <v>1243</v>
      </c>
      <c r="B1548" s="360" t="s">
        <v>1244</v>
      </c>
      <c r="C1548" s="360" t="s">
        <v>496</v>
      </c>
      <c r="D1548" s="360" t="s">
        <v>128</v>
      </c>
      <c r="E1548" s="360" t="s">
        <v>317</v>
      </c>
      <c r="F1548" s="361" t="s">
        <v>1169</v>
      </c>
      <c r="G1548" s="360" t="s">
        <v>319</v>
      </c>
      <c r="H1548" s="361"/>
      <c r="I1548" s="361"/>
      <c r="J1548" s="361" t="s">
        <v>1287</v>
      </c>
      <c r="K1548" s="363"/>
      <c r="L1548" s="360"/>
      <c r="M1548" s="360"/>
      <c r="N1548" s="361"/>
      <c r="O1548" s="361"/>
      <c r="P1548" s="361"/>
      <c r="Q1548" s="361"/>
      <c r="R1548" s="362"/>
      <c r="S1548" s="361"/>
      <c r="T1548" s="360" t="s">
        <v>132</v>
      </c>
    </row>
    <row r="1549" ht="34.5">
      <c r="A1549" s="360" t="s">
        <v>1243</v>
      </c>
      <c r="B1549" s="360" t="s">
        <v>1244</v>
      </c>
      <c r="C1549" s="360" t="s">
        <v>496</v>
      </c>
      <c r="D1549" s="360" t="s">
        <v>128</v>
      </c>
      <c r="E1549" s="360" t="s">
        <v>317</v>
      </c>
      <c r="F1549" s="361" t="s">
        <v>1169</v>
      </c>
      <c r="G1549" s="360" t="s">
        <v>319</v>
      </c>
      <c r="H1549" s="361"/>
      <c r="I1549" s="361"/>
      <c r="J1549" s="361" t="s">
        <v>1216</v>
      </c>
      <c r="K1549" s="363"/>
      <c r="L1549" s="360"/>
      <c r="M1549" s="360"/>
      <c r="N1549" s="361"/>
      <c r="O1549" s="361"/>
      <c r="P1549" s="361"/>
      <c r="Q1549" s="361"/>
      <c r="R1549" s="362"/>
      <c r="S1549" s="361"/>
      <c r="T1549" s="360" t="s">
        <v>132</v>
      </c>
    </row>
    <row r="1550" ht="34.5">
      <c r="A1550" s="360" t="s">
        <v>1243</v>
      </c>
      <c r="B1550" s="360" t="s">
        <v>1244</v>
      </c>
      <c r="C1550" s="360" t="s">
        <v>496</v>
      </c>
      <c r="D1550" s="360" t="s">
        <v>128</v>
      </c>
      <c r="E1550" s="360" t="s">
        <v>317</v>
      </c>
      <c r="F1550" s="361" t="s">
        <v>1169</v>
      </c>
      <c r="G1550" s="360" t="s">
        <v>319</v>
      </c>
      <c r="H1550" s="361"/>
      <c r="I1550" s="361"/>
      <c r="J1550" s="361" t="s">
        <v>1217</v>
      </c>
      <c r="K1550" s="363"/>
      <c r="L1550" s="360"/>
      <c r="M1550" s="360"/>
      <c r="N1550" s="361"/>
      <c r="O1550" s="361"/>
      <c r="P1550" s="361"/>
      <c r="Q1550" s="361"/>
      <c r="R1550" s="362"/>
      <c r="S1550" s="361"/>
      <c r="T1550" s="360" t="s">
        <v>132</v>
      </c>
    </row>
    <row r="1551" ht="34.5">
      <c r="A1551" s="360" t="s">
        <v>1243</v>
      </c>
      <c r="B1551" s="360" t="s">
        <v>1244</v>
      </c>
      <c r="C1551" s="360" t="s">
        <v>496</v>
      </c>
      <c r="D1551" s="360" t="s">
        <v>128</v>
      </c>
      <c r="E1551" s="360" t="s">
        <v>317</v>
      </c>
      <c r="F1551" s="361" t="s">
        <v>1169</v>
      </c>
      <c r="G1551" s="360" t="s">
        <v>319</v>
      </c>
      <c r="H1551" s="361"/>
      <c r="I1551" s="361"/>
      <c r="J1551" s="361" t="s">
        <v>1288</v>
      </c>
      <c r="K1551" s="363"/>
      <c r="L1551" s="360"/>
      <c r="M1551" s="360"/>
      <c r="N1551" s="361"/>
      <c r="O1551" s="361"/>
      <c r="P1551" s="361"/>
      <c r="Q1551" s="361"/>
      <c r="R1551" s="362"/>
      <c r="S1551" s="361"/>
      <c r="T1551" s="360" t="s">
        <v>132</v>
      </c>
    </row>
    <row r="1552" ht="34.5">
      <c r="A1552" s="360" t="s">
        <v>1243</v>
      </c>
      <c r="B1552" s="360" t="s">
        <v>1244</v>
      </c>
      <c r="C1552" s="360" t="s">
        <v>496</v>
      </c>
      <c r="D1552" s="360" t="s">
        <v>569</v>
      </c>
      <c r="E1552" s="360" t="s">
        <v>317</v>
      </c>
      <c r="F1552" s="361" t="s">
        <v>1169</v>
      </c>
      <c r="G1552" s="360" t="s">
        <v>319</v>
      </c>
      <c r="H1552" s="361"/>
      <c r="I1552" s="361"/>
      <c r="J1552" s="361" t="s">
        <v>570</v>
      </c>
      <c r="K1552" s="363"/>
      <c r="L1552" s="360"/>
      <c r="M1552" s="360"/>
      <c r="N1552" s="361"/>
      <c r="O1552" s="361"/>
      <c r="P1552" s="361"/>
      <c r="Q1552" s="361"/>
      <c r="R1552" s="362"/>
      <c r="S1552" s="361"/>
      <c r="T1552" s="360" t="s">
        <v>132</v>
      </c>
    </row>
    <row r="1553" ht="34.5">
      <c r="A1553" s="360" t="s">
        <v>1243</v>
      </c>
      <c r="B1553" s="360" t="s">
        <v>1244</v>
      </c>
      <c r="C1553" s="360" t="s">
        <v>512</v>
      </c>
      <c r="D1553" s="360" t="s">
        <v>573</v>
      </c>
      <c r="E1553" s="360" t="s">
        <v>317</v>
      </c>
      <c r="F1553" s="361" t="s">
        <v>1169</v>
      </c>
      <c r="G1553" s="360" t="s">
        <v>319</v>
      </c>
      <c r="H1553" s="361"/>
      <c r="I1553" s="361"/>
      <c r="J1553" s="361" t="s">
        <v>574</v>
      </c>
      <c r="K1553" s="363"/>
      <c r="L1553" s="360"/>
      <c r="M1553" s="360"/>
      <c r="N1553" s="361"/>
      <c r="O1553" s="361"/>
      <c r="P1553" s="361"/>
      <c r="Q1553" s="361"/>
      <c r="R1553" s="362"/>
      <c r="S1553" s="361"/>
      <c r="T1553" s="360" t="s">
        <v>132</v>
      </c>
    </row>
    <row r="1554" ht="34.5">
      <c r="A1554" s="360" t="s">
        <v>1243</v>
      </c>
      <c r="B1554" s="360" t="s">
        <v>1244</v>
      </c>
      <c r="C1554" s="360" t="s">
        <v>512</v>
      </c>
      <c r="D1554" s="360" t="s">
        <v>128</v>
      </c>
      <c r="E1554" s="360" t="s">
        <v>317</v>
      </c>
      <c r="F1554" s="361" t="s">
        <v>1169</v>
      </c>
      <c r="G1554" s="360" t="s">
        <v>319</v>
      </c>
      <c r="H1554" s="361"/>
      <c r="I1554" s="361"/>
      <c r="J1554" s="361" t="s">
        <v>1221</v>
      </c>
      <c r="K1554" s="363"/>
      <c r="L1554" s="360"/>
      <c r="M1554" s="360"/>
      <c r="N1554" s="361"/>
      <c r="O1554" s="361"/>
      <c r="P1554" s="361"/>
      <c r="Q1554" s="361"/>
      <c r="R1554" s="362"/>
      <c r="S1554" s="361"/>
      <c r="T1554" s="360" t="s">
        <v>132</v>
      </c>
    </row>
    <row r="1555" ht="34.5">
      <c r="A1555" s="360" t="s">
        <v>1243</v>
      </c>
      <c r="B1555" s="360" t="s">
        <v>1244</v>
      </c>
      <c r="C1555" s="360" t="s">
        <v>512</v>
      </c>
      <c r="D1555" s="360" t="s">
        <v>128</v>
      </c>
      <c r="E1555" s="360" t="s">
        <v>317</v>
      </c>
      <c r="F1555" s="361" t="s">
        <v>1169</v>
      </c>
      <c r="G1555" s="360" t="s">
        <v>319</v>
      </c>
      <c r="H1555" s="361"/>
      <c r="I1555" s="361"/>
      <c r="J1555" s="361" t="s">
        <v>1222</v>
      </c>
      <c r="K1555" s="363"/>
      <c r="L1555" s="360"/>
      <c r="M1555" s="360"/>
      <c r="N1555" s="361"/>
      <c r="O1555" s="361"/>
      <c r="P1555" s="361"/>
      <c r="Q1555" s="361"/>
      <c r="R1555" s="362"/>
      <c r="S1555" s="361"/>
      <c r="T1555" s="360" t="s">
        <v>132</v>
      </c>
    </row>
    <row r="1556" ht="34.5">
      <c r="A1556" s="360" t="s">
        <v>1243</v>
      </c>
      <c r="B1556" s="360" t="s">
        <v>1244</v>
      </c>
      <c r="C1556" s="360" t="s">
        <v>512</v>
      </c>
      <c r="D1556" s="360" t="s">
        <v>128</v>
      </c>
      <c r="E1556" s="360" t="s">
        <v>317</v>
      </c>
      <c r="F1556" s="361" t="s">
        <v>1169</v>
      </c>
      <c r="G1556" s="360" t="s">
        <v>319</v>
      </c>
      <c r="H1556" s="361"/>
      <c r="I1556" s="361"/>
      <c r="J1556" s="361" t="s">
        <v>1289</v>
      </c>
      <c r="K1556" s="363"/>
      <c r="L1556" s="360"/>
      <c r="M1556" s="360"/>
      <c r="N1556" s="361"/>
      <c r="O1556" s="361"/>
      <c r="P1556" s="361"/>
      <c r="Q1556" s="361"/>
      <c r="R1556" s="362"/>
      <c r="S1556" s="361"/>
      <c r="T1556" s="360" t="s">
        <v>132</v>
      </c>
    </row>
    <row r="1557" ht="34.5">
      <c r="A1557" s="360" t="s">
        <v>1243</v>
      </c>
      <c r="B1557" s="360" t="s">
        <v>1244</v>
      </c>
      <c r="C1557" s="360" t="s">
        <v>512</v>
      </c>
      <c r="D1557" s="360" t="s">
        <v>128</v>
      </c>
      <c r="E1557" s="360" t="s">
        <v>317</v>
      </c>
      <c r="F1557" s="361" t="s">
        <v>1169</v>
      </c>
      <c r="G1557" s="360" t="s">
        <v>319</v>
      </c>
      <c r="H1557" s="361"/>
      <c r="I1557" s="361"/>
      <c r="J1557" s="361" t="s">
        <v>1224</v>
      </c>
      <c r="K1557" s="363"/>
      <c r="L1557" s="360"/>
      <c r="M1557" s="360"/>
      <c r="N1557" s="361"/>
      <c r="O1557" s="361"/>
      <c r="P1557" s="361"/>
      <c r="Q1557" s="361"/>
      <c r="R1557" s="362"/>
      <c r="S1557" s="361"/>
      <c r="T1557" s="360" t="s">
        <v>132</v>
      </c>
    </row>
    <row r="1558" ht="34.5">
      <c r="A1558" s="360" t="s">
        <v>1243</v>
      </c>
      <c r="B1558" s="360" t="s">
        <v>1244</v>
      </c>
      <c r="C1558" s="360" t="s">
        <v>512</v>
      </c>
      <c r="D1558" s="360" t="s">
        <v>128</v>
      </c>
      <c r="E1558" s="360" t="s">
        <v>317</v>
      </c>
      <c r="F1558" s="361" t="s">
        <v>1169</v>
      </c>
      <c r="G1558" s="360" t="s">
        <v>319</v>
      </c>
      <c r="H1558" s="361"/>
      <c r="I1558" s="361"/>
      <c r="J1558" s="361" t="s">
        <v>1225</v>
      </c>
      <c r="K1558" s="363"/>
      <c r="L1558" s="360"/>
      <c r="M1558" s="360"/>
      <c r="N1558" s="361"/>
      <c r="O1558" s="361"/>
      <c r="P1558" s="361"/>
      <c r="Q1558" s="361"/>
      <c r="R1558" s="362"/>
      <c r="S1558" s="361"/>
      <c r="T1558" s="360" t="s">
        <v>132</v>
      </c>
    </row>
    <row r="1559" ht="34.5">
      <c r="A1559" s="360" t="s">
        <v>1243</v>
      </c>
      <c r="B1559" s="360" t="s">
        <v>1244</v>
      </c>
      <c r="C1559" s="360" t="s">
        <v>528</v>
      </c>
      <c r="D1559" s="360" t="s">
        <v>128</v>
      </c>
      <c r="E1559" s="360" t="s">
        <v>317</v>
      </c>
      <c r="F1559" s="361" t="s">
        <v>1169</v>
      </c>
      <c r="G1559" s="360" t="s">
        <v>319</v>
      </c>
      <c r="H1559" s="361"/>
      <c r="I1559" s="361"/>
      <c r="J1559" s="361" t="s">
        <v>1230</v>
      </c>
      <c r="K1559" s="363"/>
      <c r="L1559" s="360"/>
      <c r="M1559" s="360"/>
      <c r="N1559" s="361"/>
      <c r="O1559" s="361"/>
      <c r="P1559" s="361"/>
      <c r="Q1559" s="361"/>
      <c r="R1559" s="362"/>
      <c r="S1559" s="361"/>
      <c r="T1559" s="360" t="s">
        <v>132</v>
      </c>
    </row>
    <row r="1560" ht="34.5">
      <c r="A1560" s="360" t="s">
        <v>1243</v>
      </c>
      <c r="B1560" s="360" t="s">
        <v>1244</v>
      </c>
      <c r="C1560" s="360" t="s">
        <v>528</v>
      </c>
      <c r="D1560" s="360" t="s">
        <v>128</v>
      </c>
      <c r="E1560" s="360" t="s">
        <v>317</v>
      </c>
      <c r="F1560" s="361" t="s">
        <v>1169</v>
      </c>
      <c r="G1560" s="360" t="s">
        <v>319</v>
      </c>
      <c r="H1560" s="361"/>
      <c r="I1560" s="361"/>
      <c r="J1560" s="361" t="s">
        <v>1231</v>
      </c>
      <c r="K1560" s="363"/>
      <c r="L1560" s="360"/>
      <c r="M1560" s="360"/>
      <c r="N1560" s="361"/>
      <c r="O1560" s="361"/>
      <c r="P1560" s="361"/>
      <c r="Q1560" s="361"/>
      <c r="R1560" s="362"/>
      <c r="S1560" s="361"/>
      <c r="T1560" s="360" t="s">
        <v>132</v>
      </c>
    </row>
    <row r="1561" ht="34.5">
      <c r="A1561" s="360" t="s">
        <v>1243</v>
      </c>
      <c r="B1561" s="360" t="s">
        <v>1244</v>
      </c>
      <c r="C1561" s="360" t="s">
        <v>528</v>
      </c>
      <c r="D1561" s="360" t="s">
        <v>128</v>
      </c>
      <c r="E1561" s="360" t="s">
        <v>317</v>
      </c>
      <c r="F1561" s="361" t="s">
        <v>1169</v>
      </c>
      <c r="G1561" s="360" t="s">
        <v>319</v>
      </c>
      <c r="H1561" s="361"/>
      <c r="I1561" s="361"/>
      <c r="J1561" s="361" t="s">
        <v>1290</v>
      </c>
      <c r="K1561" s="363"/>
      <c r="L1561" s="360"/>
      <c r="M1561" s="360"/>
      <c r="N1561" s="361"/>
      <c r="O1561" s="361"/>
      <c r="P1561" s="361"/>
      <c r="Q1561" s="361"/>
      <c r="R1561" s="362"/>
      <c r="S1561" s="361"/>
      <c r="T1561" s="360" t="s">
        <v>132</v>
      </c>
    </row>
    <row r="1562" ht="34.5">
      <c r="A1562" s="360" t="s">
        <v>1243</v>
      </c>
      <c r="B1562" s="360" t="s">
        <v>1244</v>
      </c>
      <c r="C1562" s="360" t="s">
        <v>528</v>
      </c>
      <c r="D1562" s="360" t="s">
        <v>128</v>
      </c>
      <c r="E1562" s="360" t="s">
        <v>317</v>
      </c>
      <c r="F1562" s="361" t="s">
        <v>1169</v>
      </c>
      <c r="G1562" s="360" t="s">
        <v>319</v>
      </c>
      <c r="H1562" s="361"/>
      <c r="I1562" s="361"/>
      <c r="J1562" s="361" t="s">
        <v>1233</v>
      </c>
      <c r="K1562" s="363"/>
      <c r="L1562" s="360"/>
      <c r="M1562" s="360"/>
      <c r="N1562" s="361"/>
      <c r="O1562" s="361"/>
      <c r="P1562" s="361"/>
      <c r="Q1562" s="361"/>
      <c r="R1562" s="362"/>
      <c r="S1562" s="361"/>
      <c r="T1562" s="360" t="s">
        <v>132</v>
      </c>
    </row>
    <row r="1563" ht="34.5">
      <c r="A1563" s="360" t="s">
        <v>1243</v>
      </c>
      <c r="B1563" s="360" t="s">
        <v>1244</v>
      </c>
      <c r="C1563" s="360" t="s">
        <v>528</v>
      </c>
      <c r="D1563" s="360" t="s">
        <v>576</v>
      </c>
      <c r="E1563" s="360" t="s">
        <v>317</v>
      </c>
      <c r="F1563" s="361" t="s">
        <v>1169</v>
      </c>
      <c r="G1563" s="360" t="s">
        <v>319</v>
      </c>
      <c r="H1563" s="361"/>
      <c r="I1563" s="361"/>
      <c r="J1563" s="361" t="s">
        <v>577</v>
      </c>
      <c r="K1563" s="363"/>
      <c r="L1563" s="360"/>
      <c r="M1563" s="360"/>
      <c r="N1563" s="361"/>
      <c r="O1563" s="361"/>
      <c r="P1563" s="361"/>
      <c r="Q1563" s="361"/>
      <c r="R1563" s="362"/>
      <c r="S1563" s="361"/>
      <c r="T1563" s="360" t="s">
        <v>132</v>
      </c>
    </row>
    <row r="1564" ht="34.5">
      <c r="A1564" s="360" t="s">
        <v>1243</v>
      </c>
      <c r="B1564" s="360" t="s">
        <v>1244</v>
      </c>
      <c r="C1564" s="360" t="s">
        <v>543</v>
      </c>
      <c r="D1564" s="360" t="s">
        <v>128</v>
      </c>
      <c r="E1564" s="360" t="s">
        <v>317</v>
      </c>
      <c r="F1564" s="361" t="s">
        <v>1169</v>
      </c>
      <c r="G1564" s="360" t="s">
        <v>319</v>
      </c>
      <c r="H1564" s="361"/>
      <c r="I1564" s="361"/>
      <c r="J1564" s="361" t="s">
        <v>1234</v>
      </c>
      <c r="K1564" s="363"/>
      <c r="L1564" s="360"/>
      <c r="M1564" s="360"/>
      <c r="N1564" s="361"/>
      <c r="O1564" s="361"/>
      <c r="P1564" s="361"/>
      <c r="Q1564" s="361"/>
      <c r="R1564" s="362"/>
      <c r="S1564" s="361"/>
      <c r="T1564" s="360" t="s">
        <v>132</v>
      </c>
    </row>
    <row r="1565" ht="34.5">
      <c r="A1565" s="360" t="s">
        <v>1243</v>
      </c>
      <c r="B1565" s="360" t="s">
        <v>1244</v>
      </c>
      <c r="C1565" s="360" t="s">
        <v>543</v>
      </c>
      <c r="D1565" s="360" t="s">
        <v>583</v>
      </c>
      <c r="E1565" s="360" t="s">
        <v>317</v>
      </c>
      <c r="F1565" s="361" t="s">
        <v>1169</v>
      </c>
      <c r="G1565" s="360" t="s">
        <v>319</v>
      </c>
      <c r="H1565" s="361"/>
      <c r="I1565" s="361"/>
      <c r="J1565" s="361" t="s">
        <v>584</v>
      </c>
      <c r="K1565" s="363"/>
      <c r="L1565" s="360"/>
      <c r="M1565" s="360"/>
      <c r="N1565" s="361"/>
      <c r="O1565" s="361"/>
      <c r="P1565" s="361"/>
      <c r="Q1565" s="361"/>
      <c r="R1565" s="362"/>
      <c r="S1565" s="361"/>
      <c r="T1565" s="360" t="s">
        <v>132</v>
      </c>
    </row>
    <row r="1566" ht="34.5">
      <c r="A1566" s="360" t="s">
        <v>1243</v>
      </c>
      <c r="B1566" s="360" t="s">
        <v>1244</v>
      </c>
      <c r="C1566" s="360" t="s">
        <v>543</v>
      </c>
      <c r="D1566" s="360" t="s">
        <v>128</v>
      </c>
      <c r="E1566" s="360" t="s">
        <v>317</v>
      </c>
      <c r="F1566" s="361" t="s">
        <v>1169</v>
      </c>
      <c r="G1566" s="360" t="s">
        <v>319</v>
      </c>
      <c r="H1566" s="361"/>
      <c r="I1566" s="361"/>
      <c r="J1566" s="361" t="s">
        <v>1291</v>
      </c>
      <c r="K1566" s="363"/>
      <c r="L1566" s="360"/>
      <c r="M1566" s="360"/>
      <c r="N1566" s="361"/>
      <c r="O1566" s="361"/>
      <c r="P1566" s="361"/>
      <c r="Q1566" s="361"/>
      <c r="R1566" s="362"/>
      <c r="S1566" s="361"/>
      <c r="T1566" s="360" t="s">
        <v>132</v>
      </c>
    </row>
    <row r="1567" ht="34.5">
      <c r="A1567" s="360" t="s">
        <v>1243</v>
      </c>
      <c r="B1567" s="360" t="s">
        <v>1244</v>
      </c>
      <c r="C1567" s="360" t="s">
        <v>543</v>
      </c>
      <c r="D1567" s="360" t="s">
        <v>128</v>
      </c>
      <c r="E1567" s="360" t="s">
        <v>317</v>
      </c>
      <c r="F1567" s="361" t="s">
        <v>1169</v>
      </c>
      <c r="G1567" s="360" t="s">
        <v>319</v>
      </c>
      <c r="H1567" s="361"/>
      <c r="I1567" s="361"/>
      <c r="J1567" s="361" t="s">
        <v>1236</v>
      </c>
      <c r="K1567" s="363"/>
      <c r="L1567" s="360"/>
      <c r="M1567" s="360"/>
      <c r="N1567" s="361"/>
      <c r="O1567" s="361"/>
      <c r="P1567" s="361"/>
      <c r="Q1567" s="361"/>
      <c r="R1567" s="362"/>
      <c r="S1567" s="361"/>
      <c r="T1567" s="360" t="s">
        <v>132</v>
      </c>
    </row>
    <row r="1568" ht="34.5">
      <c r="A1568" s="360" t="s">
        <v>1243</v>
      </c>
      <c r="B1568" s="360" t="s">
        <v>1244</v>
      </c>
      <c r="C1568" s="360" t="s">
        <v>543</v>
      </c>
      <c r="D1568" s="360" t="s">
        <v>128</v>
      </c>
      <c r="E1568" s="360" t="s">
        <v>317</v>
      </c>
      <c r="F1568" s="361" t="s">
        <v>1169</v>
      </c>
      <c r="G1568" s="360" t="s">
        <v>319</v>
      </c>
      <c r="H1568" s="361"/>
      <c r="I1568" s="361"/>
      <c r="J1568" s="361" t="s">
        <v>1237</v>
      </c>
      <c r="K1568" s="363"/>
      <c r="L1568" s="360"/>
      <c r="M1568" s="360"/>
      <c r="N1568" s="361"/>
      <c r="O1568" s="361"/>
      <c r="P1568" s="361"/>
      <c r="Q1568" s="361"/>
      <c r="R1568" s="362"/>
      <c r="S1568" s="361"/>
      <c r="T1568" s="360" t="s">
        <v>132</v>
      </c>
    </row>
    <row r="1569" ht="34.5">
      <c r="A1569" s="360" t="s">
        <v>1243</v>
      </c>
      <c r="B1569" s="360" t="s">
        <v>1244</v>
      </c>
      <c r="C1569" s="360" t="s">
        <v>543</v>
      </c>
      <c r="D1569" s="360" t="s">
        <v>128</v>
      </c>
      <c r="E1569" s="360" t="s">
        <v>317</v>
      </c>
      <c r="F1569" s="361" t="s">
        <v>1169</v>
      </c>
      <c r="G1569" s="360" t="s">
        <v>319</v>
      </c>
      <c r="H1569" s="361"/>
      <c r="I1569" s="361"/>
      <c r="J1569" s="361" t="s">
        <v>1238</v>
      </c>
      <c r="K1569" s="363"/>
      <c r="L1569" s="360"/>
      <c r="M1569" s="360"/>
      <c r="N1569" s="361"/>
      <c r="O1569" s="361"/>
      <c r="P1569" s="361"/>
      <c r="Q1569" s="361"/>
      <c r="R1569" s="362"/>
      <c r="S1569" s="361"/>
      <c r="T1569" s="360" t="s">
        <v>132</v>
      </c>
    </row>
    <row r="1570" ht="34.5">
      <c r="A1570" s="360" t="s">
        <v>1243</v>
      </c>
      <c r="B1570" s="360" t="s">
        <v>1244</v>
      </c>
      <c r="C1570" s="360" t="s">
        <v>559</v>
      </c>
      <c r="D1570" s="360" t="s">
        <v>128</v>
      </c>
      <c r="E1570" s="360" t="s">
        <v>317</v>
      </c>
      <c r="F1570" s="361" t="s">
        <v>1169</v>
      </c>
      <c r="G1570" s="360" t="s">
        <v>319</v>
      </c>
      <c r="H1570" s="361"/>
      <c r="I1570" s="361"/>
      <c r="J1570" s="361" t="s">
        <v>1239</v>
      </c>
      <c r="K1570" s="363"/>
      <c r="L1570" s="360"/>
      <c r="M1570" s="360"/>
      <c r="N1570" s="361"/>
      <c r="O1570" s="361"/>
      <c r="P1570" s="361"/>
      <c r="Q1570" s="361"/>
      <c r="R1570" s="362"/>
      <c r="S1570" s="361"/>
      <c r="T1570" s="360" t="s">
        <v>132</v>
      </c>
    </row>
    <row r="1571" ht="34.5">
      <c r="A1571" s="360" t="s">
        <v>1243</v>
      </c>
      <c r="B1571" s="360" t="s">
        <v>1244</v>
      </c>
      <c r="C1571" s="360" t="s">
        <v>559</v>
      </c>
      <c r="D1571" s="360" t="s">
        <v>128</v>
      </c>
      <c r="E1571" s="360" t="s">
        <v>317</v>
      </c>
      <c r="F1571" s="361" t="s">
        <v>1169</v>
      </c>
      <c r="G1571" s="360" t="s">
        <v>319</v>
      </c>
      <c r="H1571" s="361"/>
      <c r="I1571" s="361"/>
      <c r="J1571" s="361" t="s">
        <v>1240</v>
      </c>
      <c r="K1571" s="363"/>
      <c r="L1571" s="360"/>
      <c r="M1571" s="360"/>
      <c r="N1571" s="361"/>
      <c r="O1571" s="361"/>
      <c r="P1571" s="361"/>
      <c r="Q1571" s="361"/>
      <c r="R1571" s="362"/>
      <c r="S1571" s="361"/>
      <c r="T1571" s="360" t="s">
        <v>132</v>
      </c>
    </row>
    <row r="1572" ht="34.5">
      <c r="A1572" s="360" t="s">
        <v>1243</v>
      </c>
      <c r="B1572" s="360" t="s">
        <v>1244</v>
      </c>
      <c r="C1572" s="360" t="s">
        <v>559</v>
      </c>
      <c r="D1572" s="360" t="s">
        <v>128</v>
      </c>
      <c r="E1572" s="360" t="s">
        <v>317</v>
      </c>
      <c r="F1572" s="361" t="s">
        <v>1169</v>
      </c>
      <c r="G1572" s="360" t="s">
        <v>319</v>
      </c>
      <c r="H1572" s="361"/>
      <c r="I1572" s="361"/>
      <c r="J1572" s="361" t="s">
        <v>1241</v>
      </c>
      <c r="K1572" s="363"/>
      <c r="L1572" s="360"/>
      <c r="M1572" s="360"/>
      <c r="N1572" s="361"/>
      <c r="O1572" s="361"/>
      <c r="P1572" s="361"/>
      <c r="Q1572" s="361"/>
      <c r="R1572" s="362"/>
      <c r="S1572" s="361"/>
      <c r="T1572" s="360" t="s">
        <v>132</v>
      </c>
    </row>
    <row r="1573" ht="34.5">
      <c r="A1573" s="360" t="s">
        <v>1243</v>
      </c>
      <c r="B1573" s="360" t="s">
        <v>1244</v>
      </c>
      <c r="C1573" s="360" t="s">
        <v>559</v>
      </c>
      <c r="D1573" s="360" t="s">
        <v>128</v>
      </c>
      <c r="E1573" s="360" t="s">
        <v>317</v>
      </c>
      <c r="F1573" s="361" t="s">
        <v>1169</v>
      </c>
      <c r="G1573" s="360" t="s">
        <v>319</v>
      </c>
      <c r="H1573" s="361"/>
      <c r="I1573" s="361"/>
      <c r="J1573" s="361" t="s">
        <v>1242</v>
      </c>
      <c r="K1573" s="363"/>
      <c r="L1573" s="360"/>
      <c r="M1573" s="360"/>
      <c r="N1573" s="361"/>
      <c r="O1573" s="361"/>
      <c r="P1573" s="361"/>
      <c r="Q1573" s="361"/>
      <c r="R1573" s="362"/>
      <c r="S1573" s="361"/>
      <c r="T1573" s="360" t="s">
        <v>132</v>
      </c>
    </row>
    <row r="1574" ht="34.5"/>
  </sheetData>
  <autoFilter ref="A5:T1573"/>
</worksheet>
</file>

<file path=xl/worksheets/sheet3.xml><?xml version="1.0" encoding="utf-8"?>
<worksheet xmlns="http://schemas.openxmlformats.org/spreadsheetml/2006/main" xmlns:r="http://schemas.openxmlformats.org/officeDocument/2006/relationships">
  <dimension ref="A1:Q57"/>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518" t="s">
        <v>0</v>
      </c>
      <c r="B1" s="467"/>
      <c r="C1" s="467"/>
      <c r="D1" s="467"/>
      <c r="E1" s="467"/>
      <c r="F1" s="467"/>
      <c r="G1" s="477"/>
      <c r="H1" s="470"/>
      <c r="I1" s="470"/>
      <c r="J1" s="470"/>
      <c r="K1" s="470"/>
      <c r="L1" s="462"/>
      <c r="M1" s="462"/>
      <c r="N1" s="463"/>
      <c r="O1" s="462"/>
      <c r="P1" s="462"/>
      <c r="Q1" s="463"/>
    </row>
    <row r="2">
      <c r="A2" s="466"/>
      <c r="B2" s="466"/>
      <c r="C2" s="466"/>
      <c r="D2" s="466"/>
      <c r="E2" s="466"/>
      <c r="F2" s="466"/>
      <c r="G2" s="473"/>
      <c r="H2" s="466"/>
      <c r="I2" s="466"/>
      <c r="J2" s="466"/>
      <c r="K2" s="466"/>
      <c r="L2" s="462"/>
      <c r="M2" s="462"/>
      <c r="N2" s="463"/>
      <c r="O2" s="462"/>
      <c r="P2" s="462"/>
      <c r="Q2" s="463"/>
    </row>
    <row r="3">
      <c r="A3" s="514" t="s">
        <v>1292</v>
      </c>
      <c r="G3" s="473"/>
      <c r="L3" s="462"/>
      <c r="M3" s="462"/>
      <c r="N3" s="463"/>
      <c r="O3" s="462"/>
      <c r="P3" s="462"/>
      <c r="Q3" s="463"/>
    </row>
    <row r="4">
      <c r="A4" s="514" t="s">
        <v>1293</v>
      </c>
      <c r="G4" s="473"/>
      <c r="L4" s="462"/>
      <c r="M4" s="462"/>
      <c r="N4" s="463"/>
      <c r="O4" s="462"/>
      <c r="P4" s="462"/>
      <c r="Q4" s="463"/>
    </row>
    <row r="5">
      <c r="A5" s="514" t="s">
        <v>1294</v>
      </c>
      <c r="B5" s="461"/>
      <c r="C5" s="460">
        <v>1</v>
      </c>
      <c r="D5" s="461"/>
      <c r="E5" s="461"/>
      <c r="F5" s="461"/>
      <c r="G5" s="472"/>
      <c r="H5" s="461"/>
      <c r="I5" s="461"/>
      <c r="J5" s="461"/>
      <c r="K5" s="461"/>
      <c r="L5" s="462"/>
      <c r="M5" s="514" t="s">
        <v>1295</v>
      </c>
      <c r="N5" s="463" t="s">
        <v>1296</v>
      </c>
      <c r="O5" s="462"/>
      <c r="P5" s="462"/>
      <c r="Q5" s="463" t="s">
        <v>1297</v>
      </c>
    </row>
    <row r="6">
      <c r="A6" s="514" t="s">
        <v>1298</v>
      </c>
      <c r="B6" s="461"/>
      <c r="C6" s="499" t="str">
        <f>CHOOSE($C$5,"Base","Bull","Bear")</f>
        <v>Base</v>
      </c>
      <c r="D6" s="461"/>
      <c r="E6" s="461"/>
      <c r="F6" s="461"/>
      <c r="G6" s="472"/>
      <c r="H6" s="461"/>
      <c r="I6" s="461"/>
      <c r="J6" s="461"/>
      <c r="K6" s="461"/>
      <c r="L6" s="462"/>
      <c r="M6" s="514" t="s">
        <v>1299</v>
      </c>
      <c r="N6" s="463" t="s">
        <v>1296</v>
      </c>
      <c r="O6" s="462"/>
      <c r="P6" s="462"/>
      <c r="Q6" s="463" t="s">
        <v>1300</v>
      </c>
    </row>
    <row r="7">
      <c r="A7" s="466"/>
      <c r="B7" s="466"/>
      <c r="C7" s="466"/>
      <c r="D7" s="466"/>
      <c r="E7" s="466"/>
      <c r="F7" s="466"/>
      <c r="G7" s="473"/>
      <c r="H7" s="466"/>
      <c r="I7" s="466"/>
      <c r="J7" s="466"/>
      <c r="K7" s="466"/>
      <c r="L7" s="462"/>
      <c r="M7" s="462"/>
      <c r="N7" s="463"/>
      <c r="O7" s="462"/>
      <c r="P7" s="462"/>
      <c r="Q7" s="463"/>
    </row>
    <row r="8">
      <c r="A8" s="518" t="s">
        <v>3</v>
      </c>
      <c r="B8" s="519" t="s">
        <v>4</v>
      </c>
      <c r="C8" s="519" t="s">
        <v>5</v>
      </c>
      <c r="D8" s="519" t="s">
        <v>6</v>
      </c>
      <c r="E8" s="519" t="s">
        <v>7</v>
      </c>
      <c r="F8" s="519" t="s">
        <v>8</v>
      </c>
      <c r="G8" s="521" t="s">
        <v>9</v>
      </c>
      <c r="H8" s="520" t="s">
        <v>10</v>
      </c>
      <c r="I8" s="520" t="s">
        <v>11</v>
      </c>
      <c r="J8" s="520" t="s">
        <v>12</v>
      </c>
      <c r="K8" s="520" t="s">
        <v>13</v>
      </c>
      <c r="L8" s="462"/>
      <c r="M8" s="508" t="s">
        <v>1301</v>
      </c>
      <c r="N8" s="508" t="s">
        <v>1302</v>
      </c>
      <c r="O8" s="462"/>
      <c r="P8" s="462"/>
      <c r="Q8" s="508" t="s">
        <v>1303</v>
      </c>
    </row>
    <row r="9">
      <c r="A9" s="466"/>
      <c r="B9" s="466"/>
      <c r="C9" s="466"/>
      <c r="D9" s="466"/>
      <c r="E9" s="466"/>
      <c r="F9" s="466"/>
      <c r="G9" s="473"/>
      <c r="H9" s="466"/>
      <c r="I9" s="466"/>
      <c r="J9" s="466"/>
      <c r="K9" s="466"/>
      <c r="L9" s="462"/>
      <c r="M9" s="462"/>
      <c r="N9" s="463"/>
      <c r="O9" s="462"/>
      <c r="P9" s="462"/>
      <c r="Q9" s="463"/>
    </row>
    <row r="10">
      <c r="A10" s="518" t="s">
        <v>1304</v>
      </c>
      <c r="B10" s="464"/>
      <c r="C10" s="464"/>
      <c r="D10" s="464"/>
      <c r="E10" s="464"/>
      <c r="F10" s="464"/>
      <c r="G10" s="476"/>
      <c r="H10" s="469"/>
      <c r="I10" s="469"/>
      <c r="J10" s="469"/>
      <c r="K10" s="469"/>
      <c r="L10" s="462"/>
      <c r="M10" s="462"/>
      <c r="N10" s="462"/>
      <c r="O10" s="462"/>
      <c r="P10" s="462"/>
      <c r="Q10" s="462"/>
    </row>
    <row r="11">
      <c r="A11" s="487" t="s">
        <v>1305</v>
      </c>
      <c r="B11" s="468"/>
      <c r="C11" s="468"/>
      <c r="D11" s="468"/>
      <c r="E11" s="468"/>
      <c r="F11" s="468"/>
      <c r="G11" s="490">
        <f>CHOOSE($C$5,G13,G14,G12)</f>
        <v>0.073</v>
      </c>
      <c r="H11" s="484">
        <f>CHOOSE($C$5,H13,H14,H12)</f>
        <v>0.073</v>
      </c>
      <c r="I11" s="484">
        <f>CHOOSE($C$5,I13,I14,I12)</f>
        <v>0.073</v>
      </c>
      <c r="J11" s="484">
        <f>CHOOSE($C$5,J13,J14,J12)</f>
        <v>0.073</v>
      </c>
      <c r="K11" s="484">
        <f>CHOOSE($C$5,K13,K14,K12)</f>
        <v>0.073</v>
      </c>
      <c r="L11" s="462"/>
      <c r="M11" s="514" t="s">
        <v>1299</v>
      </c>
      <c r="N11" s="463" t="s">
        <v>1296</v>
      </c>
      <c r="O11" s="462"/>
      <c r="P11" s="462"/>
      <c r="Q11" s="463" t="s">
        <v>1300</v>
      </c>
    </row>
    <row r="12">
      <c r="A12" s="514" t="s">
        <v>1306</v>
      </c>
      <c r="B12" s="461"/>
      <c r="C12" s="461"/>
      <c r="D12" s="461"/>
      <c r="E12" s="461"/>
      <c r="F12" s="461"/>
      <c r="G12" s="465">
        <v>0.053</v>
      </c>
      <c r="H12" s="460">
        <v>0.053</v>
      </c>
      <c r="I12" s="460">
        <v>0.053</v>
      </c>
      <c r="J12" s="460">
        <v>0.053</v>
      </c>
      <c r="K12" s="460">
        <v>0.053</v>
      </c>
      <c r="L12" s="462"/>
      <c r="M12" s="514" t="s">
        <v>1299</v>
      </c>
      <c r="N12" s="463" t="s">
        <v>1296</v>
      </c>
      <c r="O12" s="462"/>
      <c r="P12" s="462"/>
      <c r="Q12" s="463" t="s">
        <v>1307</v>
      </c>
    </row>
    <row r="13">
      <c r="A13" s="514" t="s">
        <v>1308</v>
      </c>
      <c r="B13" s="461"/>
      <c r="C13" s="461"/>
      <c r="D13" s="461"/>
      <c r="E13" s="461"/>
      <c r="F13" s="461"/>
      <c r="G13" s="465">
        <v>0.073</v>
      </c>
      <c r="H13" s="460">
        <v>0.073</v>
      </c>
      <c r="I13" s="460">
        <v>0.073</v>
      </c>
      <c r="J13" s="460">
        <v>0.073</v>
      </c>
      <c r="K13" s="460">
        <v>0.073</v>
      </c>
      <c r="L13" s="462"/>
      <c r="M13" s="514" t="s">
        <v>1299</v>
      </c>
      <c r="N13" s="463" t="s">
        <v>1296</v>
      </c>
      <c r="O13" s="462"/>
      <c r="P13" s="462"/>
      <c r="Q13" s="463" t="s">
        <v>1307</v>
      </c>
    </row>
    <row r="14">
      <c r="A14" s="514" t="s">
        <v>1309</v>
      </c>
      <c r="B14" s="461"/>
      <c r="C14" s="461"/>
      <c r="D14" s="461"/>
      <c r="E14" s="461"/>
      <c r="F14" s="461"/>
      <c r="G14" s="465">
        <v>0.093</v>
      </c>
      <c r="H14" s="460">
        <v>0.093</v>
      </c>
      <c r="I14" s="460">
        <v>0.093</v>
      </c>
      <c r="J14" s="460">
        <v>0.093</v>
      </c>
      <c r="K14" s="460">
        <v>0.093</v>
      </c>
      <c r="L14" s="462"/>
      <c r="M14" s="514" t="s">
        <v>1299</v>
      </c>
      <c r="N14" s="463" t="s">
        <v>1296</v>
      </c>
      <c r="O14" s="462"/>
      <c r="P14" s="462"/>
      <c r="Q14" s="463" t="s">
        <v>1307</v>
      </c>
    </row>
    <row r="15">
      <c r="A15" s="514" t="s">
        <v>1310</v>
      </c>
      <c r="B15" s="498">
        <f>EEFF!B9</f>
        <v>0</v>
      </c>
      <c r="C15" s="498">
        <f>EEFF!C9</f>
        <v>0</v>
      </c>
      <c r="D15" s="498">
        <f>EEFF!D9</f>
        <v>43820174</v>
      </c>
      <c r="E15" s="498">
        <f>EEFF!E9</f>
        <v>50921202</v>
      </c>
      <c r="F15" s="498">
        <f>EEFF!F9</f>
        <v>54629786</v>
      </c>
      <c r="G15" s="472"/>
      <c r="H15" s="461"/>
      <c r="I15" s="461"/>
      <c r="J15" s="461"/>
      <c r="K15" s="461"/>
      <c r="L15" s="462"/>
      <c r="M15" s="514" t="s">
        <v>1299</v>
      </c>
      <c r="N15" s="463" t="s">
        <v>1311</v>
      </c>
      <c r="O15" s="462"/>
      <c r="P15" s="462"/>
      <c r="Q15" s="463" t="s">
        <v>1312</v>
      </c>
    </row>
    <row r="16">
      <c r="A16" s="466"/>
      <c r="B16" s="466"/>
      <c r="C16" s="466"/>
      <c r="D16" s="466"/>
      <c r="E16" s="466"/>
      <c r="F16" s="466"/>
      <c r="G16" s="473"/>
      <c r="H16" s="466"/>
      <c r="I16" s="466"/>
      <c r="J16" s="466"/>
      <c r="K16" s="466"/>
      <c r="L16" s="462"/>
      <c r="M16" s="462"/>
      <c r="N16" s="463"/>
      <c r="O16" s="462"/>
      <c r="P16" s="462"/>
      <c r="Q16" s="463"/>
    </row>
    <row r="17">
      <c r="A17" s="518" t="s">
        <v>1313</v>
      </c>
      <c r="B17" s="464"/>
      <c r="C17" s="464"/>
      <c r="D17" s="464"/>
      <c r="E17" s="464"/>
      <c r="F17" s="464"/>
      <c r="G17" s="476"/>
      <c r="H17" s="469"/>
      <c r="I17" s="469"/>
      <c r="J17" s="469"/>
      <c r="K17" s="469"/>
      <c r="L17" s="462"/>
      <c r="M17" s="462"/>
      <c r="N17" s="462"/>
      <c r="O17" s="462"/>
      <c r="P17" s="462"/>
      <c r="Q17" s="462"/>
    </row>
    <row r="18">
      <c r="A18" s="514" t="s">
        <v>1314</v>
      </c>
      <c r="B18" s="461"/>
      <c r="C18" s="461"/>
      <c r="D18" s="461"/>
      <c r="E18" s="461"/>
      <c r="F18" s="461"/>
      <c r="G18" s="506">
        <f>CHOOSE($C$5,G20,G21,G19)</f>
        <v>0.498</v>
      </c>
      <c r="H18" s="499">
        <f>CHOOSE($C$5,H20,H21,H19)</f>
        <v>0.498</v>
      </c>
      <c r="I18" s="499">
        <f>CHOOSE($C$5,I20,I21,I19)</f>
        <v>0.498</v>
      </c>
      <c r="J18" s="499">
        <f>CHOOSE($C$5,J20,J21,J19)</f>
        <v>0.498</v>
      </c>
      <c r="K18" s="499">
        <f>CHOOSE($C$5,K20,K21,K19)</f>
        <v>0.498</v>
      </c>
      <c r="L18" s="462"/>
      <c r="M18" s="514" t="s">
        <v>1299</v>
      </c>
      <c r="N18" s="463" t="s">
        <v>1296</v>
      </c>
      <c r="O18" s="462"/>
      <c r="P18" s="462"/>
      <c r="Q18" s="463" t="s">
        <v>1300</v>
      </c>
    </row>
    <row r="19">
      <c r="A19" s="514" t="s">
        <v>1306</v>
      </c>
      <c r="B19" s="461"/>
      <c r="C19" s="461"/>
      <c r="D19" s="461"/>
      <c r="E19" s="461"/>
      <c r="F19" s="461"/>
      <c r="G19" s="465">
        <v>0.478</v>
      </c>
      <c r="H19" s="460">
        <v>0.478</v>
      </c>
      <c r="I19" s="460">
        <v>0.478</v>
      </c>
      <c r="J19" s="460">
        <v>0.478</v>
      </c>
      <c r="K19" s="460">
        <v>0.478</v>
      </c>
      <c r="L19" s="462"/>
      <c r="M19" s="514" t="s">
        <v>1299</v>
      </c>
      <c r="N19" s="463" t="s">
        <v>1296</v>
      </c>
      <c r="O19" s="462"/>
      <c r="P19" s="462"/>
      <c r="Q19" s="463" t="s">
        <v>1307</v>
      </c>
    </row>
    <row r="20">
      <c r="A20" s="514" t="s">
        <v>1308</v>
      </c>
      <c r="B20" s="461"/>
      <c r="C20" s="461"/>
      <c r="D20" s="461"/>
      <c r="E20" s="461"/>
      <c r="F20" s="461"/>
      <c r="G20" s="465">
        <v>0.498</v>
      </c>
      <c r="H20" s="460">
        <v>0.498</v>
      </c>
      <c r="I20" s="460">
        <v>0.498</v>
      </c>
      <c r="J20" s="460">
        <v>0.498</v>
      </c>
      <c r="K20" s="460">
        <v>0.498</v>
      </c>
      <c r="L20" s="462"/>
      <c r="M20" s="514" t="s">
        <v>1299</v>
      </c>
      <c r="N20" s="463" t="s">
        <v>1296</v>
      </c>
      <c r="O20" s="462"/>
      <c r="P20" s="462"/>
      <c r="Q20" s="463" t="s">
        <v>1307</v>
      </c>
    </row>
    <row r="21">
      <c r="A21" s="514" t="s">
        <v>1309</v>
      </c>
      <c r="B21" s="461"/>
      <c r="C21" s="461"/>
      <c r="D21" s="461"/>
      <c r="E21" s="461"/>
      <c r="F21" s="461"/>
      <c r="G21" s="465">
        <v>0.518</v>
      </c>
      <c r="H21" s="460">
        <v>0.518</v>
      </c>
      <c r="I21" s="460">
        <v>0.518</v>
      </c>
      <c r="J21" s="460">
        <v>0.518</v>
      </c>
      <c r="K21" s="460">
        <v>0.518</v>
      </c>
      <c r="L21" s="462"/>
      <c r="M21" s="514" t="s">
        <v>1299</v>
      </c>
      <c r="N21" s="463" t="s">
        <v>1296</v>
      </c>
      <c r="O21" s="462"/>
      <c r="P21" s="462"/>
      <c r="Q21" s="463" t="s">
        <v>1307</v>
      </c>
    </row>
    <row r="22">
      <c r="A22" s="514" t="s">
        <v>1315</v>
      </c>
      <c r="B22" s="418" t="str">
        <f>IF(EEFF!B9=0,"",EEFF!B10/EEFF!B9)</f>
        <v/>
      </c>
      <c r="C22" s="418" t="str">
        <f>IF(EEFF!C9=0,"",EEFF!C10/EEFF!C9)</f>
        <v/>
      </c>
      <c r="D22" s="418">
        <f>IF(EEFF!D9=0,"",EEFF!D10/EEFF!D9)</f>
        <v>0.44013398942687904</v>
      </c>
      <c r="E22" s="418">
        <f>IF(EEFF!E9=0,"",EEFF!E10/EEFF!E9)</f>
        <v>0.4859065384984431</v>
      </c>
      <c r="F22" s="418">
        <f>IF(EEFF!F9=0,"",EEFF!F10/EEFF!F9)</f>
        <v>0.49791531308579534</v>
      </c>
      <c r="G22" s="475"/>
      <c r="H22" s="471"/>
      <c r="I22" s="471"/>
      <c r="J22" s="471"/>
      <c r="K22" s="471"/>
      <c r="L22" s="462"/>
      <c r="M22" s="514" t="s">
        <v>1316</v>
      </c>
      <c r="N22" s="463" t="s">
        <v>1311</v>
      </c>
      <c r="O22" s="462"/>
      <c r="P22" s="462"/>
      <c r="Q22" s="463" t="s">
        <v>1312</v>
      </c>
    </row>
    <row r="23">
      <c r="A23" s="466"/>
      <c r="B23" s="466"/>
      <c r="C23" s="466"/>
      <c r="D23" s="466"/>
      <c r="E23" s="466"/>
      <c r="F23" s="466"/>
      <c r="G23" s="473"/>
      <c r="H23" s="466"/>
      <c r="I23" s="466"/>
      <c r="J23" s="466"/>
      <c r="K23" s="466"/>
      <c r="L23" s="462"/>
      <c r="M23" s="462"/>
      <c r="N23" s="463"/>
      <c r="O23" s="462"/>
      <c r="P23" s="462"/>
      <c r="Q23" s="463"/>
    </row>
    <row r="24">
      <c r="A24" s="518" t="s">
        <v>1317</v>
      </c>
      <c r="B24" s="464"/>
      <c r="C24" s="464"/>
      <c r="D24" s="464"/>
      <c r="E24" s="464"/>
      <c r="F24" s="464"/>
      <c r="G24" s="476"/>
      <c r="H24" s="469"/>
      <c r="I24" s="469"/>
      <c r="J24" s="469"/>
      <c r="K24" s="469"/>
      <c r="L24" s="462"/>
      <c r="M24" s="462"/>
      <c r="N24" s="462"/>
      <c r="O24" s="462"/>
      <c r="P24" s="462"/>
      <c r="Q24" s="462"/>
    </row>
    <row r="25">
      <c r="A25" s="487" t="s">
        <v>1318</v>
      </c>
      <c r="B25" s="468"/>
      <c r="C25" s="468"/>
      <c r="D25" s="468"/>
      <c r="E25" s="468"/>
      <c r="F25" s="468"/>
      <c r="G25" s="490">
        <f>CHOOSE($C$5,G27,G28,G26)</f>
        <v>0.261</v>
      </c>
      <c r="H25" s="484">
        <f>CHOOSE($C$5,H27,H28,H26)</f>
        <v>0.261</v>
      </c>
      <c r="I25" s="484">
        <f>CHOOSE($C$5,I27,I28,I26)</f>
        <v>0.261</v>
      </c>
      <c r="J25" s="484">
        <f>CHOOSE($C$5,J27,J28,J26)</f>
        <v>0.261</v>
      </c>
      <c r="K25" s="484">
        <f>CHOOSE($C$5,K27,K28,K26)</f>
        <v>0.261</v>
      </c>
      <c r="L25" s="462"/>
      <c r="M25" s="514" t="s">
        <v>1299</v>
      </c>
      <c r="N25" s="463" t="s">
        <v>1296</v>
      </c>
      <c r="O25" s="462"/>
      <c r="P25" s="462"/>
      <c r="Q25" s="463" t="s">
        <v>1300</v>
      </c>
    </row>
    <row r="26">
      <c r="A26" s="514" t="s">
        <v>1306</v>
      </c>
      <c r="B26" s="461"/>
      <c r="C26" s="461"/>
      <c r="D26" s="461"/>
      <c r="E26" s="461"/>
      <c r="F26" s="461"/>
      <c r="G26" s="465">
        <v>0.241</v>
      </c>
      <c r="H26" s="460">
        <v>0.241</v>
      </c>
      <c r="I26" s="460">
        <v>0.241</v>
      </c>
      <c r="J26" s="460">
        <v>0.241</v>
      </c>
      <c r="K26" s="460">
        <v>0.241</v>
      </c>
      <c r="L26" s="462"/>
      <c r="M26" s="514" t="s">
        <v>1299</v>
      </c>
      <c r="N26" s="463" t="s">
        <v>1296</v>
      </c>
      <c r="O26" s="462"/>
      <c r="P26" s="462"/>
      <c r="Q26" s="463" t="s">
        <v>1307</v>
      </c>
    </row>
    <row r="27">
      <c r="A27" s="514" t="s">
        <v>1308</v>
      </c>
      <c r="B27" s="461"/>
      <c r="C27" s="461"/>
      <c r="D27" s="461"/>
      <c r="E27" s="461"/>
      <c r="F27" s="461"/>
      <c r="G27" s="465">
        <v>0.261</v>
      </c>
      <c r="H27" s="460">
        <v>0.261</v>
      </c>
      <c r="I27" s="460">
        <v>0.261</v>
      </c>
      <c r="J27" s="460">
        <v>0.261</v>
      </c>
      <c r="K27" s="460">
        <v>0.261</v>
      </c>
      <c r="L27" s="462"/>
      <c r="M27" s="514" t="s">
        <v>1299</v>
      </c>
      <c r="N27" s="463" t="s">
        <v>1296</v>
      </c>
      <c r="O27" s="462"/>
      <c r="P27" s="462"/>
      <c r="Q27" s="463" t="s">
        <v>1307</v>
      </c>
    </row>
    <row r="28">
      <c r="A28" s="514" t="s">
        <v>1309</v>
      </c>
      <c r="B28" s="461"/>
      <c r="C28" s="461"/>
      <c r="D28" s="461"/>
      <c r="E28" s="461"/>
      <c r="F28" s="461"/>
      <c r="G28" s="465">
        <v>0.281</v>
      </c>
      <c r="H28" s="460">
        <v>0.281</v>
      </c>
      <c r="I28" s="460">
        <v>0.281</v>
      </c>
      <c r="J28" s="460">
        <v>0.281</v>
      </c>
      <c r="K28" s="460">
        <v>0.281</v>
      </c>
      <c r="L28" s="462"/>
      <c r="M28" s="514" t="s">
        <v>1299</v>
      </c>
      <c r="N28" s="463" t="s">
        <v>1296</v>
      </c>
      <c r="O28" s="462"/>
      <c r="P28" s="462"/>
      <c r="Q28" s="463" t="s">
        <v>1307</v>
      </c>
    </row>
    <row r="29">
      <c r="A29" s="514" t="s">
        <v>1319</v>
      </c>
      <c r="B29" s="418" t="str">
        <f>IF(EEFF!B9=0,"",EEFF!B29/EEFF!B9)</f>
        <v/>
      </c>
      <c r="C29" s="418" t="str">
        <f>IF(EEFF!C9=0,"",EEFF!C29/EEFF!C9)</f>
        <v/>
      </c>
      <c r="D29" s="418">
        <f>IF(EEFF!D9=0,"",EEFF!D29/EEFF!D9)</f>
        <v>0.26903391574848606</v>
      </c>
      <c r="E29" s="418">
        <f>IF(EEFF!E9=0,"",EEFF!E29/EEFF!E9)</f>
        <v>0.27224659779240873</v>
      </c>
      <c r="F29" s="418">
        <f>IF(EEFF!F9=0,"",EEFF!F29/EEFF!F9)</f>
        <v>0.26113735829021917</v>
      </c>
      <c r="G29" s="475"/>
      <c r="H29" s="471"/>
      <c r="I29" s="471"/>
      <c r="J29" s="471"/>
      <c r="K29" s="471"/>
      <c r="L29" s="462"/>
      <c r="M29" s="514" t="s">
        <v>1316</v>
      </c>
      <c r="N29" s="463" t="s">
        <v>1311</v>
      </c>
      <c r="O29" s="462"/>
      <c r="P29" s="462"/>
      <c r="Q29" s="463" t="s">
        <v>1312</v>
      </c>
    </row>
    <row r="30">
      <c r="A30" s="466"/>
      <c r="B30" s="466"/>
      <c r="C30" s="466"/>
      <c r="D30" s="466"/>
      <c r="E30" s="466"/>
      <c r="F30" s="466"/>
      <c r="G30" s="473"/>
      <c r="H30" s="466"/>
      <c r="I30" s="466"/>
      <c r="J30" s="466"/>
      <c r="K30" s="466"/>
      <c r="L30" s="462"/>
      <c r="M30" s="462"/>
      <c r="N30" s="463"/>
      <c r="O30" s="462"/>
      <c r="P30" s="462"/>
      <c r="Q30" s="463"/>
    </row>
    <row r="31">
      <c r="A31" s="466"/>
      <c r="B31" s="466"/>
      <c r="C31" s="466"/>
      <c r="D31" s="466"/>
      <c r="E31" s="466"/>
      <c r="F31" s="466"/>
      <c r="G31" s="473"/>
      <c r="H31" s="466"/>
      <c r="I31" s="466"/>
      <c r="J31" s="466"/>
      <c r="K31" s="466"/>
      <c r="L31" s="462"/>
      <c r="M31" s="462"/>
      <c r="N31" s="463"/>
      <c r="O31" s="462"/>
      <c r="P31" s="462"/>
      <c r="Q31" s="463"/>
    </row>
    <row r="32">
      <c r="A32" s="518" t="s">
        <v>1320</v>
      </c>
      <c r="B32" s="464"/>
      <c r="C32" s="464"/>
      <c r="D32" s="464"/>
      <c r="E32" s="464"/>
      <c r="F32" s="464"/>
      <c r="G32" s="476"/>
      <c r="H32" s="469"/>
      <c r="I32" s="469"/>
      <c r="J32" s="469"/>
      <c r="K32" s="469"/>
      <c r="L32" s="462"/>
      <c r="M32" s="462"/>
      <c r="N32" s="462"/>
      <c r="O32" s="462"/>
      <c r="P32" s="462"/>
      <c r="Q32" s="462"/>
    </row>
    <row r="33">
      <c r="A33" s="514" t="s">
        <v>1321</v>
      </c>
      <c r="B33" s="471"/>
      <c r="C33" s="471"/>
      <c r="D33" s="471"/>
      <c r="E33" s="471"/>
      <c r="F33" s="471"/>
      <c r="G33" s="475">
        <f>CHOOSE($C$5,G35,G36,G34)</f>
        <v>0.105</v>
      </c>
      <c r="H33" s="471">
        <f>CHOOSE($C$5,H35,H36,H34)</f>
        <v>0.1</v>
      </c>
      <c r="I33" s="471">
        <f>CHOOSE($C$5,I35,I36,I34)</f>
        <v>0.095</v>
      </c>
      <c r="J33" s="471">
        <f>CHOOSE($C$5,J35,J36,J34)</f>
        <v>0.09</v>
      </c>
      <c r="K33" s="471">
        <f>CHOOSE($C$5,K35,K36,K34)</f>
        <v>0.085</v>
      </c>
      <c r="L33" s="462"/>
      <c r="M33" s="514" t="s">
        <v>1316</v>
      </c>
      <c r="N33" s="463" t="s">
        <v>1296</v>
      </c>
      <c r="O33" s="462"/>
      <c r="P33" s="462"/>
      <c r="Q33" s="463" t="s">
        <v>1300</v>
      </c>
    </row>
    <row r="34">
      <c r="A34" s="514" t="s">
        <v>1306</v>
      </c>
      <c r="B34" s="461"/>
      <c r="C34" s="461"/>
      <c r="D34" s="461"/>
      <c r="E34" s="461"/>
      <c r="F34" s="461"/>
      <c r="G34" s="465">
        <v>0.075</v>
      </c>
      <c r="H34" s="460">
        <v>0.07</v>
      </c>
      <c r="I34" s="460">
        <v>0.065</v>
      </c>
      <c r="J34" s="460">
        <v>0.06</v>
      </c>
      <c r="K34" s="460">
        <v>0.06</v>
      </c>
      <c r="L34" s="462"/>
      <c r="M34" s="514" t="s">
        <v>1299</v>
      </c>
      <c r="N34" s="463" t="s">
        <v>1296</v>
      </c>
      <c r="O34" s="462"/>
      <c r="P34" s="462"/>
      <c r="Q34" s="463" t="s">
        <v>1307</v>
      </c>
    </row>
    <row r="35">
      <c r="A35" s="514" t="s">
        <v>1308</v>
      </c>
      <c r="B35" s="461"/>
      <c r="C35" s="461"/>
      <c r="D35" s="461"/>
      <c r="E35" s="461"/>
      <c r="F35" s="461"/>
      <c r="G35" s="465">
        <v>0.105</v>
      </c>
      <c r="H35" s="460">
        <v>0.1</v>
      </c>
      <c r="I35" s="460">
        <v>0.095</v>
      </c>
      <c r="J35" s="460">
        <v>0.09</v>
      </c>
      <c r="K35" s="460">
        <v>0.085</v>
      </c>
      <c r="L35" s="462"/>
      <c r="M35" s="514" t="s">
        <v>1299</v>
      </c>
      <c r="N35" s="463" t="s">
        <v>1296</v>
      </c>
      <c r="O35" s="462"/>
      <c r="P35" s="462"/>
      <c r="Q35" s="463" t="s">
        <v>1307</v>
      </c>
    </row>
    <row r="36">
      <c r="A36" s="514" t="s">
        <v>1309</v>
      </c>
      <c r="B36" s="461"/>
      <c r="C36" s="461"/>
      <c r="D36" s="461"/>
      <c r="E36" s="461"/>
      <c r="F36" s="461"/>
      <c r="G36" s="465">
        <v>0.13</v>
      </c>
      <c r="H36" s="460">
        <v>0.125</v>
      </c>
      <c r="I36" s="460">
        <v>0.12</v>
      </c>
      <c r="J36" s="460">
        <v>0.115</v>
      </c>
      <c r="K36" s="460">
        <v>0.11</v>
      </c>
      <c r="L36" s="462"/>
      <c r="M36" s="514" t="s">
        <v>1299</v>
      </c>
      <c r="N36" s="463" t="s">
        <v>1296</v>
      </c>
      <c r="O36" s="462"/>
      <c r="P36" s="462"/>
      <c r="Q36" s="463" t="s">
        <v>1307</v>
      </c>
    </row>
    <row r="37">
      <c r="A37" s="514" t="s">
        <v>1322</v>
      </c>
      <c r="B37" s="498">
        <f>EEFF!B40</f>
        <v>169258759</v>
      </c>
      <c r="C37" s="498">
        <f>EEFF!C40</f>
        <v>201123133</v>
      </c>
      <c r="D37" s="498">
        <f>EEFF!D40</f>
        <v>249844714</v>
      </c>
      <c r="E37" s="498">
        <f>EEFF!E40</f>
        <v>293697141</v>
      </c>
      <c r="F37" s="498">
        <f>EEFF!F40</f>
        <v>330675937</v>
      </c>
      <c r="G37" s="472"/>
      <c r="H37" s="461"/>
      <c r="I37" s="461"/>
      <c r="J37" s="461"/>
      <c r="K37" s="461"/>
      <c r="L37" s="462"/>
      <c r="M37" s="514" t="s">
        <v>1299</v>
      </c>
      <c r="N37" s="463" t="s">
        <v>1311</v>
      </c>
      <c r="O37" s="462"/>
      <c r="P37" s="462"/>
      <c r="Q37" s="463" t="s">
        <v>1312</v>
      </c>
    </row>
    <row r="38">
      <c r="A38" s="514" t="s">
        <v>1323</v>
      </c>
      <c r="B38" s="461"/>
      <c r="C38" s="461"/>
      <c r="D38" s="461"/>
      <c r="E38" s="461"/>
      <c r="F38" s="461"/>
      <c r="G38" s="506">
        <f>CHOOSE($C$5,G40,G41,G39)</f>
        <v>0.134</v>
      </c>
      <c r="H38" s="499">
        <f>CHOOSE($C$5,H40,H41,H39)</f>
        <v>0.133</v>
      </c>
      <c r="I38" s="499">
        <f>CHOOSE($C$5,I40,I41,I39)</f>
        <v>0.132</v>
      </c>
      <c r="J38" s="499">
        <f>CHOOSE($C$5,J40,J41,J39)</f>
        <v>0.131</v>
      </c>
      <c r="K38" s="499">
        <f>CHOOSE($C$5,K40,K41,K39)</f>
        <v>0.13</v>
      </c>
      <c r="L38" s="462"/>
      <c r="M38" s="514" t="s">
        <v>1316</v>
      </c>
      <c r="N38" s="463" t="s">
        <v>1296</v>
      </c>
      <c r="O38" s="462"/>
      <c r="P38" s="462"/>
      <c r="Q38" s="463" t="s">
        <v>1300</v>
      </c>
    </row>
    <row r="39">
      <c r="A39" s="514" t="s">
        <v>1306</v>
      </c>
      <c r="B39" s="461"/>
      <c r="C39" s="461"/>
      <c r="D39" s="461"/>
      <c r="E39" s="461"/>
      <c r="F39" s="461"/>
      <c r="G39" s="465">
        <v>0.125</v>
      </c>
      <c r="H39" s="460">
        <v>0.123</v>
      </c>
      <c r="I39" s="460">
        <v>0.121</v>
      </c>
      <c r="J39" s="460">
        <v>0.12</v>
      </c>
      <c r="K39" s="460">
        <v>0.12</v>
      </c>
      <c r="L39" s="462"/>
      <c r="M39" s="514" t="s">
        <v>1299</v>
      </c>
      <c r="N39" s="463" t="s">
        <v>1296</v>
      </c>
      <c r="O39" s="462"/>
      <c r="P39" s="462"/>
      <c r="Q39" s="463" t="s">
        <v>1307</v>
      </c>
    </row>
    <row r="40">
      <c r="A40" s="514" t="s">
        <v>1308</v>
      </c>
      <c r="B40" s="461"/>
      <c r="C40" s="461"/>
      <c r="D40" s="461"/>
      <c r="E40" s="461"/>
      <c r="F40" s="461"/>
      <c r="G40" s="465">
        <v>0.134</v>
      </c>
      <c r="H40" s="460">
        <v>0.133</v>
      </c>
      <c r="I40" s="460">
        <v>0.132</v>
      </c>
      <c r="J40" s="460">
        <v>0.131</v>
      </c>
      <c r="K40" s="460">
        <v>0.13</v>
      </c>
      <c r="L40" s="462"/>
      <c r="M40" s="514" t="s">
        <v>1299</v>
      </c>
      <c r="N40" s="463" t="s">
        <v>1296</v>
      </c>
      <c r="O40" s="462"/>
      <c r="P40" s="462"/>
      <c r="Q40" s="463" t="s">
        <v>1307</v>
      </c>
    </row>
    <row r="41">
      <c r="A41" s="514" t="s">
        <v>1309</v>
      </c>
      <c r="B41" s="461"/>
      <c r="C41" s="461"/>
      <c r="D41" s="461"/>
      <c r="E41" s="461"/>
      <c r="F41" s="461"/>
      <c r="G41" s="465">
        <v>0.142</v>
      </c>
      <c r="H41" s="460">
        <v>0.141</v>
      </c>
      <c r="I41" s="460">
        <v>0.14</v>
      </c>
      <c r="J41" s="460">
        <v>0.139</v>
      </c>
      <c r="K41" s="460">
        <v>0.138</v>
      </c>
      <c r="L41" s="462"/>
      <c r="M41" s="514" t="s">
        <v>1299</v>
      </c>
      <c r="N41" s="463" t="s">
        <v>1296</v>
      </c>
      <c r="O41" s="462"/>
      <c r="P41" s="462"/>
      <c r="Q41" s="463" t="s">
        <v>1307</v>
      </c>
    </row>
    <row r="42">
      <c r="A42" s="514" t="s">
        <v>1324</v>
      </c>
      <c r="B42" s="461"/>
      <c r="C42" s="461"/>
      <c r="D42" s="461"/>
      <c r="E42" s="461"/>
      <c r="F42" s="461"/>
      <c r="G42" s="506">
        <f>CHOOSE($C$5,G44,G45,G43)</f>
        <v>0.039</v>
      </c>
      <c r="H42" s="499">
        <f>CHOOSE($C$5,H44,H45,H43)</f>
        <v>0.038</v>
      </c>
      <c r="I42" s="499">
        <f>CHOOSE($C$5,I44,I45,I43)</f>
        <v>0.038</v>
      </c>
      <c r="J42" s="499">
        <f>CHOOSE($C$5,J44,J45,J43)</f>
        <v>0.037</v>
      </c>
      <c r="K42" s="499">
        <f>CHOOSE($C$5,K44,K45,K43)</f>
        <v>0.037</v>
      </c>
      <c r="L42" s="462"/>
      <c r="M42" s="514" t="s">
        <v>1316</v>
      </c>
      <c r="N42" s="463" t="s">
        <v>1296</v>
      </c>
      <c r="O42" s="462"/>
      <c r="P42" s="462"/>
      <c r="Q42" s="463" t="s">
        <v>1300</v>
      </c>
    </row>
    <row r="43">
      <c r="A43" s="514" t="s">
        <v>1306</v>
      </c>
      <c r="B43" s="461"/>
      <c r="C43" s="461"/>
      <c r="D43" s="461"/>
      <c r="E43" s="461"/>
      <c r="F43" s="461"/>
      <c r="G43" s="465">
        <v>0.035</v>
      </c>
      <c r="H43" s="460">
        <v>0.034</v>
      </c>
      <c r="I43" s="460">
        <v>0.034</v>
      </c>
      <c r="J43" s="460">
        <v>0.033</v>
      </c>
      <c r="K43" s="460">
        <v>0.033</v>
      </c>
      <c r="L43" s="462"/>
      <c r="M43" s="514" t="s">
        <v>1299</v>
      </c>
      <c r="N43" s="463" t="s">
        <v>1296</v>
      </c>
      <c r="O43" s="462"/>
      <c r="P43" s="462"/>
      <c r="Q43" s="463" t="s">
        <v>1307</v>
      </c>
    </row>
    <row r="44">
      <c r="A44" s="514" t="s">
        <v>1308</v>
      </c>
      <c r="B44" s="461"/>
      <c r="C44" s="461"/>
      <c r="D44" s="461"/>
      <c r="E44" s="461"/>
      <c r="F44" s="461"/>
      <c r="G44" s="465">
        <v>0.039</v>
      </c>
      <c r="H44" s="460">
        <v>0.038</v>
      </c>
      <c r="I44" s="460">
        <v>0.038</v>
      </c>
      <c r="J44" s="460">
        <v>0.037</v>
      </c>
      <c r="K44" s="460">
        <v>0.037</v>
      </c>
      <c r="L44" s="462"/>
      <c r="M44" s="514" t="s">
        <v>1299</v>
      </c>
      <c r="N44" s="463" t="s">
        <v>1296</v>
      </c>
      <c r="O44" s="462"/>
      <c r="P44" s="462"/>
      <c r="Q44" s="463" t="s">
        <v>1307</v>
      </c>
    </row>
    <row r="45">
      <c r="A45" s="514" t="s">
        <v>1309</v>
      </c>
      <c r="B45" s="461"/>
      <c r="C45" s="461"/>
      <c r="D45" s="461"/>
      <c r="E45" s="461"/>
      <c r="F45" s="461"/>
      <c r="G45" s="465">
        <v>0.043</v>
      </c>
      <c r="H45" s="460">
        <v>0.042</v>
      </c>
      <c r="I45" s="460">
        <v>0.041</v>
      </c>
      <c r="J45" s="460">
        <v>0.041</v>
      </c>
      <c r="K45" s="460">
        <v>0.04</v>
      </c>
      <c r="L45" s="462"/>
      <c r="M45" s="514" t="s">
        <v>1299</v>
      </c>
      <c r="N45" s="463" t="s">
        <v>1296</v>
      </c>
      <c r="O45" s="462"/>
      <c r="P45" s="462"/>
      <c r="Q45" s="463" t="s">
        <v>1307</v>
      </c>
    </row>
    <row r="46">
      <c r="A46" s="514" t="s">
        <v>1325</v>
      </c>
      <c r="B46" s="461"/>
      <c r="C46" s="461"/>
      <c r="D46" s="461"/>
      <c r="E46" s="461"/>
      <c r="F46" s="461"/>
      <c r="G46" s="506">
        <f>CHOOSE($C$5,G48,G49,G47)</f>
        <v>0.073</v>
      </c>
      <c r="H46" s="499">
        <f>CHOOSE($C$5,H48,H49,H47)</f>
        <v>0.073</v>
      </c>
      <c r="I46" s="499">
        <f>CHOOSE($C$5,I48,I49,I47)</f>
        <v>0.074</v>
      </c>
      <c r="J46" s="499">
        <f>CHOOSE($C$5,J48,J49,J47)</f>
        <v>0.074</v>
      </c>
      <c r="K46" s="499">
        <f>CHOOSE($C$5,K48,K49,K47)</f>
        <v>0.074</v>
      </c>
      <c r="L46" s="462"/>
      <c r="M46" s="514" t="s">
        <v>1299</v>
      </c>
      <c r="N46" s="463" t="s">
        <v>1296</v>
      </c>
      <c r="O46" s="462"/>
      <c r="P46" s="462"/>
      <c r="Q46" s="463" t="s">
        <v>1300</v>
      </c>
    </row>
    <row r="47">
      <c r="A47" s="514" t="s">
        <v>1306</v>
      </c>
      <c r="B47" s="461"/>
      <c r="C47" s="461"/>
      <c r="D47" s="461"/>
      <c r="E47" s="461"/>
      <c r="F47" s="461"/>
      <c r="G47" s="465">
        <v>0.08</v>
      </c>
      <c r="H47" s="460">
        <v>0.081</v>
      </c>
      <c r="I47" s="460">
        <v>0.082</v>
      </c>
      <c r="J47" s="460">
        <v>0.083</v>
      </c>
      <c r="K47" s="460">
        <v>0.083</v>
      </c>
      <c r="L47" s="462"/>
      <c r="M47" s="514" t="s">
        <v>1299</v>
      </c>
      <c r="N47" s="463" t="s">
        <v>1296</v>
      </c>
      <c r="O47" s="462"/>
      <c r="P47" s="462"/>
      <c r="Q47" s="463" t="s">
        <v>1307</v>
      </c>
    </row>
    <row r="48">
      <c r="A48" s="514" t="s">
        <v>1308</v>
      </c>
      <c r="B48" s="461"/>
      <c r="C48" s="461"/>
      <c r="D48" s="461"/>
      <c r="E48" s="461"/>
      <c r="F48" s="461"/>
      <c r="G48" s="465">
        <v>0.073</v>
      </c>
      <c r="H48" s="460">
        <v>0.073</v>
      </c>
      <c r="I48" s="460">
        <v>0.074</v>
      </c>
      <c r="J48" s="460">
        <v>0.074</v>
      </c>
      <c r="K48" s="460">
        <v>0.074</v>
      </c>
      <c r="L48" s="462"/>
      <c r="M48" s="514" t="s">
        <v>1299</v>
      </c>
      <c r="N48" s="463" t="s">
        <v>1296</v>
      </c>
      <c r="O48" s="462"/>
      <c r="P48" s="462"/>
      <c r="Q48" s="463" t="s">
        <v>1307</v>
      </c>
    </row>
    <row r="49">
      <c r="A49" s="514" t="s">
        <v>1309</v>
      </c>
      <c r="B49" s="461"/>
      <c r="C49" s="461"/>
      <c r="D49" s="461"/>
      <c r="E49" s="461"/>
      <c r="F49" s="461"/>
      <c r="G49" s="465">
        <v>0.068</v>
      </c>
      <c r="H49" s="460">
        <v>0.068</v>
      </c>
      <c r="I49" s="460">
        <v>0.069</v>
      </c>
      <c r="J49" s="460">
        <v>0.069</v>
      </c>
      <c r="K49" s="460">
        <v>0.069</v>
      </c>
      <c r="L49" s="462"/>
      <c r="M49" s="514" t="s">
        <v>1299</v>
      </c>
      <c r="N49" s="463" t="s">
        <v>1296</v>
      </c>
      <c r="O49" s="462"/>
      <c r="P49" s="462"/>
      <c r="Q49" s="463" t="s">
        <v>1307</v>
      </c>
    </row>
    <row r="50">
      <c r="A50" s="514" t="s">
        <v>1326</v>
      </c>
      <c r="B50" s="461"/>
      <c r="C50" s="461"/>
      <c r="D50" s="461"/>
      <c r="E50" s="461"/>
      <c r="F50" s="461"/>
      <c r="G50" s="506">
        <f>CHOOSE($C$5,G52,G53,G51)</f>
        <v>0.02</v>
      </c>
      <c r="H50" s="499">
        <f>CHOOSE($C$5,H52,H53,H51)</f>
        <v>0.02</v>
      </c>
      <c r="I50" s="499">
        <f>CHOOSE($C$5,I52,I53,I51)</f>
        <v>0.02</v>
      </c>
      <c r="J50" s="499">
        <f>CHOOSE($C$5,J52,J53,J51)</f>
        <v>0.019</v>
      </c>
      <c r="K50" s="499">
        <f>CHOOSE($C$5,K52,K53,K51)</f>
        <v>0.019</v>
      </c>
      <c r="L50" s="462"/>
      <c r="M50" s="514" t="s">
        <v>1299</v>
      </c>
      <c r="N50" s="463" t="s">
        <v>1296</v>
      </c>
      <c r="O50" s="462"/>
      <c r="P50" s="462"/>
      <c r="Q50" s="463" t="s">
        <v>1300</v>
      </c>
    </row>
    <row r="51">
      <c r="A51" s="514" t="s">
        <v>1306</v>
      </c>
      <c r="B51" s="461"/>
      <c r="C51" s="461"/>
      <c r="D51" s="461"/>
      <c r="E51" s="461"/>
      <c r="F51" s="461"/>
      <c r="G51" s="465">
        <v>0.024</v>
      </c>
      <c r="H51" s="460">
        <v>0.024</v>
      </c>
      <c r="I51" s="460">
        <v>0.023</v>
      </c>
      <c r="J51" s="460">
        <v>0.023</v>
      </c>
      <c r="K51" s="460">
        <v>0.023</v>
      </c>
      <c r="L51" s="462"/>
      <c r="M51" s="514" t="s">
        <v>1299</v>
      </c>
      <c r="N51" s="463" t="s">
        <v>1296</v>
      </c>
      <c r="O51" s="462"/>
      <c r="P51" s="462"/>
      <c r="Q51" s="463" t="s">
        <v>1307</v>
      </c>
    </row>
    <row r="52">
      <c r="A52" s="514" t="s">
        <v>1308</v>
      </c>
      <c r="B52" s="461"/>
      <c r="C52" s="461"/>
      <c r="D52" s="461"/>
      <c r="E52" s="461"/>
      <c r="F52" s="461"/>
      <c r="G52" s="465">
        <v>0.02</v>
      </c>
      <c r="H52" s="460">
        <v>0.02</v>
      </c>
      <c r="I52" s="460">
        <v>0.02</v>
      </c>
      <c r="J52" s="460">
        <v>0.019</v>
      </c>
      <c r="K52" s="460">
        <v>0.019</v>
      </c>
      <c r="L52" s="462"/>
      <c r="M52" s="514" t="s">
        <v>1299</v>
      </c>
      <c r="N52" s="463" t="s">
        <v>1296</v>
      </c>
      <c r="O52" s="462"/>
      <c r="P52" s="462"/>
      <c r="Q52" s="463" t="s">
        <v>1307</v>
      </c>
    </row>
    <row r="53">
      <c r="A53" s="514" t="s">
        <v>1309</v>
      </c>
      <c r="B53" s="461"/>
      <c r="C53" s="461"/>
      <c r="D53" s="461"/>
      <c r="E53" s="461"/>
      <c r="F53" s="461"/>
      <c r="G53" s="465">
        <v>0.017</v>
      </c>
      <c r="H53" s="460">
        <v>0.017</v>
      </c>
      <c r="I53" s="460">
        <v>0.016</v>
      </c>
      <c r="J53" s="460">
        <v>0.016</v>
      </c>
      <c r="K53" s="460">
        <v>0.016</v>
      </c>
      <c r="L53" s="462"/>
      <c r="M53" s="514" t="s">
        <v>1299</v>
      </c>
      <c r="N53" s="463" t="s">
        <v>1296</v>
      </c>
      <c r="O53" s="462"/>
      <c r="P53" s="462"/>
      <c r="Q53" s="463" t="s">
        <v>1307</v>
      </c>
    </row>
    <row r="54">
      <c r="A54" s="514" t="s">
        <v>1327</v>
      </c>
      <c r="B54" s="461"/>
      <c r="C54" s="461"/>
      <c r="D54" s="461"/>
      <c r="E54" s="461"/>
      <c r="F54" s="461"/>
      <c r="G54" s="506">
        <f>CHOOSE($C$5,G56,G57,G55)</f>
        <v>0.261</v>
      </c>
      <c r="H54" s="499">
        <f>CHOOSE($C$5,H56,H57,H55)</f>
        <v>0.258</v>
      </c>
      <c r="I54" s="499">
        <f>CHOOSE($C$5,I56,I57,I55)</f>
        <v>0.255</v>
      </c>
      <c r="J54" s="499">
        <f>CHOOSE($C$5,J56,J57,J55)</f>
        <v>0.252</v>
      </c>
      <c r="K54" s="499">
        <f>CHOOSE($C$5,K56,K57,K55)</f>
        <v>0.25</v>
      </c>
      <c r="L54" s="462"/>
      <c r="M54" s="514" t="s">
        <v>1299</v>
      </c>
      <c r="N54" s="463" t="s">
        <v>1296</v>
      </c>
      <c r="O54" s="462"/>
      <c r="P54" s="462"/>
      <c r="Q54" s="463" t="s">
        <v>1300</v>
      </c>
    </row>
    <row r="55">
      <c r="A55" s="514" t="s">
        <v>1306</v>
      </c>
      <c r="B55" s="461"/>
      <c r="C55" s="461"/>
      <c r="D55" s="461"/>
      <c r="E55" s="461"/>
      <c r="F55" s="461"/>
      <c r="G55" s="465">
        <v>0.285</v>
      </c>
      <c r="H55" s="460">
        <v>0.285</v>
      </c>
      <c r="I55" s="460">
        <v>0.285</v>
      </c>
      <c r="J55" s="460">
        <v>0.285</v>
      </c>
      <c r="K55" s="460">
        <v>0.285</v>
      </c>
      <c r="L55" s="462"/>
      <c r="M55" s="514" t="s">
        <v>1299</v>
      </c>
      <c r="N55" s="463" t="s">
        <v>1296</v>
      </c>
      <c r="O55" s="462"/>
      <c r="P55" s="462"/>
      <c r="Q55" s="463" t="s">
        <v>1307</v>
      </c>
    </row>
    <row r="56">
      <c r="A56" s="514" t="s">
        <v>1308</v>
      </c>
      <c r="B56" s="461"/>
      <c r="C56" s="461"/>
      <c r="D56" s="461"/>
      <c r="E56" s="461"/>
      <c r="F56" s="461"/>
      <c r="G56" s="465">
        <v>0.261</v>
      </c>
      <c r="H56" s="460">
        <v>0.258</v>
      </c>
      <c r="I56" s="460">
        <v>0.255</v>
      </c>
      <c r="J56" s="460">
        <v>0.252</v>
      </c>
      <c r="K56" s="460">
        <v>0.25</v>
      </c>
      <c r="L56" s="462"/>
      <c r="M56" s="514" t="s">
        <v>1299</v>
      </c>
      <c r="N56" s="463" t="s">
        <v>1296</v>
      </c>
      <c r="O56" s="462"/>
      <c r="P56" s="462"/>
      <c r="Q56" s="463" t="s">
        <v>1307</v>
      </c>
    </row>
    <row r="57">
      <c r="A57" s="514" t="s">
        <v>1309</v>
      </c>
      <c r="B57" s="461"/>
      <c r="C57" s="461"/>
      <c r="D57" s="461"/>
      <c r="E57" s="461"/>
      <c r="F57" s="461"/>
      <c r="G57" s="465">
        <v>0.245</v>
      </c>
      <c r="H57" s="460">
        <v>0.242</v>
      </c>
      <c r="I57" s="460">
        <v>0.24</v>
      </c>
      <c r="J57" s="460">
        <v>0.238</v>
      </c>
      <c r="K57" s="460">
        <v>0.236</v>
      </c>
      <c r="L57" s="462"/>
      <c r="M57" s="514" t="s">
        <v>1299</v>
      </c>
      <c r="N57" s="463" t="s">
        <v>1296</v>
      </c>
      <c r="O57" s="462"/>
      <c r="P57" s="462"/>
      <c r="Q57" s="463" t="s">
        <v>1307</v>
      </c>
    </row>
  </sheetData>
</worksheet>
</file>

<file path=xl/worksheets/sheet4.xml><?xml version="1.0" encoding="utf-8"?>
<worksheet xmlns="http://schemas.openxmlformats.org/spreadsheetml/2006/main" xmlns:r="http://schemas.openxmlformats.org/officeDocument/2006/relationships">
  <dimension ref="A1:K106"/>
  <sheetViews>
    <sheetView showGridLines="0" workbookViewId="0"/>
  </sheetViews>
  <sheetFormatPr defaultColWidth="8.375" defaultRowHeight="15"/>
  <cols>
    <col min="1" max="1" width="43.125" customWidth="1"/>
    <col min="2" max="11" width="15.625" customWidth="1"/>
  </cols>
  <sheetData>
    <row r="1">
      <c r="A1" s="518" t="s">
        <v>0</v>
      </c>
      <c r="B1" s="492"/>
      <c r="C1" s="492"/>
      <c r="D1" s="492"/>
      <c r="E1" s="492"/>
      <c r="F1" s="492"/>
      <c r="G1" s="491"/>
      <c r="H1" s="485"/>
      <c r="I1" s="485"/>
      <c r="J1" s="485"/>
      <c r="K1" s="485"/>
    </row>
    <row r="2">
      <c r="A2" s="514" t="s">
        <v>1</v>
      </c>
      <c r="G2" s="493"/>
    </row>
    <row r="3">
      <c r="A3" s="514" t="s">
        <v>2</v>
      </c>
      <c r="G3" s="493"/>
    </row>
    <row r="4">
      <c r="A4" s="486"/>
      <c r="B4" s="486"/>
      <c r="C4" s="486"/>
      <c r="D4" s="486"/>
      <c r="E4" s="486"/>
      <c r="F4" s="486"/>
      <c r="G4" s="493"/>
      <c r="H4" s="486"/>
      <c r="I4" s="486"/>
      <c r="J4" s="486"/>
      <c r="K4" s="486"/>
    </row>
    <row r="5">
      <c r="A5" s="518" t="s">
        <v>3</v>
      </c>
      <c r="B5" s="519" t="s">
        <v>4</v>
      </c>
      <c r="C5" s="519" t="s">
        <v>5</v>
      </c>
      <c r="D5" s="519" t="s">
        <v>6</v>
      </c>
      <c r="E5" s="519" t="s">
        <v>7</v>
      </c>
      <c r="F5" s="519" t="s">
        <v>8</v>
      </c>
      <c r="G5" s="521" t="s">
        <v>9</v>
      </c>
      <c r="H5" s="520" t="s">
        <v>10</v>
      </c>
      <c r="I5" s="520" t="s">
        <v>11</v>
      </c>
      <c r="J5" s="520" t="s">
        <v>12</v>
      </c>
      <c r="K5" s="520" t="s">
        <v>13</v>
      </c>
    </row>
    <row r="6">
      <c r="A6" s="518" t="s">
        <v>14</v>
      </c>
      <c r="B6" s="482"/>
      <c r="C6" s="482"/>
      <c r="D6" s="482"/>
      <c r="E6" s="482"/>
      <c r="F6" s="482"/>
      <c r="G6" s="488"/>
      <c r="H6" s="495"/>
      <c r="I6" s="495"/>
      <c r="J6" s="495"/>
      <c r="K6" s="495"/>
    </row>
    <row r="7">
      <c r="A7" s="514" t="s">
        <v>15</v>
      </c>
      <c r="B7" s="498">
        <f>EEFF!B7</f>
        <v>19760933</v>
      </c>
      <c r="C7" s="498">
        <f>EEFF!C7</f>
        <v>24013816</v>
      </c>
      <c r="D7" s="498">
        <f>EEFF!D7</f>
        <v>31354516</v>
      </c>
      <c r="E7" s="498">
        <f>EEFF!E7</f>
        <v>36993609</v>
      </c>
      <c r="F7" s="498">
        <f>EEFF!F7</f>
        <v>41706437</v>
      </c>
      <c r="G7" s="504">
        <f>F7*(1+Supuestos!G33)</f>
        <v>46085612.885</v>
      </c>
      <c r="H7" s="498">
        <f>G7*(1+Supuestos!H33)</f>
        <v>50694174.1735</v>
      </c>
      <c r="I7" s="498">
        <f>H7*(1+Supuestos!I33)</f>
        <v>55510120.7199825</v>
      </c>
      <c r="J7" s="498">
        <f>I7*(1+Supuestos!J33)</f>
        <v>60506031.584780924</v>
      </c>
      <c r="K7" s="498">
        <f>J7*(1+Supuestos!K33)</f>
        <v>65649044.2694873</v>
      </c>
    </row>
    <row r="8">
      <c r="A8" s="514" t="s">
        <v>16</v>
      </c>
      <c r="B8" s="498">
        <f>EEFF!B8</f>
        <v>7681190</v>
      </c>
      <c r="C8" s="498">
        <f>EEFF!C8</f>
        <v>9366601</v>
      </c>
      <c r="D8" s="498">
        <f>EEFF!D8</f>
        <v>12465658</v>
      </c>
      <c r="E8" s="498">
        <f>EEFF!E8</f>
        <v>13927593</v>
      </c>
      <c r="F8" s="498">
        <f>EEFF!F8</f>
        <v>12923349</v>
      </c>
      <c r="G8" s="504">
        <f>AVERAGE(F40,G40)*Supuestos!G42</f>
        <v>12896361.543</v>
      </c>
      <c r="H8" s="498">
        <f>AVERAGE(G40,H40)*Supuestos!H42</f>
        <v>12565685.606</v>
      </c>
      <c r="I8" s="498">
        <f>AVERAGE(H40,I40)*Supuestos!I42</f>
        <v>12565685.606</v>
      </c>
      <c r="J8" s="498">
        <f>AVERAGE(I40,J40)*Supuestos!J42</f>
        <v>12235009.669</v>
      </c>
      <c r="K8" s="498">
        <f>AVERAGE(J40,K40)*Supuestos!K42</f>
        <v>12235009.669</v>
      </c>
    </row>
    <row r="9">
      <c r="A9" s="487" t="s">
        <v>17</v>
      </c>
      <c r="B9" s="478">
        <f>EEFF!B9</f>
        <v>0</v>
      </c>
      <c r="C9" s="478">
        <f>EEFF!C9</f>
        <v>0</v>
      </c>
      <c r="D9" s="478">
        <f>EEFF!D9</f>
        <v>43820174</v>
      </c>
      <c r="E9" s="478">
        <f>EEFF!E9</f>
        <v>50921202</v>
      </c>
      <c r="F9" s="478">
        <f>EEFF!F9</f>
        <v>54629786</v>
      </c>
      <c r="G9" s="490">
        <f>G7+G8</f>
        <v>58981974.427999996</v>
      </c>
      <c r="H9" s="484">
        <f>H7+H8</f>
        <v>63259859.7795</v>
      </c>
      <c r="I9" s="484">
        <f>I7+I8</f>
        <v>68075806.3259825</v>
      </c>
      <c r="J9" s="484">
        <f>J7+J8</f>
        <v>72741041.25378093</v>
      </c>
      <c r="K9" s="484">
        <f>K7+K8</f>
        <v>77884053.93848729</v>
      </c>
    </row>
    <row r="10">
      <c r="A10" s="514" t="s">
        <v>18</v>
      </c>
      <c r="B10" s="498">
        <f>EEFF!B10</f>
        <v>13459518</v>
      </c>
      <c r="C10" s="498">
        <f>EEFF!C10</f>
        <v>14950862</v>
      </c>
      <c r="D10" s="498">
        <f>EEFF!D10</f>
        <v>19286748</v>
      </c>
      <c r="E10" s="498">
        <f>EEFF!E10</f>
        <v>24742945</v>
      </c>
      <c r="F10" s="498">
        <f>EEFF!F10</f>
        <v>27201007</v>
      </c>
      <c r="G10" s="504">
        <f>AVERAGE(F48+F49+F50+F51+F52+F53,G48+G49+G50+G51+G52+G53)*Supuestos!G46</f>
        <v>27572156.720999997</v>
      </c>
      <c r="H10" s="498">
        <f>AVERAGE(G48+G49+G50+G51+G52+G53,H48+H49+H50+H51+H52+H53)*Supuestos!H46</f>
        <v>27572156.720999997</v>
      </c>
      <c r="I10" s="498">
        <f>AVERAGE(H48+H49+H50+H51+H52+H53,I48+I49+I50+I51+I52+I53)*Supuestos!I46</f>
        <v>27949857.498</v>
      </c>
      <c r="J10" s="498">
        <f>AVERAGE(I48+I49+I50+I51+I52+I53,J48+J49+J50+J51+J52+J53)*Supuestos!J46</f>
        <v>27949857.498</v>
      </c>
      <c r="K10" s="498">
        <f>AVERAGE(J48+J49+J50+J51+J52+J53,K48+K49+K50+K51+K52+K53)*Supuestos!K46</f>
        <v>27949857.498</v>
      </c>
    </row>
    <row r="11">
      <c r="A11" s="487" t="s">
        <v>19</v>
      </c>
      <c r="B11" s="478">
        <f>EEFF!B11</f>
        <v>0</v>
      </c>
      <c r="C11" s="478">
        <f>EEFF!C11</f>
        <v>0</v>
      </c>
      <c r="D11" s="478">
        <f>EEFF!D11</f>
        <v>19286748</v>
      </c>
      <c r="E11" s="478">
        <f>EEFF!E11</f>
        <v>24742945</v>
      </c>
      <c r="F11" s="478">
        <f>EEFF!F11</f>
        <v>27201007</v>
      </c>
      <c r="G11" s="490">
        <f>G10</f>
        <v>27572156.720999997</v>
      </c>
      <c r="H11" s="484">
        <f>H10</f>
        <v>27572156.720999997</v>
      </c>
      <c r="I11" s="484">
        <f>I10</f>
        <v>27949857.498</v>
      </c>
      <c r="J11" s="484">
        <f>J10</f>
        <v>27949857.498</v>
      </c>
      <c r="K11" s="484">
        <f>K10</f>
        <v>27949857.498</v>
      </c>
    </row>
    <row r="12">
      <c r="A12" s="487" t="s">
        <v>20</v>
      </c>
      <c r="B12" s="478">
        <f>EEFF!B12</f>
        <v>0</v>
      </c>
      <c r="C12" s="478">
        <f>EEFF!C12</f>
        <v>0</v>
      </c>
      <c r="D12" s="478">
        <f>EEFF!D12</f>
        <v>24533426</v>
      </c>
      <c r="E12" s="478">
        <f>EEFF!E12</f>
        <v>26178257</v>
      </c>
      <c r="F12" s="478">
        <f>EEFF!F12</f>
        <v>27428779</v>
      </c>
      <c r="G12" s="490">
        <f>G9-G11</f>
        <v>31409817.707</v>
      </c>
      <c r="H12" s="484">
        <f>H9-H11</f>
        <v>35687703.05850001</v>
      </c>
      <c r="I12" s="484">
        <f>I9-I11</f>
        <v>40125948.8279825</v>
      </c>
      <c r="J12" s="484">
        <f>J9-J11</f>
        <v>44791183.755780935</v>
      </c>
      <c r="K12" s="484">
        <f>K9-K11</f>
        <v>49934196.440487295</v>
      </c>
    </row>
    <row r="13">
      <c r="A13" s="514" t="s">
        <v>21</v>
      </c>
      <c r="B13" s="498">
        <f>EEFF!B13</f>
        <v>3675000</v>
      </c>
      <c r="C13" s="498">
        <f>EEFF!C13</f>
        <v>3910000</v>
      </c>
      <c r="D13" s="498">
        <f>EEFF!D13</f>
        <v>4847500</v>
      </c>
      <c r="E13" s="498">
        <f>EEFF!E13</f>
        <v>5995466</v>
      </c>
      <c r="F13" s="498">
        <f>EEFF!F13</f>
        <v>6437000</v>
      </c>
      <c r="G13" s="504">
        <f>AVERAGE(F40,G40)*Supuestos!G50</f>
        <v>6613518.74</v>
      </c>
      <c r="H13" s="498">
        <f>AVERAGE(G40,H40)*Supuestos!H50</f>
        <v>6613518.74</v>
      </c>
      <c r="I13" s="498">
        <f>AVERAGE(H40,I40)*Supuestos!I50</f>
        <v>6613518.74</v>
      </c>
      <c r="J13" s="498">
        <f>AVERAGE(I40,J40)*Supuestos!J50</f>
        <v>6282842.803</v>
      </c>
      <c r="K13" s="498">
        <f>AVERAGE(J40,K40)*Supuestos!K50</f>
        <v>6282842.803</v>
      </c>
    </row>
    <row r="14">
      <c r="A14" s="514" t="s">
        <v>22</v>
      </c>
      <c r="B14" s="498">
        <f>EEFF!B14</f>
        <v>0</v>
      </c>
      <c r="C14" s="498">
        <f>EEFF!C14</f>
        <v>0</v>
      </c>
      <c r="D14" s="498">
        <f>EEFF!D14</f>
        <v>0</v>
      </c>
      <c r="E14" s="498">
        <f>EEFF!E14</f>
        <v>17849</v>
      </c>
      <c r="F14" s="498">
        <f>EEFF!F14</f>
        <v>-6344</v>
      </c>
      <c r="G14" s="506">
        <f>F14</f>
        <v>-6344</v>
      </c>
      <c r="H14" s="499">
        <f>G14</f>
        <v>-6344</v>
      </c>
      <c r="I14" s="499">
        <f>H14</f>
        <v>-6344</v>
      </c>
      <c r="J14" s="499">
        <f>I14</f>
        <v>-6344</v>
      </c>
      <c r="K14" s="499">
        <f>J14</f>
        <v>-6344</v>
      </c>
    </row>
    <row r="15">
      <c r="A15" s="514" t="s">
        <v>23</v>
      </c>
      <c r="B15" s="498">
        <f>EEFF!B15</f>
        <v>370000</v>
      </c>
      <c r="C15" s="498">
        <f>EEFF!C15</f>
        <v>350000</v>
      </c>
      <c r="D15" s="498">
        <f>EEFF!D15</f>
        <v>390000</v>
      </c>
      <c r="E15" s="498">
        <f>EEFF!E15</f>
        <v>420000</v>
      </c>
      <c r="F15" s="498">
        <f>EEFF!F15</f>
        <v>60000</v>
      </c>
      <c r="G15" s="506">
        <f>F15</f>
        <v>60000</v>
      </c>
      <c r="H15" s="499">
        <f>G15</f>
        <v>60000</v>
      </c>
      <c r="I15" s="499">
        <f>H15</f>
        <v>60000</v>
      </c>
      <c r="J15" s="499">
        <f>I15</f>
        <v>60000</v>
      </c>
      <c r="K15" s="499">
        <f>J15</f>
        <v>60000</v>
      </c>
    </row>
    <row r="16">
      <c r="A16" s="487" t="s">
        <v>24</v>
      </c>
      <c r="B16" s="478">
        <f>EEFF!B16</f>
        <v>0</v>
      </c>
      <c r="C16" s="478">
        <f>EEFF!C16</f>
        <v>0</v>
      </c>
      <c r="D16" s="478">
        <f>EEFF!D16</f>
        <v>19295926</v>
      </c>
      <c r="E16" s="478">
        <f>EEFF!E16</f>
        <v>19744942</v>
      </c>
      <c r="F16" s="478">
        <f>EEFF!F16</f>
        <v>20938123</v>
      </c>
      <c r="G16" s="490">
        <f>G12-G13-G14-G15</f>
        <v>24742642.967</v>
      </c>
      <c r="H16" s="484">
        <f>H12-H13-H14-H15</f>
        <v>29020528.318500005</v>
      </c>
      <c r="I16" s="484">
        <f>I12-I13-I14-I15</f>
        <v>33458774.087982498</v>
      </c>
      <c r="J16" s="484">
        <f>J12-J13-J14-J15</f>
        <v>38454684.95278093</v>
      </c>
      <c r="K16" s="484">
        <f>K12-K13-K14-K15</f>
        <v>43597697.63748729</v>
      </c>
    </row>
    <row r="17">
      <c r="A17" s="514" t="s">
        <v>25</v>
      </c>
      <c r="B17" s="498">
        <f>EEFF!B17</f>
        <v>-20000</v>
      </c>
      <c r="C17" s="498">
        <f>EEFF!C17</f>
        <v>-490000</v>
      </c>
      <c r="D17" s="498">
        <f>EEFF!D17</f>
        <v>-600000</v>
      </c>
      <c r="E17" s="498">
        <f>EEFF!E17</f>
        <v>849397</v>
      </c>
      <c r="F17" s="498">
        <f>EEFF!F17</f>
        <v>440739</v>
      </c>
      <c r="G17" s="506">
        <f>F17</f>
        <v>440739</v>
      </c>
      <c r="H17" s="499">
        <f>G17</f>
        <v>440739</v>
      </c>
      <c r="I17" s="499">
        <f>H17</f>
        <v>440739</v>
      </c>
      <c r="J17" s="499">
        <f>I17</f>
        <v>440739</v>
      </c>
      <c r="K17" s="499">
        <f>J17</f>
        <v>440739</v>
      </c>
    </row>
    <row r="18">
      <c r="A18" s="514" t="s">
        <v>26</v>
      </c>
      <c r="B18" s="498">
        <f>EEFF!B18</f>
        <v>1654019</v>
      </c>
      <c r="C18" s="498">
        <f>EEFF!C18</f>
        <v>2676655</v>
      </c>
      <c r="D18" s="498">
        <f>EEFF!D18</f>
        <v>2971728</v>
      </c>
      <c r="E18" s="498">
        <f>EEFF!E18</f>
        <v>3527350</v>
      </c>
      <c r="F18" s="498">
        <f>EEFF!F18</f>
        <v>2917037</v>
      </c>
      <c r="G18" s="506">
        <f>F18</f>
        <v>2917037</v>
      </c>
      <c r="H18" s="499">
        <f>G18</f>
        <v>2917037</v>
      </c>
      <c r="I18" s="499">
        <f>H18</f>
        <v>2917037</v>
      </c>
      <c r="J18" s="499">
        <f>I18</f>
        <v>2917037</v>
      </c>
      <c r="K18" s="499">
        <f>J18</f>
        <v>2917037</v>
      </c>
    </row>
    <row r="19">
      <c r="A19" s="487" t="s">
        <v>27</v>
      </c>
      <c r="B19" s="478">
        <f>EEFF!B19</f>
        <v>0</v>
      </c>
      <c r="C19" s="478">
        <f>EEFF!C19</f>
        <v>0</v>
      </c>
      <c r="D19" s="478">
        <f>EEFF!D19</f>
        <v>2371728</v>
      </c>
      <c r="E19" s="478">
        <f>EEFF!E19</f>
        <v>4376747</v>
      </c>
      <c r="F19" s="478">
        <f>EEFF!F19</f>
        <v>3357776</v>
      </c>
      <c r="G19" s="490">
        <f>G17+G18</f>
        <v>3357776</v>
      </c>
      <c r="H19" s="484">
        <f>H17+H18</f>
        <v>3357776</v>
      </c>
      <c r="I19" s="484">
        <f>I17+I18</f>
        <v>3357776</v>
      </c>
      <c r="J19" s="484">
        <f>J17+J18</f>
        <v>3357776</v>
      </c>
      <c r="K19" s="484">
        <f>K17+K18</f>
        <v>3357776</v>
      </c>
    </row>
    <row r="20">
      <c r="A20" s="514" t="s">
        <v>28</v>
      </c>
      <c r="B20" s="498">
        <f>EEFF!B20</f>
        <v>2702111</v>
      </c>
      <c r="C20" s="498">
        <f>EEFF!C20</f>
        <v>4150613</v>
      </c>
      <c r="D20" s="498">
        <f>EEFF!D20</f>
        <v>5339952</v>
      </c>
      <c r="E20" s="498">
        <f>EEFF!E20</f>
        <v>6663071</v>
      </c>
      <c r="F20" s="498">
        <f>EEFF!F20</f>
        <v>6791234</v>
      </c>
      <c r="G20" s="504">
        <f>F20/F29*(G9*Supuestos!G54)</f>
        <v>7328414.123686551</v>
      </c>
      <c r="H20" s="498">
        <f>G20/G29*(H9*Supuestos!H54)</f>
        <v>7769590.327843924</v>
      </c>
      <c r="I20" s="498">
        <f>H20/H29*(I9*Supuestos!I54)</f>
        <v>8263864.045178222</v>
      </c>
      <c r="J20" s="498">
        <f>I20/I29*(J9*Supuestos!J54)</f>
        <v>8726302.089828337</v>
      </c>
      <c r="K20" s="498">
        <f>J20/J29*(K9*Supuestos!K54)</f>
        <v>9269125.166444171</v>
      </c>
    </row>
    <row r="21">
      <c r="A21" s="514" t="s">
        <v>29</v>
      </c>
      <c r="B21" s="498">
        <f>EEFF!B21</f>
        <v>0</v>
      </c>
      <c r="C21" s="498">
        <f>EEFF!C21</f>
        <v>0</v>
      </c>
      <c r="D21" s="498">
        <f>EEFF!D21</f>
        <v>450020</v>
      </c>
      <c r="E21" s="498">
        <f>EEFF!E21</f>
        <v>502974</v>
      </c>
      <c r="F21" s="498">
        <f>EEFF!F21</f>
        <v>497149</v>
      </c>
      <c r="G21" s="504">
        <f>F21/F29*(G9*Supuestos!G54)</f>
        <v>536473.0111164841</v>
      </c>
      <c r="H21" s="498">
        <f>G21/G29*(H9*Supuestos!H54)</f>
        <v>568769.1017416391</v>
      </c>
      <c r="I21" s="498">
        <f>H21/H29*(I9*Supuestos!I54)</f>
        <v>604952.170135252</v>
      </c>
      <c r="J21" s="498">
        <f>I21/I29*(J9*Supuestos!J54)</f>
        <v>638804.723509169</v>
      </c>
      <c r="K21" s="498">
        <f>J21/J29*(K9*Supuestos!K54)</f>
        <v>678541.8242653033</v>
      </c>
    </row>
    <row r="22">
      <c r="A22" s="514" t="s">
        <v>30</v>
      </c>
      <c r="B22" s="498">
        <f>EEFF!B22</f>
        <v>592499</v>
      </c>
      <c r="C22" s="498">
        <f>EEFF!C22</f>
        <v>691158</v>
      </c>
      <c r="D22" s="498">
        <f>EEFF!D22</f>
        <v>967602</v>
      </c>
      <c r="E22" s="498">
        <f>EEFF!E22</f>
        <v>1039519</v>
      </c>
      <c r="F22" s="498">
        <f>EEFF!F22</f>
        <v>1073936</v>
      </c>
      <c r="G22" s="504">
        <f>F22/F29*(G9*Supuestos!G54)</f>
        <v>1158883.311977682</v>
      </c>
      <c r="H22" s="498">
        <f>G22/G29*(H9*Supuestos!H54)</f>
        <v>1228648.9846062427</v>
      </c>
      <c r="I22" s="498">
        <f>H22/H29*(I9*Supuestos!I54)</f>
        <v>1306811.265408101</v>
      </c>
      <c r="J22" s="498">
        <f>I22/I29*(J9*Supuestos!J54)</f>
        <v>1379939.192367968</v>
      </c>
      <c r="K22" s="498">
        <f>J22/J29*(K9*Supuestos!K54)</f>
        <v>1465778.8562064548</v>
      </c>
    </row>
    <row r="23">
      <c r="A23" s="514" t="s">
        <v>31</v>
      </c>
      <c r="B23" s="498">
        <f>EEFF!B23</f>
        <v>0</v>
      </c>
      <c r="C23" s="498">
        <f>EEFF!C23</f>
        <v>0</v>
      </c>
      <c r="D23" s="498">
        <f>EEFF!D23</f>
        <v>512348</v>
      </c>
      <c r="E23" s="498">
        <f>EEFF!E23</f>
        <v>551309</v>
      </c>
      <c r="F23" s="498">
        <f>EEFF!F23</f>
        <v>482250</v>
      </c>
      <c r="G23" s="504">
        <f>F23/F29*(G9*Supuestos!G54)</f>
        <v>520395.5144452155</v>
      </c>
      <c r="H23" s="498">
        <f>G23/G29*(H9*Supuestos!H54)</f>
        <v>551723.7273230067</v>
      </c>
      <c r="I23" s="498">
        <f>H23/H29*(I9*Supuestos!I54)</f>
        <v>586822.4295889668</v>
      </c>
      <c r="J23" s="498">
        <f>I23/I29*(J9*Supuestos!J54)</f>
        <v>619660.4597661801</v>
      </c>
      <c r="K23" s="498">
        <f>J23/J29*(K9*Supuestos!K54)</f>
        <v>658206.6840161451</v>
      </c>
    </row>
    <row r="24">
      <c r="A24" s="514" t="s">
        <v>32</v>
      </c>
      <c r="B24" s="498">
        <f>EEFF!B24</f>
        <v>0</v>
      </c>
      <c r="C24" s="498">
        <f>EEFF!C24</f>
        <v>0</v>
      </c>
      <c r="D24" s="498">
        <f>EEFF!D24</f>
        <v>553995</v>
      </c>
      <c r="E24" s="498">
        <f>EEFF!E24</f>
        <v>661195</v>
      </c>
      <c r="F24" s="498">
        <f>EEFF!F24</f>
        <v>755718</v>
      </c>
      <c r="G24" s="504">
        <f>F24/F29*(G9*Supuestos!G54)</f>
        <v>815494.5720798536</v>
      </c>
      <c r="H24" s="498">
        <f>G24/G29*(H9*Supuestos!H54)</f>
        <v>864587.9767031374</v>
      </c>
      <c r="I24" s="498">
        <f>H24/H29*(I9*Supuestos!I54)</f>
        <v>919589.9903454946</v>
      </c>
      <c r="J24" s="498">
        <f>I24/I29*(J9*Supuestos!J54)</f>
        <v>971049.3796445375</v>
      </c>
      <c r="K24" s="498">
        <f>J24/J29*(K9*Supuestos!K54)</f>
        <v>1031453.890785512</v>
      </c>
    </row>
    <row r="25">
      <c r="A25" s="514" t="s">
        <v>33</v>
      </c>
      <c r="B25" s="498">
        <f>EEFF!B25</f>
        <v>0</v>
      </c>
      <c r="C25" s="498">
        <f>EEFF!C25</f>
        <v>0</v>
      </c>
      <c r="D25" s="498">
        <f>EEFF!D25</f>
        <v>328341</v>
      </c>
      <c r="E25" s="498">
        <f>EEFF!E25</f>
        <v>414413</v>
      </c>
      <c r="F25" s="498">
        <f>EEFF!F25</f>
        <v>417694</v>
      </c>
      <c r="G25" s="504">
        <f>F25/F29*(G9*Supuestos!G54)</f>
        <v>450733.1964970034</v>
      </c>
      <c r="H25" s="498">
        <f>G25/G29*(H9*Supuestos!H54)</f>
        <v>477867.6838993384</v>
      </c>
      <c r="I25" s="498">
        <f>H25/H29*(I9*Supuestos!I54)</f>
        <v>508267.9272259904</v>
      </c>
      <c r="J25" s="498">
        <f>I25/I29*(J9*Supuestos!J54)</f>
        <v>536710.1214755311</v>
      </c>
      <c r="K25" s="498">
        <f>J25/J29*(K9*Supuestos!K54)</f>
        <v>570096.387088522</v>
      </c>
    </row>
    <row r="26">
      <c r="A26" s="514" t="s">
        <v>34</v>
      </c>
      <c r="B26" s="498">
        <f>EEFF!B26</f>
        <v>0</v>
      </c>
      <c r="C26" s="498">
        <f>EEFF!C26</f>
        <v>0</v>
      </c>
      <c r="D26" s="498">
        <f>EEFF!D26</f>
        <v>345922</v>
      </c>
      <c r="E26" s="498">
        <f>EEFF!E26</f>
        <v>357513</v>
      </c>
      <c r="F26" s="498">
        <f>EEFF!F26</f>
        <v>395065</v>
      </c>
      <c r="G26" s="504">
        <f>F26/F29*(G9*Supuestos!G54)</f>
        <v>426314.2642079815</v>
      </c>
      <c r="H26" s="498">
        <f>G26/G29*(H9*Supuestos!H54)</f>
        <v>451978.71298053634</v>
      </c>
      <c r="I26" s="498">
        <f>H26/H29*(I9*Supuestos!I54)</f>
        <v>480731.99200739275</v>
      </c>
      <c r="J26" s="498">
        <f>I26/I29*(J9*Supuestos!J54)</f>
        <v>507633.301270142</v>
      </c>
      <c r="K26" s="498">
        <f>J26/J29*(K9*Supuestos!K54)</f>
        <v>539210.8317694938</v>
      </c>
    </row>
    <row r="27">
      <c r="A27" s="514" t="s">
        <v>35</v>
      </c>
      <c r="B27" s="498">
        <f>EEFF!B27</f>
        <v>0</v>
      </c>
      <c r="C27" s="498">
        <f>EEFF!C27</f>
        <v>0</v>
      </c>
      <c r="D27" s="498">
        <f>EEFF!D27</f>
        <v>685363</v>
      </c>
      <c r="E27" s="498">
        <f>EEFF!E27</f>
        <v>843843</v>
      </c>
      <c r="F27" s="498">
        <f>EEFF!F27</f>
        <v>976597</v>
      </c>
      <c r="G27" s="504">
        <f>F27/F29*(G9*Supuestos!G54)</f>
        <v>1053844.8900376447</v>
      </c>
      <c r="H27" s="498">
        <f>G27/G29*(H9*Supuestos!H54)</f>
        <v>1117287.1683410394</v>
      </c>
      <c r="I27" s="498">
        <f>H27/H29*(I9*Supuestos!I54)</f>
        <v>1188365.0062608523</v>
      </c>
      <c r="J27" s="498">
        <f>I27/I29*(J9*Supuestos!J54)</f>
        <v>1254864.792174748</v>
      </c>
      <c r="K27" s="498">
        <f>J27/J29*(K9*Supuestos!K54)</f>
        <v>1332924.1534268847</v>
      </c>
    </row>
    <row r="28">
      <c r="A28" s="514" t="s">
        <v>36</v>
      </c>
      <c r="B28" s="498">
        <f>EEFF!B28</f>
        <v>0</v>
      </c>
      <c r="C28" s="498">
        <f>EEFF!C28</f>
        <v>0</v>
      </c>
      <c r="D28" s="498">
        <f>EEFF!D28</f>
        <v>2605570</v>
      </c>
      <c r="E28" s="498">
        <f>EEFF!E28</f>
        <v>2829287</v>
      </c>
      <c r="F28" s="498">
        <f>EEFF!F28</f>
        <v>2876235</v>
      </c>
      <c r="G28" s="504">
        <f>F28/F29*(G9*Supuestos!G54)</f>
        <v>3103742.441659584</v>
      </c>
      <c r="H28" s="498">
        <f>G28/G29*(H9*Supuestos!H54)</f>
        <v>3290590.1396721373</v>
      </c>
      <c r="I28" s="498">
        <f>H28/H29*(I9*Supuestos!I54)</f>
        <v>3499925.7869752655</v>
      </c>
      <c r="J28" s="498">
        <f>I28/I29*(J9*Supuestos!J54)</f>
        <v>3695778.335916183</v>
      </c>
      <c r="K28" s="498">
        <f>J28/J29*(K9*Supuestos!K54)</f>
        <v>3925675.6906193406</v>
      </c>
    </row>
    <row r="29">
      <c r="A29" s="487" t="s">
        <v>37</v>
      </c>
      <c r="B29" s="478">
        <f>EEFF!B29</f>
        <v>6940231</v>
      </c>
      <c r="C29" s="478">
        <f>EEFF!C29</f>
        <v>8703073</v>
      </c>
      <c r="D29" s="478">
        <f>EEFF!D29</f>
        <v>11789113</v>
      </c>
      <c r="E29" s="478">
        <f>EEFF!E29</f>
        <v>13863124</v>
      </c>
      <c r="F29" s="478">
        <f>EEFF!F29</f>
        <v>14265878</v>
      </c>
      <c r="G29" s="490">
        <f>G20+G21+G22+G23+G24+G25+G26+G27+G28</f>
        <v>15394295.325708</v>
      </c>
      <c r="H29" s="484">
        <f>H20+H21+H22+H23+H24+H25+H26+H27+H28</f>
        <v>16321043.823111001</v>
      </c>
      <c r="I29" s="484">
        <f>I20+I21+I22+I23+I24+I25+I26+I27+I28</f>
        <v>17359330.613125537</v>
      </c>
      <c r="J29" s="484">
        <f>J20+J21+J22+J23+J24+J25+J26+J27+J28</f>
        <v>18330742.39595279</v>
      </c>
      <c r="K29" s="484">
        <f>K20+K21+K22+K23+K24+K25+K26+K27+K28</f>
        <v>19471013.48462183</v>
      </c>
    </row>
    <row r="30">
      <c r="A30" s="487" t="s">
        <v>38</v>
      </c>
      <c r="B30" s="478">
        <f>EEFF!B30</f>
        <v>4665645</v>
      </c>
      <c r="C30" s="478">
        <f>EEFF!C30</f>
        <v>7653137</v>
      </c>
      <c r="D30" s="478">
        <f>EEFF!D30</f>
        <v>9878541</v>
      </c>
      <c r="E30" s="478">
        <f>EEFF!E30</f>
        <v>10258565</v>
      </c>
      <c r="F30" s="478">
        <f>EEFF!F30</f>
        <v>10030021</v>
      </c>
      <c r="G30" s="490">
        <f>F30</f>
        <v>10030021</v>
      </c>
      <c r="H30" s="484">
        <f>G30</f>
        <v>10030021</v>
      </c>
      <c r="I30" s="484">
        <f>H30</f>
        <v>10030021</v>
      </c>
      <c r="J30" s="484">
        <f>I30</f>
        <v>10030021</v>
      </c>
      <c r="K30" s="484">
        <f>J30</f>
        <v>10030021</v>
      </c>
    </row>
    <row r="31">
      <c r="A31" s="514" t="s">
        <v>39</v>
      </c>
      <c r="B31" s="498">
        <f>EEFF!B31</f>
        <v>42161</v>
      </c>
      <c r="C31" s="498">
        <f>EEFF!C31</f>
        <v>-478846</v>
      </c>
      <c r="D31" s="498">
        <f>EEFF!D31</f>
        <v>-730485</v>
      </c>
      <c r="E31" s="498">
        <f>EEFF!E31</f>
        <v>-803240</v>
      </c>
      <c r="F31" s="498">
        <f>EEFF!F31</f>
        <v>-957116</v>
      </c>
      <c r="G31" s="506">
        <f>F31</f>
        <v>-957116</v>
      </c>
      <c r="H31" s="499">
        <f>G31</f>
        <v>-957116</v>
      </c>
      <c r="I31" s="499">
        <f>H31</f>
        <v>-957116</v>
      </c>
      <c r="J31" s="499">
        <f>I31</f>
        <v>-957116</v>
      </c>
      <c r="K31" s="499">
        <f>J31</f>
        <v>-957116</v>
      </c>
    </row>
    <row r="32">
      <c r="A32" s="487" t="s">
        <v>40</v>
      </c>
      <c r="B32" s="478">
        <f>EEFF!B32</f>
        <v>4707806</v>
      </c>
      <c r="C32" s="478">
        <f>EEFF!C32</f>
        <v>7174291</v>
      </c>
      <c r="D32" s="478">
        <f>EEFF!D32</f>
        <v>9148056</v>
      </c>
      <c r="E32" s="478">
        <f>EEFF!E32</f>
        <v>9455325</v>
      </c>
      <c r="F32" s="478">
        <f>EEFF!F32</f>
        <v>9072905</v>
      </c>
      <c r="G32" s="490">
        <f>G30+G31</f>
        <v>9072905</v>
      </c>
      <c r="H32" s="484">
        <f>H30+H31</f>
        <v>9072905</v>
      </c>
      <c r="I32" s="484">
        <f>I30+I31</f>
        <v>9072905</v>
      </c>
      <c r="J32" s="484">
        <f>J30+J31</f>
        <v>9072905</v>
      </c>
      <c r="K32" s="484">
        <f>K30+K31</f>
        <v>9072905</v>
      </c>
    </row>
    <row r="33">
      <c r="A33" s="486"/>
      <c r="B33" s="486"/>
      <c r="C33" s="486"/>
      <c r="D33" s="486"/>
      <c r="E33" s="486"/>
      <c r="F33" s="486"/>
      <c r="G33" s="493"/>
      <c r="H33" s="486"/>
      <c r="I33" s="486"/>
      <c r="J33" s="486"/>
      <c r="K33" s="486"/>
    </row>
    <row r="34">
      <c r="A34" s="518" t="s">
        <v>3</v>
      </c>
      <c r="B34" s="519" t="s">
        <v>4</v>
      </c>
      <c r="C34" s="519" t="s">
        <v>5</v>
      </c>
      <c r="D34" s="519" t="s">
        <v>6</v>
      </c>
      <c r="E34" s="519" t="s">
        <v>7</v>
      </c>
      <c r="F34" s="519" t="s">
        <v>8</v>
      </c>
      <c r="G34" s="521" t="s">
        <v>9</v>
      </c>
      <c r="H34" s="520" t="s">
        <v>10</v>
      </c>
      <c r="I34" s="520" t="s">
        <v>11</v>
      </c>
      <c r="J34" s="520" t="s">
        <v>12</v>
      </c>
      <c r="K34" s="520" t="s">
        <v>13</v>
      </c>
    </row>
    <row r="35">
      <c r="A35" s="518" t="s">
        <v>41</v>
      </c>
      <c r="B35" s="482"/>
      <c r="C35" s="482"/>
      <c r="D35" s="482"/>
      <c r="E35" s="482"/>
      <c r="F35" s="482"/>
      <c r="G35" s="488"/>
      <c r="H35" s="495"/>
      <c r="I35" s="495"/>
      <c r="J35" s="495"/>
      <c r="K35" s="495"/>
    </row>
    <row r="36">
      <c r="A36" s="514" t="s">
        <v>42</v>
      </c>
      <c r="B36" s="498">
        <f>EEFF!B36</f>
        <v>51019770</v>
      </c>
      <c r="C36" s="498">
        <f>EEFF!C36</f>
        <v>59336554</v>
      </c>
      <c r="D36" s="498">
        <f>EEFF!D36</f>
        <v>50672297</v>
      </c>
      <c r="E36" s="498">
        <f>EEFF!E36</f>
        <v>50373962</v>
      </c>
      <c r="F36" s="498">
        <f>EEFF!F36</f>
        <v>54042975</v>
      </c>
      <c r="G36" s="506">
        <f>F36</f>
        <v>54042975</v>
      </c>
      <c r="H36" s="499">
        <f>G36</f>
        <v>54042975</v>
      </c>
      <c r="I36" s="499">
        <f>H36</f>
        <v>54042975</v>
      </c>
      <c r="J36" s="499">
        <f>I36</f>
        <v>54042975</v>
      </c>
      <c r="K36" s="499">
        <f>J36</f>
        <v>54042975</v>
      </c>
    </row>
    <row r="37">
      <c r="A37" s="514" t="s">
        <v>43</v>
      </c>
      <c r="B37" s="498">
        <f>EEFF!B37</f>
        <v>11874112</v>
      </c>
      <c r="C37" s="498">
        <f>EEFF!C37</f>
        <v>12019089</v>
      </c>
      <c r="D37" s="498">
        <f>EEFF!D37</f>
        <v>24940576</v>
      </c>
      <c r="E37" s="498">
        <f>EEFF!E37</f>
        <v>31751384</v>
      </c>
      <c r="F37" s="498">
        <f>EEFF!F37</f>
        <v>30841061</v>
      </c>
      <c r="G37" s="506">
        <f>F37</f>
        <v>30841061</v>
      </c>
      <c r="H37" s="499">
        <f>G37</f>
        <v>30841061</v>
      </c>
      <c r="I37" s="499">
        <f>H37</f>
        <v>30841061</v>
      </c>
      <c r="J37" s="499">
        <f>I37</f>
        <v>30841061</v>
      </c>
      <c r="K37" s="499">
        <f>J37</f>
        <v>30841061</v>
      </c>
    </row>
    <row r="38">
      <c r="A38" s="514" t="s">
        <v>44</v>
      </c>
      <c r="B38" s="498">
        <f>EEFF!B38</f>
        <v>0</v>
      </c>
      <c r="C38" s="498">
        <f>EEFF!C38</f>
        <v>0</v>
      </c>
      <c r="D38" s="498">
        <f>EEFF!D38</f>
        <v>0</v>
      </c>
      <c r="E38" s="498">
        <f>EEFF!E38</f>
        <v>0</v>
      </c>
      <c r="F38" s="498">
        <f>EEFF!F38</f>
        <v>2443224</v>
      </c>
      <c r="G38" s="506">
        <f>F38</f>
        <v>2443224</v>
      </c>
      <c r="H38" s="499">
        <f>G38</f>
        <v>2443224</v>
      </c>
      <c r="I38" s="499">
        <f>H38</f>
        <v>2443224</v>
      </c>
      <c r="J38" s="499">
        <f>I38</f>
        <v>2443224</v>
      </c>
      <c r="K38" s="499">
        <f>J38</f>
        <v>2443224</v>
      </c>
    </row>
    <row r="39">
      <c r="A39" s="514" t="s">
        <v>45</v>
      </c>
      <c r="B39" s="498">
        <f>EEFF!B39</f>
        <v>4813611</v>
      </c>
      <c r="C39" s="498">
        <f>EEFF!C39</f>
        <v>15087171</v>
      </c>
      <c r="D39" s="498">
        <f>EEFF!D39</f>
        <v>17787629</v>
      </c>
      <c r="E39" s="498">
        <f>EEFF!E39</f>
        <v>14615074</v>
      </c>
      <c r="F39" s="498">
        <f>EEFF!F39</f>
        <v>13731942</v>
      </c>
      <c r="G39" s="506">
        <f>F39</f>
        <v>13731942</v>
      </c>
      <c r="H39" s="499">
        <f>G39</f>
        <v>13731942</v>
      </c>
      <c r="I39" s="499">
        <f>H39</f>
        <v>13731942</v>
      </c>
      <c r="J39" s="499">
        <f>I39</f>
        <v>13731942</v>
      </c>
      <c r="K39" s="499">
        <f>J39</f>
        <v>13731942</v>
      </c>
    </row>
    <row r="40">
      <c r="A40" s="514" t="s">
        <v>46</v>
      </c>
      <c r="B40" s="498">
        <f>EEFF!B40</f>
        <v>169258759</v>
      </c>
      <c r="C40" s="498">
        <f>EEFF!C40</f>
        <v>201123133</v>
      </c>
      <c r="D40" s="498">
        <f>EEFF!D40</f>
        <v>249844714</v>
      </c>
      <c r="E40" s="498">
        <f>EEFF!E40</f>
        <v>293697141</v>
      </c>
      <c r="F40" s="498">
        <f>EEFF!F40</f>
        <v>330675937</v>
      </c>
      <c r="G40" s="506">
        <f>F40</f>
        <v>330675937</v>
      </c>
      <c r="H40" s="499">
        <f>G40</f>
        <v>330675937</v>
      </c>
      <c r="I40" s="499">
        <f>H40</f>
        <v>330675937</v>
      </c>
      <c r="J40" s="499">
        <f>I40</f>
        <v>330675937</v>
      </c>
      <c r="K40" s="499">
        <f>J40</f>
        <v>330675937</v>
      </c>
    </row>
    <row r="41">
      <c r="A41" s="514" t="s">
        <v>47</v>
      </c>
      <c r="B41" s="498">
        <f>EEFF!B41</f>
        <v>635534</v>
      </c>
      <c r="C41" s="498">
        <f>EEFF!C41</f>
        <v>964183</v>
      </c>
      <c r="D41" s="498">
        <f>EEFF!D41</f>
        <v>1713722</v>
      </c>
      <c r="E41" s="498">
        <f>EEFF!E41</f>
        <v>1698467</v>
      </c>
      <c r="F41" s="498">
        <f>EEFF!F41</f>
        <v>2078441</v>
      </c>
      <c r="G41" s="506">
        <f>F41</f>
        <v>2078441</v>
      </c>
      <c r="H41" s="499">
        <f>G41</f>
        <v>2078441</v>
      </c>
      <c r="I41" s="499">
        <f>H41</f>
        <v>2078441</v>
      </c>
      <c r="J41" s="499">
        <f>I41</f>
        <v>2078441</v>
      </c>
      <c r="K41" s="499">
        <f>J41</f>
        <v>2078441</v>
      </c>
    </row>
    <row r="42">
      <c r="A42" s="514" t="s">
        <v>48</v>
      </c>
      <c r="B42" s="498">
        <f>EEFF!B42</f>
        <v>1388986</v>
      </c>
      <c r="C42" s="498">
        <f>EEFF!C42</f>
        <v>1333232</v>
      </c>
      <c r="D42" s="498">
        <f>EEFF!D42</f>
        <v>911230</v>
      </c>
      <c r="E42" s="498">
        <f>EEFF!E42</f>
        <v>411245</v>
      </c>
      <c r="F42" s="498">
        <f>EEFF!F42</f>
        <v>174042</v>
      </c>
      <c r="G42" s="506">
        <f>F42</f>
        <v>174042</v>
      </c>
      <c r="H42" s="499">
        <f>G42</f>
        <v>174042</v>
      </c>
      <c r="I42" s="499">
        <f>H42</f>
        <v>174042</v>
      </c>
      <c r="J42" s="499">
        <f>I42</f>
        <v>174042</v>
      </c>
      <c r="K42" s="499">
        <f>J42</f>
        <v>174042</v>
      </c>
    </row>
    <row r="43">
      <c r="A43" s="514" t="s">
        <v>49</v>
      </c>
      <c r="B43" s="498">
        <f>EEFF!B43</f>
        <v>1296186</v>
      </c>
      <c r="C43" s="498">
        <f>EEFF!C43</f>
        <v>1794598</v>
      </c>
      <c r="D43" s="498">
        <f>EEFF!D43</f>
        <v>2203644</v>
      </c>
      <c r="E43" s="498">
        <f>EEFF!E43</f>
        <v>2706141</v>
      </c>
      <c r="F43" s="498">
        <f>EEFF!F43</f>
        <v>3235826</v>
      </c>
      <c r="G43" s="506">
        <f>F43</f>
        <v>3235826</v>
      </c>
      <c r="H43" s="499">
        <f>G43</f>
        <v>3235826</v>
      </c>
      <c r="I43" s="499">
        <f>H43</f>
        <v>3235826</v>
      </c>
      <c r="J43" s="499">
        <f>I43</f>
        <v>3235826</v>
      </c>
      <c r="K43" s="499">
        <f>J43</f>
        <v>3235826</v>
      </c>
    </row>
    <row r="44">
      <c r="A44" s="514" t="s">
        <v>50</v>
      </c>
      <c r="B44" s="498">
        <f>EEFF!B44</f>
        <v>0</v>
      </c>
      <c r="C44" s="498">
        <f>EEFF!C44</f>
        <v>0</v>
      </c>
      <c r="D44" s="498">
        <f>EEFF!D44</f>
        <v>311843</v>
      </c>
      <c r="E44" s="498">
        <f>EEFF!E44</f>
        <v>311843</v>
      </c>
      <c r="F44" s="498">
        <f>EEFF!F44</f>
        <v>311843</v>
      </c>
      <c r="G44" s="506">
        <f>F44</f>
        <v>311843</v>
      </c>
      <c r="H44" s="499">
        <f>G44</f>
        <v>311843</v>
      </c>
      <c r="I44" s="499">
        <f>H44</f>
        <v>311843</v>
      </c>
      <c r="J44" s="499">
        <f>I44</f>
        <v>311843</v>
      </c>
      <c r="K44" s="499">
        <f>J44</f>
        <v>311843</v>
      </c>
    </row>
    <row r="45">
      <c r="A45" s="514" t="s">
        <v>51</v>
      </c>
      <c r="B45" s="498">
        <f>EEFF!B45</f>
        <v>423552</v>
      </c>
      <c r="C45" s="498">
        <f>EEFF!C45</f>
        <v>429752</v>
      </c>
      <c r="D45" s="498">
        <f>EEFF!D45</f>
        <v>538906</v>
      </c>
      <c r="E45" s="498">
        <f>EEFF!E45</f>
        <v>547852</v>
      </c>
      <c r="F45" s="498">
        <f>EEFF!F45</f>
        <v>945826</v>
      </c>
      <c r="G45" s="506">
        <f>F45</f>
        <v>945826</v>
      </c>
      <c r="H45" s="499">
        <f>G45</f>
        <v>945826</v>
      </c>
      <c r="I45" s="499">
        <f>H45</f>
        <v>945826</v>
      </c>
      <c r="J45" s="499">
        <f>I45</f>
        <v>945826</v>
      </c>
      <c r="K45" s="499">
        <f>J45</f>
        <v>945826</v>
      </c>
    </row>
    <row r="46">
      <c r="A46" s="514" t="s">
        <v>52</v>
      </c>
      <c r="B46" s="498">
        <f>EEFF!B46</f>
        <v>4326380</v>
      </c>
      <c r="C46" s="498">
        <f>EEFF!C46</f>
        <v>2973555</v>
      </c>
      <c r="D46" s="498">
        <f>EEFF!D46</f>
        <v>4315151</v>
      </c>
      <c r="E46" s="498">
        <f>EEFF!E46</f>
        <v>5546572</v>
      </c>
      <c r="F46" s="498">
        <f>EEFF!F46</f>
        <v>6304812</v>
      </c>
      <c r="G46" s="506">
        <f>F46</f>
        <v>6304812</v>
      </c>
      <c r="H46" s="499">
        <f>G46</f>
        <v>6304812</v>
      </c>
      <c r="I46" s="499">
        <f>H46</f>
        <v>6304812</v>
      </c>
      <c r="J46" s="499">
        <f>I46</f>
        <v>6304812</v>
      </c>
      <c r="K46" s="499">
        <f>J46</f>
        <v>6304812</v>
      </c>
    </row>
    <row r="47">
      <c r="A47" s="487" t="s">
        <v>53</v>
      </c>
      <c r="B47" s="478">
        <f>EEFF!B47</f>
        <v>245036890</v>
      </c>
      <c r="C47" s="478">
        <f>EEFF!C47</f>
        <v>295061267</v>
      </c>
      <c r="D47" s="478">
        <f>EEFF!D47</f>
        <v>353239712</v>
      </c>
      <c r="E47" s="478">
        <f>EEFF!E47</f>
        <v>401659681</v>
      </c>
      <c r="F47" s="478">
        <f>EEFF!F47</f>
        <v>444785929</v>
      </c>
      <c r="G47" s="490">
        <f>F47</f>
        <v>444785929</v>
      </c>
      <c r="H47" s="484">
        <f>G47</f>
        <v>444785929</v>
      </c>
      <c r="I47" s="484">
        <f>H47</f>
        <v>444785929</v>
      </c>
      <c r="J47" s="484">
        <f>I47</f>
        <v>444785929</v>
      </c>
      <c r="K47" s="484">
        <f>J47</f>
        <v>444785929</v>
      </c>
    </row>
    <row r="48">
      <c r="A48" s="514" t="s">
        <v>54</v>
      </c>
      <c r="B48" s="498">
        <f>EEFF!B48</f>
        <v>16699995</v>
      </c>
      <c r="C48" s="498">
        <f>EEFF!C48</f>
        <v>24753401</v>
      </c>
      <c r="D48" s="498">
        <f>EEFF!D48</f>
        <v>39175942</v>
      </c>
      <c r="E48" s="498">
        <f>EEFF!E48</f>
        <v>39379317</v>
      </c>
      <c r="F48" s="498">
        <f>EEFF!F48</f>
        <v>30544893</v>
      </c>
      <c r="G48" s="506">
        <f>F48</f>
        <v>30544893</v>
      </c>
      <c r="H48" s="499">
        <f>G48</f>
        <v>30544893</v>
      </c>
      <c r="I48" s="499">
        <f>H48</f>
        <v>30544893</v>
      </c>
      <c r="J48" s="499">
        <f>I48</f>
        <v>30544893</v>
      </c>
      <c r="K48" s="499">
        <f>J48</f>
        <v>30544893</v>
      </c>
    </row>
    <row r="49">
      <c r="A49" s="514" t="s">
        <v>55</v>
      </c>
      <c r="B49" s="498">
        <f>EEFF!B49</f>
        <v>35068408</v>
      </c>
      <c r="C49" s="498">
        <f>EEFF!C49</f>
        <v>27321218</v>
      </c>
      <c r="D49" s="498">
        <f>EEFF!D49</f>
        <v>48388455</v>
      </c>
      <c r="E49" s="498">
        <f>EEFF!E49</f>
        <v>54284121</v>
      </c>
      <c r="F49" s="498">
        <f>EEFF!F49</f>
        <v>60442410</v>
      </c>
      <c r="G49" s="506">
        <f>F49</f>
        <v>60442410</v>
      </c>
      <c r="H49" s="499">
        <f>G49</f>
        <v>60442410</v>
      </c>
      <c r="I49" s="499">
        <f>H49</f>
        <v>60442410</v>
      </c>
      <c r="J49" s="499">
        <f>I49</f>
        <v>60442410</v>
      </c>
      <c r="K49" s="499">
        <f>J49</f>
        <v>60442410</v>
      </c>
    </row>
    <row r="50">
      <c r="A50" s="514" t="s">
        <v>56</v>
      </c>
      <c r="B50" s="498">
        <f>EEFF!B50</f>
        <v>138133557</v>
      </c>
      <c r="C50" s="498">
        <f>EEFF!C50</f>
        <v>178307351</v>
      </c>
      <c r="D50" s="498">
        <f>EEFF!D50</f>
        <v>189967478</v>
      </c>
      <c r="E50" s="498">
        <f>EEFF!E50</f>
        <v>225902195</v>
      </c>
      <c r="F50" s="498">
        <f>EEFF!F50</f>
        <v>261842525</v>
      </c>
      <c r="G50" s="506">
        <f>F50</f>
        <v>261842525</v>
      </c>
      <c r="H50" s="499">
        <f>G50</f>
        <v>261842525</v>
      </c>
      <c r="I50" s="499">
        <f>H50</f>
        <v>261842525</v>
      </c>
      <c r="J50" s="499">
        <f>I50</f>
        <v>261842525</v>
      </c>
      <c r="K50" s="499">
        <f>J50</f>
        <v>261842525</v>
      </c>
    </row>
    <row r="51">
      <c r="A51" s="514" t="s">
        <v>57</v>
      </c>
      <c r="B51" s="498">
        <f>EEFF!B51</f>
        <v>5500000</v>
      </c>
      <c r="C51" s="498">
        <f>EEFF!C51</f>
        <v>5500000</v>
      </c>
      <c r="D51" s="498">
        <f>EEFF!D51</f>
        <v>5500000</v>
      </c>
      <c r="E51" s="498">
        <f>EEFF!E51</f>
        <v>2417000</v>
      </c>
      <c r="F51" s="498">
        <f>EEFF!F51</f>
        <v>2417000</v>
      </c>
      <c r="G51" s="506">
        <f>F51</f>
        <v>2417000</v>
      </c>
      <c r="H51" s="499">
        <f>G51</f>
        <v>2417000</v>
      </c>
      <c r="I51" s="499">
        <f>H51</f>
        <v>2417000</v>
      </c>
      <c r="J51" s="499">
        <f>I51</f>
        <v>2417000</v>
      </c>
      <c r="K51" s="499">
        <f>J51</f>
        <v>2417000</v>
      </c>
    </row>
    <row r="52">
      <c r="A52" s="514" t="s">
        <v>58</v>
      </c>
      <c r="B52" s="498">
        <f>EEFF!B52</f>
        <v>12917773</v>
      </c>
      <c r="C52" s="498">
        <f>EEFF!C52</f>
        <v>12605818</v>
      </c>
      <c r="D52" s="498">
        <f>EEFF!D52</f>
        <v>16886634</v>
      </c>
      <c r="E52" s="498">
        <f>EEFF!E52</f>
        <v>18509756</v>
      </c>
      <c r="F52" s="498">
        <f>EEFF!F52</f>
        <v>21024789</v>
      </c>
      <c r="G52" s="506">
        <f>F52</f>
        <v>21024789</v>
      </c>
      <c r="H52" s="499">
        <f>G52</f>
        <v>21024789</v>
      </c>
      <c r="I52" s="499">
        <f>H52</f>
        <v>21024789</v>
      </c>
      <c r="J52" s="499">
        <f>I52</f>
        <v>21024789</v>
      </c>
      <c r="K52" s="499">
        <f>J52</f>
        <v>21024789</v>
      </c>
    </row>
    <row r="53">
      <c r="A53" s="514" t="s">
        <v>59</v>
      </c>
      <c r="B53" s="498">
        <f>EEFF!B53</f>
        <v>0</v>
      </c>
      <c r="C53" s="498">
        <f>EEFF!C53</f>
        <v>0</v>
      </c>
      <c r="D53" s="498">
        <f>EEFF!D53</f>
        <v>0</v>
      </c>
      <c r="E53" s="498">
        <f>EEFF!E53</f>
        <v>0</v>
      </c>
      <c r="F53" s="498">
        <f>EEFF!F53</f>
        <v>1429160</v>
      </c>
      <c r="G53" s="506">
        <f>F53</f>
        <v>1429160</v>
      </c>
      <c r="H53" s="499">
        <f>G53</f>
        <v>1429160</v>
      </c>
      <c r="I53" s="499">
        <f>H53</f>
        <v>1429160</v>
      </c>
      <c r="J53" s="499">
        <f>I53</f>
        <v>1429160</v>
      </c>
      <c r="K53" s="499">
        <f>J53</f>
        <v>1429160</v>
      </c>
    </row>
    <row r="54">
      <c r="A54" s="514" t="s">
        <v>60</v>
      </c>
      <c r="B54" s="498">
        <f>EEFF!B54</f>
        <v>380158</v>
      </c>
      <c r="C54" s="498">
        <f>EEFF!C54</f>
        <v>427118</v>
      </c>
      <c r="D54" s="498">
        <f>EEFF!D54</f>
        <v>49582</v>
      </c>
      <c r="E54" s="498">
        <f>EEFF!E54</f>
        <v>101302</v>
      </c>
      <c r="F54" s="498">
        <f>EEFF!F54</f>
        <v>251066</v>
      </c>
      <c r="G54" s="506">
        <f>F54</f>
        <v>251066</v>
      </c>
      <c r="H54" s="499">
        <f>G54</f>
        <v>251066</v>
      </c>
      <c r="I54" s="499">
        <f>H54</f>
        <v>251066</v>
      </c>
      <c r="J54" s="499">
        <f>I54</f>
        <v>251066</v>
      </c>
      <c r="K54" s="499">
        <f>J54</f>
        <v>251066</v>
      </c>
    </row>
    <row r="55">
      <c r="A55" s="514" t="s">
        <v>61</v>
      </c>
      <c r="B55" s="498">
        <f>EEFF!B55</f>
        <v>1427412</v>
      </c>
      <c r="C55" s="498">
        <f>EEFF!C55</f>
        <v>1351485</v>
      </c>
      <c r="D55" s="498">
        <f>EEFF!D55</f>
        <v>901713</v>
      </c>
      <c r="E55" s="498">
        <f>EEFF!E55</f>
        <v>367169</v>
      </c>
      <c r="F55" s="498">
        <f>EEFF!F55</f>
        <v>70535</v>
      </c>
      <c r="G55" s="506">
        <f>F55</f>
        <v>70535</v>
      </c>
      <c r="H55" s="499">
        <f>G55</f>
        <v>70535</v>
      </c>
      <c r="I55" s="499">
        <f>H55</f>
        <v>70535</v>
      </c>
      <c r="J55" s="499">
        <f>I55</f>
        <v>70535</v>
      </c>
      <c r="K55" s="499">
        <f>J55</f>
        <v>70535</v>
      </c>
    </row>
    <row r="56">
      <c r="A56" s="514" t="s">
        <v>62</v>
      </c>
      <c r="B56" s="498">
        <f>EEFF!B56</f>
        <v>453505</v>
      </c>
      <c r="C56" s="498">
        <f>EEFF!C56</f>
        <v>579411</v>
      </c>
      <c r="D56" s="498">
        <f>EEFF!D56</f>
        <v>0</v>
      </c>
      <c r="E56" s="498">
        <f>EEFF!E56</f>
        <v>0</v>
      </c>
      <c r="F56" s="498">
        <f>EEFF!F56</f>
        <v>0</v>
      </c>
      <c r="G56" s="481"/>
      <c r="H56" s="483"/>
      <c r="I56" s="483"/>
      <c r="J56" s="483"/>
      <c r="K56" s="483"/>
    </row>
    <row r="57">
      <c r="A57" s="514" t="s">
        <v>63</v>
      </c>
      <c r="B57" s="498">
        <f>EEFF!B57</f>
        <v>2978091</v>
      </c>
      <c r="C57" s="498">
        <f>EEFF!C57</f>
        <v>4859086</v>
      </c>
      <c r="D57" s="498">
        <f>EEFF!D57</f>
        <v>5850501</v>
      </c>
      <c r="E57" s="498">
        <f>EEFF!E57</f>
        <v>4883025</v>
      </c>
      <c r="F57" s="498">
        <f>EEFF!F57</f>
        <v>4786974</v>
      </c>
      <c r="G57" s="506">
        <f>F57</f>
        <v>4786974</v>
      </c>
      <c r="H57" s="499">
        <f>G57</f>
        <v>4786974</v>
      </c>
      <c r="I57" s="499">
        <f>H57</f>
        <v>4786974</v>
      </c>
      <c r="J57" s="499">
        <f>I57</f>
        <v>4786974</v>
      </c>
      <c r="K57" s="499">
        <f>J57</f>
        <v>4786974</v>
      </c>
    </row>
    <row r="58">
      <c r="A58" s="487" t="s">
        <v>64</v>
      </c>
      <c r="B58" s="478">
        <f>EEFF!B58</f>
        <v>213558899</v>
      </c>
      <c r="C58" s="478">
        <f>EEFF!C58</f>
        <v>255704888</v>
      </c>
      <c r="D58" s="478">
        <f>EEFF!D58</f>
        <v>306720305</v>
      </c>
      <c r="E58" s="478">
        <f>EEFF!E58</f>
        <v>345843885</v>
      </c>
      <c r="F58" s="478">
        <f>EEFF!F58</f>
        <v>382809352</v>
      </c>
      <c r="G58" s="490">
        <f>F58</f>
        <v>382809352</v>
      </c>
      <c r="H58" s="484">
        <f>G58</f>
        <v>382809352</v>
      </c>
      <c r="I58" s="484">
        <f>H58</f>
        <v>382809352</v>
      </c>
      <c r="J58" s="484">
        <f>I58</f>
        <v>382809352</v>
      </c>
      <c r="K58" s="484">
        <f>J58</f>
        <v>382809352</v>
      </c>
    </row>
    <row r="59">
      <c r="A59" s="514" t="s">
        <v>65</v>
      </c>
      <c r="B59" s="498">
        <f>EEFF!B59</f>
        <v>5500000</v>
      </c>
      <c r="C59" s="498">
        <f>EEFF!C59</f>
        <v>5500000</v>
      </c>
      <c r="D59" s="498">
        <f>EEFF!D59</f>
        <v>5500000</v>
      </c>
      <c r="E59" s="498">
        <f>EEFF!E59</f>
        <v>5500000</v>
      </c>
      <c r="F59" s="498">
        <f>EEFF!F59</f>
        <v>5500000</v>
      </c>
      <c r="G59" s="506">
        <f>F59</f>
        <v>5500000</v>
      </c>
      <c r="H59" s="499">
        <f>G59</f>
        <v>5500000</v>
      </c>
      <c r="I59" s="499">
        <f>H59</f>
        <v>5500000</v>
      </c>
      <c r="J59" s="499">
        <f>I59</f>
        <v>5500000</v>
      </c>
      <c r="K59" s="499">
        <f>J59</f>
        <v>5500000</v>
      </c>
    </row>
    <row r="60">
      <c r="A60" s="514" t="s">
        <v>66</v>
      </c>
      <c r="B60" s="498">
        <f>EEFF!B60</f>
        <v>10000000</v>
      </c>
      <c r="C60" s="498">
        <f>EEFF!C60</f>
        <v>12732000</v>
      </c>
      <c r="D60" s="498">
        <f>EEFF!D60</f>
        <v>13752000</v>
      </c>
      <c r="E60" s="498">
        <f>EEFF!E60</f>
        <v>17320000</v>
      </c>
      <c r="F60" s="498">
        <f>EEFF!F60</f>
        <v>18803000</v>
      </c>
      <c r="G60" s="506">
        <f>F60</f>
        <v>18803000</v>
      </c>
      <c r="H60" s="499">
        <f>G60</f>
        <v>18803000</v>
      </c>
      <c r="I60" s="499">
        <f>H60</f>
        <v>18803000</v>
      </c>
      <c r="J60" s="499">
        <f>I60</f>
        <v>18803000</v>
      </c>
      <c r="K60" s="499">
        <f>J60</f>
        <v>18803000</v>
      </c>
    </row>
    <row r="61">
      <c r="A61" s="514" t="s">
        <v>67</v>
      </c>
      <c r="B61" s="498">
        <f>EEFF!B61</f>
        <v>2061947</v>
      </c>
      <c r="C61" s="498">
        <f>EEFF!C61</f>
        <v>2982207</v>
      </c>
      <c r="D61" s="498">
        <f>EEFF!D61</f>
        <v>4314591</v>
      </c>
      <c r="E61" s="498">
        <f>EEFF!E61</f>
        <v>4619789</v>
      </c>
      <c r="F61" s="498">
        <f>EEFF!F61</f>
        <v>5476767</v>
      </c>
      <c r="G61" s="506">
        <f>F61</f>
        <v>5476767</v>
      </c>
      <c r="H61" s="499">
        <f>G61</f>
        <v>5476767</v>
      </c>
      <c r="I61" s="499">
        <f>H61</f>
        <v>5476767</v>
      </c>
      <c r="J61" s="499">
        <f>I61</f>
        <v>5476767</v>
      </c>
      <c r="K61" s="499">
        <f>J61</f>
        <v>5476767</v>
      </c>
    </row>
    <row r="62">
      <c r="A62" s="514" t="s">
        <v>68</v>
      </c>
      <c r="B62" s="498">
        <f>EEFF!B62</f>
        <v>0</v>
      </c>
      <c r="C62" s="498">
        <f>EEFF!C62</f>
        <v>0</v>
      </c>
      <c r="D62" s="498">
        <f>EEFF!D62</f>
        <v>0</v>
      </c>
      <c r="E62" s="498">
        <f>EEFF!E62</f>
        <v>0</v>
      </c>
      <c r="F62" s="498">
        <f>EEFF!F62</f>
        <v>-353970</v>
      </c>
      <c r="G62" s="506">
        <f>F62</f>
        <v>-353970</v>
      </c>
      <c r="H62" s="499">
        <f>G62</f>
        <v>-353970</v>
      </c>
      <c r="I62" s="499">
        <f>H62</f>
        <v>-353970</v>
      </c>
      <c r="J62" s="499">
        <f>I62</f>
        <v>-353970</v>
      </c>
      <c r="K62" s="499">
        <f>J62</f>
        <v>-353970</v>
      </c>
    </row>
    <row r="63">
      <c r="A63" s="514" t="s">
        <v>69</v>
      </c>
      <c r="B63" s="498">
        <f>EEFF!B63</f>
        <v>-459195</v>
      </c>
      <c r="C63" s="498">
        <f>EEFF!C63</f>
        <v>-544629</v>
      </c>
      <c r="D63" s="498">
        <f>EEFF!D63</f>
        <v>0</v>
      </c>
      <c r="E63" s="498">
        <f>EEFF!E63</f>
        <v>0</v>
      </c>
      <c r="F63" s="498">
        <f>EEFF!F63</f>
        <v>0</v>
      </c>
      <c r="G63" s="481"/>
      <c r="H63" s="483"/>
      <c r="I63" s="483"/>
      <c r="J63" s="483"/>
      <c r="K63" s="483"/>
    </row>
    <row r="64">
      <c r="A64" s="514" t="s">
        <v>70</v>
      </c>
      <c r="B64" s="498">
        <f>EEFF!B64</f>
        <v>14375239</v>
      </c>
      <c r="C64" s="498">
        <f>EEFF!C64</f>
        <v>18686801</v>
      </c>
      <c r="D64" s="498">
        <f>EEFF!D64</f>
        <v>22952816</v>
      </c>
      <c r="E64" s="498">
        <f>EEFF!E64</f>
        <v>28376007</v>
      </c>
      <c r="F64" s="498">
        <f>EEFF!F64</f>
        <v>32550780</v>
      </c>
      <c r="G64" s="506">
        <f>F64</f>
        <v>32550780</v>
      </c>
      <c r="H64" s="499">
        <f>G64</f>
        <v>32550780</v>
      </c>
      <c r="I64" s="499">
        <f>H64</f>
        <v>32550780</v>
      </c>
      <c r="J64" s="499">
        <f>I64</f>
        <v>32550780</v>
      </c>
      <c r="K64" s="499">
        <f>J64</f>
        <v>32550780</v>
      </c>
    </row>
    <row r="65">
      <c r="A65" s="487" t="s">
        <v>71</v>
      </c>
      <c r="B65" s="478">
        <f>EEFF!B65</f>
        <v>31477991</v>
      </c>
      <c r="C65" s="478">
        <f>EEFF!C65</f>
        <v>39356379</v>
      </c>
      <c r="D65" s="478">
        <f>EEFF!D65</f>
        <v>46519407</v>
      </c>
      <c r="E65" s="478">
        <f>EEFF!E65</f>
        <v>55815796</v>
      </c>
      <c r="F65" s="478">
        <f>EEFF!F65</f>
        <v>61976577</v>
      </c>
      <c r="G65" s="490">
        <f>F65</f>
        <v>61976577</v>
      </c>
      <c r="H65" s="484">
        <f>G65</f>
        <v>61976577</v>
      </c>
      <c r="I65" s="484">
        <f>H65</f>
        <v>61976577</v>
      </c>
      <c r="J65" s="484">
        <f>I65</f>
        <v>61976577</v>
      </c>
      <c r="K65" s="484">
        <f>J65</f>
        <v>61976577</v>
      </c>
    </row>
    <row r="66">
      <c r="A66" s="487" t="s">
        <v>72</v>
      </c>
      <c r="B66" s="478">
        <f>EEFF!B66</f>
        <v>245036890</v>
      </c>
      <c r="C66" s="478">
        <f>EEFF!C66</f>
        <v>295061267</v>
      </c>
      <c r="D66" s="478">
        <f>EEFF!D66</f>
        <v>353239712</v>
      </c>
      <c r="E66" s="478">
        <f>EEFF!E66</f>
        <v>401659681</v>
      </c>
      <c r="F66" s="478">
        <f>EEFF!F66</f>
        <v>444785929</v>
      </c>
      <c r="G66" s="490">
        <f>F66</f>
        <v>444785929</v>
      </c>
      <c r="H66" s="484">
        <f>G66</f>
        <v>444785929</v>
      </c>
      <c r="I66" s="484">
        <f>H66</f>
        <v>444785929</v>
      </c>
      <c r="J66" s="484">
        <f>I66</f>
        <v>444785929</v>
      </c>
      <c r="K66" s="484">
        <f>J66</f>
        <v>444785929</v>
      </c>
    </row>
    <row r="67">
      <c r="A67" s="486"/>
      <c r="B67" s="486"/>
      <c r="C67" s="486"/>
      <c r="D67" s="486"/>
      <c r="E67" s="486"/>
      <c r="F67" s="486"/>
      <c r="G67" s="493"/>
      <c r="H67" s="486"/>
      <c r="I67" s="486"/>
      <c r="J67" s="486"/>
      <c r="K67" s="486"/>
    </row>
    <row r="68">
      <c r="A68" s="518" t="s">
        <v>3</v>
      </c>
      <c r="B68" s="519" t="s">
        <v>4</v>
      </c>
      <c r="C68" s="519" t="s">
        <v>5</v>
      </c>
      <c r="D68" s="519" t="s">
        <v>6</v>
      </c>
      <c r="E68" s="519" t="s">
        <v>7</v>
      </c>
      <c r="F68" s="519" t="s">
        <v>8</v>
      </c>
      <c r="G68" s="521" t="s">
        <v>9</v>
      </c>
      <c r="H68" s="520" t="s">
        <v>10</v>
      </c>
      <c r="I68" s="520" t="s">
        <v>11</v>
      </c>
      <c r="J68" s="520" t="s">
        <v>12</v>
      </c>
      <c r="K68" s="520" t="s">
        <v>13</v>
      </c>
    </row>
    <row r="69">
      <c r="A69" s="518" t="s">
        <v>73</v>
      </c>
      <c r="B69" s="482"/>
      <c r="C69" s="482"/>
      <c r="D69" s="482"/>
      <c r="E69" s="482"/>
      <c r="F69" s="482"/>
      <c r="G69" s="488"/>
      <c r="H69" s="495"/>
      <c r="I69" s="495"/>
      <c r="J69" s="495"/>
      <c r="K69" s="495"/>
    </row>
    <row r="70">
      <c r="A70" s="487" t="s">
        <v>40</v>
      </c>
      <c r="B70" s="478">
        <f>EEFF!B70</f>
        <v>4707806</v>
      </c>
      <c r="C70" s="478">
        <f>EEFF!C70</f>
        <v>7174291</v>
      </c>
      <c r="D70" s="478">
        <f>EEFF!D70</f>
        <v>9148056</v>
      </c>
      <c r="E70" s="478">
        <f>EEFF!E70</f>
        <v>9455325</v>
      </c>
      <c r="F70" s="478">
        <f>EEFF!F70</f>
        <v>9072905</v>
      </c>
      <c r="G70" s="490">
        <f>F70</f>
        <v>9072905</v>
      </c>
      <c r="H70" s="484">
        <f>G70</f>
        <v>9072905</v>
      </c>
      <c r="I70" s="484">
        <f>H70</f>
        <v>9072905</v>
      </c>
      <c r="J70" s="484">
        <f>I70</f>
        <v>9072905</v>
      </c>
      <c r="K70" s="484">
        <f>J70</f>
        <v>9072905</v>
      </c>
    </row>
    <row r="71">
      <c r="A71" s="514" t="s">
        <v>30</v>
      </c>
      <c r="B71" s="498">
        <f>EEFF!B71</f>
        <v>592499</v>
      </c>
      <c r="C71" s="498">
        <f>EEFF!C71</f>
        <v>691157</v>
      </c>
      <c r="D71" s="498">
        <f>EEFF!D71</f>
        <v>967602</v>
      </c>
      <c r="E71" s="498">
        <f>EEFF!E71</f>
        <v>1039518</v>
      </c>
      <c r="F71" s="498">
        <f>EEFF!F71</f>
        <v>1073936</v>
      </c>
      <c r="G71" s="506">
        <f>F71</f>
        <v>1073936</v>
      </c>
      <c r="H71" s="499">
        <f>G71</f>
        <v>1073936</v>
      </c>
      <c r="I71" s="499">
        <f>H71</f>
        <v>1073936</v>
      </c>
      <c r="J71" s="499">
        <f>I71</f>
        <v>1073936</v>
      </c>
      <c r="K71" s="499">
        <f>J71</f>
        <v>1073936</v>
      </c>
    </row>
    <row r="72">
      <c r="A72" s="514" t="s">
        <v>21</v>
      </c>
      <c r="B72" s="498">
        <f>EEFF!B72</f>
        <v>3675000</v>
      </c>
      <c r="C72" s="498">
        <f>EEFF!C72</f>
        <v>3910000</v>
      </c>
      <c r="D72" s="498">
        <f>EEFF!D72</f>
        <v>4847500</v>
      </c>
      <c r="E72" s="498">
        <f>EEFF!E72</f>
        <v>5995466</v>
      </c>
      <c r="F72" s="498">
        <f>EEFF!F72</f>
        <v>6437000</v>
      </c>
      <c r="G72" s="506">
        <f>F72</f>
        <v>6437000</v>
      </c>
      <c r="H72" s="499">
        <f>G72</f>
        <v>6437000</v>
      </c>
      <c r="I72" s="499">
        <f>H72</f>
        <v>6437000</v>
      </c>
      <c r="J72" s="499">
        <f>I72</f>
        <v>6437000</v>
      </c>
      <c r="K72" s="499">
        <f>J72</f>
        <v>6437000</v>
      </c>
    </row>
    <row r="73">
      <c r="A73" s="514" t="s">
        <v>23</v>
      </c>
      <c r="B73" s="498">
        <f>EEFF!B73</f>
        <v>370000</v>
      </c>
      <c r="C73" s="498">
        <f>EEFF!C73</f>
        <v>350000</v>
      </c>
      <c r="D73" s="498">
        <f>EEFF!D73</f>
        <v>390000</v>
      </c>
      <c r="E73" s="498">
        <f>EEFF!E73</f>
        <v>420000</v>
      </c>
      <c r="F73" s="498">
        <f>EEFF!F73</f>
        <v>60000</v>
      </c>
      <c r="G73" s="506">
        <f>F73</f>
        <v>60000</v>
      </c>
      <c r="H73" s="499">
        <f>G73</f>
        <v>60000</v>
      </c>
      <c r="I73" s="499">
        <f>H73</f>
        <v>60000</v>
      </c>
      <c r="J73" s="499">
        <f>I73</f>
        <v>60000</v>
      </c>
      <c r="K73" s="499">
        <f>J73</f>
        <v>60000</v>
      </c>
    </row>
    <row r="74">
      <c r="A74" s="514" t="s">
        <v>74</v>
      </c>
      <c r="B74" s="498">
        <f>EEFF!B74</f>
        <v>0</v>
      </c>
      <c r="C74" s="498">
        <f>EEFF!C74</f>
        <v>0</v>
      </c>
      <c r="D74" s="498">
        <f>EEFF!D74</f>
        <v>0</v>
      </c>
      <c r="E74" s="498">
        <f>EEFF!E74</f>
        <v>17849</v>
      </c>
      <c r="F74" s="498">
        <f>EEFF!F74</f>
        <v>-6344</v>
      </c>
      <c r="G74" s="506">
        <f>F74</f>
        <v>-6344</v>
      </c>
      <c r="H74" s="499">
        <f>G74</f>
        <v>-6344</v>
      </c>
      <c r="I74" s="499">
        <f>H74</f>
        <v>-6344</v>
      </c>
      <c r="J74" s="499">
        <f>I74</f>
        <v>-6344</v>
      </c>
      <c r="K74" s="499">
        <f>J74</f>
        <v>-6344</v>
      </c>
    </row>
    <row r="75">
      <c r="A75" s="514" t="s">
        <v>75</v>
      </c>
      <c r="B75" s="498">
        <f>EEFF!B75</f>
        <v>-862</v>
      </c>
      <c r="C75" s="498">
        <f>EEFF!C75</f>
        <v>24000</v>
      </c>
      <c r="D75" s="498">
        <f>EEFF!D75</f>
        <v>6305</v>
      </c>
      <c r="E75" s="498">
        <f>EEFF!E75</f>
        <v>-4000</v>
      </c>
      <c r="F75" s="498">
        <f>EEFF!F75</f>
        <v>-9775</v>
      </c>
      <c r="G75" s="506">
        <f>F75</f>
        <v>-9775</v>
      </c>
      <c r="H75" s="499">
        <f>G75</f>
        <v>-9775</v>
      </c>
      <c r="I75" s="499">
        <f>H75</f>
        <v>-9775</v>
      </c>
      <c r="J75" s="499">
        <f>I75</f>
        <v>-9775</v>
      </c>
      <c r="K75" s="499">
        <f>J75</f>
        <v>-9775</v>
      </c>
    </row>
    <row r="76">
      <c r="A76" s="514" t="s">
        <v>76</v>
      </c>
      <c r="B76" s="498">
        <f>EEFF!B76</f>
        <v>0</v>
      </c>
      <c r="C76" s="498">
        <f>EEFF!C76</f>
        <v>0</v>
      </c>
      <c r="D76" s="498">
        <f>EEFF!D76</f>
        <v>0</v>
      </c>
      <c r="E76" s="498">
        <f>EEFF!E76</f>
        <v>-44449</v>
      </c>
      <c r="F76" s="498">
        <f>EEFF!F76</f>
        <v>-94965</v>
      </c>
      <c r="G76" s="506">
        <f>F76</f>
        <v>-94965</v>
      </c>
      <c r="H76" s="499">
        <f>G76</f>
        <v>-94965</v>
      </c>
      <c r="I76" s="499">
        <f>H76</f>
        <v>-94965</v>
      </c>
      <c r="J76" s="499">
        <f>I76</f>
        <v>-94965</v>
      </c>
      <c r="K76" s="499">
        <f>J76</f>
        <v>-94965</v>
      </c>
    </row>
    <row r="77">
      <c r="A77" s="514" t="s">
        <v>77</v>
      </c>
      <c r="B77" s="498">
        <f>EEFF!B77</f>
        <v>20000</v>
      </c>
      <c r="C77" s="498">
        <f>EEFF!C77</f>
        <v>490000</v>
      </c>
      <c r="D77" s="498">
        <f>EEFF!D77</f>
        <v>600000</v>
      </c>
      <c r="E77" s="498">
        <f>EEFF!E77</f>
        <v>-849397</v>
      </c>
      <c r="F77" s="498">
        <f>EEFF!F77</f>
        <v>-440739</v>
      </c>
      <c r="G77" s="506">
        <f>F77</f>
        <v>-440739</v>
      </c>
      <c r="H77" s="499">
        <f>G77</f>
        <v>-440739</v>
      </c>
      <c r="I77" s="499">
        <f>H77</f>
        <v>-440739</v>
      </c>
      <c r="J77" s="499">
        <f>I77</f>
        <v>-440739</v>
      </c>
      <c r="K77" s="499">
        <f>J77</f>
        <v>-440739</v>
      </c>
    </row>
    <row r="78">
      <c r="A78" s="514" t="s">
        <v>78</v>
      </c>
      <c r="B78" s="498">
        <f>EEFF!B78</f>
        <v>-42161</v>
      </c>
      <c r="C78" s="498">
        <f>EEFF!C78</f>
        <v>478846</v>
      </c>
      <c r="D78" s="498">
        <f>EEFF!D78</f>
        <v>730484</v>
      </c>
      <c r="E78" s="498">
        <f>EEFF!E78</f>
        <v>803240</v>
      </c>
      <c r="F78" s="498">
        <f>EEFF!F78</f>
        <v>957116</v>
      </c>
      <c r="G78" s="506">
        <f>F78</f>
        <v>957116</v>
      </c>
      <c r="H78" s="499">
        <f>G78</f>
        <v>957116</v>
      </c>
      <c r="I78" s="499">
        <f>H78</f>
        <v>957116</v>
      </c>
      <c r="J78" s="499">
        <f>I78</f>
        <v>957116</v>
      </c>
      <c r="K78" s="499">
        <f>J78</f>
        <v>957116</v>
      </c>
    </row>
    <row r="79">
      <c r="A79" s="514" t="s">
        <v>79</v>
      </c>
      <c r="B79" s="498">
        <f>EEFF!B79</f>
        <v>-6301415</v>
      </c>
      <c r="C79" s="498">
        <f>EEFF!C79</f>
        <v>-9062954</v>
      </c>
      <c r="D79" s="498">
        <f>EEFF!D79</f>
        <v>-24533426</v>
      </c>
      <c r="E79" s="498">
        <f>EEFF!E79</f>
        <v>-26178257</v>
      </c>
      <c r="F79" s="498">
        <f>EEFF!F79</f>
        <v>-27428989</v>
      </c>
      <c r="G79" s="506">
        <f>F79</f>
        <v>-27428989</v>
      </c>
      <c r="H79" s="499">
        <f>G79</f>
        <v>-27428989</v>
      </c>
      <c r="I79" s="499">
        <f>H79</f>
        <v>-27428989</v>
      </c>
      <c r="J79" s="499">
        <f>I79</f>
        <v>-27428989</v>
      </c>
      <c r="K79" s="499">
        <f>J79</f>
        <v>-27428989</v>
      </c>
    </row>
    <row r="80">
      <c r="A80" s="514" t="s">
        <v>80</v>
      </c>
      <c r="B80" s="498">
        <f>EEFF!B80</f>
        <v>-4321008</v>
      </c>
      <c r="C80" s="498">
        <f>EEFF!C80</f>
        <v>-3992575</v>
      </c>
      <c r="D80" s="498">
        <f>EEFF!D80</f>
        <v>-13521487</v>
      </c>
      <c r="E80" s="498">
        <f>EEFF!E80</f>
        <v>-6762146</v>
      </c>
      <c r="F80" s="498">
        <f>EEFF!F80</f>
        <v>-88938</v>
      </c>
      <c r="G80" s="506">
        <f>F80</f>
        <v>-88938</v>
      </c>
      <c r="H80" s="499">
        <f>G80</f>
        <v>-88938</v>
      </c>
      <c r="I80" s="499">
        <f>H80</f>
        <v>-88938</v>
      </c>
      <c r="J80" s="499">
        <f>I80</f>
        <v>-88938</v>
      </c>
      <c r="K80" s="499">
        <f>J80</f>
        <v>-88938</v>
      </c>
    </row>
    <row r="81">
      <c r="A81" s="514" t="s">
        <v>81</v>
      </c>
      <c r="B81" s="498">
        <f>EEFF!B81</f>
        <v>-5200000</v>
      </c>
      <c r="C81" s="498">
        <f>EEFF!C81</f>
        <v>3150000</v>
      </c>
      <c r="D81" s="498">
        <f>EEFF!D81</f>
        <v>-2517658</v>
      </c>
      <c r="E81" s="498">
        <f>EEFF!E81</f>
        <v>-2850000</v>
      </c>
      <c r="F81" s="498">
        <f>EEFF!F81</f>
        <v>-10950000</v>
      </c>
      <c r="G81" s="506">
        <f>F81</f>
        <v>-10950000</v>
      </c>
      <c r="H81" s="499">
        <f>G81</f>
        <v>-10950000</v>
      </c>
      <c r="I81" s="499">
        <f>H81</f>
        <v>-10950000</v>
      </c>
      <c r="J81" s="499">
        <f>I81</f>
        <v>-10950000</v>
      </c>
      <c r="K81" s="499">
        <f>J81</f>
        <v>-10950000</v>
      </c>
    </row>
    <row r="82">
      <c r="A82" s="514" t="s">
        <v>82</v>
      </c>
      <c r="B82" s="498">
        <f>EEFF!B82</f>
        <v>-35605377</v>
      </c>
      <c r="C82" s="498">
        <f>EEFF!C82</f>
        <v>-33700178</v>
      </c>
      <c r="D82" s="498">
        <f>EEFF!D82</f>
        <v>-52434388</v>
      </c>
      <c r="E82" s="498">
        <f>EEFF!E82</f>
        <v>-50117533</v>
      </c>
      <c r="F82" s="498">
        <f>EEFF!F82</f>
        <v>-43262802</v>
      </c>
      <c r="G82" s="506">
        <f>F82</f>
        <v>-43262802</v>
      </c>
      <c r="H82" s="499">
        <f>G82</f>
        <v>-43262802</v>
      </c>
      <c r="I82" s="499">
        <f>H82</f>
        <v>-43262802</v>
      </c>
      <c r="J82" s="499">
        <f>I82</f>
        <v>-43262802</v>
      </c>
      <c r="K82" s="499">
        <f>J82</f>
        <v>-43262802</v>
      </c>
    </row>
    <row r="83">
      <c r="A83" s="514" t="s">
        <v>52</v>
      </c>
      <c r="B83" s="498">
        <f>EEFF!B83</f>
        <v>-1483218</v>
      </c>
      <c r="C83" s="498">
        <f>EEFF!C83</f>
        <v>-679491</v>
      </c>
      <c r="D83" s="498">
        <f>EEFF!D83</f>
        <v>-675084</v>
      </c>
      <c r="E83" s="498">
        <f>EEFF!E83</f>
        <v>-823975</v>
      </c>
      <c r="F83" s="498">
        <f>EEFF!F83</f>
        <v>-1106323</v>
      </c>
      <c r="G83" s="506">
        <f>F83</f>
        <v>-1106323</v>
      </c>
      <c r="H83" s="499">
        <f>G83</f>
        <v>-1106323</v>
      </c>
      <c r="I83" s="499">
        <f>H83</f>
        <v>-1106323</v>
      </c>
      <c r="J83" s="499">
        <f>I83</f>
        <v>-1106323</v>
      </c>
      <c r="K83" s="499">
        <f>J83</f>
        <v>-1106323</v>
      </c>
    </row>
    <row r="84">
      <c r="A84" s="514" t="s">
        <v>63</v>
      </c>
      <c r="B84" s="498">
        <f>EEFF!B84</f>
        <v>36797</v>
      </c>
      <c r="C84" s="498">
        <f>EEFF!C84</f>
        <v>2006901</v>
      </c>
      <c r="D84" s="498">
        <f>EEFF!D84</f>
        <v>374872</v>
      </c>
      <c r="E84" s="498">
        <f>EEFF!E84</f>
        <v>-915756</v>
      </c>
      <c r="F84" s="498">
        <f>EEFF!F84</f>
        <v>-96052</v>
      </c>
      <c r="G84" s="506">
        <f>F84</f>
        <v>-96052</v>
      </c>
      <c r="H84" s="499">
        <f>G84</f>
        <v>-96052</v>
      </c>
      <c r="I84" s="499">
        <f>H84</f>
        <v>-96052</v>
      </c>
      <c r="J84" s="499">
        <f>I84</f>
        <v>-96052</v>
      </c>
      <c r="K84" s="499">
        <f>J84</f>
        <v>-96052</v>
      </c>
    </row>
    <row r="85">
      <c r="A85" s="514" t="s">
        <v>83</v>
      </c>
      <c r="B85" s="498">
        <f>EEFF!B85</f>
        <v>-12876453</v>
      </c>
      <c r="C85" s="498">
        <f>EEFF!C85</f>
        <v>-14665029</v>
      </c>
      <c r="D85" s="498">
        <f>EEFF!D85</f>
        <v>-18797986</v>
      </c>
      <c r="E85" s="498">
        <f>EEFF!E85</f>
        <v>-24715926</v>
      </c>
      <c r="F85" s="498">
        <f>EEFF!F85</f>
        <v>-27200797</v>
      </c>
      <c r="G85" s="506">
        <f>F85</f>
        <v>-27200797</v>
      </c>
      <c r="H85" s="499">
        <f>G85</f>
        <v>-27200797</v>
      </c>
      <c r="I85" s="499">
        <f>H85</f>
        <v>-27200797</v>
      </c>
      <c r="J85" s="499">
        <f>I85</f>
        <v>-27200797</v>
      </c>
      <c r="K85" s="499">
        <f>J85</f>
        <v>-27200797</v>
      </c>
    </row>
    <row r="86">
      <c r="A86" s="514" t="s">
        <v>84</v>
      </c>
      <c r="B86" s="498">
        <f>EEFF!B86</f>
        <v>16758617</v>
      </c>
      <c r="C86" s="498">
        <f>EEFF!C86</f>
        <v>22640255</v>
      </c>
      <c r="D86" s="498">
        <f>EEFF!D86</f>
        <v>44044102</v>
      </c>
      <c r="E86" s="498">
        <f>EEFF!E86</f>
        <v>51204698</v>
      </c>
      <c r="F86" s="498">
        <f>EEFF!F86</f>
        <v>54629786</v>
      </c>
      <c r="G86" s="506">
        <f>F86</f>
        <v>54629786</v>
      </c>
      <c r="H86" s="499">
        <f>G86</f>
        <v>54629786</v>
      </c>
      <c r="I86" s="499">
        <f>H86</f>
        <v>54629786</v>
      </c>
      <c r="J86" s="499">
        <f>I86</f>
        <v>54629786</v>
      </c>
      <c r="K86" s="499">
        <f>J86</f>
        <v>54629786</v>
      </c>
    </row>
    <row r="87">
      <c r="A87" s="514" t="s">
        <v>85</v>
      </c>
      <c r="B87" s="498">
        <f>EEFF!B87</f>
        <v>-314589</v>
      </c>
      <c r="C87" s="498">
        <f>EEFF!C87</f>
        <v>-929058</v>
      </c>
      <c r="D87" s="498">
        <f>EEFF!D87</f>
        <v>-1517066</v>
      </c>
      <c r="E87" s="498">
        <f>EEFF!E87</f>
        <v>-1307002</v>
      </c>
      <c r="F87" s="498">
        <f>EEFF!F87</f>
        <v>-1082751</v>
      </c>
      <c r="G87" s="506">
        <f>F87</f>
        <v>-1082751</v>
      </c>
      <c r="H87" s="499">
        <f>G87</f>
        <v>-1082751</v>
      </c>
      <c r="I87" s="499">
        <f>H87</f>
        <v>-1082751</v>
      </c>
      <c r="J87" s="499">
        <f>I87</f>
        <v>-1082751</v>
      </c>
      <c r="K87" s="499">
        <f>J87</f>
        <v>-1082751</v>
      </c>
    </row>
    <row r="88">
      <c r="A88" s="487" t="s">
        <v>86</v>
      </c>
      <c r="B88" s="478">
        <f>EEFF!B88</f>
        <v>-34784364</v>
      </c>
      <c r="C88" s="478">
        <f>EEFF!C88</f>
        <v>-22113835</v>
      </c>
      <c r="D88" s="478">
        <f>EEFF!D88</f>
        <v>-52888174</v>
      </c>
      <c r="E88" s="478">
        <f>EEFF!E88</f>
        <v>-45632345</v>
      </c>
      <c r="F88" s="478">
        <f>EEFF!F88</f>
        <v>-39537732</v>
      </c>
      <c r="G88" s="490">
        <f>F88</f>
        <v>-39537732</v>
      </c>
      <c r="H88" s="484">
        <f>G88</f>
        <v>-39537732</v>
      </c>
      <c r="I88" s="484">
        <f>H88</f>
        <v>-39537732</v>
      </c>
      <c r="J88" s="484">
        <f>I88</f>
        <v>-39537732</v>
      </c>
      <c r="K88" s="484">
        <f>J88</f>
        <v>-39537732</v>
      </c>
    </row>
    <row r="89">
      <c r="A89" s="514" t="s">
        <v>87</v>
      </c>
      <c r="B89" s="498">
        <f>EEFF!B89</f>
        <v>0</v>
      </c>
      <c r="C89" s="498">
        <f>EEFF!C89</f>
        <v>0</v>
      </c>
      <c r="D89" s="498">
        <f>EEFF!D89</f>
        <v>-2066231</v>
      </c>
      <c r="E89" s="498">
        <f>EEFF!E89</f>
        <v>0</v>
      </c>
      <c r="F89" s="498">
        <f>EEFF!F89</f>
        <v>0</v>
      </c>
      <c r="G89" s="481"/>
      <c r="H89" s="483"/>
      <c r="I89" s="483"/>
      <c r="J89" s="483"/>
      <c r="K89" s="483"/>
    </row>
    <row r="90">
      <c r="A90" s="514" t="s">
        <v>88</v>
      </c>
      <c r="B90" s="498">
        <f>EEFF!B90</f>
        <v>-108540</v>
      </c>
      <c r="C90" s="498">
        <f>EEFF!C90</f>
        <v>-561210</v>
      </c>
      <c r="D90" s="498">
        <f>EEFF!D90</f>
        <v>-1082639</v>
      </c>
      <c r="E90" s="498">
        <f>EEFF!E90</f>
        <v>-424004</v>
      </c>
      <c r="F90" s="498">
        <f>EEFF!F90</f>
        <v>-875517</v>
      </c>
      <c r="G90" s="506">
        <f>F90</f>
        <v>-875517</v>
      </c>
      <c r="H90" s="499">
        <f>G90</f>
        <v>-875517</v>
      </c>
      <c r="I90" s="499">
        <f>H90</f>
        <v>-875517</v>
      </c>
      <c r="J90" s="499">
        <f>I90</f>
        <v>-875517</v>
      </c>
      <c r="K90" s="499">
        <f>J90</f>
        <v>-875517</v>
      </c>
    </row>
    <row r="91">
      <c r="A91" s="514" t="s">
        <v>89</v>
      </c>
      <c r="B91" s="498">
        <f>EEFF!B91</f>
        <v>0</v>
      </c>
      <c r="C91" s="498">
        <f>EEFF!C91</f>
        <v>0</v>
      </c>
      <c r="D91" s="498">
        <f>EEFF!D91</f>
        <v>0</v>
      </c>
      <c r="E91" s="498">
        <f>EEFF!E91</f>
        <v>2760</v>
      </c>
      <c r="F91" s="498">
        <f>EEFF!F91</f>
        <v>102381</v>
      </c>
      <c r="G91" s="506">
        <f>F91</f>
        <v>102381</v>
      </c>
      <c r="H91" s="499">
        <f>G91</f>
        <v>102381</v>
      </c>
      <c r="I91" s="499">
        <f>H91</f>
        <v>102381</v>
      </c>
      <c r="J91" s="499">
        <f>I91</f>
        <v>102381</v>
      </c>
      <c r="K91" s="499">
        <f>J91</f>
        <v>102381</v>
      </c>
    </row>
    <row r="92">
      <c r="A92" s="514" t="s">
        <v>90</v>
      </c>
      <c r="B92" s="498">
        <f>EEFF!B92</f>
        <v>-30353</v>
      </c>
      <c r="C92" s="498">
        <f>EEFF!C92</f>
        <v>-61237</v>
      </c>
      <c r="D92" s="498">
        <f>EEFF!D92</f>
        <v>-193531</v>
      </c>
      <c r="E92" s="498">
        <f>EEFF!E92</f>
        <v>-111982</v>
      </c>
      <c r="F92" s="498">
        <f>EEFF!F92</f>
        <v>-515594</v>
      </c>
      <c r="G92" s="506">
        <f>F92</f>
        <v>-515594</v>
      </c>
      <c r="H92" s="499">
        <f>G92</f>
        <v>-515594</v>
      </c>
      <c r="I92" s="499">
        <f>H92</f>
        <v>-515594</v>
      </c>
      <c r="J92" s="499">
        <f>I92</f>
        <v>-515594</v>
      </c>
      <c r="K92" s="499">
        <f>J92</f>
        <v>-515594</v>
      </c>
    </row>
    <row r="93">
      <c r="A93" s="514" t="s">
        <v>91</v>
      </c>
      <c r="B93" s="498">
        <f>EEFF!B93</f>
        <v>-1050000</v>
      </c>
      <c r="C93" s="498">
        <f>EEFF!C93</f>
        <v>-22450000</v>
      </c>
      <c r="D93" s="498">
        <f>EEFF!D93</f>
        <v>-58835789</v>
      </c>
      <c r="E93" s="498">
        <f>EEFF!E93</f>
        <v>-7150000</v>
      </c>
      <c r="F93" s="498">
        <f>EEFF!F93</f>
        <v>-55052975</v>
      </c>
      <c r="G93" s="506">
        <f>F93</f>
        <v>-55052975</v>
      </c>
      <c r="H93" s="499">
        <f>G93</f>
        <v>-55052975</v>
      </c>
      <c r="I93" s="499">
        <f>H93</f>
        <v>-55052975</v>
      </c>
      <c r="J93" s="499">
        <f>I93</f>
        <v>-55052975</v>
      </c>
      <c r="K93" s="499">
        <f>J93</f>
        <v>-55052975</v>
      </c>
    </row>
    <row r="94">
      <c r="A94" s="514" t="s">
        <v>92</v>
      </c>
      <c r="B94" s="498">
        <f>EEFF!B94</f>
        <v>4351089</v>
      </c>
      <c r="C94" s="498">
        <f>EEFF!C94</f>
        <v>15616150</v>
      </c>
      <c r="D94" s="498">
        <f>EEFF!D94</f>
        <v>56217996</v>
      </c>
      <c r="E94" s="498">
        <f>EEFF!E94</f>
        <v>10291566</v>
      </c>
      <c r="F94" s="498">
        <f>EEFF!F94</f>
        <v>54244850</v>
      </c>
      <c r="G94" s="506">
        <f>F94</f>
        <v>54244850</v>
      </c>
      <c r="H94" s="499">
        <f>G94</f>
        <v>54244850</v>
      </c>
      <c r="I94" s="499">
        <f>H94</f>
        <v>54244850</v>
      </c>
      <c r="J94" s="499">
        <f>I94</f>
        <v>54244850</v>
      </c>
      <c r="K94" s="499">
        <f>J94</f>
        <v>54244850</v>
      </c>
    </row>
    <row r="95">
      <c r="A95" s="487" t="s">
        <v>93</v>
      </c>
      <c r="B95" s="478">
        <f>EEFF!B95</f>
        <v>-1453641</v>
      </c>
      <c r="C95" s="478">
        <f>EEFF!C95</f>
        <v>-6488417</v>
      </c>
      <c r="D95" s="478">
        <f>EEFF!D95</f>
        <v>-5960194</v>
      </c>
      <c r="E95" s="478">
        <f>EEFF!E95</f>
        <v>2608340</v>
      </c>
      <c r="F95" s="478">
        <f>EEFF!F95</f>
        <v>-2096855</v>
      </c>
      <c r="G95" s="490">
        <f>F95</f>
        <v>-2096855</v>
      </c>
      <c r="H95" s="484">
        <f>G95</f>
        <v>-2096855</v>
      </c>
      <c r="I95" s="484">
        <f>H95</f>
        <v>-2096855</v>
      </c>
      <c r="J95" s="484">
        <f>I95</f>
        <v>-2096855</v>
      </c>
      <c r="K95" s="484">
        <f>J95</f>
        <v>-2096855</v>
      </c>
    </row>
    <row r="96">
      <c r="A96" s="514" t="s">
        <v>94</v>
      </c>
      <c r="B96" s="498">
        <f>EEFF!B96</f>
        <v>0</v>
      </c>
      <c r="C96" s="498">
        <f>EEFF!C96</f>
        <v>0</v>
      </c>
      <c r="D96" s="498">
        <f>EEFF!D96</f>
        <v>-111124902</v>
      </c>
      <c r="E96" s="498">
        <f>EEFF!E96</f>
        <v>-208063672</v>
      </c>
      <c r="F96" s="498">
        <f>EEFF!F96</f>
        <v>-197649897</v>
      </c>
      <c r="G96" s="506">
        <f>F96</f>
        <v>-197649897</v>
      </c>
      <c r="H96" s="499">
        <f>G96</f>
        <v>-197649897</v>
      </c>
      <c r="I96" s="499">
        <f>H96</f>
        <v>-197649897</v>
      </c>
      <c r="J96" s="499">
        <f>I96</f>
        <v>-197649897</v>
      </c>
      <c r="K96" s="499">
        <f>J96</f>
        <v>-197649897</v>
      </c>
    </row>
    <row r="97">
      <c r="A97" s="514" t="s">
        <v>95</v>
      </c>
      <c r="B97" s="498">
        <f>EEFF!B97</f>
        <v>0</v>
      </c>
      <c r="C97" s="498">
        <f>EEFF!C97</f>
        <v>0</v>
      </c>
      <c r="D97" s="498">
        <f>EEFF!D97</f>
        <v>161382743</v>
      </c>
      <c r="E97" s="498">
        <f>EEFF!E97</f>
        <v>248632822</v>
      </c>
      <c r="F97" s="498">
        <f>EEFF!F97</f>
        <v>234858285</v>
      </c>
      <c r="G97" s="506">
        <f>F97</f>
        <v>234858285</v>
      </c>
      <c r="H97" s="499">
        <f>G97</f>
        <v>234858285</v>
      </c>
      <c r="I97" s="499">
        <f>H97</f>
        <v>234858285</v>
      </c>
      <c r="J97" s="499">
        <f>I97</f>
        <v>234858285</v>
      </c>
      <c r="K97" s="499">
        <f>J97</f>
        <v>234858285</v>
      </c>
    </row>
    <row r="98">
      <c r="A98" s="514" t="s">
        <v>96</v>
      </c>
      <c r="B98" s="498">
        <f>EEFF!B98</f>
        <v>-314350</v>
      </c>
      <c r="C98" s="498">
        <f>EEFF!C98</f>
        <v>-447733</v>
      </c>
      <c r="D98" s="498">
        <f>EEFF!D98</f>
        <v>-606360</v>
      </c>
      <c r="E98" s="498">
        <f>EEFF!E98</f>
        <v>-534544</v>
      </c>
      <c r="F98" s="498">
        <f>EEFF!F98</f>
        <v>-296634</v>
      </c>
      <c r="G98" s="506">
        <f>F98</f>
        <v>-296634</v>
      </c>
      <c r="H98" s="499">
        <f>G98</f>
        <v>-296634</v>
      </c>
      <c r="I98" s="499">
        <f>H98</f>
        <v>-296634</v>
      </c>
      <c r="J98" s="499">
        <f>I98</f>
        <v>-296634</v>
      </c>
      <c r="K98" s="499">
        <f>J98</f>
        <v>-296634</v>
      </c>
    </row>
    <row r="99">
      <c r="A99" s="514" t="s">
        <v>97</v>
      </c>
      <c r="B99" s="498">
        <f>EEFF!B99</f>
        <v>-902262</v>
      </c>
      <c r="C99" s="498">
        <f>EEFF!C99</f>
        <v>-1942469</v>
      </c>
      <c r="D99" s="498">
        <f>EEFF!D99</f>
        <v>-3033828</v>
      </c>
      <c r="E99" s="498">
        <f>EEFF!E99</f>
        <v>-3688255</v>
      </c>
      <c r="F99" s="498">
        <f>EEFF!F99</f>
        <v>-4028047</v>
      </c>
      <c r="G99" s="506">
        <f>F99</f>
        <v>-4028047</v>
      </c>
      <c r="H99" s="499">
        <f>G99</f>
        <v>-4028047</v>
      </c>
      <c r="I99" s="499">
        <f>H99</f>
        <v>-4028047</v>
      </c>
      <c r="J99" s="499">
        <f>I99</f>
        <v>-4028047</v>
      </c>
      <c r="K99" s="499">
        <f>J99</f>
        <v>-4028047</v>
      </c>
    </row>
    <row r="100">
      <c r="A100" s="514" t="s">
        <v>98</v>
      </c>
      <c r="B100" s="498">
        <f>EEFF!B100</f>
        <v>2990000</v>
      </c>
      <c r="C100" s="498">
        <f>EEFF!C100</f>
        <v>2732000</v>
      </c>
      <c r="D100" s="498">
        <f>EEFF!D100</f>
        <v>1020000</v>
      </c>
      <c r="E100" s="498">
        <f>EEFF!E100</f>
        <v>3568000</v>
      </c>
      <c r="F100" s="498">
        <f>EEFF!F100</f>
        <v>1483000</v>
      </c>
      <c r="G100" s="506">
        <f>F100</f>
        <v>1483000</v>
      </c>
      <c r="H100" s="499">
        <f>G100</f>
        <v>1483000</v>
      </c>
      <c r="I100" s="499">
        <f>H100</f>
        <v>1483000</v>
      </c>
      <c r="J100" s="499">
        <f>I100</f>
        <v>1483000</v>
      </c>
      <c r="K100" s="499">
        <f>J100</f>
        <v>1483000</v>
      </c>
    </row>
    <row r="101">
      <c r="A101" s="514" t="s">
        <v>69</v>
      </c>
      <c r="B101" s="498">
        <f>EEFF!B101</f>
        <v>0</v>
      </c>
      <c r="C101" s="498">
        <f>EEFF!C101</f>
        <v>-85434</v>
      </c>
      <c r="D101" s="498">
        <f>EEFF!D101</f>
        <v>28800</v>
      </c>
      <c r="E101" s="498">
        <f>EEFF!E101</f>
        <v>-38681</v>
      </c>
      <c r="F101" s="498">
        <f>EEFF!F101</f>
        <v>-13107</v>
      </c>
      <c r="G101" s="506">
        <f>F101</f>
        <v>-13107</v>
      </c>
      <c r="H101" s="499">
        <f>G101</f>
        <v>-13107</v>
      </c>
      <c r="I101" s="499">
        <f>H101</f>
        <v>-13107</v>
      </c>
      <c r="J101" s="499">
        <f>I101</f>
        <v>-13107</v>
      </c>
      <c r="K101" s="499">
        <f>J101</f>
        <v>-13107</v>
      </c>
    </row>
    <row r="102">
      <c r="A102" s="487" t="s">
        <v>99</v>
      </c>
      <c r="B102" s="478">
        <f>EEFF!B102</f>
        <v>43186007</v>
      </c>
      <c r="C102" s="478">
        <f>EEFF!C102</f>
        <v>40138586</v>
      </c>
      <c r="D102" s="478">
        <f>EEFF!D102</f>
        <v>47666453</v>
      </c>
      <c r="E102" s="478">
        <f>EEFF!E102</f>
        <v>39875670</v>
      </c>
      <c r="F102" s="478">
        <f>EEFF!F102</f>
        <v>34353600</v>
      </c>
      <c r="G102" s="490">
        <f>F102</f>
        <v>34353600</v>
      </c>
      <c r="H102" s="484">
        <f>G102</f>
        <v>34353600</v>
      </c>
      <c r="I102" s="484">
        <f>H102</f>
        <v>34353600</v>
      </c>
      <c r="J102" s="484">
        <f>I102</f>
        <v>34353600</v>
      </c>
      <c r="K102" s="484">
        <f>J102</f>
        <v>34353600</v>
      </c>
    </row>
    <row r="103">
      <c r="A103" s="514" t="s">
        <v>100</v>
      </c>
      <c r="B103" s="498">
        <f>EEFF!B103</f>
        <v>6948002</v>
      </c>
      <c r="C103" s="498">
        <f>EEFF!C103</f>
        <v>11536334</v>
      </c>
      <c r="D103" s="498">
        <f>EEFF!D103</f>
        <v>-11181915</v>
      </c>
      <c r="E103" s="498">
        <f>EEFF!E103</f>
        <v>-3148335</v>
      </c>
      <c r="F103" s="498">
        <f>EEFF!F103</f>
        <v>-7280987</v>
      </c>
      <c r="G103" s="506">
        <f>F103</f>
        <v>-7280987</v>
      </c>
      <c r="H103" s="499">
        <f>G103</f>
        <v>-7280987</v>
      </c>
      <c r="I103" s="499">
        <f>H103</f>
        <v>-7280987</v>
      </c>
      <c r="J103" s="499">
        <f>I103</f>
        <v>-7280987</v>
      </c>
      <c r="K103" s="499">
        <f>J103</f>
        <v>-7280987</v>
      </c>
    </row>
    <row r="104">
      <c r="A104" s="514" t="s">
        <v>101</v>
      </c>
      <c r="B104" s="498">
        <f>EEFF!B104</f>
        <v>28231225</v>
      </c>
      <c r="C104" s="498">
        <f>EEFF!C104</f>
        <v>35179227</v>
      </c>
      <c r="D104" s="498">
        <f>EEFF!D104</f>
        <v>46715561</v>
      </c>
      <c r="E104" s="498">
        <f>EEFF!E104</f>
        <v>35533646</v>
      </c>
      <c r="F104" s="498">
        <f>EEFF!F104</f>
        <v>32385311</v>
      </c>
      <c r="G104" s="506">
        <f>F104</f>
        <v>32385311</v>
      </c>
      <c r="H104" s="499">
        <f>G104</f>
        <v>32385311</v>
      </c>
      <c r="I104" s="499">
        <f>H104</f>
        <v>32385311</v>
      </c>
      <c r="J104" s="499">
        <f>I104</f>
        <v>32385311</v>
      </c>
      <c r="K104" s="499">
        <f>J104</f>
        <v>32385311</v>
      </c>
    </row>
    <row r="105">
      <c r="A105" s="487" t="s">
        <v>102</v>
      </c>
      <c r="B105" s="478">
        <f>EEFF!B105</f>
        <v>35179227</v>
      </c>
      <c r="C105" s="478">
        <f>EEFF!C105</f>
        <v>46715561</v>
      </c>
      <c r="D105" s="478">
        <f>EEFF!D105</f>
        <v>35533646</v>
      </c>
      <c r="E105" s="478">
        <f>EEFF!E105</f>
        <v>32385311</v>
      </c>
      <c r="F105" s="478">
        <f>EEFF!F105</f>
        <v>25104324</v>
      </c>
      <c r="G105" s="490">
        <f>F105</f>
        <v>25104324</v>
      </c>
      <c r="H105" s="484">
        <f>G105</f>
        <v>25104324</v>
      </c>
      <c r="I105" s="484">
        <f>H105</f>
        <v>25104324</v>
      </c>
      <c r="J105" s="484">
        <f>I105</f>
        <v>25104324</v>
      </c>
      <c r="K105" s="484">
        <f>J105</f>
        <v>25104324</v>
      </c>
    </row>
    <row r="106">
      <c r="A106" s="486"/>
      <c r="B106" s="486"/>
      <c r="C106" s="486"/>
      <c r="D106" s="486"/>
      <c r="E106" s="486"/>
      <c r="F106" s="486"/>
      <c r="G106" s="493"/>
      <c r="H106" s="486"/>
      <c r="I106" s="486"/>
      <c r="J106" s="486"/>
      <c r="K106" s="486"/>
    </row>
  </sheetData>
</worksheet>
</file>

<file path=xl/worksheets/sheet5.xml><?xml version="1.0" encoding="utf-8"?>
<worksheet xmlns="http://schemas.openxmlformats.org/spreadsheetml/2006/main" xmlns:r="http://schemas.openxmlformats.org/officeDocument/2006/relationships">
  <dimension ref="A1:Q29"/>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518" t="s">
        <v>0</v>
      </c>
      <c r="B1" s="497"/>
      <c r="C1" s="497"/>
      <c r="D1" s="497"/>
      <c r="E1" s="497"/>
      <c r="F1" s="497"/>
      <c r="G1" s="497"/>
      <c r="H1" s="497"/>
      <c r="I1" s="497"/>
      <c r="J1" s="497"/>
      <c r="K1" s="497"/>
      <c r="L1" s="497"/>
      <c r="M1" s="502"/>
      <c r="N1" s="502"/>
      <c r="O1" s="502"/>
      <c r="P1" s="502"/>
      <c r="Q1" s="502"/>
    </row>
    <row r="2">
      <c r="A2" s="509" t="s">
        <v>1328</v>
      </c>
      <c r="B2" s="500"/>
      <c r="C2" s="500"/>
      <c r="D2" s="500"/>
      <c r="E2" s="500"/>
      <c r="F2" s="500"/>
      <c r="G2" s="500"/>
      <c r="H2" s="500"/>
      <c r="I2" s="500"/>
      <c r="J2" s="500"/>
      <c r="K2" s="500"/>
      <c r="L2" s="500"/>
      <c r="M2" s="500"/>
      <c r="N2" s="500"/>
      <c r="O2" s="500"/>
      <c r="P2" s="500"/>
      <c r="Q2" s="500"/>
    </row>
    <row r="3">
      <c r="A3" s="509" t="s">
        <v>1329</v>
      </c>
      <c r="B3" s="500"/>
      <c r="C3" s="500"/>
      <c r="D3" s="500"/>
      <c r="E3" s="500"/>
      <c r="F3" s="500"/>
      <c r="G3" s="500"/>
      <c r="H3" s="500"/>
      <c r="I3" s="500"/>
      <c r="J3" s="500"/>
      <c r="K3" s="500"/>
      <c r="L3" s="500"/>
      <c r="M3" s="500"/>
      <c r="N3" s="500"/>
      <c r="O3" s="500"/>
      <c r="P3" s="500"/>
      <c r="Q3" s="500"/>
    </row>
    <row r="4">
      <c r="A4" s="508" t="s">
        <v>1330</v>
      </c>
      <c r="B4" s="508" t="s">
        <v>1331</v>
      </c>
      <c r="C4" s="510" t="str">
        <f>IF(COUNTIF($C$6:$C$29,"FAIL")=0,"PASS","FAIL")</f>
        <v>PASS</v>
      </c>
      <c r="D4" s="500"/>
      <c r="E4" s="500"/>
      <c r="F4" s="500"/>
      <c r="G4" s="509" t="s">
        <v>1332</v>
      </c>
      <c r="H4" s="500"/>
      <c r="I4" s="500"/>
      <c r="J4" s="500"/>
      <c r="K4" s="500"/>
      <c r="L4" s="500"/>
      <c r="M4" s="500"/>
      <c r="N4" s="500"/>
      <c r="O4" s="500"/>
      <c r="P4" s="500"/>
      <c r="Q4" s="500"/>
    </row>
    <row r="5">
      <c r="A5" s="518" t="s">
        <v>1333</v>
      </c>
      <c r="B5" s="518" t="s">
        <v>1334</v>
      </c>
      <c r="C5" s="518" t="s">
        <v>1335</v>
      </c>
      <c r="D5" s="518" t="s">
        <v>1336</v>
      </c>
      <c r="E5" s="518" t="s">
        <v>1337</v>
      </c>
      <c r="F5" s="518" t="s">
        <v>1338</v>
      </c>
      <c r="G5" s="518" t="s">
        <v>1339</v>
      </c>
      <c r="H5" s="518" t="s">
        <v>4</v>
      </c>
      <c r="I5" s="518" t="s">
        <v>5</v>
      </c>
      <c r="J5" s="518" t="s">
        <v>6</v>
      </c>
      <c r="K5" s="518" t="s">
        <v>7</v>
      </c>
      <c r="L5" s="518" t="s">
        <v>8</v>
      </c>
      <c r="M5" s="503" t="s">
        <v>9</v>
      </c>
      <c r="N5" s="503" t="s">
        <v>10</v>
      </c>
      <c r="O5" s="503" t="s">
        <v>11</v>
      </c>
      <c r="P5" s="503" t="s">
        <v>12</v>
      </c>
      <c r="Q5" s="503" t="s">
        <v>13</v>
      </c>
    </row>
    <row r="6">
      <c r="A6" s="500"/>
      <c r="B6" s="500"/>
      <c r="C6" s="500"/>
      <c r="D6" s="500"/>
      <c r="E6" s="500"/>
      <c r="F6" s="500"/>
      <c r="G6" s="500"/>
      <c r="H6" s="500"/>
      <c r="I6" s="500"/>
      <c r="J6" s="500"/>
      <c r="K6" s="500"/>
      <c r="L6" s="500"/>
      <c r="M6" s="500"/>
      <c r="N6" s="500"/>
      <c r="O6" s="500"/>
      <c r="P6" s="500"/>
      <c r="Q6" s="500"/>
    </row>
    <row r="7">
      <c r="A7" s="518" t="s">
        <v>1340</v>
      </c>
      <c r="B7" s="497"/>
      <c r="C7" s="497"/>
      <c r="D7" s="497"/>
      <c r="E7" s="497"/>
      <c r="F7" s="497"/>
      <c r="G7" s="497"/>
      <c r="H7" s="497"/>
      <c r="I7" s="497"/>
      <c r="J7" s="497"/>
      <c r="K7" s="497"/>
      <c r="L7" s="497"/>
      <c r="M7" s="502"/>
      <c r="N7" s="502"/>
      <c r="O7" s="502"/>
      <c r="P7" s="502"/>
      <c r="Q7" s="502"/>
    </row>
    <row r="8">
      <c r="A8" s="514" t="s">
        <v>1341</v>
      </c>
      <c r="B8" s="514" t="s">
        <v>1342</v>
      </c>
      <c r="C8" s="501" t="str">
        <f>IF(SUMPRODUCT((ABS(H8:Q8)&gt;1000)*1)=0,"PASS","FAIL")</f>
        <v>PASS</v>
      </c>
      <c r="D8" s="514" t="s">
        <v>1343</v>
      </c>
      <c r="E8" s="514" t="s">
        <v>1344</v>
      </c>
      <c r="F8" s="514">
        <v>0</v>
      </c>
      <c r="G8" s="514" t="s">
        <v>1345</v>
      </c>
      <c r="H8" s="498">
        <f>ModeloFinanciero!B47-ModeloFinanciero!B66</f>
        <v>0</v>
      </c>
      <c r="I8" s="498">
        <f>ModeloFinanciero!C47-ModeloFinanciero!C66</f>
        <v>0</v>
      </c>
      <c r="J8" s="498">
        <f>ModeloFinanciero!D47-ModeloFinanciero!D66</f>
        <v>0</v>
      </c>
      <c r="K8" s="498">
        <f>ModeloFinanciero!E47-ModeloFinanciero!E66</f>
        <v>0</v>
      </c>
      <c r="L8" s="498">
        <f>ModeloFinanciero!F47-ModeloFinanciero!F66</f>
        <v>0</v>
      </c>
      <c r="M8" s="504">
        <f>ModeloFinanciero!G47-ModeloFinanciero!G66</f>
        <v>0</v>
      </c>
      <c r="N8" s="498">
        <f>ModeloFinanciero!H47-ModeloFinanciero!H66</f>
        <v>0</v>
      </c>
      <c r="O8" s="498">
        <f>ModeloFinanciero!I47-ModeloFinanciero!I66</f>
        <v>0</v>
      </c>
      <c r="P8" s="498">
        <f>ModeloFinanciero!J47-ModeloFinanciero!J66</f>
        <v>0</v>
      </c>
      <c r="Q8" s="498">
        <f>ModeloFinanciero!K47-ModeloFinanciero!K66</f>
        <v>0</v>
      </c>
    </row>
    <row r="9">
      <c r="A9" s="514" t="s">
        <v>1346</v>
      </c>
      <c r="B9" s="514" t="s">
        <v>1347</v>
      </c>
      <c r="C9" s="501" t="s">
        <v>1348</v>
      </c>
      <c r="D9" s="514" t="s">
        <v>1343</v>
      </c>
      <c r="E9" s="514" t="s">
        <v>1344</v>
      </c>
      <c r="F9" s="505" t="s">
        <v>1349</v>
      </c>
      <c r="G9" s="514" t="s">
        <v>1350</v>
      </c>
      <c r="H9" s="498">
        <f>EEFF!B105-EEFF!B36</f>
        <v>-15840543</v>
      </c>
      <c r="I9" s="498">
        <f>EEFF!C105-EEFF!C36</f>
        <v>-12620993</v>
      </c>
      <c r="J9" s="498">
        <f>EEFF!D105-EEFF!D36</f>
        <v>-15138651</v>
      </c>
      <c r="K9" s="498">
        <f>EEFF!E105-EEFF!E36</f>
        <v>-17988651</v>
      </c>
      <c r="L9" s="498">
        <f>EEFF!F105-EEFF!F36</f>
        <v>-28938651</v>
      </c>
      <c r="M9" s="506"/>
      <c r="N9" s="499"/>
      <c r="O9" s="499"/>
      <c r="P9" s="499"/>
      <c r="Q9" s="499"/>
    </row>
    <row r="10">
      <c r="A10" s="514" t="s">
        <v>1351</v>
      </c>
      <c r="B10" s="514" t="s">
        <v>1352</v>
      </c>
      <c r="C10" s="501" t="str">
        <f>IF(SUMPRODUCT((ABS(H10:Q10)&gt;1000)*1)=0,"PASS","FAIL")</f>
        <v>PASS</v>
      </c>
      <c r="D10" s="514" t="s">
        <v>1343</v>
      </c>
      <c r="E10" s="514" t="s">
        <v>1344</v>
      </c>
      <c r="F10" s="514">
        <v>0</v>
      </c>
      <c r="G10" s="514" t="s">
        <v>1353</v>
      </c>
      <c r="H10" s="498">
        <f>ModeloFinanciero!B88+ModeloFinanciero!B95+ModeloFinanciero!B102-(ModeloFinanciero!B105-ModeloFinanciero!B104)</f>
        <v>0</v>
      </c>
      <c r="I10" s="498">
        <f>ModeloFinanciero!C88+ModeloFinanciero!C95+ModeloFinanciero!C102-(ModeloFinanciero!C105-ModeloFinanciero!C104)</f>
        <v>0</v>
      </c>
      <c r="J10" s="498">
        <f>ModeloFinanciero!D88+ModeloFinanciero!D95+ModeloFinanciero!D102-(ModeloFinanciero!D105-ModeloFinanciero!D104)</f>
        <v>0</v>
      </c>
      <c r="K10" s="498">
        <f>ModeloFinanciero!E88+ModeloFinanciero!E95+ModeloFinanciero!E102-(ModeloFinanciero!E105-ModeloFinanciero!E104)</f>
        <v>0</v>
      </c>
      <c r="L10" s="498">
        <f>ModeloFinanciero!F88+ModeloFinanciero!F95+ModeloFinanciero!F102-(ModeloFinanciero!F105-ModeloFinanciero!F104)</f>
        <v>0</v>
      </c>
      <c r="M10" s="504">
        <f>ModeloFinanciero!G88+ModeloFinanciero!G95+ModeloFinanciero!G102-(ModeloFinanciero!G105-ModeloFinanciero!G104)</f>
        <v>0</v>
      </c>
      <c r="N10" s="498">
        <f>ModeloFinanciero!H88+ModeloFinanciero!H95+ModeloFinanciero!H102-(ModeloFinanciero!H105-ModeloFinanciero!H104)</f>
        <v>0</v>
      </c>
      <c r="O10" s="498">
        <f>ModeloFinanciero!I88+ModeloFinanciero!I95+ModeloFinanciero!I102-(ModeloFinanciero!I105-ModeloFinanciero!I104)</f>
        <v>0</v>
      </c>
      <c r="P10" s="498">
        <f>ModeloFinanciero!J88+ModeloFinanciero!J95+ModeloFinanciero!J102-(ModeloFinanciero!J105-ModeloFinanciero!J104)</f>
        <v>0</v>
      </c>
      <c r="Q10" s="498">
        <f>ModeloFinanciero!K88+ModeloFinanciero!K95+ModeloFinanciero!K102-(ModeloFinanciero!K105-ModeloFinanciero!K104)</f>
        <v>0</v>
      </c>
    </row>
    <row r="11">
      <c r="A11" s="514" t="s">
        <v>1354</v>
      </c>
      <c r="B11" s="514" t="s">
        <v>1355</v>
      </c>
      <c r="C11" s="501" t="str">
        <f>IF(SUMPRODUCT((ABS(H11:Q11)&gt;1000)*1)=0,"PASS","FAIL")</f>
        <v>PASS</v>
      </c>
      <c r="D11" s="514" t="s">
        <v>1343</v>
      </c>
      <c r="E11" s="514" t="s">
        <v>1344</v>
      </c>
      <c r="F11" s="514">
        <v>0</v>
      </c>
      <c r="G11" s="514" t="s">
        <v>1356</v>
      </c>
      <c r="H11" s="498">
        <f>ModeloFinanciero!B32-ModeloFinanciero!B70</f>
        <v>0</v>
      </c>
      <c r="I11" s="498">
        <f>ModeloFinanciero!C32-ModeloFinanciero!C70</f>
        <v>0</v>
      </c>
      <c r="J11" s="498">
        <f>ModeloFinanciero!D32-ModeloFinanciero!D70</f>
        <v>0</v>
      </c>
      <c r="K11" s="498">
        <f>ModeloFinanciero!E32-ModeloFinanciero!E70</f>
        <v>0</v>
      </c>
      <c r="L11" s="498">
        <f>ModeloFinanciero!F32-ModeloFinanciero!F70</f>
        <v>0</v>
      </c>
      <c r="M11" s="506"/>
      <c r="N11" s="499"/>
      <c r="O11" s="499"/>
      <c r="P11" s="499"/>
      <c r="Q11" s="499"/>
    </row>
    <row r="12">
      <c r="A12" s="514" t="s">
        <v>1357</v>
      </c>
      <c r="B12" s="514" t="s">
        <v>1358</v>
      </c>
      <c r="C12" s="501" t="s">
        <v>1359</v>
      </c>
      <c r="D12" s="514" t="s">
        <v>1343</v>
      </c>
      <c r="E12" s="514" t="s">
        <v>1344</v>
      </c>
      <c r="F12" s="514">
        <v>0</v>
      </c>
      <c r="G12" s="514" t="s">
        <v>1360</v>
      </c>
      <c r="H12" s="498">
        <f>ModeloFinanciero!B32-(ModeloFinanciero!B30-ABS(ModeloFinanciero!B31))</f>
        <v>84322</v>
      </c>
      <c r="I12" s="498">
        <f>ModeloFinanciero!C32-(ModeloFinanciero!C30-ABS(ModeloFinanciero!C31))</f>
        <v>0</v>
      </c>
      <c r="J12" s="498">
        <f>ModeloFinanciero!D32-(ModeloFinanciero!D30-ABS(ModeloFinanciero!D31))</f>
        <v>0</v>
      </c>
      <c r="K12" s="498">
        <f>ModeloFinanciero!E32-(ModeloFinanciero!E30-ABS(ModeloFinanciero!E31))</f>
        <v>0</v>
      </c>
      <c r="L12" s="498">
        <f>ModeloFinanciero!F32-(ModeloFinanciero!F30-ABS(ModeloFinanciero!F31))</f>
        <v>0</v>
      </c>
      <c r="M12" s="504">
        <f>ModeloFinanciero!G32-(ModeloFinanciero!G30-ABS(ModeloFinanciero!G31))</f>
        <v>0</v>
      </c>
      <c r="N12" s="498">
        <f>ModeloFinanciero!H32-(ModeloFinanciero!H30-ABS(ModeloFinanciero!H31))</f>
        <v>0</v>
      </c>
      <c r="O12" s="498">
        <f>ModeloFinanciero!I32-(ModeloFinanciero!I30-ABS(ModeloFinanciero!I31))</f>
        <v>0</v>
      </c>
      <c r="P12" s="498">
        <f>ModeloFinanciero!J32-(ModeloFinanciero!J30-ABS(ModeloFinanciero!J31))</f>
        <v>0</v>
      </c>
      <c r="Q12" s="498">
        <f>ModeloFinanciero!K32-(ModeloFinanciero!K30-ABS(ModeloFinanciero!K31))</f>
        <v>0</v>
      </c>
    </row>
    <row r="13">
      <c r="A13" s="514" t="s">
        <v>1361</v>
      </c>
      <c r="B13" s="514" t="s">
        <v>1362</v>
      </c>
      <c r="C13" s="501" t="s">
        <v>1348</v>
      </c>
      <c r="D13" s="514" t="s">
        <v>1343</v>
      </c>
      <c r="E13" s="514" t="s">
        <v>1344</v>
      </c>
      <c r="F13" s="505" t="s">
        <v>1363</v>
      </c>
      <c r="G13" s="514" t="s">
        <v>1364</v>
      </c>
      <c r="H13" s="499"/>
      <c r="I13" s="498">
        <f>EEFF!C64-EEFF!B64-(EEFF!C32+EEFF!C99)</f>
        <v>-920260</v>
      </c>
      <c r="J13" s="498">
        <f>EEFF!D64-EEFF!C64-(EEFF!D32+EEFF!D99)</f>
        <v>-1848213</v>
      </c>
      <c r="K13" s="498">
        <f>EEFF!E64-EEFF!D64-(EEFF!E32+EEFF!E99)</f>
        <v>-343879</v>
      </c>
      <c r="L13" s="498">
        <f>EEFF!F64-EEFF!E64-(EEFF!F32+EEFF!F99)</f>
        <v>-870085</v>
      </c>
      <c r="M13" s="506"/>
      <c r="N13" s="499"/>
      <c r="O13" s="499"/>
      <c r="P13" s="499"/>
      <c r="Q13" s="499"/>
    </row>
    <row r="14">
      <c r="A14" s="514" t="s">
        <v>1365</v>
      </c>
      <c r="B14" s="514" t="s">
        <v>1355</v>
      </c>
      <c r="C14" s="501" t="str">
        <f>IF(SUMPRODUCT((ABS(H14:Q14)&gt;1000)*1)=0,"PASS","FAIL")</f>
        <v>PASS</v>
      </c>
      <c r="D14" s="514" t="s">
        <v>1343</v>
      </c>
      <c r="E14" s="514" t="s">
        <v>1344</v>
      </c>
      <c r="F14" s="514">
        <v>0</v>
      </c>
      <c r="G14" s="514" t="s">
        <v>1366</v>
      </c>
      <c r="H14" s="498">
        <f>SUM(ModeloFinanciero!B59,ModeloFinanciero!B60,ModeloFinanciero!B61,ModeloFinanciero!B62,ModeloFinanciero!B63,ModeloFinanciero!B64)-ModeloFinanciero!B65</f>
        <v>0</v>
      </c>
      <c r="I14" s="498">
        <f>SUM(ModeloFinanciero!C59,ModeloFinanciero!C60,ModeloFinanciero!C61,ModeloFinanciero!C62,ModeloFinanciero!C63,ModeloFinanciero!C64)-ModeloFinanciero!C65</f>
        <v>0</v>
      </c>
      <c r="J14" s="498">
        <f>SUM(ModeloFinanciero!D59,ModeloFinanciero!D60,ModeloFinanciero!D61,ModeloFinanciero!D62,ModeloFinanciero!D63,ModeloFinanciero!D64)-ModeloFinanciero!D65</f>
        <v>0</v>
      </c>
      <c r="K14" s="498">
        <f>SUM(ModeloFinanciero!E59,ModeloFinanciero!E60,ModeloFinanciero!E61,ModeloFinanciero!E62,ModeloFinanciero!E63,ModeloFinanciero!E64)-ModeloFinanciero!E65</f>
        <v>0</v>
      </c>
      <c r="L14" s="498">
        <f>SUM(ModeloFinanciero!F59,ModeloFinanciero!F60,ModeloFinanciero!F61,ModeloFinanciero!F62,ModeloFinanciero!F63,ModeloFinanciero!F64)-ModeloFinanciero!F65</f>
        <v>0</v>
      </c>
      <c r="M14" s="504">
        <f>SUM(ModeloFinanciero!G59,ModeloFinanciero!G60,ModeloFinanciero!G61,ModeloFinanciero!G62,ModeloFinanciero!G63,ModeloFinanciero!G64)-ModeloFinanciero!G65</f>
        <v>0</v>
      </c>
      <c r="N14" s="498">
        <f>SUM(ModeloFinanciero!H59,ModeloFinanciero!H60,ModeloFinanciero!H61,ModeloFinanciero!H62,ModeloFinanciero!H63,ModeloFinanciero!H64)-ModeloFinanciero!H65</f>
        <v>0</v>
      </c>
      <c r="O14" s="498">
        <f>SUM(ModeloFinanciero!I59,ModeloFinanciero!I60,ModeloFinanciero!I61,ModeloFinanciero!I62,ModeloFinanciero!I63,ModeloFinanciero!I64)-ModeloFinanciero!I65</f>
        <v>0</v>
      </c>
      <c r="P14" s="498">
        <f>SUM(ModeloFinanciero!J59,ModeloFinanciero!J60,ModeloFinanciero!J61,ModeloFinanciero!J62,ModeloFinanciero!J63,ModeloFinanciero!J64)-ModeloFinanciero!J65</f>
        <v>0</v>
      </c>
      <c r="Q14" s="498">
        <f>SUM(ModeloFinanciero!K59,ModeloFinanciero!K60,ModeloFinanciero!K61,ModeloFinanciero!K62,ModeloFinanciero!K63,ModeloFinanciero!K64)-ModeloFinanciero!K65</f>
        <v>0</v>
      </c>
    </row>
    <row r="15">
      <c r="A15" s="514" t="s">
        <v>1367</v>
      </c>
      <c r="B15" s="514" t="s">
        <v>1355</v>
      </c>
      <c r="C15" s="501" t="str">
        <f>IF(SUMPRODUCT((ABS(H15:Q15)&gt;1000)*1)=0,"PASS","FAIL")</f>
        <v>PASS</v>
      </c>
      <c r="D15" s="514" t="s">
        <v>1343</v>
      </c>
      <c r="E15" s="514" t="s">
        <v>1344</v>
      </c>
      <c r="F15" s="514">
        <v>0</v>
      </c>
      <c r="G15" s="514" t="s">
        <v>1368</v>
      </c>
      <c r="H15" s="498">
        <f>SUM(ModeloFinanciero!B36,ModeloFinanciero!B37,ModeloFinanciero!B38,ModeloFinanciero!B39,ModeloFinanciero!B40,ModeloFinanciero!B41,ModeloFinanciero!B42,ModeloFinanciero!B43,ModeloFinanciero!B44,ModeloFinanciero!B45,ModeloFinanciero!B46)-ModeloFinanciero!B47</f>
        <v>0</v>
      </c>
      <c r="I15" s="498">
        <f>SUM(ModeloFinanciero!C36,ModeloFinanciero!C37,ModeloFinanciero!C38,ModeloFinanciero!C39,ModeloFinanciero!C40,ModeloFinanciero!C41,ModeloFinanciero!C42,ModeloFinanciero!C43,ModeloFinanciero!C44,ModeloFinanciero!C45,ModeloFinanciero!C46)-ModeloFinanciero!C47</f>
        <v>0</v>
      </c>
      <c r="J15" s="498">
        <f>SUM(ModeloFinanciero!D36,ModeloFinanciero!D37,ModeloFinanciero!D38,ModeloFinanciero!D39,ModeloFinanciero!D40,ModeloFinanciero!D41,ModeloFinanciero!D42,ModeloFinanciero!D43,ModeloFinanciero!D44,ModeloFinanciero!D45,ModeloFinanciero!D46)-ModeloFinanciero!D47</f>
        <v>0</v>
      </c>
      <c r="K15" s="498">
        <f>SUM(ModeloFinanciero!E36,ModeloFinanciero!E37,ModeloFinanciero!E38,ModeloFinanciero!E39,ModeloFinanciero!E40,ModeloFinanciero!E41,ModeloFinanciero!E42,ModeloFinanciero!E43,ModeloFinanciero!E44,ModeloFinanciero!E45,ModeloFinanciero!E46)-ModeloFinanciero!E47</f>
        <v>0</v>
      </c>
      <c r="L15" s="498">
        <f>SUM(ModeloFinanciero!F36,ModeloFinanciero!F37,ModeloFinanciero!F38,ModeloFinanciero!F39,ModeloFinanciero!F40,ModeloFinanciero!F41,ModeloFinanciero!F42,ModeloFinanciero!F43,ModeloFinanciero!F44,ModeloFinanciero!F45,ModeloFinanciero!F46)-ModeloFinanciero!F47</f>
        <v>0</v>
      </c>
      <c r="M15" s="504">
        <f>SUM(ModeloFinanciero!G36,ModeloFinanciero!G37,ModeloFinanciero!G38,ModeloFinanciero!G39,ModeloFinanciero!G40,ModeloFinanciero!G41,ModeloFinanciero!G42,ModeloFinanciero!G43,ModeloFinanciero!G44,ModeloFinanciero!G45,ModeloFinanciero!G46)-ModeloFinanciero!G47</f>
        <v>0</v>
      </c>
      <c r="N15" s="498">
        <f>SUM(ModeloFinanciero!H36,ModeloFinanciero!H37,ModeloFinanciero!H38,ModeloFinanciero!H39,ModeloFinanciero!H40,ModeloFinanciero!H41,ModeloFinanciero!H42,ModeloFinanciero!H43,ModeloFinanciero!H44,ModeloFinanciero!H45,ModeloFinanciero!H46)-ModeloFinanciero!H47</f>
        <v>0</v>
      </c>
      <c r="O15" s="498">
        <f>SUM(ModeloFinanciero!I36,ModeloFinanciero!I37,ModeloFinanciero!I38,ModeloFinanciero!I39,ModeloFinanciero!I40,ModeloFinanciero!I41,ModeloFinanciero!I42,ModeloFinanciero!I43,ModeloFinanciero!I44,ModeloFinanciero!I45,ModeloFinanciero!I46)-ModeloFinanciero!I47</f>
        <v>0</v>
      </c>
      <c r="P15" s="498">
        <f>SUM(ModeloFinanciero!J36,ModeloFinanciero!J37,ModeloFinanciero!J38,ModeloFinanciero!J39,ModeloFinanciero!J40,ModeloFinanciero!J41,ModeloFinanciero!J42,ModeloFinanciero!J43,ModeloFinanciero!J44,ModeloFinanciero!J45,ModeloFinanciero!J46)-ModeloFinanciero!J47</f>
        <v>0</v>
      </c>
      <c r="Q15" s="498">
        <f>SUM(ModeloFinanciero!K36,ModeloFinanciero!K37,ModeloFinanciero!K38,ModeloFinanciero!K39,ModeloFinanciero!K40,ModeloFinanciero!K41,ModeloFinanciero!K42,ModeloFinanciero!K43,ModeloFinanciero!K44,ModeloFinanciero!K45,ModeloFinanciero!K46)-ModeloFinanciero!K47</f>
        <v>0</v>
      </c>
    </row>
    <row r="16">
      <c r="A16" s="514" t="s">
        <v>1369</v>
      </c>
      <c r="B16" s="514" t="s">
        <v>1355</v>
      </c>
      <c r="C16" s="501" t="str">
        <f>IF(SUMPRODUCT((ABS(H16:Q16)&gt;1000)*1)=0,"PASS","FAIL")</f>
        <v>PASS</v>
      </c>
      <c r="D16" s="514" t="s">
        <v>1343</v>
      </c>
      <c r="E16" s="514" t="s">
        <v>1344</v>
      </c>
      <c r="F16" s="514">
        <v>0</v>
      </c>
      <c r="G16" s="514" t="s">
        <v>1370</v>
      </c>
      <c r="H16" s="498">
        <f>ModeloFinanciero!B58+ModeloFinanciero!B65-ModeloFinanciero!B66</f>
        <v>0</v>
      </c>
      <c r="I16" s="498">
        <f>ModeloFinanciero!C58+ModeloFinanciero!C65-ModeloFinanciero!C66</f>
        <v>0</v>
      </c>
      <c r="J16" s="498">
        <f>ModeloFinanciero!D58+ModeloFinanciero!D65-ModeloFinanciero!D66</f>
        <v>0</v>
      </c>
      <c r="K16" s="498">
        <f>ModeloFinanciero!E58+ModeloFinanciero!E65-ModeloFinanciero!E66</f>
        <v>0</v>
      </c>
      <c r="L16" s="498">
        <f>ModeloFinanciero!F58+ModeloFinanciero!F65-ModeloFinanciero!F66</f>
        <v>0</v>
      </c>
      <c r="M16" s="504">
        <f>ModeloFinanciero!G58+ModeloFinanciero!G65-ModeloFinanciero!G66</f>
        <v>0</v>
      </c>
      <c r="N16" s="498">
        <f>ModeloFinanciero!H58+ModeloFinanciero!H65-ModeloFinanciero!H66</f>
        <v>0</v>
      </c>
      <c r="O16" s="498">
        <f>ModeloFinanciero!I58+ModeloFinanciero!I65-ModeloFinanciero!I66</f>
        <v>0</v>
      </c>
      <c r="P16" s="498">
        <f>ModeloFinanciero!J58+ModeloFinanciero!J65-ModeloFinanciero!J66</f>
        <v>0</v>
      </c>
      <c r="Q16" s="498">
        <f>ModeloFinanciero!K58+ModeloFinanciero!K65-ModeloFinanciero!K66</f>
        <v>0</v>
      </c>
    </row>
    <row r="17">
      <c r="A17" s="514" t="s">
        <v>1371</v>
      </c>
      <c r="B17" s="514" t="s">
        <v>1372</v>
      </c>
      <c r="C17" s="501" t="str">
        <f>IF(SUMPRODUCT((ABS(H17:Q17)&gt;100000)*1)=0,"PASS","FAIL")</f>
        <v>PASS</v>
      </c>
      <c r="D17" s="514" t="s">
        <v>1343</v>
      </c>
      <c r="E17" s="514" t="s">
        <v>1373</v>
      </c>
      <c r="F17" s="514">
        <v>0</v>
      </c>
      <c r="G17" s="514" t="s">
        <v>1374</v>
      </c>
      <c r="H17" s="498">
        <f>ModeloFinanciero!B47-EEFF!B47</f>
        <v>0</v>
      </c>
      <c r="I17" s="498">
        <f>ModeloFinanciero!C47-EEFF!C47</f>
        <v>0</v>
      </c>
      <c r="J17" s="498">
        <f>ModeloFinanciero!D47-EEFF!D47</f>
        <v>0</v>
      </c>
      <c r="K17" s="498">
        <f>ModeloFinanciero!E47-EEFF!E47</f>
        <v>0</v>
      </c>
      <c r="L17" s="498">
        <f>ModeloFinanciero!F47-EEFF!F47</f>
        <v>0</v>
      </c>
      <c r="M17" s="506"/>
      <c r="N17" s="499"/>
      <c r="O17" s="499"/>
      <c r="P17" s="499"/>
      <c r="Q17" s="499"/>
    </row>
    <row r="18">
      <c r="A18" s="514" t="s">
        <v>1375</v>
      </c>
      <c r="B18" s="514" t="s">
        <v>1376</v>
      </c>
      <c r="C18" s="501" t="str">
        <f>IF(SUMPRODUCT((ABS(H18:Q18)&gt;0)*1)=0,"PASS","FAIL")</f>
        <v>PASS</v>
      </c>
      <c r="D18" s="514" t="s">
        <v>1343</v>
      </c>
      <c r="E18" s="514" t="s">
        <v>1377</v>
      </c>
      <c r="F18" s="514" t="s">
        <v>1377</v>
      </c>
      <c r="G18" s="514" t="s">
        <v>1378</v>
      </c>
      <c r="H18" s="499">
        <f>0</f>
        <v>0</v>
      </c>
      <c r="I18" s="499">
        <f>0</f>
        <v>0</v>
      </c>
      <c r="J18" s="499">
        <f>0</f>
        <v>0</v>
      </c>
      <c r="K18" s="499">
        <f>0</f>
        <v>0</v>
      </c>
      <c r="L18" s="499">
        <f>0</f>
        <v>0</v>
      </c>
      <c r="M18" s="506">
        <f>0</f>
        <v>0</v>
      </c>
      <c r="N18" s="499">
        <f>0</f>
        <v>0</v>
      </c>
      <c r="O18" s="499">
        <f>0</f>
        <v>0</v>
      </c>
      <c r="P18" s="499">
        <f>0</f>
        <v>0</v>
      </c>
      <c r="Q18" s="499">
        <f>0</f>
        <v>0</v>
      </c>
    </row>
    <row r="19">
      <c r="A19" s="514" t="s">
        <v>1379</v>
      </c>
      <c r="B19" s="514" t="s">
        <v>1380</v>
      </c>
      <c r="C19" s="501" t="str">
        <f>IF(SUMPRODUCT((ABS(H19:Q19)&gt;0)*1)=0,"PASS","FAIL")</f>
        <v>PASS</v>
      </c>
      <c r="D19" s="514" t="s">
        <v>1343</v>
      </c>
      <c r="E19" s="514" t="s">
        <v>1377</v>
      </c>
      <c r="F19" s="514" t="s">
        <v>1377</v>
      </c>
      <c r="G19" s="514" t="s">
        <v>1381</v>
      </c>
      <c r="H19" s="499">
        <f>COUNTIF($C$6:$C$18,"FAIL")+COUNTIF($C$20:$C$29,"FAIL")</f>
        <v>0</v>
      </c>
      <c r="I19" s="499">
        <f>COUNTIF($C$6:$C$18,"FAIL")+COUNTIF($C$20:$C$29,"FAIL")</f>
        <v>0</v>
      </c>
      <c r="J19" s="499">
        <f>COUNTIF($C$6:$C$18,"FAIL")+COUNTIF($C$20:$C$29,"FAIL")</f>
        <v>0</v>
      </c>
      <c r="K19" s="499">
        <f>COUNTIF($C$6:$C$18,"FAIL")+COUNTIF($C$20:$C$29,"FAIL")</f>
        <v>0</v>
      </c>
      <c r="L19" s="499">
        <f>COUNTIF($C$6:$C$18,"FAIL")+COUNTIF($C$20:$C$29,"FAIL")</f>
        <v>0</v>
      </c>
      <c r="M19" s="506">
        <f>COUNTIF($C$6:$C$18,"FAIL")+COUNTIF($C$20:$C$29,"FAIL")</f>
        <v>0</v>
      </c>
      <c r="N19" s="499">
        <f>COUNTIF($C$6:$C$18,"FAIL")+COUNTIF($C$20:$C$29,"FAIL")</f>
        <v>0</v>
      </c>
      <c r="O19" s="499">
        <f>COUNTIF($C$6:$C$18,"FAIL")+COUNTIF($C$20:$C$29,"FAIL")</f>
        <v>0</v>
      </c>
      <c r="P19" s="499">
        <f>COUNTIF($C$6:$C$18,"FAIL")+COUNTIF($C$20:$C$29,"FAIL")</f>
        <v>0</v>
      </c>
      <c r="Q19" s="499">
        <f>COUNTIF($C$6:$C$18,"FAIL")+COUNTIF($C$20:$C$29,"FAIL")</f>
        <v>0</v>
      </c>
    </row>
    <row r="20">
      <c r="A20" s="500"/>
      <c r="B20" s="500"/>
      <c r="C20" s="500"/>
      <c r="D20" s="500"/>
      <c r="E20" s="500"/>
      <c r="F20" s="500"/>
      <c r="G20" s="500"/>
      <c r="H20" s="500"/>
      <c r="I20" s="500"/>
      <c r="J20" s="500"/>
      <c r="K20" s="500"/>
      <c r="L20" s="500"/>
      <c r="M20" s="500"/>
      <c r="N20" s="500"/>
      <c r="O20" s="500"/>
      <c r="P20" s="500"/>
      <c r="Q20" s="500"/>
    </row>
    <row r="21">
      <c r="A21" s="518" t="s">
        <v>1382</v>
      </c>
      <c r="B21" s="497"/>
      <c r="C21" s="497"/>
      <c r="D21" s="497"/>
      <c r="E21" s="497"/>
      <c r="F21" s="497"/>
      <c r="G21" s="497"/>
      <c r="H21" s="497"/>
      <c r="I21" s="497"/>
      <c r="J21" s="497"/>
      <c r="K21" s="497"/>
      <c r="L21" s="497"/>
      <c r="M21" s="502"/>
      <c r="N21" s="502"/>
      <c r="O21" s="502"/>
      <c r="P21" s="502"/>
      <c r="Q21" s="502"/>
    </row>
    <row r="22">
      <c r="A22" s="514" t="s">
        <v>1383</v>
      </c>
      <c r="B22" s="514" t="s">
        <v>1384</v>
      </c>
      <c r="C22" s="501" t="s">
        <v>1359</v>
      </c>
      <c r="D22" s="514" t="s">
        <v>1343</v>
      </c>
      <c r="E22" s="514" t="s">
        <v>1344</v>
      </c>
      <c r="F22" s="514">
        <v>0</v>
      </c>
      <c r="G22" s="514" t="s">
        <v>1385</v>
      </c>
      <c r="H22" s="499">
        <f>0</f>
        <v>0</v>
      </c>
      <c r="I22" s="499">
        <f>0</f>
        <v>0</v>
      </c>
      <c r="J22" s="499">
        <f>0</f>
        <v>0</v>
      </c>
      <c r="K22" s="499">
        <f>0</f>
        <v>0</v>
      </c>
      <c r="L22" s="499">
        <f>0</f>
        <v>0</v>
      </c>
      <c r="M22" s="506">
        <f>0</f>
        <v>0</v>
      </c>
      <c r="N22" s="499">
        <f>0</f>
        <v>0</v>
      </c>
      <c r="O22" s="499">
        <f>0</f>
        <v>0</v>
      </c>
      <c r="P22" s="499">
        <f>0</f>
        <v>0</v>
      </c>
      <c r="Q22" s="499">
        <f>0</f>
        <v>0</v>
      </c>
    </row>
    <row r="23">
      <c r="A23" s="514" t="s">
        <v>1386</v>
      </c>
      <c r="B23" s="514" t="s">
        <v>1387</v>
      </c>
      <c r="C23" s="501" t="s">
        <v>1359</v>
      </c>
      <c r="D23" s="514" t="s">
        <v>1343</v>
      </c>
      <c r="E23" s="514" t="s">
        <v>1344</v>
      </c>
      <c r="F23" s="514">
        <v>0</v>
      </c>
      <c r="G23" s="514" t="s">
        <v>1388</v>
      </c>
      <c r="H23" s="499">
        <f>0</f>
        <v>0</v>
      </c>
      <c r="I23" s="499">
        <f>0</f>
        <v>0</v>
      </c>
      <c r="J23" s="499">
        <f>0</f>
        <v>0</v>
      </c>
      <c r="K23" s="499">
        <f>0</f>
        <v>0</v>
      </c>
      <c r="L23" s="499">
        <f>0</f>
        <v>0</v>
      </c>
      <c r="M23" s="506">
        <f>0</f>
        <v>0</v>
      </c>
      <c r="N23" s="499">
        <f>0</f>
        <v>0</v>
      </c>
      <c r="O23" s="499">
        <f>0</f>
        <v>0</v>
      </c>
      <c r="P23" s="499">
        <f>0</f>
        <v>0</v>
      </c>
      <c r="Q23" s="499">
        <f>0</f>
        <v>0</v>
      </c>
    </row>
    <row r="24">
      <c r="A24" s="500"/>
      <c r="B24" s="500"/>
      <c r="C24" s="500"/>
      <c r="D24" s="500"/>
      <c r="E24" s="500"/>
      <c r="F24" s="500"/>
      <c r="G24" s="500"/>
      <c r="H24" s="500"/>
      <c r="I24" s="500"/>
      <c r="J24" s="500"/>
      <c r="K24" s="500"/>
      <c r="L24" s="500"/>
      <c r="M24" s="500"/>
      <c r="N24" s="500"/>
      <c r="O24" s="500"/>
      <c r="P24" s="500"/>
      <c r="Q24" s="500"/>
    </row>
    <row r="25">
      <c r="A25" s="518" t="s">
        <v>1389</v>
      </c>
      <c r="B25" s="497"/>
      <c r="C25" s="497"/>
      <c r="D25" s="497"/>
      <c r="E25" s="497"/>
      <c r="F25" s="497"/>
      <c r="G25" s="497"/>
      <c r="H25" s="497"/>
      <c r="I25" s="497"/>
      <c r="J25" s="497"/>
      <c r="K25" s="497"/>
      <c r="L25" s="497"/>
      <c r="M25" s="502"/>
      <c r="N25" s="502"/>
      <c r="O25" s="502"/>
      <c r="P25" s="502"/>
      <c r="Q25" s="502"/>
    </row>
    <row r="26">
      <c r="A26" s="514" t="s">
        <v>1390</v>
      </c>
      <c r="B26" s="514" t="s">
        <v>1391</v>
      </c>
      <c r="C26" s="501" t="s">
        <v>1359</v>
      </c>
      <c r="D26" s="514" t="s">
        <v>1343</v>
      </c>
      <c r="E26" s="514" t="s">
        <v>1344</v>
      </c>
      <c r="F26" s="514">
        <v>0</v>
      </c>
      <c r="G26" s="514" t="s">
        <v>1392</v>
      </c>
      <c r="H26" s="499">
        <f>0</f>
        <v>0</v>
      </c>
      <c r="I26" s="499">
        <f>0</f>
        <v>0</v>
      </c>
      <c r="J26" s="499">
        <f>0</f>
        <v>0</v>
      </c>
      <c r="K26" s="499">
        <f>0</f>
        <v>0</v>
      </c>
      <c r="L26" s="499">
        <f>0</f>
        <v>0</v>
      </c>
      <c r="M26" s="506">
        <f>0</f>
        <v>0</v>
      </c>
      <c r="N26" s="499">
        <f>0</f>
        <v>0</v>
      </c>
      <c r="O26" s="499">
        <f>0</f>
        <v>0</v>
      </c>
      <c r="P26" s="499">
        <f>0</f>
        <v>0</v>
      </c>
      <c r="Q26" s="499">
        <f>0</f>
        <v>0</v>
      </c>
    </row>
    <row r="27">
      <c r="A27" s="514" t="s">
        <v>1393</v>
      </c>
      <c r="B27" s="514" t="s">
        <v>1394</v>
      </c>
      <c r="C27" s="501" t="s">
        <v>1359</v>
      </c>
      <c r="D27" s="514" t="s">
        <v>1343</v>
      </c>
      <c r="E27" s="514" t="s">
        <v>1344</v>
      </c>
      <c r="F27" s="514">
        <v>0</v>
      </c>
      <c r="G27" s="514" t="s">
        <v>1395</v>
      </c>
      <c r="H27" s="499">
        <f>0</f>
        <v>0</v>
      </c>
      <c r="I27" s="499">
        <f>0</f>
        <v>0</v>
      </c>
      <c r="J27" s="499">
        <f>0</f>
        <v>0</v>
      </c>
      <c r="K27" s="499">
        <f>0</f>
        <v>0</v>
      </c>
      <c r="L27" s="499">
        <f>0</f>
        <v>0</v>
      </c>
      <c r="M27" s="506">
        <f>0</f>
        <v>0</v>
      </c>
      <c r="N27" s="499">
        <f>0</f>
        <v>0</v>
      </c>
      <c r="O27" s="499">
        <f>0</f>
        <v>0</v>
      </c>
      <c r="P27" s="499">
        <f>0</f>
        <v>0</v>
      </c>
      <c r="Q27" s="499">
        <f>0</f>
        <v>0</v>
      </c>
    </row>
    <row r="28">
      <c r="A28" s="514" t="s">
        <v>1396</v>
      </c>
      <c r="B28" s="514" t="s">
        <v>1397</v>
      </c>
      <c r="C28" s="501" t="s">
        <v>1359</v>
      </c>
      <c r="D28" s="514" t="s">
        <v>1343</v>
      </c>
      <c r="E28" s="514" t="s">
        <v>1344</v>
      </c>
      <c r="F28" s="514">
        <v>0</v>
      </c>
      <c r="G28" s="514" t="s">
        <v>1398</v>
      </c>
      <c r="H28" s="499">
        <f>0</f>
        <v>0</v>
      </c>
      <c r="I28" s="499">
        <f>0</f>
        <v>0</v>
      </c>
      <c r="J28" s="499">
        <f>0</f>
        <v>0</v>
      </c>
      <c r="K28" s="499">
        <f>0</f>
        <v>0</v>
      </c>
      <c r="L28" s="499">
        <f>0</f>
        <v>0</v>
      </c>
      <c r="M28" s="506">
        <f>0</f>
        <v>0</v>
      </c>
      <c r="N28" s="499">
        <f>0</f>
        <v>0</v>
      </c>
      <c r="O28" s="499">
        <f>0</f>
        <v>0</v>
      </c>
      <c r="P28" s="499">
        <f>0</f>
        <v>0</v>
      </c>
      <c r="Q28" s="499">
        <f>0</f>
        <v>0</v>
      </c>
    </row>
    <row r="29">
      <c r="A29" s="514" t="s">
        <v>1399</v>
      </c>
      <c r="B29" s="514" t="s">
        <v>1400</v>
      </c>
      <c r="C29" s="501" t="s">
        <v>1359</v>
      </c>
      <c r="D29" s="514" t="s">
        <v>1343</v>
      </c>
      <c r="E29" s="514" t="s">
        <v>1401</v>
      </c>
      <c r="F29" s="514" t="s">
        <v>1402</v>
      </c>
      <c r="G29" s="514" t="s">
        <v>1403</v>
      </c>
      <c r="H29" s="499">
        <f>0</f>
        <v>0</v>
      </c>
      <c r="I29" s="499">
        <f>0</f>
        <v>0</v>
      </c>
      <c r="J29" s="499">
        <f>0</f>
        <v>0</v>
      </c>
      <c r="K29" s="499">
        <f>0</f>
        <v>0</v>
      </c>
      <c r="L29" s="499">
        <f>0</f>
        <v>0</v>
      </c>
      <c r="M29" s="506">
        <f>0</f>
        <v>0</v>
      </c>
      <c r="N29" s="499">
        <f>0</f>
        <v>0</v>
      </c>
      <c r="O29" s="499">
        <f>0</f>
        <v>0</v>
      </c>
      <c r="P29" s="499">
        <f>0</f>
        <v>0</v>
      </c>
      <c r="Q29" s="499">
        <f>0</f>
        <v>0</v>
      </c>
    </row>
  </sheetData>
</worksheet>
</file>

<file path=xl/worksheets/sheet6.xml><?xml version="1.0" encoding="utf-8"?>
<worksheet xmlns="http://schemas.openxmlformats.org/spreadsheetml/2006/main" xmlns:r="http://schemas.openxmlformats.org/officeDocument/2006/relationships">
  <dimension ref="A1:M67"/>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512" t="s">
        <v>0</v>
      </c>
      <c r="B1" s="509"/>
      <c r="C1" s="509"/>
      <c r="D1" s="509"/>
      <c r="E1" s="509"/>
      <c r="F1" s="509"/>
      <c r="G1" s="509"/>
      <c r="H1" s="509"/>
      <c r="I1" s="509"/>
      <c r="J1" s="509"/>
      <c r="K1" s="509"/>
      <c r="L1" s="509"/>
      <c r="M1" s="509"/>
    </row>
    <row r="2">
      <c r="A2" s="509" t="s">
        <v>1404</v>
      </c>
      <c r="B2" s="509"/>
      <c r="C2" s="509"/>
      <c r="D2" s="509"/>
      <c r="E2" s="509"/>
      <c r="F2" s="509"/>
      <c r="G2" s="509"/>
      <c r="H2" s="509"/>
      <c r="I2" s="509"/>
      <c r="J2" s="509"/>
      <c r="K2" s="509"/>
      <c r="L2" s="509"/>
      <c r="M2" s="509"/>
    </row>
    <row r="3">
      <c r="A3" s="509" t="s">
        <v>1405</v>
      </c>
      <c r="B3" s="509"/>
      <c r="C3" s="509"/>
      <c r="D3" s="509"/>
      <c r="E3" s="509"/>
      <c r="F3" s="509"/>
      <c r="G3" s="509"/>
      <c r="H3" s="509"/>
      <c r="I3" s="509"/>
      <c r="J3" s="509"/>
      <c r="K3" s="509"/>
      <c r="L3" s="509"/>
      <c r="M3" s="509"/>
    </row>
    <row r="4">
      <c r="A4" s="510" t="s">
        <v>1406</v>
      </c>
      <c r="B4" s="510" t="s">
        <v>1407</v>
      </c>
      <c r="C4" s="510" t="s">
        <v>1408</v>
      </c>
      <c r="D4" s="510" t="s">
        <v>1409</v>
      </c>
      <c r="E4" s="510" t="s">
        <v>1410</v>
      </c>
      <c r="F4" s="510" t="s">
        <v>1411</v>
      </c>
      <c r="G4" s="510" t="s">
        <v>1412</v>
      </c>
      <c r="H4" s="510" t="s">
        <v>1413</v>
      </c>
      <c r="I4" s="510" t="s">
        <v>1414</v>
      </c>
      <c r="J4" s="510" t="s">
        <v>1415</v>
      </c>
      <c r="K4" s="510" t="s">
        <v>1335</v>
      </c>
      <c r="L4" s="510" t="s">
        <v>1416</v>
      </c>
      <c r="M4" s="510" t="s">
        <v>1339</v>
      </c>
    </row>
    <row r="5">
      <c r="A5" s="509" t="s">
        <v>1417</v>
      </c>
      <c r="B5" s="509" t="s">
        <v>1418</v>
      </c>
      <c r="C5" s="509" t="s">
        <v>1419</v>
      </c>
      <c r="D5" s="509"/>
      <c r="E5" s="509"/>
      <c r="F5" s="509"/>
      <c r="G5" s="509"/>
      <c r="H5" s="509" t="s">
        <v>1420</v>
      </c>
      <c r="I5" s="509" t="s">
        <v>1421</v>
      </c>
      <c r="J5" s="509" t="s">
        <v>1296</v>
      </c>
      <c r="K5" s="513" t="s">
        <v>132</v>
      </c>
      <c r="L5" s="509" t="s">
        <v>143</v>
      </c>
      <c r="M5" s="509" t="s">
        <v>1422</v>
      </c>
    </row>
    <row r="6">
      <c r="A6" s="509" t="s">
        <v>1423</v>
      </c>
      <c r="B6" s="509" t="s">
        <v>1424</v>
      </c>
      <c r="C6" s="509" t="s">
        <v>1419</v>
      </c>
      <c r="D6" s="509" t="s">
        <v>126</v>
      </c>
      <c r="E6" s="509" t="s">
        <v>125</v>
      </c>
      <c r="F6" s="509"/>
      <c r="G6" s="509" t="s">
        <v>128</v>
      </c>
      <c r="H6" s="509" t="s">
        <v>1425</v>
      </c>
      <c r="I6" s="509" t="s">
        <v>1426</v>
      </c>
      <c r="J6" s="509" t="s">
        <v>1427</v>
      </c>
      <c r="K6" s="513" t="s">
        <v>132</v>
      </c>
      <c r="L6" s="509" t="s">
        <v>1428</v>
      </c>
      <c r="M6" s="509" t="s">
        <v>1429</v>
      </c>
    </row>
    <row r="7">
      <c r="A7" s="509" t="s">
        <v>1430</v>
      </c>
      <c r="B7" s="509" t="s">
        <v>1424</v>
      </c>
      <c r="C7" s="509" t="s">
        <v>1419</v>
      </c>
      <c r="D7" s="509" t="s">
        <v>861</v>
      </c>
      <c r="E7" s="509" t="s">
        <v>860</v>
      </c>
      <c r="F7" s="509"/>
      <c r="G7" s="509" t="s">
        <v>128</v>
      </c>
      <c r="H7" s="509" t="s">
        <v>1425</v>
      </c>
      <c r="I7" s="509" t="s">
        <v>1426</v>
      </c>
      <c r="J7" s="509" t="s">
        <v>1431</v>
      </c>
      <c r="K7" s="513" t="s">
        <v>132</v>
      </c>
      <c r="L7" s="509" t="s">
        <v>1432</v>
      </c>
      <c r="M7" s="509" t="s">
        <v>1433</v>
      </c>
    </row>
    <row r="8">
      <c r="A8" s="509" t="s">
        <v>1434</v>
      </c>
      <c r="B8" s="509" t="s">
        <v>1424</v>
      </c>
      <c r="C8" s="509" t="s">
        <v>1419</v>
      </c>
      <c r="D8" s="509" t="s">
        <v>1067</v>
      </c>
      <c r="E8" s="509" t="s">
        <v>1066</v>
      </c>
      <c r="F8" s="509"/>
      <c r="G8" s="509" t="s">
        <v>128</v>
      </c>
      <c r="H8" s="509" t="s">
        <v>1425</v>
      </c>
      <c r="I8" s="509" t="s">
        <v>1426</v>
      </c>
      <c r="J8" s="509" t="s">
        <v>1435</v>
      </c>
      <c r="K8" s="513" t="s">
        <v>132</v>
      </c>
      <c r="L8" s="509" t="s">
        <v>1436</v>
      </c>
      <c r="M8" s="509" t="s">
        <v>1437</v>
      </c>
    </row>
    <row r="9">
      <c r="A9" s="509" t="s">
        <v>1438</v>
      </c>
      <c r="B9" s="509" t="s">
        <v>1424</v>
      </c>
      <c r="C9" s="509" t="s">
        <v>1419</v>
      </c>
      <c r="D9" s="509" t="s">
        <v>1244</v>
      </c>
      <c r="E9" s="509" t="s">
        <v>1243</v>
      </c>
      <c r="F9" s="509"/>
      <c r="G9" s="509" t="s">
        <v>128</v>
      </c>
      <c r="H9" s="509" t="s">
        <v>1425</v>
      </c>
      <c r="I9" s="509" t="s">
        <v>1426</v>
      </c>
      <c r="J9" s="509" t="s">
        <v>1439</v>
      </c>
      <c r="K9" s="513" t="s">
        <v>132</v>
      </c>
      <c r="L9" s="509" t="s">
        <v>1440</v>
      </c>
      <c r="M9" s="509" t="s">
        <v>1441</v>
      </c>
    </row>
    <row r="10">
      <c r="A10" s="509" t="s">
        <v>1442</v>
      </c>
      <c r="B10" s="509" t="s">
        <v>1424</v>
      </c>
      <c r="C10" s="509" t="s">
        <v>1419</v>
      </c>
      <c r="D10" s="509" t="s">
        <v>1443</v>
      </c>
      <c r="E10" s="509"/>
      <c r="F10" s="509"/>
      <c r="G10" s="509" t="s">
        <v>128</v>
      </c>
      <c r="H10" s="509" t="s">
        <v>1425</v>
      </c>
      <c r="I10" s="509" t="s">
        <v>128</v>
      </c>
      <c r="J10" s="509" t="s">
        <v>1296</v>
      </c>
      <c r="K10" s="513" t="s">
        <v>132</v>
      </c>
      <c r="L10" s="509" t="s">
        <v>1444</v>
      </c>
      <c r="M10" s="509" t="s">
        <v>1445</v>
      </c>
    </row>
    <row r="11">
      <c r="A11" s="509" t="s">
        <v>1446</v>
      </c>
      <c r="B11" s="509" t="s">
        <v>1447</v>
      </c>
      <c r="C11" s="509" t="s">
        <v>1419</v>
      </c>
      <c r="D11" s="509" t="s">
        <v>126</v>
      </c>
      <c r="E11" s="509" t="s">
        <v>125</v>
      </c>
      <c r="F11" s="509" t="s">
        <v>129</v>
      </c>
      <c r="G11" s="509" t="s">
        <v>128</v>
      </c>
      <c r="H11" s="509" t="s">
        <v>1448</v>
      </c>
      <c r="I11" s="509" t="s">
        <v>130</v>
      </c>
      <c r="J11" s="509" t="s">
        <v>1427</v>
      </c>
      <c r="K11" s="513" t="s">
        <v>132</v>
      </c>
      <c r="L11" s="509" t="s">
        <v>645</v>
      </c>
      <c r="M11" s="509"/>
    </row>
    <row r="12">
      <c r="A12" s="509" t="s">
        <v>1449</v>
      </c>
      <c r="B12" s="509" t="s">
        <v>1447</v>
      </c>
      <c r="C12" s="509" t="s">
        <v>1419</v>
      </c>
      <c r="D12" s="509" t="s">
        <v>126</v>
      </c>
      <c r="E12" s="509" t="s">
        <v>125</v>
      </c>
      <c r="F12" s="509" t="s">
        <v>516</v>
      </c>
      <c r="G12" s="509" t="s">
        <v>1450</v>
      </c>
      <c r="H12" s="509" t="s">
        <v>1448</v>
      </c>
      <c r="I12" s="509" t="s">
        <v>517</v>
      </c>
      <c r="J12" s="509" t="s">
        <v>1427</v>
      </c>
      <c r="K12" s="513" t="s">
        <v>132</v>
      </c>
      <c r="L12" s="509" t="s">
        <v>143</v>
      </c>
      <c r="M12" s="509"/>
    </row>
    <row r="13">
      <c r="A13" s="509" t="s">
        <v>1451</v>
      </c>
      <c r="B13" s="509" t="s">
        <v>1447</v>
      </c>
      <c r="C13" s="509" t="s">
        <v>1419</v>
      </c>
      <c r="D13" s="509" t="s">
        <v>126</v>
      </c>
      <c r="E13" s="509" t="s">
        <v>125</v>
      </c>
      <c r="F13" s="509" t="s">
        <v>521</v>
      </c>
      <c r="G13" s="509" t="s">
        <v>1452</v>
      </c>
      <c r="H13" s="509" t="s">
        <v>1448</v>
      </c>
      <c r="I13" s="509" t="s">
        <v>522</v>
      </c>
      <c r="J13" s="509" t="s">
        <v>1427</v>
      </c>
      <c r="K13" s="513" t="s">
        <v>132</v>
      </c>
      <c r="L13" s="509" t="s">
        <v>167</v>
      </c>
      <c r="M13" s="509"/>
    </row>
    <row r="14">
      <c r="A14" s="509" t="s">
        <v>1453</v>
      </c>
      <c r="B14" s="509" t="s">
        <v>1447</v>
      </c>
      <c r="C14" s="509" t="s">
        <v>1419</v>
      </c>
      <c r="D14" s="509" t="s">
        <v>126</v>
      </c>
      <c r="E14" s="509" t="s">
        <v>125</v>
      </c>
      <c r="F14" s="509" t="s">
        <v>529</v>
      </c>
      <c r="G14" s="509" t="s">
        <v>1454</v>
      </c>
      <c r="H14" s="509" t="s">
        <v>1448</v>
      </c>
      <c r="I14" s="509" t="s">
        <v>530</v>
      </c>
      <c r="J14" s="509" t="s">
        <v>1427</v>
      </c>
      <c r="K14" s="513" t="s">
        <v>132</v>
      </c>
      <c r="L14" s="509" t="s">
        <v>497</v>
      </c>
      <c r="M14" s="509"/>
    </row>
    <row r="15">
      <c r="A15" s="509" t="s">
        <v>1455</v>
      </c>
      <c r="B15" s="509" t="s">
        <v>1447</v>
      </c>
      <c r="C15" s="509" t="s">
        <v>1419</v>
      </c>
      <c r="D15" s="509" t="s">
        <v>126</v>
      </c>
      <c r="E15" s="509" t="s">
        <v>125</v>
      </c>
      <c r="F15" s="509" t="s">
        <v>544</v>
      </c>
      <c r="G15" s="509" t="s">
        <v>1456</v>
      </c>
      <c r="H15" s="509" t="s">
        <v>1448</v>
      </c>
      <c r="I15" s="509" t="s">
        <v>545</v>
      </c>
      <c r="J15" s="509" t="s">
        <v>1427</v>
      </c>
      <c r="K15" s="513" t="s">
        <v>132</v>
      </c>
      <c r="L15" s="509" t="s">
        <v>167</v>
      </c>
      <c r="M15" s="509"/>
    </row>
    <row r="16">
      <c r="A16" s="509" t="s">
        <v>1457</v>
      </c>
      <c r="B16" s="509" t="s">
        <v>1447</v>
      </c>
      <c r="C16" s="509" t="s">
        <v>1419</v>
      </c>
      <c r="D16" s="509" t="s">
        <v>126</v>
      </c>
      <c r="E16" s="509" t="s">
        <v>125</v>
      </c>
      <c r="F16" s="509" t="s">
        <v>550</v>
      </c>
      <c r="G16" s="509" t="s">
        <v>128</v>
      </c>
      <c r="H16" s="509" t="s">
        <v>1448</v>
      </c>
      <c r="I16" s="509" t="s">
        <v>551</v>
      </c>
      <c r="J16" s="509" t="s">
        <v>1427</v>
      </c>
      <c r="K16" s="513" t="s">
        <v>132</v>
      </c>
      <c r="L16" s="509" t="s">
        <v>129</v>
      </c>
      <c r="M16" s="509"/>
    </row>
    <row r="17">
      <c r="A17" s="509" t="s">
        <v>1458</v>
      </c>
      <c r="B17" s="509" t="s">
        <v>1447</v>
      </c>
      <c r="C17" s="509" t="s">
        <v>1419</v>
      </c>
      <c r="D17" s="509" t="s">
        <v>126</v>
      </c>
      <c r="E17" s="509" t="s">
        <v>125</v>
      </c>
      <c r="F17" s="509" t="s">
        <v>553</v>
      </c>
      <c r="G17" s="509" t="s">
        <v>1459</v>
      </c>
      <c r="H17" s="509" t="s">
        <v>1448</v>
      </c>
      <c r="I17" s="509" t="s">
        <v>554</v>
      </c>
      <c r="J17" s="509" t="s">
        <v>1427</v>
      </c>
      <c r="K17" s="513" t="s">
        <v>132</v>
      </c>
      <c r="L17" s="509" t="s">
        <v>470</v>
      </c>
      <c r="M17" s="509"/>
    </row>
    <row r="18">
      <c r="A18" s="509" t="s">
        <v>1460</v>
      </c>
      <c r="B18" s="509" t="s">
        <v>1447</v>
      </c>
      <c r="C18" s="509" t="s">
        <v>1419</v>
      </c>
      <c r="D18" s="509" t="s">
        <v>126</v>
      </c>
      <c r="E18" s="509" t="s">
        <v>125</v>
      </c>
      <c r="F18" s="509" t="s">
        <v>566</v>
      </c>
      <c r="G18" s="509" t="s">
        <v>1461</v>
      </c>
      <c r="H18" s="509" t="s">
        <v>1448</v>
      </c>
      <c r="I18" s="509" t="s">
        <v>567</v>
      </c>
      <c r="J18" s="509" t="s">
        <v>1427</v>
      </c>
      <c r="K18" s="513" t="s">
        <v>132</v>
      </c>
      <c r="L18" s="509" t="s">
        <v>497</v>
      </c>
      <c r="M18" s="509"/>
    </row>
    <row r="19">
      <c r="A19" s="509" t="s">
        <v>1462</v>
      </c>
      <c r="B19" s="509" t="s">
        <v>1447</v>
      </c>
      <c r="C19" s="509" t="s">
        <v>1419</v>
      </c>
      <c r="D19" s="509" t="s">
        <v>126</v>
      </c>
      <c r="E19" s="509" t="s">
        <v>125</v>
      </c>
      <c r="F19" s="509" t="s">
        <v>580</v>
      </c>
      <c r="G19" s="509" t="s">
        <v>1463</v>
      </c>
      <c r="H19" s="509" t="s">
        <v>1448</v>
      </c>
      <c r="I19" s="509" t="s">
        <v>581</v>
      </c>
      <c r="J19" s="509" t="s">
        <v>1427</v>
      </c>
      <c r="K19" s="513" t="s">
        <v>132</v>
      </c>
      <c r="L19" s="509" t="s">
        <v>360</v>
      </c>
      <c r="M19" s="509"/>
    </row>
    <row r="20">
      <c r="A20" s="509" t="s">
        <v>1464</v>
      </c>
      <c r="B20" s="509" t="s">
        <v>1447</v>
      </c>
      <c r="C20" s="509" t="s">
        <v>1419</v>
      </c>
      <c r="D20" s="509" t="s">
        <v>126</v>
      </c>
      <c r="E20" s="509" t="s">
        <v>125</v>
      </c>
      <c r="F20" s="509" t="s">
        <v>590</v>
      </c>
      <c r="G20" s="509" t="s">
        <v>1465</v>
      </c>
      <c r="H20" s="509" t="s">
        <v>1448</v>
      </c>
      <c r="I20" s="509" t="s">
        <v>591</v>
      </c>
      <c r="J20" s="509" t="s">
        <v>1427</v>
      </c>
      <c r="K20" s="513" t="s">
        <v>132</v>
      </c>
      <c r="L20" s="509" t="s">
        <v>626</v>
      </c>
      <c r="M20" s="509"/>
    </row>
    <row r="21">
      <c r="A21" s="509" t="s">
        <v>1466</v>
      </c>
      <c r="B21" s="509" t="s">
        <v>1447</v>
      </c>
      <c r="C21" s="509" t="s">
        <v>1419</v>
      </c>
      <c r="D21" s="509" t="s">
        <v>126</v>
      </c>
      <c r="E21" s="509" t="s">
        <v>125</v>
      </c>
      <c r="F21" s="509" t="s">
        <v>621</v>
      </c>
      <c r="G21" s="509" t="s">
        <v>1467</v>
      </c>
      <c r="H21" s="509" t="s">
        <v>1448</v>
      </c>
      <c r="I21" s="509" t="s">
        <v>622</v>
      </c>
      <c r="J21" s="509" t="s">
        <v>1427</v>
      </c>
      <c r="K21" s="513" t="s">
        <v>132</v>
      </c>
      <c r="L21" s="509" t="s">
        <v>143</v>
      </c>
      <c r="M21" s="509"/>
    </row>
    <row r="22">
      <c r="A22" s="509" t="s">
        <v>1468</v>
      </c>
      <c r="B22" s="509" t="s">
        <v>1447</v>
      </c>
      <c r="C22" s="509" t="s">
        <v>1419</v>
      </c>
      <c r="D22" s="509" t="s">
        <v>126</v>
      </c>
      <c r="E22" s="509" t="s">
        <v>125</v>
      </c>
      <c r="F22" s="509" t="s">
        <v>143</v>
      </c>
      <c r="G22" s="509" t="s">
        <v>128</v>
      </c>
      <c r="H22" s="509" t="s">
        <v>1448</v>
      </c>
      <c r="I22" s="509" t="s">
        <v>144</v>
      </c>
      <c r="J22" s="509" t="s">
        <v>1427</v>
      </c>
      <c r="K22" s="513" t="s">
        <v>132</v>
      </c>
      <c r="L22" s="509" t="s">
        <v>1000</v>
      </c>
      <c r="M22" s="509"/>
    </row>
    <row r="23">
      <c r="A23" s="509" t="s">
        <v>1469</v>
      </c>
      <c r="B23" s="509" t="s">
        <v>1447</v>
      </c>
      <c r="C23" s="509" t="s">
        <v>1419</v>
      </c>
      <c r="D23" s="509" t="s">
        <v>126</v>
      </c>
      <c r="E23" s="509" t="s">
        <v>125</v>
      </c>
      <c r="F23" s="509" t="s">
        <v>626</v>
      </c>
      <c r="G23" s="509" t="s">
        <v>1470</v>
      </c>
      <c r="H23" s="509" t="s">
        <v>1448</v>
      </c>
      <c r="I23" s="509" t="s">
        <v>627</v>
      </c>
      <c r="J23" s="509" t="s">
        <v>1427</v>
      </c>
      <c r="K23" s="513" t="s">
        <v>132</v>
      </c>
      <c r="L23" s="509" t="s">
        <v>167</v>
      </c>
      <c r="M23" s="509"/>
    </row>
    <row r="24">
      <c r="A24" s="509" t="s">
        <v>1471</v>
      </c>
      <c r="B24" s="509" t="s">
        <v>1447</v>
      </c>
      <c r="C24" s="509" t="s">
        <v>1419</v>
      </c>
      <c r="D24" s="509" t="s">
        <v>126</v>
      </c>
      <c r="E24" s="509" t="s">
        <v>125</v>
      </c>
      <c r="F24" s="509" t="s">
        <v>633</v>
      </c>
      <c r="G24" s="509" t="s">
        <v>1472</v>
      </c>
      <c r="H24" s="509" t="s">
        <v>1448</v>
      </c>
      <c r="I24" s="509" t="s">
        <v>634</v>
      </c>
      <c r="J24" s="509" t="s">
        <v>1427</v>
      </c>
      <c r="K24" s="513" t="s">
        <v>132</v>
      </c>
      <c r="L24" s="509" t="s">
        <v>466</v>
      </c>
      <c r="M24" s="509"/>
    </row>
    <row r="25">
      <c r="A25" s="509" t="s">
        <v>1473</v>
      </c>
      <c r="B25" s="509" t="s">
        <v>1447</v>
      </c>
      <c r="C25" s="509" t="s">
        <v>1419</v>
      </c>
      <c r="D25" s="509" t="s">
        <v>126</v>
      </c>
      <c r="E25" s="509" t="s">
        <v>125</v>
      </c>
      <c r="F25" s="509" t="s">
        <v>645</v>
      </c>
      <c r="G25" s="509" t="s">
        <v>1474</v>
      </c>
      <c r="H25" s="509" t="s">
        <v>1448</v>
      </c>
      <c r="I25" s="509" t="s">
        <v>646</v>
      </c>
      <c r="J25" s="509" t="s">
        <v>1427</v>
      </c>
      <c r="K25" s="513" t="s">
        <v>132</v>
      </c>
      <c r="L25" s="509" t="s">
        <v>505</v>
      </c>
      <c r="M25" s="509"/>
    </row>
    <row r="26">
      <c r="A26" s="509" t="s">
        <v>1475</v>
      </c>
      <c r="B26" s="509" t="s">
        <v>1447</v>
      </c>
      <c r="C26" s="509" t="s">
        <v>1419</v>
      </c>
      <c r="D26" s="509" t="s">
        <v>126</v>
      </c>
      <c r="E26" s="509" t="s">
        <v>125</v>
      </c>
      <c r="F26" s="509" t="s">
        <v>662</v>
      </c>
      <c r="G26" s="509" t="s">
        <v>1476</v>
      </c>
      <c r="H26" s="509" t="s">
        <v>1448</v>
      </c>
      <c r="I26" s="509" t="s">
        <v>663</v>
      </c>
      <c r="J26" s="509" t="s">
        <v>1427</v>
      </c>
      <c r="K26" s="513" t="s">
        <v>132</v>
      </c>
      <c r="L26" s="509" t="s">
        <v>1477</v>
      </c>
      <c r="M26" s="509"/>
    </row>
    <row r="27">
      <c r="A27" s="509" t="s">
        <v>1478</v>
      </c>
      <c r="B27" s="509" t="s">
        <v>1447</v>
      </c>
      <c r="C27" s="509" t="s">
        <v>1419</v>
      </c>
      <c r="D27" s="509" t="s">
        <v>126</v>
      </c>
      <c r="E27" s="509" t="s">
        <v>125</v>
      </c>
      <c r="F27" s="509" t="s">
        <v>167</v>
      </c>
      <c r="G27" s="509" t="s">
        <v>128</v>
      </c>
      <c r="H27" s="509" t="s">
        <v>1448</v>
      </c>
      <c r="I27" s="509" t="s">
        <v>168</v>
      </c>
      <c r="J27" s="509" t="s">
        <v>1427</v>
      </c>
      <c r="K27" s="513" t="s">
        <v>132</v>
      </c>
      <c r="L27" s="509" t="s">
        <v>1479</v>
      </c>
      <c r="M27" s="509"/>
    </row>
    <row r="28">
      <c r="A28" s="509" t="s">
        <v>1480</v>
      </c>
      <c r="B28" s="509" t="s">
        <v>1447</v>
      </c>
      <c r="C28" s="509" t="s">
        <v>1419</v>
      </c>
      <c r="D28" s="509" t="s">
        <v>126</v>
      </c>
      <c r="E28" s="509" t="s">
        <v>125</v>
      </c>
      <c r="F28" s="509" t="s">
        <v>317</v>
      </c>
      <c r="G28" s="509" t="s">
        <v>1481</v>
      </c>
      <c r="H28" s="509" t="s">
        <v>1448</v>
      </c>
      <c r="I28" s="509" t="s">
        <v>318</v>
      </c>
      <c r="J28" s="509" t="s">
        <v>1427</v>
      </c>
      <c r="K28" s="513" t="s">
        <v>132</v>
      </c>
      <c r="L28" s="509" t="s">
        <v>1482</v>
      </c>
      <c r="M28" s="509"/>
    </row>
    <row r="29">
      <c r="A29" s="509" t="s">
        <v>1483</v>
      </c>
      <c r="B29" s="509" t="s">
        <v>1447</v>
      </c>
      <c r="C29" s="509" t="s">
        <v>1419</v>
      </c>
      <c r="D29" s="509" t="s">
        <v>126</v>
      </c>
      <c r="E29" s="509" t="s">
        <v>125</v>
      </c>
      <c r="F29" s="509" t="s">
        <v>360</v>
      </c>
      <c r="G29" s="509" t="s">
        <v>1484</v>
      </c>
      <c r="H29" s="509" t="s">
        <v>1448</v>
      </c>
      <c r="I29" s="509" t="s">
        <v>361</v>
      </c>
      <c r="J29" s="509" t="s">
        <v>1427</v>
      </c>
      <c r="K29" s="513" t="s">
        <v>132</v>
      </c>
      <c r="L29" s="509" t="s">
        <v>1485</v>
      </c>
      <c r="M29" s="509"/>
    </row>
    <row r="30">
      <c r="A30" s="509" t="s">
        <v>1486</v>
      </c>
      <c r="B30" s="509" t="s">
        <v>1447</v>
      </c>
      <c r="C30" s="509" t="s">
        <v>1419</v>
      </c>
      <c r="D30" s="509" t="s">
        <v>126</v>
      </c>
      <c r="E30" s="509" t="s">
        <v>125</v>
      </c>
      <c r="F30" s="509" t="s">
        <v>466</v>
      </c>
      <c r="G30" s="509" t="s">
        <v>1487</v>
      </c>
      <c r="H30" s="509" t="s">
        <v>1448</v>
      </c>
      <c r="I30" s="509" t="s">
        <v>795</v>
      </c>
      <c r="J30" s="509" t="s">
        <v>1427</v>
      </c>
      <c r="K30" s="513" t="s">
        <v>132</v>
      </c>
      <c r="L30" s="509" t="s">
        <v>167</v>
      </c>
      <c r="M30" s="509"/>
    </row>
    <row r="31">
      <c r="A31" s="509" t="s">
        <v>1488</v>
      </c>
      <c r="B31" s="509" t="s">
        <v>1447</v>
      </c>
      <c r="C31" s="509" t="s">
        <v>1419</v>
      </c>
      <c r="D31" s="509" t="s">
        <v>126</v>
      </c>
      <c r="E31" s="509" t="s">
        <v>125</v>
      </c>
      <c r="F31" s="509" t="s">
        <v>470</v>
      </c>
      <c r="G31" s="509" t="s">
        <v>1489</v>
      </c>
      <c r="H31" s="509" t="s">
        <v>1448</v>
      </c>
      <c r="I31" s="509" t="s">
        <v>471</v>
      </c>
      <c r="J31" s="509" t="s">
        <v>1427</v>
      </c>
      <c r="K31" s="513" t="s">
        <v>132</v>
      </c>
      <c r="L31" s="509" t="s">
        <v>1000</v>
      </c>
      <c r="M31" s="509"/>
    </row>
    <row r="32">
      <c r="A32" s="509" t="s">
        <v>1490</v>
      </c>
      <c r="B32" s="509" t="s">
        <v>1447</v>
      </c>
      <c r="C32" s="509" t="s">
        <v>1419</v>
      </c>
      <c r="D32" s="509" t="s">
        <v>126</v>
      </c>
      <c r="E32" s="509" t="s">
        <v>125</v>
      </c>
      <c r="F32" s="509" t="s">
        <v>497</v>
      </c>
      <c r="G32" s="509" t="s">
        <v>1491</v>
      </c>
      <c r="H32" s="509" t="s">
        <v>1448</v>
      </c>
      <c r="I32" s="509" t="s">
        <v>807</v>
      </c>
      <c r="J32" s="509" t="s">
        <v>1427</v>
      </c>
      <c r="K32" s="513" t="s">
        <v>132</v>
      </c>
      <c r="L32" s="509" t="s">
        <v>1492</v>
      </c>
      <c r="M32" s="509"/>
    </row>
    <row r="33">
      <c r="A33" s="509" t="s">
        <v>1493</v>
      </c>
      <c r="B33" s="509" t="s">
        <v>1447</v>
      </c>
      <c r="C33" s="509" t="s">
        <v>1419</v>
      </c>
      <c r="D33" s="509" t="s">
        <v>126</v>
      </c>
      <c r="E33" s="509" t="s">
        <v>125</v>
      </c>
      <c r="F33" s="509" t="s">
        <v>505</v>
      </c>
      <c r="G33" s="509" t="s">
        <v>1494</v>
      </c>
      <c r="H33" s="509" t="s">
        <v>1448</v>
      </c>
      <c r="I33" s="509" t="s">
        <v>506</v>
      </c>
      <c r="J33" s="509" t="s">
        <v>1427</v>
      </c>
      <c r="K33" s="513" t="s">
        <v>132</v>
      </c>
      <c r="L33" s="509" t="s">
        <v>360</v>
      </c>
      <c r="M33" s="509"/>
    </row>
    <row r="34">
      <c r="A34" s="509" t="s">
        <v>1495</v>
      </c>
      <c r="B34" s="509" t="s">
        <v>1447</v>
      </c>
      <c r="C34" s="509" t="s">
        <v>1419</v>
      </c>
      <c r="D34" s="509" t="s">
        <v>861</v>
      </c>
      <c r="E34" s="509" t="s">
        <v>860</v>
      </c>
      <c r="F34" s="509" t="s">
        <v>129</v>
      </c>
      <c r="G34" s="509" t="s">
        <v>1496</v>
      </c>
      <c r="H34" s="509" t="s">
        <v>1448</v>
      </c>
      <c r="I34" s="509" t="s">
        <v>130</v>
      </c>
      <c r="J34" s="509" t="s">
        <v>1431</v>
      </c>
      <c r="K34" s="513" t="s">
        <v>132</v>
      </c>
      <c r="L34" s="509" t="s">
        <v>1497</v>
      </c>
      <c r="M34" s="509"/>
    </row>
    <row r="35">
      <c r="A35" s="509" t="s">
        <v>1498</v>
      </c>
      <c r="B35" s="509" t="s">
        <v>1447</v>
      </c>
      <c r="C35" s="509" t="s">
        <v>1419</v>
      </c>
      <c r="D35" s="509" t="s">
        <v>861</v>
      </c>
      <c r="E35" s="509" t="s">
        <v>860</v>
      </c>
      <c r="F35" s="509" t="s">
        <v>516</v>
      </c>
      <c r="G35" s="509" t="s">
        <v>1452</v>
      </c>
      <c r="H35" s="509" t="s">
        <v>1448</v>
      </c>
      <c r="I35" s="509" t="s">
        <v>517</v>
      </c>
      <c r="J35" s="509" t="s">
        <v>1431</v>
      </c>
      <c r="K35" s="513" t="s">
        <v>132</v>
      </c>
      <c r="L35" s="509" t="s">
        <v>143</v>
      </c>
      <c r="M35" s="509"/>
    </row>
    <row r="36">
      <c r="A36" s="509" t="s">
        <v>1499</v>
      </c>
      <c r="B36" s="509" t="s">
        <v>1447</v>
      </c>
      <c r="C36" s="509" t="s">
        <v>1419</v>
      </c>
      <c r="D36" s="509" t="s">
        <v>861</v>
      </c>
      <c r="E36" s="509" t="s">
        <v>860</v>
      </c>
      <c r="F36" s="509" t="s">
        <v>521</v>
      </c>
      <c r="G36" s="509" t="s">
        <v>1500</v>
      </c>
      <c r="H36" s="509" t="s">
        <v>1448</v>
      </c>
      <c r="I36" s="509" t="s">
        <v>522</v>
      </c>
      <c r="J36" s="509" t="s">
        <v>1431</v>
      </c>
      <c r="K36" s="513" t="s">
        <v>132</v>
      </c>
      <c r="L36" s="509" t="s">
        <v>143</v>
      </c>
      <c r="M36" s="509"/>
    </row>
    <row r="37">
      <c r="A37" s="509" t="s">
        <v>1501</v>
      </c>
      <c r="B37" s="509" t="s">
        <v>1447</v>
      </c>
      <c r="C37" s="509" t="s">
        <v>1419</v>
      </c>
      <c r="D37" s="509" t="s">
        <v>861</v>
      </c>
      <c r="E37" s="509" t="s">
        <v>860</v>
      </c>
      <c r="F37" s="509" t="s">
        <v>529</v>
      </c>
      <c r="G37" s="509" t="s">
        <v>1502</v>
      </c>
      <c r="H37" s="509" t="s">
        <v>1448</v>
      </c>
      <c r="I37" s="509" t="s">
        <v>530</v>
      </c>
      <c r="J37" s="509" t="s">
        <v>1431</v>
      </c>
      <c r="K37" s="513" t="s">
        <v>132</v>
      </c>
      <c r="L37" s="509" t="s">
        <v>167</v>
      </c>
      <c r="M37" s="509"/>
    </row>
    <row r="38">
      <c r="A38" s="509" t="s">
        <v>1503</v>
      </c>
      <c r="B38" s="509" t="s">
        <v>1447</v>
      </c>
      <c r="C38" s="509" t="s">
        <v>1419</v>
      </c>
      <c r="D38" s="509" t="s">
        <v>861</v>
      </c>
      <c r="E38" s="509" t="s">
        <v>860</v>
      </c>
      <c r="F38" s="509" t="s">
        <v>544</v>
      </c>
      <c r="G38" s="509" t="s">
        <v>1504</v>
      </c>
      <c r="H38" s="509" t="s">
        <v>1448</v>
      </c>
      <c r="I38" s="509" t="s">
        <v>971</v>
      </c>
      <c r="J38" s="509" t="s">
        <v>1431</v>
      </c>
      <c r="K38" s="513" t="s">
        <v>132</v>
      </c>
      <c r="L38" s="509" t="s">
        <v>466</v>
      </c>
      <c r="M38" s="509"/>
    </row>
    <row r="39">
      <c r="A39" s="509" t="s">
        <v>1505</v>
      </c>
      <c r="B39" s="509" t="s">
        <v>1447</v>
      </c>
      <c r="C39" s="509" t="s">
        <v>1419</v>
      </c>
      <c r="D39" s="509" t="s">
        <v>861</v>
      </c>
      <c r="E39" s="509" t="s">
        <v>860</v>
      </c>
      <c r="F39" s="509" t="s">
        <v>550</v>
      </c>
      <c r="G39" s="509" t="s">
        <v>1506</v>
      </c>
      <c r="H39" s="509" t="s">
        <v>1448</v>
      </c>
      <c r="I39" s="509" t="s">
        <v>972</v>
      </c>
      <c r="J39" s="509" t="s">
        <v>1431</v>
      </c>
      <c r="K39" s="513" t="s">
        <v>132</v>
      </c>
      <c r="L39" s="509" t="s">
        <v>466</v>
      </c>
      <c r="M39" s="509"/>
    </row>
    <row r="40">
      <c r="A40" s="509" t="s">
        <v>1507</v>
      </c>
      <c r="B40" s="509" t="s">
        <v>1447</v>
      </c>
      <c r="C40" s="509" t="s">
        <v>1419</v>
      </c>
      <c r="D40" s="509" t="s">
        <v>861</v>
      </c>
      <c r="E40" s="509" t="s">
        <v>860</v>
      </c>
      <c r="F40" s="509" t="s">
        <v>553</v>
      </c>
      <c r="G40" s="509" t="s">
        <v>1508</v>
      </c>
      <c r="H40" s="509" t="s">
        <v>1448</v>
      </c>
      <c r="I40" s="509" t="s">
        <v>973</v>
      </c>
      <c r="J40" s="509" t="s">
        <v>1431</v>
      </c>
      <c r="K40" s="513" t="s">
        <v>132</v>
      </c>
      <c r="L40" s="509" t="s">
        <v>317</v>
      </c>
      <c r="M40" s="509"/>
    </row>
    <row r="41">
      <c r="A41" s="509" t="s">
        <v>1509</v>
      </c>
      <c r="B41" s="509" t="s">
        <v>1447</v>
      </c>
      <c r="C41" s="509" t="s">
        <v>1419</v>
      </c>
      <c r="D41" s="509" t="s">
        <v>861</v>
      </c>
      <c r="E41" s="509" t="s">
        <v>860</v>
      </c>
      <c r="F41" s="509" t="s">
        <v>566</v>
      </c>
      <c r="G41" s="509" t="s">
        <v>1510</v>
      </c>
      <c r="H41" s="509" t="s">
        <v>1448</v>
      </c>
      <c r="I41" s="509" t="s">
        <v>974</v>
      </c>
      <c r="J41" s="509" t="s">
        <v>1431</v>
      </c>
      <c r="K41" s="513" t="s">
        <v>132</v>
      </c>
      <c r="L41" s="509" t="s">
        <v>167</v>
      </c>
      <c r="M41" s="509"/>
    </row>
    <row r="42">
      <c r="A42" s="509" t="s">
        <v>1511</v>
      </c>
      <c r="B42" s="509" t="s">
        <v>1447</v>
      </c>
      <c r="C42" s="509" t="s">
        <v>1419</v>
      </c>
      <c r="D42" s="509" t="s">
        <v>861</v>
      </c>
      <c r="E42" s="509" t="s">
        <v>860</v>
      </c>
      <c r="F42" s="509" t="s">
        <v>580</v>
      </c>
      <c r="G42" s="509" t="s">
        <v>128</v>
      </c>
      <c r="H42" s="509" t="s">
        <v>1448</v>
      </c>
      <c r="I42" s="509" t="s">
        <v>976</v>
      </c>
      <c r="J42" s="509" t="s">
        <v>1431</v>
      </c>
      <c r="K42" s="513" t="s">
        <v>132</v>
      </c>
      <c r="L42" s="509" t="s">
        <v>129</v>
      </c>
      <c r="M42" s="509"/>
    </row>
    <row r="43">
      <c r="A43" s="509" t="s">
        <v>1512</v>
      </c>
      <c r="B43" s="509" t="s">
        <v>1447</v>
      </c>
      <c r="C43" s="509" t="s">
        <v>1419</v>
      </c>
      <c r="D43" s="509" t="s">
        <v>861</v>
      </c>
      <c r="E43" s="509" t="s">
        <v>860</v>
      </c>
      <c r="F43" s="509" t="s">
        <v>590</v>
      </c>
      <c r="G43" s="509" t="s">
        <v>1513</v>
      </c>
      <c r="H43" s="509" t="s">
        <v>1448</v>
      </c>
      <c r="I43" s="509" t="s">
        <v>978</v>
      </c>
      <c r="J43" s="509" t="s">
        <v>1431</v>
      </c>
      <c r="K43" s="513" t="s">
        <v>132</v>
      </c>
      <c r="L43" s="509" t="s">
        <v>143</v>
      </c>
      <c r="M43" s="509"/>
    </row>
    <row r="44">
      <c r="A44" s="509" t="s">
        <v>1514</v>
      </c>
      <c r="B44" s="509" t="s">
        <v>1447</v>
      </c>
      <c r="C44" s="509" t="s">
        <v>1419</v>
      </c>
      <c r="D44" s="509" t="s">
        <v>861</v>
      </c>
      <c r="E44" s="509" t="s">
        <v>860</v>
      </c>
      <c r="F44" s="509" t="s">
        <v>621</v>
      </c>
      <c r="G44" s="509" t="s">
        <v>1515</v>
      </c>
      <c r="H44" s="509" t="s">
        <v>1448</v>
      </c>
      <c r="I44" s="509" t="s">
        <v>980</v>
      </c>
      <c r="J44" s="509" t="s">
        <v>1431</v>
      </c>
      <c r="K44" s="513" t="s">
        <v>132</v>
      </c>
      <c r="L44" s="509" t="s">
        <v>645</v>
      </c>
      <c r="M44" s="509"/>
    </row>
    <row r="45">
      <c r="A45" s="509" t="s">
        <v>1516</v>
      </c>
      <c r="B45" s="509" t="s">
        <v>1447</v>
      </c>
      <c r="C45" s="509" t="s">
        <v>1419</v>
      </c>
      <c r="D45" s="509" t="s">
        <v>861</v>
      </c>
      <c r="E45" s="509" t="s">
        <v>860</v>
      </c>
      <c r="F45" s="509" t="s">
        <v>143</v>
      </c>
      <c r="G45" s="509" t="s">
        <v>128</v>
      </c>
      <c r="H45" s="509" t="s">
        <v>1448</v>
      </c>
      <c r="I45" s="509" t="s">
        <v>144</v>
      </c>
      <c r="J45" s="509" t="s">
        <v>1431</v>
      </c>
      <c r="K45" s="513" t="s">
        <v>132</v>
      </c>
      <c r="L45" s="509" t="s">
        <v>1000</v>
      </c>
      <c r="M45" s="509"/>
    </row>
    <row r="46">
      <c r="A46" s="509" t="s">
        <v>1517</v>
      </c>
      <c r="B46" s="509" t="s">
        <v>1447</v>
      </c>
      <c r="C46" s="509" t="s">
        <v>1419</v>
      </c>
      <c r="D46" s="509" t="s">
        <v>861</v>
      </c>
      <c r="E46" s="509" t="s">
        <v>860</v>
      </c>
      <c r="F46" s="509" t="s">
        <v>633</v>
      </c>
      <c r="G46" s="509" t="s">
        <v>1518</v>
      </c>
      <c r="H46" s="509" t="s">
        <v>1448</v>
      </c>
      <c r="I46" s="509" t="s">
        <v>988</v>
      </c>
      <c r="J46" s="509" t="s">
        <v>1431</v>
      </c>
      <c r="K46" s="513" t="s">
        <v>132</v>
      </c>
      <c r="L46" s="509" t="s">
        <v>143</v>
      </c>
      <c r="M46" s="509"/>
    </row>
    <row r="47">
      <c r="A47" s="509" t="s">
        <v>1519</v>
      </c>
      <c r="B47" s="509" t="s">
        <v>1447</v>
      </c>
      <c r="C47" s="509" t="s">
        <v>1419</v>
      </c>
      <c r="D47" s="509" t="s">
        <v>861</v>
      </c>
      <c r="E47" s="509" t="s">
        <v>860</v>
      </c>
      <c r="F47" s="509" t="s">
        <v>645</v>
      </c>
      <c r="G47" s="509" t="s">
        <v>1520</v>
      </c>
      <c r="H47" s="509" t="s">
        <v>1448</v>
      </c>
      <c r="I47" s="509" t="s">
        <v>989</v>
      </c>
      <c r="J47" s="509" t="s">
        <v>1431</v>
      </c>
      <c r="K47" s="513" t="s">
        <v>132</v>
      </c>
      <c r="L47" s="509" t="s">
        <v>466</v>
      </c>
      <c r="M47" s="509"/>
    </row>
    <row r="48">
      <c r="A48" s="509" t="s">
        <v>1521</v>
      </c>
      <c r="B48" s="509" t="s">
        <v>1447</v>
      </c>
      <c r="C48" s="509" t="s">
        <v>1419</v>
      </c>
      <c r="D48" s="509" t="s">
        <v>861</v>
      </c>
      <c r="E48" s="509" t="s">
        <v>860</v>
      </c>
      <c r="F48" s="509" t="s">
        <v>662</v>
      </c>
      <c r="G48" s="509" t="s">
        <v>1522</v>
      </c>
      <c r="H48" s="509" t="s">
        <v>1448</v>
      </c>
      <c r="I48" s="509" t="s">
        <v>992</v>
      </c>
      <c r="J48" s="509" t="s">
        <v>1431</v>
      </c>
      <c r="K48" s="513" t="s">
        <v>132</v>
      </c>
      <c r="L48" s="509" t="s">
        <v>529</v>
      </c>
      <c r="M48" s="509"/>
    </row>
    <row r="49">
      <c r="A49" s="509" t="s">
        <v>1523</v>
      </c>
      <c r="B49" s="509" t="s">
        <v>1447</v>
      </c>
      <c r="C49" s="509" t="s">
        <v>1419</v>
      </c>
      <c r="D49" s="509" t="s">
        <v>861</v>
      </c>
      <c r="E49" s="509" t="s">
        <v>860</v>
      </c>
      <c r="F49" s="509" t="s">
        <v>1000</v>
      </c>
      <c r="G49" s="509" t="s">
        <v>1524</v>
      </c>
      <c r="H49" s="509" t="s">
        <v>1448</v>
      </c>
      <c r="I49" s="509" t="s">
        <v>1001</v>
      </c>
      <c r="J49" s="509" t="s">
        <v>1431</v>
      </c>
      <c r="K49" s="513" t="s">
        <v>132</v>
      </c>
      <c r="L49" s="509" t="s">
        <v>143</v>
      </c>
      <c r="M49" s="509"/>
    </row>
    <row r="50">
      <c r="A50" s="509" t="s">
        <v>1525</v>
      </c>
      <c r="B50" s="509" t="s">
        <v>1447</v>
      </c>
      <c r="C50" s="509" t="s">
        <v>1419</v>
      </c>
      <c r="D50" s="509" t="s">
        <v>861</v>
      </c>
      <c r="E50" s="509" t="s">
        <v>860</v>
      </c>
      <c r="F50" s="509" t="s">
        <v>1003</v>
      </c>
      <c r="G50" s="509" t="s">
        <v>1526</v>
      </c>
      <c r="H50" s="509" t="s">
        <v>1448</v>
      </c>
      <c r="I50" s="509" t="s">
        <v>1004</v>
      </c>
      <c r="J50" s="509" t="s">
        <v>1431</v>
      </c>
      <c r="K50" s="513" t="s">
        <v>132</v>
      </c>
      <c r="L50" s="509" t="s">
        <v>1527</v>
      </c>
      <c r="M50" s="509"/>
    </row>
    <row r="51">
      <c r="A51" s="509" t="s">
        <v>1528</v>
      </c>
      <c r="B51" s="509" t="s">
        <v>1447</v>
      </c>
      <c r="C51" s="509" t="s">
        <v>1419</v>
      </c>
      <c r="D51" s="509" t="s">
        <v>861</v>
      </c>
      <c r="E51" s="509" t="s">
        <v>860</v>
      </c>
      <c r="F51" s="509" t="s">
        <v>167</v>
      </c>
      <c r="G51" s="509" t="s">
        <v>128</v>
      </c>
      <c r="H51" s="509" t="s">
        <v>1448</v>
      </c>
      <c r="I51" s="509" t="s">
        <v>885</v>
      </c>
      <c r="J51" s="509" t="s">
        <v>1431</v>
      </c>
      <c r="K51" s="513" t="s">
        <v>132</v>
      </c>
      <c r="L51" s="509" t="s">
        <v>1529</v>
      </c>
      <c r="M51" s="509"/>
    </row>
    <row r="52">
      <c r="A52" s="509" t="s">
        <v>1530</v>
      </c>
      <c r="B52" s="509" t="s">
        <v>1447</v>
      </c>
      <c r="C52" s="509" t="s">
        <v>1419</v>
      </c>
      <c r="D52" s="509" t="s">
        <v>861</v>
      </c>
      <c r="E52" s="509" t="s">
        <v>860</v>
      </c>
      <c r="F52" s="509" t="s">
        <v>317</v>
      </c>
      <c r="G52" s="509" t="s">
        <v>1531</v>
      </c>
      <c r="H52" s="509" t="s">
        <v>1448</v>
      </c>
      <c r="I52" s="509" t="s">
        <v>318</v>
      </c>
      <c r="J52" s="509" t="s">
        <v>1431</v>
      </c>
      <c r="K52" s="513" t="s">
        <v>132</v>
      </c>
      <c r="L52" s="509" t="s">
        <v>1532</v>
      </c>
      <c r="M52" s="509"/>
    </row>
    <row r="53">
      <c r="A53" s="509" t="s">
        <v>1533</v>
      </c>
      <c r="B53" s="509" t="s">
        <v>1447</v>
      </c>
      <c r="C53" s="509" t="s">
        <v>1419</v>
      </c>
      <c r="D53" s="509" t="s">
        <v>861</v>
      </c>
      <c r="E53" s="509" t="s">
        <v>860</v>
      </c>
      <c r="F53" s="509" t="s">
        <v>360</v>
      </c>
      <c r="G53" s="509" t="s">
        <v>1534</v>
      </c>
      <c r="H53" s="509" t="s">
        <v>1448</v>
      </c>
      <c r="I53" s="509" t="s">
        <v>361</v>
      </c>
      <c r="J53" s="509" t="s">
        <v>1431</v>
      </c>
      <c r="K53" s="513" t="s">
        <v>132</v>
      </c>
      <c r="L53" s="509" t="s">
        <v>1535</v>
      </c>
      <c r="M53" s="509"/>
    </row>
    <row r="54">
      <c r="A54" s="509" t="s">
        <v>1536</v>
      </c>
      <c r="B54" s="509" t="s">
        <v>1447</v>
      </c>
      <c r="C54" s="509" t="s">
        <v>1419</v>
      </c>
      <c r="D54" s="509" t="s">
        <v>861</v>
      </c>
      <c r="E54" s="509" t="s">
        <v>860</v>
      </c>
      <c r="F54" s="509" t="s">
        <v>466</v>
      </c>
      <c r="G54" s="509" t="s">
        <v>1487</v>
      </c>
      <c r="H54" s="509" t="s">
        <v>1448</v>
      </c>
      <c r="I54" s="509" t="s">
        <v>795</v>
      </c>
      <c r="J54" s="509" t="s">
        <v>1431</v>
      </c>
      <c r="K54" s="513" t="s">
        <v>132</v>
      </c>
      <c r="L54" s="509" t="s">
        <v>167</v>
      </c>
      <c r="M54" s="509"/>
    </row>
    <row r="55">
      <c r="A55" s="509" t="s">
        <v>1537</v>
      </c>
      <c r="B55" s="509" t="s">
        <v>1447</v>
      </c>
      <c r="C55" s="509" t="s">
        <v>1419</v>
      </c>
      <c r="D55" s="509" t="s">
        <v>861</v>
      </c>
      <c r="E55" s="509" t="s">
        <v>860</v>
      </c>
      <c r="F55" s="509" t="s">
        <v>470</v>
      </c>
      <c r="G55" s="509" t="s">
        <v>1538</v>
      </c>
      <c r="H55" s="509" t="s">
        <v>1448</v>
      </c>
      <c r="I55" s="509" t="s">
        <v>799</v>
      </c>
      <c r="J55" s="509" t="s">
        <v>1431</v>
      </c>
      <c r="K55" s="513" t="s">
        <v>132</v>
      </c>
      <c r="L55" s="509" t="s">
        <v>1539</v>
      </c>
      <c r="M55" s="509"/>
    </row>
    <row r="56">
      <c r="A56" s="509" t="s">
        <v>1540</v>
      </c>
      <c r="B56" s="509" t="s">
        <v>1447</v>
      </c>
      <c r="C56" s="509" t="s">
        <v>1419</v>
      </c>
      <c r="D56" s="509" t="s">
        <v>861</v>
      </c>
      <c r="E56" s="509" t="s">
        <v>860</v>
      </c>
      <c r="F56" s="509" t="s">
        <v>497</v>
      </c>
      <c r="G56" s="509" t="s">
        <v>1541</v>
      </c>
      <c r="H56" s="509" t="s">
        <v>1448</v>
      </c>
      <c r="I56" s="509" t="s">
        <v>498</v>
      </c>
      <c r="J56" s="509" t="s">
        <v>1431</v>
      </c>
      <c r="K56" s="513" t="s">
        <v>132</v>
      </c>
      <c r="L56" s="509" t="s">
        <v>317</v>
      </c>
      <c r="M56" s="509"/>
    </row>
    <row r="57">
      <c r="A57" s="509" t="s">
        <v>1542</v>
      </c>
      <c r="B57" s="509" t="s">
        <v>1447</v>
      </c>
      <c r="C57" s="509" t="s">
        <v>1419</v>
      </c>
      <c r="D57" s="509" t="s">
        <v>861</v>
      </c>
      <c r="E57" s="509" t="s">
        <v>860</v>
      </c>
      <c r="F57" s="509" t="s">
        <v>505</v>
      </c>
      <c r="G57" s="509" t="s">
        <v>1450</v>
      </c>
      <c r="H57" s="509" t="s">
        <v>1448</v>
      </c>
      <c r="I57" s="509" t="s">
        <v>506</v>
      </c>
      <c r="J57" s="509" t="s">
        <v>1431</v>
      </c>
      <c r="K57" s="513" t="s">
        <v>132</v>
      </c>
      <c r="L57" s="509" t="s">
        <v>143</v>
      </c>
      <c r="M57" s="509"/>
    </row>
    <row r="58">
      <c r="A58" s="509" t="s">
        <v>1543</v>
      </c>
      <c r="B58" s="509" t="s">
        <v>1447</v>
      </c>
      <c r="C58" s="509" t="s">
        <v>1419</v>
      </c>
      <c r="D58" s="509" t="s">
        <v>1067</v>
      </c>
      <c r="E58" s="509" t="s">
        <v>1066</v>
      </c>
      <c r="F58" s="509" t="s">
        <v>129</v>
      </c>
      <c r="G58" s="509" t="s">
        <v>1544</v>
      </c>
      <c r="H58" s="509" t="s">
        <v>1448</v>
      </c>
      <c r="I58" s="509" t="s">
        <v>1068</v>
      </c>
      <c r="J58" s="509" t="s">
        <v>1435</v>
      </c>
      <c r="K58" s="513" t="s">
        <v>132</v>
      </c>
      <c r="L58" s="509" t="s">
        <v>505</v>
      </c>
      <c r="M58" s="509"/>
    </row>
    <row r="59">
      <c r="A59" s="509" t="s">
        <v>1545</v>
      </c>
      <c r="B59" s="509" t="s">
        <v>1447</v>
      </c>
      <c r="C59" s="509" t="s">
        <v>1419</v>
      </c>
      <c r="D59" s="509" t="s">
        <v>1067</v>
      </c>
      <c r="E59" s="509" t="s">
        <v>1066</v>
      </c>
      <c r="F59" s="509" t="s">
        <v>143</v>
      </c>
      <c r="G59" s="509" t="s">
        <v>128</v>
      </c>
      <c r="H59" s="509" t="s">
        <v>1448</v>
      </c>
      <c r="I59" s="509" t="s">
        <v>1076</v>
      </c>
      <c r="J59" s="509" t="s">
        <v>1435</v>
      </c>
      <c r="K59" s="513" t="s">
        <v>132</v>
      </c>
      <c r="L59" s="509" t="s">
        <v>466</v>
      </c>
      <c r="M59" s="509"/>
    </row>
    <row r="60">
      <c r="A60" s="509" t="s">
        <v>1546</v>
      </c>
      <c r="B60" s="509" t="s">
        <v>1447</v>
      </c>
      <c r="C60" s="509" t="s">
        <v>1419</v>
      </c>
      <c r="D60" s="509" t="s">
        <v>1067</v>
      </c>
      <c r="E60" s="509" t="s">
        <v>1066</v>
      </c>
      <c r="F60" s="509" t="s">
        <v>167</v>
      </c>
      <c r="G60" s="509" t="s">
        <v>128</v>
      </c>
      <c r="H60" s="509" t="s">
        <v>1448</v>
      </c>
      <c r="I60" s="509" t="s">
        <v>1090</v>
      </c>
      <c r="J60" s="509" t="s">
        <v>1435</v>
      </c>
      <c r="K60" s="513" t="s">
        <v>132</v>
      </c>
      <c r="L60" s="509" t="s">
        <v>1547</v>
      </c>
      <c r="M60" s="509"/>
    </row>
    <row r="61">
      <c r="A61" s="509" t="s">
        <v>1548</v>
      </c>
      <c r="B61" s="509" t="s">
        <v>1447</v>
      </c>
      <c r="C61" s="509" t="s">
        <v>1419</v>
      </c>
      <c r="D61" s="509" t="s">
        <v>1067</v>
      </c>
      <c r="E61" s="509" t="s">
        <v>1066</v>
      </c>
      <c r="F61" s="509" t="s">
        <v>317</v>
      </c>
      <c r="G61" s="509" t="s">
        <v>1549</v>
      </c>
      <c r="H61" s="509" t="s">
        <v>1448</v>
      </c>
      <c r="I61" s="509" t="s">
        <v>1169</v>
      </c>
      <c r="J61" s="509" t="s">
        <v>1435</v>
      </c>
      <c r="K61" s="513" t="s">
        <v>132</v>
      </c>
      <c r="L61" s="509" t="s">
        <v>1550</v>
      </c>
      <c r="M61" s="509"/>
    </row>
    <row r="62">
      <c r="A62" s="509" t="s">
        <v>1551</v>
      </c>
      <c r="B62" s="509" t="s">
        <v>1447</v>
      </c>
      <c r="C62" s="509" t="s">
        <v>1419</v>
      </c>
      <c r="D62" s="509" t="s">
        <v>1244</v>
      </c>
      <c r="E62" s="509" t="s">
        <v>1243</v>
      </c>
      <c r="F62" s="509" t="s">
        <v>129</v>
      </c>
      <c r="G62" s="509" t="s">
        <v>1552</v>
      </c>
      <c r="H62" s="509" t="s">
        <v>1448</v>
      </c>
      <c r="I62" s="509" t="s">
        <v>1068</v>
      </c>
      <c r="J62" s="509" t="s">
        <v>1439</v>
      </c>
      <c r="K62" s="513" t="s">
        <v>132</v>
      </c>
      <c r="L62" s="509" t="s">
        <v>505</v>
      </c>
      <c r="M62" s="509"/>
    </row>
    <row r="63">
      <c r="A63" s="509" t="s">
        <v>1553</v>
      </c>
      <c r="B63" s="509" t="s">
        <v>1447</v>
      </c>
      <c r="C63" s="509" t="s">
        <v>1419</v>
      </c>
      <c r="D63" s="509" t="s">
        <v>1244</v>
      </c>
      <c r="E63" s="509" t="s">
        <v>1243</v>
      </c>
      <c r="F63" s="509" t="s">
        <v>143</v>
      </c>
      <c r="G63" s="509" t="s">
        <v>128</v>
      </c>
      <c r="H63" s="509" t="s">
        <v>1448</v>
      </c>
      <c r="I63" s="509" t="s">
        <v>1076</v>
      </c>
      <c r="J63" s="509" t="s">
        <v>1439</v>
      </c>
      <c r="K63" s="513" t="s">
        <v>132</v>
      </c>
      <c r="L63" s="509" t="s">
        <v>466</v>
      </c>
      <c r="M63" s="509"/>
    </row>
    <row r="64">
      <c r="A64" s="509" t="s">
        <v>1554</v>
      </c>
      <c r="B64" s="509" t="s">
        <v>1447</v>
      </c>
      <c r="C64" s="509" t="s">
        <v>1419</v>
      </c>
      <c r="D64" s="509" t="s">
        <v>1244</v>
      </c>
      <c r="E64" s="509" t="s">
        <v>1243</v>
      </c>
      <c r="F64" s="509" t="s">
        <v>167</v>
      </c>
      <c r="G64" s="509" t="s">
        <v>128</v>
      </c>
      <c r="H64" s="509" t="s">
        <v>1448</v>
      </c>
      <c r="I64" s="509" t="s">
        <v>1090</v>
      </c>
      <c r="J64" s="509" t="s">
        <v>1439</v>
      </c>
      <c r="K64" s="513" t="s">
        <v>132</v>
      </c>
      <c r="L64" s="509" t="s">
        <v>1555</v>
      </c>
      <c r="M64" s="509"/>
    </row>
    <row r="65">
      <c r="A65" s="509" t="s">
        <v>1556</v>
      </c>
      <c r="B65" s="509" t="s">
        <v>1447</v>
      </c>
      <c r="C65" s="509" t="s">
        <v>1419</v>
      </c>
      <c r="D65" s="509" t="s">
        <v>1244</v>
      </c>
      <c r="E65" s="509" t="s">
        <v>1243</v>
      </c>
      <c r="F65" s="509" t="s">
        <v>317</v>
      </c>
      <c r="G65" s="509" t="s">
        <v>1557</v>
      </c>
      <c r="H65" s="509" t="s">
        <v>1448</v>
      </c>
      <c r="I65" s="509" t="s">
        <v>1169</v>
      </c>
      <c r="J65" s="509" t="s">
        <v>1439</v>
      </c>
      <c r="K65" s="513" t="s">
        <v>132</v>
      </c>
      <c r="L65" s="509" t="s">
        <v>1436</v>
      </c>
      <c r="M65" s="509"/>
    </row>
    <row r="66">
      <c r="A66" s="509" t="s">
        <v>1558</v>
      </c>
      <c r="B66" s="509" t="s">
        <v>1559</v>
      </c>
      <c r="C66" s="509" t="s">
        <v>1419</v>
      </c>
      <c r="D66" s="509"/>
      <c r="E66" s="509"/>
      <c r="F66" s="509"/>
      <c r="G66" s="509"/>
      <c r="H66" s="509" t="s">
        <v>1560</v>
      </c>
      <c r="I66" s="509" t="s">
        <v>1561</v>
      </c>
      <c r="J66" s="509" t="s">
        <v>1296</v>
      </c>
      <c r="K66" s="510" t="s">
        <v>1359</v>
      </c>
      <c r="L66" s="509" t="s">
        <v>317</v>
      </c>
      <c r="M66" s="509" t="s">
        <v>1562</v>
      </c>
    </row>
    <row r="67">
      <c r="A67" s="509" t="s">
        <v>1563</v>
      </c>
      <c r="B67" s="509" t="s">
        <v>1559</v>
      </c>
      <c r="C67" s="509" t="s">
        <v>1419</v>
      </c>
      <c r="D67" s="509"/>
      <c r="E67" s="509"/>
      <c r="F67" s="509"/>
      <c r="G67" s="509"/>
      <c r="H67" s="509" t="s">
        <v>1560</v>
      </c>
      <c r="I67" s="509" t="s">
        <v>1564</v>
      </c>
      <c r="J67" s="509" t="s">
        <v>1296</v>
      </c>
      <c r="K67" s="510" t="s">
        <v>1359</v>
      </c>
      <c r="L67" s="509" t="s">
        <v>1477</v>
      </c>
      <c r="M67" s="509" t="s">
        <v>1565</v>
      </c>
    </row>
  </sheetData>
</worksheet>
</file>

<file path=xl/worksheets/sheet7.xml><?xml version="1.0" encoding="utf-8"?>
<worksheet xmlns="http://schemas.openxmlformats.org/spreadsheetml/2006/main" xmlns:r="http://schemas.openxmlformats.org/officeDocument/2006/relationships">
  <dimension ref="A1:H33"/>
  <sheetViews>
    <sheetView showGridLines="0" workbookViewId="0"/>
  </sheetViews>
  <sheetFormatPr defaultColWidth="8.375" defaultRowHeight="15"/>
  <cols>
    <col min="1" max="4" width="16.875" customWidth="1"/>
    <col min="5" max="5" width="59.375" customWidth="1"/>
    <col min="6" max="8" width="16.875" customWidth="1"/>
  </cols>
  <sheetData>
    <row r="1">
      <c r="A1" s="512" t="s">
        <v>0</v>
      </c>
      <c r="B1" s="509"/>
      <c r="C1" s="509"/>
      <c r="D1" s="509"/>
      <c r="E1" s="509"/>
      <c r="F1" s="509"/>
      <c r="G1" s="509"/>
      <c r="H1" s="509"/>
    </row>
    <row r="2">
      <c r="A2" s="509" t="s">
        <v>1566</v>
      </c>
      <c r="B2" s="509"/>
      <c r="C2" s="509"/>
      <c r="D2" s="509"/>
      <c r="E2" s="509"/>
      <c r="F2" s="509"/>
      <c r="G2" s="509"/>
      <c r="H2" s="509"/>
    </row>
    <row r="3">
      <c r="A3" s="510" t="s">
        <v>1567</v>
      </c>
      <c r="B3" s="510"/>
      <c r="C3" s="510"/>
      <c r="D3" s="510"/>
      <c r="E3" s="510"/>
      <c r="F3" s="510"/>
      <c r="G3" s="510"/>
      <c r="H3" s="510"/>
    </row>
    <row r="4">
      <c r="A4" s="509"/>
      <c r="B4" s="509"/>
      <c r="C4" s="509"/>
      <c r="D4" s="509"/>
      <c r="E4" s="509"/>
      <c r="F4" s="509"/>
      <c r="G4" s="509"/>
      <c r="H4" s="509"/>
    </row>
    <row r="5">
      <c r="A5" s="509"/>
      <c r="B5" s="509"/>
      <c r="C5" s="509"/>
      <c r="D5" s="509"/>
      <c r="E5" s="509"/>
      <c r="F5" s="509"/>
      <c r="G5" s="509"/>
      <c r="H5" s="509"/>
    </row>
    <row r="6">
      <c r="A6" s="509"/>
      <c r="B6" s="509"/>
      <c r="C6" s="509"/>
      <c r="D6" s="509"/>
      <c r="E6" s="509"/>
      <c r="F6" s="509"/>
      <c r="G6" s="509"/>
      <c r="H6" s="509"/>
    </row>
    <row r="7">
      <c r="A7" s="509"/>
      <c r="B7" s="509"/>
      <c r="C7" s="509"/>
      <c r="D7" s="509"/>
      <c r="E7" s="509"/>
      <c r="F7" s="509"/>
      <c r="G7" s="509"/>
      <c r="H7" s="509"/>
    </row>
    <row r="8">
      <c r="A8" s="509"/>
      <c r="B8" s="509"/>
      <c r="C8" s="509"/>
      <c r="D8" s="509"/>
      <c r="E8" s="509"/>
      <c r="F8" s="509"/>
      <c r="G8" s="509"/>
      <c r="H8" s="509"/>
    </row>
    <row r="9">
      <c r="A9" s="509"/>
      <c r="B9" s="509"/>
      <c r="C9" s="509"/>
      <c r="D9" s="509"/>
      <c r="E9" s="509"/>
      <c r="F9" s="509"/>
      <c r="G9" s="509"/>
      <c r="H9" s="509"/>
    </row>
    <row r="10">
      <c r="A10" s="509"/>
      <c r="B10" s="509"/>
      <c r="C10" s="509"/>
      <c r="D10" s="509"/>
      <c r="E10" s="509"/>
      <c r="F10" s="509"/>
      <c r="G10" s="509"/>
      <c r="H10" s="509"/>
    </row>
    <row r="11">
      <c r="A11" s="509"/>
      <c r="B11" s="509"/>
      <c r="C11" s="509"/>
      <c r="D11" s="509"/>
      <c r="E11" s="509"/>
      <c r="F11" s="509"/>
      <c r="G11" s="509"/>
      <c r="H11" s="509"/>
    </row>
    <row r="12">
      <c r="A12" s="509"/>
      <c r="B12" s="509"/>
      <c r="C12" s="509"/>
      <c r="D12" s="509"/>
      <c r="E12" s="509"/>
      <c r="F12" s="509"/>
      <c r="G12" s="509"/>
      <c r="H12" s="509"/>
    </row>
    <row r="13">
      <c r="A13" s="509"/>
      <c r="B13" s="509"/>
      <c r="C13" s="509"/>
      <c r="D13" s="509"/>
      <c r="E13" s="509"/>
      <c r="F13" s="509"/>
      <c r="G13" s="509"/>
      <c r="H13" s="509"/>
    </row>
    <row r="14">
      <c r="A14" s="509"/>
      <c r="B14" s="509"/>
      <c r="C14" s="509"/>
      <c r="D14" s="509"/>
      <c r="E14" s="509"/>
      <c r="F14" s="509"/>
      <c r="G14" s="509"/>
      <c r="H14" s="509"/>
    </row>
    <row r="15">
      <c r="A15" s="509"/>
      <c r="B15" s="509"/>
      <c r="C15" s="509"/>
      <c r="D15" s="509"/>
      <c r="E15" s="509"/>
      <c r="F15" s="509"/>
      <c r="G15" s="509"/>
      <c r="H15" s="509"/>
    </row>
    <row r="16">
      <c r="A16" s="509"/>
      <c r="B16" s="509"/>
      <c r="C16" s="509"/>
      <c r="D16" s="509"/>
      <c r="E16" s="509"/>
      <c r="F16" s="509"/>
      <c r="G16" s="509"/>
      <c r="H16" s="509"/>
    </row>
    <row r="17">
      <c r="A17" s="509"/>
      <c r="B17" s="509"/>
      <c r="C17" s="509"/>
      <c r="D17" s="509"/>
      <c r="E17" s="509"/>
      <c r="F17" s="509"/>
      <c r="G17" s="509"/>
      <c r="H17" s="509"/>
    </row>
    <row r="18">
      <c r="A18" s="509"/>
      <c r="B18" s="511"/>
      <c r="C18" s="509"/>
      <c r="D18" s="509"/>
      <c r="E18" s="509"/>
      <c r="F18" s="509"/>
      <c r="G18" s="509"/>
      <c r="H18" s="509"/>
    </row>
    <row r="19">
      <c r="A19" s="509"/>
      <c r="B19" s="511"/>
      <c r="C19" s="509"/>
      <c r="D19" s="509"/>
      <c r="E19" s="509"/>
      <c r="F19" s="509"/>
      <c r="G19" s="509"/>
      <c r="H19" s="509"/>
    </row>
    <row r="20">
      <c r="A20" s="509"/>
      <c r="B20" s="511"/>
      <c r="C20" s="509"/>
      <c r="D20" s="509"/>
      <c r="E20" s="509"/>
      <c r="F20" s="509"/>
      <c r="G20" s="509"/>
      <c r="H20" s="509"/>
    </row>
    <row r="21">
      <c r="A21" s="509"/>
      <c r="B21" s="511"/>
      <c r="C21" s="509"/>
      <c r="D21" s="509"/>
      <c r="E21" s="509"/>
      <c r="F21" s="509"/>
      <c r="G21" s="509"/>
      <c r="H21" s="509"/>
    </row>
    <row r="22">
      <c r="A22" s="509"/>
      <c r="B22" s="511"/>
      <c r="C22" s="509"/>
      <c r="D22" s="509"/>
      <c r="E22" s="509"/>
      <c r="F22" s="509"/>
      <c r="G22" s="509"/>
      <c r="H22" s="509"/>
    </row>
    <row r="23">
      <c r="A23" s="509"/>
      <c r="B23" s="511"/>
      <c r="C23" s="509"/>
      <c r="D23" s="509"/>
      <c r="E23" s="509"/>
      <c r="F23" s="509"/>
      <c r="G23" s="509"/>
      <c r="H23" s="509"/>
    </row>
    <row r="24">
      <c r="A24" s="509"/>
      <c r="B24" s="511"/>
      <c r="C24" s="509"/>
      <c r="D24" s="509"/>
      <c r="E24" s="509"/>
      <c r="F24" s="509"/>
      <c r="G24" s="509"/>
      <c r="H24" s="509"/>
    </row>
    <row r="25">
      <c r="A25" s="509"/>
      <c r="B25" s="511"/>
      <c r="C25" s="509"/>
      <c r="D25" s="509"/>
      <c r="E25" s="509"/>
      <c r="F25" s="509"/>
      <c r="G25" s="509"/>
      <c r="H25" s="509"/>
    </row>
    <row r="26">
      <c r="A26" s="509"/>
      <c r="B26" s="511"/>
      <c r="C26" s="509"/>
      <c r="D26" s="509"/>
      <c r="E26" s="509"/>
      <c r="F26" s="509"/>
      <c r="G26" s="509"/>
      <c r="H26" s="509"/>
    </row>
    <row r="27">
      <c r="A27" s="509"/>
      <c r="B27" s="511"/>
      <c r="C27" s="509"/>
      <c r="D27" s="509"/>
      <c r="E27" s="509"/>
      <c r="F27" s="509"/>
      <c r="G27" s="509"/>
      <c r="H27" s="509"/>
    </row>
    <row r="28">
      <c r="A28" s="509"/>
      <c r="B28" s="511"/>
      <c r="C28" s="509"/>
      <c r="D28" s="509"/>
      <c r="E28" s="509"/>
      <c r="F28" s="509"/>
      <c r="G28" s="509"/>
      <c r="H28" s="509"/>
    </row>
    <row r="29">
      <c r="A29" s="509"/>
      <c r="B29" s="511"/>
      <c r="C29" s="509"/>
      <c r="D29" s="509"/>
      <c r="E29" s="509"/>
      <c r="F29" s="509"/>
      <c r="G29" s="509"/>
      <c r="H29" s="509"/>
    </row>
    <row r="30">
      <c r="A30" s="509"/>
      <c r="B30" s="511"/>
      <c r="C30" s="509"/>
      <c r="D30" s="509"/>
      <c r="E30" s="509"/>
      <c r="F30" s="509"/>
      <c r="G30" s="509"/>
      <c r="H30" s="509"/>
    </row>
    <row r="31">
      <c r="A31" s="509"/>
      <c r="B31" s="511"/>
      <c r="C31" s="509"/>
      <c r="D31" s="509"/>
      <c r="E31" s="509"/>
      <c r="F31" s="509"/>
      <c r="G31" s="509"/>
      <c r="H31" s="509"/>
    </row>
    <row r="32">
      <c r="A32" s="509"/>
      <c r="B32" s="511"/>
      <c r="C32" s="509"/>
      <c r="D32" s="509"/>
      <c r="E32" s="509"/>
      <c r="F32" s="509"/>
      <c r="G32" s="509"/>
      <c r="H32" s="509"/>
    </row>
    <row r="33">
      <c r="A33" s="509"/>
      <c r="B33" s="509"/>
      <c r="C33" s="509"/>
      <c r="D33" s="509"/>
      <c r="E33" s="509"/>
      <c r="F33" s="509"/>
      <c r="G33" s="509"/>
      <c r="H33" s="509"/>
    </row>
  </sheetData>
</worksheet>
</file>

<file path=xl/worksheets/sheet8.xml><?xml version="1.0" encoding="utf-8"?>
<worksheet xmlns="http://schemas.openxmlformats.org/spreadsheetml/2006/main" xmlns:r="http://schemas.openxmlformats.org/officeDocument/2006/relationships">
  <dimension ref="A1:H57"/>
  <sheetViews>
    <sheetView showGridLines="0" workbookViewId="0"/>
  </sheetViews>
  <sheetFormatPr defaultColWidth="8.375" defaultRowHeight="15"/>
  <cols>
    <col min="1" max="1" width="56.875" customWidth="1"/>
    <col min="2" max="8" width="15.625" customWidth="1"/>
  </cols>
  <sheetData>
    <row r="1">
      <c r="A1" s="518" t="s">
        <v>0</v>
      </c>
      <c r="B1" s="517"/>
      <c r="C1" s="517"/>
      <c r="D1" s="517"/>
      <c r="E1" s="517"/>
      <c r="F1" s="517"/>
      <c r="G1" s="517"/>
      <c r="H1" s="517"/>
    </row>
    <row r="2">
      <c r="A2" s="514" t="s">
        <v>1568</v>
      </c>
    </row>
    <row r="3">
      <c r="A3" s="514" t="s">
        <v>1569</v>
      </c>
    </row>
    <row r="4">
      <c r="A4" s="515"/>
      <c r="B4" s="515"/>
      <c r="C4" s="515"/>
      <c r="D4" s="515"/>
      <c r="E4" s="515"/>
      <c r="F4" s="515"/>
      <c r="G4" s="515"/>
      <c r="H4" s="515"/>
    </row>
    <row r="5">
      <c r="A5" s="518" t="s">
        <v>1570</v>
      </c>
      <c r="B5" s="516"/>
      <c r="C5" s="516"/>
      <c r="D5" s="516"/>
      <c r="E5" s="516"/>
      <c r="F5" s="516"/>
      <c r="G5" s="516"/>
      <c r="H5" s="516"/>
    </row>
    <row r="6">
      <c r="A6" s="514" t="s">
        <v>1571</v>
      </c>
    </row>
    <row r="7">
      <c r="A7" s="514" t="s">
        <v>1572</v>
      </c>
    </row>
    <row r="8">
      <c r="A8" s="514" t="s">
        <v>1573</v>
      </c>
    </row>
    <row r="9">
      <c r="A9" s="514" t="s">
        <v>1574</v>
      </c>
    </row>
    <row r="10">
      <c r="A10" s="514" t="s">
        <v>1575</v>
      </c>
    </row>
    <row r="11">
      <c r="A11" s="514" t="s">
        <v>1576</v>
      </c>
    </row>
    <row r="12">
      <c r="A12" s="514" t="s">
        <v>1577</v>
      </c>
    </row>
    <row r="13">
      <c r="A13" s="514" t="s">
        <v>1578</v>
      </c>
    </row>
    <row r="14">
      <c r="A14" s="514" t="s">
        <v>1579</v>
      </c>
    </row>
    <row r="15">
      <c r="A15" s="514" t="s">
        <v>1580</v>
      </c>
    </row>
    <row r="16">
      <c r="A16" s="514" t="s">
        <v>1581</v>
      </c>
    </row>
    <row r="17">
      <c r="A17" s="514" t="s">
        <v>1582</v>
      </c>
    </row>
    <row r="18">
      <c r="A18" s="514" t="s">
        <v>1583</v>
      </c>
    </row>
    <row r="19">
      <c r="A19" s="514" t="s">
        <v>1584</v>
      </c>
    </row>
    <row r="20">
      <c r="A20" s="514" t="s">
        <v>1585</v>
      </c>
    </row>
    <row r="21">
      <c r="A21" s="514" t="s">
        <v>1586</v>
      </c>
    </row>
    <row r="22">
      <c r="A22" s="514" t="s">
        <v>1587</v>
      </c>
    </row>
    <row r="23">
      <c r="A23" s="514" t="s">
        <v>1588</v>
      </c>
    </row>
    <row r="24">
      <c r="A24" s="514" t="s">
        <v>1589</v>
      </c>
    </row>
    <row r="25">
      <c r="A25" s="514" t="s">
        <v>1590</v>
      </c>
    </row>
    <row r="26">
      <c r="A26" s="514" t="s">
        <v>1591</v>
      </c>
    </row>
    <row r="27">
      <c r="A27" s="514" t="s">
        <v>1592</v>
      </c>
    </row>
    <row r="28">
      <c r="A28" s="514" t="s">
        <v>1593</v>
      </c>
    </row>
    <row r="29">
      <c r="A29" s="514" t="s">
        <v>1594</v>
      </c>
    </row>
    <row r="30">
      <c r="A30" s="514" t="s">
        <v>1595</v>
      </c>
    </row>
    <row r="31">
      <c r="A31" s="514" t="s">
        <v>1596</v>
      </c>
    </row>
    <row r="32">
      <c r="A32" s="514" t="s">
        <v>1597</v>
      </c>
    </row>
    <row r="33">
      <c r="A33" s="514" t="s">
        <v>1598</v>
      </c>
    </row>
    <row r="34">
      <c r="A34" s="514" t="s">
        <v>1599</v>
      </c>
    </row>
    <row r="35">
      <c r="A35" s="514" t="s">
        <v>1600</v>
      </c>
    </row>
    <row r="36">
      <c r="A36" s="514" t="s">
        <v>1601</v>
      </c>
    </row>
    <row r="37">
      <c r="A37" s="514" t="s">
        <v>1602</v>
      </c>
    </row>
    <row r="38">
      <c r="A38" s="514" t="s">
        <v>1603</v>
      </c>
    </row>
    <row r="39">
      <c r="A39" s="514" t="s">
        <v>1604</v>
      </c>
    </row>
    <row r="40">
      <c r="A40" s="514" t="s">
        <v>1605</v>
      </c>
    </row>
    <row r="41">
      <c r="A41" s="514" t="s">
        <v>1606</v>
      </c>
    </row>
    <row r="42">
      <c r="A42" s="514" t="s">
        <v>1607</v>
      </c>
    </row>
    <row r="43">
      <c r="A43" s="514" t="s">
        <v>1608</v>
      </c>
    </row>
    <row r="44">
      <c r="A44" s="514" t="s">
        <v>1609</v>
      </c>
    </row>
    <row r="45">
      <c r="A45" s="514" t="s">
        <v>1610</v>
      </c>
    </row>
    <row r="46">
      <c r="A46" s="514" t="s">
        <v>1611</v>
      </c>
    </row>
    <row r="47">
      <c r="A47" s="514" t="s">
        <v>1612</v>
      </c>
    </row>
    <row r="48">
      <c r="A48" s="514" t="s">
        <v>1613</v>
      </c>
    </row>
    <row r="49">
      <c r="A49" s="514" t="s">
        <v>1614</v>
      </c>
    </row>
    <row r="50">
      <c r="A50" s="514" t="s">
        <v>1615</v>
      </c>
    </row>
    <row r="51">
      <c r="A51" s="514" t="s">
        <v>1616</v>
      </c>
    </row>
    <row r="52">
      <c r="A52" s="514" t="s">
        <v>1617</v>
      </c>
    </row>
    <row r="53">
      <c r="A53" s="514" t="s">
        <v>1618</v>
      </c>
    </row>
    <row r="54">
      <c r="A54" s="514" t="s">
        <v>1619</v>
      </c>
    </row>
    <row r="55">
      <c r="A55" s="514" t="s">
        <v>1620</v>
      </c>
    </row>
    <row r="56">
      <c r="A56" s="515"/>
      <c r="B56" s="515"/>
      <c r="C56" s="515"/>
      <c r="D56" s="515"/>
      <c r="E56" s="515"/>
      <c r="F56" s="515"/>
      <c r="G56" s="515"/>
      <c r="H56" s="515"/>
    </row>
    <row r="57">
      <c r="A57" s="514" t="s">
        <v>1621</v>
      </c>
    </row>
  </sheetData>
</worksheet>
</file>

<file path=xl/worksheets/sheet9.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522" t="s">
        <v>1622</v>
      </c>
      <c r="B1" s="522" t="s">
        <v>1623</v>
      </c>
      <c r="C1" s="522" t="s">
        <v>1624</v>
      </c>
      <c r="D1" s="522" t="s">
        <v>1625</v>
      </c>
      <c r="E1" s="522" t="s">
        <v>1626</v>
      </c>
      <c r="F1" s="522" t="s">
        <v>1627</v>
      </c>
    </row>
    <row r="2">
      <c r="A2" s="523">
        <v>1</v>
      </c>
      <c r="B2" s="524">
        <v>46324.359333263885</v>
      </c>
      <c r="C2" s="523" t="s">
        <v>1628</v>
      </c>
      <c r="D2" s="523" t="s">
        <v>1629</v>
      </c>
      <c r="E2" s="523" t="s">
        <v>1630</v>
      </c>
      <c r="F2" s="523" t="s">
        <v>1631</v>
      </c>
    </row>
  </sheetData>
</worksheet>
</file>