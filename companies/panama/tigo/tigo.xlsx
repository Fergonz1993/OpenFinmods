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Notas_EEFF" sheetId="2" r:id="rId5"/>
    <sheet name="Supuestos" sheetId="3" r:id="rId6"/>
    <sheet name="ModeloFinanciero" sheetId="4" r:id="rId7"/>
    <sheet name="_CHECKS" sheetId="5" r:id="rId8"/>
    <sheet name="Source_Register" sheetId="6" r:id="rId9"/>
    <sheet name="_CHANGELOG" sheetId="7" r:id="rId10"/>
    <sheet name="MD&amp;A" sheetId="8" r:id="rId11"/>
    <sheet name="Claude Code Log" sheetId="9" r:id="rId12"/>
  </sheets>
  <calcPr calcId="0"/>
</workbook>
</file>

<file path=xl/sharedStrings.xml><?xml version="1.0" encoding="utf-8"?>
<sst xmlns="http://schemas.openxmlformats.org/spreadsheetml/2006/main" count="3636" uniqueCount="656">
  <si>
    <t>Telecomunicaciones Digitales, S.A. y Subsidiarias</t>
  </si>
  <si>
    <t>Estados Financieros Consolidados Auditados FY21-FY25</t>
  </si>
  <si>
    <t>en B/. sin escala</t>
  </si>
  <si>
    <t>Años</t>
  </si>
  <si>
    <t>FY21A</t>
  </si>
  <si>
    <t>FY22A</t>
  </si>
  <si>
    <t>FY23A</t>
  </si>
  <si>
    <t>FY24A</t>
  </si>
  <si>
    <t>FY25A</t>
  </si>
  <si>
    <t>FY26E</t>
  </si>
  <si>
    <t>FY27E</t>
  </si>
  <si>
    <t>FY28E</t>
  </si>
  <si>
    <t>FY29E</t>
  </si>
  <si>
    <t>FY30E</t>
  </si>
  <si>
    <t>Estado de Resultados</t>
  </si>
  <si>
    <t>Suscripciones TV</t>
  </si>
  <si>
    <t>Transmisión de datos, internet y data center</t>
  </si>
  <si>
    <t>Telefonía fija</t>
  </si>
  <si>
    <t>Telefonía móvil</t>
  </si>
  <si>
    <t>Venta de equipos móviles</t>
  </si>
  <si>
    <t>Proyectos y soluciones</t>
  </si>
  <si>
    <t>Otros servicios</t>
  </si>
  <si>
    <t>Total de ingresos</t>
  </si>
  <si>
    <t>Costos de operación</t>
  </si>
  <si>
    <t>Programación y costos de operación</t>
  </si>
  <si>
    <t>Depreciación y amortización</t>
  </si>
  <si>
    <t>Gastos de operación</t>
  </si>
  <si>
    <t>Gastos de personal</t>
  </si>
  <si>
    <t>Gastos generales, ventas y administrativos</t>
  </si>
  <si>
    <t>Total de costos y gastos</t>
  </si>
  <si>
    <t>Utilidad en actividades de operaciones</t>
  </si>
  <si>
    <t>Costos financieros</t>
  </si>
  <si>
    <t>Ingresos financieros</t>
  </si>
  <si>
    <t>Costos financieros, neto</t>
  </si>
  <si>
    <t>Intereses financieros, neto</t>
  </si>
  <si>
    <t>Utilidad antes del impuesto sobre la renta</t>
  </si>
  <si>
    <t>Impuesto sobre la renta</t>
  </si>
  <si>
    <t>Utilidad neta</t>
  </si>
  <si>
    <t>Balance General</t>
  </si>
  <si>
    <t>Fondo de cesantía, neto de prima de antigüedad</t>
  </si>
  <si>
    <t>Depósitos en garantía y otros activos</t>
  </si>
  <si>
    <t>Préstamo por cobrar</t>
  </si>
  <si>
    <t>Activos intangibles, neto</t>
  </si>
  <si>
    <t>Plusvalía</t>
  </si>
  <si>
    <t>Activos por derecho de uso, neto</t>
  </si>
  <si>
    <t>Propiedad, planta y equipo, neto</t>
  </si>
  <si>
    <t>Total de activos no corrientes</t>
  </si>
  <si>
    <t>Efectivo y equivalentes de efectivo</t>
  </si>
  <si>
    <t>Cuentas por cobrar - clientes, neto</t>
  </si>
  <si>
    <t>Otras cuentas por cobrar</t>
  </si>
  <si>
    <t>Activos del contrato</t>
  </si>
  <si>
    <t>Inventarios, neto</t>
  </si>
  <si>
    <t>Gastos pagados por anticipado</t>
  </si>
  <si>
    <t>Impuesto sobre la renta anticipado</t>
  </si>
  <si>
    <t>Total de activos corrientes</t>
  </si>
  <si>
    <t>Total de activos</t>
  </si>
  <si>
    <t>Capital emitido: 243,356 acciones comunes sin valor nominal, emitidas y en circulación</t>
  </si>
  <si>
    <t>Otras reservas</t>
  </si>
  <si>
    <t>Impuesto complementario</t>
  </si>
  <si>
    <t>Utilidades retenidas</t>
  </si>
  <si>
    <t>Participación no controladora</t>
  </si>
  <si>
    <t>Total patrimonio</t>
  </si>
  <si>
    <t>Arrendamientos financieros</t>
  </si>
  <si>
    <t>Documentos y préstamos por pagar</t>
  </si>
  <si>
    <t>Bonos por pagar, neto</t>
  </si>
  <si>
    <t>Pasivos del contrato</t>
  </si>
  <si>
    <t>Impuesto sobre la renta diferido, neto</t>
  </si>
  <si>
    <t>Obligación de desmantelamiento de activo y otros pasivos</t>
  </si>
  <si>
    <t>Total de pasivos no corrientes</t>
  </si>
  <si>
    <t>Cuentas por pagar</t>
  </si>
  <si>
    <t>Documentos y préstamos por pagar (corriente)</t>
  </si>
  <si>
    <t>Arrendamientos financieros (corriente)</t>
  </si>
  <si>
    <t>Prestaciones laborales por pagar</t>
  </si>
  <si>
    <t>Depósitos de clientes</t>
  </si>
  <si>
    <t>Pasivos del contrato (corriente)</t>
  </si>
  <si>
    <t>Gastos acumulados y otras cuentas por pagar</t>
  </si>
  <si>
    <t>Impuesto sobre la renta por pagar</t>
  </si>
  <si>
    <t>Total de pasivos corrientes</t>
  </si>
  <si>
    <t>Total de pasivos</t>
  </si>
  <si>
    <t>Total de pasivos y patrimonio</t>
  </si>
  <si>
    <t>Estado de Flujos de Efectivo</t>
  </si>
  <si>
    <t>Depreciación de propiedad, planta y equipo</t>
  </si>
  <si>
    <t>Depreciación y amortización de activos fijos</t>
  </si>
  <si>
    <t>Depreciación de derecho de uso de activos</t>
  </si>
  <si>
    <t>Amortización de activos por derecho de uso</t>
  </si>
  <si>
    <t>Amortización de activos intangibles</t>
  </si>
  <si>
    <t>Deterioro de propiedades, planta y equipo</t>
  </si>
  <si>
    <t>Pérdida por baja de propiedad, planta y equipo</t>
  </si>
  <si>
    <t>Pérdida neta en deterioro y descarte de activo fijo</t>
  </si>
  <si>
    <t>Pérdida neta en deterioro y descarte de activo intangible</t>
  </si>
  <si>
    <t>Ganancia en venta de activos (torres)</t>
  </si>
  <si>
    <t>Ganancia por desmantelamiento de activos</t>
  </si>
  <si>
    <t>Ganancia por baja de contrato de arrendamiento</t>
  </si>
  <si>
    <t>Provisión para prima de antigüedad</t>
  </si>
  <si>
    <t>(Reversión) de provisión para prima de antigüedad</t>
  </si>
  <si>
    <t>Pérdidas crediticias esperadas</t>
  </si>
  <si>
    <t>Estimación para cuentas de cobro dudoso</t>
  </si>
  <si>
    <t>Amortización de costo de emisión</t>
  </si>
  <si>
    <t>Intereses, neto</t>
  </si>
  <si>
    <t>Compensación basada en acciones</t>
  </si>
  <si>
    <t>Flujos de efectivo antes de cambios en el capital de trabajo</t>
  </si>
  <si>
    <t>Cuentas por cobrar - clientes</t>
  </si>
  <si>
    <t>Inventarios</t>
  </si>
  <si>
    <t>Obligaciones por retiro de activos y otros pasivos</t>
  </si>
  <si>
    <t>Efectivo generado por las operaciones</t>
  </si>
  <si>
    <t>Impuesto sobre la renta pagado</t>
  </si>
  <si>
    <t>Intereses pagados</t>
  </si>
  <si>
    <t>Intereses pagados de deudas</t>
  </si>
  <si>
    <t>Intereses cobrados</t>
  </si>
  <si>
    <t>Intereses pagados de arrendamientos financieros</t>
  </si>
  <si>
    <t>Prima de antigüedad e indemnización pagada</t>
  </si>
  <si>
    <t>Flujos netos de efectivo de las actividades de operación</t>
  </si>
  <si>
    <t>Retiros (aportes) al fondo de cesantía</t>
  </si>
  <si>
    <t>Adquisición de activos intangibles</t>
  </si>
  <si>
    <t>Adquisición de participación no controladora</t>
  </si>
  <si>
    <t>Producto de la venta de activos</t>
  </si>
  <si>
    <t>Producto de la venta propiedad, planta y equipo</t>
  </si>
  <si>
    <t>Préstamo otorgado a intercompañía</t>
  </si>
  <si>
    <t>Préstamo de partes relacionadas</t>
  </si>
  <si>
    <t>Adquisición de propiedad, planta y equipo</t>
  </si>
  <si>
    <t>Flujos netos de efectivo de las actividades de inversión</t>
  </si>
  <si>
    <t>Producto de nuevos bonos y préstamos</t>
  </si>
  <si>
    <t>Adquisición de préstamo</t>
  </si>
  <si>
    <t>Abono a bonos y préstamos</t>
  </si>
  <si>
    <t>Cancelación de préstamo</t>
  </si>
  <si>
    <t>Recompra de bonos</t>
  </si>
  <si>
    <t>Pagos de costos de emisión de bonos</t>
  </si>
  <si>
    <t>Pagos de costos estructuración de préstamo</t>
  </si>
  <si>
    <t>Pago de impuesto complementario</t>
  </si>
  <si>
    <t>Pagos de arrendamientos financieros</t>
  </si>
  <si>
    <t>Flujos netos de efectivo de las actividades de financiamiento</t>
  </si>
  <si>
    <t>Aumento neto en el efectivo y equivalentes de efectivo</t>
  </si>
  <si>
    <t>Efectivo y equivalentes de efectivo al inicio del año</t>
  </si>
  <si>
    <t>Efectivo y equivalentes de efectivo al final del año</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</si>
  <si>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</si>
  <si>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</si>
  <si>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</si>
  <si>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</si>
  <si>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</si>
  <si>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</si>
  <si>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</si>
  <si>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</si>
  <si>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</si>
  <si>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</si>
  <si>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</si>
  <si>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</si>
  <si>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</si>
  <si>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</si>
  <si>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</si>
  <si>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</si>
  <si>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</si>
  <si>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</si>
  <si>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</si>
  <si>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</si>
  <si>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</si>
  <si>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</si>
  <si>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2022</t>
  </si>
  <si>
    <t>INA_CAONDA_2022_0.pdf</t>
  </si>
  <si>
    <t>page-2</t>
  </si>
  <si>
    <t>markdown.md</t>
  </si>
  <si>
    <t>1</t>
  </si>
  <si>
    <t>1. Antecedentes</t>
  </si>
  <si>
    <t>Otros</t>
  </si>
  <si>
    <t>Telecomunicaciones Digitales, S.A. (antes Cable Onda, S.A.) (en adelante el “Emisor”) es uno de los principales proveedores de servicios de telecomunicaciones a consumidores y empresas (tanto públicas como privadas) en la República de Panamá. La mayoría de sus actividades están reguladas por la Autoridad Nacional de los Servicios Públicos de Panamá (“ASEP”).</t>
  </si>
  <si>
    <t>OK</t>
  </si>
  <si>
    <t>El Emisor es una sociedad anónima constituida de acuerdo con las leyes de Panamá mediante Escritura Pública No. 9,452 el 6 de septiembre de 1990 de la Notaria Primera del Circuito de Panamá, inscrita en el Registro Público, Sección de Micropelícula (Mercantil), a la Ficha 238626, Rollo 30394, Imagen 2 desde el 7 de septiembre de 1990.</t>
  </si>
  <si>
    <t>El Emisor absorbió mediante fusión a Telecarrier, Inc. (“Telecarrier”), según consta en la Escritura Pública No. 24,211 de 30 de noviembre de 2009 de la Notaria Primera del Circuito de Panamá, inscrita en el Registro Público a la Ficha 381877, Documento 1686197 de la Sección de Mercantil desde el 30 de noviembre de 2009.</t>
  </si>
  <si>
    <t>El domicilio comercial del Emisor es Costa del Este, Complejo Business Park, Edificio Este, Piso 3, Ciudad de Panamá, República de Panamá. Su dirección postal es Apartado Postal 0831-00593, Panamá, República de Panamá. Su número de teléfono de servicio al cliente es el 390-7555, y su página de internet es www.tigo.com.pa.</t>
  </si>
  <si>
    <t>En septiembre de 2019, el Emisor cerró acuerdo de adquisición del 100% de las acciones de Grupo de Comunicaciones Digitales, S.A. (“Tigo”) antes Telefónica Móviles Panamá, S.A. (“Movistar”).</t>
  </si>
  <si>
    <t>Grupo de Comunicaciones Digitales, S.A. (antes Telefónica Móviles Panamá, S.A.) se enfoca en el servicio de telefonía móvil, servicios de llamadas de larga distancia nacionales e internacionales y la venta de teléfonos celulares necesarios para la prestación de servicios de telefonía celular, siendo líder del mercado móvil por número de suscriptores en Panamá.</t>
  </si>
  <si>
    <t>Mediante Escritura Pública No. 8018 del 27 de abril de 2022, debidamente inscrita al Folio 238626 de la Sección Mercantil del Registro Público, Cable Onda, S.A. cambia su razón social a TELECOMUNICACIONES DIGITALES, S.A.</t>
  </si>
  <si>
    <t>page-3</t>
  </si>
  <si>
    <t>2</t>
  </si>
  <si>
    <t>2. Hitos de Negocios Relevantes</t>
  </si>
  <si>
    <t>Los negocios del Emisor iniciaron en 1980 con la creación de Recreaciones y Exhibiciones, S.A. y continuaron en abril 1991 con la constitución de Cable Onda 90, S.A., a quien posteriormente se denominó Cable Onda, S.A. y actualmente Telecomunicaciones digitales, S.A. Desde sus inicios, el Emisor ha desarrollado sus negocios de servicios residenciales masivos y a pequeñas y medianas empresas ("Pymes"), alcanzando una posición de liderazgo en televisión pagada, internet de banda ancha y telefonía en ese segmento.</t>
  </si>
  <si>
    <t>A partir de diciembre de 2009, con la absorción de Telecarrier, el Emisor incorporó a sus operaciones los negocios del segmento empresarial que aquella ha llevado adelante desde el año 2000.</t>
  </si>
  <si>
    <t>En diciembre de 2018 se concretó la venta del 80% de las acciones del Emisor a Millicom LIH, S.A. sociedad subsidiaria de Millicom International Cellular S.A.</t>
  </si>
  <si>
    <t>Con la adquisición del 100% de las acciones de Grupo de Comunicaciones Digitales, S.A. (antes Telefónica Móviles de Panamá, S.A.), el Emisor, ahora Telecomunicaciones Digitales, S.A. y Grupo de Comunicaciones Digitales, S.A. continúan brindando todos sus servicios a los clientes de manera continua y regular.</t>
  </si>
  <si>
    <t>En junio de 2022 se concretó la venta del 20% restante de las acciones de los accionistas minoritarios del Emisor, a favor de Millicom LIH, S.A. sociedad subsidiaria de Millicom International Cellular, S.A. Actualmente Millicom LIH S.A. es propietario del 100% de las acciones del Emisor.</t>
  </si>
  <si>
    <t>A continuación, se presentan los hitos de negocios de ambas compañías que se combinaron en la empresa que hoy día es el Emisor:</t>
  </si>
  <si>
    <t>tbl-0.html</t>
  </si>
  <si>
    <t>[tbl-0.html](tbl-0.html)</t>
  </si>
  <si>
    <t>page-4</t>
  </si>
  <si>
    <t>tbl-1.html</t>
  </si>
  <si>
    <t>[tbl-1.html](tbl-1.html)</t>
  </si>
  <si>
    <t>page-5</t>
  </si>
  <si>
    <t>3</t>
  </si>
  <si>
    <t>3. Estrategia de Negocios</t>
  </si>
  <si>
    <t>EL propósito principal de Telecomunicaciones Digitales, S.A. (antes Cable Onda, S.A.) es construir autopistas digitales que conecten a más personas y permitan un mayor desarrollo en la República de Panamá. Con más de 40 años de experiencia en Panamá, Telecomunicaciones Digitales, S.A. (antes Cable Onda, S.A.) cuenta con un liderazgo indiscutible en el país y brinda una novedosa oferta en productos y servicios de TV pagada, internet y telefonía fija a nivel nacional. De igual manera, provee servicios de conectividad a empresas PYME y soluciones a grandes corporaciones, incluyendo un Data Cluster de clase mundial conformado por tres International Data Center (IDC), de los cuales dos se encuentran ubicados en la ciudad de Panamá y un tercero en el interior del país, específicamente en la provincia de Herrera.</t>
  </si>
  <si>
    <t>La adquisición de la marca Tigo (antes Cable Onda y Movistar), junto a las marcas Tigo Business (antes Telecarrier), Tigo Empresarial (antes Cable Onda Empresarial) y Fronteras Security, por parte de Telecomunicaciones Digitales, S.A. (antes Cable Onda, S.A.), representa un impulso para el desarrollo de las comunicaciones en el país. Esa solidez alcanzada por el grupo en Panamá nos posiciona como el líder indiscutible en el mercado de las telecomunicaciones en el país y Centroamérica.</t>
  </si>
  <si>
    <t>Tigo (antes Movistar) es el operador móvil número 1 en Panamá, lo que lo ubica con una solidez posición en un mercado de dos jugadores que existen en el país posterior a la salida de Digicel Panamá, S.A. (Digicel) del mercado y la fusión entre Cable &amp;amp; Wireless Panamá, S.A. (Cable &amp;amp; Wireless) y Claro Panamá, S.A. (Claro) en el año 2022. En el año 2019, Tigo (antes Movistar) pasa a formar parte de Grupo Millicom, compartiendo la visión de utilizar la tecnología como un medio para crear valor y generar oportunidades de desarrollo socioeconómico para Panamá. Actualmente desarrolla una estrategia que busca afianzar su liderazgo en el mundo digital.</t>
  </si>
  <si>
    <t>- Tigo Business (antes Telecarrier)</t>
  </si>
  <si>
    <t>La prestigiosa trayectoria de Tigo Business (antes Telecarrier), líder en servicios digitales por su confiabilidad e innovación en el mercado corporativo, cuenta con profesionales altamente calificados y la más importante infraestructura de Centroamérica en Data Centers de clase mundial. Unida a la vasta experiencia de Cable Onda en los diversos segmentos de las comunicaciones, Tigo Business (antes Telecarrier) desarrolla una moderna y sólida infraestructura certificada que ofrece soluciones innovadoras y vanguardistas que responden al desarrollo, la implementación de proyectos y la búsqueda de soluciones digitales.</t>
  </si>
  <si>
    <t>page-6</t>
  </si>
  <si>
    <t>- Tigo Empresarial (antes Cable Onda Empresarial)</t>
  </si>
  <si>
    <t>Se convierte en un socio de negocio para los clientes de los segmentos pyme y comercial al ofrecer soluciones integrales e innovadoras para la movilidad, accesibilidad y respaldo de las comunicaciones de sus clientes. Potencia el crecimiento empresarial a través del acceso a la más reciente tecnología de los negocios Smart.</t>
  </si>
  <si>
    <t>Fronteras Security ofrece un modelo de seguridad de consultoría y soluciones de ciberseguridad de forma confiable e innovadora. Comprometidos con la excelencia y calidad en sus servicios, nos adaptamos a las necesidades de cada negocio. Es la primera firma de ciberseguridad en Panamá, la cual surge de la alianza estratégica entre Telecarrier-Cable Onda y la firma israelí CyberInt, experta en consultoría en ciberseguridad.</t>
  </si>
  <si>
    <t>## B. Pacto Social y Estatutos del Solicitante</t>
  </si>
  <si>
    <t>Dentro del Pacto Social del Emisor, se incluyen las siguientes características:</t>
  </si>
  <si>
    <t>**Domicilio:** El domicilio del emisor está ubicado en la Ciudad de Panamá, República de Panamá, pero la sociedad podrá establecer una o más sucursales u oficinas en cualquier otra parte de la República de Panamá o en cualquier país extranjero, conforme sea autorizado por resolución de la Junta Directiva de la Sociedad.</t>
  </si>
  <si>
    <t>**Duración:** La Duración de la sociedad será perpetua.</t>
  </si>
  <si>
    <t>**Junta de Accionistas:** Al menos una vez al año se celebrará una Asamblea General de accionistas.</t>
  </si>
  <si>
    <t>Las asambleas extraordinarias de accionistas serán convocadas por el presidente o el Secretario de la sociedad, mediante solicitud escrita de los accionistas que representen por lo menos 5% de las acciones emitidas y en circulación con el propósito o propósitos que se establecen en dicha solicitud.</t>
  </si>
  <si>
    <t>Las asambleas de accionistas podrán celebrarse en la República de Panamá o en cualquier otro país conforme dispongan los estatutos o mediante Resolución de la Junta. Los miembros de la Junta podrán participar en cualquier asamblea de accionistas por medio de conferencia telefónica u otros equipos de comunicación.</t>
  </si>
  <si>
    <t>**Junta Directiva:** La Junta Directiva estará conformada por no menos de tres (3) directores, ni más de cinco (5) miembros. Actualmente, el Emisor cuenta con tres (3) directores. Los</t>
  </si>
  <si>
    <t>page-7</t>
  </si>
  <si>
    <t>directores pueden ser nombrados por los Accionistas, las vacantes que ocurran en la Junta Directiva serán llenadas por acuerdo de la mayoría del resto de los miembros de la misma.</t>
  </si>
  <si>
    <t>La Junta Directiva se celebrarán en las fechas en que sean acordadas por sus miembros, las mismas podrán celebrarse en la República de Panamá o en cualquier otro país conforme dispongan los estatutos o mediante Resolución de la Junta. Los miembros de la Junta podrán participar en cualquier asamblea de accionistas por medio de conferencia telefónica u otros equipos de comunicación.</t>
  </si>
  <si>
    <t>Representante Legal: La Representación Legal de la sociedad la ostentará el presidente, en su ausencia (en su orden), el Tesorero o el Secretario.</t>
  </si>
  <si>
    <t>Contratos con Partes Relacionadas: Los contratos o transacciones entre partes relacionadas no serán nulos ni anulables por el sólo hecho de que uno o más de los directores o dignatarios de la sociedad tengan intereses en la otra o sean directores o dignatarios de la misma, ni por el sólo hecho de que 1 o más de los directores o dignatarios de esta sociedad, sean parte o estén interesados en dicho contrato o transacción.</t>
  </si>
  <si>
    <t>Derechos de los Tenedores de Acciones: Todas las acciones tienen los mismos derechos, facultades, preferencia y privilegios.</t>
  </si>
  <si>
    <t>Toda acción otorga a su tenedor un (1) voto sobre todos los asuntos corporativos que deban decidir los accionistas.</t>
  </si>
  <si>
    <t>Otros Derechos: Los accionistas también tendrán Derechos Preferenciales, Derecho de Participación y Derecho de Información.</t>
  </si>
  <si>
    <t>Estatutos: Las sociedades anónimas panameñas no tienen obligación de adoptar Estatutos. A la fecha de este Informe, el Emisor no ha adoptado Estatutos.</t>
  </si>
  <si>
    <t>## C. Descripción del Negocio</t>
  </si>
  <si>
    <t>El Emisor es una empresa de telecomunicaciones que ofrece los servicios de televisión pagada, servicios de telecomunicación de alta tecnología que incluye la transmisión, almacenamiento y hospedaje de datos, servicios en la nube, respaldo y recuperación de información, acceso a internet, co-ubicación, servicios de aplicación y comercio electrónico y telefonía básica residencial y corporativa y larga distancia nacional e internacional. A continuación, un detalle de los diferentes segmentos de negocios:</t>
  </si>
  <si>
    <t>1. Segmentos de Negocios:</t>
  </si>
  <si>
    <t>Segmentos</t>
  </si>
  <si>
    <t>Fecha de este Informe: 28 de Abril de 2023.</t>
  </si>
  <si>
    <t>page-8</t>
  </si>
  <si>
    <t>Este segmento del mercado de telecomunicaciones está comprendido por clientes residenciales y comerciales (o "Pymes"). El Emisor ofrece principalmente a esta clientela los servicios de televisión pagada, internet de banda ancha y telefonía.</t>
  </si>
  <si>
    <t>Estos tres servicios son ofrecidos por el Emisor a sus clientes principalmente a través de su red híbrida de fibra y cable coaxial ("HFC", por sus siglas en inglés). Puesto que la construcción y mantenimiento de su extensa red HFC constituye una considerable inversión de capital del Emisor, uno de los objetivos estratégicos del Emisor es incrementar el número de clientes del segmento masivo que generen ingresos producto de la suscripción de más de un servicio, lo que en la industria de telecomunicaciones se conoce comúnmente como la estrategia de "triple play". Con ese propósito el Emisor ofrece paquetes que combinan dos o tres servicios y que buscan permitir a los clientes pagar una tarifa combinada menor que si contrataran estos servicios separadamente con proveedores distintos.</t>
  </si>
  <si>
    <t>El servicio de televisión pagada fue el primer servicio ofrecido por el Emisor desde 1980). Dada su larga trayectoria, variada oferta de canales, y productos diferenciadores (como canales exclusivos), el Emisor es el principal proveedor de televisión pagada del país.</t>
  </si>
  <si>
    <t>i.1. Señal</t>
  </si>
  <si>
    <t>Se utilizan tres tipos de tecnologías (todas digitales) para la entrega de dicho servicio a los suscriptores del Emisor:</t>
  </si>
  <si>
    <t>- Señal Digital vía Red HFC: Este tipo de señal requiere de la instalación de cajas digitales de decodificación de señal. Las cajas digitales permiten al Emisor ofrecer mayor cantidad de canales a los clientes, alcanzar un mayor nivel de seguridad en contra de robo de señal, optimizar el uso de su red y transmitir señal de canales de alta definición.</t>
  </si>
  <si>
    <t>- Señal por Satélite ("DTH"): Método de transmisión televisiva que consistente en retransmitir desde un satélite de comunicaciones una señal de televisión emitida desde un punto de la Tierra, de forma que ésta pueda llegar a otras partes del planeta. De esta forma es posible la difusión de señal televisiva a grandes extensiones de terreno, independientemente de sus condiciones orográficas. Es utilizado para expandir la cobertura del Emisor en áreas donde el servicio por medio de la red híbrida de fibra coaxial no es factible o rentable.</t>
  </si>
  <si>
    <t>Representante Legal: [Signature]</t>
  </si>
  <si>
    <t>page-9</t>
  </si>
  <si>
    <t>- Señal por Frecuencias de Microondas: Este tipo de señal se brinda por medio de tecnología digital inalámbrica y antenas digitales con frecuencias de microondas. Es utilizado para expandir la cobertura del Emisor en áreas o edificios donde el servicio por medio de la red híbrida de fibra coaxial no es factible o rentable.</t>
  </si>
  <si>
    <t>## i.2. Canales de Programación</t>
  </si>
  <si>
    <t>El Emisor ofrece distintos planes de programación de televisión pagada que se ajustan a las necesidades de cada cliente. El Emisor modifica periódicamente el listado de canales de televisión contenidos en cada plan, con el fin de ajustar los mismos a la demanda de su clientela e incorporar nuevos canales de programación que estén disponibles.</t>
  </si>
  <si>
    <t>El Emisor emite la mayoría de sus canales en alta definición lo cual permite apreciar hasta 6 veces mejor resolución que la TV convencional resultando en una mejor calidad de imagen, mayor nitidez y colores más reales, luminosos y vibrantes. Además, servicio ofrece sonido Dolby Digital 5.1, que es más definido e intenso que el de la televisión regular. En adición, El Emisor cuenta con canales exclusivos de deportes y noticias, como Cable Onda Sports, Tigo Sports y Eco TV.</t>
  </si>
  <si>
    <t>Todos los canales de programación que ofrece el Emisor están respaldados por contratos con los respectivos proveedores de programación.</t>
  </si>
  <si>
    <t>## ii. Internet de Banda Ancha</t>
  </si>
  <si>
    <t>En 1999, el Emisor fue la primera empresa en brindar el servicio de internet en el país y actualmente es el mayor proveedor de este servicio bajo la tecnología HFC que brinda velocidades hasta 1,000 MB (1 GB).</t>
  </si>
  <si>
    <t>B/.</t>
  </si>
  <si>
    <t>## iii. Telefonía Fija y Móvil</t>
  </si>
  <si>
    <t>El Emisor ofrece diversos planes de telefonía fija orientados al segmento masivo, los cuales varían en cuanto a la cantidad de minutos incluidos y otras características con el fin de atender las necesidades de cada cliente. En 2011, El Emisor lanzó con éxito el plan “Panamá Ilimitado” ofreciendo llamadas locales y de larga distancia nacional ilimitada a una tarifa fija mensual y en 2016 el plan “Mundo Ilimitado” ofreciendo la posibilidad de llamar a 10 países internacionales. El Emisor revisa y adapta periódicamente dichos planes. A partir del mes de agosto de 2019, incorpora en su catálogo de productos planes de telefonía móvil debido a la adquisición del 100% de las acciones de Grupo de Comunicaciones Digitales, S.A. (antes Telefónica Móviles Panamá, S.A.)</t>
  </si>
  <si>
    <t>Adicionalmente a estos tres servicios, se les ofrece a los clientes comerciales (“Pyme”) servicios de valor agregado como: soluciones de centrales telefónica, video vigilancia, equipos informáticos, servicios de Data Center, aplicaciones hospedadas (“cloud</t>
  </si>
  <si>
    <t>page-10</t>
  </si>
  <si>
    <t>computing"), Smart Wifi, Office 365, respaldo de información y datos (recuperación de datos y backup corporativo y replicación de datos) y Redes de Datos.</t>
  </si>
  <si>
    <t>## b. Segmento Empresarial (Grandes Empresas y Gobierno)</t>
  </si>
  <si>
    <t>El Emisor, a través de su marca comercial Tigo Business (antes Telecarrier), brinda a su clientela empresarial y de gobierno soluciones de clase mundial, tales como soluciones en la nube a través de una robusta plataforma de virtualización redundante entre sus tres International Data Centers, co-ubicación (gabinetes y suites), Metro Ethernet con QoS, centralización de operaciones, almacenamiento, soluciones de contingencia y continuidad de negocios, soluciones a la medida, monitoreo de redes, servicios de soporte, internet de alta calidad, soluciones de telefonía IP, servicios de seguridad y Programa SPLA de Microsoft. Todas estas soluciones están soportadas por una red nacional de alta capilaridad que opera con altos niveles de confiabilidad y seguridad, y dos International Data Centers de calidad mundial.</t>
  </si>
  <si>
    <t>## i. Principales Servicios</t>
  </si>
  <si>
    <t>### i.1. Servicios Agregados</t>
  </si>
  <si>
    <t>Estos servicios incluyen:</t>
  </si>
  <si>
    <t>- Hosting: permite almacenar, publicar información, imágenes y video para que puedan ser accedidos vía internet desde cualquier parte del mundo. - Registro de dominios: establece la presencia nacional (.pa) o internacional (.com y otros) de los suscriptores.</t>
  </si>
  <si>
    <t>### i.2. Circuitos Privados de Datos</t>
  </si>
  <si>
    <t>Estos servicios permiten la conexión de datos entre puntos geográficamente distantes. Los circuitos privados de datos incluyen:</t>
  </si>
  <si>
    <t>- Circuito Privado de Datos Ethernet: Es el servicio más utilizado a nivel mundial. Utiliza el protocolo Ethernet y ofrece velocidades de transmisión entre 64 Kbps a más de 1,000 MB. - Circuito Privado de Datos Circuit Emulation: Es el servicio preferido por grandes empresas y multinacionales por la confiabilidad en la comunicación punto a punto. Bajo este servicio, el Emisor garantiza al cliente el 100% del ancho de banda contratado.</t>
  </si>
  <si>
    <t>page-11</t>
  </si>
  <si>
    <t>&amp;gt; Circuito Privado Internacional de Datos (IPL): Es el servicio orientado a grandes empresas y multinacionales que permite la comunicación internacional dedicada punto a punto. Es conocido como “International Private Line” o “IPL” y permite al cliente enviar y/o recibir información de sus oficinas entre distintos países dentro de un solo circuito integrado.</t>
  </si>
  <si>
    <t>## i.3. Soluciones de Seguridad Administrada</t>
  </si>
  <si>
    <t>Esta categoría abarca una amplia gama de servicios que incluyen:</t>
  </si>
  <si>
    <t>&amp;gt; Servicio Administrados: Permite el equipamiento de la estructura de red de cada cliente a una infraestructura WAN (Wide Area Network), nivel de Capa 2 (Modelo OSI) para una gestión confiable y segura en sus enlaces privados de datos.</t>
  </si>
  <si>
    <t>&amp;gt; Routers Administrados: Ofrece los equipamientos terminales (routers) para la administración inteligente de las rutas de comunicación entre los distintos puntos de sus clientes.</t>
  </si>
  <si>
    <t>&amp;gt; Seguridad Administrativa: Ofrece la administración de “firewalls” que evita los constantes ataques por parte de piratas informáticos y el posible congestionamiento de la red pública a la red privada de sus clientes.</t>
  </si>
  <si>
    <t>## i.4. Telefonía Fija y Móvil</t>
  </si>
  <si>
    <t>A raíz de la apertura de servicios de telefonía fija y larga distancia en enero de 2003, el Emisor, inició operaciones en el segmento de telefonía local e internacional ese mismo año.</t>
  </si>
  <si>
    <t>El Emisor ofrece líneas E1 (troncales digitales) y soluciones de telefonía corporativa con características apropiadas para este segmento de clientes y adaptadas a la medida para atender sus necesidades específicas de cada cliente.</t>
  </si>
  <si>
    <t>A partir de la adquisición de Grupo de Comunicaciones Digitales, S.A. (antes Telefónica Móviles Panamá, S.A.) en el mes de agosto de 2019, el emisor ofrece servicios de telefonía móvil a sus clientes del segmento empresarial.</t>
  </si>
  <si>
    <t>## ii. International Data Center (“IDC”)</t>
  </si>
  <si>
    <t>Ciertos de los servicios del Emisor son ofrecidos a través de la plataforma de tres IDCs ubicados en: la Ciudad del Saber, Divisa y el edificio Cable Onda ubicado en la Avenida 12 de Octubre. Dichos IDCs son activos estratégicos del Emisor y elementos diferenciadores para el desarrollo de sus negocios en el segmento de empresas y gobierno.</t>
  </si>
  <si>
    <t>2023</t>
  </si>
  <si>
    <t>INA_CAONDA_2023_0.pdf</t>
  </si>
  <si>
    <t>Grupo de Comunicaciones Digitales, S.A. se enfoca en el servicio de telefonía móvil, servicios de llamadas de larga distancia nacionales e internacionales y la venta de teléfonos celulares necesarios para la prestación de servicios de telefonía celular, siendo líder del mercado móvil por número de suscriptores en Panamá.</t>
  </si>
  <si>
    <t>Los negocios del Emisor iniciaron en 1980 con la creación de Recreaciones y Exhibiciones, S.A. y continuaron en abril 1991 con la constitución Telecomunicaciones Digitales, S.A. (antes Cable Onda, S.A.) (en ese entonces bajo la razón social Cable Onda 90, S.A.). Desde sus inicios, el Emisor ha desarrollado sus negocios de servicios residenciales masivos y a</t>
  </si>
  <si>
    <t>pequeñas y medianas empresas ("Pymes"), alcanzando una posición de liderazgo en televisión pagada, internet de banda ancha y telefonía en ese segmento.</t>
  </si>
  <si>
    <t>Con la adquisición del 100% de las acciones de Grupo de Comunicaciones Digitales, S.A. (antes Telefónica Móviles de Panamá, S.A.). El Emisor, Telecomunicaciones Digitales, S.A. y Grupo de Comunicaciones Digitales, S.A., seguirán brindando todos sus servicios a los clientes de manera continua y regular.</t>
  </si>
  <si>
    <t>En junio de 2022 se concretó la venta del 20% restante de las acciones del Emisor a los accionistas minoritarios por parte de Millicom LIH, S.A. sociedad subsidiaria de Millicom International Cellular, S.A. para tener 100% de las acciones del Emisor.</t>
  </si>
  <si>
    <t>TIGO es una marca de Millicom, proveedor líder de servicios móviles y de cable dedicado a mercados emergentes en América Latina. El propósito principal de Millicom es construir autopistas digitales que conecten a más personas y permitan un mayor desarrollo en las comunidades donde opera Telecomunicaciones Digitales, S.A. con más de 40 años de experiencia en Panamá, cuenta con un liderazgo indiscutible en el país y brinda una novedosa oferta en productos y servicios de TV pagada, internet y telefonía fija a nivel nacional. De igual manera, provee servicios de conectividad a empresas PYME y soluciones a grandes corporaciones, incluyendo un Data Cluster de clase mundial conformado por tres International Data Center (IDC), de los cuales dos se encuentran ubicados en la ciudad de Panamá y un tercero en el interior del país, específicamente en la provincia de Herrera.</t>
  </si>
  <si>
    <t>La adquisición de la marca Tigo (antes Cable Onda y Movistar), junto a las marcas Tigo Business (antes Telecarrier), Tigo Empresarial (antes Cable Onda Empresarial) y Fronteras Security, por Millicom TIGO, representa un impulso para el desarrollo de las comunicaciones en el país. Esa solidez alcanzada por el grupo en Panamá nos posiciona como el líder indiscutible en el mercado de las telecomunicaciones en el país y Centroamérica.</t>
  </si>
  <si>
    <t>Tigo (antes Movistar), es el operador móvil número 1 en Panamá, lo que lo ubica con una sólida posición en un mercado de dos jugadores que existen en el país. En el año 2019, Tigo (antes Movistar), pasa a formar parte de Grupo Millicom, compartiendo la visión de utilizar la tecnología como un medio para crear valor y generar oportunidades de desarrollo socioeconómico para Panamá. Actualmente desarrolla una estrategia que busca afianzar su liderazgo en el mundo digital.</t>
  </si>
  <si>
    <t>La prestigiosa trayectoria de Tigo Business (antes Telecarrier), líder en servicios digitales por su confiabilidad e innovación en el mercado corporativo, cuenta con profesionales altamente calificados y la más importante infraestructura de Centroamérica en Data Centers de clase mundial. Unida a la vasta experiencia de Telecomunicaciones Digitales, S.A. en los diversos segmentos de las comunicaciones, Tigo Business (antes Telecarrier), desarrolla una moderna y sólida infraestructura certificada que ofrece soluciones innovadoras y vanguardistas que responden al desarrollo, la implementación de proyectos y la búsqueda de soluciones digitales. Igualmente se convierte en un socio de negocio para los clientes de los segmentos Pyme y comercial al ofrecer soluciones integrales e innovadoras para la movilidad, accesibilidad y respaldo de las comunicaciones de sus clientes. Potencia el crecimiento empresarial a través del acceso a la más reciente tecnología de los negocios Smart.</t>
  </si>
  <si>
    <t>Adicionalmente, Tigo Business ofrece un modelo de seguridad de consultoría y soluciones de ciberseguridad de forma confiable e innovadora. Comprometidos con la excelencia y calidad en sus servicios, nos adaptamos a las necesidades de cada negocio.</t>
  </si>
  <si>
    <t>Junta de Accionistas: Al menos una vez al año se celebrará una Asamblea General de accionistas.</t>
  </si>
  <si>
    <t>Las asambleas extraordinarias de accionistas serán convocadas por el presidente o el secretario de la sociedad, mediante solicitud escrita de los accionistas que representen por lo menos 5% de las acciones emitidas y en circulación con el propósito o propósitos que se establecen en dicha solicitud.</t>
  </si>
  <si>
    <t>Junta Directiva: La Junta Directiva constará de no menos de tres (3) ni más de cinco (5) miembros, quienes podrán ser personal natural o jurídica.</t>
  </si>
  <si>
    <t>La Asamblea extraordinarias de accionistas serán convocadas con no menos de tres (3) ni más de quince (15) días de antelación a la fecha de la reunión.</t>
  </si>
  <si>
    <t>Las Sesiones de la Junta, salvo que se disponga otra cosa, se llevará a cabo en la República de Panamá. Los miembros de la Junta podrán participar en cualquier asamblea de accionistas por medio de conferencia telefónica u otros equipos de comunicación.</t>
  </si>
  <si>
    <t>Representante Legal: La Representación Legal de la sociedad la ostentará el presidente, en su ausencia (en su orden), vicepresidente, el Tesorero o el secretario.</t>
  </si>
  <si>
    <t>Contratos con Partes Relacionadas: El Pacto Social prohíbe la celebración de contratos entre el Emisor y uno o más de sus directores o dignatarios, o algún negocio en los que éstos tengan intereses directos o indirectos; sin embargo, la Política interna de “Conflictos de intereses” establece limitaciones para este tipo de relaciones contractuales.</t>
  </si>
  <si>
    <t>Otros Derechos: Los accionistas también tendrán Derechos Preferenciales, Derecho de Arrastres, Derecho de Participación y Derecho de Información.</t>
  </si>
  <si>
    <t>Este segmento del mercado de telecomunicaciones está comprendido por clientes residenciales y comerciales (o “Pymes”). El Emisor ofrece principalmente a esta clientela los servicios de televisión pagada, internet de banda ancha y telefonía.</t>
  </si>
  <si>
    <t>Estos tres servicios son los principales ofrecidos por el Emisor a sus clientes a través de sus redes fijas y móviles. Uno de los objetivos estratégicos del Emisor es incrementar el número de clientes de los segmentos masivos fijos que generen ingresos producto de la suscripción de más de un servicio, lo que en la industria de telecomunicaciones se conoce comúnmente como la estrategia de “triple play”. Con ese propósito el Emisor ofrece paquetes que combinan dos o tres servicios y que buscan permitir a los clientes pagar una tarifa combinada menor que si contrataran estos servicios separadamente con proveedores distintos.</t>
  </si>
  <si>
    <t>El servicio de televisión pagada fue el primer servicio ofrecido por el Emisor desde 1980. Dada su larga trayectoria, variada oferta de canales, y productos diferenciadores (como canales exclusivos), el Emisor es el principal proveedor de televisión pagada del país.</t>
  </si>
  <si>
    <t>#### i.1. Señal</t>
  </si>
  <si>
    <t>Se utilizan tres tipos de tecnologías (todas digitales), para la entrega de dicho servicio a los suscriptores del Emisor:</t>
  </si>
  <si>
    <t>- Señal por Satélite ("DTH"): Método de transmisión televisiva que consistente en retransmitir desde un satélite de comunicaciones una señal de televisión emitida desde un punto de la Tierra, de forma que ésta pueda llegar a otras partes del planeta. De esta forma es posible la difusión de señal televisiva a grandes extensiones de terreno, independientemente de sus condiciones orográficas. Es utilizado para expandir la cobertura del Emisor en áreas donde el servicio por medio de la red híbrida de fibra coaxial no es factible o rentable. - Señal por Frecuencias de Microondas: Este tipo de señal se brinda por medio de tecnología digital inalámbrica y antenas digitales con frecuencias de microondas. Es utilizado para expandir la cobertura del Emisor en áreas o edificios donde el servicio por medio de la red híbrida de fibra coaxial no es factible o rentable.</t>
  </si>
  <si>
    <t>El Emisor emite la mayoría de sus canales en alta definición lo cual permite apreciar hasta 6 veces mejor resolución que la TV convencional resultando en una mejor calidad de imagen, mayor nitidez y colores más reales, luminosos y vibrantes. Además, ofrece servicio de sonido Dolby Digital 5.1, que es más definido e intenso que el de la televisión regular. En adición, El Emisor cuenta con canales exclusivos de deportes y noticias, como COS, Tigo Sports y Eco TV.</t>
  </si>
  <si>
    <t>El Emisor ofrece diversos planes de telefonía fija orientados al segmento masivo, los cuales varían en cuanto a la cantidad de minutos incluidos y otras características con el fin de atender las necesidades de cada cliente. En 2011, El Emisor lanzó con éxito el plan "Panamá Ilimitado" ofreciendo llamadas locales y de larga distancia nacional ilimitada a una tarifa fija mensual y más recientemente en 2016 el plan "Mundo Ilimitado" ofreciendo la posibilidad de llamar a 10 países internacionales. El Emisor revisa y adapta periódicamente dichos planes. A partir del mes de agosto de 2019, incorpora en su catálogo de productos</t>
  </si>
  <si>
    <t>planes de telefonía móvil debido a la adquisición del 100% de las acciones de Grupo de Comunicaciones Digitales, S.A. (antes Telefónica Móviles Panamá, S.A.)</t>
  </si>
  <si>
    <t>Adicionalmente a estos tres servicios, se les ofrece a los clientes comerciales ("Pyme"), servicios de valor agregado como: soluciones de centrales telefónica, video vigilancia, equipos informáticos, servicios de Data Center, aplicaciones hospedadas ("cloud computing"), Smart Wifi, Office 365, respaldo de información y datos (recuperación de datos y backup corporativo y replicación de datos) y Redes de Datos.</t>
  </si>
  <si>
    <t>- Hosting: permite almacenar, publicar información, imágenes y video para que puedan ser accedidos vía internet desde cualquier parte del mundo. - Registro de dominios: establece la presencia nacional (.pa) o internacional (.com), y otros de los suscriptores.</t>
  </si>
  <si>
    <t>- Circuito Privado de Datos Ethernet: Es el servicio más utilizado a nivel mundial. Utiliza el protocolo Ethernet y ofrece velocidades de transmisión entre 64 Kbps a más de 1,000 MB. - Circuito Privado de Datos Circuit Emulation: Es el servicio preferido por grandes empresas y multinacionales por la confiabilidad en la comunicación punto a punto.</t>
  </si>
  <si>
    <t>Bajo este servicio, el Emisor garantiza al cliente el 100% del ancho de banda contratado.</t>
  </si>
  <si>
    <t>- Circuito Privado Internacional de Datos (IPL): Es el servicio orientado a grandes empresas y multinacionales que permite la comunicación internacional dedicada punto a punto. Es conocido como "International Private Line" o "IPL" y permite al cliente enviar y/o recibir información de sus oficinas entre distintos países dentro de un solo circuito integrado.</t>
  </si>
  <si>
    <t>i.3. Soluciones de Seguridad Administrada.</t>
  </si>
  <si>
    <t>- Servicio Administrados: Permite el equipamiento de la estructura de red de cada cliente a una infraestructura WAN (Wide Area Network), nivel de Capa 2 (Modelo OSI), para una gestión confiable y segura en sus enlaces privados de datos. - Routers Administrados: Ofrece los equipamientos terminales (routers), para la administración inteligente de las rutas de comunicación entre los distintos puntos de sus clientes. - Seguridad Administrativa: Ofrece la administración de "firewalls" que evita los constantes ataques por parte de piratas informáticos y el posible congestionamiento de la red pública a la red privada de sus clientes.</t>
  </si>
  <si>
    <t>i.4. Telefonía Fija y Móvil</t>
  </si>
  <si>
    <t>El Emisor ofrece líneas E1 (troncales digitales), y soluciones de telefonía corporativa con características apropiadas para este segmento de clientes y adaptadas a la medida para atender sus necesidades específicas de cada cliente.</t>
  </si>
  <si>
    <t>A partir de la adquisición de Grupo de Comunicaciones Digitales, S.A. (antes Telefónica Móviles Panamá, S.A.), en el mes de agosto de 2019, el emisor ofrece servicios de telefonía móvil a sus clientes del segmento empresarial.</t>
  </si>
  <si>
    <t>ii. International Data Center ("IDC")</t>
  </si>
  <si>
    <t>Ciertos de los servicios del Emisor son ofrecidos a través de la plataforma de tres IDCs ubicados en: la Ciudad del Saber, Divisa y el edificio TIGO ubicado en la Avenida 12 de octubre. Dichos IDCs son activos estratégicos del Emisor y elementos diferenciadores para el desarrollo de sus negocios en el segmento de empresas y gobierno.</t>
  </si>
  <si>
    <t>2024</t>
  </si>
  <si>
    <t>INA_CAONDA_2024_0.pdf</t>
  </si>
  <si>
    <t>El domicilio comercial del Emisor es Costa del Este, Complejo Business Park, Edificio Este, Piso 3, Ciudad de Panamá, República de Panamá. Su Apartado Postal es 0831-00593, Panamá, República de Panamá. Su número de teléfono de servicio al cliente es el 390-7555, y su página de internet es www.tigo.com.pa.</t>
  </si>
  <si>
    <t>Grupo de Comunicaciones Digitales, S.A. es concesionaria del servicio de telefonía móvil celular, telefonía fija, de larga distancia nacionales e internacionales y venta de teléfonos celulares, siendo líder del mercado móvil en Panamá.</t>
  </si>
  <si>
    <t>pequeñas y medianas empresas ("Pymes"), alcanzando una posición de liderazgo en internet de banda ancha, televisión pagada, y telefonía.</t>
  </si>
  <si>
    <t>En diciembre de 2018 se concretó la venta del 80% de las acciones del Emisor a Millicom LIH, S.A., sociedad subsidiaria de Millicom International Cellular S.A. Luego se concretó la adquisición del 100% de las acciones de Grupo de Comunicaciones Digitales, S.A. (antes Telefónica Móviles de Panamá, S.A.). El Emisor, Telecomunicaciones Digitales, S.A. y Grupo de Comunicaciones Digitales, S.A., continúan brindando todos sus servicios a los clientes de manera continua y regular.</t>
  </si>
  <si>
    <t>En junio de 2022, se concretó la venta del 20% restante de las acciones del Emisor, que ostentaban los accionistas minoritarios, a Millicom LIH, S.A.</t>
  </si>
  <si>
    <t>El Emisor brinda sus servicios bajo la marca TIGO, propiedad de Millicom International Cellular S.A.</t>
  </si>
  <si>
    <t>Telecomunicaciones Digitales, S.A. cuenta con más de 30 años de experiencia en Panamá, con un liderazgo indiscutible en el país. Cuenta con un amplio portafolio de servicios, a través de los cuales presta servicios de telecomunicaciones a un sinfín de usuarios a nivel nacional. Dentro de los servicios provistos se encuentran los servicios de Data Center, ya</t>
  </si>
  <si>
    <t>que cuenta con un robusto cluster de centro de datos: Clayton, 12 de octubre en ciudad de Panamá y uno en Divisa, Herrera.</t>
  </si>
  <si>
    <t>Los servicios provistos por TIGO impulsan el desarrollo de las principales actividades económicas que sustentan el crecimiento económico del país, como los son las actividades que conforman el sector terciario. Además, a través de dichos servicios de contribuye de forma robusta al cierre de la brecha digital, conectando a los no conectados, llevando desarrollo a las comunidades aisladas en zonas rurales.</t>
  </si>
  <si>
    <t>**Domicilio**: El domicilio del emisor está ubicado en la Ciudad de Panamá, República de Panamá, pero la sociedad podrá establecer una o más sucursales u oficinas en cualquier otra parte de la República de Panamá o en cualquier país extranjero, conforme sea autorizado por resolución de la Junta Directiva de la Sociedad.</t>
  </si>
  <si>
    <t>**Duración**: La duración de la sociedad será perpetua.</t>
  </si>
  <si>
    <t>**Junta de Accionistas**: Salvo que la Junta Directiva disponga otra cosa, la Junta General de Accionistas se celebrará todos los años, en la fecha y lugar que determine la Junta Directiva.</t>
  </si>
  <si>
    <t>Las asambleas extraordinarias de accionistas serán convocadas por la Junta Directiva o el presidente de la sociedad, cuando así lo soliciten por escrito la mayoría de los miembros de la Junta Directiva, o uno o más accionistas que representen por lo menos 5% de las acciones emitidas y en circulación, con el propósito o propósitos que se establecen en dicha solicitud.</t>
  </si>
  <si>
    <t>La Asamblea extraordinarias de accionistas serán convocadas con no menos de diez (10) ni más de sesenta (60) días de antelación a la fecha de la reunión.</t>
  </si>
  <si>
    <t>**Junta Directiva**: La Junta Directiva constará de no menos de tres (3) ni más de cinco (5) miembros, quienes podrán ser personal natural o jurídica.</t>
  </si>
  <si>
    <t>Las sesiones de la Junta, salvo que se disponga otra cosa, se llevará a cabo en la República de Panamá. Los miembros de la Junta podrán participar en cualquier asamblea de accionistas por medio de conferencia telefónica u otros equipos de comunicación.</t>
  </si>
  <si>
    <t>Representante Legal: La representación legal de la sociedad la ostentará el presidente, en su ausencia, el tesorero o el secretario.</t>
  </si>
  <si>
    <t>Contratos con Partes Relacionadas: El pacto social señala que los contratos u otras transacciones celebradas entre ésta y cualquier otra sociedad no serán nulos ni anulables por el solo hecho de que uno o más de los directores o dignatarios de la sociedad tengan intereses en la otra o sean directores o dignatarios de esta, ni por el solo hecho de que uno o más de los directores o dignatarios de esta sociedad, sean parte o estén interesados en dicho contrato o transacción.</t>
  </si>
  <si>
    <t>Estatutos: Las sociedades anónimas panameñas no tienen obligación de adoptar Estatutos. A la fecha de este Informe, el Emisor no ha adoptado Estatus</t>
  </si>
  <si>
    <t>El Emisor es una empresa de telecomunicaciones que ofrece servicio de internet, de televisión pagada, servicios de transporte de datos, almacenamiento y hospedaje de datos, servicios en la nube y telefonía móvil celular, telefonía fija, larga distancia nacional e internacional. A continuación, un detalle de los diferentes segmentos de negocios:</t>
  </si>
  <si>
    <t>Este segmento está conformado por clientes residenciales y comerciales (o "Pymes"). El Emisor ofrece principalmente a esta clientela los servicios de televisión pagada, internet de banda ancha y telefonía móvil celular, telefonía fija, larga distancia nacional e internacional.</t>
  </si>
  <si>
    <t>Uno de los objetivos estratégicos del Emisor es incrementar el número de clientes de los segmentos masivos que cuenten con un catálogo integral de los servicios provistos por el Emisor.</t>
  </si>
  <si>
    <t>## i.1 Señal</t>
  </si>
  <si>
    <t>- Señal por Satélite (“DTH”): Método de transmisión televisiva que consistente en retransmitir desde un satélite de comunicaciones una señal de televisión emitida desde un punto de la Tierra, de forma que ésta pueda llegar a otras partes del planeta. De esta forma, es posible la difusión de señal televisiva a grandes extensiones de terreno, independientemente de sus condiciones orográficas. Es utilizado para expandir la cobertura del Emisor en áreas donde no hay desplegada red cableada.</t>
  </si>
  <si>
    <t>El Emisor emite la mayoría de sus canales en alta definición lo cual permite apreciar hasta 6 veces mejor resolución que la TV convencional resultando en una mejor calidad de imagen, mayor nitidez y colores más reales, luminosos y vibrantes.</t>
  </si>
  <si>
    <t>Además, el servicio ofrece sonido Dolby Digital 5.1, que es más definido e intenso que el de la televisión regular. En adición, El Emisor cuenta con canales exclusivos de deportes y noticias, como COS, Tigo Sports y Eco TV.</t>
  </si>
  <si>
    <t>En 1999, el Emisor fue la primera empresa en brindar el servicio de internet en el país y actualmente es el mayor proveedor a nivel nacional de este servicio, a través de las redes FTTH y HFC, llegando a brindar, en las localidades en que se encuentre disponible, velocidades hasta de 1 GB.</t>
  </si>
  <si>
    <t>El Emisor ofrece diversos planes de telefonía fija orientados al segmento masivo, los cuales varían en cuanto a la cantidad de minutos incluidos y otras características con el fin de atender las necesidades de cada cliente.</t>
  </si>
  <si>
    <t>En 2011, El Emisor lanzó con éxito el plan “Panamá Ilimitado” ofreciendo llamadas locales y de larga distancia nacional ilimitada a una tarifa fija mensual y en 2016, el plan “Mundo Ilimitado” ofreciendo la posibilidad de llamar a 10 países internacionales.</t>
  </si>
  <si>
    <t>A partir del mes de agosto de 2019, incorpora en su catálogo de productos planes de telefonía móvil debido a la adquisición de Grupo de Comunicaciones Digitales, S.A. (antes Telefónica Móviles Panamá, S.A.).</t>
  </si>
  <si>
    <t>Adicionalmente a estos, se les ofrece a los clientes comerciales (“Pyme”) los servicios de valor agregado como: soluciones de centrales telefónica, video vigilancia, equipos informáticos, servicios de Data Center, aplicaciones hospedadas (“cloud computing”), Smart Wifi, Office 365, respaldo de información y datos (recuperación de datos y backup corporativo y replicación de datos) y Redes de Datos.</t>
  </si>
  <si>
    <t>El Emisor, a través de su marca comercial Tigo Business, brinda a su clientela empresarial y de gobierno distintas soluciones, tales como soluciones en la nube a través de una robusta plataforma de virtualización redundante entre sus tres International Data Centers, cubicación (gabinetes y suites), Metro Ethernet con QoS, centralización de operaciones, almacenamiento, soluciones de contingencia y continuidad de negocios, soluciones a la medida, monitoreo de redes, servicios de soporte, internet de alta calidad, soluciones de telefonía IP, servicios de seguridad y Programa SPLA de Microsoft. Todas estas soluciones están soportadas por una red nacional de alta capilaridad que opera con altos niveles de confiabilidad y seguridad, y tres centros de datos.</t>
  </si>
  <si>
    <t># i. Principales Servicios</t>
  </si>
  <si>
    <t>## i.1. Servicios Agregados</t>
  </si>
  <si>
    <t>## i.2. Circuitos Privados de Datos</t>
  </si>
  <si>
    <t>- Circuito Privado de Datos Ethernet: Es el servicio más utilizado a nivel mundial. Utiliza el protocolo Ethernet y ofrece velocidades de transmisión entre 64 Kbps a más de 1,000 MB. - Circuito Privado de Datos Circuit Emulation: Es el servicio preferido por grandes empresas y multinacionales por la confiabilidad en la comunicación punto a punto. Bajo este servicio, el Emisor garantiza al cliente el 100% del ancho de banda contratado. - Circuito Privado Internacional de Datos (IPL): Es el servicio orientado a grandes empresas y multinacionales que permite la comunicación internacional dedicada punto a punto. Es conocido como “International Private Line” o “IPL” y permite al cliente enviar y/o recibir información de sus oficinas entre distintos países dentro de un solo circuito integrado.</t>
  </si>
  <si>
    <t>## i.3. Soluciones de Seguridad Administrada.</t>
  </si>
  <si>
    <t>- Servicio Administrados: Permite el equipamiento de la estructura de red de cada cliente a una infraestructura WAN (Wide Area Network), nivel de Capa 2 (Modelo OSI), para una gestión confiable y segura en sus enlaces privados de datos. - Routers Administrados: Ofrece los equipamientos terminales (routers), para la administración inteligente de las rutas de comunicación entre los distintos puntos de sus clientes. - Seguridad Administrativa: Ofrece la administración de “firewalls” que evita los constantes ataques por parte de piratas informáticos y el posible congestionamiento de la red pública a la red privada de sus clientes.</t>
  </si>
  <si>
    <t># i.4. Telefonía Fija y Móvil</t>
  </si>
  <si>
    <t>A partir de la adquisición de Grupo de Comunicaciones Digitales, S.A. (antes Telefónica Móviles Panamá, S.A.), en el mes de agosto de 2019, el emisor ofrece servicios de telefonía móvil a sus clientes.</t>
  </si>
  <si>
    <t>Ciertos servicios del Emisor son ofrecidos a través de la plataforma de tres IDCs ubicados en: la Ciudad del Saber, Divisa y el edificio TIGO ubicado en la Avenida 12 de octubre. Dichos IDCs son activos estratégicos del Emisor y elementos diferenciadores para el desarrollo de sus negocios en el segmento de empresas y gobierno.</t>
  </si>
  <si>
    <t>2025</t>
  </si>
  <si>
    <t>INA_CAONDA_2025_0.pdf</t>
  </si>
  <si>
    <t>Telecomunicaciones Digitales, S.A. (antes Cable Onda, S.A.) (en adelante el "Emisor") es uno de los principales proveedores de servicios de telecomunicaciones a consumidores y empresas (tanto públicas como privadas) en la República de Panamá. La mayoría de sus actividades están reguladas por la Autoridad Nacional de los Servicios Públicos de Panamá ("ASEP").</t>
  </si>
  <si>
    <t>El Emisor absorbió mediante fusión a Telecarrier, Inc. ("Telecarrier"), según consta en la Escritura Pública No. 24,211 de 30 de noviembre de 2009 de la Notaria Primera del Circuito de Panamá, inscrita en el Registro Público a la Ficha 381877, Documento 1686197 de la Sección de Mercantil desde el 30 de noviembre de 2009.</t>
  </si>
  <si>
    <t>El domicilio comercial del Emisor es Costa del Este, Complejo Business Park, Edificio Este, Piso 3, Ciudad de Panamá, República de Panamá. Su apartado Postal 0831-00593, Panamá, República de Panamá. Su número de teléfono de servicio al cliente es el 390-7555, y su página de internet es www.tigo.com.pa.</t>
  </si>
  <si>
    <t>En septiembre de 2019, el Emisor cerró acuerdo de adquisición del 100% de las acciones de Grupo de Comunicaciones Digitales, S.A. ("Tigo") antes Telefónica Móviles Panamá, S.A. ("Movistar").</t>
  </si>
  <si>
    <t>Los negocios del Emisor iniciaron en 1980 con la creación de Recreaciones y Exhibiciones, S.A. y continuaron en abril 1991 con la constitución Telecomunicaciones Digitales, S.A. (antes Cable Onda, S.A.) (en ese entonces bajo la razón social Cable Onda 90, S.A.). Desde sus inicios, el Emisor ha desarrollado sus negocios de servicios residenciales masivos y a pequeñas y medianas empresas ("Pymes"), alcanzando una posición de liderazgo en internet de banda ancha, televisión pagada y telefonía.</t>
  </si>
  <si>
    <t>En diciembre de 2018 se concretó la venta del 80% de las acciones del Emisor a Millicom LIH, S.A. sociedad subsidiaria de Millicom International Cellular S.A. Luego se concretó la adquisición del 100% de las acciones de Grupo de Comunicaciones Digitales, S.A. (antes Telefónica Móviles de Panamá, S.A.). El Emisor, Telecomunicaciones Digitales, S.A. y Grupo</t>
  </si>
  <si>
    <t>de Comunicaciones Digitales, S.A., siguen brindando todos sus servicios a los clientes de manera continua y regular.</t>
  </si>
  <si>
    <t>En junio de 2022 se concretó la venta del 20% restante de las acciones del Emisor, que ostentaban los accionistas minoritarios a Millicom LIH, S.A.</t>
  </si>
  <si>
    <t>El Emisor brinda sus servicios bajo la marca TIGO, propiedad de Millicom International Cellular, S.A.</t>
  </si>
  <si>
    <t>Telecomunicaciones Digitales, S.A. cuenta con más de 30 años de experiencia en Panamá, con un liderazgo indiscutible en el país. Dispone de un amplio portafolio de servicios, a través de los cuales ofrece soluciones de telecomunicaciones a usuarios en todo el territorio nacional. Dentro de los servicios provistos se encuentra el Data Center, que cuenta con un robusto clúster de centro de datos: Clayton, 12 de octubre en ciudad de Panamá y uno en Divisa, Herrera.</t>
  </si>
  <si>
    <t>Los servicios provistos por TIGO impulsan el desarrollo de las principales actividades económicas que sustentan el crecimiento económico del país, como los son las actividades que conforman el sector terciario. Además, a través de dichos servicios se contribuye de forma robusta al cierre de la brecha digital, conectando y llevando desarrollo a las comunidades aisladas en zonas rurales.</t>
  </si>
  <si>
    <t>Duración: La Duración de la sociedad será perpetua.</t>
  </si>
  <si>
    <t>Junta de Accionistas: Salvo que la Junta Directiva disponga otra cosa, la Junta General de Accionistas se celebrará todos los años, en la fecha y lugar que determine la Junta Directiva.</t>
  </si>
  <si>
    <t>Representante Legal: La Representación Legal de la sociedad la ostentará el presidente, en su ausencia, el Tesorero o el secretario.</t>
  </si>
  <si>
    <t>Contratos con Partes Relacionadas: El Pacto Social señala que los contratos u otras transacciones celebradas entre ésta y cualquier otra sociedad no serán nulos ni anulables por el solo hecho de que uno o más de los directores o dignatarios de la sociedad tengan intereses en la otra o sean directores o dignatarios de esta, ni por el solo hecho de que uno o más de los directores o dignatarios de esta sociedad, sean parte o estén interesados en dicho contrato o transacción.</t>
  </si>
  <si>
    <t>C. Descripción del Negocio</t>
  </si>
  <si>
    <t>### i.1. Señal</t>
  </si>
  <si>
    <t>- Se utilizan tres tipos de tecnologías (todas digitales), para la entrega de dicho servicio a los suscriptores del Emisor: Señal Digital vía Red HFC o FTTH: Este tipo de señal requiere de la instalación de cajas digitales de decodificación de señal. Las cajas digitales permiten al Emisor ofrecer mayor cantidad de canales a los clientes, alcanzar un mayor nivel de seguridad en contra de robo de señal, optimizar el uso de su red y transmitir señal de canales de alta definición.</t>
  </si>
  <si>
    <t>### i.2. Canales de Programación</t>
  </si>
  <si>
    <t>El Emisor emite la mayoría de sus canales en alta definición lo cual permite apreciar hasta 6 veces mejor resolución que la TV convencional resultando en una mejor calidad de imagen, mayor nitidez y colores más reales, luminosos y vibrantes. Además, el servicio ofrece sonido Dolby Digital 5.1, que es más definido e intenso que el de la televisión regular. En adición, El Emisor cuenta con canales exclusivos de deportes y noticias, como COS, Tigo Sports y Eco TV.</t>
  </si>
  <si>
    <t>ii. Internet de Banda Ancha</t>
  </si>
  <si>
    <t>iii. Telefonía Fija y Móvil</t>
  </si>
  <si>
    <t>b. Segmento Empresarial (Grandes Empresas y Gobierno)</t>
  </si>
  <si>
    <t>El Emisor, a través de su marca comercial Tigo Business, brinda a su clientela empresarial y de gobierno distintas soluciones, tales como soluciones en la nube a través de una robusta plataforma de virtualización redundante entre sus tres International Data Centers (IDCs), cubicación (gabinetes y suites), Metro Ethernet con QoS, centralización de operaciones, almacenamiento, soluciones de contingencia y continuidad de negocios, soluciones a la medida, monitoreo de redes, servicios de soporte, internet de alta calidad, soluciones de telefonía IP, servicios de seguridad y Programa SPLA de Microsoft. Todas estas soluciones están soportadas por una red nacional de alta capilaridad que opera con altos niveles de confiabilidad y seguridad, y tres centros de datos.</t>
  </si>
  <si>
    <t>i.1. Servicios Agregados Estos servicios incluyen: - Hosting: permite almacenar, publicar información, imágenes y video para que puedan ser accedidos vía internet desde cualquier parte del mundo. - Registro de dominios: establece la presencia nacional (.pa) o internacional (.com), y otros de los suscriptores.</t>
  </si>
  <si>
    <t>i.2. Circuitos Privados de Datos Estos servicios permiten la conexión de datos entre puntos geográficamente distantes. Los circuitos privados de datos incluyen: - Circuito Privado de Datos Ethernet: Es el servicio más utilizado a nivel mundial. Utiliza el protocolo Ethernet y ofrece velocidades de transmisión superiores de 10,000 MB.</t>
  </si>
  <si>
    <t>- Circuito Privado de Datos Circuit Emulation: Es el servicio preferido por grandes empresas y multinacionales por la confiabilidad en la comunicación punto a punto. Bajo este servicio, el Emisor garantiza al cliente el 100% del ancho de banda contratado. - Circuito Privado Internacional de Datos (IPL): Es el servicio orientado a grandes empresas y multinacionales que permite la comunicación internacional dedicada punto a punto. Es conocido como "International Private Line" o "IPL" y permite al cliente enviar y/o recibir información de sus oficinas entre distintos países dentro de un solo circuito integrado.</t>
  </si>
  <si>
    <t>i. International Data Center ("IDC")</t>
  </si>
  <si>
    <t>COLOR KEY: Input (azul) · Fórmula (negro) · Link inter-hoja (verde)</t>
  </si>
  <si>
    <t>Escenario (1=Base, 2=Bull, 3=Bear)</t>
  </si>
  <si>
    <t xml:space="preserve">  Selector escenario</t>
  </si>
  <si>
    <t>caso</t>
  </si>
  <si>
    <t>NOT_DISCLOSED</t>
  </si>
  <si>
    <t>Derivación mecánica declarada por el plan.</t>
  </si>
  <si>
    <t xml:space="preserve">  Escenario activo</t>
  </si>
  <si>
    <t>moneda del modelo</t>
  </si>
  <si>
    <t>Selector de caso activo C5: Base/Bull/Bear.</t>
  </si>
  <si>
    <t>Unidad</t>
  </si>
  <si>
    <t>Fuente / nota</t>
  </si>
  <si>
    <t>Rationale</t>
  </si>
  <si>
    <t>A. INGRESOS - SEGMENTOS</t>
  </si>
  <si>
    <t xml:space="preserve">  Telefonía móvil - driver activo (% YoY)</t>
  </si>
  <si>
    <t>%</t>
  </si>
  <si>
    <t xml:space="preserve">    Bear</t>
  </si>
  <si>
    <t>Escenario driver citado; NOT_DISCLOSED si no hay fuente explícita.</t>
  </si>
  <si>
    <t xml:space="preserve">    Base</t>
  </si>
  <si>
    <t xml:space="preserve">    Bull</t>
  </si>
  <si>
    <t xml:space="preserve">  Telefonía móvil (hist, ref EEFF)</t>
  </si>
  <si>
    <t>EEFF (citado por fórmula viva)</t>
  </si>
  <si>
    <t>Mirror histórico desde fuente citada.</t>
  </si>
  <si>
    <t>B. COSTO DE VENTAS (% de ingresos)</t>
  </si>
  <si>
    <t xml:space="preserve">  Costos de operación — driver activo</t>
  </si>
  <si>
    <t xml:space="preserve">  Costos de operación ÷ ingresos (hist, ref EEFF)</t>
  </si>
  <si>
    <t>C. GASTOS OPERATIVOS (% de ingresos)</t>
  </si>
  <si>
    <t xml:space="preserve">  Gastos de operación — driver activo</t>
  </si>
  <si>
    <t xml:space="preserve">  Gastos de operación ÷ ingresos (hist, ref EEFF)</t>
  </si>
  <si>
    <t>A.2 PROYECTOS Y SOLUCIONES - B2G / NO RECURRENTE</t>
  </si>
  <si>
    <t xml:space="preserve">  Proyectos y soluciones - driver activo (B/.)</t>
  </si>
  <si>
    <t xml:space="preserve">  Proyectos y soluciones (hist, ref EEFF; DRIVER_DETAIL_PENDING contrato/milestones)</t>
  </si>
  <si>
    <t>Derivación mecánica por fórmula viva.</t>
  </si>
  <si>
    <t>_CHECKS panel — operating-EBITDA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</si>
  <si>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</si>
  <si>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</si>
  <si>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</si>
  <si>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</si>
  <si>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</si>
  <si>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</si>
  <si>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</si>
  <si>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</si>
  <si>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</si>
  <si>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</si>
  <si>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</si>
  <si>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</si>
  <si>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</si>
  <si>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</si>
  <si>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</si>
  <si>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</si>
  <si>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</si>
  <si>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</si>
  <si>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</si>
  <si>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Observed hard tie threshold for model-to-model cash residuals; define cash-component role when restricted cash/time deposits exist.</t>
  </si>
  <si>
    <t>CF_ROLLFORWARD</t>
  </si>
  <si>
    <t>UNIVERSAL | expected 0; hard_tie_tolerance; historical rows may be WARN if source CF transcript is incomplete. | source applies_to: all 16 where CF is modeled</t>
  </si>
  <si>
    <t>expected 0; hard_tie_tolerance; historical rows may be WARN if source CF transcript is incomplete. Default full-USD hard tie threshold is $1,000 unless the workbook declares a tighter scale-aware tolerance.</t>
  </si>
  <si>
    <t>NI_TIE_TO_EQUITY</t>
  </si>
  <si>
    <t>UNIVERSAL | expected 0; hard_tie_tolerance. | source applies_to: all 16</t>
  </si>
  <si>
    <t>SOURCE_GAP</t>
  </si>
  <si>
    <t>Tigo NI tie anchor needs signed NCI/attributable-income row disambiguation before hard blocking.</t>
  </si>
  <si>
    <t>NI_SIGN_SANITY</t>
  </si>
  <si>
    <t>UNIVERSAL | expected 0; sign convention must be stated in row description. | source applies_to: all 16</t>
  </si>
  <si>
    <t>Sign convention diagnostic remains visible; tax-sign taxonomy is not a signed hard-control anchor.</t>
  </si>
  <si>
    <t>RE_ROLLFORWARD</t>
  </si>
  <si>
    <t>UNIVERSAL | expected 0; hard_tie_tolerance. | source applies_to: all 16 with RE row</t>
  </si>
  <si>
    <t>Tigo RE rollforward needs signed dividend/NCI row disambiguation before hard blocking.</t>
  </si>
  <si>
    <t>EQUITY_TOTAL_TIE</t>
  </si>
  <si>
    <t>No semantic anchors resolved for EQUITY_TOTAL_TIE.</t>
  </si>
  <si>
    <t>BS_LINEITEM_SUM_ASSETS</t>
  </si>
  <si>
    <t>expected 0; hard_tie_tolerance. Default full-USD hard tie threshold is $1,000 unless the workbook declares a tighter scale-aware tolerance.</t>
  </si>
  <si>
    <t>BS_LINEITEM_SUM_LIAB_EQUITY</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</si>
  <si>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</si>
  <si>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</si>
  <si>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</si>
  <si>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</si>
  <si>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</si>
  <si>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</si>
  <si>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</si>
  <si>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</si>
  <si>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</si>
  <si>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</si>
  <si>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</si>
  <si>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</si>
  <si>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PPE_SCHEDULE_TIE</t>
  </si>
  <si>
    <t>ARCHETYPE/conditional | expected 0; hard_tie_tolerance. | source applies_to: operating-EBITDA, power, utility, downstream fuel, other non-financials</t>
  </si>
  <si>
    <t>No semantic anchors resolved for PPE_SCHEDULE_TIE.</t>
  </si>
  <si>
    <t>LEASE_SCHEDULE_TIE</t>
  </si>
  <si>
    <t>ARCHETYPE/conditional | expected 0; hard_tie_tolerance. | source applies_to: IFRS-16 issuers</t>
  </si>
  <si>
    <t>No semantic anchors resolved for LEASE_SCHEDULE_TIE.</t>
  </si>
  <si>
    <t>DEBT_SCHEDULE_TIE</t>
  </si>
  <si>
    <t>ARCHETYPE/conditional | expected 0; hard_tie_tolerance; project-finance debt can include accrued interest/unamortized cost roles. | source applies_to: non-bank-lender, power, utility, operating-EBITDA with debt</t>
  </si>
  <si>
    <t>No semantic anchors resolved for DEBT_SCHEDULE_TIE.</t>
  </si>
  <si>
    <t>OPERATING-EBITDA CHECKS</t>
  </si>
  <si>
    <t>OPERATING_GP_OR_EBITDA_TIE</t>
  </si>
  <si>
    <t>ARCHETYPE | expected 0; hard_tie_tolerance. | source applies_to: operating-EBITDA, downstream fuel, power when EBITDA is used</t>
  </si>
  <si>
    <t>No semantic anchors resolved for OPERATING_GP_OR_EBITDA_TIE.</t>
  </si>
  <si>
    <t>OPERATING_WC_DRIVER_TIE</t>
  </si>
  <si>
    <t>ARCHETYPE | expected 0; hard_tie_tolerance. | source applies_to: operating-EBITDA/downstream fuel</t>
  </si>
  <si>
    <t>No semantic anchors resolved for OPERATING_WC_DRIVER_TIE.</t>
  </si>
  <si>
    <t>DOWNSTREAM_VOL_MARGIN_TIE</t>
  </si>
  <si>
    <t>ARCHETYPE | expected 0; observed PDelta hard check #13. | source applies_to: downstream fuel</t>
  </si>
  <si>
    <t>No semantic anchors resolved for DOWNSTREAM_VOL_MARGIN_TIE.</t>
  </si>
  <si>
    <t>Source_Register — operating-EBITDA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</si>
  <si>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</si>
  <si>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</si>
  <si>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</si>
  <si>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</si>
  <si>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</si>
  <si>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</si>
  <si>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</si>
  <si>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</si>
  <si>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</si>
  <si>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</si>
  <si>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</si>
  <si>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</si>
  <si>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OCR_ROOT:tigo</t>
  </si>
  <si>
    <t>OCR_ROOT</t>
  </si>
  <si>
    <t>CAONDA</t>
  </si>
  <si>
    <t>EEFF; Notas_EEFF</t>
  </si>
  <si>
    <t>OCR of the published filings</t>
  </si>
  <si>
    <t>Annual reports (INA) of tigo</t>
  </si>
  <si>
    <t>EEFF_FILING:hi_caonda_hecho_de_importancia_fusion</t>
  </si>
  <si>
    <t>EEFF_FILING</t>
  </si>
  <si>
    <t>HI_CAONDA_HECHO DE IMPORTANCIA- FUSION.pdf</t>
  </si>
  <si>
    <t>EEFF; Notas_EEFF; MD&amp;A</t>
  </si>
  <si>
    <t>markdown.md sha256=9f3f5abb290410eb...</t>
  </si>
  <si>
    <t>EEFF_FILING:hi_caonda_hecho_de_importancia_smv_se_comunica_jd_de_gdcd</t>
  </si>
  <si>
    <t>HI_CAONDA_HECHO DE IMPORTANCIA- SMV-se comunica JD de GDCD.pdf</t>
  </si>
  <si>
    <t>markdown.md sha256=85cf316978386b41...</t>
  </si>
  <si>
    <t>EEFF_FILING:ina_caonda_2022_0</t>
  </si>
  <si>
    <t>00-index.md; 01-eeff.md; 02-notas.md; 03-mda.md; 09-otros.md</t>
  </si>
  <si>
    <t>FY22 (A)</t>
  </si>
  <si>
    <t>120</t>
  </si>
  <si>
    <t>markdown.md sha256=f1add467adc8d32f...</t>
  </si>
  <si>
    <t>EEFF_FILING:ina_caonda_2023_0</t>
  </si>
  <si>
    <t>FY23 (A)</t>
  </si>
  <si>
    <t>125</t>
  </si>
  <si>
    <t>markdown.md sha256=1cabaacf89b38e9c...</t>
  </si>
  <si>
    <t>EEFF_FILING:ina_caonda_2024_0</t>
  </si>
  <si>
    <t>FY24 (A)</t>
  </si>
  <si>
    <t>113</t>
  </si>
  <si>
    <t>markdown.md sha256=96f3c93920495f25...</t>
  </si>
  <si>
    <t>EEFF_FILING:ina_caonda_2025_0</t>
  </si>
  <si>
    <t>FY25 (A)</t>
  </si>
  <si>
    <t>117</t>
  </si>
  <si>
    <t>markdown.md sha256=3f03ab976b9667eb...</t>
  </si>
  <si>
    <t>NOTA:INA_CAONDA_2022_0.pdf#1</t>
  </si>
  <si>
    <t>NOTA</t>
  </si>
  <si>
    <t>Notas_EEFF</t>
  </si>
  <si>
    <t>48</t>
  </si>
  <si>
    <t>NOTA:INA_CAONDA_2022_0.pdf#2</t>
  </si>
  <si>
    <t>markdown.md; tbl-0.html; tbl-1.html</t>
  </si>
  <si>
    <t>8</t>
  </si>
  <si>
    <t>NOTA:INA_CAONDA_2022_0.pdf#3</t>
  </si>
  <si>
    <t>26</t>
  </si>
  <si>
    <t>NOTA:INA_CAONDA_2023_0.pdf#1</t>
  </si>
  <si>
    <t>43</t>
  </si>
  <si>
    <t>NOTA:INA_CAONDA_2023_0.pdf#2</t>
  </si>
  <si>
    <t>9</t>
  </si>
  <si>
    <t>NOTA:INA_CAONDA_2023_0.pdf#3</t>
  </si>
  <si>
    <t>24</t>
  </si>
  <si>
    <t>NOTA:INA_CAONDA_2024_0.pdf#1</t>
  </si>
  <si>
    <t>NOTA:INA_CAONDA_2024_0.pdf#2</t>
  </si>
  <si>
    <t>NOTA:INA_CAONDA_2024_0.pdf#3</t>
  </si>
  <si>
    <t>22</t>
  </si>
  <si>
    <t>NOTA:INA_CAONDA_2025_0.pdf#1</t>
  </si>
  <si>
    <t>37</t>
  </si>
  <si>
    <t>NOTA:INA_CAONDA_2025_0.pdf#2</t>
  </si>
  <si>
    <t>NOTA:INA_CAONDA_2025_0.pdf#3</t>
  </si>
  <si>
    <t>21</t>
  </si>
  <si>
    <t>DRIVER:EEFF (citado por fórmula viva)</t>
  </si>
  <si>
    <t>DRIVER_OTHER</t>
  </si>
  <si>
    <t>Supuestos</t>
  </si>
  <si>
    <t>Telefonía móvil (hist, ref EEFF)</t>
  </si>
  <si>
    <t>4</t>
  </si>
  <si>
    <t>Unclassified _source citation shape: EEFF (citado por fórmula viva)</t>
  </si>
  <si>
    <t>DRIVER:NOT_DISCLOSED</t>
  </si>
  <si>
    <t>Selector escenario</t>
  </si>
  <si>
    <t>18</t>
  </si>
  <si>
    <t>Unclassified _source citation shape: NOT_DISCLOSED</t>
  </si>
  <si>
    <t>_CHANGELOG — generation record for tigo.</t>
  </si>
  <si>
    <t>Internal build history omitted from the public export. Record public changes below.</t>
  </si>
  <si>
    <t>MD&amp;A — Informe de Actualización INA_CAONDA_2025_0 (índice verbatim del mirror OCR; la narrativa completa vive en el mirror)</t>
  </si>
  <si>
    <t>Fuente: mirror OCR INA_CAONDA_2025_0, sección MD&amp;A · sha256=596b7c915ce5d5d9… · linaje completo en Source_Register.</t>
  </si>
  <si>
    <t>A. ÍNDICE DE SECCIONES DEL MD&amp;A (verbatim, con página del filing)</t>
  </si>
  <si>
    <t>· I PARTE  (pág. 2)</t>
  </si>
  <si>
    <t xml:space="preserve">  · I. INFORMACION DE LA COMPAÑÍA  (pág. 2)</t>
  </si>
  <si>
    <t xml:space="preserve">    · A. Historia y Desarrollo del Emisor  (pág. 2)</t>
  </si>
  <si>
    <t xml:space="preserve">  · 3. Estrategia de Negocios  (pág. 4)</t>
  </si>
  <si>
    <t xml:space="preserve">  · B. Pacto Social y Estatutos del Solicitante  (pág. 4)</t>
  </si>
  <si>
    <t>· 1. Segmentos de Negocios:  (pág. 6)</t>
  </si>
  <si>
    <t xml:space="preserve">  · a. Segmento Masivo  (pág. 6)</t>
  </si>
  <si>
    <t xml:space="preserve">  · i. Televisión Pagada  (pág. 6)</t>
  </si>
  <si>
    <t xml:space="preserve">    · i.1. Señal  (pág. 6)</t>
  </si>
  <si>
    <t xml:space="preserve">    · i.2. Canales de Programación  (pág. 6)</t>
  </si>
  <si>
    <t xml:space="preserve">  · 2. Descripción de la Industria  (pág. 9)</t>
  </si>
  <si>
    <t xml:space="preserve">  · i. Evolución de la Industria  (pág. 9)</t>
  </si>
  <si>
    <t xml:space="preserve">    · a. Servicio de Televisión Pagada  (pág. 9)</t>
  </si>
  <si>
    <t xml:space="preserve">    · b. Servicios de Datos e Internet  (pág. 9)</t>
  </si>
  <si>
    <t xml:space="preserve">  · c. Servicios de Telefonía Fija Local e Internacional  (pág. 11)</t>
  </si>
  <si>
    <t xml:space="preserve">  · d. Servicios de Telefonía Móvil  (pág. 11)</t>
  </si>
  <si>
    <t xml:space="preserve">  · 3. Mercadeo y Distribución  (pág. 11)</t>
  </si>
  <si>
    <t>· 4. Concesiones  (pág. 12)</t>
  </si>
  <si>
    <t>· 5. Sanciones Administrativas  (pág. 13)</t>
  </si>
  <si>
    <t>· Estructura Organizativa  (pág. 13)</t>
  </si>
  <si>
    <t>· D. Propiedad, Plantas y Equipo  (pág. 14)</t>
  </si>
  <si>
    <t>· (15) Propiedad, planta y equipo, neto  (pág. 14)</t>
  </si>
  <si>
    <t>· E. Investigación y Desarrollo, Patentes, Licencias, etc.  (pág. 14)</t>
  </si>
  <si>
    <t>· F. Información sobre tendencias  (pág. 14)</t>
  </si>
  <si>
    <t xml:space="preserve">  · II. ANÁLISIS DE RESULTADOS FINANCIEROS Y OPERATIVOS / FINANZAS  (pág. 15)</t>
  </si>
  <si>
    <t xml:space="preserve">    · A. Liquidez:  (pág. 15)</t>
  </si>
  <si>
    <t xml:space="preserve">    · B. Recursos de Capital:  (pág. 15)</t>
  </si>
  <si>
    <t xml:space="preserve">  · C. Resultados de las Operaciones  (pág. 16)</t>
  </si>
  <si>
    <t>· D. Perspectivas:  (pág. 17)</t>
  </si>
  <si>
    <t>· III. DIRECTORES, DIGNATARIOS, EJECUTIVOS, ADMINISTRADORES, ASESORES Y EMPLEADOS  (pág. 17)</t>
  </si>
  <si>
    <t>· A. Identidad  (pág. 17)</t>
  </si>
  <si>
    <t>· Juan José de Dios Morales – Gerente General  (pág. 20)</t>
  </si>
  <si>
    <t>· Pablo Mansilla Caseres – Director ejecutivo de Finanzas  (pág. 20)</t>
  </si>
  <si>
    <t>· Bernardo Pañoni – Director ejecutivo B2B  (pág. 20)</t>
  </si>
  <si>
    <t>· Jorge Cisnero – Director ejecutivo B2C  (pág. 20)</t>
  </si>
  <si>
    <t>· Victor Inchausti - Vicepresidente de Red.  (pág. 21)</t>
  </si>
  <si>
    <t>· Mariel Díaz Cadet – Director ejecutivo de Asuntos Corporativos  (pág. 21)</t>
  </si>
  <si>
    <t>· Sonia de Rodriguez – Director ejecutivo de Operaciones y Experiencia Clientes.  (pág. 21)</t>
  </si>
  <si>
    <t>· Maria del Carmem Serrano – Director ejecutivo de Recursos Humanos  (pág. 21)</t>
  </si>
  <si>
    <t>· 1- Empleados de importancia y asesores.  (pág. 22)</t>
  </si>
  <si>
    <t>· 2- Asesores Legales.  (pág. 22)</t>
  </si>
  <si>
    <t xml:space="preserve">  · Asesor Legal Interno:  (pág. 22)</t>
  </si>
  <si>
    <t xml:space="preserve">  · Asesor Legal Externo:  (pág. 22)</t>
  </si>
  <si>
    <t xml:space="preserve">  · MORGAN &amp;amp; MORGAN (M&amp;amp;M)  (pág. 22)</t>
  </si>
  <si>
    <t xml:space="preserve">  · ALFARO, FERRER Y RAMIREZ (AFRA)  (pág. 22)</t>
  </si>
  <si>
    <t>· 3- Auditores.  (pág. 22)</t>
  </si>
  <si>
    <t xml:space="preserve">  · 4- Designación por acuerdos o entendimientos  (pág. 23)</t>
  </si>
  <si>
    <t xml:space="preserve">  · B. Compensación  (pág. 23)</t>
  </si>
  <si>
    <t xml:space="preserve">  · C. Prácticas de la Directiva  (pág. 23)</t>
  </si>
  <si>
    <t xml:space="preserve">  · D. Empleados  (pág. 24)</t>
  </si>
  <si>
    <t xml:space="preserve">  · E. Propiedad Accionaria  (pág. 24)</t>
  </si>
  <si>
    <t>· IV. ACCIONISTAS PRINCIPALES  (pág. 25)</t>
  </si>
  <si>
    <t>· B. Persona controladora  (pág. 25)</t>
  </si>
  <si>
    <t>· C. Cambios en el control accionario  (pág. 25)</t>
  </si>
  <si>
    <t>· V. PARTES RELACIONADAS, VINCULOS Y AFILIACIONES  (pág. 25)</t>
  </si>
  <si>
    <t>· VI. TRATAMIENTO FISCAL  (pág. 26)</t>
  </si>
  <si>
    <t xml:space="preserve">  · A. Impuesto sobre la Renta con respecto a Ganancias de Capital  (pág. 26)</t>
  </si>
  <si>
    <t xml:space="preserve">  · B. Impuesto sobre la Renta con respecto a Intereses  (pág. 26)</t>
  </si>
  <si>
    <t xml:space="preserve">  · C. Retención por Impuestos  (pág. 27)</t>
  </si>
  <si>
    <t xml:space="preserve">  · VII. ESTRUCTURA DE CAPITALIZACIÓN  (pág. 27)</t>
  </si>
  <si>
    <t xml:space="preserve">    · A. Resumen de la Estructura de Capitalización  (pág. 27)</t>
  </si>
  <si>
    <t>· 2. Títulos de Deuda  (pág. 28)</t>
  </si>
  <si>
    <t>· Descripción y Derechos de los Títulos  (pág. 28)</t>
  </si>
  <si>
    <t xml:space="preserve">  · 3. Capital accionario  (pág. 28)</t>
  </si>
  <si>
    <t xml:space="preserve">  · 4. Títulos de participación  (pág. 28)</t>
  </si>
  <si>
    <t xml:space="preserve">  · 5. Títulos de deuda  (pág. 28)</t>
  </si>
  <si>
    <t xml:space="preserve">  · B. Información de Mercado  (pág. 31)</t>
  </si>
  <si>
    <t xml:space="preserve">  · II PARTE  (pág. 31)</t>
  </si>
  <si>
    <t xml:space="preserve">  · RESUMEN FINANCIERO Actualizado  (pág. 31)</t>
  </si>
  <si>
    <t xml:space="preserve">    · A. Presentación aplicable a emisores del sector comercial e industrial:  (pág. 31)</t>
  </si>
  <si>
    <t>· III PARTE  (pág. 33)</t>
  </si>
  <si>
    <t xml:space="preserve">  · ESTADOS FINANCIEROS / FINANZAS  (pág. 33)</t>
  </si>
  <si>
    <t>· IV PARTE  (pág. 34)</t>
  </si>
  <si>
    <t xml:space="preserve">  · GOBIERNO CORPORATIVO  (pág. 34)</t>
  </si>
  <si>
    <t xml:space="preserve">  · Contenido mínimo  (pág. 35)</t>
  </si>
  <si>
    <t xml:space="preserve">  · Junta Directiva  (pág. 35)</t>
  </si>
  <si>
    <t>· Junta Directiva  (pág. 36)</t>
  </si>
  <si>
    <t>· V PARTE  (pág. 40)</t>
  </si>
  <si>
    <t xml:space="preserve">  · ESTADOS FINANCIEROS DE GARANTES O FIADORES  (pág. 40)</t>
  </si>
  <si>
    <t>· VI PARTE  (pág. 40)</t>
  </si>
  <si>
    <t xml:space="preserve">  · DIVULGACIÓN  (pág. 40)</t>
  </si>
  <si>
    <t>· FIRMA  (pág. 40)</t>
  </si>
  <si>
    <t>Doctrina: hoja índice/verbatim — sin narrativa inventada; cifras solo del filing (NOT_DISCLOSED donde no hay dato).</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</si>
  <si>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</si>
  <si>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</si>
  <si>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</si>
  <si>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</si>
  <si>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</si>
  <si>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</si>
  <si>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</si>
  <si>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</si>
  <si>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Notas_EEFF: 1 cell written, at A3; _CHECKS: 1 cell written, at G12; Source_Register: 3 cells written, at A2, I5, M5; _CHANGELOG: data A1:H33 -&gt; A1:A3 (rows 33 -&gt; 3, columns 8 -&gt; 1), 205 cells written, at A2, A3, B3, C3, D3, E3, F3, G3, H3, A4, B4, C4, D4, E4, F4 and 190 more.
Other actions: clear x1.
Agent: OpenFinmods export</t>
  </si>
  <si>
    <t>Compare against source and review public copy</t>
  </si>
</sst>
</file>

<file path=xl/styles.xml><?xml version="1.0" encoding="utf-8"?>
<styleSheet xmlns="http://schemas.openxmlformats.org/spreadsheetml/2006/main">
  <numFmts count="8">
    <numFmt numFmtId="164" formatCode="#,##0;(#,##0);-"/>
    <numFmt numFmtId="165" formatCode="General"/>
    <numFmt numFmtId="166" formatCode="@"/>
    <numFmt numFmtId="167" formatCode="#,##0;[Red](#,##0);-"/>
    <numFmt numFmtId="168" formatCode="0.0%"/>
    <numFmt numFmtId="169" formatCode="0"/>
    <numFmt numFmtId="170" formatCode="yyyy-mm-dd"/>
    <numFmt numFmtId="171" formatCode="yyyy\-mm\-dd hh:mm"/>
  </numFmts>
  <fonts count="13">
    <font>
      <sz val="11"/>
      <color theme="1"/>
      <name val="Calibri"/>
      <family val="2"/>
      <scheme val="minor"/>
    </font>
    <font>
      <sz val="11"/>
      <color rgb="FF000000"/>
      <name val="Calibri"/>
      <family val="2"/>
      <scheme val="minor"/>
    </font>
    <font>
      <b val="0"/>
      <i val="0"/>
      <strike val="0"/>
      <sz val="10"/>
      <color rgb="FF0432FF"/>
      <name val="Arial"/>
    </font>
    <font>
      <b/>
      <i val="0"/>
      <strike val="0"/>
      <sz val="10"/>
      <color rgb="FF0432FF"/>
      <name val="Arial"/>
    </font>
    <font>
      <b/>
      <i val="0"/>
      <strike val="0"/>
      <sz val="10"/>
      <color rgb="FF000000"/>
      <name val="Arial"/>
    </font>
    <font>
      <b val="0"/>
      <i val="0"/>
      <strike val="0"/>
      <sz val="10"/>
      <color rgb="FF000000"/>
      <name val="Arial"/>
    </font>
    <font>
      <b val="0"/>
      <i val="0"/>
      <strike val="0"/>
      <sz val="10"/>
      <name val="Arial"/>
    </font>
    <font>
      <b val="0"/>
      <i val="0"/>
      <strike val="0"/>
      <sz val="10"/>
      <color rgb="FF00703C"/>
      <name val="Arial"/>
    </font>
    <font>
      <b/>
      <i val="0"/>
      <strike val="0"/>
      <sz val="11"/>
      <color rgb="FF000000"/>
      <name val="Arial"/>
    </font>
    <font>
      <b/>
      <i val="0"/>
      <strike val="0"/>
      <sz val="10"/>
      <color rgb="FF00703C"/>
      <name val="Arial"/>
    </font>
    <font>
      <b val="0"/>
      <i/>
      <strike val="0"/>
      <sz val="10"/>
      <color rgb="FF000000"/>
      <name val="Arial"/>
    </font>
    <font>
      <b/>
      <i val="0"/>
      <strike val="0"/>
      <sz val="10"/>
      <color rgb="FF000000"/>
      <name val="Arial"/>
      <family val="2"/>
      <scheme val="minor"/>
    </font>
    <font>
      <b val="0"/>
      <i val="0"/>
      <strike val="0"/>
      <sz val="10"/>
      <color rgb="FF000000"/>
      <name val="Arial"/>
      <family val="2"/>
      <scheme val="minor"/>
    </font>
  </fonts>
  <fills count="5">
    <fill>
      <patternFill patternType="none"/>
    </fill>
    <fill>
      <patternFill patternType="gray125"/>
    </fill>
    <fill>
      <patternFill patternType="solid">
        <fgColor rgb="FFDCE6F1"/>
        <bgColor rgb="FFDCE6F1"/>
      </patternFill>
    </fill>
    <fill>
      <patternFill patternType="solid">
        <fgColor rgb="FFF2F2F2"/>
        <bgColor rgb="FFF2F2F2"/>
      </patternFill>
    </fill>
    <fill>
      <patternFill patternType="solid">
        <fgColor rgb="FFFFF2CC"/>
        <bgColor rgb="FFFFF2CC"/>
      </patternFill>
    </fill>
  </fills>
  <borders count="4">
    <border/>
    <border>
      <left style="thin">
        <color rgb="FF000000"/>
      </left>
    </border>
    <border>
      <top style="thin">
        <color rgb="FF000000"/>
      </top>
    </border>
    <border>
      <left style="thin">
        <color rgb="FF000000"/>
      </left>
      <top style="thin">
        <color rgb="FF000000"/>
      </top>
    </border>
  </borders>
  <cellStyleXfs count="1">
    <xf numFmtId="0" fontId="1" fillId="0" borderId="0"/>
  </cellStyleXfs>
  <cellXfs count="521">
    <xf numFmtId="0" fontId="1" fillId="0" borderId="0" xfId="0" applyFont="1"/>
    <xf numFmtId="164" fontId="2" fillId="0" borderId="0" xfId="0" applyNumberFormat="1" applyFont="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64" fontId="3" fillId="0" borderId="2"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0" borderId="0" xfId="0" applyNumberFormat="1" applyFont="1"/>
    <xf numFmtId="165" fontId="4" fillId="3" borderId="0" xfId="0" applyNumberFormat="1" applyFont="1" applyFill="1" applyAlignment="1">
      <alignment horizontal="right" vertical="bottom" textRotation="0" indent="0" readingOrder="0"/>
    </xf>
    <xf numFmtId="165" fontId="6" fillId="0" borderId="1" xfId="0" applyNumberFormat="1" applyFont="1" applyBorder="1"/>
    <xf numFmtId="164" fontId="3" fillId="0" borderId="3" xfId="0" applyNumberFormat="1" applyFont="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4" fillId="3" borderId="0" xfId="0" applyNumberFormat="1" applyFont="1" applyFill="1" applyAlignment="1">
      <alignment horizontal="left" vertical="bottom" textRotation="0" indent="0" readingOrder="0"/>
    </xf>
    <xf numFmtId="165" fontId="4" fillId="2" borderId="1" xfId="0" applyNumberFormat="1" applyFont="1" applyFill="1" applyBorder="1" applyAlignment="1">
      <alignment horizontal="right" vertical="bottom"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5" fontId="5" fillId="0" borderId="0" xfId="0" applyNumberFormat="1" applyFont="1"/>
    <xf numFmtId="165" fontId="4" fillId="3" borderId="0" xfId="0" applyNumberFormat="1" applyFont="1" applyFill="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4" fillId="2" borderId="0" xfId="0" applyNumberFormat="1" applyFont="1" applyFill="1" applyAlignment="1">
      <alignment horizontal="left" vertical="top" textRotation="0" wrapText="1" indent="0" readingOrder="0"/>
    </xf>
    <xf numFmtId="165" fontId="8" fillId="0" borderId="0" xfId="0" applyNumberFormat="1" applyFont="1"/>
    <xf numFmtId="168" fontId="2" fillId="4" borderId="1" xfId="0" applyNumberFormat="1" applyFont="1" applyFill="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6" fillId="2" borderId="0" xfId="0" applyNumberFormat="1" applyFont="1" applyFill="1"/>
    <xf numFmtId="165" fontId="6" fillId="0" borderId="0" xfId="0" applyNumberFormat="1" applyFont="1"/>
    <xf numFmtId="168" fontId="2" fillId="4" borderId="0" xfId="0" applyNumberFormat="1" applyFont="1" applyFill="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6" fillId="2" borderId="1" xfId="0" applyNumberFormat="1" applyFont="1" applyFill="1" applyBorder="1"/>
    <xf numFmtId="168" fontId="5" fillId="0" borderId="1" xfId="0" applyNumberFormat="1" applyFont="1" applyBorder="1" applyAlignment="1">
      <alignment horizontal="right" vertical="bottom" textRotation="0" indent="0" readingOrder="0"/>
    </xf>
    <xf numFmtId="165" fontId="6" fillId="3" borderId="0" xfId="0" applyNumberFormat="1" applyFont="1" applyFill="1"/>
    <xf numFmtId="165" fontId="6" fillId="0" borderId="1" xfId="0" applyNumberFormat="1" applyFont="1" applyBorder="1"/>
    <xf numFmtId="165" fontId="4" fillId="2" borderId="1" xfId="0" applyNumberFormat="1" applyFont="1" applyFill="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9" fontId="5"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0" borderId="0" xfId="0" applyNumberFormat="1" applyFont="1"/>
    <xf numFmtId="164" fontId="4" fillId="0" borderId="2" xfId="0" applyNumberFormat="1" applyFont="1" applyBorder="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2" borderId="1" xfId="0" applyNumberFormat="1" applyFont="1" applyFill="1" applyBorder="1" applyAlignment="1">
      <alignment horizontal="right" vertical="bottom" textRotation="0" indent="0" readingOrder="0"/>
    </xf>
    <xf numFmtId="165" fontId="6" fillId="3" borderId="0" xfId="0" applyNumberFormat="1" applyFont="1" applyFill="1"/>
    <xf numFmtId="165" fontId="4" fillId="0" borderId="2" xfId="0" applyNumberFormat="1" applyFont="1" applyBorder="1" applyAlignment="1">
      <alignment horizontal="left" vertical="bottom" textRotation="0" indent="0" readingOrder="0"/>
    </xf>
    <xf numFmtId="165" fontId="4" fillId="2" borderId="0" xfId="0" applyNumberFormat="1" applyFont="1" applyFill="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6" fillId="2" borderId="0" xfId="0" applyNumberFormat="1" applyFont="1" applyFill="1"/>
    <xf numFmtId="165" fontId="4" fillId="3" borderId="0" xfId="0" applyNumberFormat="1" applyFont="1" applyFill="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6" fillId="0" borderId="1" xfId="0" applyNumberFormat="1" applyFont="1" applyBorder="1"/>
    <xf numFmtId="165" fontId="6" fillId="2" borderId="1" xfId="0" applyNumberFormat="1" applyFont="1" applyFill="1" applyBorder="1"/>
    <xf numFmtId="165" fontId="4" fillId="3" borderId="0" xfId="0" applyNumberFormat="1" applyFont="1" applyFill="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5" fontId="4" fillId="2" borderId="0" xfId="0" applyNumberFormat="1" applyFont="1" applyFill="1" applyAlignment="1">
      <alignment horizontal="left" vertical="top" textRotation="0" wrapText="1" indent="0" readingOrder="0"/>
    </xf>
    <xf numFmtId="165" fontId="5" fillId="0" borderId="0" xfId="0" applyNumberFormat="1" applyFont="1"/>
    <xf numFmtId="165" fontId="8" fillId="0" borderId="0" xfId="0" applyNumberFormat="1" applyFont="1"/>
    <xf numFmtId="165" fontId="6" fillId="2" borderId="0" xfId="0" applyNumberFormat="1" applyFont="1" applyFill="1"/>
    <xf numFmtId="168"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0" xfId="0" applyNumberFormat="1" applyFont="1"/>
    <xf numFmtId="168" fontId="2" fillId="4" borderId="0" xfId="0" applyNumberFormat="1" applyFont="1" applyFill="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6" fillId="2" borderId="1" xfId="0" applyNumberFormat="1" applyFont="1" applyFill="1" applyBorder="1"/>
    <xf numFmtId="164" fontId="5" fillId="0" borderId="0" xfId="0" applyNumberFormat="1" applyFont="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65" fontId="6" fillId="3" borderId="0" xfId="0" applyNumberFormat="1" applyFont="1" applyFill="1"/>
    <xf numFmtId="165" fontId="5" fillId="0" borderId="0" xfId="0" applyNumberFormat="1" applyFont="1" applyAlignment="1">
      <alignment horizontal="left" vertical="bottom" textRotation="0" indent="0" readingOrder="0"/>
    </xf>
    <xf numFmtId="165" fontId="6" fillId="0" borderId="1" xfId="0" applyNumberFormat="1" applyFont="1" applyBorder="1"/>
    <xf numFmtId="168" fontId="2" fillId="4" borderId="1" xfId="0" applyNumberFormat="1" applyFont="1" applyFill="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9" fontId="5" fillId="0" borderId="1" xfId="0" applyNumberFormat="1" applyFont="1" applyBorder="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5" fontId="6" fillId="0" borderId="0" xfId="0" applyNumberFormat="1" applyFont="1"/>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3" borderId="0" xfId="0" applyNumberFormat="1" applyFont="1" applyFill="1"/>
    <xf numFmtId="164" fontId="5"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4" fillId="3" borderId="0" xfId="0" applyNumberFormat="1" applyFont="1" applyFill="1" applyAlignment="1">
      <alignment horizontal="lef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6" fillId="2" borderId="0" xfId="0" applyNumberFormat="1" applyFont="1" applyFill="1"/>
    <xf numFmtId="165" fontId="6" fillId="0" borderId="1" xfId="0" applyNumberFormat="1" applyFont="1" applyBorder="1"/>
    <xf numFmtId="165" fontId="6" fillId="2" borderId="1" xfId="0" applyNumberFormat="1" applyFont="1" applyFill="1" applyBorder="1"/>
    <xf numFmtId="164" fontId="9" fillId="0" borderId="3" xfId="0" applyNumberFormat="1" applyFont="1" applyBorder="1" applyAlignment="1">
      <alignment horizontal="right" vertical="bottom" textRotation="0" indent="0" readingOrder="0"/>
    </xf>
    <xf numFmtId="165" fontId="4" fillId="3" borderId="0" xfId="0" applyNumberFormat="1" applyFont="1" applyFill="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5" fontId="4" fillId="2" borderId="0" xfId="0" applyNumberFormat="1" applyFont="1" applyFill="1" applyAlignment="1">
      <alignment horizontal="left" vertical="top" textRotation="0" wrapText="1" indent="0" readingOrder="0"/>
    </xf>
    <xf numFmtId="165" fontId="5" fillId="0" borderId="0" xfId="0" applyNumberFormat="1" applyFont="1"/>
    <xf numFmtId="165" fontId="4" fillId="0" borderId="0" xfId="0" applyNumberFormat="1" applyFont="1"/>
    <xf numFmtId="168" fontId="5" fillId="0" borderId="0" xfId="0" applyNumberFormat="1" applyFont="1" applyAlignment="1">
      <alignment horizontal="right" vertical="bottom" textRotation="0" indent="0" readingOrder="0"/>
    </xf>
    <xf numFmtId="165" fontId="6" fillId="0" borderId="0" xfId="0" applyNumberFormat="1" applyFont="1"/>
    <xf numFmtId="168" fontId="2" fillId="4" borderId="0" xfId="0" applyNumberFormat="1" applyFont="1" applyFill="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0" borderId="1" xfId="0" applyNumberFormat="1" applyFont="1" applyBorder="1"/>
    <xf numFmtId="168" fontId="2" fillId="4" borderId="1" xfId="0" applyNumberFormat="1" applyFont="1" applyFill="1" applyBorder="1" applyAlignment="1">
      <alignment horizontal="right" vertical="bottom" textRotation="0" indent="0" readingOrder="0"/>
    </xf>
    <xf numFmtId="165" fontId="6" fillId="2" borderId="0" xfId="0" applyNumberFormat="1" applyFont="1" applyFill="1"/>
    <xf numFmtId="168" fontId="5" fillId="0" borderId="1" xfId="0" applyNumberFormat="1" applyFont="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65" fontId="6" fillId="3" borderId="0" xfId="0" applyNumberFormat="1" applyFont="1" applyFill="1"/>
    <xf numFmtId="165" fontId="4" fillId="2" borderId="1" xfId="0" applyNumberFormat="1" applyFont="1" applyFill="1" applyBorder="1" applyAlignment="1">
      <alignment horizontal="right" vertical="bottom" textRotation="0" indent="0" readingOrder="0"/>
    </xf>
    <xf numFmtId="165" fontId="6" fillId="2" borderId="1" xfId="0" applyNumberFormat="1" applyFont="1" applyFill="1" applyBorder="1"/>
    <xf numFmtId="169" fontId="5" fillId="0" borderId="1" xfId="0" applyNumberFormat="1" applyFont="1" applyBorder="1" applyAlignment="1">
      <alignment horizontal="right" vertical="bottom" textRotation="0" indent="0" readingOrder="0"/>
    </xf>
    <xf numFmtId="165" fontId="6" fillId="0" borderId="0" xfId="0" applyNumberFormat="1" applyFont="1"/>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6" fillId="0" borderId="1" xfId="0" applyNumberFormat="1" applyFont="1" applyBorder="1"/>
    <xf numFmtId="165" fontId="6" fillId="2" borderId="1" xfId="0" applyNumberFormat="1" applyFont="1" applyFill="1" applyBorder="1"/>
    <xf numFmtId="165" fontId="4" fillId="3" borderId="0" xfId="0" applyNumberFormat="1" applyFont="1" applyFill="1" applyAlignment="1">
      <alignment horizontal="left" vertical="bottom" textRotation="0" indent="0" readingOrder="0"/>
    </xf>
    <xf numFmtId="164" fontId="9" fillId="0" borderId="3" xfId="0" applyNumberFormat="1" applyFont="1" applyBorder="1" applyAlignment="1">
      <alignment horizontal="right" vertical="bottom" textRotation="0" indent="0" readingOrder="0"/>
    </xf>
    <xf numFmtId="165" fontId="6" fillId="0" borderId="0" xfId="0" applyNumberFormat="1" applyFont="1"/>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6" fillId="0" borderId="1" xfId="0" applyNumberFormat="1" applyFont="1" applyBorder="1"/>
    <xf numFmtId="165" fontId="6" fillId="2" borderId="1" xfId="0" applyNumberFormat="1" applyFont="1" applyFill="1" applyBorder="1"/>
    <xf numFmtId="165" fontId="4" fillId="3" borderId="0" xfId="0" applyNumberFormat="1" applyFont="1" applyFill="1" applyAlignment="1">
      <alignment horizontal="left" vertical="bottom" textRotation="0" indent="0" readingOrder="0"/>
    </xf>
    <xf numFmtId="164" fontId="9" fillId="0" borderId="3" xfId="0" applyNumberFormat="1" applyFont="1" applyBorder="1" applyAlignment="1">
      <alignment horizontal="right" vertical="bottom" textRotation="0" indent="0" readingOrder="0"/>
    </xf>
    <xf numFmtId="165" fontId="6" fillId="0" borderId="0" xfId="0" applyNumberFormat="1" applyFont="1"/>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6" fillId="0" borderId="1" xfId="0" applyNumberFormat="1" applyFont="1" applyBorder="1"/>
    <xf numFmtId="165" fontId="6" fillId="2" borderId="1" xfId="0" applyNumberFormat="1" applyFont="1" applyFill="1" applyBorder="1"/>
    <xf numFmtId="165" fontId="4" fillId="3" borderId="0" xfId="0" applyNumberFormat="1" applyFont="1" applyFill="1" applyAlignment="1">
      <alignment horizontal="left" vertical="bottom" textRotation="0" indent="0" readingOrder="0"/>
    </xf>
    <xf numFmtId="164" fontId="9"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5" fontId="4" fillId="3" borderId="0" xfId="0" applyNumberFormat="1" applyFont="1" applyFill="1" applyAlignment="1">
      <alignment horizontal="left" vertical="top" textRotation="0" wrapText="1" indent="0" readingOrder="0"/>
    </xf>
    <xf numFmtId="165" fontId="5" fillId="0" borderId="0" xfId="0" applyNumberFormat="1" applyFont="1"/>
    <xf numFmtId="165" fontId="4" fillId="0" borderId="0" xfId="0" applyNumberFormat="1" applyFont="1"/>
    <xf numFmtId="165" fontId="5" fillId="0" borderId="0" xfId="0" applyNumberFormat="1" applyFont="1" applyAlignment="1">
      <alignment horizontal="left" vertical="bottom" textRotation="0" indent="0" readingOrder="0"/>
    </xf>
    <xf numFmtId="165" fontId="6" fillId="0" borderId="1" xfId="0" applyNumberFormat="1" applyFont="1" applyBorder="1"/>
    <xf numFmtId="168" fontId="2" fillId="4" borderId="1" xfId="0" applyNumberFormat="1" applyFont="1" applyFill="1" applyBorder="1" applyAlignment="1">
      <alignment horizontal="right" vertical="bottom" textRotation="0" indent="0" readingOrder="0"/>
    </xf>
    <xf numFmtId="165" fontId="6" fillId="2" borderId="0" xfId="0" applyNumberFormat="1" applyFont="1" applyFill="1"/>
    <xf numFmtId="165" fontId="6" fillId="0" borderId="0" xfId="0" applyNumberFormat="1" applyFont="1"/>
    <xf numFmtId="168" fontId="5" fillId="0" borderId="1" xfId="0" applyNumberFormat="1" applyFont="1" applyBorder="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65" fontId="6" fillId="3" borderId="0" xfId="0" applyNumberFormat="1" applyFont="1" applyFill="1"/>
    <xf numFmtId="165" fontId="4" fillId="2" borderId="1" xfId="0" applyNumberFormat="1" applyFont="1" applyFill="1" applyBorder="1" applyAlignment="1">
      <alignment horizontal="right" vertical="bottom" textRotation="0" indent="0" readingOrder="0"/>
    </xf>
    <xf numFmtId="165" fontId="6" fillId="2" borderId="1" xfId="0" applyNumberFormat="1" applyFont="1" applyFill="1" applyBorder="1"/>
    <xf numFmtId="169" fontId="5" fillId="0" borderId="1" xfId="0" applyNumberFormat="1" applyFont="1" applyBorder="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5" fontId="6" fillId="0" borderId="0" xfId="0" applyNumberFormat="1" applyFont="1"/>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6" fillId="0" borderId="1" xfId="0" applyNumberFormat="1" applyFont="1" applyBorder="1"/>
    <xf numFmtId="165" fontId="6" fillId="2" borderId="1" xfId="0" applyNumberFormat="1" applyFont="1" applyFill="1" applyBorder="1"/>
    <xf numFmtId="165" fontId="4" fillId="3" borderId="0" xfId="0" applyNumberFormat="1" applyFont="1" applyFill="1" applyAlignment="1">
      <alignment horizontal="left" vertical="bottom" textRotation="0" indent="0" readingOrder="0"/>
    </xf>
    <xf numFmtId="164" fontId="9"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4" fillId="3" borderId="0" xfId="0" applyNumberFormat="1" applyFont="1" applyFill="1" applyAlignment="1">
      <alignment horizontal="left" vertical="top" textRotation="0" wrapText="1" indent="0" readingOrder="0"/>
    </xf>
    <xf numFmtId="165" fontId="5" fillId="0" borderId="0" xfId="0" applyNumberFormat="1" applyFont="1"/>
    <xf numFmtId="165" fontId="4" fillId="0" borderId="0" xfId="0" applyNumberFormat="1" applyFont="1"/>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4" fillId="3" borderId="0" xfId="0" applyNumberFormat="1" applyFont="1" applyFill="1" applyAlignment="1">
      <alignment horizontal="left" vertical="top" textRotation="0" wrapText="1" indent="0" readingOrder="0"/>
    </xf>
    <xf numFmtId="165" fontId="4" fillId="2" borderId="0" xfId="0" applyNumberFormat="1" applyFont="1" applyFill="1" applyAlignment="1">
      <alignment horizontal="left" vertical="top" textRotation="0" wrapText="1" indent="0" readingOrder="0"/>
    </xf>
    <xf numFmtId="165" fontId="5" fillId="0" borderId="0" xfId="0" applyNumberFormat="1" applyFont="1"/>
    <xf numFmtId="165" fontId="4" fillId="0" borderId="0" xfId="0" applyNumberFormat="1" applyFont="1"/>
    <xf numFmtId="164" fontId="5" fillId="0" borderId="0" xfId="0" applyNumberFormat="1" applyFont="1" applyAlignment="1">
      <alignment horizontal="right" vertical="bottom" textRotation="0" indent="0" readingOrder="0"/>
    </xf>
    <xf numFmtId="165" fontId="6" fillId="0" borderId="0" xfId="0" applyNumberFormat="1" applyFont="1"/>
    <xf numFmtId="165" fontId="5"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6" fillId="2" borderId="0" xfId="0" applyNumberFormat="1" applyFont="1" applyFill="1"/>
    <xf numFmtId="165" fontId="4" fillId="3" borderId="0" xfId="0" applyNumberFormat="1" applyFont="1" applyFill="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6" fillId="3" borderId="0" xfId="0" applyNumberFormat="1" applyFont="1" applyFill="1"/>
    <xf numFmtId="165" fontId="4" fillId="3" borderId="0" xfId="0" applyNumberFormat="1" applyFont="1" applyFill="1" applyAlignment="1">
      <alignment horizontal="lef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6" fillId="0" borderId="1" xfId="0" applyNumberFormat="1" applyFont="1" applyBorder="1"/>
    <xf numFmtId="165" fontId="6" fillId="2" borderId="1" xfId="0" applyNumberFormat="1" applyFont="1" applyFill="1" applyBorder="1"/>
    <xf numFmtId="164" fontId="9" fillId="0" borderId="3"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4" fillId="0" borderId="0" xfId="0" applyNumberFormat="1" applyFont="1"/>
    <xf numFmtId="165" fontId="4" fillId="3" borderId="0" xfId="0" applyNumberFormat="1" applyFont="1" applyFill="1" applyAlignment="1">
      <alignment horizontal="left" vertical="top" textRotation="0" wrapText="1" indent="0" readingOrder="0"/>
    </xf>
    <xf numFmtId="165" fontId="4" fillId="2" borderId="0" xfId="0" applyNumberFormat="1" applyFont="1" applyFill="1" applyAlignment="1">
      <alignment horizontal="left" vertical="top" textRotation="0" wrapText="1" indent="0" readingOrder="0"/>
    </xf>
    <xf numFmtId="165" fontId="5" fillId="0" borderId="0" xfId="0" applyNumberFormat="1" applyFont="1"/>
    <xf numFmtId="165" fontId="4" fillId="3"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6" fillId="3" borderId="0" xfId="0" applyNumberFormat="1" applyFont="1" applyFill="1"/>
    <xf numFmtId="165" fontId="6" fillId="0" borderId="1" xfId="0" applyNumberFormat="1" applyFont="1" applyBorder="1"/>
    <xf numFmtId="168" fontId="2" fillId="4" borderId="0" xfId="0" applyNumberFormat="1" applyFont="1" applyFill="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0" xfId="0" applyNumberFormat="1" applyFont="1"/>
    <xf numFmtId="165" fontId="6" fillId="2" borderId="0" xfId="0" applyNumberFormat="1" applyFont="1" applyFill="1"/>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8" fontId="2" fillId="4" borderId="1" xfId="0" applyNumberFormat="1" applyFont="1" applyFill="1" applyBorder="1" applyAlignment="1">
      <alignment horizontal="right" vertical="bottom" textRotation="0" indent="0" readingOrder="0"/>
    </xf>
    <xf numFmtId="165" fontId="6" fillId="2" borderId="1" xfId="0" applyNumberFormat="1" applyFont="1" applyFill="1" applyBorder="1"/>
    <xf numFmtId="169" fontId="2" fillId="4" borderId="0" xfId="0" applyNumberFormat="1" applyFont="1" applyFill="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9" fontId="5" fillId="0" borderId="1" xfId="0" applyNumberFormat="1" applyFont="1" applyBorder="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4" fillId="2" borderId="1" xfId="0" applyNumberFormat="1" applyFont="1" applyFill="1" applyBorder="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0" xfId="0" applyNumberFormat="1" applyFont="1" applyFill="1"/>
    <xf numFmtId="165" fontId="6" fillId="0" borderId="0" xfId="0" applyNumberFormat="1" applyFont="1"/>
    <xf numFmtId="165" fontId="4" fillId="3" borderId="0" xfId="0" applyNumberFormat="1" applyFont="1" applyFill="1" applyAlignment="1">
      <alignment horizontal="right" vertical="bottom" textRotation="0" indent="0" readingOrder="0"/>
    </xf>
    <xf numFmtId="165" fontId="6" fillId="3" borderId="0" xfId="0" applyNumberFormat="1" applyFont="1" applyFill="1"/>
    <xf numFmtId="165" fontId="6" fillId="2" borderId="1" xfId="0" applyNumberFormat="1" applyFont="1" applyFill="1" applyBorder="1"/>
    <xf numFmtId="165" fontId="4" fillId="2" borderId="0" xfId="0" applyNumberFormat="1" applyFont="1" applyFill="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4" fillId="3" borderId="0" xfId="0" applyNumberFormat="1" applyFont="1" applyFill="1" applyAlignment="1">
      <alignment horizontal="lef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6" fillId="0" borderId="1" xfId="0" applyNumberFormat="1" applyFont="1" applyBorder="1"/>
    <xf numFmtId="164" fontId="7" fillId="0" borderId="1"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4" fillId="3" borderId="0" xfId="0" applyNumberFormat="1" applyFont="1" applyFill="1" applyAlignment="1">
      <alignment horizontal="left" vertical="top" textRotation="0" wrapText="1" indent="0" readingOrder="0"/>
    </xf>
    <xf numFmtId="165" fontId="4" fillId="2" borderId="0" xfId="0" applyNumberFormat="1" applyFont="1" applyFill="1" applyAlignment="1">
      <alignment horizontal="left" vertical="top" textRotation="0" wrapText="1" indent="0" readingOrder="0"/>
    </xf>
    <xf numFmtId="165" fontId="5" fillId="0" borderId="0" xfId="0" applyNumberFormat="1" applyFont="1"/>
    <xf numFmtId="165" fontId="4" fillId="0" borderId="0" xfId="0" applyNumberFormat="1" applyFont="1"/>
    <xf numFmtId="168" fontId="7"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6" fillId="0" borderId="0" xfId="0" applyNumberFormat="1" applyFont="1"/>
    <xf numFmtId="165" fontId="4" fillId="3"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6" fillId="3" borderId="0" xfId="0" applyNumberFormat="1" applyFont="1" applyFill="1"/>
    <xf numFmtId="164"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8" fontId="5"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0" xfId="0" applyNumberFormat="1" applyFont="1" applyFill="1"/>
    <xf numFmtId="168" fontId="2" fillId="4" borderId="1" xfId="0" applyNumberFormat="1" applyFont="1" applyFill="1" applyBorder="1" applyAlignment="1">
      <alignment horizontal="right" vertical="bottom" textRotation="0" indent="0" readingOrder="0"/>
    </xf>
    <xf numFmtId="165" fontId="6" fillId="0" borderId="1" xfId="0" applyNumberFormat="1" applyFont="1" applyBorder="1"/>
    <xf numFmtId="169"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2" borderId="1" xfId="0" applyNumberFormat="1" applyFont="1" applyFill="1" applyBorder="1"/>
    <xf numFmtId="169" fontId="2" fillId="4" borderId="0" xfId="0" applyNumberFormat="1" applyFont="1" applyFill="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9" fontId="5" fillId="0" borderId="1" xfId="0" applyNumberFormat="1" applyFont="1" applyBorder="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1" xfId="0" applyNumberFormat="1" applyFont="1" applyBorder="1" applyAlignment="1">
      <alignment horizontal="right" vertical="bottom" textRotation="0" indent="0" readingOrder="0"/>
    </xf>
    <xf numFmtId="165" fontId="6" fillId="0" borderId="0" xfId="0" applyNumberFormat="1" applyFont="1"/>
    <xf numFmtId="165" fontId="4" fillId="3" borderId="0" xfId="0" applyNumberFormat="1" applyFont="1" applyFill="1" applyAlignment="1">
      <alignment horizontal="right" vertical="bottom" textRotation="0" indent="0" readingOrder="0"/>
    </xf>
    <xf numFmtId="165" fontId="6" fillId="3" borderId="0" xfId="0" applyNumberFormat="1" applyFont="1" applyFill="1"/>
    <xf numFmtId="165" fontId="6" fillId="2" borderId="0" xfId="0" applyNumberFormat="1" applyFont="1" applyFill="1"/>
    <xf numFmtId="165" fontId="4" fillId="2" borderId="0" xfId="0" applyNumberFormat="1" applyFont="1" applyFill="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4" fillId="3" borderId="0" xfId="0" applyNumberFormat="1" applyFont="1" applyFill="1" applyAlignment="1">
      <alignment horizontal="left" vertical="bottom" textRotation="0" indent="0" readingOrder="0"/>
    </xf>
    <xf numFmtId="164" fontId="4" fillId="0" borderId="3" xfId="0" applyNumberFormat="1" applyFont="1" applyBorder="1" applyAlignment="1">
      <alignment horizontal="right" vertical="bottom" textRotation="0" indent="0" readingOrder="0"/>
    </xf>
    <xf numFmtId="165" fontId="6" fillId="0" borderId="1" xfId="0" applyNumberFormat="1" applyFont="1" applyBorder="1"/>
    <xf numFmtId="165" fontId="6" fillId="2" borderId="1" xfId="0" applyNumberFormat="1" applyFont="1" applyFill="1" applyBorder="1"/>
    <xf numFmtId="165" fontId="4" fillId="2" borderId="1" xfId="0" applyNumberFormat="1" applyFont="1" applyFill="1" applyBorder="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4" fillId="3" borderId="0" xfId="0" applyNumberFormat="1" applyFont="1" applyFill="1" applyAlignment="1">
      <alignment horizontal="left" vertical="top" textRotation="0" wrapText="1" indent="0" readingOrder="0"/>
    </xf>
    <xf numFmtId="165" fontId="4" fillId="2" borderId="0" xfId="0" applyNumberFormat="1" applyFont="1" applyFill="1" applyAlignment="1">
      <alignment horizontal="left" vertical="top" textRotation="0" wrapText="1" indent="0" readingOrder="0"/>
    </xf>
    <xf numFmtId="165" fontId="5" fillId="0" borderId="0" xfId="0" applyNumberFormat="1" applyFont="1"/>
    <xf numFmtId="165" fontId="4" fillId="0" borderId="0" xfId="0" applyNumberFormat="1" applyFont="1"/>
    <xf numFmtId="168" fontId="7"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6" fillId="0" borderId="0" xfId="0" applyNumberFormat="1" applyFont="1"/>
    <xf numFmtId="165" fontId="4" fillId="3" borderId="0" xfId="0" applyNumberFormat="1" applyFont="1" applyFill="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6" fillId="3" borderId="0" xfId="0" applyNumberFormat="1" applyFont="1" applyFill="1"/>
    <xf numFmtId="164"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8" fontId="5"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0" xfId="0" applyNumberFormat="1" applyFont="1" applyFill="1"/>
    <xf numFmtId="168" fontId="2" fillId="4" borderId="1" xfId="0" applyNumberFormat="1" applyFont="1" applyFill="1" applyBorder="1" applyAlignment="1">
      <alignment horizontal="right" vertical="bottom" textRotation="0" indent="0" readingOrder="0"/>
    </xf>
    <xf numFmtId="165" fontId="6" fillId="0" borderId="1" xfId="0" applyNumberFormat="1" applyFont="1" applyBorder="1"/>
    <xf numFmtId="169"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2" borderId="1" xfId="0" applyNumberFormat="1" applyFont="1" applyFill="1" applyBorder="1"/>
    <xf numFmtId="169" fontId="2" fillId="4" borderId="0" xfId="0" applyNumberFormat="1" applyFont="1" applyFill="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9" fontId="5" fillId="0" borderId="1" xfId="0" applyNumberFormat="1" applyFont="1" applyBorder="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1" xfId="0" applyNumberFormat="1" applyFont="1" applyBorder="1" applyAlignment="1">
      <alignment horizontal="right" vertical="bottom" textRotation="0" indent="0" readingOrder="0"/>
    </xf>
    <xf numFmtId="165" fontId="6" fillId="0" borderId="0" xfId="0" applyNumberFormat="1" applyFont="1"/>
    <xf numFmtId="165" fontId="4" fillId="3" borderId="0" xfId="0" applyNumberFormat="1" applyFont="1" applyFill="1" applyAlignment="1">
      <alignment horizontal="right" vertical="bottom" textRotation="0" indent="0" readingOrder="0"/>
    </xf>
    <xf numFmtId="165" fontId="6" fillId="3" borderId="0" xfId="0" applyNumberFormat="1" applyFont="1" applyFill="1"/>
    <xf numFmtId="165" fontId="6" fillId="2" borderId="0" xfId="0" applyNumberFormat="1" applyFont="1" applyFill="1"/>
    <xf numFmtId="165" fontId="4" fillId="2" borderId="0" xfId="0" applyNumberFormat="1" applyFont="1" applyFill="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5" fontId="4" fillId="3" borderId="0" xfId="0" applyNumberFormat="1" applyFont="1" applyFill="1" applyAlignment="1">
      <alignment horizontal="left" vertical="bottom" textRotation="0" indent="0" readingOrder="0"/>
    </xf>
    <xf numFmtId="164" fontId="4" fillId="0" borderId="3" xfId="0" applyNumberFormat="1" applyFont="1" applyBorder="1" applyAlignment="1">
      <alignment horizontal="right" vertical="bottom" textRotation="0" indent="0" readingOrder="0"/>
    </xf>
    <xf numFmtId="165" fontId="6" fillId="0" borderId="1" xfId="0" applyNumberFormat="1" applyFont="1" applyBorder="1"/>
    <xf numFmtId="165" fontId="6" fillId="2" borderId="1" xfId="0" applyNumberFormat="1" applyFont="1" applyFill="1" applyBorder="1"/>
    <xf numFmtId="165" fontId="4" fillId="2" borderId="1" xfId="0" applyNumberFormat="1" applyFont="1" applyFill="1" applyBorder="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6" fillId="0" borderId="0" xfId="0" applyNumberFormat="1" applyFont="1"/>
    <xf numFmtId="168" fontId="2" fillId="4" borderId="0" xfId="0" applyNumberFormat="1" applyFont="1" applyFill="1" applyAlignment="1">
      <alignment horizontal="right" vertical="bottom" textRotation="0" indent="0" readingOrder="0"/>
    </xf>
    <xf numFmtId="165" fontId="6" fillId="2" borderId="1" xfId="0" applyNumberFormat="1" applyFont="1" applyFill="1" applyBorder="1"/>
    <xf numFmtId="165" fontId="4" fillId="3" borderId="0" xfId="0" applyNumberFormat="1" applyFont="1" applyFill="1" applyAlignment="1">
      <alignment horizontal="right" vertical="bottom" textRotation="0" indent="0" readingOrder="0"/>
    </xf>
    <xf numFmtId="165" fontId="6" fillId="3" borderId="0" xfId="0" applyNumberFormat="1" applyFont="1" applyFill="1"/>
    <xf numFmtId="164" fontId="5" fillId="0" borderId="0" xfId="0" applyNumberFormat="1" applyFont="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5" fontId="5" fillId="0" borderId="0" xfId="0" applyNumberFormat="1" applyFont="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68" fontId="2" fillId="4" borderId="1"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1" xfId="0" applyNumberFormat="1" applyFont="1" applyBorder="1"/>
    <xf numFmtId="165" fontId="6" fillId="2" borderId="0" xfId="0" applyNumberFormat="1" applyFont="1" applyFill="1"/>
    <xf numFmtId="164" fontId="2" fillId="4" borderId="1" xfId="0" applyNumberFormat="1" applyFont="1" applyFill="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9" fontId="5" fillId="0" borderId="1"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4" fillId="0" borderId="3" xfId="0" applyNumberFormat="1" applyFont="1" applyBorder="1" applyAlignment="1">
      <alignment horizontal="right" vertical="bottom" textRotation="0" indent="0" readingOrder="0"/>
    </xf>
    <xf numFmtId="165" fontId="6" fillId="0" borderId="0" xfId="0" applyNumberFormat="1" applyFont="1"/>
    <xf numFmtId="165" fontId="4" fillId="2"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6" fillId="2" borderId="0" xfId="0" applyNumberFormat="1" applyFont="1" applyFill="1"/>
    <xf numFmtId="165" fontId="4" fillId="0" borderId="2" xfId="0" applyNumberFormat="1" applyFont="1" applyBorder="1" applyAlignment="1">
      <alignment horizontal="left" vertical="bottom" textRotation="0" indent="0" readingOrder="0"/>
    </xf>
    <xf numFmtId="165" fontId="6" fillId="3" borderId="0" xfId="0" applyNumberFormat="1" applyFont="1" applyFill="1"/>
    <xf numFmtId="165" fontId="4" fillId="3" borderId="0" xfId="0" applyNumberFormat="1" applyFont="1" applyFill="1" applyAlignment="1">
      <alignment horizontal="left" vertical="bottom" textRotation="0" indent="0" readingOrder="0"/>
    </xf>
    <xf numFmtId="165" fontId="6" fillId="0" borderId="1" xfId="0" applyNumberFormat="1" applyFont="1" applyBorder="1"/>
    <xf numFmtId="165" fontId="6" fillId="2" borderId="1" xfId="0" applyNumberFormat="1" applyFont="1" applyFill="1" applyBorder="1"/>
    <xf numFmtId="165" fontId="4" fillId="2" borderId="1" xfId="0" applyNumberFormat="1" applyFont="1" applyFill="1" applyBorder="1" applyAlignment="1">
      <alignment horizontal="right" vertical="bottom" textRotation="0" indent="0" readingOrder="0"/>
    </xf>
    <xf numFmtId="164" fontId="7" fillId="0" borderId="1" xfId="0" applyNumberFormat="1" applyFont="1" applyBorder="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xf numFmtId="165" fontId="4" fillId="2" borderId="1" xfId="0" applyNumberFormat="1" applyFont="1" applyFill="1" applyBorder="1" applyAlignment="1">
      <alignment horizontal="left" vertical="bottom" textRotation="0" indent="0" readingOrder="0"/>
    </xf>
    <xf numFmtId="165" fontId="4" fillId="3" borderId="0" xfId="0" applyNumberFormat="1" applyFont="1" applyFill="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center" vertical="bottom" textRotation="0" indent="0" readingOrder="0"/>
    </xf>
    <xf numFmtId="164" fontId="7" fillId="0" borderId="1"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4" fillId="0" borderId="0" xfId="0" applyNumberFormat="1" applyFont="1" applyAlignment="1">
      <alignment horizontal="center" vertical="bottom" textRotation="0" indent="0" readingOrder="0"/>
    </xf>
    <xf numFmtId="165" fontId="6" fillId="3" borderId="0" xfId="0" applyNumberFormat="1" applyFont="1" applyFill="1"/>
    <xf numFmtId="168"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6" fillId="0" borderId="0" xfId="0" applyNumberFormat="1" applyFont="1"/>
    <xf numFmtId="165" fontId="4" fillId="0" borderId="0" xfId="0" applyNumberFormat="1" applyFont="1" applyAlignment="1">
      <alignment horizontal="left" vertical="bottom" textRotation="0" indent="0" readingOrder="0"/>
    </xf>
    <xf numFmtId="165" fontId="10" fillId="0" borderId="0" xfId="0" applyNumberFormat="1" applyFont="1" applyAlignment="1">
      <alignment horizontal="left" vertical="bottom" textRotation="0" indent="0" readingOrder="0"/>
    </xf>
    <xf numFmtId="165" fontId="6" fillId="2" borderId="0" xfId="0" applyNumberFormat="1" applyFont="1" applyFill="1"/>
    <xf numFmtId="165" fontId="4" fillId="2" borderId="0" xfId="0" applyNumberFormat="1" applyFont="1" applyFill="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6" fillId="0" borderId="1" xfId="0" applyNumberFormat="1" applyFont="1" applyBorder="1"/>
    <xf numFmtId="165" fontId="4" fillId="2" borderId="1" xfId="0" applyNumberFormat="1" applyFont="1" applyFill="1" applyBorder="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5" fontId="6" fillId="2" borderId="1" xfId="0" applyNumberFormat="1" applyFont="1" applyFill="1" applyBorder="1"/>
    <xf numFmtId="168" fontId="5" fillId="0" borderId="1" xfId="0" applyNumberFormat="1" applyFont="1" applyBorder="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0" borderId="2" xfId="0" applyNumberFormat="1" applyFont="1" applyBorder="1" applyAlignment="1">
      <alignment horizontal="left" vertical="bottom" textRotation="0" indent="0" readingOrder="0"/>
    </xf>
    <xf numFmtId="164" fontId="4" fillId="0" borderId="3" xfId="0" applyNumberFormat="1" applyFont="1" applyBorder="1" applyAlignment="1">
      <alignment horizontal="right" vertical="bottom" textRotation="0" indent="0" readingOrder="0"/>
    </xf>
    <xf numFmtId="165" fontId="6" fillId="3" borderId="0" xfId="0" applyNumberFormat="1" applyFont="1" applyFill="1"/>
    <xf numFmtId="165" fontId="5" fillId="0" borderId="0" xfId="0" applyNumberFormat="1" applyFont="1" applyAlignment="1">
      <alignment horizontal="left" vertical="bottom" textRotation="0" indent="0" readingOrder="0"/>
    </xf>
    <xf numFmtId="164" fontId="7" fillId="0" borderId="1"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6" fillId="0" borderId="0" xfId="0" applyNumberFormat="1" applyFont="1"/>
    <xf numFmtId="165" fontId="4" fillId="3" borderId="0" xfId="0" applyNumberFormat="1" applyFont="1" applyFill="1" applyAlignment="1">
      <alignment horizontal="left" vertical="bottom" textRotation="0" indent="0" readingOrder="0"/>
    </xf>
    <xf numFmtId="165" fontId="6" fillId="0" borderId="1" xfId="0" applyNumberFormat="1" applyFont="1" applyBorder="1"/>
    <xf numFmtId="165" fontId="4" fillId="3" borderId="0" xfId="0" applyNumberFormat="1" applyFont="1" applyFill="1" applyAlignment="1">
      <alignment horizontal="right" vertical="bottom" textRotation="0" indent="0" readingOrder="0"/>
    </xf>
    <xf numFmtId="165" fontId="6" fillId="2" borderId="0" xfId="0" applyNumberFormat="1" applyFont="1" applyFill="1"/>
    <xf numFmtId="165" fontId="4" fillId="2" borderId="1" xfId="0" applyNumberFormat="1" applyFont="1" applyFill="1" applyBorder="1" applyAlignment="1">
      <alignment horizontal="right" vertical="bottom" textRotation="0" indent="0" readingOrder="0"/>
    </xf>
    <xf numFmtId="165" fontId="6" fillId="2" borderId="1" xfId="0" applyNumberFormat="1" applyFont="1" applyFill="1" applyBorder="1"/>
    <xf numFmtId="165" fontId="5" fillId="0" borderId="0" xfId="0" applyNumberFormat="1" applyFont="1" applyAlignment="1">
      <alignment horizontal="left" vertical="bottom" textRotation="0" indent="0" readingOrder="0"/>
    </xf>
    <xf numFmtId="165" fontId="5" fillId="0" borderId="0" xfId="0" applyNumberFormat="1" applyFont="1" applyAlignment="1">
      <alignment horizontal="center" vertical="bottom" textRotation="0" indent="0" readingOrder="0"/>
    </xf>
    <xf numFmtId="165" fontId="5" fillId="0" borderId="0" xfId="0" applyNumberFormat="1" applyFont="1"/>
    <xf numFmtId="164"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5" fillId="0" borderId="1"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left" vertical="bottom" textRotation="0" indent="0" readingOrder="0"/>
    </xf>
    <xf numFmtId="164" fontId="7" fillId="0" borderId="1" xfId="0" applyNumberFormat="1" applyFont="1" applyBorder="1" applyAlignment="1">
      <alignment horizontal="right" vertical="bottom" textRotation="0" indent="0" readingOrder="0"/>
    </xf>
    <xf numFmtId="165" fontId="4" fillId="2" borderId="1" xfId="0" applyNumberFormat="1" applyFont="1" applyFill="1" applyBorder="1" applyAlignment="1">
      <alignment horizontal="right" vertical="bottom" textRotation="0" indent="0" readingOrder="0"/>
    </xf>
    <xf numFmtId="165" fontId="4" fillId="0" borderId="0" xfId="0" applyNumberFormat="1" applyFont="1" applyAlignment="1">
      <alignment horizontal="center" vertical="bottom" textRotation="0" indent="0" readingOrder="0"/>
    </xf>
    <xf numFmtId="165" fontId="5" fillId="0" borderId="0" xfId="0" applyNumberFormat="1" applyFont="1"/>
    <xf numFmtId="170" fontId="5" fillId="0" borderId="0" xfId="0" applyNumberFormat="1" applyFont="1"/>
    <xf numFmtId="165" fontId="4" fillId="0" borderId="0" xfId="0" applyNumberFormat="1" applyFont="1" applyAlignment="1">
      <alignment horizontal="center" vertical="bottom" textRotation="0" indent="0" readingOrder="0"/>
    </xf>
    <xf numFmtId="165" fontId="9" fillId="0" borderId="0" xfId="0" applyNumberFormat="1" applyFont="1" applyAlignment="1">
      <alignment horizontal="center" vertical="bottom" textRotation="0" indent="0" readingOrder="0"/>
    </xf>
    <xf numFmtId="165" fontId="4" fillId="0" borderId="0" xfId="0" applyNumberFormat="1" applyFont="1"/>
    <xf numFmtId="165" fontId="4" fillId="3"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3" borderId="0" xfId="0" applyNumberFormat="1" applyFont="1" applyFill="1"/>
    <xf numFmtId="165" fontId="6" fillId="0" borderId="0" xfId="0" applyNumberFormat="1" applyFont="1"/>
    <xf numFmtId="165" fontId="4" fillId="3" borderId="0" xfId="0" applyNumberFormat="1" applyFont="1" applyFill="1" applyAlignment="1">
      <alignment horizontal="left" vertical="bottom" textRotation="0" indent="0" readingOrder="0"/>
    </xf>
    <xf numFmtId="165" fontId="4" fillId="3" borderId="0" xfId="0" applyNumberFormat="1" applyFont="1" applyFill="1" applyAlignment="1">
      <alignment horizontal="center" vertical="bottom" textRotation="0" indent="0" readingOrder="0"/>
    </xf>
    <xf numFmtId="165" fontId="4" fillId="2" borderId="0" xfId="0" applyNumberFormat="1" applyFont="1" applyFill="1" applyAlignment="1">
      <alignment horizontal="center" vertical="bottom" textRotation="0" indent="0" readingOrder="0"/>
    </xf>
    <xf numFmtId="165" fontId="4" fillId="2" borderId="1" xfId="0" applyNumberFormat="1" applyFont="1" applyFill="1" applyBorder="1" applyAlignment="1">
      <alignment horizontal="center" vertical="bottom" textRotation="0" indent="0" readingOrder="0"/>
    </xf>
    <xf numFmtId="0" fontId="11" fillId="0" borderId="0" xfId="0" applyFont="1" applyFill="1" applyProtection="1">
      <protection locked="1" hidden="0"/>
    </xf>
    <xf numFmtId="0" fontId="12" fillId="0" borderId="0" xfId="0" applyFont="1" applyFill="1" applyAlignment="1" applyProtection="1">
      <alignment vertical="top"/>
      <protection locked="1" hidden="0"/>
    </xf>
    <xf numFmtId="171" fontId="12"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4"/>
  <sheetViews>
    <sheetView showGridLines="0" tabSelected="1" workbookViewId="0"/>
  </sheetViews>
  <sheetFormatPr defaultColWidth="8.375" defaultRowHeight="15"/>
  <cols>
    <col min="1" max="1" width="43.125" customWidth="1"/>
    <col min="2" max="11" width="12.5" customWidth="1"/>
  </cols>
  <sheetData>
    <row r="1">
      <c r="A1" s="514" t="s">
        <v>0</v>
      </c>
      <c r="B1" s="7"/>
      <c r="C1" s="7"/>
      <c r="D1" s="7"/>
      <c r="E1" s="7"/>
      <c r="F1" s="7"/>
      <c r="G1" s="12"/>
      <c r="H1" s="4"/>
      <c r="I1" s="4"/>
      <c r="J1" s="4"/>
      <c r="K1" s="4"/>
    </row>
    <row r="2">
      <c r="A2" s="511" t="s">
        <v>1</v>
      </c>
      <c r="G2" s="8"/>
    </row>
    <row r="3">
      <c r="A3" s="511" t="s">
        <v>2</v>
      </c>
      <c r="G3" s="8"/>
    </row>
    <row r="4">
      <c r="A4" s="6"/>
      <c r="B4" s="6"/>
      <c r="C4" s="6"/>
      <c r="D4" s="6"/>
      <c r="E4" s="6"/>
      <c r="F4" s="6"/>
      <c r="G4" s="8"/>
      <c r="H4" s="6"/>
      <c r="I4" s="6"/>
      <c r="J4" s="6"/>
      <c r="K4" s="6"/>
    </row>
    <row r="5">
      <c r="A5" s="514" t="s">
        <v>3</v>
      </c>
      <c r="B5" s="515" t="s">
        <v>4</v>
      </c>
      <c r="C5" s="515" t="s">
        <v>5</v>
      </c>
      <c r="D5" s="515" t="s">
        <v>6</v>
      </c>
      <c r="E5" s="515" t="s">
        <v>7</v>
      </c>
      <c r="F5" s="515" t="s">
        <v>8</v>
      </c>
      <c r="G5" s="517" t="s">
        <v>9</v>
      </c>
      <c r="H5" s="516" t="s">
        <v>10</v>
      </c>
      <c r="I5" s="516" t="s">
        <v>11</v>
      </c>
      <c r="J5" s="516" t="s">
        <v>12</v>
      </c>
      <c r="K5" s="516" t="s">
        <v>13</v>
      </c>
    </row>
    <row r="6">
      <c r="A6" s="514" t="s">
        <v>14</v>
      </c>
      <c r="B6" s="7"/>
      <c r="C6" s="7"/>
      <c r="D6" s="7"/>
      <c r="E6" s="7"/>
      <c r="F6" s="7"/>
      <c r="G6" s="12"/>
      <c r="H6" s="4"/>
      <c r="I6" s="4"/>
      <c r="J6" s="4"/>
      <c r="K6" s="4"/>
    </row>
    <row r="7">
      <c r="A7" s="511" t="s">
        <v>15</v>
      </c>
      <c r="B7" s="1">
        <v>124638235</v>
      </c>
      <c r="C7" s="1">
        <v>117638023</v>
      </c>
      <c r="D7" s="1">
        <v>104655658</v>
      </c>
      <c r="E7" s="1">
        <v>87255861</v>
      </c>
      <c r="F7" s="1">
        <v>82524242</v>
      </c>
      <c r="G7" s="2"/>
      <c r="H7" s="1"/>
      <c r="I7" s="1"/>
      <c r="J7" s="1"/>
      <c r="K7" s="1"/>
    </row>
    <row r="8">
      <c r="A8" s="511" t="s">
        <v>16</v>
      </c>
      <c r="B8" s="1">
        <v>204017285</v>
      </c>
      <c r="C8" s="1">
        <v>211901340</v>
      </c>
      <c r="D8" s="1">
        <v>219895566</v>
      </c>
      <c r="E8" s="1">
        <v>224687080</v>
      </c>
      <c r="F8" s="1">
        <v>224896583</v>
      </c>
      <c r="G8" s="2"/>
      <c r="H8" s="1"/>
      <c r="I8" s="1"/>
      <c r="J8" s="1"/>
      <c r="K8" s="1"/>
    </row>
    <row r="9">
      <c r="A9" s="511" t="s">
        <v>17</v>
      </c>
      <c r="B9" s="1">
        <v>34093835</v>
      </c>
      <c r="C9" s="1">
        <v>28457738</v>
      </c>
      <c r="D9" s="1">
        <v>26021086</v>
      </c>
      <c r="E9" s="1">
        <v>22369326</v>
      </c>
      <c r="F9" s="1">
        <v>19786399</v>
      </c>
      <c r="G9" s="2"/>
      <c r="H9" s="1"/>
      <c r="I9" s="1"/>
      <c r="J9" s="1"/>
      <c r="K9" s="1"/>
    </row>
    <row r="10">
      <c r="A10" s="511" t="s">
        <v>18</v>
      </c>
      <c r="B10" s="1">
        <v>241005737</v>
      </c>
      <c r="C10" s="1">
        <v>258315486</v>
      </c>
      <c r="D10" s="1">
        <v>283171731</v>
      </c>
      <c r="E10" s="1">
        <v>320833653</v>
      </c>
      <c r="F10" s="1">
        <v>342224043</v>
      </c>
      <c r="G10" s="2"/>
      <c r="H10" s="1"/>
      <c r="I10" s="1"/>
      <c r="J10" s="1"/>
      <c r="K10" s="1"/>
    </row>
    <row r="11">
      <c r="A11" s="511" t="s">
        <v>19</v>
      </c>
      <c r="B11" s="1">
        <v>24841863</v>
      </c>
      <c r="C11" s="1">
        <v>26972802</v>
      </c>
      <c r="D11" s="1">
        <v>30763445</v>
      </c>
      <c r="E11" s="1">
        <v>33498590</v>
      </c>
      <c r="F11" s="1">
        <v>30528983</v>
      </c>
      <c r="G11" s="2"/>
      <c r="H11" s="1"/>
      <c r="I11" s="1"/>
      <c r="J11" s="1"/>
      <c r="K11" s="1"/>
    </row>
    <row r="12">
      <c r="A12" s="511" t="s">
        <v>20</v>
      </c>
      <c r="B12" s="1">
        <v>1208524</v>
      </c>
      <c r="C12" s="1">
        <v>0</v>
      </c>
      <c r="D12" s="1">
        <v>50128462</v>
      </c>
      <c r="E12" s="1">
        <v>66851027</v>
      </c>
      <c r="F12" s="1">
        <v>25631321</v>
      </c>
      <c r="G12" s="2"/>
      <c r="H12" s="1"/>
      <c r="I12" s="1"/>
      <c r="J12" s="1"/>
      <c r="K12" s="1"/>
    </row>
    <row r="13">
      <c r="A13" s="511" t="s">
        <v>21</v>
      </c>
      <c r="B13" s="1">
        <v>4881814</v>
      </c>
      <c r="C13" s="1">
        <v>8978444</v>
      </c>
      <c r="D13" s="1">
        <v>9609117</v>
      </c>
      <c r="E13" s="1">
        <v>1354913</v>
      </c>
      <c r="F13" s="1">
        <v>4474633</v>
      </c>
      <c r="G13" s="2"/>
      <c r="H13" s="1"/>
      <c r="I13" s="1"/>
      <c r="J13" s="1"/>
      <c r="K13" s="1"/>
    </row>
    <row r="14">
      <c r="A14" s="479" t="s">
        <v>22</v>
      </c>
      <c r="B14" s="3">
        <v>634687293</v>
      </c>
      <c r="C14" s="3">
        <v>652263833</v>
      </c>
      <c r="D14" s="3">
        <v>724245065</v>
      </c>
      <c r="E14" s="3">
        <v>756850450</v>
      </c>
      <c r="F14" s="3">
        <v>730066204</v>
      </c>
      <c r="G14" s="9"/>
      <c r="H14" s="3"/>
      <c r="I14" s="3"/>
      <c r="J14" s="3"/>
      <c r="K14" s="3"/>
    </row>
    <row r="15">
      <c r="A15" s="511" t="s">
        <v>23</v>
      </c>
      <c r="B15" s="1"/>
      <c r="C15" s="1"/>
      <c r="D15" s="1">
        <v>-175380648</v>
      </c>
      <c r="E15" s="1">
        <v>-175827888</v>
      </c>
      <c r="F15" s="1">
        <v>-135028752</v>
      </c>
      <c r="G15" s="2"/>
      <c r="H15" s="1"/>
      <c r="I15" s="1"/>
      <c r="J15" s="1"/>
      <c r="K15" s="1"/>
    </row>
    <row r="16">
      <c r="A16" s="511" t="s">
        <v>24</v>
      </c>
      <c r="B16" s="1">
        <v>-150875959</v>
      </c>
      <c r="C16" s="1">
        <v>-152396721</v>
      </c>
      <c r="D16" s="1"/>
      <c r="E16" s="1"/>
      <c r="F16" s="1"/>
      <c r="G16" s="2"/>
      <c r="H16" s="1"/>
      <c r="I16" s="1"/>
      <c r="J16" s="1"/>
      <c r="K16" s="1"/>
    </row>
    <row r="17">
      <c r="A17" s="511" t="s">
        <v>25</v>
      </c>
      <c r="B17" s="1">
        <v>-153622836</v>
      </c>
      <c r="C17" s="1">
        <v>-149542407</v>
      </c>
      <c r="D17" s="1">
        <v>-154175663</v>
      </c>
      <c r="E17" s="1">
        <v>-151343212</v>
      </c>
      <c r="F17" s="1">
        <v>-147727956</v>
      </c>
      <c r="G17" s="2"/>
      <c r="H17" s="1"/>
      <c r="I17" s="1"/>
      <c r="J17" s="1"/>
      <c r="K17" s="1"/>
    </row>
    <row r="18">
      <c r="A18" s="511" t="s">
        <v>26</v>
      </c>
      <c r="B18" s="1"/>
      <c r="C18" s="1"/>
      <c r="D18" s="1">
        <v>-292114449</v>
      </c>
      <c r="E18" s="1">
        <v>-291223146</v>
      </c>
      <c r="F18" s="1">
        <v>-285187128</v>
      </c>
      <c r="G18" s="2"/>
      <c r="H18" s="1"/>
      <c r="I18" s="1"/>
      <c r="J18" s="1"/>
      <c r="K18" s="1"/>
    </row>
    <row r="19">
      <c r="A19" s="511" t="s">
        <v>27</v>
      </c>
      <c r="B19" s="1">
        <v>-74944892</v>
      </c>
      <c r="C19" s="1">
        <v>-80304113</v>
      </c>
      <c r="D19" s="1"/>
      <c r="E19" s="1"/>
      <c r="F19" s="1"/>
      <c r="G19" s="2"/>
      <c r="H19" s="1"/>
      <c r="I19" s="1"/>
      <c r="J19" s="1"/>
      <c r="K19" s="1"/>
    </row>
    <row r="20">
      <c r="A20" s="511" t="s">
        <v>28</v>
      </c>
      <c r="B20" s="1">
        <v>-132286256</v>
      </c>
      <c r="C20" s="1">
        <v>-142118370</v>
      </c>
      <c r="D20" s="1"/>
      <c r="E20" s="1"/>
      <c r="F20" s="1"/>
      <c r="G20" s="2"/>
      <c r="H20" s="1"/>
      <c r="I20" s="1"/>
      <c r="J20" s="1"/>
      <c r="K20" s="1"/>
    </row>
    <row r="21">
      <c r="A21" s="479" t="s">
        <v>29</v>
      </c>
      <c r="B21" s="3">
        <v>-511729943</v>
      </c>
      <c r="C21" s="3">
        <v>-524361611</v>
      </c>
      <c r="D21" s="3">
        <v>-621670760</v>
      </c>
      <c r="E21" s="3">
        <v>-618394246</v>
      </c>
      <c r="F21" s="3">
        <v>-567943836</v>
      </c>
      <c r="G21" s="9"/>
      <c r="H21" s="3"/>
      <c r="I21" s="3"/>
      <c r="J21" s="3"/>
      <c r="K21" s="3"/>
    </row>
    <row r="22">
      <c r="A22" s="479" t="s">
        <v>30</v>
      </c>
      <c r="B22" s="3">
        <v>122957350</v>
      </c>
      <c r="C22" s="3">
        <v>127902222</v>
      </c>
      <c r="D22" s="3">
        <v>102574305</v>
      </c>
      <c r="E22" s="3">
        <v>138456204</v>
      </c>
      <c r="F22" s="3">
        <v>162122368</v>
      </c>
      <c r="G22" s="9"/>
      <c r="H22" s="3"/>
      <c r="I22" s="3"/>
      <c r="J22" s="3"/>
      <c r="K22" s="3"/>
    </row>
    <row r="23">
      <c r="A23" s="511" t="s">
        <v>31</v>
      </c>
      <c r="B23" s="1"/>
      <c r="C23" s="1"/>
      <c r="D23" s="1">
        <v>-45703890</v>
      </c>
      <c r="E23" s="1">
        <v>-46804258</v>
      </c>
      <c r="F23" s="1">
        <v>-53287722</v>
      </c>
      <c r="G23" s="2"/>
      <c r="H23" s="1"/>
      <c r="I23" s="1"/>
      <c r="J23" s="1"/>
      <c r="K23" s="1"/>
    </row>
    <row r="24">
      <c r="A24" s="511" t="s">
        <v>32</v>
      </c>
      <c r="B24" s="1"/>
      <c r="C24" s="1"/>
      <c r="D24" s="1">
        <v>5297806</v>
      </c>
      <c r="E24" s="1">
        <v>11724298</v>
      </c>
      <c r="F24" s="1">
        <v>13445208</v>
      </c>
      <c r="G24" s="2"/>
      <c r="H24" s="1"/>
      <c r="I24" s="1"/>
      <c r="J24" s="1"/>
      <c r="K24" s="1"/>
    </row>
    <row r="25">
      <c r="A25" s="479" t="s">
        <v>33</v>
      </c>
      <c r="B25" s="3"/>
      <c r="C25" s="3"/>
      <c r="D25" s="3">
        <v>-40406084</v>
      </c>
      <c r="E25" s="3">
        <v>-35079960</v>
      </c>
      <c r="F25" s="3">
        <v>-39842514</v>
      </c>
      <c r="G25" s="9"/>
      <c r="H25" s="3"/>
      <c r="I25" s="3"/>
      <c r="J25" s="3"/>
      <c r="K25" s="3"/>
    </row>
    <row r="26">
      <c r="A26" s="511" t="s">
        <v>34</v>
      </c>
      <c r="B26" s="1">
        <v>-47924773</v>
      </c>
      <c r="C26" s="1">
        <v>-43159349</v>
      </c>
      <c r="D26" s="1"/>
      <c r="E26" s="1"/>
      <c r="F26" s="1"/>
      <c r="G26" s="2"/>
      <c r="H26" s="1"/>
      <c r="I26" s="1"/>
      <c r="J26" s="1"/>
      <c r="K26" s="1"/>
    </row>
    <row r="27">
      <c r="A27" s="479" t="s">
        <v>35</v>
      </c>
      <c r="B27" s="3">
        <v>75032577</v>
      </c>
      <c r="C27" s="3">
        <v>84742873</v>
      </c>
      <c r="D27" s="3">
        <v>62168221</v>
      </c>
      <c r="E27" s="3">
        <v>103376244</v>
      </c>
      <c r="F27" s="3">
        <v>122279854</v>
      </c>
      <c r="G27" s="9"/>
      <c r="H27" s="3"/>
      <c r="I27" s="3"/>
      <c r="J27" s="3"/>
      <c r="K27" s="3"/>
    </row>
    <row r="28">
      <c r="A28" s="511" t="s">
        <v>36</v>
      </c>
      <c r="B28" s="1">
        <v>-25689008</v>
      </c>
      <c r="C28" s="1">
        <v>-24811840</v>
      </c>
      <c r="D28" s="1">
        <v>-21213306</v>
      </c>
      <c r="E28" s="1">
        <v>-31932690</v>
      </c>
      <c r="F28" s="1">
        <v>-36828934</v>
      </c>
      <c r="G28" s="2"/>
      <c r="H28" s="1"/>
      <c r="I28" s="1"/>
      <c r="J28" s="1"/>
      <c r="K28" s="1"/>
    </row>
    <row r="29">
      <c r="A29" s="479" t="s">
        <v>37</v>
      </c>
      <c r="B29" s="3">
        <v>49343569</v>
      </c>
      <c r="C29" s="3">
        <v>59931033</v>
      </c>
      <c r="D29" s="3">
        <v>40954915</v>
      </c>
      <c r="E29" s="3">
        <v>71443554</v>
      </c>
      <c r="F29" s="3">
        <v>85450920</v>
      </c>
      <c r="G29" s="9"/>
      <c r="H29" s="3"/>
      <c r="I29" s="3"/>
      <c r="J29" s="3"/>
      <c r="K29" s="3"/>
    </row>
    <row r="30">
      <c r="A30" s="6"/>
      <c r="B30" s="6"/>
      <c r="C30" s="6"/>
      <c r="D30" s="6"/>
      <c r="E30" s="6"/>
      <c r="F30" s="6"/>
      <c r="G30" s="8"/>
      <c r="H30" s="6"/>
      <c r="I30" s="6"/>
      <c r="J30" s="6"/>
      <c r="K30" s="6"/>
    </row>
    <row r="31">
      <c r="A31" s="514" t="s">
        <v>3</v>
      </c>
      <c r="B31" s="515" t="s">
        <v>4</v>
      </c>
      <c r="C31" s="515" t="s">
        <v>5</v>
      </c>
      <c r="D31" s="515" t="s">
        <v>6</v>
      </c>
      <c r="E31" s="515" t="s">
        <v>7</v>
      </c>
      <c r="F31" s="515" t="s">
        <v>8</v>
      </c>
      <c r="G31" s="517" t="s">
        <v>9</v>
      </c>
      <c r="H31" s="516" t="s">
        <v>10</v>
      </c>
      <c r="I31" s="516" t="s">
        <v>11</v>
      </c>
      <c r="J31" s="516" t="s">
        <v>12</v>
      </c>
      <c r="K31" s="516" t="s">
        <v>13</v>
      </c>
    </row>
    <row r="32">
      <c r="A32" s="514" t="s">
        <v>38</v>
      </c>
      <c r="B32" s="7"/>
      <c r="C32" s="7"/>
      <c r="D32" s="7"/>
      <c r="E32" s="7"/>
      <c r="F32" s="7"/>
      <c r="G32" s="12"/>
      <c r="H32" s="4"/>
      <c r="I32" s="4"/>
      <c r="J32" s="4"/>
      <c r="K32" s="4"/>
    </row>
    <row r="33">
      <c r="A33" s="511" t="s">
        <v>39</v>
      </c>
      <c r="B33" s="1">
        <v>1992208</v>
      </c>
      <c r="C33" s="1">
        <v>2834277</v>
      </c>
      <c r="D33" s="1">
        <v>4697690</v>
      </c>
      <c r="E33" s="1">
        <v>1808937</v>
      </c>
      <c r="F33" s="1">
        <v>1786705</v>
      </c>
      <c r="G33" s="2"/>
      <c r="H33" s="1"/>
      <c r="I33" s="1"/>
      <c r="J33" s="1"/>
      <c r="K33" s="1"/>
    </row>
    <row r="34">
      <c r="A34" s="511" t="s">
        <v>40</v>
      </c>
      <c r="B34" s="1">
        <v>5530438</v>
      </c>
      <c r="C34" s="1">
        <v>5513866</v>
      </c>
      <c r="D34" s="1">
        <v>5515717</v>
      </c>
      <c r="E34" s="1">
        <v>5516532</v>
      </c>
      <c r="F34" s="1">
        <v>18735704</v>
      </c>
      <c r="G34" s="2"/>
      <c r="H34" s="1"/>
      <c r="I34" s="1"/>
      <c r="J34" s="1"/>
      <c r="K34" s="1"/>
    </row>
    <row r="35">
      <c r="A35" s="511" t="s">
        <v>41</v>
      </c>
      <c r="B35" s="1"/>
      <c r="C35" s="1"/>
      <c r="D35" s="1">
        <v>12383205</v>
      </c>
      <c r="E35" s="1">
        <v>12383205</v>
      </c>
      <c r="F35" s="1">
        <v>15277603</v>
      </c>
      <c r="G35" s="2"/>
      <c r="H35" s="1"/>
      <c r="I35" s="1"/>
      <c r="J35" s="1"/>
      <c r="K35" s="1"/>
    </row>
    <row r="36">
      <c r="A36" s="511" t="s">
        <v>42</v>
      </c>
      <c r="B36" s="1">
        <v>179030584</v>
      </c>
      <c r="C36" s="1">
        <v>196791725</v>
      </c>
      <c r="D36" s="1">
        <v>175152218</v>
      </c>
      <c r="E36" s="1">
        <v>175494764</v>
      </c>
      <c r="F36" s="1">
        <v>166402199</v>
      </c>
      <c r="G36" s="2"/>
      <c r="H36" s="1"/>
      <c r="I36" s="1"/>
      <c r="J36" s="1"/>
      <c r="K36" s="1"/>
    </row>
    <row r="37">
      <c r="A37" s="511" t="s">
        <v>43</v>
      </c>
      <c r="B37" s="1">
        <v>472268560</v>
      </c>
      <c r="C37" s="1">
        <v>472268560</v>
      </c>
      <c r="D37" s="1">
        <v>472268560</v>
      </c>
      <c r="E37" s="1">
        <v>472268560</v>
      </c>
      <c r="F37" s="1">
        <v>472268560</v>
      </c>
      <c r="G37" s="2"/>
      <c r="H37" s="1"/>
      <c r="I37" s="1"/>
      <c r="J37" s="1"/>
      <c r="K37" s="1"/>
    </row>
    <row r="38">
      <c r="A38" s="511" t="s">
        <v>44</v>
      </c>
      <c r="B38" s="1">
        <v>121060805</v>
      </c>
      <c r="C38" s="1">
        <v>156439509</v>
      </c>
      <c r="D38" s="1">
        <v>183334593</v>
      </c>
      <c r="E38" s="1">
        <v>168363988</v>
      </c>
      <c r="F38" s="1">
        <v>247871310</v>
      </c>
      <c r="G38" s="2"/>
      <c r="H38" s="1"/>
      <c r="I38" s="1"/>
      <c r="J38" s="1"/>
      <c r="K38" s="1"/>
    </row>
    <row r="39">
      <c r="A39" s="511" t="s">
        <v>45</v>
      </c>
      <c r="B39" s="1">
        <v>413112941</v>
      </c>
      <c r="C39" s="1">
        <v>401510592</v>
      </c>
      <c r="D39" s="1">
        <v>377277321</v>
      </c>
      <c r="E39" s="1">
        <v>378640661</v>
      </c>
      <c r="F39" s="1">
        <v>366524708</v>
      </c>
      <c r="G39" s="2"/>
      <c r="H39" s="1"/>
      <c r="I39" s="1"/>
      <c r="J39" s="1"/>
      <c r="K39" s="1"/>
    </row>
    <row r="40">
      <c r="A40" s="479" t="s">
        <v>46</v>
      </c>
      <c r="B40" s="3">
        <v>1192995536</v>
      </c>
      <c r="C40" s="3">
        <v>1235358529</v>
      </c>
      <c r="D40" s="3">
        <v>1230629304</v>
      </c>
      <c r="E40" s="3">
        <v>1214476647</v>
      </c>
      <c r="F40" s="3">
        <v>1288866789</v>
      </c>
      <c r="G40" s="9"/>
      <c r="H40" s="3"/>
      <c r="I40" s="3"/>
      <c r="J40" s="3"/>
      <c r="K40" s="3"/>
    </row>
    <row r="41">
      <c r="A41" s="511" t="s">
        <v>47</v>
      </c>
      <c r="B41" s="1">
        <v>154391742</v>
      </c>
      <c r="C41" s="1">
        <v>109332906</v>
      </c>
      <c r="D41" s="1">
        <v>129232095</v>
      </c>
      <c r="E41" s="1">
        <v>233220914</v>
      </c>
      <c r="F41" s="1">
        <v>441031094</v>
      </c>
      <c r="G41" s="2"/>
      <c r="H41" s="1"/>
      <c r="I41" s="1"/>
      <c r="J41" s="1"/>
      <c r="K41" s="1"/>
    </row>
    <row r="42">
      <c r="A42" s="511" t="s">
        <v>48</v>
      </c>
      <c r="B42" s="1">
        <v>80285735</v>
      </c>
      <c r="C42" s="1">
        <v>86548130</v>
      </c>
      <c r="D42" s="1">
        <v>128663195</v>
      </c>
      <c r="E42" s="1">
        <v>107224672</v>
      </c>
      <c r="F42" s="1">
        <v>152639862</v>
      </c>
      <c r="G42" s="2"/>
      <c r="H42" s="1"/>
      <c r="I42" s="1"/>
      <c r="J42" s="1"/>
      <c r="K42" s="1"/>
    </row>
    <row r="43">
      <c r="A43" s="511" t="s">
        <v>49</v>
      </c>
      <c r="B43" s="1">
        <v>6567102</v>
      </c>
      <c r="C43" s="1">
        <v>9262489</v>
      </c>
      <c r="D43" s="1">
        <v>9050947</v>
      </c>
      <c r="E43" s="1">
        <v>6591682</v>
      </c>
      <c r="F43" s="1">
        <v>6748871</v>
      </c>
      <c r="G43" s="2"/>
      <c r="H43" s="1"/>
      <c r="I43" s="1"/>
      <c r="J43" s="1"/>
      <c r="K43" s="1"/>
    </row>
    <row r="44">
      <c r="A44" s="511" t="s">
        <v>50</v>
      </c>
      <c r="B44" s="1">
        <v>3774009</v>
      </c>
      <c r="C44" s="1">
        <v>5944741</v>
      </c>
      <c r="D44" s="1">
        <v>6689129</v>
      </c>
      <c r="E44" s="1">
        <v>8423428</v>
      </c>
      <c r="F44" s="1">
        <v>8622696</v>
      </c>
      <c r="G44" s="2"/>
      <c r="H44" s="1"/>
      <c r="I44" s="1"/>
      <c r="J44" s="1"/>
      <c r="K44" s="1"/>
    </row>
    <row r="45">
      <c r="A45" s="511" t="s">
        <v>51</v>
      </c>
      <c r="B45" s="1">
        <v>26888655</v>
      </c>
      <c r="C45" s="1">
        <v>35866968</v>
      </c>
      <c r="D45" s="1">
        <v>30334557</v>
      </c>
      <c r="E45" s="1">
        <v>4735196</v>
      </c>
      <c r="F45" s="1">
        <v>4412423</v>
      </c>
      <c r="G45" s="2"/>
      <c r="H45" s="1"/>
      <c r="I45" s="1"/>
      <c r="J45" s="1"/>
      <c r="K45" s="1"/>
    </row>
    <row r="46">
      <c r="A46" s="511" t="s">
        <v>52</v>
      </c>
      <c r="B46" s="1">
        <v>14159929</v>
      </c>
      <c r="C46" s="1">
        <v>6295076</v>
      </c>
      <c r="D46" s="1">
        <v>92125290</v>
      </c>
      <c r="E46" s="1">
        <v>69439881</v>
      </c>
      <c r="F46" s="1">
        <v>54294954</v>
      </c>
      <c r="G46" s="2"/>
      <c r="H46" s="1"/>
      <c r="I46" s="1"/>
      <c r="J46" s="1"/>
      <c r="K46" s="1"/>
    </row>
    <row r="47">
      <c r="A47" s="511" t="s">
        <v>53</v>
      </c>
      <c r="B47" s="1">
        <v>0</v>
      </c>
      <c r="C47" s="1">
        <v>7714713</v>
      </c>
      <c r="D47" s="1">
        <v>3254214</v>
      </c>
      <c r="E47" s="1">
        <v>1733860</v>
      </c>
      <c r="F47" s="1">
        <v>1694508</v>
      </c>
      <c r="G47" s="2"/>
      <c r="H47" s="1"/>
      <c r="I47" s="1"/>
      <c r="J47" s="1"/>
      <c r="K47" s="1"/>
    </row>
    <row r="48">
      <c r="A48" s="479" t="s">
        <v>54</v>
      </c>
      <c r="B48" s="3">
        <v>286067172</v>
      </c>
      <c r="C48" s="3">
        <v>260965023</v>
      </c>
      <c r="D48" s="3">
        <v>399349427</v>
      </c>
      <c r="E48" s="3">
        <v>431369633</v>
      </c>
      <c r="F48" s="3">
        <v>669444408</v>
      </c>
      <c r="G48" s="9"/>
      <c r="H48" s="3"/>
      <c r="I48" s="3"/>
      <c r="J48" s="3"/>
      <c r="K48" s="3"/>
    </row>
    <row r="49">
      <c r="A49" s="479" t="s">
        <v>55</v>
      </c>
      <c r="B49" s="3">
        <v>1479062708</v>
      </c>
      <c r="C49" s="3">
        <v>1496323552</v>
      </c>
      <c r="D49" s="3">
        <v>1629978731</v>
      </c>
      <c r="E49" s="3">
        <v>1645846280</v>
      </c>
      <c r="F49" s="3">
        <v>1958311197</v>
      </c>
      <c r="G49" s="9"/>
      <c r="H49" s="3"/>
      <c r="I49" s="3"/>
      <c r="J49" s="3"/>
      <c r="K49" s="3"/>
    </row>
    <row r="50">
      <c r="A50" s="511" t="s">
        <v>56</v>
      </c>
      <c r="B50" s="1">
        <v>57648922</v>
      </c>
      <c r="C50" s="1">
        <v>57648922</v>
      </c>
      <c r="D50" s="1">
        <v>57648922</v>
      </c>
      <c r="E50" s="1">
        <v>57648922</v>
      </c>
      <c r="F50" s="1">
        <v>57648922</v>
      </c>
      <c r="G50" s="2"/>
      <c r="H50" s="1"/>
      <c r="I50" s="1"/>
      <c r="J50" s="1"/>
      <c r="K50" s="1"/>
    </row>
    <row r="51">
      <c r="A51" s="511" t="s">
        <v>57</v>
      </c>
      <c r="B51" s="1">
        <v>2518315</v>
      </c>
      <c r="C51" s="1">
        <v>3351629</v>
      </c>
      <c r="D51" s="1">
        <v>5384058</v>
      </c>
      <c r="E51" s="1">
        <v>7888162</v>
      </c>
      <c r="F51" s="1">
        <v>8181984</v>
      </c>
      <c r="G51" s="2"/>
      <c r="H51" s="1"/>
      <c r="I51" s="1"/>
      <c r="J51" s="1"/>
      <c r="K51" s="1"/>
    </row>
    <row r="52">
      <c r="A52" s="511" t="s">
        <v>58</v>
      </c>
      <c r="B52" s="1">
        <v>-3705453</v>
      </c>
      <c r="C52" s="1">
        <v>-6160671</v>
      </c>
      <c r="D52" s="1">
        <v>-7724456</v>
      </c>
      <c r="E52" s="1">
        <v>-9197735</v>
      </c>
      <c r="F52" s="1">
        <v>-11106105</v>
      </c>
      <c r="G52" s="2"/>
      <c r="H52" s="1"/>
      <c r="I52" s="1"/>
      <c r="J52" s="1"/>
      <c r="K52" s="1"/>
    </row>
    <row r="53">
      <c r="A53" s="511" t="s">
        <v>59</v>
      </c>
      <c r="B53" s="1">
        <v>160586522</v>
      </c>
      <c r="C53" s="1">
        <v>220448885</v>
      </c>
      <c r="D53" s="1">
        <v>260719940</v>
      </c>
      <c r="E53" s="1">
        <v>332142057</v>
      </c>
      <c r="F53" s="1">
        <v>417592977</v>
      </c>
      <c r="G53" s="2"/>
      <c r="H53" s="1"/>
      <c r="I53" s="1"/>
      <c r="J53" s="1"/>
      <c r="K53" s="1"/>
    </row>
    <row r="54">
      <c r="A54" s="511" t="s">
        <v>60</v>
      </c>
      <c r="B54" s="1">
        <v>-461403</v>
      </c>
      <c r="C54" s="1">
        <v>-392795</v>
      </c>
      <c r="D54" s="1"/>
      <c r="E54" s="1"/>
      <c r="F54" s="1"/>
      <c r="G54" s="2"/>
      <c r="H54" s="1"/>
      <c r="I54" s="1"/>
      <c r="J54" s="1"/>
      <c r="K54" s="1"/>
    </row>
    <row r="55">
      <c r="A55" s="479" t="s">
        <v>61</v>
      </c>
      <c r="B55" s="3">
        <v>216586903</v>
      </c>
      <c r="C55" s="3">
        <v>274895970</v>
      </c>
      <c r="D55" s="3">
        <v>316028464</v>
      </c>
      <c r="E55" s="3">
        <v>388481406</v>
      </c>
      <c r="F55" s="3">
        <v>472317778</v>
      </c>
      <c r="G55" s="9"/>
      <c r="H55" s="3"/>
      <c r="I55" s="3"/>
      <c r="J55" s="3"/>
      <c r="K55" s="3"/>
    </row>
    <row r="56">
      <c r="A56" s="511" t="s">
        <v>62</v>
      </c>
      <c r="B56" s="1">
        <v>109478758</v>
      </c>
      <c r="C56" s="1">
        <v>145208873</v>
      </c>
      <c r="D56" s="1">
        <v>163980663</v>
      </c>
      <c r="E56" s="1">
        <v>150405457</v>
      </c>
      <c r="F56" s="1">
        <v>233721595</v>
      </c>
      <c r="G56" s="2"/>
      <c r="H56" s="1"/>
      <c r="I56" s="1"/>
      <c r="J56" s="1"/>
      <c r="K56" s="1"/>
    </row>
    <row r="57">
      <c r="A57" s="511" t="s">
        <v>63</v>
      </c>
      <c r="B57" s="1">
        <v>254642857</v>
      </c>
      <c r="C57" s="1">
        <v>185000000</v>
      </c>
      <c r="D57" s="1">
        <v>185000000</v>
      </c>
      <c r="E57" s="1">
        <v>74877710</v>
      </c>
      <c r="F57" s="1">
        <v>109175604</v>
      </c>
      <c r="G57" s="2"/>
      <c r="H57" s="1"/>
      <c r="I57" s="1"/>
      <c r="J57" s="1"/>
      <c r="K57" s="1"/>
    </row>
    <row r="58">
      <c r="A58" s="511" t="s">
        <v>64</v>
      </c>
      <c r="B58" s="1">
        <v>586293874</v>
      </c>
      <c r="C58" s="1">
        <v>588064644</v>
      </c>
      <c r="D58" s="1">
        <v>574166415</v>
      </c>
      <c r="E58" s="1">
        <v>548871151</v>
      </c>
      <c r="F58" s="1">
        <v>550330370</v>
      </c>
      <c r="G58" s="2"/>
      <c r="H58" s="1"/>
      <c r="I58" s="1"/>
      <c r="J58" s="1"/>
      <c r="K58" s="1"/>
    </row>
    <row r="59">
      <c r="A59" s="511" t="s">
        <v>65</v>
      </c>
      <c r="B59" s="1">
        <v>15502678</v>
      </c>
      <c r="C59" s="1">
        <v>14051922</v>
      </c>
      <c r="D59" s="1">
        <v>10803802</v>
      </c>
      <c r="E59" s="1">
        <v>8771228</v>
      </c>
      <c r="F59" s="1">
        <v>3285322</v>
      </c>
      <c r="G59" s="2"/>
      <c r="H59" s="1"/>
      <c r="I59" s="1"/>
      <c r="J59" s="1"/>
      <c r="K59" s="1"/>
    </row>
    <row r="60">
      <c r="A60" s="511" t="s">
        <v>66</v>
      </c>
      <c r="B60" s="1">
        <v>37462043</v>
      </c>
      <c r="C60" s="1">
        <v>33716806</v>
      </c>
      <c r="D60" s="1">
        <v>30541476</v>
      </c>
      <c r="E60" s="1">
        <v>30909514</v>
      </c>
      <c r="F60" s="1">
        <v>29048539</v>
      </c>
      <c r="G60" s="2"/>
      <c r="H60" s="1"/>
      <c r="I60" s="1"/>
      <c r="J60" s="1"/>
      <c r="K60" s="1"/>
    </row>
    <row r="61">
      <c r="A61" s="511" t="s">
        <v>67</v>
      </c>
      <c r="B61" s="1">
        <v>19674930</v>
      </c>
      <c r="C61" s="1">
        <v>14872459</v>
      </c>
      <c r="D61" s="1">
        <v>11776890</v>
      </c>
      <c r="E61" s="1">
        <v>12343879</v>
      </c>
      <c r="F61" s="1">
        <v>22981310</v>
      </c>
      <c r="G61" s="2"/>
      <c r="H61" s="1"/>
      <c r="I61" s="1"/>
      <c r="J61" s="1"/>
      <c r="K61" s="1"/>
    </row>
    <row r="62">
      <c r="A62" s="479" t="s">
        <v>68</v>
      </c>
      <c r="B62" s="3">
        <v>1023055140</v>
      </c>
      <c r="C62" s="3">
        <v>980914704</v>
      </c>
      <c r="D62" s="3">
        <v>976269246</v>
      </c>
      <c r="E62" s="3">
        <v>826178939</v>
      </c>
      <c r="F62" s="3">
        <v>948542740</v>
      </c>
      <c r="G62" s="9"/>
      <c r="H62" s="3"/>
      <c r="I62" s="3"/>
      <c r="J62" s="3"/>
      <c r="K62" s="3"/>
    </row>
    <row r="63">
      <c r="A63" s="511" t="s">
        <v>69</v>
      </c>
      <c r="B63" s="1">
        <v>85684491</v>
      </c>
      <c r="C63" s="1">
        <v>122130752</v>
      </c>
      <c r="D63" s="1">
        <v>150457052</v>
      </c>
      <c r="E63" s="1">
        <v>165042228</v>
      </c>
      <c r="F63" s="1">
        <v>293935626</v>
      </c>
      <c r="G63" s="2"/>
      <c r="H63" s="1"/>
      <c r="I63" s="1"/>
      <c r="J63" s="1"/>
      <c r="K63" s="1"/>
    </row>
    <row r="64">
      <c r="A64" s="511" t="s">
        <v>70</v>
      </c>
      <c r="B64" s="1">
        <v>5357143</v>
      </c>
      <c r="C64" s="1">
        <v>0</v>
      </c>
      <c r="D64" s="1">
        <v>0</v>
      </c>
      <c r="E64" s="1">
        <v>109928816</v>
      </c>
      <c r="F64" s="1">
        <v>74950092</v>
      </c>
      <c r="G64" s="2"/>
      <c r="H64" s="1"/>
      <c r="I64" s="1"/>
      <c r="J64" s="1"/>
      <c r="K64" s="1"/>
    </row>
    <row r="65">
      <c r="A65" s="511" t="s">
        <v>71</v>
      </c>
      <c r="B65" s="1">
        <v>19031868</v>
      </c>
      <c r="C65" s="1">
        <v>22268363</v>
      </c>
      <c r="D65" s="1">
        <v>26995613</v>
      </c>
      <c r="E65" s="1">
        <v>29890646</v>
      </c>
      <c r="F65" s="1">
        <v>28498850</v>
      </c>
      <c r="G65" s="2"/>
      <c r="H65" s="1"/>
      <c r="I65" s="1"/>
      <c r="J65" s="1"/>
      <c r="K65" s="1"/>
    </row>
    <row r="66">
      <c r="A66" s="511" t="s">
        <v>72</v>
      </c>
      <c r="B66" s="1">
        <v>14169592</v>
      </c>
      <c r="C66" s="1">
        <v>11911349</v>
      </c>
      <c r="D66" s="1">
        <v>11338567</v>
      </c>
      <c r="E66" s="1">
        <v>13330743</v>
      </c>
      <c r="F66" s="1">
        <v>14313233</v>
      </c>
      <c r="G66" s="2"/>
      <c r="H66" s="1"/>
      <c r="I66" s="1"/>
      <c r="J66" s="1"/>
      <c r="K66" s="1"/>
    </row>
    <row r="67">
      <c r="A67" s="511" t="s">
        <v>73</v>
      </c>
      <c r="B67" s="1">
        <v>4069400</v>
      </c>
      <c r="C67" s="1">
        <v>3896427</v>
      </c>
      <c r="D67" s="1">
        <v>3785001</v>
      </c>
      <c r="E67" s="1">
        <v>3684917</v>
      </c>
      <c r="F67" s="1">
        <v>3588937</v>
      </c>
      <c r="G67" s="2"/>
      <c r="H67" s="1"/>
      <c r="I67" s="1"/>
      <c r="J67" s="1"/>
      <c r="K67" s="1"/>
    </row>
    <row r="68">
      <c r="A68" s="511" t="s">
        <v>74</v>
      </c>
      <c r="B68" s="1">
        <v>14293284</v>
      </c>
      <c r="C68" s="1">
        <v>15364765</v>
      </c>
      <c r="D68" s="1">
        <v>87276960</v>
      </c>
      <c r="E68" s="1">
        <v>42178530</v>
      </c>
      <c r="F68" s="1">
        <v>63159649</v>
      </c>
      <c r="G68" s="2"/>
      <c r="H68" s="1"/>
      <c r="I68" s="1"/>
      <c r="J68" s="1"/>
      <c r="K68" s="1"/>
    </row>
    <row r="69">
      <c r="A69" s="511" t="s">
        <v>75</v>
      </c>
      <c r="B69" s="1">
        <v>86569614</v>
      </c>
      <c r="C69" s="1">
        <v>62291352</v>
      </c>
      <c r="D69" s="1">
        <v>56109542</v>
      </c>
      <c r="E69" s="1">
        <v>58216411</v>
      </c>
      <c r="F69" s="1">
        <v>50452097</v>
      </c>
      <c r="G69" s="2"/>
      <c r="H69" s="1"/>
      <c r="I69" s="1"/>
      <c r="J69" s="1"/>
      <c r="K69" s="1"/>
    </row>
    <row r="70">
      <c r="A70" s="511" t="s">
        <v>76</v>
      </c>
      <c r="B70" s="1">
        <v>10245273</v>
      </c>
      <c r="C70" s="1">
        <v>2649870</v>
      </c>
      <c r="D70" s="1">
        <v>1718286</v>
      </c>
      <c r="E70" s="1">
        <v>8913644</v>
      </c>
      <c r="F70" s="1">
        <v>8552195</v>
      </c>
      <c r="G70" s="2"/>
      <c r="H70" s="1"/>
      <c r="I70" s="1"/>
      <c r="J70" s="1"/>
      <c r="K70" s="1"/>
    </row>
    <row r="71">
      <c r="A71" s="479" t="s">
        <v>77</v>
      </c>
      <c r="B71" s="3">
        <v>239420665</v>
      </c>
      <c r="C71" s="3">
        <v>240512878</v>
      </c>
      <c r="D71" s="3">
        <v>337681021</v>
      </c>
      <c r="E71" s="3">
        <v>431185935</v>
      </c>
      <c r="F71" s="3">
        <v>537450679</v>
      </c>
      <c r="G71" s="9"/>
      <c r="H71" s="3"/>
      <c r="I71" s="3"/>
      <c r="J71" s="3"/>
      <c r="K71" s="3"/>
    </row>
    <row r="72">
      <c r="A72" s="479" t="s">
        <v>78</v>
      </c>
      <c r="B72" s="3">
        <v>1262475805</v>
      </c>
      <c r="C72" s="3">
        <v>1221427582</v>
      </c>
      <c r="D72" s="3">
        <v>1313950267</v>
      </c>
      <c r="E72" s="3">
        <v>1257364874</v>
      </c>
      <c r="F72" s="3">
        <v>1485993419</v>
      </c>
      <c r="G72" s="9"/>
      <c r="H72" s="3"/>
      <c r="I72" s="3"/>
      <c r="J72" s="3"/>
      <c r="K72" s="3"/>
    </row>
    <row r="73">
      <c r="A73" s="479" t="s">
        <v>79</v>
      </c>
      <c r="B73" s="3">
        <v>1479062708</v>
      </c>
      <c r="C73" s="3">
        <v>1496323552</v>
      </c>
      <c r="D73" s="3">
        <v>1629978731</v>
      </c>
      <c r="E73" s="3">
        <v>1645846280</v>
      </c>
      <c r="F73" s="3">
        <v>1958311197</v>
      </c>
      <c r="G73" s="9"/>
      <c r="H73" s="3"/>
      <c r="I73" s="3"/>
      <c r="J73" s="3"/>
      <c r="K73" s="3"/>
    </row>
    <row r="74">
      <c r="A74" s="6"/>
      <c r="B74" s="6"/>
      <c r="C74" s="6"/>
      <c r="D74" s="6"/>
      <c r="E74" s="6"/>
      <c r="F74" s="6"/>
      <c r="G74" s="8"/>
      <c r="H74" s="6"/>
      <c r="I74" s="6"/>
      <c r="J74" s="6"/>
      <c r="K74" s="6"/>
    </row>
    <row r="75">
      <c r="A75" s="514" t="s">
        <v>3</v>
      </c>
      <c r="B75" s="515" t="s">
        <v>4</v>
      </c>
      <c r="C75" s="515" t="s">
        <v>5</v>
      </c>
      <c r="D75" s="515" t="s">
        <v>6</v>
      </c>
      <c r="E75" s="515" t="s">
        <v>7</v>
      </c>
      <c r="F75" s="515" t="s">
        <v>8</v>
      </c>
      <c r="G75" s="517" t="s">
        <v>9</v>
      </c>
      <c r="H75" s="516" t="s">
        <v>10</v>
      </c>
      <c r="I75" s="516" t="s">
        <v>11</v>
      </c>
      <c r="J75" s="516" t="s">
        <v>12</v>
      </c>
      <c r="K75" s="516" t="s">
        <v>13</v>
      </c>
    </row>
    <row r="76">
      <c r="A76" s="514" t="s">
        <v>80</v>
      </c>
      <c r="B76" s="7"/>
      <c r="C76" s="7"/>
      <c r="D76" s="7"/>
      <c r="E76" s="7"/>
      <c r="F76" s="7"/>
      <c r="G76" s="12"/>
      <c r="H76" s="4"/>
      <c r="I76" s="4"/>
      <c r="J76" s="4"/>
      <c r="K76" s="4"/>
    </row>
    <row r="77">
      <c r="A77" s="511" t="s">
        <v>37</v>
      </c>
      <c r="B77" s="1"/>
      <c r="C77" s="1"/>
      <c r="D77" s="1">
        <v>40954915</v>
      </c>
      <c r="E77" s="1">
        <v>71443554</v>
      </c>
      <c r="F77" s="1">
        <v>85450920</v>
      </c>
      <c r="G77" s="2"/>
      <c r="H77" s="1"/>
      <c r="I77" s="1"/>
      <c r="J77" s="1"/>
      <c r="K77" s="1"/>
    </row>
    <row r="78">
      <c r="A78" s="511" t="s">
        <v>35</v>
      </c>
      <c r="B78" s="1">
        <v>75032577</v>
      </c>
      <c r="C78" s="1">
        <v>84742873</v>
      </c>
      <c r="D78" s="1"/>
      <c r="E78" s="1"/>
      <c r="F78" s="1"/>
      <c r="G78" s="2"/>
      <c r="H78" s="1"/>
      <c r="I78" s="1"/>
      <c r="J78" s="1"/>
      <c r="K78" s="1"/>
    </row>
    <row r="79">
      <c r="A79" s="511" t="s">
        <v>81</v>
      </c>
      <c r="B79" s="1"/>
      <c r="C79" s="1"/>
      <c r="D79" s="1">
        <v>101595741</v>
      </c>
      <c r="E79" s="1">
        <v>95042026</v>
      </c>
      <c r="F79" s="1">
        <v>85775066</v>
      </c>
      <c r="G79" s="2"/>
      <c r="H79" s="1"/>
      <c r="I79" s="1"/>
      <c r="J79" s="1"/>
      <c r="K79" s="1"/>
    </row>
    <row r="80">
      <c r="A80" s="511" t="s">
        <v>82</v>
      </c>
      <c r="B80" s="1">
        <v>105087198</v>
      </c>
      <c r="C80" s="1">
        <v>99475198</v>
      </c>
      <c r="D80" s="1"/>
      <c r="E80" s="1"/>
      <c r="F80" s="1"/>
      <c r="G80" s="2"/>
      <c r="H80" s="1"/>
      <c r="I80" s="1"/>
      <c r="J80" s="1"/>
      <c r="K80" s="1"/>
    </row>
    <row r="81">
      <c r="A81" s="511" t="s">
        <v>83</v>
      </c>
      <c r="B81" s="1"/>
      <c r="C81" s="1"/>
      <c r="D81" s="1">
        <v>24803280</v>
      </c>
      <c r="E81" s="1">
        <v>29605859</v>
      </c>
      <c r="F81" s="1">
        <v>31070724</v>
      </c>
      <c r="G81" s="2"/>
      <c r="H81" s="1"/>
      <c r="I81" s="1"/>
      <c r="J81" s="1"/>
      <c r="K81" s="1"/>
    </row>
    <row r="82">
      <c r="A82" s="511" t="s">
        <v>84</v>
      </c>
      <c r="B82" s="1">
        <v>21797355</v>
      </c>
      <c r="C82" s="1">
        <v>22803407</v>
      </c>
      <c r="D82" s="1"/>
      <c r="E82" s="1"/>
      <c r="F82" s="1"/>
      <c r="G82" s="2"/>
      <c r="H82" s="1"/>
      <c r="I82" s="1"/>
      <c r="J82" s="1"/>
      <c r="K82" s="1"/>
    </row>
    <row r="83">
      <c r="A83" s="511" t="s">
        <v>85</v>
      </c>
      <c r="B83" s="1">
        <v>26738283</v>
      </c>
      <c r="C83" s="1">
        <v>27263802</v>
      </c>
      <c r="D83" s="1">
        <v>27776642</v>
      </c>
      <c r="E83" s="1">
        <v>26695327</v>
      </c>
      <c r="F83" s="1">
        <v>30882166</v>
      </c>
      <c r="G83" s="2"/>
      <c r="H83" s="1"/>
      <c r="I83" s="1"/>
      <c r="J83" s="1"/>
      <c r="K83" s="1"/>
    </row>
    <row r="84">
      <c r="A84" s="511" t="s">
        <v>86</v>
      </c>
      <c r="B84" s="1"/>
      <c r="C84" s="1"/>
      <c r="D84" s="1"/>
      <c r="E84" s="1">
        <v>0</v>
      </c>
      <c r="F84" s="1">
        <v>950621</v>
      </c>
      <c r="G84" s="2"/>
      <c r="H84" s="1"/>
      <c r="I84" s="1"/>
      <c r="J84" s="1"/>
      <c r="K84" s="1"/>
    </row>
    <row r="85">
      <c r="A85" s="511" t="s">
        <v>87</v>
      </c>
      <c r="B85" s="1"/>
      <c r="C85" s="1"/>
      <c r="D85" s="1">
        <v>6981854</v>
      </c>
      <c r="E85" s="1">
        <v>985327</v>
      </c>
      <c r="F85" s="1">
        <v>3591060</v>
      </c>
      <c r="G85" s="2"/>
      <c r="H85" s="1"/>
      <c r="I85" s="1"/>
      <c r="J85" s="1"/>
      <c r="K85" s="1"/>
    </row>
    <row r="86">
      <c r="A86" s="511" t="s">
        <v>88</v>
      </c>
      <c r="B86" s="1">
        <v>0</v>
      </c>
      <c r="C86" s="1">
        <v>80903</v>
      </c>
      <c r="D86" s="1"/>
      <c r="E86" s="1"/>
      <c r="F86" s="1"/>
      <c r="G86" s="2"/>
      <c r="H86" s="1"/>
      <c r="I86" s="1"/>
      <c r="J86" s="1"/>
      <c r="K86" s="1"/>
    </row>
    <row r="87">
      <c r="A87" s="511" t="s">
        <v>89</v>
      </c>
      <c r="B87" s="1">
        <v>0</v>
      </c>
      <c r="C87" s="1">
        <v>1874316</v>
      </c>
      <c r="D87" s="1"/>
      <c r="E87" s="1"/>
      <c r="F87" s="1"/>
      <c r="G87" s="2"/>
      <c r="H87" s="1"/>
      <c r="I87" s="1"/>
      <c r="J87" s="1"/>
      <c r="K87" s="1"/>
    </row>
    <row r="88">
      <c r="A88" s="511" t="s">
        <v>90</v>
      </c>
      <c r="B88" s="1"/>
      <c r="C88" s="1"/>
      <c r="D88" s="1">
        <v>-196002</v>
      </c>
      <c r="E88" s="1"/>
      <c r="F88" s="1"/>
      <c r="G88" s="2"/>
      <c r="H88" s="1"/>
      <c r="I88" s="1"/>
      <c r="J88" s="1"/>
      <c r="K88" s="1"/>
    </row>
    <row r="89">
      <c r="A89" s="511" t="s">
        <v>91</v>
      </c>
      <c r="B89" s="1"/>
      <c r="C89" s="1"/>
      <c r="D89" s="1"/>
      <c r="E89" s="1">
        <v>0</v>
      </c>
      <c r="F89" s="1">
        <v>747628</v>
      </c>
      <c r="G89" s="2"/>
      <c r="H89" s="1"/>
      <c r="I89" s="1"/>
      <c r="J89" s="1"/>
      <c r="K89" s="1"/>
    </row>
    <row r="90">
      <c r="A90" s="511" t="s">
        <v>92</v>
      </c>
      <c r="B90" s="1"/>
      <c r="C90" s="1"/>
      <c r="D90" s="1"/>
      <c r="E90" s="1">
        <v>0</v>
      </c>
      <c r="F90" s="1">
        <v>2851248</v>
      </c>
      <c r="G90" s="2"/>
      <c r="H90" s="1"/>
      <c r="I90" s="1"/>
      <c r="J90" s="1"/>
      <c r="K90" s="1"/>
    </row>
    <row r="91">
      <c r="A91" s="511" t="s">
        <v>93</v>
      </c>
      <c r="B91" s="1"/>
      <c r="C91" s="1"/>
      <c r="D91" s="1">
        <v>11226187</v>
      </c>
      <c r="E91" s="1">
        <v>853306</v>
      </c>
      <c r="F91" s="1">
        <v>543953</v>
      </c>
      <c r="G91" s="2"/>
      <c r="H91" s="1"/>
      <c r="I91" s="1"/>
      <c r="J91" s="1"/>
      <c r="K91" s="1"/>
    </row>
    <row r="92">
      <c r="A92" s="511" t="s">
        <v>94</v>
      </c>
      <c r="B92" s="1">
        <v>-152589</v>
      </c>
      <c r="C92" s="1">
        <v>16417</v>
      </c>
      <c r="D92" s="1"/>
      <c r="E92" s="1"/>
      <c r="F92" s="1"/>
      <c r="G92" s="2"/>
      <c r="H92" s="1"/>
      <c r="I92" s="1"/>
      <c r="J92" s="1"/>
      <c r="K92" s="1"/>
    </row>
    <row r="93">
      <c r="A93" s="511" t="s">
        <v>95</v>
      </c>
      <c r="B93" s="1"/>
      <c r="C93" s="1"/>
      <c r="D93" s="1">
        <v>13277560</v>
      </c>
      <c r="E93" s="1">
        <v>10668067</v>
      </c>
      <c r="F93" s="1">
        <v>10345831</v>
      </c>
      <c r="G93" s="2"/>
      <c r="H93" s="1"/>
      <c r="I93" s="1"/>
      <c r="J93" s="1"/>
      <c r="K93" s="1"/>
    </row>
    <row r="94">
      <c r="A94" s="511" t="s">
        <v>96</v>
      </c>
      <c r="B94" s="1">
        <v>6651267</v>
      </c>
      <c r="C94" s="1">
        <v>6717067</v>
      </c>
      <c r="D94" s="1"/>
      <c r="E94" s="1"/>
      <c r="F94" s="1"/>
      <c r="G94" s="2"/>
      <c r="H94" s="1"/>
      <c r="I94" s="1"/>
      <c r="J94" s="1"/>
      <c r="K94" s="1"/>
    </row>
    <row r="95">
      <c r="A95" s="511" t="s">
        <v>97</v>
      </c>
      <c r="B95" s="1">
        <v>2659899</v>
      </c>
      <c r="C95" s="1">
        <v>1860770</v>
      </c>
      <c r="D95" s="1">
        <v>0</v>
      </c>
      <c r="E95" s="1">
        <v>1975262</v>
      </c>
      <c r="F95" s="1">
        <v>1635599</v>
      </c>
      <c r="G95" s="2"/>
      <c r="H95" s="1"/>
      <c r="I95" s="1"/>
      <c r="J95" s="1"/>
      <c r="K95" s="1"/>
    </row>
    <row r="96">
      <c r="A96" s="511" t="s">
        <v>36</v>
      </c>
      <c r="B96" s="1"/>
      <c r="C96" s="1"/>
      <c r="D96" s="1">
        <v>21213306</v>
      </c>
      <c r="E96" s="1">
        <v>31932690</v>
      </c>
      <c r="F96" s="1">
        <v>36828934</v>
      </c>
      <c r="G96" s="2"/>
      <c r="H96" s="1"/>
      <c r="I96" s="1"/>
      <c r="J96" s="1"/>
      <c r="K96" s="1"/>
    </row>
    <row r="97">
      <c r="A97" s="511" t="s">
        <v>33</v>
      </c>
      <c r="B97" s="1"/>
      <c r="C97" s="1"/>
      <c r="D97" s="1">
        <v>40406084</v>
      </c>
      <c r="E97" s="1">
        <v>33104698</v>
      </c>
      <c r="F97" s="1">
        <v>38206915</v>
      </c>
      <c r="G97" s="2"/>
      <c r="H97" s="1"/>
      <c r="I97" s="1"/>
      <c r="J97" s="1"/>
      <c r="K97" s="1"/>
    </row>
    <row r="98">
      <c r="A98" s="511" t="s">
        <v>98</v>
      </c>
      <c r="B98" s="1">
        <v>47924773</v>
      </c>
      <c r="C98" s="1">
        <v>43159349</v>
      </c>
      <c r="D98" s="1"/>
      <c r="E98" s="1"/>
      <c r="F98" s="1"/>
      <c r="G98" s="2"/>
      <c r="H98" s="1"/>
      <c r="I98" s="1"/>
      <c r="J98" s="1"/>
      <c r="K98" s="1"/>
    </row>
    <row r="99">
      <c r="A99" s="511" t="s">
        <v>99</v>
      </c>
      <c r="B99" s="1">
        <v>682455</v>
      </c>
      <c r="C99" s="1">
        <v>833314</v>
      </c>
      <c r="D99" s="1">
        <v>2032429</v>
      </c>
      <c r="E99" s="1">
        <v>2504104</v>
      </c>
      <c r="F99" s="1">
        <v>293822</v>
      </c>
      <c r="G99" s="2"/>
      <c r="H99" s="1"/>
      <c r="I99" s="1"/>
      <c r="J99" s="1"/>
      <c r="K99" s="1"/>
    </row>
    <row r="100">
      <c r="A100" s="511" t="s">
        <v>100</v>
      </c>
      <c r="B100" s="1">
        <v>286421218</v>
      </c>
      <c r="C100" s="1">
        <v>288827416</v>
      </c>
      <c r="D100" s="1">
        <v>290071996</v>
      </c>
      <c r="E100" s="1">
        <v>304810220</v>
      </c>
      <c r="F100" s="1">
        <v>329174487</v>
      </c>
      <c r="G100" s="2"/>
      <c r="H100" s="1"/>
      <c r="I100" s="1"/>
      <c r="J100" s="1"/>
      <c r="K100" s="1"/>
    </row>
    <row r="101">
      <c r="A101" s="511" t="s">
        <v>101</v>
      </c>
      <c r="B101" s="1">
        <v>-3867776</v>
      </c>
      <c r="C101" s="1">
        <v>-12979462</v>
      </c>
      <c r="D101" s="1">
        <v>-55392625</v>
      </c>
      <c r="E101" s="1">
        <v>10770456</v>
      </c>
      <c r="F101" s="1">
        <v>-55761021</v>
      </c>
      <c r="G101" s="2"/>
      <c r="H101" s="1"/>
      <c r="I101" s="1"/>
      <c r="J101" s="1"/>
      <c r="K101" s="1"/>
    </row>
    <row r="102">
      <c r="A102" s="511" t="s">
        <v>49</v>
      </c>
      <c r="B102" s="1">
        <v>1803142</v>
      </c>
      <c r="C102" s="1">
        <v>-4483087</v>
      </c>
      <c r="D102" s="1">
        <v>211542</v>
      </c>
      <c r="E102" s="1">
        <v>1157433</v>
      </c>
      <c r="F102" s="1">
        <v>1521412</v>
      </c>
      <c r="G102" s="2"/>
      <c r="H102" s="1"/>
      <c r="I102" s="1"/>
      <c r="J102" s="1"/>
      <c r="K102" s="1"/>
    </row>
    <row r="103">
      <c r="A103" s="511" t="s">
        <v>50</v>
      </c>
      <c r="B103" s="1">
        <v>-843091</v>
      </c>
      <c r="C103" s="1">
        <v>-2170732</v>
      </c>
      <c r="D103" s="1">
        <v>-744388</v>
      </c>
      <c r="E103" s="1">
        <v>-1734299</v>
      </c>
      <c r="F103" s="1">
        <v>-199268</v>
      </c>
      <c r="G103" s="2"/>
      <c r="H103" s="1"/>
      <c r="I103" s="1"/>
      <c r="J103" s="1"/>
      <c r="K103" s="1"/>
    </row>
    <row r="104">
      <c r="A104" s="511" t="s">
        <v>102</v>
      </c>
      <c r="B104" s="1">
        <v>-2442302</v>
      </c>
      <c r="C104" s="1">
        <v>-8978313</v>
      </c>
      <c r="D104" s="1">
        <v>5532411</v>
      </c>
      <c r="E104" s="1">
        <v>8215531</v>
      </c>
      <c r="F104" s="1">
        <v>322773</v>
      </c>
      <c r="G104" s="2"/>
      <c r="H104" s="1"/>
      <c r="I104" s="1"/>
      <c r="J104" s="1"/>
      <c r="K104" s="1"/>
    </row>
    <row r="105">
      <c r="A105" s="511" t="s">
        <v>52</v>
      </c>
      <c r="B105" s="1">
        <v>-6663080</v>
      </c>
      <c r="C105" s="1">
        <v>7864853</v>
      </c>
      <c r="D105" s="1">
        <v>-85830214</v>
      </c>
      <c r="E105" s="1">
        <v>24247074</v>
      </c>
      <c r="F105" s="1">
        <v>15144927</v>
      </c>
      <c r="G105" s="2"/>
      <c r="H105" s="1"/>
      <c r="I105" s="1"/>
      <c r="J105" s="1"/>
      <c r="K105" s="1"/>
    </row>
    <row r="106">
      <c r="A106" s="511" t="s">
        <v>40</v>
      </c>
      <c r="B106" s="1">
        <v>74097</v>
      </c>
      <c r="C106" s="1">
        <v>16572</v>
      </c>
      <c r="D106" s="1">
        <v>-1850</v>
      </c>
      <c r="E106" s="1">
        <v>0</v>
      </c>
      <c r="F106" s="1">
        <v>-13219172</v>
      </c>
      <c r="G106" s="2"/>
      <c r="H106" s="1"/>
      <c r="I106" s="1"/>
      <c r="J106" s="1"/>
      <c r="K106" s="1"/>
    </row>
    <row r="107">
      <c r="A107" s="511" t="s">
        <v>69</v>
      </c>
      <c r="B107" s="1">
        <v>-13530095</v>
      </c>
      <c r="C107" s="1">
        <v>43262719</v>
      </c>
      <c r="D107" s="1">
        <v>28326300</v>
      </c>
      <c r="E107" s="1">
        <v>16332582</v>
      </c>
      <c r="F107" s="1">
        <v>128197906</v>
      </c>
      <c r="G107" s="2"/>
      <c r="H107" s="1"/>
      <c r="I107" s="1"/>
      <c r="J107" s="1"/>
      <c r="K107" s="1"/>
    </row>
    <row r="108">
      <c r="A108" s="511" t="s">
        <v>76</v>
      </c>
      <c r="B108" s="1"/>
      <c r="C108" s="1"/>
      <c r="D108" s="1"/>
      <c r="E108" s="1">
        <v>43420</v>
      </c>
      <c r="F108" s="1">
        <v>-80654</v>
      </c>
      <c r="G108" s="2"/>
      <c r="H108" s="1"/>
      <c r="I108" s="1"/>
      <c r="J108" s="1"/>
      <c r="K108" s="1"/>
    </row>
    <row r="109">
      <c r="A109" s="511" t="s">
        <v>72</v>
      </c>
      <c r="B109" s="1">
        <v>4322615</v>
      </c>
      <c r="C109" s="1">
        <v>-2258243</v>
      </c>
      <c r="D109" s="1">
        <v>-572782</v>
      </c>
      <c r="E109" s="1">
        <v>1846348</v>
      </c>
      <c r="F109" s="1">
        <v>982490</v>
      </c>
      <c r="G109" s="2"/>
      <c r="H109" s="1"/>
      <c r="I109" s="1"/>
      <c r="J109" s="1"/>
      <c r="K109" s="1"/>
    </row>
    <row r="110">
      <c r="A110" s="511" t="s">
        <v>75</v>
      </c>
      <c r="B110" s="1">
        <v>11465016</v>
      </c>
      <c r="C110" s="1">
        <v>-31876912</v>
      </c>
      <c r="D110" s="1">
        <v>-7292647</v>
      </c>
      <c r="E110" s="1">
        <v>-2355218</v>
      </c>
      <c r="F110" s="1">
        <v>-14702024</v>
      </c>
      <c r="G110" s="2"/>
      <c r="H110" s="1"/>
      <c r="I110" s="1"/>
      <c r="J110" s="1"/>
      <c r="K110" s="1"/>
    </row>
    <row r="111">
      <c r="A111" s="511" t="s">
        <v>73</v>
      </c>
      <c r="B111" s="1">
        <v>-103440</v>
      </c>
      <c r="C111" s="1">
        <v>-172973</v>
      </c>
      <c r="D111" s="1">
        <v>-111425</v>
      </c>
      <c r="E111" s="1">
        <v>-100084</v>
      </c>
      <c r="F111" s="1">
        <v>-95980</v>
      </c>
      <c r="G111" s="2"/>
      <c r="H111" s="1"/>
      <c r="I111" s="1"/>
      <c r="J111" s="1"/>
      <c r="K111" s="1"/>
    </row>
    <row r="112">
      <c r="A112" s="511" t="s">
        <v>65</v>
      </c>
      <c r="B112" s="1">
        <v>-4620289</v>
      </c>
      <c r="C112" s="1">
        <v>-379275</v>
      </c>
      <c r="D112" s="1">
        <v>68664075</v>
      </c>
      <c r="E112" s="1">
        <v>-47131004</v>
      </c>
      <c r="F112" s="1">
        <v>15495213</v>
      </c>
      <c r="G112" s="2"/>
      <c r="H112" s="1"/>
      <c r="I112" s="1"/>
      <c r="J112" s="1"/>
      <c r="K112" s="1"/>
    </row>
    <row r="113">
      <c r="A113" s="511" t="s">
        <v>103</v>
      </c>
      <c r="B113" s="1">
        <v>5686947</v>
      </c>
      <c r="C113" s="1">
        <v>-4802471</v>
      </c>
      <c r="D113" s="1">
        <v>-3095569</v>
      </c>
      <c r="E113" s="1">
        <v>566989</v>
      </c>
      <c r="F113" s="1">
        <v>9889803</v>
      </c>
      <c r="G113" s="2"/>
      <c r="H113" s="1"/>
      <c r="I113" s="1"/>
      <c r="J113" s="1"/>
      <c r="K113" s="1"/>
    </row>
    <row r="114">
      <c r="A114" s="479" t="s">
        <v>104</v>
      </c>
      <c r="B114" s="3">
        <v>277702962</v>
      </c>
      <c r="C114" s="3">
        <v>271870092</v>
      </c>
      <c r="D114" s="3">
        <v>239764824</v>
      </c>
      <c r="E114" s="3">
        <v>316669448</v>
      </c>
      <c r="F114" s="3">
        <v>416670892</v>
      </c>
      <c r="G114" s="9"/>
      <c r="H114" s="3"/>
      <c r="I114" s="3"/>
      <c r="J114" s="3"/>
      <c r="K114" s="3"/>
    </row>
    <row r="115">
      <c r="A115" s="511" t="s">
        <v>105</v>
      </c>
      <c r="B115" s="1">
        <v>-17658392</v>
      </c>
      <c r="C115" s="1">
        <v>-44240683</v>
      </c>
      <c r="D115" s="1">
        <v>-21055724</v>
      </c>
      <c r="E115" s="1">
        <v>-22892360</v>
      </c>
      <c r="F115" s="1">
        <v>-38931353</v>
      </c>
      <c r="G115" s="2"/>
      <c r="H115" s="1"/>
      <c r="I115" s="1"/>
      <c r="J115" s="1"/>
      <c r="K115" s="1"/>
    </row>
    <row r="116">
      <c r="A116" s="511" t="s">
        <v>106</v>
      </c>
      <c r="B116" s="1"/>
      <c r="C116" s="1"/>
      <c r="D116" s="1"/>
      <c r="E116" s="1">
        <v>-2157566</v>
      </c>
      <c r="F116" s="1">
        <v>-2700627</v>
      </c>
      <c r="G116" s="2"/>
      <c r="H116" s="1"/>
      <c r="I116" s="1"/>
      <c r="J116" s="1"/>
      <c r="K116" s="1"/>
    </row>
    <row r="117">
      <c r="A117" s="511" t="s">
        <v>107</v>
      </c>
      <c r="B117" s="1">
        <v>-20296736</v>
      </c>
      <c r="C117" s="1">
        <v>-35560699</v>
      </c>
      <c r="D117" s="1">
        <v>-33913561</v>
      </c>
      <c r="E117" s="1">
        <v>-32531954</v>
      </c>
      <c r="F117" s="1">
        <v>-31828373</v>
      </c>
      <c r="G117" s="2"/>
      <c r="H117" s="1"/>
      <c r="I117" s="1"/>
      <c r="J117" s="1"/>
      <c r="K117" s="1"/>
    </row>
    <row r="118">
      <c r="A118" s="511" t="s">
        <v>108</v>
      </c>
      <c r="B118" s="1"/>
      <c r="C118" s="1"/>
      <c r="D118" s="1"/>
      <c r="E118" s="1">
        <v>7106702</v>
      </c>
      <c r="F118" s="1">
        <v>11766607</v>
      </c>
      <c r="G118" s="2"/>
      <c r="H118" s="1"/>
      <c r="I118" s="1"/>
      <c r="J118" s="1"/>
      <c r="K118" s="1"/>
    </row>
    <row r="119">
      <c r="A119" s="511" t="s">
        <v>109</v>
      </c>
      <c r="B119" s="1">
        <v>-5841971</v>
      </c>
      <c r="C119" s="1">
        <v>-6435960</v>
      </c>
      <c r="D119" s="1">
        <v>-8877687</v>
      </c>
      <c r="E119" s="1">
        <v>-8063697</v>
      </c>
      <c r="F119" s="1">
        <v>-14178181</v>
      </c>
      <c r="G119" s="2"/>
      <c r="H119" s="1"/>
      <c r="I119" s="1"/>
      <c r="J119" s="1"/>
      <c r="K119" s="1"/>
    </row>
    <row r="120">
      <c r="A120" s="511" t="s">
        <v>110</v>
      </c>
      <c r="B120" s="1">
        <v>-1672050</v>
      </c>
      <c r="C120" s="1">
        <v>-3190860</v>
      </c>
      <c r="D120" s="1">
        <v>-13259077</v>
      </c>
      <c r="E120" s="1">
        <v>-596868</v>
      </c>
      <c r="F120" s="1">
        <v>-486159</v>
      </c>
      <c r="G120" s="2"/>
      <c r="H120" s="1"/>
      <c r="I120" s="1"/>
      <c r="J120" s="1"/>
      <c r="K120" s="1"/>
    </row>
    <row r="121">
      <c r="A121" s="479" t="s">
        <v>111</v>
      </c>
      <c r="B121" s="3">
        <v>232233813</v>
      </c>
      <c r="C121" s="3">
        <v>182441890</v>
      </c>
      <c r="D121" s="3">
        <v>162658775</v>
      </c>
      <c r="E121" s="3">
        <v>257533705</v>
      </c>
      <c r="F121" s="3">
        <v>340312806</v>
      </c>
      <c r="G121" s="9"/>
      <c r="H121" s="3"/>
      <c r="I121" s="3"/>
      <c r="J121" s="3"/>
      <c r="K121" s="3"/>
    </row>
    <row r="122">
      <c r="A122" s="511" t="s">
        <v>112</v>
      </c>
      <c r="B122" s="1">
        <v>462908</v>
      </c>
      <c r="C122" s="1">
        <v>2332374</v>
      </c>
      <c r="D122" s="1">
        <v>169482</v>
      </c>
      <c r="E122" s="1">
        <v>2632315</v>
      </c>
      <c r="F122" s="1">
        <v>-35562</v>
      </c>
      <c r="G122" s="2"/>
      <c r="H122" s="1"/>
      <c r="I122" s="1"/>
      <c r="J122" s="1"/>
      <c r="K122" s="1"/>
    </row>
    <row r="123">
      <c r="A123" s="511" t="s">
        <v>113</v>
      </c>
      <c r="B123" s="1">
        <v>-38882122</v>
      </c>
      <c r="C123" s="1">
        <v>-45024943</v>
      </c>
      <c r="D123" s="1">
        <v>-5592388</v>
      </c>
      <c r="E123" s="1">
        <v>-23761385</v>
      </c>
      <c r="F123" s="1">
        <v>-18940495</v>
      </c>
      <c r="G123" s="2"/>
      <c r="H123" s="1"/>
      <c r="I123" s="1"/>
      <c r="J123" s="1"/>
      <c r="K123" s="1"/>
    </row>
    <row r="124">
      <c r="A124" s="511" t="s">
        <v>114</v>
      </c>
      <c r="B124" s="1"/>
      <c r="C124" s="1"/>
      <c r="D124" s="1">
        <v>-312499</v>
      </c>
      <c r="E124" s="1"/>
      <c r="F124" s="1"/>
      <c r="G124" s="2"/>
      <c r="H124" s="1"/>
      <c r="I124" s="1"/>
      <c r="J124" s="1"/>
      <c r="K124" s="1"/>
    </row>
    <row r="125">
      <c r="A125" s="511" t="s">
        <v>115</v>
      </c>
      <c r="B125" s="1"/>
      <c r="C125" s="1"/>
      <c r="D125" s="1">
        <v>12487934</v>
      </c>
      <c r="E125" s="1"/>
      <c r="F125" s="1"/>
      <c r="G125" s="2"/>
      <c r="H125" s="1"/>
      <c r="I125" s="1"/>
      <c r="J125" s="1"/>
      <c r="K125" s="1"/>
    </row>
    <row r="126">
      <c r="A126" s="511" t="s">
        <v>116</v>
      </c>
      <c r="B126" s="1"/>
      <c r="C126" s="1"/>
      <c r="D126" s="1"/>
      <c r="E126" s="1">
        <v>0</v>
      </c>
      <c r="F126" s="1">
        <v>3858749</v>
      </c>
      <c r="G126" s="2"/>
      <c r="H126" s="1"/>
      <c r="I126" s="1"/>
      <c r="J126" s="1"/>
      <c r="K126" s="1"/>
    </row>
    <row r="127">
      <c r="A127" s="511" t="s">
        <v>117</v>
      </c>
      <c r="B127" s="1"/>
      <c r="C127" s="1"/>
      <c r="D127" s="1">
        <v>-12383205</v>
      </c>
      <c r="E127" s="1"/>
      <c r="F127" s="1"/>
      <c r="G127" s="2"/>
      <c r="H127" s="1"/>
      <c r="I127" s="1"/>
      <c r="J127" s="1"/>
      <c r="K127" s="1"/>
    </row>
    <row r="128">
      <c r="A128" s="511" t="s">
        <v>118</v>
      </c>
      <c r="B128" s="1"/>
      <c r="C128" s="1"/>
      <c r="D128" s="1"/>
      <c r="E128" s="1">
        <v>0</v>
      </c>
      <c r="F128" s="1">
        <v>-2894398</v>
      </c>
      <c r="G128" s="2"/>
      <c r="H128" s="1"/>
      <c r="I128" s="1"/>
      <c r="J128" s="1"/>
      <c r="K128" s="1"/>
    </row>
    <row r="129">
      <c r="A129" s="511" t="s">
        <v>119</v>
      </c>
      <c r="B129" s="1">
        <v>-86333715</v>
      </c>
      <c r="C129" s="1">
        <v>-87953752</v>
      </c>
      <c r="D129" s="1">
        <v>-97407479</v>
      </c>
      <c r="E129" s="1">
        <v>-83283351</v>
      </c>
      <c r="F129" s="1">
        <v>-84908649</v>
      </c>
      <c r="G129" s="2"/>
      <c r="H129" s="1"/>
      <c r="I129" s="1"/>
      <c r="J129" s="1"/>
      <c r="K129" s="1"/>
    </row>
    <row r="130">
      <c r="A130" s="479" t="s">
        <v>120</v>
      </c>
      <c r="B130" s="3">
        <v>-124752929</v>
      </c>
      <c r="C130" s="3">
        <v>-130646321</v>
      </c>
      <c r="D130" s="3">
        <v>-103038155</v>
      </c>
      <c r="E130" s="3">
        <v>-104412421</v>
      </c>
      <c r="F130" s="3">
        <v>-102920355</v>
      </c>
      <c r="G130" s="9"/>
      <c r="H130" s="3"/>
      <c r="I130" s="3"/>
      <c r="J130" s="3"/>
      <c r="K130" s="3"/>
    </row>
    <row r="131">
      <c r="A131" s="511" t="s">
        <v>121</v>
      </c>
      <c r="B131" s="1">
        <v>100000000</v>
      </c>
      <c r="C131" s="1">
        <v>0</v>
      </c>
      <c r="D131" s="1"/>
      <c r="E131" s="1"/>
      <c r="F131" s="1"/>
      <c r="G131" s="2"/>
      <c r="H131" s="1"/>
      <c r="I131" s="1"/>
      <c r="J131" s="1"/>
      <c r="K131" s="1"/>
    </row>
    <row r="132">
      <c r="A132" s="511" t="s">
        <v>122</v>
      </c>
      <c r="B132" s="1"/>
      <c r="C132" s="1"/>
      <c r="D132" s="1"/>
      <c r="E132" s="1">
        <v>0</v>
      </c>
      <c r="F132" s="1">
        <v>110000000</v>
      </c>
      <c r="G132" s="2"/>
      <c r="H132" s="1"/>
      <c r="I132" s="1"/>
      <c r="J132" s="1"/>
      <c r="K132" s="1"/>
    </row>
    <row r="133">
      <c r="A133" s="511" t="s">
        <v>123</v>
      </c>
      <c r="B133" s="1">
        <v>-125000000</v>
      </c>
      <c r="C133" s="1">
        <v>-75000000</v>
      </c>
      <c r="D133" s="1"/>
      <c r="E133" s="1"/>
      <c r="F133" s="1"/>
      <c r="G133" s="2"/>
      <c r="H133" s="1"/>
      <c r="I133" s="1"/>
      <c r="J133" s="1"/>
      <c r="K133" s="1"/>
    </row>
    <row r="134">
      <c r="A134" s="511" t="s">
        <v>124</v>
      </c>
      <c r="B134" s="1"/>
      <c r="C134" s="1"/>
      <c r="D134" s="1"/>
      <c r="E134" s="1">
        <v>0</v>
      </c>
      <c r="F134" s="1">
        <v>-110000000</v>
      </c>
      <c r="G134" s="2"/>
      <c r="H134" s="1"/>
      <c r="I134" s="1"/>
      <c r="J134" s="1"/>
      <c r="K134" s="1"/>
    </row>
    <row r="135">
      <c r="A135" s="511" t="s">
        <v>125</v>
      </c>
      <c r="B135" s="1"/>
      <c r="C135" s="1"/>
      <c r="D135" s="1">
        <v>-13446841</v>
      </c>
      <c r="E135" s="1">
        <v>-24262912</v>
      </c>
      <c r="F135" s="1">
        <v>0</v>
      </c>
      <c r="G135" s="2"/>
      <c r="H135" s="1"/>
      <c r="I135" s="1"/>
      <c r="J135" s="1"/>
      <c r="K135" s="1"/>
    </row>
    <row r="136">
      <c r="A136" s="511" t="s">
        <v>126</v>
      </c>
      <c r="B136" s="1">
        <v>-613439</v>
      </c>
      <c r="C136" s="1">
        <v>0</v>
      </c>
      <c r="D136" s="1"/>
      <c r="E136" s="1"/>
      <c r="F136" s="1"/>
      <c r="G136" s="2"/>
      <c r="H136" s="1"/>
      <c r="I136" s="1"/>
      <c r="J136" s="1"/>
      <c r="K136" s="1"/>
    </row>
    <row r="137">
      <c r="A137" s="511" t="s">
        <v>127</v>
      </c>
      <c r="B137" s="1"/>
      <c r="C137" s="1"/>
      <c r="D137" s="1"/>
      <c r="E137" s="1"/>
      <c r="F137" s="1">
        <v>-857210</v>
      </c>
      <c r="G137" s="2"/>
      <c r="H137" s="1"/>
      <c r="I137" s="1"/>
      <c r="J137" s="1"/>
      <c r="K137" s="1"/>
    </row>
    <row r="138">
      <c r="A138" s="511" t="s">
        <v>128</v>
      </c>
      <c r="B138" s="1">
        <v>-1758990</v>
      </c>
      <c r="C138" s="1">
        <v>-2455218</v>
      </c>
      <c r="D138" s="1">
        <v>-1542351</v>
      </c>
      <c r="E138" s="1">
        <v>-1494714</v>
      </c>
      <c r="F138" s="1">
        <v>-1908370</v>
      </c>
      <c r="G138" s="2"/>
      <c r="H138" s="1"/>
      <c r="I138" s="1"/>
      <c r="J138" s="1"/>
      <c r="K138" s="1"/>
    </row>
    <row r="139">
      <c r="A139" s="511" t="s">
        <v>129</v>
      </c>
      <c r="B139" s="1">
        <v>-10565095</v>
      </c>
      <c r="C139" s="1">
        <v>-19399187</v>
      </c>
      <c r="D139" s="1">
        <v>-24732239</v>
      </c>
      <c r="E139" s="1">
        <v>-23374839</v>
      </c>
      <c r="F139" s="1">
        <v>-26816691</v>
      </c>
      <c r="G139" s="2"/>
      <c r="H139" s="1"/>
      <c r="I139" s="1"/>
      <c r="J139" s="1"/>
      <c r="K139" s="1"/>
    </row>
    <row r="140">
      <c r="A140" s="479" t="s">
        <v>130</v>
      </c>
      <c r="B140" s="3">
        <v>-37937524</v>
      </c>
      <c r="C140" s="3">
        <v>-96854405</v>
      </c>
      <c r="D140" s="3">
        <v>-39721431</v>
      </c>
      <c r="E140" s="3">
        <v>-49132465</v>
      </c>
      <c r="F140" s="3">
        <v>-29582271</v>
      </c>
      <c r="G140" s="9"/>
      <c r="H140" s="3"/>
      <c r="I140" s="3"/>
      <c r="J140" s="3"/>
      <c r="K140" s="3"/>
    </row>
    <row r="141">
      <c r="A141" s="511" t="s">
        <v>131</v>
      </c>
      <c r="B141" s="1">
        <v>69544360</v>
      </c>
      <c r="C141" s="1">
        <v>-45058836</v>
      </c>
      <c r="D141" s="1">
        <v>19899189</v>
      </c>
      <c r="E141" s="1">
        <v>103988819</v>
      </c>
      <c r="F141" s="1">
        <v>207810180</v>
      </c>
      <c r="G141" s="2"/>
      <c r="H141" s="1"/>
      <c r="I141" s="1"/>
      <c r="J141" s="1"/>
      <c r="K141" s="1"/>
    </row>
    <row r="142">
      <c r="A142" s="511" t="s">
        <v>132</v>
      </c>
      <c r="B142" s="1">
        <v>84847382</v>
      </c>
      <c r="C142" s="1">
        <v>154391742</v>
      </c>
      <c r="D142" s="1">
        <v>109332906</v>
      </c>
      <c r="E142" s="1">
        <v>129232095</v>
      </c>
      <c r="F142" s="1">
        <v>233220914</v>
      </c>
      <c r="G142" s="2"/>
      <c r="H142" s="1"/>
      <c r="I142" s="1"/>
      <c r="J142" s="1"/>
      <c r="K142" s="1"/>
    </row>
    <row r="143">
      <c r="A143" s="479" t="s">
        <v>133</v>
      </c>
      <c r="B143" s="3">
        <v>154391742</v>
      </c>
      <c r="C143" s="3">
        <v>109332906</v>
      </c>
      <c r="D143" s="3">
        <v>129232095</v>
      </c>
      <c r="E143" s="3">
        <v>233220914</v>
      </c>
      <c r="F143" s="3">
        <v>441031094</v>
      </c>
      <c r="G143" s="9"/>
      <c r="H143" s="3"/>
      <c r="I143" s="3"/>
      <c r="J143" s="3"/>
      <c r="K143" s="3"/>
    </row>
    <row r="144">
      <c r="A144" s="6"/>
      <c r="B144" s="6"/>
      <c r="C144" s="6"/>
      <c r="D144" s="6"/>
      <c r="E144" s="6"/>
      <c r="F144" s="6"/>
      <c r="G144" s="8"/>
      <c r="H144" s="6"/>
      <c r="I144" s="6"/>
      <c r="J144" s="6"/>
      <c r="K144" s="6"/>
    </row>
  </sheetData>
</worksheet>
</file>

<file path=xl/worksheets/sheet2.xml><?xml version="1.0" encoding="utf-8"?>
<worksheet xmlns="http://schemas.openxmlformats.org/spreadsheetml/2006/main" xmlns:r="http://schemas.openxmlformats.org/officeDocument/2006/relationships">
  <dimension ref="A1:T302"/>
  <sheetViews>
    <sheetView showGridLines="0" workbookViewId="0">
      <pane ySplit="5" topLeftCell="A6" activePane="bottomLeft" state="frozen"/>
    </sheetView>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509" t="s">
        <v>0</v>
      </c>
    </row>
    <row r="2">
      <c r="A2" s="505" t="s">
        <v>134</v>
      </c>
    </row>
    <row r="3">
      <c r="A3" s="505" t="s">
        <v>135</v>
      </c>
    </row>
    <row r="5">
      <c r="A5" s="364" t="s">
        <v>136</v>
      </c>
      <c r="B5" s="364" t="s">
        <v>137</v>
      </c>
      <c r="C5" s="364" t="s">
        <v>138</v>
      </c>
      <c r="D5" s="364" t="s">
        <v>139</v>
      </c>
      <c r="E5" s="364" t="s">
        <v>140</v>
      </c>
      <c r="F5" s="364" t="s">
        <v>141</v>
      </c>
      <c r="G5" s="364" t="s">
        <v>142</v>
      </c>
      <c r="H5" s="364" t="s">
        <v>143</v>
      </c>
      <c r="I5" s="364" t="s">
        <v>144</v>
      </c>
      <c r="J5" s="364" t="s">
        <v>145</v>
      </c>
      <c r="K5" s="364" t="s">
        <v>146</v>
      </c>
      <c r="L5" s="364" t="s">
        <v>147</v>
      </c>
      <c r="M5" s="364" t="s">
        <v>148</v>
      </c>
      <c r="N5" s="364" t="s">
        <v>149</v>
      </c>
      <c r="O5" s="364" t="s">
        <v>150</v>
      </c>
      <c r="P5" s="365" t="s">
        <v>151</v>
      </c>
      <c r="Q5" s="365" t="s">
        <v>152</v>
      </c>
      <c r="R5" s="364" t="s">
        <v>153</v>
      </c>
      <c r="S5" s="364" t="s">
        <v>154</v>
      </c>
      <c r="T5" s="364" t="s">
        <v>155</v>
      </c>
    </row>
    <row r="6">
      <c r="A6" s="361" t="s">
        <v>156</v>
      </c>
      <c r="B6" s="361" t="s">
        <v>157</v>
      </c>
      <c r="C6" s="361" t="s">
        <v>158</v>
      </c>
      <c r="D6" s="361" t="s">
        <v>159</v>
      </c>
      <c r="E6" s="361" t="s">
        <v>160</v>
      </c>
      <c r="F6" s="360" t="s">
        <v>161</v>
      </c>
      <c r="G6" s="361" t="s">
        <v>162</v>
      </c>
      <c r="H6" s="360"/>
      <c r="I6" s="360"/>
      <c r="J6" s="360" t="s">
        <v>163</v>
      </c>
      <c r="K6" s="362"/>
      <c r="L6" s="361"/>
      <c r="M6" s="361"/>
      <c r="N6" s="360"/>
      <c r="O6" s="360"/>
      <c r="P6" s="360"/>
      <c r="Q6" s="360"/>
      <c r="R6" s="363"/>
      <c r="S6" s="360"/>
      <c r="T6" s="361" t="s">
        <v>164</v>
      </c>
    </row>
    <row r="7" ht="34.5">
      <c r="A7" s="361" t="s">
        <v>156</v>
      </c>
      <c r="B7" s="361" t="s">
        <v>157</v>
      </c>
      <c r="C7" s="361" t="s">
        <v>158</v>
      </c>
      <c r="D7" s="361" t="s">
        <v>159</v>
      </c>
      <c r="E7" s="361" t="s">
        <v>160</v>
      </c>
      <c r="F7" s="360" t="s">
        <v>161</v>
      </c>
      <c r="G7" s="361" t="s">
        <v>162</v>
      </c>
      <c r="H7" s="360"/>
      <c r="I7" s="360"/>
      <c r="J7" s="360" t="s">
        <v>165</v>
      </c>
      <c r="K7" s="362"/>
      <c r="L7" s="361"/>
      <c r="M7" s="361"/>
      <c r="N7" s="360"/>
      <c r="O7" s="360"/>
      <c r="P7" s="360"/>
      <c r="Q7" s="360"/>
      <c r="R7" s="363"/>
      <c r="S7" s="360"/>
      <c r="T7" s="361" t="s">
        <v>164</v>
      </c>
    </row>
    <row r="8" ht="34.5">
      <c r="A8" s="361" t="s">
        <v>156</v>
      </c>
      <c r="B8" s="361" t="s">
        <v>157</v>
      </c>
      <c r="C8" s="361" t="s">
        <v>158</v>
      </c>
      <c r="D8" s="361" t="s">
        <v>159</v>
      </c>
      <c r="E8" s="361" t="s">
        <v>160</v>
      </c>
      <c r="F8" s="360" t="s">
        <v>161</v>
      </c>
      <c r="G8" s="361" t="s">
        <v>162</v>
      </c>
      <c r="H8" s="360"/>
      <c r="I8" s="360"/>
      <c r="J8" s="360" t="s">
        <v>166</v>
      </c>
      <c r="K8" s="362"/>
      <c r="L8" s="361"/>
      <c r="M8" s="361"/>
      <c r="N8" s="360"/>
      <c r="O8" s="360"/>
      <c r="P8" s="360"/>
      <c r="Q8" s="360"/>
      <c r="R8" s="363"/>
      <c r="S8" s="360"/>
      <c r="T8" s="361" t="s">
        <v>164</v>
      </c>
    </row>
    <row r="9" ht="34.5">
      <c r="A9" s="361" t="s">
        <v>156</v>
      </c>
      <c r="B9" s="361" t="s">
        <v>157</v>
      </c>
      <c r="C9" s="361" t="s">
        <v>158</v>
      </c>
      <c r="D9" s="361" t="s">
        <v>159</v>
      </c>
      <c r="E9" s="361" t="s">
        <v>160</v>
      </c>
      <c r="F9" s="360" t="s">
        <v>161</v>
      </c>
      <c r="G9" s="361" t="s">
        <v>162</v>
      </c>
      <c r="H9" s="360"/>
      <c r="I9" s="360"/>
      <c r="J9" s="360" t="s">
        <v>167</v>
      </c>
      <c r="K9" s="362"/>
      <c r="L9" s="361"/>
      <c r="M9" s="361"/>
      <c r="N9" s="360"/>
      <c r="O9" s="360"/>
      <c r="P9" s="360"/>
      <c r="Q9" s="360"/>
      <c r="R9" s="363"/>
      <c r="S9" s="360"/>
      <c r="T9" s="361" t="s">
        <v>164</v>
      </c>
    </row>
    <row r="10" ht="34.5">
      <c r="A10" s="361" t="s">
        <v>156</v>
      </c>
      <c r="B10" s="361" t="s">
        <v>157</v>
      </c>
      <c r="C10" s="361" t="s">
        <v>158</v>
      </c>
      <c r="D10" s="361" t="s">
        <v>159</v>
      </c>
      <c r="E10" s="361" t="s">
        <v>160</v>
      </c>
      <c r="F10" s="360" t="s">
        <v>161</v>
      </c>
      <c r="G10" s="361" t="s">
        <v>162</v>
      </c>
      <c r="H10" s="360"/>
      <c r="I10" s="360"/>
      <c r="J10" s="360" t="s">
        <v>168</v>
      </c>
      <c r="K10" s="362"/>
      <c r="L10" s="361"/>
      <c r="M10" s="361"/>
      <c r="N10" s="360"/>
      <c r="O10" s="360"/>
      <c r="P10" s="360"/>
      <c r="Q10" s="360"/>
      <c r="R10" s="363"/>
      <c r="S10" s="360"/>
      <c r="T10" s="361" t="s">
        <v>164</v>
      </c>
    </row>
    <row r="11" ht="34.5">
      <c r="A11" s="361" t="s">
        <v>156</v>
      </c>
      <c r="B11" s="361" t="s">
        <v>157</v>
      </c>
      <c r="C11" s="361" t="s">
        <v>158</v>
      </c>
      <c r="D11" s="361" t="s">
        <v>159</v>
      </c>
      <c r="E11" s="361" t="s">
        <v>160</v>
      </c>
      <c r="F11" s="360" t="s">
        <v>161</v>
      </c>
      <c r="G11" s="361" t="s">
        <v>162</v>
      </c>
      <c r="H11" s="360"/>
      <c r="I11" s="360"/>
      <c r="J11" s="360" t="s">
        <v>169</v>
      </c>
      <c r="K11" s="362"/>
      <c r="L11" s="361"/>
      <c r="M11" s="361"/>
      <c r="N11" s="360"/>
      <c r="O11" s="360"/>
      <c r="P11" s="360"/>
      <c r="Q11" s="360"/>
      <c r="R11" s="363"/>
      <c r="S11" s="360"/>
      <c r="T11" s="361" t="s">
        <v>164</v>
      </c>
    </row>
    <row r="12" ht="34.5">
      <c r="A12" s="361" t="s">
        <v>156</v>
      </c>
      <c r="B12" s="361" t="s">
        <v>157</v>
      </c>
      <c r="C12" s="361" t="s">
        <v>158</v>
      </c>
      <c r="D12" s="361" t="s">
        <v>159</v>
      </c>
      <c r="E12" s="361" t="s">
        <v>160</v>
      </c>
      <c r="F12" s="360" t="s">
        <v>161</v>
      </c>
      <c r="G12" s="361" t="s">
        <v>162</v>
      </c>
      <c r="H12" s="360"/>
      <c r="I12" s="360"/>
      <c r="J12" s="360" t="s">
        <v>170</v>
      </c>
      <c r="K12" s="362"/>
      <c r="L12" s="361"/>
      <c r="M12" s="361"/>
      <c r="N12" s="360"/>
      <c r="O12" s="360"/>
      <c r="P12" s="360"/>
      <c r="Q12" s="360"/>
      <c r="R12" s="363"/>
      <c r="S12" s="360"/>
      <c r="T12" s="361" t="s">
        <v>164</v>
      </c>
    </row>
    <row r="13" ht="34.5">
      <c r="A13" s="361" t="s">
        <v>156</v>
      </c>
      <c r="B13" s="361" t="s">
        <v>157</v>
      </c>
      <c r="C13" s="361" t="s">
        <v>171</v>
      </c>
      <c r="D13" s="361" t="s">
        <v>159</v>
      </c>
      <c r="E13" s="361" t="s">
        <v>172</v>
      </c>
      <c r="F13" s="360" t="s">
        <v>173</v>
      </c>
      <c r="G13" s="361" t="s">
        <v>162</v>
      </c>
      <c r="H13" s="360"/>
      <c r="I13" s="360"/>
      <c r="J13" s="360" t="s">
        <v>174</v>
      </c>
      <c r="K13" s="362"/>
      <c r="L13" s="361"/>
      <c r="M13" s="361"/>
      <c r="N13" s="360"/>
      <c r="O13" s="360"/>
      <c r="P13" s="360"/>
      <c r="Q13" s="360"/>
      <c r="R13" s="363"/>
      <c r="S13" s="360"/>
      <c r="T13" s="361" t="s">
        <v>164</v>
      </c>
    </row>
    <row r="14" ht="34.5">
      <c r="A14" s="361" t="s">
        <v>156</v>
      </c>
      <c r="B14" s="361" t="s">
        <v>157</v>
      </c>
      <c r="C14" s="361" t="s">
        <v>171</v>
      </c>
      <c r="D14" s="361" t="s">
        <v>159</v>
      </c>
      <c r="E14" s="361" t="s">
        <v>172</v>
      </c>
      <c r="F14" s="360" t="s">
        <v>173</v>
      </c>
      <c r="G14" s="361" t="s">
        <v>162</v>
      </c>
      <c r="H14" s="360"/>
      <c r="I14" s="360"/>
      <c r="J14" s="360" t="s">
        <v>175</v>
      </c>
      <c r="K14" s="362"/>
      <c r="L14" s="361"/>
      <c r="M14" s="361"/>
      <c r="N14" s="360"/>
      <c r="O14" s="360"/>
      <c r="P14" s="360"/>
      <c r="Q14" s="360"/>
      <c r="R14" s="363"/>
      <c r="S14" s="360"/>
      <c r="T14" s="361" t="s">
        <v>164</v>
      </c>
    </row>
    <row r="15" ht="34.5">
      <c r="A15" s="361" t="s">
        <v>156</v>
      </c>
      <c r="B15" s="361" t="s">
        <v>157</v>
      </c>
      <c r="C15" s="361" t="s">
        <v>171</v>
      </c>
      <c r="D15" s="361" t="s">
        <v>159</v>
      </c>
      <c r="E15" s="361" t="s">
        <v>172</v>
      </c>
      <c r="F15" s="360" t="s">
        <v>173</v>
      </c>
      <c r="G15" s="361" t="s">
        <v>162</v>
      </c>
      <c r="H15" s="360"/>
      <c r="I15" s="360"/>
      <c r="J15" s="360" t="s">
        <v>176</v>
      </c>
      <c r="K15" s="362"/>
      <c r="L15" s="361"/>
      <c r="M15" s="361"/>
      <c r="N15" s="360"/>
      <c r="O15" s="360"/>
      <c r="P15" s="360"/>
      <c r="Q15" s="360"/>
      <c r="R15" s="363"/>
      <c r="S15" s="360"/>
      <c r="T15" s="361" t="s">
        <v>164</v>
      </c>
    </row>
    <row r="16" ht="34.5">
      <c r="A16" s="361" t="s">
        <v>156</v>
      </c>
      <c r="B16" s="361" t="s">
        <v>157</v>
      </c>
      <c r="C16" s="361" t="s">
        <v>171</v>
      </c>
      <c r="D16" s="361" t="s">
        <v>159</v>
      </c>
      <c r="E16" s="361" t="s">
        <v>172</v>
      </c>
      <c r="F16" s="360" t="s">
        <v>173</v>
      </c>
      <c r="G16" s="361" t="s">
        <v>162</v>
      </c>
      <c r="H16" s="360"/>
      <c r="I16" s="360"/>
      <c r="J16" s="360" t="s">
        <v>177</v>
      </c>
      <c r="K16" s="362"/>
      <c r="L16" s="361"/>
      <c r="M16" s="361"/>
      <c r="N16" s="360"/>
      <c r="O16" s="360"/>
      <c r="P16" s="360"/>
      <c r="Q16" s="360"/>
      <c r="R16" s="363"/>
      <c r="S16" s="360"/>
      <c r="T16" s="361" t="s">
        <v>164</v>
      </c>
    </row>
    <row r="17" ht="34.5">
      <c r="A17" s="361" t="s">
        <v>156</v>
      </c>
      <c r="B17" s="361" t="s">
        <v>157</v>
      </c>
      <c r="C17" s="361" t="s">
        <v>171</v>
      </c>
      <c r="D17" s="361" t="s">
        <v>159</v>
      </c>
      <c r="E17" s="361" t="s">
        <v>172</v>
      </c>
      <c r="F17" s="360" t="s">
        <v>173</v>
      </c>
      <c r="G17" s="361" t="s">
        <v>162</v>
      </c>
      <c r="H17" s="360"/>
      <c r="I17" s="360"/>
      <c r="J17" s="360" t="s">
        <v>178</v>
      </c>
      <c r="K17" s="362"/>
      <c r="L17" s="361"/>
      <c r="M17" s="361"/>
      <c r="N17" s="360"/>
      <c r="O17" s="360"/>
      <c r="P17" s="360"/>
      <c r="Q17" s="360"/>
      <c r="R17" s="363"/>
      <c r="S17" s="360"/>
      <c r="T17" s="361" t="s">
        <v>164</v>
      </c>
    </row>
    <row r="18" ht="34.5">
      <c r="A18" s="361" t="s">
        <v>156</v>
      </c>
      <c r="B18" s="361" t="s">
        <v>157</v>
      </c>
      <c r="C18" s="361" t="s">
        <v>171</v>
      </c>
      <c r="D18" s="361" t="s">
        <v>159</v>
      </c>
      <c r="E18" s="361" t="s">
        <v>172</v>
      </c>
      <c r="F18" s="360" t="s">
        <v>173</v>
      </c>
      <c r="G18" s="361" t="s">
        <v>162</v>
      </c>
      <c r="H18" s="360"/>
      <c r="I18" s="360"/>
      <c r="J18" s="360" t="s">
        <v>179</v>
      </c>
      <c r="K18" s="362"/>
      <c r="L18" s="361"/>
      <c r="M18" s="361"/>
      <c r="N18" s="360"/>
      <c r="O18" s="360"/>
      <c r="P18" s="360"/>
      <c r="Q18" s="360"/>
      <c r="R18" s="363"/>
      <c r="S18" s="360"/>
      <c r="T18" s="361" t="s">
        <v>164</v>
      </c>
    </row>
    <row r="19" ht="34.5">
      <c r="A19" s="361" t="s">
        <v>156</v>
      </c>
      <c r="B19" s="361" t="s">
        <v>157</v>
      </c>
      <c r="C19" s="361" t="s">
        <v>171</v>
      </c>
      <c r="D19" s="361" t="s">
        <v>180</v>
      </c>
      <c r="E19" s="361" t="s">
        <v>172</v>
      </c>
      <c r="F19" s="360" t="s">
        <v>173</v>
      </c>
      <c r="G19" s="361" t="s">
        <v>162</v>
      </c>
      <c r="H19" s="360"/>
      <c r="I19" s="360"/>
      <c r="J19" s="360" t="s">
        <v>181</v>
      </c>
      <c r="K19" s="362"/>
      <c r="L19" s="361"/>
      <c r="M19" s="361"/>
      <c r="N19" s="360"/>
      <c r="O19" s="360"/>
      <c r="P19" s="360"/>
      <c r="Q19" s="360"/>
      <c r="R19" s="363"/>
      <c r="S19" s="360"/>
      <c r="T19" s="361" t="s">
        <v>164</v>
      </c>
    </row>
    <row r="20" ht="34.5">
      <c r="A20" s="361" t="s">
        <v>156</v>
      </c>
      <c r="B20" s="361" t="s">
        <v>157</v>
      </c>
      <c r="C20" s="361" t="s">
        <v>182</v>
      </c>
      <c r="D20" s="361" t="s">
        <v>183</v>
      </c>
      <c r="E20" s="361" t="s">
        <v>172</v>
      </c>
      <c r="F20" s="360" t="s">
        <v>173</v>
      </c>
      <c r="G20" s="361" t="s">
        <v>162</v>
      </c>
      <c r="H20" s="360"/>
      <c r="I20" s="360"/>
      <c r="J20" s="360" t="s">
        <v>184</v>
      </c>
      <c r="K20" s="362"/>
      <c r="L20" s="361"/>
      <c r="M20" s="361"/>
      <c r="N20" s="360"/>
      <c r="O20" s="360"/>
      <c r="P20" s="360"/>
      <c r="Q20" s="360"/>
      <c r="R20" s="363"/>
      <c r="S20" s="360"/>
      <c r="T20" s="361" t="s">
        <v>164</v>
      </c>
    </row>
    <row r="21" ht="34.5">
      <c r="A21" s="361" t="s">
        <v>156</v>
      </c>
      <c r="B21" s="361" t="s">
        <v>157</v>
      </c>
      <c r="C21" s="361" t="s">
        <v>185</v>
      </c>
      <c r="D21" s="361" t="s">
        <v>159</v>
      </c>
      <c r="E21" s="361" t="s">
        <v>186</v>
      </c>
      <c r="F21" s="360" t="s">
        <v>187</v>
      </c>
      <c r="G21" s="361" t="s">
        <v>162</v>
      </c>
      <c r="H21" s="360"/>
      <c r="I21" s="360"/>
      <c r="J21" s="360" t="s">
        <v>188</v>
      </c>
      <c r="K21" s="362"/>
      <c r="L21" s="361"/>
      <c r="M21" s="361"/>
      <c r="N21" s="360"/>
      <c r="O21" s="360"/>
      <c r="P21" s="360"/>
      <c r="Q21" s="360"/>
      <c r="R21" s="363"/>
      <c r="S21" s="360"/>
      <c r="T21" s="361" t="s">
        <v>164</v>
      </c>
    </row>
    <row r="22" ht="34.5">
      <c r="A22" s="361" t="s">
        <v>156</v>
      </c>
      <c r="B22" s="361" t="s">
        <v>157</v>
      </c>
      <c r="C22" s="361" t="s">
        <v>185</v>
      </c>
      <c r="D22" s="361" t="s">
        <v>159</v>
      </c>
      <c r="E22" s="361" t="s">
        <v>186</v>
      </c>
      <c r="F22" s="360" t="s">
        <v>187</v>
      </c>
      <c r="G22" s="361" t="s">
        <v>162</v>
      </c>
      <c r="H22" s="360"/>
      <c r="I22" s="360"/>
      <c r="J22" s="360" t="s">
        <v>189</v>
      </c>
      <c r="K22" s="362"/>
      <c r="L22" s="361"/>
      <c r="M22" s="361"/>
      <c r="N22" s="360"/>
      <c r="O22" s="360"/>
      <c r="P22" s="360"/>
      <c r="Q22" s="360"/>
      <c r="R22" s="363"/>
      <c r="S22" s="360"/>
      <c r="T22" s="361" t="s">
        <v>164</v>
      </c>
    </row>
    <row r="23" ht="34.5">
      <c r="A23" s="361" t="s">
        <v>156</v>
      </c>
      <c r="B23" s="361" t="s">
        <v>157</v>
      </c>
      <c r="C23" s="361" t="s">
        <v>185</v>
      </c>
      <c r="D23" s="361" t="s">
        <v>159</v>
      </c>
      <c r="E23" s="361" t="s">
        <v>186</v>
      </c>
      <c r="F23" s="360" t="s">
        <v>187</v>
      </c>
      <c r="G23" s="361" t="s">
        <v>162</v>
      </c>
      <c r="H23" s="360"/>
      <c r="I23" s="360"/>
      <c r="J23" s="360" t="s">
        <v>190</v>
      </c>
      <c r="K23" s="362"/>
      <c r="L23" s="361"/>
      <c r="M23" s="361"/>
      <c r="N23" s="360"/>
      <c r="O23" s="360"/>
      <c r="P23" s="360"/>
      <c r="Q23" s="360"/>
      <c r="R23" s="363"/>
      <c r="S23" s="360"/>
      <c r="T23" s="361" t="s">
        <v>164</v>
      </c>
    </row>
    <row r="24" ht="34.5">
      <c r="A24" s="361" t="s">
        <v>156</v>
      </c>
      <c r="B24" s="361" t="s">
        <v>157</v>
      </c>
      <c r="C24" s="361" t="s">
        <v>185</v>
      </c>
      <c r="D24" s="361" t="s">
        <v>159</v>
      </c>
      <c r="E24" s="361" t="s">
        <v>186</v>
      </c>
      <c r="F24" s="360" t="s">
        <v>187</v>
      </c>
      <c r="G24" s="361" t="s">
        <v>162</v>
      </c>
      <c r="H24" s="360"/>
      <c r="I24" s="360"/>
      <c r="J24" s="360" t="s">
        <v>191</v>
      </c>
      <c r="K24" s="362"/>
      <c r="L24" s="361"/>
      <c r="M24" s="361"/>
      <c r="N24" s="360"/>
      <c r="O24" s="360"/>
      <c r="P24" s="360"/>
      <c r="Q24" s="360"/>
      <c r="R24" s="363"/>
      <c r="S24" s="360"/>
      <c r="T24" s="361" t="s">
        <v>164</v>
      </c>
    </row>
    <row r="25" ht="34.5">
      <c r="A25" s="361" t="s">
        <v>156</v>
      </c>
      <c r="B25" s="361" t="s">
        <v>157</v>
      </c>
      <c r="C25" s="361" t="s">
        <v>185</v>
      </c>
      <c r="D25" s="361" t="s">
        <v>159</v>
      </c>
      <c r="E25" s="361" t="s">
        <v>186</v>
      </c>
      <c r="F25" s="360" t="s">
        <v>187</v>
      </c>
      <c r="G25" s="361" t="s">
        <v>162</v>
      </c>
      <c r="H25" s="360"/>
      <c r="I25" s="360"/>
      <c r="J25" s="360" t="s">
        <v>192</v>
      </c>
      <c r="K25" s="362"/>
      <c r="L25" s="361"/>
      <c r="M25" s="361"/>
      <c r="N25" s="360"/>
      <c r="O25" s="360"/>
      <c r="P25" s="360"/>
      <c r="Q25" s="360"/>
      <c r="R25" s="363"/>
      <c r="S25" s="360"/>
      <c r="T25" s="361" t="s">
        <v>164</v>
      </c>
    </row>
    <row r="26" ht="34.5">
      <c r="A26" s="361" t="s">
        <v>156</v>
      </c>
      <c r="B26" s="361" t="s">
        <v>157</v>
      </c>
      <c r="C26" s="361" t="s">
        <v>193</v>
      </c>
      <c r="D26" s="361" t="s">
        <v>159</v>
      </c>
      <c r="E26" s="361" t="s">
        <v>186</v>
      </c>
      <c r="F26" s="360" t="s">
        <v>187</v>
      </c>
      <c r="G26" s="361" t="s">
        <v>162</v>
      </c>
      <c r="H26" s="360"/>
      <c r="I26" s="360"/>
      <c r="J26" s="360" t="s">
        <v>194</v>
      </c>
      <c r="K26" s="362"/>
      <c r="L26" s="361"/>
      <c r="M26" s="361"/>
      <c r="N26" s="360"/>
      <c r="O26" s="360"/>
      <c r="P26" s="360"/>
      <c r="Q26" s="360"/>
      <c r="R26" s="363"/>
      <c r="S26" s="360"/>
      <c r="T26" s="361" t="s">
        <v>164</v>
      </c>
    </row>
    <row r="27" ht="34.5">
      <c r="A27" s="361" t="s">
        <v>156</v>
      </c>
      <c r="B27" s="361" t="s">
        <v>157</v>
      </c>
      <c r="C27" s="361" t="s">
        <v>193</v>
      </c>
      <c r="D27" s="361" t="s">
        <v>159</v>
      </c>
      <c r="E27" s="361" t="s">
        <v>186</v>
      </c>
      <c r="F27" s="360" t="s">
        <v>187</v>
      </c>
      <c r="G27" s="361" t="s">
        <v>162</v>
      </c>
      <c r="H27" s="360"/>
      <c r="I27" s="360"/>
      <c r="J27" s="360" t="s">
        <v>195</v>
      </c>
      <c r="K27" s="362"/>
      <c r="L27" s="361"/>
      <c r="M27" s="361"/>
      <c r="N27" s="360"/>
      <c r="O27" s="360"/>
      <c r="P27" s="360"/>
      <c r="Q27" s="360"/>
      <c r="R27" s="363"/>
      <c r="S27" s="360"/>
      <c r="T27" s="361" t="s">
        <v>164</v>
      </c>
    </row>
    <row r="28" ht="34.5">
      <c r="A28" s="361" t="s">
        <v>156</v>
      </c>
      <c r="B28" s="361" t="s">
        <v>157</v>
      </c>
      <c r="C28" s="361" t="s">
        <v>193</v>
      </c>
      <c r="D28" s="361" t="s">
        <v>159</v>
      </c>
      <c r="E28" s="361" t="s">
        <v>186</v>
      </c>
      <c r="F28" s="360" t="s">
        <v>187</v>
      </c>
      <c r="G28" s="361" t="s">
        <v>162</v>
      </c>
      <c r="H28" s="360"/>
      <c r="I28" s="360"/>
      <c r="J28" s="360" t="s">
        <v>196</v>
      </c>
      <c r="K28" s="362"/>
      <c r="L28" s="361"/>
      <c r="M28" s="361"/>
      <c r="N28" s="360"/>
      <c r="O28" s="360"/>
      <c r="P28" s="360"/>
      <c r="Q28" s="360"/>
      <c r="R28" s="363"/>
      <c r="S28" s="360"/>
      <c r="T28" s="361" t="s">
        <v>164</v>
      </c>
    </row>
    <row r="29" ht="34.5">
      <c r="A29" s="361" t="s">
        <v>156</v>
      </c>
      <c r="B29" s="361" t="s">
        <v>157</v>
      </c>
      <c r="C29" s="361" t="s">
        <v>193</v>
      </c>
      <c r="D29" s="361" t="s">
        <v>159</v>
      </c>
      <c r="E29" s="361" t="s">
        <v>186</v>
      </c>
      <c r="F29" s="360" t="s">
        <v>187</v>
      </c>
      <c r="G29" s="361" t="s">
        <v>162</v>
      </c>
      <c r="H29" s="360"/>
      <c r="I29" s="360"/>
      <c r="J29" s="360" t="s">
        <v>197</v>
      </c>
      <c r="K29" s="362"/>
      <c r="L29" s="361"/>
      <c r="M29" s="361"/>
      <c r="N29" s="360"/>
      <c r="O29" s="360"/>
      <c r="P29" s="360"/>
      <c r="Q29" s="360"/>
      <c r="R29" s="363"/>
      <c r="S29" s="360"/>
      <c r="T29" s="361" t="s">
        <v>164</v>
      </c>
    </row>
    <row r="30" ht="34.5">
      <c r="A30" s="361" t="s">
        <v>156</v>
      </c>
      <c r="B30" s="361" t="s">
        <v>157</v>
      </c>
      <c r="C30" s="361" t="s">
        <v>193</v>
      </c>
      <c r="D30" s="361" t="s">
        <v>159</v>
      </c>
      <c r="E30" s="361" t="s">
        <v>186</v>
      </c>
      <c r="F30" s="360" t="s">
        <v>187</v>
      </c>
      <c r="G30" s="361" t="s">
        <v>162</v>
      </c>
      <c r="H30" s="360"/>
      <c r="I30" s="360"/>
      <c r="J30" s="360" t="s">
        <v>198</v>
      </c>
      <c r="K30" s="362"/>
      <c r="L30" s="361"/>
      <c r="M30" s="361"/>
      <c r="N30" s="360"/>
      <c r="O30" s="360"/>
      <c r="P30" s="360"/>
      <c r="Q30" s="360"/>
      <c r="R30" s="363"/>
      <c r="S30" s="360"/>
      <c r="T30" s="361" t="s">
        <v>164</v>
      </c>
    </row>
    <row r="31" ht="34.5">
      <c r="A31" s="361" t="s">
        <v>156</v>
      </c>
      <c r="B31" s="361" t="s">
        <v>157</v>
      </c>
      <c r="C31" s="361" t="s">
        <v>193</v>
      </c>
      <c r="D31" s="361" t="s">
        <v>159</v>
      </c>
      <c r="E31" s="361" t="s">
        <v>186</v>
      </c>
      <c r="F31" s="360" t="s">
        <v>187</v>
      </c>
      <c r="G31" s="361" t="s">
        <v>162</v>
      </c>
      <c r="H31" s="360"/>
      <c r="I31" s="360"/>
      <c r="J31" s="360" t="s">
        <v>199</v>
      </c>
      <c r="K31" s="362"/>
      <c r="L31" s="361"/>
      <c r="M31" s="361"/>
      <c r="N31" s="360"/>
      <c r="O31" s="360"/>
      <c r="P31" s="360"/>
      <c r="Q31" s="360"/>
      <c r="R31" s="363"/>
      <c r="S31" s="360"/>
      <c r="T31" s="361" t="s">
        <v>164</v>
      </c>
    </row>
    <row r="32" ht="34.5">
      <c r="A32" s="361" t="s">
        <v>156</v>
      </c>
      <c r="B32" s="361" t="s">
        <v>157</v>
      </c>
      <c r="C32" s="361" t="s">
        <v>193</v>
      </c>
      <c r="D32" s="361" t="s">
        <v>159</v>
      </c>
      <c r="E32" s="361" t="s">
        <v>186</v>
      </c>
      <c r="F32" s="360" t="s">
        <v>187</v>
      </c>
      <c r="G32" s="361" t="s">
        <v>162</v>
      </c>
      <c r="H32" s="360"/>
      <c r="I32" s="360"/>
      <c r="J32" s="360" t="s">
        <v>200</v>
      </c>
      <c r="K32" s="362"/>
      <c r="L32" s="361"/>
      <c r="M32" s="361"/>
      <c r="N32" s="360"/>
      <c r="O32" s="360"/>
      <c r="P32" s="360"/>
      <c r="Q32" s="360"/>
      <c r="R32" s="363"/>
      <c r="S32" s="360"/>
      <c r="T32" s="361" t="s">
        <v>164</v>
      </c>
    </row>
    <row r="33" ht="34.5">
      <c r="A33" s="361" t="s">
        <v>156</v>
      </c>
      <c r="B33" s="361" t="s">
        <v>157</v>
      </c>
      <c r="C33" s="361" t="s">
        <v>193</v>
      </c>
      <c r="D33" s="361" t="s">
        <v>159</v>
      </c>
      <c r="E33" s="361" t="s">
        <v>186</v>
      </c>
      <c r="F33" s="360" t="s">
        <v>187</v>
      </c>
      <c r="G33" s="361" t="s">
        <v>162</v>
      </c>
      <c r="H33" s="360"/>
      <c r="I33" s="360"/>
      <c r="J33" s="360" t="s">
        <v>201</v>
      </c>
      <c r="K33" s="362"/>
      <c r="L33" s="361"/>
      <c r="M33" s="361"/>
      <c r="N33" s="360"/>
      <c r="O33" s="360"/>
      <c r="P33" s="360"/>
      <c r="Q33" s="360"/>
      <c r="R33" s="363"/>
      <c r="S33" s="360"/>
      <c r="T33" s="361" t="s">
        <v>164</v>
      </c>
    </row>
    <row r="34" ht="34.5">
      <c r="A34" s="361" t="s">
        <v>156</v>
      </c>
      <c r="B34" s="361" t="s">
        <v>157</v>
      </c>
      <c r="C34" s="361" t="s">
        <v>193</v>
      </c>
      <c r="D34" s="361" t="s">
        <v>159</v>
      </c>
      <c r="E34" s="361" t="s">
        <v>186</v>
      </c>
      <c r="F34" s="360" t="s">
        <v>187</v>
      </c>
      <c r="G34" s="361" t="s">
        <v>162</v>
      </c>
      <c r="H34" s="360"/>
      <c r="I34" s="360"/>
      <c r="J34" s="360" t="s">
        <v>202</v>
      </c>
      <c r="K34" s="362"/>
      <c r="L34" s="361"/>
      <c r="M34" s="361"/>
      <c r="N34" s="360"/>
      <c r="O34" s="360"/>
      <c r="P34" s="360"/>
      <c r="Q34" s="360"/>
      <c r="R34" s="363"/>
      <c r="S34" s="360"/>
      <c r="T34" s="361" t="s">
        <v>164</v>
      </c>
    </row>
    <row r="35" ht="34.5">
      <c r="A35" s="361" t="s">
        <v>156</v>
      </c>
      <c r="B35" s="361" t="s">
        <v>157</v>
      </c>
      <c r="C35" s="361" t="s">
        <v>193</v>
      </c>
      <c r="D35" s="361" t="s">
        <v>159</v>
      </c>
      <c r="E35" s="361" t="s">
        <v>186</v>
      </c>
      <c r="F35" s="360" t="s">
        <v>187</v>
      </c>
      <c r="G35" s="361" t="s">
        <v>162</v>
      </c>
      <c r="H35" s="360"/>
      <c r="I35" s="360"/>
      <c r="J35" s="360" t="s">
        <v>203</v>
      </c>
      <c r="K35" s="362"/>
      <c r="L35" s="361"/>
      <c r="M35" s="361"/>
      <c r="N35" s="360"/>
      <c r="O35" s="360"/>
      <c r="P35" s="360"/>
      <c r="Q35" s="360"/>
      <c r="R35" s="363"/>
      <c r="S35" s="360"/>
      <c r="T35" s="361" t="s">
        <v>164</v>
      </c>
    </row>
    <row r="36" ht="34.5">
      <c r="A36" s="361" t="s">
        <v>156</v>
      </c>
      <c r="B36" s="361" t="s">
        <v>157</v>
      </c>
      <c r="C36" s="361" t="s">
        <v>193</v>
      </c>
      <c r="D36" s="361" t="s">
        <v>159</v>
      </c>
      <c r="E36" s="361" t="s">
        <v>186</v>
      </c>
      <c r="F36" s="360" t="s">
        <v>187</v>
      </c>
      <c r="G36" s="361" t="s">
        <v>162</v>
      </c>
      <c r="H36" s="360"/>
      <c r="I36" s="360"/>
      <c r="J36" s="360" t="s">
        <v>204</v>
      </c>
      <c r="K36" s="362"/>
      <c r="L36" s="361"/>
      <c r="M36" s="361"/>
      <c r="N36" s="360"/>
      <c r="O36" s="360"/>
      <c r="P36" s="360"/>
      <c r="Q36" s="360"/>
      <c r="R36" s="363"/>
      <c r="S36" s="360"/>
      <c r="T36" s="361" t="s">
        <v>164</v>
      </c>
    </row>
    <row r="37" ht="34.5">
      <c r="A37" s="361" t="s">
        <v>156</v>
      </c>
      <c r="B37" s="361" t="s">
        <v>157</v>
      </c>
      <c r="C37" s="361" t="s">
        <v>205</v>
      </c>
      <c r="D37" s="361" t="s">
        <v>159</v>
      </c>
      <c r="E37" s="361" t="s">
        <v>186</v>
      </c>
      <c r="F37" s="360" t="s">
        <v>187</v>
      </c>
      <c r="G37" s="361" t="s">
        <v>162</v>
      </c>
      <c r="H37" s="360"/>
      <c r="I37" s="360"/>
      <c r="J37" s="360" t="s">
        <v>206</v>
      </c>
      <c r="K37" s="362"/>
      <c r="L37" s="361"/>
      <c r="M37" s="361"/>
      <c r="N37" s="360"/>
      <c r="O37" s="360"/>
      <c r="P37" s="360"/>
      <c r="Q37" s="360"/>
      <c r="R37" s="363"/>
      <c r="S37" s="360"/>
      <c r="T37" s="361" t="s">
        <v>164</v>
      </c>
    </row>
    <row r="38" ht="34.5">
      <c r="A38" s="361" t="s">
        <v>156</v>
      </c>
      <c r="B38" s="361" t="s">
        <v>157</v>
      </c>
      <c r="C38" s="361" t="s">
        <v>205</v>
      </c>
      <c r="D38" s="361" t="s">
        <v>159</v>
      </c>
      <c r="E38" s="361" t="s">
        <v>186</v>
      </c>
      <c r="F38" s="360" t="s">
        <v>187</v>
      </c>
      <c r="G38" s="361" t="s">
        <v>162</v>
      </c>
      <c r="H38" s="360"/>
      <c r="I38" s="360"/>
      <c r="J38" s="360" t="s">
        <v>207</v>
      </c>
      <c r="K38" s="362"/>
      <c r="L38" s="361"/>
      <c r="M38" s="361"/>
      <c r="N38" s="360"/>
      <c r="O38" s="360"/>
      <c r="P38" s="360"/>
      <c r="Q38" s="360"/>
      <c r="R38" s="363"/>
      <c r="S38" s="360"/>
      <c r="T38" s="361" t="s">
        <v>164</v>
      </c>
    </row>
    <row r="39" ht="34.5">
      <c r="A39" s="361" t="s">
        <v>156</v>
      </c>
      <c r="B39" s="361" t="s">
        <v>157</v>
      </c>
      <c r="C39" s="361" t="s">
        <v>205</v>
      </c>
      <c r="D39" s="361" t="s">
        <v>159</v>
      </c>
      <c r="E39" s="361" t="s">
        <v>186</v>
      </c>
      <c r="F39" s="360" t="s">
        <v>187</v>
      </c>
      <c r="G39" s="361" t="s">
        <v>162</v>
      </c>
      <c r="H39" s="360"/>
      <c r="I39" s="360"/>
      <c r="J39" s="360" t="s">
        <v>208</v>
      </c>
      <c r="K39" s="362"/>
      <c r="L39" s="361"/>
      <c r="M39" s="361"/>
      <c r="N39" s="360"/>
      <c r="O39" s="360"/>
      <c r="P39" s="360"/>
      <c r="Q39" s="360"/>
      <c r="R39" s="363"/>
      <c r="S39" s="360"/>
      <c r="T39" s="361" t="s">
        <v>164</v>
      </c>
    </row>
    <row r="40" ht="34.5">
      <c r="A40" s="361" t="s">
        <v>156</v>
      </c>
      <c r="B40" s="361" t="s">
        <v>157</v>
      </c>
      <c r="C40" s="361" t="s">
        <v>205</v>
      </c>
      <c r="D40" s="361" t="s">
        <v>159</v>
      </c>
      <c r="E40" s="361" t="s">
        <v>186</v>
      </c>
      <c r="F40" s="360" t="s">
        <v>187</v>
      </c>
      <c r="G40" s="361" t="s">
        <v>162</v>
      </c>
      <c r="H40" s="360"/>
      <c r="I40" s="360"/>
      <c r="J40" s="360" t="s">
        <v>209</v>
      </c>
      <c r="K40" s="362"/>
      <c r="L40" s="361"/>
      <c r="M40" s="361"/>
      <c r="N40" s="360"/>
      <c r="O40" s="360"/>
      <c r="P40" s="360"/>
      <c r="Q40" s="360"/>
      <c r="R40" s="363"/>
      <c r="S40" s="360"/>
      <c r="T40" s="361" t="s">
        <v>164</v>
      </c>
    </row>
    <row r="41" ht="34.5">
      <c r="A41" s="361" t="s">
        <v>156</v>
      </c>
      <c r="B41" s="361" t="s">
        <v>157</v>
      </c>
      <c r="C41" s="361" t="s">
        <v>205</v>
      </c>
      <c r="D41" s="361" t="s">
        <v>159</v>
      </c>
      <c r="E41" s="361" t="s">
        <v>186</v>
      </c>
      <c r="F41" s="360" t="s">
        <v>187</v>
      </c>
      <c r="G41" s="361" t="s">
        <v>162</v>
      </c>
      <c r="H41" s="360"/>
      <c r="I41" s="360"/>
      <c r="J41" s="360" t="s">
        <v>210</v>
      </c>
      <c r="K41" s="362"/>
      <c r="L41" s="361"/>
      <c r="M41" s="361"/>
      <c r="N41" s="360"/>
      <c r="O41" s="360"/>
      <c r="P41" s="360"/>
      <c r="Q41" s="360"/>
      <c r="R41" s="363"/>
      <c r="S41" s="360"/>
      <c r="T41" s="361" t="s">
        <v>164</v>
      </c>
    </row>
    <row r="42" ht="34.5">
      <c r="A42" s="361" t="s">
        <v>156</v>
      </c>
      <c r="B42" s="361" t="s">
        <v>157</v>
      </c>
      <c r="C42" s="361" t="s">
        <v>205</v>
      </c>
      <c r="D42" s="361" t="s">
        <v>159</v>
      </c>
      <c r="E42" s="361" t="s">
        <v>186</v>
      </c>
      <c r="F42" s="360" t="s">
        <v>187</v>
      </c>
      <c r="G42" s="361" t="s">
        <v>162</v>
      </c>
      <c r="H42" s="360"/>
      <c r="I42" s="360"/>
      <c r="J42" s="360" t="s">
        <v>211</v>
      </c>
      <c r="K42" s="362"/>
      <c r="L42" s="361"/>
      <c r="M42" s="361"/>
      <c r="N42" s="360"/>
      <c r="O42" s="360"/>
      <c r="P42" s="360"/>
      <c r="Q42" s="360"/>
      <c r="R42" s="363"/>
      <c r="S42" s="360"/>
      <c r="T42" s="361" t="s">
        <v>164</v>
      </c>
    </row>
    <row r="43" ht="34.5">
      <c r="A43" s="361" t="s">
        <v>156</v>
      </c>
      <c r="B43" s="361" t="s">
        <v>157</v>
      </c>
      <c r="C43" s="361" t="s">
        <v>205</v>
      </c>
      <c r="D43" s="361" t="s">
        <v>159</v>
      </c>
      <c r="E43" s="361" t="s">
        <v>186</v>
      </c>
      <c r="F43" s="360" t="s">
        <v>187</v>
      </c>
      <c r="G43" s="361" t="s">
        <v>162</v>
      </c>
      <c r="H43" s="360"/>
      <c r="I43" s="360"/>
      <c r="J43" s="360" t="s">
        <v>212</v>
      </c>
      <c r="K43" s="362"/>
      <c r="L43" s="361"/>
      <c r="M43" s="361"/>
      <c r="N43" s="360"/>
      <c r="O43" s="360"/>
      <c r="P43" s="360"/>
      <c r="Q43" s="360"/>
      <c r="R43" s="363"/>
      <c r="S43" s="360"/>
      <c r="T43" s="361" t="s">
        <v>164</v>
      </c>
    </row>
    <row r="44" ht="34.5">
      <c r="A44" s="361" t="s">
        <v>156</v>
      </c>
      <c r="B44" s="361" t="s">
        <v>157</v>
      </c>
      <c r="C44" s="361" t="s">
        <v>205</v>
      </c>
      <c r="D44" s="361" t="s">
        <v>159</v>
      </c>
      <c r="E44" s="361" t="s">
        <v>186</v>
      </c>
      <c r="F44" s="360" t="s">
        <v>187</v>
      </c>
      <c r="G44" s="361" t="s">
        <v>162</v>
      </c>
      <c r="H44" s="360"/>
      <c r="I44" s="360"/>
      <c r="J44" s="360" t="s">
        <v>213</v>
      </c>
      <c r="K44" s="362"/>
      <c r="L44" s="361"/>
      <c r="M44" s="361"/>
      <c r="N44" s="360"/>
      <c r="O44" s="360"/>
      <c r="P44" s="360"/>
      <c r="Q44" s="360"/>
      <c r="R44" s="363"/>
      <c r="S44" s="360"/>
      <c r="T44" s="361" t="s">
        <v>164</v>
      </c>
    </row>
    <row r="45" ht="34.5">
      <c r="A45" s="361" t="s">
        <v>156</v>
      </c>
      <c r="B45" s="361" t="s">
        <v>157</v>
      </c>
      <c r="C45" s="361" t="s">
        <v>205</v>
      </c>
      <c r="D45" s="361" t="s">
        <v>159</v>
      </c>
      <c r="E45" s="361" t="s">
        <v>186</v>
      </c>
      <c r="F45" s="360" t="s">
        <v>187</v>
      </c>
      <c r="G45" s="361" t="s">
        <v>162</v>
      </c>
      <c r="H45" s="360"/>
      <c r="I45" s="360"/>
      <c r="J45" s="360" t="s">
        <v>214</v>
      </c>
      <c r="K45" s="362"/>
      <c r="L45" s="361"/>
      <c r="M45" s="361"/>
      <c r="N45" s="360"/>
      <c r="O45" s="360"/>
      <c r="P45" s="360"/>
      <c r="Q45" s="360"/>
      <c r="R45" s="363"/>
      <c r="S45" s="360"/>
      <c r="T45" s="361" t="s">
        <v>164</v>
      </c>
    </row>
    <row r="46" ht="34.5">
      <c r="A46" s="361" t="s">
        <v>156</v>
      </c>
      <c r="B46" s="361" t="s">
        <v>157</v>
      </c>
      <c r="C46" s="361" t="s">
        <v>205</v>
      </c>
      <c r="D46" s="361" t="s">
        <v>159</v>
      </c>
      <c r="E46" s="361" t="s">
        <v>186</v>
      </c>
      <c r="F46" s="360" t="s">
        <v>187</v>
      </c>
      <c r="G46" s="361" t="s">
        <v>162</v>
      </c>
      <c r="H46" s="360"/>
      <c r="I46" s="360"/>
      <c r="J46" s="360" t="s">
        <v>215</v>
      </c>
      <c r="K46" s="362"/>
      <c r="L46" s="361"/>
      <c r="M46" s="361"/>
      <c r="N46" s="360"/>
      <c r="O46" s="360"/>
      <c r="P46" s="360"/>
      <c r="Q46" s="360"/>
      <c r="R46" s="363"/>
      <c r="S46" s="360"/>
      <c r="T46" s="361" t="s">
        <v>164</v>
      </c>
    </row>
    <row r="47" ht="34.5">
      <c r="A47" s="361" t="s">
        <v>156</v>
      </c>
      <c r="B47" s="361" t="s">
        <v>157</v>
      </c>
      <c r="C47" s="361" t="s">
        <v>205</v>
      </c>
      <c r="D47" s="361" t="s">
        <v>159</v>
      </c>
      <c r="E47" s="361" t="s">
        <v>160</v>
      </c>
      <c r="F47" s="360" t="s">
        <v>216</v>
      </c>
      <c r="G47" s="361" t="s">
        <v>217</v>
      </c>
      <c r="H47" s="360"/>
      <c r="I47" s="360"/>
      <c r="J47" s="360" t="s">
        <v>218</v>
      </c>
      <c r="K47" s="362"/>
      <c r="L47" s="361"/>
      <c r="M47" s="361"/>
      <c r="N47" s="360"/>
      <c r="O47" s="360"/>
      <c r="P47" s="360"/>
      <c r="Q47" s="360"/>
      <c r="R47" s="363"/>
      <c r="S47" s="360"/>
      <c r="T47" s="361" t="s">
        <v>164</v>
      </c>
    </row>
    <row r="48" ht="34.5">
      <c r="A48" s="361" t="s">
        <v>156</v>
      </c>
      <c r="B48" s="361" t="s">
        <v>157</v>
      </c>
      <c r="C48" s="361" t="s">
        <v>219</v>
      </c>
      <c r="D48" s="361" t="s">
        <v>159</v>
      </c>
      <c r="E48" s="361" t="s">
        <v>160</v>
      </c>
      <c r="F48" s="360" t="s">
        <v>216</v>
      </c>
      <c r="G48" s="361" t="s">
        <v>217</v>
      </c>
      <c r="H48" s="360"/>
      <c r="I48" s="360"/>
      <c r="J48" s="360" t="s">
        <v>220</v>
      </c>
      <c r="K48" s="362"/>
      <c r="L48" s="361"/>
      <c r="M48" s="361"/>
      <c r="N48" s="360"/>
      <c r="O48" s="360"/>
      <c r="P48" s="360"/>
      <c r="Q48" s="360"/>
      <c r="R48" s="363"/>
      <c r="S48" s="360"/>
      <c r="T48" s="361" t="s">
        <v>164</v>
      </c>
    </row>
    <row r="49" ht="34.5">
      <c r="A49" s="361" t="s">
        <v>156</v>
      </c>
      <c r="B49" s="361" t="s">
        <v>157</v>
      </c>
      <c r="C49" s="361" t="s">
        <v>219</v>
      </c>
      <c r="D49" s="361" t="s">
        <v>159</v>
      </c>
      <c r="E49" s="361" t="s">
        <v>160</v>
      </c>
      <c r="F49" s="360" t="s">
        <v>216</v>
      </c>
      <c r="G49" s="361" t="s">
        <v>217</v>
      </c>
      <c r="H49" s="360"/>
      <c r="I49" s="360"/>
      <c r="J49" s="360" t="s">
        <v>221</v>
      </c>
      <c r="K49" s="362"/>
      <c r="L49" s="361"/>
      <c r="M49" s="361"/>
      <c r="N49" s="360"/>
      <c r="O49" s="360"/>
      <c r="P49" s="360"/>
      <c r="Q49" s="360"/>
      <c r="R49" s="363"/>
      <c r="S49" s="360"/>
      <c r="T49" s="361" t="s">
        <v>164</v>
      </c>
    </row>
    <row r="50" ht="34.5">
      <c r="A50" s="361" t="s">
        <v>156</v>
      </c>
      <c r="B50" s="361" t="s">
        <v>157</v>
      </c>
      <c r="C50" s="361" t="s">
        <v>219</v>
      </c>
      <c r="D50" s="361" t="s">
        <v>159</v>
      </c>
      <c r="E50" s="361" t="s">
        <v>160</v>
      </c>
      <c r="F50" s="360" t="s">
        <v>216</v>
      </c>
      <c r="G50" s="361" t="s">
        <v>217</v>
      </c>
      <c r="H50" s="360"/>
      <c r="I50" s="360"/>
      <c r="J50" s="360" t="s">
        <v>222</v>
      </c>
      <c r="K50" s="362"/>
      <c r="L50" s="361"/>
      <c r="M50" s="361"/>
      <c r="N50" s="360"/>
      <c r="O50" s="360"/>
      <c r="P50" s="360"/>
      <c r="Q50" s="360"/>
      <c r="R50" s="363"/>
      <c r="S50" s="360"/>
      <c r="T50" s="361" t="s">
        <v>164</v>
      </c>
    </row>
    <row r="51" ht="34.5">
      <c r="A51" s="361" t="s">
        <v>156</v>
      </c>
      <c r="B51" s="361" t="s">
        <v>157</v>
      </c>
      <c r="C51" s="361" t="s">
        <v>219</v>
      </c>
      <c r="D51" s="361" t="s">
        <v>159</v>
      </c>
      <c r="E51" s="361" t="s">
        <v>160</v>
      </c>
      <c r="F51" s="360" t="s">
        <v>216</v>
      </c>
      <c r="G51" s="361" t="s">
        <v>217</v>
      </c>
      <c r="H51" s="360"/>
      <c r="I51" s="360"/>
      <c r="J51" s="360" t="s">
        <v>223</v>
      </c>
      <c r="K51" s="362"/>
      <c r="L51" s="361"/>
      <c r="M51" s="361"/>
      <c r="N51" s="360"/>
      <c r="O51" s="360"/>
      <c r="P51" s="360"/>
      <c r="Q51" s="360"/>
      <c r="R51" s="363"/>
      <c r="S51" s="360"/>
      <c r="T51" s="361" t="s">
        <v>164</v>
      </c>
    </row>
    <row r="52" ht="34.5">
      <c r="A52" s="361" t="s">
        <v>156</v>
      </c>
      <c r="B52" s="361" t="s">
        <v>157</v>
      </c>
      <c r="C52" s="361" t="s">
        <v>219</v>
      </c>
      <c r="D52" s="361" t="s">
        <v>159</v>
      </c>
      <c r="E52" s="361" t="s">
        <v>160</v>
      </c>
      <c r="F52" s="360" t="s">
        <v>216</v>
      </c>
      <c r="G52" s="361" t="s">
        <v>217</v>
      </c>
      <c r="H52" s="360"/>
      <c r="I52" s="360"/>
      <c r="J52" s="360" t="s">
        <v>224</v>
      </c>
      <c r="K52" s="362"/>
      <c r="L52" s="361"/>
      <c r="M52" s="361"/>
      <c r="N52" s="360"/>
      <c r="O52" s="360"/>
      <c r="P52" s="360"/>
      <c r="Q52" s="360"/>
      <c r="R52" s="363"/>
      <c r="S52" s="360"/>
      <c r="T52" s="361" t="s">
        <v>164</v>
      </c>
    </row>
    <row r="53" ht="34.5">
      <c r="A53" s="361" t="s">
        <v>156</v>
      </c>
      <c r="B53" s="361" t="s">
        <v>157</v>
      </c>
      <c r="C53" s="361" t="s">
        <v>219</v>
      </c>
      <c r="D53" s="361" t="s">
        <v>159</v>
      </c>
      <c r="E53" s="361" t="s">
        <v>160</v>
      </c>
      <c r="F53" s="360" t="s">
        <v>216</v>
      </c>
      <c r="G53" s="361" t="s">
        <v>217</v>
      </c>
      <c r="H53" s="360"/>
      <c r="I53" s="360"/>
      <c r="J53" s="360" t="s">
        <v>225</v>
      </c>
      <c r="K53" s="362"/>
      <c r="L53" s="361"/>
      <c r="M53" s="361"/>
      <c r="N53" s="360"/>
      <c r="O53" s="360"/>
      <c r="P53" s="360"/>
      <c r="Q53" s="360"/>
      <c r="R53" s="363"/>
      <c r="S53" s="360"/>
      <c r="T53" s="361" t="s">
        <v>164</v>
      </c>
    </row>
    <row r="54" ht="34.5">
      <c r="A54" s="361" t="s">
        <v>156</v>
      </c>
      <c r="B54" s="361" t="s">
        <v>157</v>
      </c>
      <c r="C54" s="361" t="s">
        <v>219</v>
      </c>
      <c r="D54" s="361" t="s">
        <v>159</v>
      </c>
      <c r="E54" s="361" t="s">
        <v>160</v>
      </c>
      <c r="F54" s="360" t="s">
        <v>216</v>
      </c>
      <c r="G54" s="361" t="s">
        <v>217</v>
      </c>
      <c r="H54" s="360"/>
      <c r="I54" s="360"/>
      <c r="J54" s="360" t="s">
        <v>226</v>
      </c>
      <c r="K54" s="362"/>
      <c r="L54" s="361"/>
      <c r="M54" s="361"/>
      <c r="N54" s="360"/>
      <c r="O54" s="360"/>
      <c r="P54" s="360"/>
      <c r="Q54" s="360"/>
      <c r="R54" s="363"/>
      <c r="S54" s="360"/>
      <c r="T54" s="361" t="s">
        <v>164</v>
      </c>
    </row>
    <row r="55" ht="34.5">
      <c r="A55" s="361" t="s">
        <v>156</v>
      </c>
      <c r="B55" s="361" t="s">
        <v>157</v>
      </c>
      <c r="C55" s="361" t="s">
        <v>219</v>
      </c>
      <c r="D55" s="361" t="s">
        <v>159</v>
      </c>
      <c r="E55" s="361" t="s">
        <v>160</v>
      </c>
      <c r="F55" s="360" t="s">
        <v>216</v>
      </c>
      <c r="G55" s="361" t="s">
        <v>217</v>
      </c>
      <c r="H55" s="360"/>
      <c r="I55" s="360"/>
      <c r="J55" s="360" t="s">
        <v>227</v>
      </c>
      <c r="K55" s="362"/>
      <c r="L55" s="361"/>
      <c r="M55" s="361"/>
      <c r="N55" s="360"/>
      <c r="O55" s="360"/>
      <c r="P55" s="360"/>
      <c r="Q55" s="360"/>
      <c r="R55" s="363"/>
      <c r="S55" s="360"/>
      <c r="T55" s="361" t="s">
        <v>164</v>
      </c>
    </row>
    <row r="56" ht="34.5">
      <c r="A56" s="361" t="s">
        <v>156</v>
      </c>
      <c r="B56" s="361" t="s">
        <v>157</v>
      </c>
      <c r="C56" s="361" t="s">
        <v>228</v>
      </c>
      <c r="D56" s="361" t="s">
        <v>159</v>
      </c>
      <c r="E56" s="361" t="s">
        <v>160</v>
      </c>
      <c r="F56" s="360" t="s">
        <v>216</v>
      </c>
      <c r="G56" s="361" t="s">
        <v>217</v>
      </c>
      <c r="H56" s="360"/>
      <c r="I56" s="360"/>
      <c r="J56" s="360" t="s">
        <v>229</v>
      </c>
      <c r="K56" s="362"/>
      <c r="L56" s="361"/>
      <c r="M56" s="361"/>
      <c r="N56" s="360"/>
      <c r="O56" s="360"/>
      <c r="P56" s="360"/>
      <c r="Q56" s="360"/>
      <c r="R56" s="363"/>
      <c r="S56" s="360"/>
      <c r="T56" s="361" t="s">
        <v>164</v>
      </c>
    </row>
    <row r="57" ht="34.5">
      <c r="A57" s="361" t="s">
        <v>156</v>
      </c>
      <c r="B57" s="361" t="s">
        <v>157</v>
      </c>
      <c r="C57" s="361" t="s">
        <v>228</v>
      </c>
      <c r="D57" s="361" t="s">
        <v>159</v>
      </c>
      <c r="E57" s="361" t="s">
        <v>160</v>
      </c>
      <c r="F57" s="360" t="s">
        <v>216</v>
      </c>
      <c r="G57" s="361" t="s">
        <v>217</v>
      </c>
      <c r="H57" s="360"/>
      <c r="I57" s="360"/>
      <c r="J57" s="360" t="s">
        <v>230</v>
      </c>
      <c r="K57" s="362"/>
      <c r="L57" s="361"/>
      <c r="M57" s="361"/>
      <c r="N57" s="360"/>
      <c r="O57" s="360"/>
      <c r="P57" s="360"/>
      <c r="Q57" s="360"/>
      <c r="R57" s="363"/>
      <c r="S57" s="360"/>
      <c r="T57" s="361" t="s">
        <v>164</v>
      </c>
    </row>
    <row r="58" ht="34.5">
      <c r="A58" s="361" t="s">
        <v>156</v>
      </c>
      <c r="B58" s="361" t="s">
        <v>157</v>
      </c>
      <c r="C58" s="361" t="s">
        <v>228</v>
      </c>
      <c r="D58" s="361" t="s">
        <v>159</v>
      </c>
      <c r="E58" s="361" t="s">
        <v>160</v>
      </c>
      <c r="F58" s="360" t="s">
        <v>216</v>
      </c>
      <c r="G58" s="361" t="s">
        <v>217</v>
      </c>
      <c r="H58" s="360"/>
      <c r="I58" s="360"/>
      <c r="J58" s="360" t="s">
        <v>231</v>
      </c>
      <c r="K58" s="362"/>
      <c r="L58" s="361"/>
      <c r="M58" s="361"/>
      <c r="N58" s="360"/>
      <c r="O58" s="360"/>
      <c r="P58" s="360"/>
      <c r="Q58" s="360"/>
      <c r="R58" s="363"/>
      <c r="S58" s="360"/>
      <c r="T58" s="361" t="s">
        <v>164</v>
      </c>
    </row>
    <row r="59" ht="34.5">
      <c r="A59" s="361" t="s">
        <v>156</v>
      </c>
      <c r="B59" s="361" t="s">
        <v>157</v>
      </c>
      <c r="C59" s="361" t="s">
        <v>228</v>
      </c>
      <c r="D59" s="361" t="s">
        <v>159</v>
      </c>
      <c r="E59" s="361" t="s">
        <v>160</v>
      </c>
      <c r="F59" s="360" t="s">
        <v>216</v>
      </c>
      <c r="G59" s="361" t="s">
        <v>217</v>
      </c>
      <c r="H59" s="360"/>
      <c r="I59" s="360"/>
      <c r="J59" s="360" t="s">
        <v>232</v>
      </c>
      <c r="K59" s="362"/>
      <c r="L59" s="361"/>
      <c r="M59" s="361"/>
      <c r="N59" s="360"/>
      <c r="O59" s="360"/>
      <c r="P59" s="360"/>
      <c r="Q59" s="360"/>
      <c r="R59" s="363"/>
      <c r="S59" s="360"/>
      <c r="T59" s="361" t="s">
        <v>164</v>
      </c>
    </row>
    <row r="60" ht="34.5">
      <c r="A60" s="361" t="s">
        <v>156</v>
      </c>
      <c r="B60" s="361" t="s">
        <v>157</v>
      </c>
      <c r="C60" s="361" t="s">
        <v>228</v>
      </c>
      <c r="D60" s="361" t="s">
        <v>159</v>
      </c>
      <c r="E60" s="361" t="s">
        <v>160</v>
      </c>
      <c r="F60" s="360" t="s">
        <v>216</v>
      </c>
      <c r="G60" s="361" t="s">
        <v>217</v>
      </c>
      <c r="H60" s="360"/>
      <c r="I60" s="360"/>
      <c r="J60" s="360" t="s">
        <v>233</v>
      </c>
      <c r="K60" s="362"/>
      <c r="L60" s="361"/>
      <c r="M60" s="361"/>
      <c r="N60" s="360"/>
      <c r="O60" s="360"/>
      <c r="P60" s="360"/>
      <c r="Q60" s="360"/>
      <c r="R60" s="363"/>
      <c r="S60" s="360"/>
      <c r="T60" s="361" t="s">
        <v>164</v>
      </c>
    </row>
    <row r="61" ht="34.5">
      <c r="A61" s="361" t="s">
        <v>156</v>
      </c>
      <c r="B61" s="361" t="s">
        <v>157</v>
      </c>
      <c r="C61" s="361" t="s">
        <v>228</v>
      </c>
      <c r="D61" s="361" t="s">
        <v>159</v>
      </c>
      <c r="E61" s="361" t="s">
        <v>160</v>
      </c>
      <c r="F61" s="360" t="s">
        <v>216</v>
      </c>
      <c r="G61" s="361" t="s">
        <v>217</v>
      </c>
      <c r="H61" s="360"/>
      <c r="I61" s="360"/>
      <c r="J61" s="360" t="s">
        <v>234</v>
      </c>
      <c r="K61" s="362"/>
      <c r="L61" s="361"/>
      <c r="M61" s="361"/>
      <c r="N61" s="360"/>
      <c r="O61" s="360"/>
      <c r="P61" s="360"/>
      <c r="Q61" s="360"/>
      <c r="R61" s="363"/>
      <c r="S61" s="360"/>
      <c r="T61" s="361" t="s">
        <v>164</v>
      </c>
    </row>
    <row r="62" ht="34.5">
      <c r="A62" s="361" t="s">
        <v>156</v>
      </c>
      <c r="B62" s="361" t="s">
        <v>157</v>
      </c>
      <c r="C62" s="361" t="s">
        <v>228</v>
      </c>
      <c r="D62" s="361" t="s">
        <v>159</v>
      </c>
      <c r="E62" s="361" t="s">
        <v>160</v>
      </c>
      <c r="F62" s="360" t="s">
        <v>216</v>
      </c>
      <c r="G62" s="361" t="s">
        <v>217</v>
      </c>
      <c r="H62" s="360"/>
      <c r="I62" s="360"/>
      <c r="J62" s="360" t="s">
        <v>235</v>
      </c>
      <c r="K62" s="362">
        <v>1000</v>
      </c>
      <c r="L62" s="361" t="s">
        <v>236</v>
      </c>
      <c r="M62" s="361"/>
      <c r="N62" s="360"/>
      <c r="O62" s="360"/>
      <c r="P62" s="360"/>
      <c r="Q62" s="360"/>
      <c r="R62" s="363"/>
      <c r="S62" s="360"/>
      <c r="T62" s="361" t="s">
        <v>164</v>
      </c>
    </row>
    <row r="63" ht="34.5">
      <c r="A63" s="361" t="s">
        <v>156</v>
      </c>
      <c r="B63" s="361" t="s">
        <v>157</v>
      </c>
      <c r="C63" s="361" t="s">
        <v>228</v>
      </c>
      <c r="D63" s="361" t="s">
        <v>159</v>
      </c>
      <c r="E63" s="361" t="s">
        <v>160</v>
      </c>
      <c r="F63" s="360" t="s">
        <v>216</v>
      </c>
      <c r="G63" s="361" t="s">
        <v>217</v>
      </c>
      <c r="H63" s="360"/>
      <c r="I63" s="360"/>
      <c r="J63" s="360" t="s">
        <v>237</v>
      </c>
      <c r="K63" s="362"/>
      <c r="L63" s="361"/>
      <c r="M63" s="361"/>
      <c r="N63" s="360"/>
      <c r="O63" s="360"/>
      <c r="P63" s="360"/>
      <c r="Q63" s="360"/>
      <c r="R63" s="363"/>
      <c r="S63" s="360"/>
      <c r="T63" s="361" t="s">
        <v>164</v>
      </c>
    </row>
    <row r="64" ht="34.5">
      <c r="A64" s="361" t="s">
        <v>156</v>
      </c>
      <c r="B64" s="361" t="s">
        <v>157</v>
      </c>
      <c r="C64" s="361" t="s">
        <v>228</v>
      </c>
      <c r="D64" s="361" t="s">
        <v>159</v>
      </c>
      <c r="E64" s="361" t="s">
        <v>160</v>
      </c>
      <c r="F64" s="360" t="s">
        <v>216</v>
      </c>
      <c r="G64" s="361" t="s">
        <v>217</v>
      </c>
      <c r="H64" s="360"/>
      <c r="I64" s="360"/>
      <c r="J64" s="360" t="s">
        <v>238</v>
      </c>
      <c r="K64" s="362"/>
      <c r="L64" s="361"/>
      <c r="M64" s="361"/>
      <c r="N64" s="360"/>
      <c r="O64" s="360"/>
      <c r="P64" s="360"/>
      <c r="Q64" s="360"/>
      <c r="R64" s="363"/>
      <c r="S64" s="360"/>
      <c r="T64" s="361" t="s">
        <v>164</v>
      </c>
    </row>
    <row r="65" ht="34.5">
      <c r="A65" s="361" t="s">
        <v>156</v>
      </c>
      <c r="B65" s="361" t="s">
        <v>157</v>
      </c>
      <c r="C65" s="361" t="s">
        <v>228</v>
      </c>
      <c r="D65" s="361" t="s">
        <v>159</v>
      </c>
      <c r="E65" s="361" t="s">
        <v>160</v>
      </c>
      <c r="F65" s="360" t="s">
        <v>216</v>
      </c>
      <c r="G65" s="361" t="s">
        <v>217</v>
      </c>
      <c r="H65" s="360"/>
      <c r="I65" s="360"/>
      <c r="J65" s="360" t="s">
        <v>239</v>
      </c>
      <c r="K65" s="362"/>
      <c r="L65" s="361"/>
      <c r="M65" s="361"/>
      <c r="N65" s="360"/>
      <c r="O65" s="360"/>
      <c r="P65" s="360"/>
      <c r="Q65" s="360"/>
      <c r="R65" s="363"/>
      <c r="S65" s="360"/>
      <c r="T65" s="361" t="s">
        <v>164</v>
      </c>
    </row>
    <row r="66" ht="34.5">
      <c r="A66" s="361" t="s">
        <v>156</v>
      </c>
      <c r="B66" s="361" t="s">
        <v>157</v>
      </c>
      <c r="C66" s="361" t="s">
        <v>240</v>
      </c>
      <c r="D66" s="361" t="s">
        <v>159</v>
      </c>
      <c r="E66" s="361" t="s">
        <v>160</v>
      </c>
      <c r="F66" s="360" t="s">
        <v>216</v>
      </c>
      <c r="G66" s="361" t="s">
        <v>217</v>
      </c>
      <c r="H66" s="360"/>
      <c r="I66" s="360"/>
      <c r="J66" s="360" t="s">
        <v>241</v>
      </c>
      <c r="K66" s="362"/>
      <c r="L66" s="361"/>
      <c r="M66" s="361"/>
      <c r="N66" s="360"/>
      <c r="O66" s="360"/>
      <c r="P66" s="360"/>
      <c r="Q66" s="360"/>
      <c r="R66" s="363"/>
      <c r="S66" s="360"/>
      <c r="T66" s="361" t="s">
        <v>164</v>
      </c>
    </row>
    <row r="67" ht="34.5">
      <c r="A67" s="361" t="s">
        <v>156</v>
      </c>
      <c r="B67" s="361" t="s">
        <v>157</v>
      </c>
      <c r="C67" s="361" t="s">
        <v>240</v>
      </c>
      <c r="D67" s="361" t="s">
        <v>159</v>
      </c>
      <c r="E67" s="361" t="s">
        <v>160</v>
      </c>
      <c r="F67" s="360" t="s">
        <v>216</v>
      </c>
      <c r="G67" s="361" t="s">
        <v>217</v>
      </c>
      <c r="H67" s="360"/>
      <c r="I67" s="360"/>
      <c r="J67" s="360" t="s">
        <v>242</v>
      </c>
      <c r="K67" s="362"/>
      <c r="L67" s="361"/>
      <c r="M67" s="361"/>
      <c r="N67" s="360"/>
      <c r="O67" s="360"/>
      <c r="P67" s="360"/>
      <c r="Q67" s="360"/>
      <c r="R67" s="363"/>
      <c r="S67" s="360"/>
      <c r="T67" s="361" t="s">
        <v>164</v>
      </c>
    </row>
    <row r="68" ht="34.5">
      <c r="A68" s="361" t="s">
        <v>156</v>
      </c>
      <c r="B68" s="361" t="s">
        <v>157</v>
      </c>
      <c r="C68" s="361" t="s">
        <v>240</v>
      </c>
      <c r="D68" s="361" t="s">
        <v>159</v>
      </c>
      <c r="E68" s="361" t="s">
        <v>160</v>
      </c>
      <c r="F68" s="360" t="s">
        <v>216</v>
      </c>
      <c r="G68" s="361" t="s">
        <v>217</v>
      </c>
      <c r="H68" s="360"/>
      <c r="I68" s="360"/>
      <c r="J68" s="360" t="s">
        <v>243</v>
      </c>
      <c r="K68" s="362"/>
      <c r="L68" s="361"/>
      <c r="M68" s="361"/>
      <c r="N68" s="360"/>
      <c r="O68" s="360"/>
      <c r="P68" s="360"/>
      <c r="Q68" s="360"/>
      <c r="R68" s="363"/>
      <c r="S68" s="360"/>
      <c r="T68" s="361" t="s">
        <v>164</v>
      </c>
    </row>
    <row r="69" ht="34.5">
      <c r="A69" s="361" t="s">
        <v>156</v>
      </c>
      <c r="B69" s="361" t="s">
        <v>157</v>
      </c>
      <c r="C69" s="361" t="s">
        <v>240</v>
      </c>
      <c r="D69" s="361" t="s">
        <v>159</v>
      </c>
      <c r="E69" s="361" t="s">
        <v>160</v>
      </c>
      <c r="F69" s="360" t="s">
        <v>216</v>
      </c>
      <c r="G69" s="361" t="s">
        <v>217</v>
      </c>
      <c r="H69" s="360"/>
      <c r="I69" s="360"/>
      <c r="J69" s="360" t="s">
        <v>244</v>
      </c>
      <c r="K69" s="362"/>
      <c r="L69" s="361"/>
      <c r="M69" s="361"/>
      <c r="N69" s="360"/>
      <c r="O69" s="360"/>
      <c r="P69" s="360"/>
      <c r="Q69" s="360"/>
      <c r="R69" s="363"/>
      <c r="S69" s="360"/>
      <c r="T69" s="361" t="s">
        <v>164</v>
      </c>
    </row>
    <row r="70" ht="34.5">
      <c r="A70" s="361" t="s">
        <v>156</v>
      </c>
      <c r="B70" s="361" t="s">
        <v>157</v>
      </c>
      <c r="C70" s="361" t="s">
        <v>240</v>
      </c>
      <c r="D70" s="361" t="s">
        <v>159</v>
      </c>
      <c r="E70" s="361" t="s">
        <v>160</v>
      </c>
      <c r="F70" s="360" t="s">
        <v>216</v>
      </c>
      <c r="G70" s="361" t="s">
        <v>217</v>
      </c>
      <c r="H70" s="360"/>
      <c r="I70" s="360"/>
      <c r="J70" s="360" t="s">
        <v>245</v>
      </c>
      <c r="K70" s="362"/>
      <c r="L70" s="361"/>
      <c r="M70" s="361"/>
      <c r="N70" s="360"/>
      <c r="O70" s="360"/>
      <c r="P70" s="360"/>
      <c r="Q70" s="360"/>
      <c r="R70" s="363"/>
      <c r="S70" s="360"/>
      <c r="T70" s="361" t="s">
        <v>164</v>
      </c>
    </row>
    <row r="71" ht="34.5">
      <c r="A71" s="361" t="s">
        <v>156</v>
      </c>
      <c r="B71" s="361" t="s">
        <v>157</v>
      </c>
      <c r="C71" s="361" t="s">
        <v>240</v>
      </c>
      <c r="D71" s="361" t="s">
        <v>159</v>
      </c>
      <c r="E71" s="361" t="s">
        <v>160</v>
      </c>
      <c r="F71" s="360" t="s">
        <v>216</v>
      </c>
      <c r="G71" s="361" t="s">
        <v>217</v>
      </c>
      <c r="H71" s="360"/>
      <c r="I71" s="360"/>
      <c r="J71" s="360" t="s">
        <v>246</v>
      </c>
      <c r="K71" s="362"/>
      <c r="L71" s="361"/>
      <c r="M71" s="361"/>
      <c r="N71" s="360"/>
      <c r="O71" s="360"/>
      <c r="P71" s="360"/>
      <c r="Q71" s="360"/>
      <c r="R71" s="363"/>
      <c r="S71" s="360"/>
      <c r="T71" s="361" t="s">
        <v>164</v>
      </c>
    </row>
    <row r="72" ht="34.5">
      <c r="A72" s="361" t="s">
        <v>156</v>
      </c>
      <c r="B72" s="361" t="s">
        <v>157</v>
      </c>
      <c r="C72" s="361" t="s">
        <v>240</v>
      </c>
      <c r="D72" s="361" t="s">
        <v>159</v>
      </c>
      <c r="E72" s="361" t="s">
        <v>160</v>
      </c>
      <c r="F72" s="360" t="s">
        <v>216</v>
      </c>
      <c r="G72" s="361" t="s">
        <v>217</v>
      </c>
      <c r="H72" s="360"/>
      <c r="I72" s="360"/>
      <c r="J72" s="360" t="s">
        <v>247</v>
      </c>
      <c r="K72" s="362"/>
      <c r="L72" s="361"/>
      <c r="M72" s="361"/>
      <c r="N72" s="360"/>
      <c r="O72" s="360"/>
      <c r="P72" s="360"/>
      <c r="Q72" s="360"/>
      <c r="R72" s="363"/>
      <c r="S72" s="360"/>
      <c r="T72" s="361" t="s">
        <v>164</v>
      </c>
    </row>
    <row r="73" ht="34.5">
      <c r="A73" s="361" t="s">
        <v>156</v>
      </c>
      <c r="B73" s="361" t="s">
        <v>157</v>
      </c>
      <c r="C73" s="361" t="s">
        <v>240</v>
      </c>
      <c r="D73" s="361" t="s">
        <v>159</v>
      </c>
      <c r="E73" s="361" t="s">
        <v>160</v>
      </c>
      <c r="F73" s="360" t="s">
        <v>216</v>
      </c>
      <c r="G73" s="361" t="s">
        <v>217</v>
      </c>
      <c r="H73" s="360"/>
      <c r="I73" s="360"/>
      <c r="J73" s="360" t="s">
        <v>248</v>
      </c>
      <c r="K73" s="362"/>
      <c r="L73" s="361"/>
      <c r="M73" s="361"/>
      <c r="N73" s="360"/>
      <c r="O73" s="360"/>
      <c r="P73" s="360"/>
      <c r="Q73" s="360"/>
      <c r="R73" s="363"/>
      <c r="S73" s="360"/>
      <c r="T73" s="361" t="s">
        <v>164</v>
      </c>
    </row>
    <row r="74" ht="34.5">
      <c r="A74" s="361" t="s">
        <v>156</v>
      </c>
      <c r="B74" s="361" t="s">
        <v>157</v>
      </c>
      <c r="C74" s="361" t="s">
        <v>240</v>
      </c>
      <c r="D74" s="361" t="s">
        <v>159</v>
      </c>
      <c r="E74" s="361" t="s">
        <v>160</v>
      </c>
      <c r="F74" s="360" t="s">
        <v>216</v>
      </c>
      <c r="G74" s="361" t="s">
        <v>217</v>
      </c>
      <c r="H74" s="360"/>
      <c r="I74" s="360"/>
      <c r="J74" s="360" t="s">
        <v>249</v>
      </c>
      <c r="K74" s="362"/>
      <c r="L74" s="361"/>
      <c r="M74" s="361"/>
      <c r="N74" s="360"/>
      <c r="O74" s="360"/>
      <c r="P74" s="360"/>
      <c r="Q74" s="360"/>
      <c r="R74" s="363"/>
      <c r="S74" s="360"/>
      <c r="T74" s="361" t="s">
        <v>164</v>
      </c>
    </row>
    <row r="75" ht="34.5">
      <c r="A75" s="361" t="s">
        <v>156</v>
      </c>
      <c r="B75" s="361" t="s">
        <v>157</v>
      </c>
      <c r="C75" s="361" t="s">
        <v>240</v>
      </c>
      <c r="D75" s="361" t="s">
        <v>159</v>
      </c>
      <c r="E75" s="361" t="s">
        <v>160</v>
      </c>
      <c r="F75" s="360" t="s">
        <v>216</v>
      </c>
      <c r="G75" s="361" t="s">
        <v>217</v>
      </c>
      <c r="H75" s="360"/>
      <c r="I75" s="360"/>
      <c r="J75" s="360" t="s">
        <v>250</v>
      </c>
      <c r="K75" s="362">
        <v>1000</v>
      </c>
      <c r="L75" s="361" t="s">
        <v>236</v>
      </c>
      <c r="M75" s="361"/>
      <c r="N75" s="360"/>
      <c r="O75" s="360"/>
      <c r="P75" s="360"/>
      <c r="Q75" s="360"/>
      <c r="R75" s="363"/>
      <c r="S75" s="360"/>
      <c r="T75" s="361" t="s">
        <v>164</v>
      </c>
    </row>
    <row r="76" ht="34.5">
      <c r="A76" s="361" t="s">
        <v>156</v>
      </c>
      <c r="B76" s="361" t="s">
        <v>157</v>
      </c>
      <c r="C76" s="361" t="s">
        <v>251</v>
      </c>
      <c r="D76" s="361" t="s">
        <v>159</v>
      </c>
      <c r="E76" s="361" t="s">
        <v>160</v>
      </c>
      <c r="F76" s="360" t="s">
        <v>216</v>
      </c>
      <c r="G76" s="361" t="s">
        <v>217</v>
      </c>
      <c r="H76" s="360"/>
      <c r="I76" s="360"/>
      <c r="J76" s="360" t="s">
        <v>252</v>
      </c>
      <c r="K76" s="362"/>
      <c r="L76" s="361"/>
      <c r="M76" s="361"/>
      <c r="N76" s="360"/>
      <c r="O76" s="360"/>
      <c r="P76" s="360"/>
      <c r="Q76" s="360"/>
      <c r="R76" s="363"/>
      <c r="S76" s="360"/>
      <c r="T76" s="361" t="s">
        <v>164</v>
      </c>
    </row>
    <row r="77" ht="34.5">
      <c r="A77" s="361" t="s">
        <v>156</v>
      </c>
      <c r="B77" s="361" t="s">
        <v>157</v>
      </c>
      <c r="C77" s="361" t="s">
        <v>251</v>
      </c>
      <c r="D77" s="361" t="s">
        <v>159</v>
      </c>
      <c r="E77" s="361" t="s">
        <v>160</v>
      </c>
      <c r="F77" s="360" t="s">
        <v>216</v>
      </c>
      <c r="G77" s="361" t="s">
        <v>217</v>
      </c>
      <c r="H77" s="360"/>
      <c r="I77" s="360"/>
      <c r="J77" s="360" t="s">
        <v>253</v>
      </c>
      <c r="K77" s="362"/>
      <c r="L77" s="361"/>
      <c r="M77" s="361"/>
      <c r="N77" s="360"/>
      <c r="O77" s="360"/>
      <c r="P77" s="360"/>
      <c r="Q77" s="360"/>
      <c r="R77" s="363"/>
      <c r="S77" s="360"/>
      <c r="T77" s="361" t="s">
        <v>164</v>
      </c>
    </row>
    <row r="78" ht="34.5">
      <c r="A78" s="361" t="s">
        <v>156</v>
      </c>
      <c r="B78" s="361" t="s">
        <v>157</v>
      </c>
      <c r="C78" s="361" t="s">
        <v>251</v>
      </c>
      <c r="D78" s="361" t="s">
        <v>159</v>
      </c>
      <c r="E78" s="361" t="s">
        <v>160</v>
      </c>
      <c r="F78" s="360" t="s">
        <v>216</v>
      </c>
      <c r="G78" s="361" t="s">
        <v>217</v>
      </c>
      <c r="H78" s="360"/>
      <c r="I78" s="360"/>
      <c r="J78" s="360" t="s">
        <v>254</v>
      </c>
      <c r="K78" s="362"/>
      <c r="L78" s="361"/>
      <c r="M78" s="361"/>
      <c r="N78" s="360"/>
      <c r="O78" s="360"/>
      <c r="P78" s="360"/>
      <c r="Q78" s="360"/>
      <c r="R78" s="363"/>
      <c r="S78" s="360"/>
      <c r="T78" s="361" t="s">
        <v>164</v>
      </c>
    </row>
    <row r="79" ht="34.5">
      <c r="A79" s="361" t="s">
        <v>156</v>
      </c>
      <c r="B79" s="361" t="s">
        <v>157</v>
      </c>
      <c r="C79" s="361" t="s">
        <v>251</v>
      </c>
      <c r="D79" s="361" t="s">
        <v>159</v>
      </c>
      <c r="E79" s="361" t="s">
        <v>160</v>
      </c>
      <c r="F79" s="360" t="s">
        <v>216</v>
      </c>
      <c r="G79" s="361" t="s">
        <v>217</v>
      </c>
      <c r="H79" s="360"/>
      <c r="I79" s="360"/>
      <c r="J79" s="360" t="s">
        <v>255</v>
      </c>
      <c r="K79" s="362"/>
      <c r="L79" s="361"/>
      <c r="M79" s="361"/>
      <c r="N79" s="360"/>
      <c r="O79" s="360"/>
      <c r="P79" s="360"/>
      <c r="Q79" s="360"/>
      <c r="R79" s="363"/>
      <c r="S79" s="360"/>
      <c r="T79" s="361" t="s">
        <v>164</v>
      </c>
    </row>
    <row r="80" ht="34.5">
      <c r="A80" s="361" t="s">
        <v>156</v>
      </c>
      <c r="B80" s="361" t="s">
        <v>157</v>
      </c>
      <c r="C80" s="361" t="s">
        <v>251</v>
      </c>
      <c r="D80" s="361" t="s">
        <v>159</v>
      </c>
      <c r="E80" s="361" t="s">
        <v>160</v>
      </c>
      <c r="F80" s="360" t="s">
        <v>216</v>
      </c>
      <c r="G80" s="361" t="s">
        <v>217</v>
      </c>
      <c r="H80" s="360"/>
      <c r="I80" s="360"/>
      <c r="J80" s="360" t="s">
        <v>256</v>
      </c>
      <c r="K80" s="362"/>
      <c r="L80" s="361"/>
      <c r="M80" s="361"/>
      <c r="N80" s="360"/>
      <c r="O80" s="360"/>
      <c r="P80" s="360"/>
      <c r="Q80" s="360"/>
      <c r="R80" s="363"/>
      <c r="S80" s="360"/>
      <c r="T80" s="361" t="s">
        <v>164</v>
      </c>
    </row>
    <row r="81" ht="34.5">
      <c r="A81" s="361" t="s">
        <v>156</v>
      </c>
      <c r="B81" s="361" t="s">
        <v>157</v>
      </c>
      <c r="C81" s="361" t="s">
        <v>251</v>
      </c>
      <c r="D81" s="361" t="s">
        <v>159</v>
      </c>
      <c r="E81" s="361" t="s">
        <v>160</v>
      </c>
      <c r="F81" s="360" t="s">
        <v>216</v>
      </c>
      <c r="G81" s="361" t="s">
        <v>217</v>
      </c>
      <c r="H81" s="360"/>
      <c r="I81" s="360"/>
      <c r="J81" s="360" t="s">
        <v>257</v>
      </c>
      <c r="K81" s="362"/>
      <c r="L81" s="361"/>
      <c r="M81" s="361"/>
      <c r="N81" s="360"/>
      <c r="O81" s="360"/>
      <c r="P81" s="360"/>
      <c r="Q81" s="360"/>
      <c r="R81" s="363"/>
      <c r="S81" s="360"/>
      <c r="T81" s="361" t="s">
        <v>164</v>
      </c>
    </row>
    <row r="82" ht="34.5">
      <c r="A82" s="361" t="s">
        <v>156</v>
      </c>
      <c r="B82" s="361" t="s">
        <v>157</v>
      </c>
      <c r="C82" s="361" t="s">
        <v>251</v>
      </c>
      <c r="D82" s="361" t="s">
        <v>159</v>
      </c>
      <c r="E82" s="361" t="s">
        <v>160</v>
      </c>
      <c r="F82" s="360" t="s">
        <v>216</v>
      </c>
      <c r="G82" s="361" t="s">
        <v>217</v>
      </c>
      <c r="H82" s="360"/>
      <c r="I82" s="360"/>
      <c r="J82" s="360" t="s">
        <v>258</v>
      </c>
      <c r="K82" s="362"/>
      <c r="L82" s="361"/>
      <c r="M82" s="361"/>
      <c r="N82" s="360"/>
      <c r="O82" s="360"/>
      <c r="P82" s="360"/>
      <c r="Q82" s="360"/>
      <c r="R82" s="363"/>
      <c r="S82" s="360"/>
      <c r="T82" s="361" t="s">
        <v>164</v>
      </c>
    </row>
    <row r="83" ht="34.5">
      <c r="A83" s="361" t="s">
        <v>156</v>
      </c>
      <c r="B83" s="361" t="s">
        <v>157</v>
      </c>
      <c r="C83" s="361" t="s">
        <v>251</v>
      </c>
      <c r="D83" s="361" t="s">
        <v>159</v>
      </c>
      <c r="E83" s="361" t="s">
        <v>160</v>
      </c>
      <c r="F83" s="360" t="s">
        <v>216</v>
      </c>
      <c r="G83" s="361" t="s">
        <v>217</v>
      </c>
      <c r="H83" s="360"/>
      <c r="I83" s="360"/>
      <c r="J83" s="360" t="s">
        <v>259</v>
      </c>
      <c r="K83" s="362"/>
      <c r="L83" s="361"/>
      <c r="M83" s="361"/>
      <c r="N83" s="360"/>
      <c r="O83" s="360"/>
      <c r="P83" s="360"/>
      <c r="Q83" s="360"/>
      <c r="R83" s="363"/>
      <c r="S83" s="360"/>
      <c r="T83" s="361" t="s">
        <v>164</v>
      </c>
    </row>
    <row r="84" ht="34.5">
      <c r="A84" s="361" t="s">
        <v>156</v>
      </c>
      <c r="B84" s="361" t="s">
        <v>157</v>
      </c>
      <c r="C84" s="361" t="s">
        <v>251</v>
      </c>
      <c r="D84" s="361" t="s">
        <v>159</v>
      </c>
      <c r="E84" s="361" t="s">
        <v>160</v>
      </c>
      <c r="F84" s="360" t="s">
        <v>216</v>
      </c>
      <c r="G84" s="361" t="s">
        <v>217</v>
      </c>
      <c r="H84" s="360"/>
      <c r="I84" s="360"/>
      <c r="J84" s="360" t="s">
        <v>260</v>
      </c>
      <c r="K84" s="362"/>
      <c r="L84" s="361"/>
      <c r="M84" s="361"/>
      <c r="N84" s="360"/>
      <c r="O84" s="360"/>
      <c r="P84" s="360"/>
      <c r="Q84" s="360"/>
      <c r="R84" s="363"/>
      <c r="S84" s="360"/>
      <c r="T84" s="361" t="s">
        <v>164</v>
      </c>
    </row>
    <row r="85" ht="34.5">
      <c r="A85" s="361" t="s">
        <v>156</v>
      </c>
      <c r="B85" s="361" t="s">
        <v>157</v>
      </c>
      <c r="C85" s="361" t="s">
        <v>251</v>
      </c>
      <c r="D85" s="361" t="s">
        <v>159</v>
      </c>
      <c r="E85" s="361" t="s">
        <v>160</v>
      </c>
      <c r="F85" s="360" t="s">
        <v>216</v>
      </c>
      <c r="G85" s="361" t="s">
        <v>217</v>
      </c>
      <c r="H85" s="360"/>
      <c r="I85" s="360"/>
      <c r="J85" s="360" t="s">
        <v>261</v>
      </c>
      <c r="K85" s="362"/>
      <c r="L85" s="361"/>
      <c r="M85" s="361"/>
      <c r="N85" s="360"/>
      <c r="O85" s="360"/>
      <c r="P85" s="360"/>
      <c r="Q85" s="360"/>
      <c r="R85" s="363"/>
      <c r="S85" s="360"/>
      <c r="T85" s="361" t="s">
        <v>164</v>
      </c>
    </row>
    <row r="86" ht="34.5">
      <c r="A86" s="361" t="s">
        <v>156</v>
      </c>
      <c r="B86" s="361" t="s">
        <v>157</v>
      </c>
      <c r="C86" s="361" t="s">
        <v>251</v>
      </c>
      <c r="D86" s="361" t="s">
        <v>159</v>
      </c>
      <c r="E86" s="361" t="s">
        <v>160</v>
      </c>
      <c r="F86" s="360" t="s">
        <v>216</v>
      </c>
      <c r="G86" s="361" t="s">
        <v>217</v>
      </c>
      <c r="H86" s="360"/>
      <c r="I86" s="360"/>
      <c r="J86" s="360" t="s">
        <v>262</v>
      </c>
      <c r="K86" s="362"/>
      <c r="L86" s="361"/>
      <c r="M86" s="361"/>
      <c r="N86" s="360"/>
      <c r="O86" s="360"/>
      <c r="P86" s="360"/>
      <c r="Q86" s="360"/>
      <c r="R86" s="363"/>
      <c r="S86" s="360"/>
      <c r="T86" s="361" t="s">
        <v>164</v>
      </c>
    </row>
    <row r="87" ht="34.5">
      <c r="A87" s="361" t="s">
        <v>156</v>
      </c>
      <c r="B87" s="361" t="s">
        <v>157</v>
      </c>
      <c r="C87" s="361" t="s">
        <v>251</v>
      </c>
      <c r="D87" s="361" t="s">
        <v>159</v>
      </c>
      <c r="E87" s="361" t="s">
        <v>160</v>
      </c>
      <c r="F87" s="360" t="s">
        <v>216</v>
      </c>
      <c r="G87" s="361" t="s">
        <v>217</v>
      </c>
      <c r="H87" s="360"/>
      <c r="I87" s="360"/>
      <c r="J87" s="360" t="s">
        <v>263</v>
      </c>
      <c r="K87" s="362"/>
      <c r="L87" s="361"/>
      <c r="M87" s="361"/>
      <c r="N87" s="360"/>
      <c r="O87" s="360"/>
      <c r="P87" s="360"/>
      <c r="Q87" s="360"/>
      <c r="R87" s="363"/>
      <c r="S87" s="360"/>
      <c r="T87" s="361" t="s">
        <v>164</v>
      </c>
    </row>
    <row r="88" ht="34.5">
      <c r="A88" s="361" t="s">
        <v>264</v>
      </c>
      <c r="B88" s="361" t="s">
        <v>265</v>
      </c>
      <c r="C88" s="361" t="s">
        <v>158</v>
      </c>
      <c r="D88" s="361" t="s">
        <v>159</v>
      </c>
      <c r="E88" s="361" t="s">
        <v>160</v>
      </c>
      <c r="F88" s="360" t="s">
        <v>161</v>
      </c>
      <c r="G88" s="361" t="s">
        <v>162</v>
      </c>
      <c r="H88" s="360"/>
      <c r="I88" s="360"/>
      <c r="J88" s="360" t="s">
        <v>163</v>
      </c>
      <c r="K88" s="362"/>
      <c r="L88" s="361"/>
      <c r="M88" s="361"/>
      <c r="N88" s="360"/>
      <c r="O88" s="360"/>
      <c r="P88" s="360"/>
      <c r="Q88" s="360"/>
      <c r="R88" s="363"/>
      <c r="S88" s="360"/>
      <c r="T88" s="361" t="s">
        <v>164</v>
      </c>
    </row>
    <row r="89" ht="34.5">
      <c r="A89" s="361" t="s">
        <v>264</v>
      </c>
      <c r="B89" s="361" t="s">
        <v>265</v>
      </c>
      <c r="C89" s="361" t="s">
        <v>158</v>
      </c>
      <c r="D89" s="361" t="s">
        <v>159</v>
      </c>
      <c r="E89" s="361" t="s">
        <v>160</v>
      </c>
      <c r="F89" s="360" t="s">
        <v>161</v>
      </c>
      <c r="G89" s="361" t="s">
        <v>162</v>
      </c>
      <c r="H89" s="360"/>
      <c r="I89" s="360"/>
      <c r="J89" s="360" t="s">
        <v>165</v>
      </c>
      <c r="K89" s="362"/>
      <c r="L89" s="361"/>
      <c r="M89" s="361"/>
      <c r="N89" s="360"/>
      <c r="O89" s="360"/>
      <c r="P89" s="360"/>
      <c r="Q89" s="360"/>
      <c r="R89" s="363"/>
      <c r="S89" s="360"/>
      <c r="T89" s="361" t="s">
        <v>164</v>
      </c>
    </row>
    <row r="90" ht="34.5">
      <c r="A90" s="361" t="s">
        <v>264</v>
      </c>
      <c r="B90" s="361" t="s">
        <v>265</v>
      </c>
      <c r="C90" s="361" t="s">
        <v>158</v>
      </c>
      <c r="D90" s="361" t="s">
        <v>159</v>
      </c>
      <c r="E90" s="361" t="s">
        <v>160</v>
      </c>
      <c r="F90" s="360" t="s">
        <v>161</v>
      </c>
      <c r="G90" s="361" t="s">
        <v>162</v>
      </c>
      <c r="H90" s="360"/>
      <c r="I90" s="360"/>
      <c r="J90" s="360" t="s">
        <v>166</v>
      </c>
      <c r="K90" s="362"/>
      <c r="L90" s="361"/>
      <c r="M90" s="361"/>
      <c r="N90" s="360"/>
      <c r="O90" s="360"/>
      <c r="P90" s="360"/>
      <c r="Q90" s="360"/>
      <c r="R90" s="363"/>
      <c r="S90" s="360"/>
      <c r="T90" s="361" t="s">
        <v>164</v>
      </c>
    </row>
    <row r="91" ht="34.5">
      <c r="A91" s="361" t="s">
        <v>264</v>
      </c>
      <c r="B91" s="361" t="s">
        <v>265</v>
      </c>
      <c r="C91" s="361" t="s">
        <v>158</v>
      </c>
      <c r="D91" s="361" t="s">
        <v>159</v>
      </c>
      <c r="E91" s="361" t="s">
        <v>160</v>
      </c>
      <c r="F91" s="360" t="s">
        <v>161</v>
      </c>
      <c r="G91" s="361" t="s">
        <v>162</v>
      </c>
      <c r="H91" s="360"/>
      <c r="I91" s="360"/>
      <c r="J91" s="360" t="s">
        <v>167</v>
      </c>
      <c r="K91" s="362"/>
      <c r="L91" s="361"/>
      <c r="M91" s="361"/>
      <c r="N91" s="360"/>
      <c r="O91" s="360"/>
      <c r="P91" s="360"/>
      <c r="Q91" s="360"/>
      <c r="R91" s="363"/>
      <c r="S91" s="360"/>
      <c r="T91" s="361" t="s">
        <v>164</v>
      </c>
    </row>
    <row r="92" ht="34.5">
      <c r="A92" s="361" t="s">
        <v>264</v>
      </c>
      <c r="B92" s="361" t="s">
        <v>265</v>
      </c>
      <c r="C92" s="361" t="s">
        <v>158</v>
      </c>
      <c r="D92" s="361" t="s">
        <v>159</v>
      </c>
      <c r="E92" s="361" t="s">
        <v>160</v>
      </c>
      <c r="F92" s="360" t="s">
        <v>161</v>
      </c>
      <c r="G92" s="361" t="s">
        <v>162</v>
      </c>
      <c r="H92" s="360"/>
      <c r="I92" s="360"/>
      <c r="J92" s="360" t="s">
        <v>168</v>
      </c>
      <c r="K92" s="362"/>
      <c r="L92" s="361"/>
      <c r="M92" s="361"/>
      <c r="N92" s="360"/>
      <c r="O92" s="360"/>
      <c r="P92" s="360"/>
      <c r="Q92" s="360"/>
      <c r="R92" s="363"/>
      <c r="S92" s="360"/>
      <c r="T92" s="361" t="s">
        <v>164</v>
      </c>
    </row>
    <row r="93" ht="34.5">
      <c r="A93" s="361" t="s">
        <v>264</v>
      </c>
      <c r="B93" s="361" t="s">
        <v>265</v>
      </c>
      <c r="C93" s="361" t="s">
        <v>158</v>
      </c>
      <c r="D93" s="361" t="s">
        <v>159</v>
      </c>
      <c r="E93" s="361" t="s">
        <v>160</v>
      </c>
      <c r="F93" s="360" t="s">
        <v>161</v>
      </c>
      <c r="G93" s="361" t="s">
        <v>162</v>
      </c>
      <c r="H93" s="360"/>
      <c r="I93" s="360"/>
      <c r="J93" s="360" t="s">
        <v>266</v>
      </c>
      <c r="K93" s="362"/>
      <c r="L93" s="361"/>
      <c r="M93" s="361"/>
      <c r="N93" s="360"/>
      <c r="O93" s="360"/>
      <c r="P93" s="360"/>
      <c r="Q93" s="360"/>
      <c r="R93" s="363"/>
      <c r="S93" s="360"/>
      <c r="T93" s="361" t="s">
        <v>164</v>
      </c>
    </row>
    <row r="94" ht="34.5">
      <c r="A94" s="361" t="s">
        <v>264</v>
      </c>
      <c r="B94" s="361" t="s">
        <v>265</v>
      </c>
      <c r="C94" s="361" t="s">
        <v>158</v>
      </c>
      <c r="D94" s="361" t="s">
        <v>159</v>
      </c>
      <c r="E94" s="361" t="s">
        <v>172</v>
      </c>
      <c r="F94" s="360" t="s">
        <v>173</v>
      </c>
      <c r="G94" s="361" t="s">
        <v>162</v>
      </c>
      <c r="H94" s="360"/>
      <c r="I94" s="360"/>
      <c r="J94" s="360" t="s">
        <v>267</v>
      </c>
      <c r="K94" s="362"/>
      <c r="L94" s="361"/>
      <c r="M94" s="361"/>
      <c r="N94" s="360"/>
      <c r="O94" s="360"/>
      <c r="P94" s="360"/>
      <c r="Q94" s="360"/>
      <c r="R94" s="363"/>
      <c r="S94" s="360"/>
      <c r="T94" s="361" t="s">
        <v>164</v>
      </c>
    </row>
    <row r="95" ht="34.5">
      <c r="A95" s="361" t="s">
        <v>264</v>
      </c>
      <c r="B95" s="361" t="s">
        <v>265</v>
      </c>
      <c r="C95" s="361" t="s">
        <v>171</v>
      </c>
      <c r="D95" s="361" t="s">
        <v>159</v>
      </c>
      <c r="E95" s="361" t="s">
        <v>172</v>
      </c>
      <c r="F95" s="360" t="s">
        <v>173</v>
      </c>
      <c r="G95" s="361" t="s">
        <v>162</v>
      </c>
      <c r="H95" s="360"/>
      <c r="I95" s="360"/>
      <c r="J95" s="360" t="s">
        <v>268</v>
      </c>
      <c r="K95" s="362"/>
      <c r="L95" s="361"/>
      <c r="M95" s="361"/>
      <c r="N95" s="360"/>
      <c r="O95" s="360"/>
      <c r="P95" s="360"/>
      <c r="Q95" s="360"/>
      <c r="R95" s="363"/>
      <c r="S95" s="360"/>
      <c r="T95" s="361" t="s">
        <v>164</v>
      </c>
    </row>
    <row r="96" ht="34.5">
      <c r="A96" s="361" t="s">
        <v>264</v>
      </c>
      <c r="B96" s="361" t="s">
        <v>265</v>
      </c>
      <c r="C96" s="361" t="s">
        <v>171</v>
      </c>
      <c r="D96" s="361" t="s">
        <v>159</v>
      </c>
      <c r="E96" s="361" t="s">
        <v>172</v>
      </c>
      <c r="F96" s="360" t="s">
        <v>173</v>
      </c>
      <c r="G96" s="361" t="s">
        <v>162</v>
      </c>
      <c r="H96" s="360"/>
      <c r="I96" s="360"/>
      <c r="J96" s="360" t="s">
        <v>175</v>
      </c>
      <c r="K96" s="362"/>
      <c r="L96" s="361"/>
      <c r="M96" s="361"/>
      <c r="N96" s="360"/>
      <c r="O96" s="360"/>
      <c r="P96" s="360"/>
      <c r="Q96" s="360"/>
      <c r="R96" s="363"/>
      <c r="S96" s="360"/>
      <c r="T96" s="361" t="s">
        <v>164</v>
      </c>
    </row>
    <row r="97" ht="34.5">
      <c r="A97" s="361" t="s">
        <v>264</v>
      </c>
      <c r="B97" s="361" t="s">
        <v>265</v>
      </c>
      <c r="C97" s="361" t="s">
        <v>171</v>
      </c>
      <c r="D97" s="361" t="s">
        <v>159</v>
      </c>
      <c r="E97" s="361" t="s">
        <v>172</v>
      </c>
      <c r="F97" s="360" t="s">
        <v>173</v>
      </c>
      <c r="G97" s="361" t="s">
        <v>162</v>
      </c>
      <c r="H97" s="360"/>
      <c r="I97" s="360"/>
      <c r="J97" s="360" t="s">
        <v>176</v>
      </c>
      <c r="K97" s="362"/>
      <c r="L97" s="361"/>
      <c r="M97" s="361"/>
      <c r="N97" s="360"/>
      <c r="O97" s="360"/>
      <c r="P97" s="360"/>
      <c r="Q97" s="360"/>
      <c r="R97" s="363"/>
      <c r="S97" s="360"/>
      <c r="T97" s="361" t="s">
        <v>164</v>
      </c>
    </row>
    <row r="98" ht="34.5">
      <c r="A98" s="361" t="s">
        <v>264</v>
      </c>
      <c r="B98" s="361" t="s">
        <v>265</v>
      </c>
      <c r="C98" s="361" t="s">
        <v>171</v>
      </c>
      <c r="D98" s="361" t="s">
        <v>159</v>
      </c>
      <c r="E98" s="361" t="s">
        <v>172</v>
      </c>
      <c r="F98" s="360" t="s">
        <v>173</v>
      </c>
      <c r="G98" s="361" t="s">
        <v>162</v>
      </c>
      <c r="H98" s="360"/>
      <c r="I98" s="360"/>
      <c r="J98" s="360" t="s">
        <v>269</v>
      </c>
      <c r="K98" s="362"/>
      <c r="L98" s="361"/>
      <c r="M98" s="361"/>
      <c r="N98" s="360"/>
      <c r="O98" s="360"/>
      <c r="P98" s="360"/>
      <c r="Q98" s="360"/>
      <c r="R98" s="363"/>
      <c r="S98" s="360"/>
      <c r="T98" s="361" t="s">
        <v>164</v>
      </c>
    </row>
    <row r="99" ht="34.5">
      <c r="A99" s="361" t="s">
        <v>264</v>
      </c>
      <c r="B99" s="361" t="s">
        <v>265</v>
      </c>
      <c r="C99" s="361" t="s">
        <v>171</v>
      </c>
      <c r="D99" s="361" t="s">
        <v>159</v>
      </c>
      <c r="E99" s="361" t="s">
        <v>172</v>
      </c>
      <c r="F99" s="360" t="s">
        <v>173</v>
      </c>
      <c r="G99" s="361" t="s">
        <v>162</v>
      </c>
      <c r="H99" s="360"/>
      <c r="I99" s="360"/>
      <c r="J99" s="360" t="s">
        <v>270</v>
      </c>
      <c r="K99" s="362"/>
      <c r="L99" s="361"/>
      <c r="M99" s="361"/>
      <c r="N99" s="360"/>
      <c r="O99" s="360"/>
      <c r="P99" s="360"/>
      <c r="Q99" s="360"/>
      <c r="R99" s="363"/>
      <c r="S99" s="360"/>
      <c r="T99" s="361" t="s">
        <v>164</v>
      </c>
    </row>
    <row r="100" ht="34.5">
      <c r="A100" s="361" t="s">
        <v>264</v>
      </c>
      <c r="B100" s="361" t="s">
        <v>265</v>
      </c>
      <c r="C100" s="361" t="s">
        <v>171</v>
      </c>
      <c r="D100" s="361" t="s">
        <v>159</v>
      </c>
      <c r="E100" s="361" t="s">
        <v>172</v>
      </c>
      <c r="F100" s="360" t="s">
        <v>173</v>
      </c>
      <c r="G100" s="361" t="s">
        <v>162</v>
      </c>
      <c r="H100" s="360"/>
      <c r="I100" s="360"/>
      <c r="J100" s="360" t="s">
        <v>179</v>
      </c>
      <c r="K100" s="362"/>
      <c r="L100" s="361"/>
      <c r="M100" s="361"/>
      <c r="N100" s="360"/>
      <c r="O100" s="360"/>
      <c r="P100" s="360"/>
      <c r="Q100" s="360"/>
      <c r="R100" s="363"/>
      <c r="S100" s="360"/>
      <c r="T100" s="361" t="s">
        <v>164</v>
      </c>
    </row>
    <row r="101" ht="34.5">
      <c r="A101" s="361" t="s">
        <v>264</v>
      </c>
      <c r="B101" s="361" t="s">
        <v>265</v>
      </c>
      <c r="C101" s="361" t="s">
        <v>171</v>
      </c>
      <c r="D101" s="361" t="s">
        <v>180</v>
      </c>
      <c r="E101" s="361" t="s">
        <v>172</v>
      </c>
      <c r="F101" s="360" t="s">
        <v>173</v>
      </c>
      <c r="G101" s="361" t="s">
        <v>162</v>
      </c>
      <c r="H101" s="360"/>
      <c r="I101" s="360"/>
      <c r="J101" s="360" t="s">
        <v>181</v>
      </c>
      <c r="K101" s="362"/>
      <c r="L101" s="361"/>
      <c r="M101" s="361"/>
      <c r="N101" s="360"/>
      <c r="O101" s="360"/>
      <c r="P101" s="360"/>
      <c r="Q101" s="360"/>
      <c r="R101" s="363"/>
      <c r="S101" s="360"/>
      <c r="T101" s="361" t="s">
        <v>164</v>
      </c>
    </row>
    <row r="102" ht="34.5">
      <c r="A102" s="361" t="s">
        <v>264</v>
      </c>
      <c r="B102" s="361" t="s">
        <v>265</v>
      </c>
      <c r="C102" s="361" t="s">
        <v>182</v>
      </c>
      <c r="D102" s="361" t="s">
        <v>183</v>
      </c>
      <c r="E102" s="361" t="s">
        <v>172</v>
      </c>
      <c r="F102" s="360" t="s">
        <v>173</v>
      </c>
      <c r="G102" s="361" t="s">
        <v>162</v>
      </c>
      <c r="H102" s="360"/>
      <c r="I102" s="360"/>
      <c r="J102" s="360" t="s">
        <v>184</v>
      </c>
      <c r="K102" s="362"/>
      <c r="L102" s="361"/>
      <c r="M102" s="361"/>
      <c r="N102" s="360"/>
      <c r="O102" s="360"/>
      <c r="P102" s="360"/>
      <c r="Q102" s="360"/>
      <c r="R102" s="363"/>
      <c r="S102" s="360"/>
      <c r="T102" s="361" t="s">
        <v>164</v>
      </c>
    </row>
    <row r="103" ht="34.5">
      <c r="A103" s="361" t="s">
        <v>264</v>
      </c>
      <c r="B103" s="361" t="s">
        <v>265</v>
      </c>
      <c r="C103" s="361" t="s">
        <v>182</v>
      </c>
      <c r="D103" s="361" t="s">
        <v>159</v>
      </c>
      <c r="E103" s="361" t="s">
        <v>186</v>
      </c>
      <c r="F103" s="360" t="s">
        <v>187</v>
      </c>
      <c r="G103" s="361" t="s">
        <v>162</v>
      </c>
      <c r="H103" s="360"/>
      <c r="I103" s="360"/>
      <c r="J103" s="360" t="s">
        <v>271</v>
      </c>
      <c r="K103" s="362"/>
      <c r="L103" s="361"/>
      <c r="M103" s="361"/>
      <c r="N103" s="360"/>
      <c r="O103" s="360"/>
      <c r="P103" s="360"/>
      <c r="Q103" s="360"/>
      <c r="R103" s="363"/>
      <c r="S103" s="360"/>
      <c r="T103" s="361" t="s">
        <v>164</v>
      </c>
    </row>
    <row r="104" ht="34.5">
      <c r="A104" s="361" t="s">
        <v>264</v>
      </c>
      <c r="B104" s="361" t="s">
        <v>265</v>
      </c>
      <c r="C104" s="361" t="s">
        <v>185</v>
      </c>
      <c r="D104" s="361" t="s">
        <v>159</v>
      </c>
      <c r="E104" s="361" t="s">
        <v>186</v>
      </c>
      <c r="F104" s="360" t="s">
        <v>187</v>
      </c>
      <c r="G104" s="361" t="s">
        <v>162</v>
      </c>
      <c r="H104" s="360"/>
      <c r="I104" s="360"/>
      <c r="J104" s="360" t="s">
        <v>272</v>
      </c>
      <c r="K104" s="362"/>
      <c r="L104" s="361"/>
      <c r="M104" s="361"/>
      <c r="N104" s="360"/>
      <c r="O104" s="360"/>
      <c r="P104" s="360"/>
      <c r="Q104" s="360"/>
      <c r="R104" s="363"/>
      <c r="S104" s="360"/>
      <c r="T104" s="361" t="s">
        <v>164</v>
      </c>
    </row>
    <row r="105" ht="34.5">
      <c r="A105" s="361" t="s">
        <v>264</v>
      </c>
      <c r="B105" s="361" t="s">
        <v>265</v>
      </c>
      <c r="C105" s="361" t="s">
        <v>185</v>
      </c>
      <c r="D105" s="361" t="s">
        <v>159</v>
      </c>
      <c r="E105" s="361" t="s">
        <v>186</v>
      </c>
      <c r="F105" s="360" t="s">
        <v>187</v>
      </c>
      <c r="G105" s="361" t="s">
        <v>162</v>
      </c>
      <c r="H105" s="360"/>
      <c r="I105" s="360"/>
      <c r="J105" s="360" t="s">
        <v>273</v>
      </c>
      <c r="K105" s="362"/>
      <c r="L105" s="361"/>
      <c r="M105" s="361"/>
      <c r="N105" s="360"/>
      <c r="O105" s="360"/>
      <c r="P105" s="360"/>
      <c r="Q105" s="360"/>
      <c r="R105" s="363"/>
      <c r="S105" s="360"/>
      <c r="T105" s="361" t="s">
        <v>164</v>
      </c>
    </row>
    <row r="106" ht="34.5">
      <c r="A106" s="361" t="s">
        <v>264</v>
      </c>
      <c r="B106" s="361" t="s">
        <v>265</v>
      </c>
      <c r="C106" s="361" t="s">
        <v>185</v>
      </c>
      <c r="D106" s="361" t="s">
        <v>159</v>
      </c>
      <c r="E106" s="361" t="s">
        <v>186</v>
      </c>
      <c r="F106" s="360" t="s">
        <v>187</v>
      </c>
      <c r="G106" s="361" t="s">
        <v>162</v>
      </c>
      <c r="H106" s="360"/>
      <c r="I106" s="360"/>
      <c r="J106" s="360" t="s">
        <v>191</v>
      </c>
      <c r="K106" s="362"/>
      <c r="L106" s="361"/>
      <c r="M106" s="361"/>
      <c r="N106" s="360"/>
      <c r="O106" s="360"/>
      <c r="P106" s="360"/>
      <c r="Q106" s="360"/>
      <c r="R106" s="363"/>
      <c r="S106" s="360"/>
      <c r="T106" s="361" t="s">
        <v>164</v>
      </c>
    </row>
    <row r="107" ht="34.5">
      <c r="A107" s="361" t="s">
        <v>264</v>
      </c>
      <c r="B107" s="361" t="s">
        <v>265</v>
      </c>
      <c r="C107" s="361" t="s">
        <v>185</v>
      </c>
      <c r="D107" s="361" t="s">
        <v>159</v>
      </c>
      <c r="E107" s="361" t="s">
        <v>186</v>
      </c>
      <c r="F107" s="360" t="s">
        <v>187</v>
      </c>
      <c r="G107" s="361" t="s">
        <v>162</v>
      </c>
      <c r="H107" s="360"/>
      <c r="I107" s="360"/>
      <c r="J107" s="360" t="s">
        <v>274</v>
      </c>
      <c r="K107" s="362"/>
      <c r="L107" s="361"/>
      <c r="M107" s="361"/>
      <c r="N107" s="360"/>
      <c r="O107" s="360"/>
      <c r="P107" s="360"/>
      <c r="Q107" s="360"/>
      <c r="R107" s="363"/>
      <c r="S107" s="360"/>
      <c r="T107" s="361" t="s">
        <v>164</v>
      </c>
    </row>
    <row r="108" ht="34.5">
      <c r="A108" s="361" t="s">
        <v>264</v>
      </c>
      <c r="B108" s="361" t="s">
        <v>265</v>
      </c>
      <c r="C108" s="361" t="s">
        <v>185</v>
      </c>
      <c r="D108" s="361" t="s">
        <v>159</v>
      </c>
      <c r="E108" s="361" t="s">
        <v>186</v>
      </c>
      <c r="F108" s="360" t="s">
        <v>187</v>
      </c>
      <c r="G108" s="361" t="s">
        <v>162</v>
      </c>
      <c r="H108" s="360"/>
      <c r="I108" s="360"/>
      <c r="J108" s="360" t="s">
        <v>275</v>
      </c>
      <c r="K108" s="362"/>
      <c r="L108" s="361"/>
      <c r="M108" s="361"/>
      <c r="N108" s="360"/>
      <c r="O108" s="360"/>
      <c r="P108" s="360"/>
      <c r="Q108" s="360"/>
      <c r="R108" s="363"/>
      <c r="S108" s="360"/>
      <c r="T108" s="361" t="s">
        <v>164</v>
      </c>
    </row>
    <row r="109" ht="34.5">
      <c r="A109" s="361" t="s">
        <v>264</v>
      </c>
      <c r="B109" s="361" t="s">
        <v>265</v>
      </c>
      <c r="C109" s="361" t="s">
        <v>185</v>
      </c>
      <c r="D109" s="361" t="s">
        <v>159</v>
      </c>
      <c r="E109" s="361" t="s">
        <v>186</v>
      </c>
      <c r="F109" s="360" t="s">
        <v>187</v>
      </c>
      <c r="G109" s="361" t="s">
        <v>162</v>
      </c>
      <c r="H109" s="360"/>
      <c r="I109" s="360"/>
      <c r="J109" s="360" t="s">
        <v>197</v>
      </c>
      <c r="K109" s="362"/>
      <c r="L109" s="361"/>
      <c r="M109" s="361"/>
      <c r="N109" s="360"/>
      <c r="O109" s="360"/>
      <c r="P109" s="360"/>
      <c r="Q109" s="360"/>
      <c r="R109" s="363"/>
      <c r="S109" s="360"/>
      <c r="T109" s="361" t="s">
        <v>164</v>
      </c>
    </row>
    <row r="110" ht="34.5">
      <c r="A110" s="361" t="s">
        <v>264</v>
      </c>
      <c r="B110" s="361" t="s">
        <v>265</v>
      </c>
      <c r="C110" s="361" t="s">
        <v>185</v>
      </c>
      <c r="D110" s="361" t="s">
        <v>159</v>
      </c>
      <c r="E110" s="361" t="s">
        <v>186</v>
      </c>
      <c r="F110" s="360" t="s">
        <v>187</v>
      </c>
      <c r="G110" s="361" t="s">
        <v>162</v>
      </c>
      <c r="H110" s="360"/>
      <c r="I110" s="360"/>
      <c r="J110" s="360" t="s">
        <v>198</v>
      </c>
      <c r="K110" s="362"/>
      <c r="L110" s="361"/>
      <c r="M110" s="361"/>
      <c r="N110" s="360"/>
      <c r="O110" s="360"/>
      <c r="P110" s="360"/>
      <c r="Q110" s="360"/>
      <c r="R110" s="363"/>
      <c r="S110" s="360"/>
      <c r="T110" s="361" t="s">
        <v>164</v>
      </c>
    </row>
    <row r="111" ht="34.5">
      <c r="A111" s="361" t="s">
        <v>264</v>
      </c>
      <c r="B111" s="361" t="s">
        <v>265</v>
      </c>
      <c r="C111" s="361" t="s">
        <v>185</v>
      </c>
      <c r="D111" s="361" t="s">
        <v>159</v>
      </c>
      <c r="E111" s="361" t="s">
        <v>186</v>
      </c>
      <c r="F111" s="360" t="s">
        <v>187</v>
      </c>
      <c r="G111" s="361" t="s">
        <v>162</v>
      </c>
      <c r="H111" s="360"/>
      <c r="I111" s="360"/>
      <c r="J111" s="360" t="s">
        <v>199</v>
      </c>
      <c r="K111" s="362"/>
      <c r="L111" s="361"/>
      <c r="M111" s="361"/>
      <c r="N111" s="360"/>
      <c r="O111" s="360"/>
      <c r="P111" s="360"/>
      <c r="Q111" s="360"/>
      <c r="R111" s="363"/>
      <c r="S111" s="360"/>
      <c r="T111" s="361" t="s">
        <v>164</v>
      </c>
    </row>
    <row r="112" ht="34.5">
      <c r="A112" s="361" t="s">
        <v>264</v>
      </c>
      <c r="B112" s="361" t="s">
        <v>265</v>
      </c>
      <c r="C112" s="361" t="s">
        <v>185</v>
      </c>
      <c r="D112" s="361" t="s">
        <v>159</v>
      </c>
      <c r="E112" s="361" t="s">
        <v>186</v>
      </c>
      <c r="F112" s="360" t="s">
        <v>187</v>
      </c>
      <c r="G112" s="361" t="s">
        <v>162</v>
      </c>
      <c r="H112" s="360"/>
      <c r="I112" s="360"/>
      <c r="J112" s="360" t="s">
        <v>200</v>
      </c>
      <c r="K112" s="362"/>
      <c r="L112" s="361"/>
      <c r="M112" s="361"/>
      <c r="N112" s="360"/>
      <c r="O112" s="360"/>
      <c r="P112" s="360"/>
      <c r="Q112" s="360"/>
      <c r="R112" s="363"/>
      <c r="S112" s="360"/>
      <c r="T112" s="361" t="s">
        <v>164</v>
      </c>
    </row>
    <row r="113" ht="34.5">
      <c r="A113" s="361" t="s">
        <v>264</v>
      </c>
      <c r="B113" s="361" t="s">
        <v>265</v>
      </c>
      <c r="C113" s="361" t="s">
        <v>193</v>
      </c>
      <c r="D113" s="361" t="s">
        <v>159</v>
      </c>
      <c r="E113" s="361" t="s">
        <v>186</v>
      </c>
      <c r="F113" s="360" t="s">
        <v>187</v>
      </c>
      <c r="G113" s="361" t="s">
        <v>162</v>
      </c>
      <c r="H113" s="360"/>
      <c r="I113" s="360"/>
      <c r="J113" s="360" t="s">
        <v>276</v>
      </c>
      <c r="K113" s="362"/>
      <c r="L113" s="361"/>
      <c r="M113" s="361"/>
      <c r="N113" s="360"/>
      <c r="O113" s="360"/>
      <c r="P113" s="360"/>
      <c r="Q113" s="360"/>
      <c r="R113" s="363"/>
      <c r="S113" s="360"/>
      <c r="T113" s="361" t="s">
        <v>164</v>
      </c>
    </row>
    <row r="114" ht="34.5">
      <c r="A114" s="361" t="s">
        <v>264</v>
      </c>
      <c r="B114" s="361" t="s">
        <v>265</v>
      </c>
      <c r="C114" s="361" t="s">
        <v>193</v>
      </c>
      <c r="D114" s="361" t="s">
        <v>159</v>
      </c>
      <c r="E114" s="361" t="s">
        <v>186</v>
      </c>
      <c r="F114" s="360" t="s">
        <v>187</v>
      </c>
      <c r="G114" s="361" t="s">
        <v>162</v>
      </c>
      <c r="H114" s="360"/>
      <c r="I114" s="360"/>
      <c r="J114" s="360" t="s">
        <v>277</v>
      </c>
      <c r="K114" s="362"/>
      <c r="L114" s="361"/>
      <c r="M114" s="361"/>
      <c r="N114" s="360"/>
      <c r="O114" s="360"/>
      <c r="P114" s="360"/>
      <c r="Q114" s="360"/>
      <c r="R114" s="363"/>
      <c r="S114" s="360"/>
      <c r="T114" s="361" t="s">
        <v>164</v>
      </c>
    </row>
    <row r="115" ht="34.5">
      <c r="A115" s="361" t="s">
        <v>264</v>
      </c>
      <c r="B115" s="361" t="s">
        <v>265</v>
      </c>
      <c r="C115" s="361" t="s">
        <v>193</v>
      </c>
      <c r="D115" s="361" t="s">
        <v>159</v>
      </c>
      <c r="E115" s="361" t="s">
        <v>186</v>
      </c>
      <c r="F115" s="360" t="s">
        <v>187</v>
      </c>
      <c r="G115" s="361" t="s">
        <v>162</v>
      </c>
      <c r="H115" s="360"/>
      <c r="I115" s="360"/>
      <c r="J115" s="360" t="s">
        <v>203</v>
      </c>
      <c r="K115" s="362"/>
      <c r="L115" s="361"/>
      <c r="M115" s="361"/>
      <c r="N115" s="360"/>
      <c r="O115" s="360"/>
      <c r="P115" s="360"/>
      <c r="Q115" s="360"/>
      <c r="R115" s="363"/>
      <c r="S115" s="360"/>
      <c r="T115" s="361" t="s">
        <v>164</v>
      </c>
    </row>
    <row r="116" ht="34.5">
      <c r="A116" s="361" t="s">
        <v>264</v>
      </c>
      <c r="B116" s="361" t="s">
        <v>265</v>
      </c>
      <c r="C116" s="361" t="s">
        <v>193</v>
      </c>
      <c r="D116" s="361" t="s">
        <v>159</v>
      </c>
      <c r="E116" s="361" t="s">
        <v>186</v>
      </c>
      <c r="F116" s="360" t="s">
        <v>187</v>
      </c>
      <c r="G116" s="361" t="s">
        <v>162</v>
      </c>
      <c r="H116" s="360"/>
      <c r="I116" s="360"/>
      <c r="J116" s="360" t="s">
        <v>278</v>
      </c>
      <c r="K116" s="362"/>
      <c r="L116" s="361"/>
      <c r="M116" s="361"/>
      <c r="N116" s="360"/>
      <c r="O116" s="360"/>
      <c r="P116" s="360"/>
      <c r="Q116" s="360"/>
      <c r="R116" s="363"/>
      <c r="S116" s="360"/>
      <c r="T116" s="361" t="s">
        <v>164</v>
      </c>
    </row>
    <row r="117" ht="34.5">
      <c r="A117" s="361" t="s">
        <v>264</v>
      </c>
      <c r="B117" s="361" t="s">
        <v>265</v>
      </c>
      <c r="C117" s="361" t="s">
        <v>193</v>
      </c>
      <c r="D117" s="361" t="s">
        <v>159</v>
      </c>
      <c r="E117" s="361" t="s">
        <v>186</v>
      </c>
      <c r="F117" s="360" t="s">
        <v>187</v>
      </c>
      <c r="G117" s="361" t="s">
        <v>162</v>
      </c>
      <c r="H117" s="360"/>
      <c r="I117" s="360"/>
      <c r="J117" s="360" t="s">
        <v>279</v>
      </c>
      <c r="K117" s="362"/>
      <c r="L117" s="361"/>
      <c r="M117" s="361"/>
      <c r="N117" s="360"/>
      <c r="O117" s="360"/>
      <c r="P117" s="360"/>
      <c r="Q117" s="360"/>
      <c r="R117" s="363"/>
      <c r="S117" s="360"/>
      <c r="T117" s="361" t="s">
        <v>164</v>
      </c>
    </row>
    <row r="118" ht="34.5">
      <c r="A118" s="361" t="s">
        <v>264</v>
      </c>
      <c r="B118" s="361" t="s">
        <v>265</v>
      </c>
      <c r="C118" s="361" t="s">
        <v>193</v>
      </c>
      <c r="D118" s="361" t="s">
        <v>159</v>
      </c>
      <c r="E118" s="361" t="s">
        <v>186</v>
      </c>
      <c r="F118" s="360" t="s">
        <v>187</v>
      </c>
      <c r="G118" s="361" t="s">
        <v>162</v>
      </c>
      <c r="H118" s="360"/>
      <c r="I118" s="360"/>
      <c r="J118" s="360" t="s">
        <v>280</v>
      </c>
      <c r="K118" s="362"/>
      <c r="L118" s="361"/>
      <c r="M118" s="361"/>
      <c r="N118" s="360"/>
      <c r="O118" s="360"/>
      <c r="P118" s="360"/>
      <c r="Q118" s="360"/>
      <c r="R118" s="363"/>
      <c r="S118" s="360"/>
      <c r="T118" s="361" t="s">
        <v>164</v>
      </c>
    </row>
    <row r="119" ht="34.5">
      <c r="A119" s="361" t="s">
        <v>264</v>
      </c>
      <c r="B119" s="361" t="s">
        <v>265</v>
      </c>
      <c r="C119" s="361" t="s">
        <v>193</v>
      </c>
      <c r="D119" s="361" t="s">
        <v>159</v>
      </c>
      <c r="E119" s="361" t="s">
        <v>186</v>
      </c>
      <c r="F119" s="360" t="s">
        <v>187</v>
      </c>
      <c r="G119" s="361" t="s">
        <v>162</v>
      </c>
      <c r="H119" s="360"/>
      <c r="I119" s="360"/>
      <c r="J119" s="360" t="s">
        <v>281</v>
      </c>
      <c r="K119" s="362"/>
      <c r="L119" s="361"/>
      <c r="M119" s="361"/>
      <c r="N119" s="360"/>
      <c r="O119" s="360"/>
      <c r="P119" s="360"/>
      <c r="Q119" s="360"/>
      <c r="R119" s="363"/>
      <c r="S119" s="360"/>
      <c r="T119" s="361" t="s">
        <v>164</v>
      </c>
    </row>
    <row r="120" ht="34.5">
      <c r="A120" s="361" t="s">
        <v>264</v>
      </c>
      <c r="B120" s="361" t="s">
        <v>265</v>
      </c>
      <c r="C120" s="361" t="s">
        <v>193</v>
      </c>
      <c r="D120" s="361" t="s">
        <v>159</v>
      </c>
      <c r="E120" s="361" t="s">
        <v>186</v>
      </c>
      <c r="F120" s="360" t="s">
        <v>187</v>
      </c>
      <c r="G120" s="361" t="s">
        <v>162</v>
      </c>
      <c r="H120" s="360"/>
      <c r="I120" s="360"/>
      <c r="J120" s="360" t="s">
        <v>282</v>
      </c>
      <c r="K120" s="362"/>
      <c r="L120" s="361"/>
      <c r="M120" s="361"/>
      <c r="N120" s="360"/>
      <c r="O120" s="360"/>
      <c r="P120" s="360"/>
      <c r="Q120" s="360"/>
      <c r="R120" s="363"/>
      <c r="S120" s="360"/>
      <c r="T120" s="361" t="s">
        <v>164</v>
      </c>
    </row>
    <row r="121" ht="34.5">
      <c r="A121" s="361" t="s">
        <v>264</v>
      </c>
      <c r="B121" s="361" t="s">
        <v>265</v>
      </c>
      <c r="C121" s="361" t="s">
        <v>193</v>
      </c>
      <c r="D121" s="361" t="s">
        <v>159</v>
      </c>
      <c r="E121" s="361" t="s">
        <v>186</v>
      </c>
      <c r="F121" s="360" t="s">
        <v>187</v>
      </c>
      <c r="G121" s="361" t="s">
        <v>162</v>
      </c>
      <c r="H121" s="360"/>
      <c r="I121" s="360"/>
      <c r="J121" s="360" t="s">
        <v>210</v>
      </c>
      <c r="K121" s="362"/>
      <c r="L121" s="361"/>
      <c r="M121" s="361"/>
      <c r="N121" s="360"/>
      <c r="O121" s="360"/>
      <c r="P121" s="360"/>
      <c r="Q121" s="360"/>
      <c r="R121" s="363"/>
      <c r="S121" s="360"/>
      <c r="T121" s="361" t="s">
        <v>164</v>
      </c>
    </row>
    <row r="122" ht="34.5">
      <c r="A122" s="361" t="s">
        <v>264</v>
      </c>
      <c r="B122" s="361" t="s">
        <v>265</v>
      </c>
      <c r="C122" s="361" t="s">
        <v>193</v>
      </c>
      <c r="D122" s="361" t="s">
        <v>159</v>
      </c>
      <c r="E122" s="361" t="s">
        <v>186</v>
      </c>
      <c r="F122" s="360" t="s">
        <v>187</v>
      </c>
      <c r="G122" s="361" t="s">
        <v>162</v>
      </c>
      <c r="H122" s="360"/>
      <c r="I122" s="360"/>
      <c r="J122" s="360" t="s">
        <v>211</v>
      </c>
      <c r="K122" s="362"/>
      <c r="L122" s="361"/>
      <c r="M122" s="361"/>
      <c r="N122" s="360"/>
      <c r="O122" s="360"/>
      <c r="P122" s="360"/>
      <c r="Q122" s="360"/>
      <c r="R122" s="363"/>
      <c r="S122" s="360"/>
      <c r="T122" s="361" t="s">
        <v>164</v>
      </c>
    </row>
    <row r="123" ht="34.5">
      <c r="A123" s="361" t="s">
        <v>264</v>
      </c>
      <c r="B123" s="361" t="s">
        <v>265</v>
      </c>
      <c r="C123" s="361" t="s">
        <v>193</v>
      </c>
      <c r="D123" s="361" t="s">
        <v>159</v>
      </c>
      <c r="E123" s="361" t="s">
        <v>186</v>
      </c>
      <c r="F123" s="360" t="s">
        <v>187</v>
      </c>
      <c r="G123" s="361" t="s">
        <v>162</v>
      </c>
      <c r="H123" s="360"/>
      <c r="I123" s="360"/>
      <c r="J123" s="360" t="s">
        <v>283</v>
      </c>
      <c r="K123" s="362"/>
      <c r="L123" s="361"/>
      <c r="M123" s="361"/>
      <c r="N123" s="360"/>
      <c r="O123" s="360"/>
      <c r="P123" s="360"/>
      <c r="Q123" s="360"/>
      <c r="R123" s="363"/>
      <c r="S123" s="360"/>
      <c r="T123" s="361" t="s">
        <v>164</v>
      </c>
    </row>
    <row r="124" ht="34.5">
      <c r="A124" s="361" t="s">
        <v>264</v>
      </c>
      <c r="B124" s="361" t="s">
        <v>265</v>
      </c>
      <c r="C124" s="361" t="s">
        <v>193</v>
      </c>
      <c r="D124" s="361" t="s">
        <v>159</v>
      </c>
      <c r="E124" s="361" t="s">
        <v>186</v>
      </c>
      <c r="F124" s="360" t="s">
        <v>187</v>
      </c>
      <c r="G124" s="361" t="s">
        <v>162</v>
      </c>
      <c r="H124" s="360"/>
      <c r="I124" s="360"/>
      <c r="J124" s="360" t="s">
        <v>213</v>
      </c>
      <c r="K124" s="362"/>
      <c r="L124" s="361"/>
      <c r="M124" s="361"/>
      <c r="N124" s="360"/>
      <c r="O124" s="360"/>
      <c r="P124" s="360"/>
      <c r="Q124" s="360"/>
      <c r="R124" s="363"/>
      <c r="S124" s="360"/>
      <c r="T124" s="361" t="s">
        <v>164</v>
      </c>
    </row>
    <row r="125" ht="34.5">
      <c r="A125" s="361" t="s">
        <v>264</v>
      </c>
      <c r="B125" s="361" t="s">
        <v>265</v>
      </c>
      <c r="C125" s="361" t="s">
        <v>205</v>
      </c>
      <c r="D125" s="361" t="s">
        <v>159</v>
      </c>
      <c r="E125" s="361" t="s">
        <v>186</v>
      </c>
      <c r="F125" s="360" t="s">
        <v>187</v>
      </c>
      <c r="G125" s="361" t="s">
        <v>162</v>
      </c>
      <c r="H125" s="360"/>
      <c r="I125" s="360"/>
      <c r="J125" s="360" t="s">
        <v>214</v>
      </c>
      <c r="K125" s="362"/>
      <c r="L125" s="361"/>
      <c r="M125" s="361"/>
      <c r="N125" s="360"/>
      <c r="O125" s="360"/>
      <c r="P125" s="360"/>
      <c r="Q125" s="360"/>
      <c r="R125" s="363"/>
      <c r="S125" s="360"/>
      <c r="T125" s="361" t="s">
        <v>164</v>
      </c>
    </row>
    <row r="126" ht="34.5">
      <c r="A126" s="361" t="s">
        <v>264</v>
      </c>
      <c r="B126" s="361" t="s">
        <v>265</v>
      </c>
      <c r="C126" s="361" t="s">
        <v>205</v>
      </c>
      <c r="D126" s="361" t="s">
        <v>159</v>
      </c>
      <c r="E126" s="361" t="s">
        <v>186</v>
      </c>
      <c r="F126" s="360" t="s">
        <v>187</v>
      </c>
      <c r="G126" s="361" t="s">
        <v>162</v>
      </c>
      <c r="H126" s="360"/>
      <c r="I126" s="360"/>
      <c r="J126" s="360" t="s">
        <v>215</v>
      </c>
      <c r="K126" s="362"/>
      <c r="L126" s="361"/>
      <c r="M126" s="361"/>
      <c r="N126" s="360"/>
      <c r="O126" s="360"/>
      <c r="P126" s="360"/>
      <c r="Q126" s="360"/>
      <c r="R126" s="363"/>
      <c r="S126" s="360"/>
      <c r="T126" s="361" t="s">
        <v>164</v>
      </c>
    </row>
    <row r="127" ht="34.5">
      <c r="A127" s="361" t="s">
        <v>264</v>
      </c>
      <c r="B127" s="361" t="s">
        <v>265</v>
      </c>
      <c r="C127" s="361" t="s">
        <v>205</v>
      </c>
      <c r="D127" s="361" t="s">
        <v>159</v>
      </c>
      <c r="E127" s="361" t="s">
        <v>160</v>
      </c>
      <c r="F127" s="360" t="s">
        <v>216</v>
      </c>
      <c r="G127" s="361" t="s">
        <v>217</v>
      </c>
      <c r="H127" s="360"/>
      <c r="I127" s="360"/>
      <c r="J127" s="360" t="s">
        <v>284</v>
      </c>
      <c r="K127" s="362"/>
      <c r="L127" s="361"/>
      <c r="M127" s="361"/>
      <c r="N127" s="360"/>
      <c r="O127" s="360"/>
      <c r="P127" s="360"/>
      <c r="Q127" s="360"/>
      <c r="R127" s="363"/>
      <c r="S127" s="360"/>
      <c r="T127" s="361" t="s">
        <v>164</v>
      </c>
    </row>
    <row r="128" ht="34.5">
      <c r="A128" s="361" t="s">
        <v>264</v>
      </c>
      <c r="B128" s="361" t="s">
        <v>265</v>
      </c>
      <c r="C128" s="361" t="s">
        <v>205</v>
      </c>
      <c r="D128" s="361" t="s">
        <v>159</v>
      </c>
      <c r="E128" s="361" t="s">
        <v>160</v>
      </c>
      <c r="F128" s="360" t="s">
        <v>216</v>
      </c>
      <c r="G128" s="361" t="s">
        <v>217</v>
      </c>
      <c r="H128" s="360"/>
      <c r="I128" s="360"/>
      <c r="J128" s="360" t="s">
        <v>285</v>
      </c>
      <c r="K128" s="362"/>
      <c r="L128" s="361"/>
      <c r="M128" s="361"/>
      <c r="N128" s="360"/>
      <c r="O128" s="360"/>
      <c r="P128" s="360"/>
      <c r="Q128" s="360"/>
      <c r="R128" s="363"/>
      <c r="S128" s="360"/>
      <c r="T128" s="361" t="s">
        <v>164</v>
      </c>
    </row>
    <row r="129" ht="34.5">
      <c r="A129" s="361" t="s">
        <v>264</v>
      </c>
      <c r="B129" s="361" t="s">
        <v>265</v>
      </c>
      <c r="C129" s="361" t="s">
        <v>205</v>
      </c>
      <c r="D129" s="361" t="s">
        <v>159</v>
      </c>
      <c r="E129" s="361" t="s">
        <v>160</v>
      </c>
      <c r="F129" s="360" t="s">
        <v>216</v>
      </c>
      <c r="G129" s="361" t="s">
        <v>217</v>
      </c>
      <c r="H129" s="360"/>
      <c r="I129" s="360"/>
      <c r="J129" s="360" t="s">
        <v>286</v>
      </c>
      <c r="K129" s="362"/>
      <c r="L129" s="361"/>
      <c r="M129" s="361"/>
      <c r="N129" s="360"/>
      <c r="O129" s="360"/>
      <c r="P129" s="360"/>
      <c r="Q129" s="360"/>
      <c r="R129" s="363"/>
      <c r="S129" s="360"/>
      <c r="T129" s="361" t="s">
        <v>164</v>
      </c>
    </row>
    <row r="130" ht="34.5">
      <c r="A130" s="361" t="s">
        <v>264</v>
      </c>
      <c r="B130" s="361" t="s">
        <v>265</v>
      </c>
      <c r="C130" s="361" t="s">
        <v>205</v>
      </c>
      <c r="D130" s="361" t="s">
        <v>159</v>
      </c>
      <c r="E130" s="361" t="s">
        <v>160</v>
      </c>
      <c r="F130" s="360" t="s">
        <v>216</v>
      </c>
      <c r="G130" s="361" t="s">
        <v>217</v>
      </c>
      <c r="H130" s="360"/>
      <c r="I130" s="360"/>
      <c r="J130" s="360" t="s">
        <v>287</v>
      </c>
      <c r="K130" s="362"/>
      <c r="L130" s="361"/>
      <c r="M130" s="361"/>
      <c r="N130" s="360"/>
      <c r="O130" s="360"/>
      <c r="P130" s="360"/>
      <c r="Q130" s="360"/>
      <c r="R130" s="363"/>
      <c r="S130" s="360"/>
      <c r="T130" s="361" t="s">
        <v>164</v>
      </c>
    </row>
    <row r="131" ht="34.5">
      <c r="A131" s="361" t="s">
        <v>264</v>
      </c>
      <c r="B131" s="361" t="s">
        <v>265</v>
      </c>
      <c r="C131" s="361" t="s">
        <v>205</v>
      </c>
      <c r="D131" s="361" t="s">
        <v>159</v>
      </c>
      <c r="E131" s="361" t="s">
        <v>160</v>
      </c>
      <c r="F131" s="360" t="s">
        <v>216</v>
      </c>
      <c r="G131" s="361" t="s">
        <v>217</v>
      </c>
      <c r="H131" s="360"/>
      <c r="I131" s="360"/>
      <c r="J131" s="360" t="s">
        <v>288</v>
      </c>
      <c r="K131" s="362"/>
      <c r="L131" s="361"/>
      <c r="M131" s="361"/>
      <c r="N131" s="360"/>
      <c r="O131" s="360"/>
      <c r="P131" s="360"/>
      <c r="Q131" s="360"/>
      <c r="R131" s="363"/>
      <c r="S131" s="360"/>
      <c r="T131" s="361" t="s">
        <v>164</v>
      </c>
    </row>
    <row r="132" ht="34.5">
      <c r="A132" s="361" t="s">
        <v>264</v>
      </c>
      <c r="B132" s="361" t="s">
        <v>265</v>
      </c>
      <c r="C132" s="361" t="s">
        <v>205</v>
      </c>
      <c r="D132" s="361" t="s">
        <v>159</v>
      </c>
      <c r="E132" s="361" t="s">
        <v>160</v>
      </c>
      <c r="F132" s="360" t="s">
        <v>216</v>
      </c>
      <c r="G132" s="361" t="s">
        <v>217</v>
      </c>
      <c r="H132" s="360"/>
      <c r="I132" s="360"/>
      <c r="J132" s="360" t="s">
        <v>225</v>
      </c>
      <c r="K132" s="362"/>
      <c r="L132" s="361"/>
      <c r="M132" s="361"/>
      <c r="N132" s="360"/>
      <c r="O132" s="360"/>
      <c r="P132" s="360"/>
      <c r="Q132" s="360"/>
      <c r="R132" s="363"/>
      <c r="S132" s="360"/>
      <c r="T132" s="361" t="s">
        <v>164</v>
      </c>
    </row>
    <row r="133" ht="34.5">
      <c r="A133" s="361" t="s">
        <v>264</v>
      </c>
      <c r="B133" s="361" t="s">
        <v>265</v>
      </c>
      <c r="C133" s="361" t="s">
        <v>219</v>
      </c>
      <c r="D133" s="361" t="s">
        <v>159</v>
      </c>
      <c r="E133" s="361" t="s">
        <v>160</v>
      </c>
      <c r="F133" s="360" t="s">
        <v>216</v>
      </c>
      <c r="G133" s="361" t="s">
        <v>217</v>
      </c>
      <c r="H133" s="360"/>
      <c r="I133" s="360"/>
      <c r="J133" s="360" t="s">
        <v>289</v>
      </c>
      <c r="K133" s="362"/>
      <c r="L133" s="361"/>
      <c r="M133" s="361"/>
      <c r="N133" s="360"/>
      <c r="O133" s="360"/>
      <c r="P133" s="360"/>
      <c r="Q133" s="360"/>
      <c r="R133" s="363"/>
      <c r="S133" s="360"/>
      <c r="T133" s="361" t="s">
        <v>164</v>
      </c>
    </row>
    <row r="134" ht="34.5">
      <c r="A134" s="361" t="s">
        <v>264</v>
      </c>
      <c r="B134" s="361" t="s">
        <v>265</v>
      </c>
      <c r="C134" s="361" t="s">
        <v>219</v>
      </c>
      <c r="D134" s="361" t="s">
        <v>159</v>
      </c>
      <c r="E134" s="361" t="s">
        <v>160</v>
      </c>
      <c r="F134" s="360" t="s">
        <v>216</v>
      </c>
      <c r="G134" s="361" t="s">
        <v>217</v>
      </c>
      <c r="H134" s="360"/>
      <c r="I134" s="360"/>
      <c r="J134" s="360" t="s">
        <v>230</v>
      </c>
      <c r="K134" s="362"/>
      <c r="L134" s="361"/>
      <c r="M134" s="361"/>
      <c r="N134" s="360"/>
      <c r="O134" s="360"/>
      <c r="P134" s="360"/>
      <c r="Q134" s="360"/>
      <c r="R134" s="363"/>
      <c r="S134" s="360"/>
      <c r="T134" s="361" t="s">
        <v>164</v>
      </c>
    </row>
    <row r="135" ht="34.5">
      <c r="A135" s="361" t="s">
        <v>264</v>
      </c>
      <c r="B135" s="361" t="s">
        <v>265</v>
      </c>
      <c r="C135" s="361" t="s">
        <v>219</v>
      </c>
      <c r="D135" s="361" t="s">
        <v>159</v>
      </c>
      <c r="E135" s="361" t="s">
        <v>160</v>
      </c>
      <c r="F135" s="360" t="s">
        <v>216</v>
      </c>
      <c r="G135" s="361" t="s">
        <v>217</v>
      </c>
      <c r="H135" s="360"/>
      <c r="I135" s="360"/>
      <c r="J135" s="360" t="s">
        <v>231</v>
      </c>
      <c r="K135" s="362"/>
      <c r="L135" s="361"/>
      <c r="M135" s="361"/>
      <c r="N135" s="360"/>
      <c r="O135" s="360"/>
      <c r="P135" s="360"/>
      <c r="Q135" s="360"/>
      <c r="R135" s="363"/>
      <c r="S135" s="360"/>
      <c r="T135" s="361" t="s">
        <v>164</v>
      </c>
    </row>
    <row r="136" ht="34.5">
      <c r="A136" s="361" t="s">
        <v>264</v>
      </c>
      <c r="B136" s="361" t="s">
        <v>265</v>
      </c>
      <c r="C136" s="361" t="s">
        <v>219</v>
      </c>
      <c r="D136" s="361" t="s">
        <v>159</v>
      </c>
      <c r="E136" s="361" t="s">
        <v>160</v>
      </c>
      <c r="F136" s="360" t="s">
        <v>216</v>
      </c>
      <c r="G136" s="361" t="s">
        <v>217</v>
      </c>
      <c r="H136" s="360"/>
      <c r="I136" s="360"/>
      <c r="J136" s="360" t="s">
        <v>290</v>
      </c>
      <c r="K136" s="362"/>
      <c r="L136" s="361"/>
      <c r="M136" s="361"/>
      <c r="N136" s="360"/>
      <c r="O136" s="360"/>
      <c r="P136" s="360"/>
      <c r="Q136" s="360"/>
      <c r="R136" s="363"/>
      <c r="S136" s="360"/>
      <c r="T136" s="361" t="s">
        <v>164</v>
      </c>
    </row>
    <row r="137" ht="34.5">
      <c r="A137" s="361" t="s">
        <v>264</v>
      </c>
      <c r="B137" s="361" t="s">
        <v>265</v>
      </c>
      <c r="C137" s="361" t="s">
        <v>219</v>
      </c>
      <c r="D137" s="361" t="s">
        <v>159</v>
      </c>
      <c r="E137" s="361" t="s">
        <v>160</v>
      </c>
      <c r="F137" s="360" t="s">
        <v>216</v>
      </c>
      <c r="G137" s="361" t="s">
        <v>217</v>
      </c>
      <c r="H137" s="360"/>
      <c r="I137" s="360"/>
      <c r="J137" s="360" t="s">
        <v>233</v>
      </c>
      <c r="K137" s="362"/>
      <c r="L137" s="361"/>
      <c r="M137" s="361"/>
      <c r="N137" s="360"/>
      <c r="O137" s="360"/>
      <c r="P137" s="360"/>
      <c r="Q137" s="360"/>
      <c r="R137" s="363"/>
      <c r="S137" s="360"/>
      <c r="T137" s="361" t="s">
        <v>164</v>
      </c>
    </row>
    <row r="138" ht="34.5">
      <c r="A138" s="361" t="s">
        <v>264</v>
      </c>
      <c r="B138" s="361" t="s">
        <v>265</v>
      </c>
      <c r="C138" s="361" t="s">
        <v>219</v>
      </c>
      <c r="D138" s="361" t="s">
        <v>159</v>
      </c>
      <c r="E138" s="361" t="s">
        <v>160</v>
      </c>
      <c r="F138" s="360" t="s">
        <v>216</v>
      </c>
      <c r="G138" s="361" t="s">
        <v>217</v>
      </c>
      <c r="H138" s="360"/>
      <c r="I138" s="360"/>
      <c r="J138" s="360" t="s">
        <v>234</v>
      </c>
      <c r="K138" s="362"/>
      <c r="L138" s="361"/>
      <c r="M138" s="361"/>
      <c r="N138" s="360"/>
      <c r="O138" s="360"/>
      <c r="P138" s="360"/>
      <c r="Q138" s="360"/>
      <c r="R138" s="363"/>
      <c r="S138" s="360"/>
      <c r="T138" s="361" t="s">
        <v>164</v>
      </c>
    </row>
    <row r="139" ht="34.5">
      <c r="A139" s="361" t="s">
        <v>264</v>
      </c>
      <c r="B139" s="361" t="s">
        <v>265</v>
      </c>
      <c r="C139" s="361" t="s">
        <v>219</v>
      </c>
      <c r="D139" s="361" t="s">
        <v>159</v>
      </c>
      <c r="E139" s="361" t="s">
        <v>160</v>
      </c>
      <c r="F139" s="360" t="s">
        <v>216</v>
      </c>
      <c r="G139" s="361" t="s">
        <v>217</v>
      </c>
      <c r="H139" s="360"/>
      <c r="I139" s="360"/>
      <c r="J139" s="360" t="s">
        <v>235</v>
      </c>
      <c r="K139" s="362">
        <v>1000</v>
      </c>
      <c r="L139" s="361" t="s">
        <v>236</v>
      </c>
      <c r="M139" s="361"/>
      <c r="N139" s="360"/>
      <c r="O139" s="360"/>
      <c r="P139" s="360"/>
      <c r="Q139" s="360"/>
      <c r="R139" s="363"/>
      <c r="S139" s="360"/>
      <c r="T139" s="361" t="s">
        <v>164</v>
      </c>
    </row>
    <row r="140" ht="34.5">
      <c r="A140" s="361" t="s">
        <v>264</v>
      </c>
      <c r="B140" s="361" t="s">
        <v>265</v>
      </c>
      <c r="C140" s="361" t="s">
        <v>219</v>
      </c>
      <c r="D140" s="361" t="s">
        <v>159</v>
      </c>
      <c r="E140" s="361" t="s">
        <v>160</v>
      </c>
      <c r="F140" s="360" t="s">
        <v>216</v>
      </c>
      <c r="G140" s="361" t="s">
        <v>217</v>
      </c>
      <c r="H140" s="360"/>
      <c r="I140" s="360"/>
      <c r="J140" s="360" t="s">
        <v>237</v>
      </c>
      <c r="K140" s="362"/>
      <c r="L140" s="361"/>
      <c r="M140" s="361"/>
      <c r="N140" s="360"/>
      <c r="O140" s="360"/>
      <c r="P140" s="360"/>
      <c r="Q140" s="360"/>
      <c r="R140" s="363"/>
      <c r="S140" s="360"/>
      <c r="T140" s="361" t="s">
        <v>164</v>
      </c>
    </row>
    <row r="141" ht="34.5">
      <c r="A141" s="361" t="s">
        <v>264</v>
      </c>
      <c r="B141" s="361" t="s">
        <v>265</v>
      </c>
      <c r="C141" s="361" t="s">
        <v>219</v>
      </c>
      <c r="D141" s="361" t="s">
        <v>159</v>
      </c>
      <c r="E141" s="361" t="s">
        <v>160</v>
      </c>
      <c r="F141" s="360" t="s">
        <v>216</v>
      </c>
      <c r="G141" s="361" t="s">
        <v>217</v>
      </c>
      <c r="H141" s="360"/>
      <c r="I141" s="360"/>
      <c r="J141" s="360" t="s">
        <v>291</v>
      </c>
      <c r="K141" s="362"/>
      <c r="L141" s="361"/>
      <c r="M141" s="361"/>
      <c r="N141" s="360"/>
      <c r="O141" s="360"/>
      <c r="P141" s="360"/>
      <c r="Q141" s="360"/>
      <c r="R141" s="363"/>
      <c r="S141" s="360"/>
      <c r="T141" s="361" t="s">
        <v>164</v>
      </c>
    </row>
    <row r="142" ht="34.5">
      <c r="A142" s="361" t="s">
        <v>264</v>
      </c>
      <c r="B142" s="361" t="s">
        <v>265</v>
      </c>
      <c r="C142" s="361" t="s">
        <v>228</v>
      </c>
      <c r="D142" s="361" t="s">
        <v>159</v>
      </c>
      <c r="E142" s="361" t="s">
        <v>160</v>
      </c>
      <c r="F142" s="360" t="s">
        <v>216</v>
      </c>
      <c r="G142" s="361" t="s">
        <v>217</v>
      </c>
      <c r="H142" s="360"/>
      <c r="I142" s="360"/>
      <c r="J142" s="360" t="s">
        <v>292</v>
      </c>
      <c r="K142" s="362"/>
      <c r="L142" s="361"/>
      <c r="M142" s="361"/>
      <c r="N142" s="360"/>
      <c r="O142" s="360"/>
      <c r="P142" s="360"/>
      <c r="Q142" s="360"/>
      <c r="R142" s="363"/>
      <c r="S142" s="360"/>
      <c r="T142" s="361" t="s">
        <v>164</v>
      </c>
    </row>
    <row r="143" ht="34.5">
      <c r="A143" s="361" t="s">
        <v>264</v>
      </c>
      <c r="B143" s="361" t="s">
        <v>265</v>
      </c>
      <c r="C143" s="361" t="s">
        <v>228</v>
      </c>
      <c r="D143" s="361" t="s">
        <v>159</v>
      </c>
      <c r="E143" s="361" t="s">
        <v>160</v>
      </c>
      <c r="F143" s="360" t="s">
        <v>216</v>
      </c>
      <c r="G143" s="361" t="s">
        <v>217</v>
      </c>
      <c r="H143" s="360"/>
      <c r="I143" s="360"/>
      <c r="J143" s="360" t="s">
        <v>293</v>
      </c>
      <c r="K143" s="362"/>
      <c r="L143" s="361"/>
      <c r="M143" s="361"/>
      <c r="N143" s="360"/>
      <c r="O143" s="360"/>
      <c r="P143" s="360"/>
      <c r="Q143" s="360"/>
      <c r="R143" s="363"/>
      <c r="S143" s="360"/>
      <c r="T143" s="361" t="s">
        <v>164</v>
      </c>
    </row>
    <row r="144" ht="34.5">
      <c r="A144" s="361" t="s">
        <v>264</v>
      </c>
      <c r="B144" s="361" t="s">
        <v>265</v>
      </c>
      <c r="C144" s="361" t="s">
        <v>228</v>
      </c>
      <c r="D144" s="361" t="s">
        <v>159</v>
      </c>
      <c r="E144" s="361" t="s">
        <v>160</v>
      </c>
      <c r="F144" s="360" t="s">
        <v>216</v>
      </c>
      <c r="G144" s="361" t="s">
        <v>217</v>
      </c>
      <c r="H144" s="360"/>
      <c r="I144" s="360"/>
      <c r="J144" s="360" t="s">
        <v>242</v>
      </c>
      <c r="K144" s="362"/>
      <c r="L144" s="361"/>
      <c r="M144" s="361"/>
      <c r="N144" s="360"/>
      <c r="O144" s="360"/>
      <c r="P144" s="360"/>
      <c r="Q144" s="360"/>
      <c r="R144" s="363"/>
      <c r="S144" s="360"/>
      <c r="T144" s="361" t="s">
        <v>164</v>
      </c>
    </row>
    <row r="145" ht="34.5">
      <c r="A145" s="361" t="s">
        <v>264</v>
      </c>
      <c r="B145" s="361" t="s">
        <v>265</v>
      </c>
      <c r="C145" s="361" t="s">
        <v>228</v>
      </c>
      <c r="D145" s="361" t="s">
        <v>159</v>
      </c>
      <c r="E145" s="361" t="s">
        <v>160</v>
      </c>
      <c r="F145" s="360" t="s">
        <v>216</v>
      </c>
      <c r="G145" s="361" t="s">
        <v>217</v>
      </c>
      <c r="H145" s="360"/>
      <c r="I145" s="360"/>
      <c r="J145" s="360" t="s">
        <v>243</v>
      </c>
      <c r="K145" s="362"/>
      <c r="L145" s="361"/>
      <c r="M145" s="361"/>
      <c r="N145" s="360"/>
      <c r="O145" s="360"/>
      <c r="P145" s="360"/>
      <c r="Q145" s="360"/>
      <c r="R145" s="363"/>
      <c r="S145" s="360"/>
      <c r="T145" s="361" t="s">
        <v>164</v>
      </c>
    </row>
    <row r="146" ht="34.5">
      <c r="A146" s="361" t="s">
        <v>264</v>
      </c>
      <c r="B146" s="361" t="s">
        <v>265</v>
      </c>
      <c r="C146" s="361" t="s">
        <v>228</v>
      </c>
      <c r="D146" s="361" t="s">
        <v>159</v>
      </c>
      <c r="E146" s="361" t="s">
        <v>160</v>
      </c>
      <c r="F146" s="360" t="s">
        <v>216</v>
      </c>
      <c r="G146" s="361" t="s">
        <v>217</v>
      </c>
      <c r="H146" s="360"/>
      <c r="I146" s="360"/>
      <c r="J146" s="360" t="s">
        <v>244</v>
      </c>
      <c r="K146" s="362"/>
      <c r="L146" s="361"/>
      <c r="M146" s="361"/>
      <c r="N146" s="360"/>
      <c r="O146" s="360"/>
      <c r="P146" s="360"/>
      <c r="Q146" s="360"/>
      <c r="R146" s="363"/>
      <c r="S146" s="360"/>
      <c r="T146" s="361" t="s">
        <v>164</v>
      </c>
    </row>
    <row r="147" ht="34.5">
      <c r="A147" s="361" t="s">
        <v>264</v>
      </c>
      <c r="B147" s="361" t="s">
        <v>265</v>
      </c>
      <c r="C147" s="361" t="s">
        <v>228</v>
      </c>
      <c r="D147" s="361" t="s">
        <v>159</v>
      </c>
      <c r="E147" s="361" t="s">
        <v>160</v>
      </c>
      <c r="F147" s="360" t="s">
        <v>216</v>
      </c>
      <c r="G147" s="361" t="s">
        <v>217</v>
      </c>
      <c r="H147" s="360"/>
      <c r="I147" s="360"/>
      <c r="J147" s="360" t="s">
        <v>245</v>
      </c>
      <c r="K147" s="362"/>
      <c r="L147" s="361"/>
      <c r="M147" s="361"/>
      <c r="N147" s="360"/>
      <c r="O147" s="360"/>
      <c r="P147" s="360"/>
      <c r="Q147" s="360"/>
      <c r="R147" s="363"/>
      <c r="S147" s="360"/>
      <c r="T147" s="361" t="s">
        <v>164</v>
      </c>
    </row>
    <row r="148" ht="34.5">
      <c r="A148" s="361" t="s">
        <v>264</v>
      </c>
      <c r="B148" s="361" t="s">
        <v>265</v>
      </c>
      <c r="C148" s="361" t="s">
        <v>228</v>
      </c>
      <c r="D148" s="361" t="s">
        <v>159</v>
      </c>
      <c r="E148" s="361" t="s">
        <v>160</v>
      </c>
      <c r="F148" s="360" t="s">
        <v>216</v>
      </c>
      <c r="G148" s="361" t="s">
        <v>217</v>
      </c>
      <c r="H148" s="360"/>
      <c r="I148" s="360"/>
      <c r="J148" s="360" t="s">
        <v>246</v>
      </c>
      <c r="K148" s="362"/>
      <c r="L148" s="361"/>
      <c r="M148" s="361"/>
      <c r="N148" s="360"/>
      <c r="O148" s="360"/>
      <c r="P148" s="360"/>
      <c r="Q148" s="360"/>
      <c r="R148" s="363"/>
      <c r="S148" s="360"/>
      <c r="T148" s="361" t="s">
        <v>164</v>
      </c>
    </row>
    <row r="149" ht="34.5">
      <c r="A149" s="361" t="s">
        <v>264</v>
      </c>
      <c r="B149" s="361" t="s">
        <v>265</v>
      </c>
      <c r="C149" s="361" t="s">
        <v>228</v>
      </c>
      <c r="D149" s="361" t="s">
        <v>159</v>
      </c>
      <c r="E149" s="361" t="s">
        <v>160</v>
      </c>
      <c r="F149" s="360" t="s">
        <v>216</v>
      </c>
      <c r="G149" s="361" t="s">
        <v>217</v>
      </c>
      <c r="H149" s="360"/>
      <c r="I149" s="360"/>
      <c r="J149" s="360" t="s">
        <v>294</v>
      </c>
      <c r="K149" s="362"/>
      <c r="L149" s="361"/>
      <c r="M149" s="361"/>
      <c r="N149" s="360"/>
      <c r="O149" s="360"/>
      <c r="P149" s="360"/>
      <c r="Q149" s="360"/>
      <c r="R149" s="363"/>
      <c r="S149" s="360"/>
      <c r="T149" s="361" t="s">
        <v>164</v>
      </c>
    </row>
    <row r="150" ht="34.5">
      <c r="A150" s="361" t="s">
        <v>264</v>
      </c>
      <c r="B150" s="361" t="s">
        <v>265</v>
      </c>
      <c r="C150" s="361" t="s">
        <v>228</v>
      </c>
      <c r="D150" s="361" t="s">
        <v>159</v>
      </c>
      <c r="E150" s="361" t="s">
        <v>160</v>
      </c>
      <c r="F150" s="360" t="s">
        <v>216</v>
      </c>
      <c r="G150" s="361" t="s">
        <v>217</v>
      </c>
      <c r="H150" s="360"/>
      <c r="I150" s="360"/>
      <c r="J150" s="360" t="s">
        <v>248</v>
      </c>
      <c r="K150" s="362"/>
      <c r="L150" s="361"/>
      <c r="M150" s="361"/>
      <c r="N150" s="360"/>
      <c r="O150" s="360"/>
      <c r="P150" s="360"/>
      <c r="Q150" s="360"/>
      <c r="R150" s="363"/>
      <c r="S150" s="360"/>
      <c r="T150" s="361" t="s">
        <v>164</v>
      </c>
    </row>
    <row r="151" ht="34.5">
      <c r="A151" s="361" t="s">
        <v>264</v>
      </c>
      <c r="B151" s="361" t="s">
        <v>265</v>
      </c>
      <c r="C151" s="361" t="s">
        <v>228</v>
      </c>
      <c r="D151" s="361" t="s">
        <v>159</v>
      </c>
      <c r="E151" s="361" t="s">
        <v>160</v>
      </c>
      <c r="F151" s="360" t="s">
        <v>216</v>
      </c>
      <c r="G151" s="361" t="s">
        <v>217</v>
      </c>
      <c r="H151" s="360"/>
      <c r="I151" s="360"/>
      <c r="J151" s="360" t="s">
        <v>249</v>
      </c>
      <c r="K151" s="362"/>
      <c r="L151" s="361"/>
      <c r="M151" s="361"/>
      <c r="N151" s="360"/>
      <c r="O151" s="360"/>
      <c r="P151" s="360"/>
      <c r="Q151" s="360"/>
      <c r="R151" s="363"/>
      <c r="S151" s="360"/>
      <c r="T151" s="361" t="s">
        <v>164</v>
      </c>
    </row>
    <row r="152" ht="34.5">
      <c r="A152" s="361" t="s">
        <v>264</v>
      </c>
      <c r="B152" s="361" t="s">
        <v>265</v>
      </c>
      <c r="C152" s="361" t="s">
        <v>228</v>
      </c>
      <c r="D152" s="361" t="s">
        <v>159</v>
      </c>
      <c r="E152" s="361" t="s">
        <v>160</v>
      </c>
      <c r="F152" s="360" t="s">
        <v>216</v>
      </c>
      <c r="G152" s="361" t="s">
        <v>217</v>
      </c>
      <c r="H152" s="360"/>
      <c r="I152" s="360"/>
      <c r="J152" s="360" t="s">
        <v>295</v>
      </c>
      <c r="K152" s="362">
        <v>1000</v>
      </c>
      <c r="L152" s="361" t="s">
        <v>236</v>
      </c>
      <c r="M152" s="361"/>
      <c r="N152" s="360"/>
      <c r="O152" s="360"/>
      <c r="P152" s="360"/>
      <c r="Q152" s="360"/>
      <c r="R152" s="363"/>
      <c r="S152" s="360"/>
      <c r="T152" s="361" t="s">
        <v>164</v>
      </c>
    </row>
    <row r="153" ht="34.5">
      <c r="A153" s="361" t="s">
        <v>264</v>
      </c>
      <c r="B153" s="361" t="s">
        <v>265</v>
      </c>
      <c r="C153" s="361" t="s">
        <v>240</v>
      </c>
      <c r="D153" s="361" t="s">
        <v>159</v>
      </c>
      <c r="E153" s="361" t="s">
        <v>160</v>
      </c>
      <c r="F153" s="360" t="s">
        <v>216</v>
      </c>
      <c r="G153" s="361" t="s">
        <v>217</v>
      </c>
      <c r="H153" s="360"/>
      <c r="I153" s="360"/>
      <c r="J153" s="360" t="s">
        <v>296</v>
      </c>
      <c r="K153" s="362"/>
      <c r="L153" s="361"/>
      <c r="M153" s="361"/>
      <c r="N153" s="360"/>
      <c r="O153" s="360"/>
      <c r="P153" s="360"/>
      <c r="Q153" s="360"/>
      <c r="R153" s="363"/>
      <c r="S153" s="360"/>
      <c r="T153" s="361" t="s">
        <v>164</v>
      </c>
    </row>
    <row r="154" ht="34.5">
      <c r="A154" s="361" t="s">
        <v>264</v>
      </c>
      <c r="B154" s="361" t="s">
        <v>265</v>
      </c>
      <c r="C154" s="361" t="s">
        <v>240</v>
      </c>
      <c r="D154" s="361" t="s">
        <v>159</v>
      </c>
      <c r="E154" s="361" t="s">
        <v>160</v>
      </c>
      <c r="F154" s="360" t="s">
        <v>216</v>
      </c>
      <c r="G154" s="361" t="s">
        <v>217</v>
      </c>
      <c r="H154" s="360"/>
      <c r="I154" s="360"/>
      <c r="J154" s="360" t="s">
        <v>297</v>
      </c>
      <c r="K154" s="362"/>
      <c r="L154" s="361"/>
      <c r="M154" s="361"/>
      <c r="N154" s="360"/>
      <c r="O154" s="360"/>
      <c r="P154" s="360"/>
      <c r="Q154" s="360"/>
      <c r="R154" s="363"/>
      <c r="S154" s="360"/>
      <c r="T154" s="361" t="s">
        <v>164</v>
      </c>
    </row>
    <row r="155" ht="34.5">
      <c r="A155" s="361" t="s">
        <v>264</v>
      </c>
      <c r="B155" s="361" t="s">
        <v>265</v>
      </c>
      <c r="C155" s="361" t="s">
        <v>240</v>
      </c>
      <c r="D155" s="361" t="s">
        <v>159</v>
      </c>
      <c r="E155" s="361" t="s">
        <v>160</v>
      </c>
      <c r="F155" s="360" t="s">
        <v>216</v>
      </c>
      <c r="G155" s="361" t="s">
        <v>217</v>
      </c>
      <c r="H155" s="360"/>
      <c r="I155" s="360"/>
      <c r="J155" s="360" t="s">
        <v>298</v>
      </c>
      <c r="K155" s="362"/>
      <c r="L155" s="361"/>
      <c r="M155" s="361"/>
      <c r="N155" s="360"/>
      <c r="O155" s="360"/>
      <c r="P155" s="360"/>
      <c r="Q155" s="360"/>
      <c r="R155" s="363"/>
      <c r="S155" s="360"/>
      <c r="T155" s="361" t="s">
        <v>164</v>
      </c>
    </row>
    <row r="156" ht="34.5">
      <c r="A156" s="361" t="s">
        <v>264</v>
      </c>
      <c r="B156" s="361" t="s">
        <v>265</v>
      </c>
      <c r="C156" s="361" t="s">
        <v>240</v>
      </c>
      <c r="D156" s="361" t="s">
        <v>159</v>
      </c>
      <c r="E156" s="361" t="s">
        <v>160</v>
      </c>
      <c r="F156" s="360" t="s">
        <v>216</v>
      </c>
      <c r="G156" s="361" t="s">
        <v>217</v>
      </c>
      <c r="H156" s="360"/>
      <c r="I156" s="360"/>
      <c r="J156" s="360" t="s">
        <v>254</v>
      </c>
      <c r="K156" s="362"/>
      <c r="L156" s="361"/>
      <c r="M156" s="361"/>
      <c r="N156" s="360"/>
      <c r="O156" s="360"/>
      <c r="P156" s="360"/>
      <c r="Q156" s="360"/>
      <c r="R156" s="363"/>
      <c r="S156" s="360"/>
      <c r="T156" s="361" t="s">
        <v>164</v>
      </c>
    </row>
    <row r="157" ht="34.5">
      <c r="A157" s="361" t="s">
        <v>264</v>
      </c>
      <c r="B157" s="361" t="s">
        <v>265</v>
      </c>
      <c r="C157" s="361" t="s">
        <v>240</v>
      </c>
      <c r="D157" s="361" t="s">
        <v>159</v>
      </c>
      <c r="E157" s="361" t="s">
        <v>160</v>
      </c>
      <c r="F157" s="360" t="s">
        <v>216</v>
      </c>
      <c r="G157" s="361" t="s">
        <v>217</v>
      </c>
      <c r="H157" s="360"/>
      <c r="I157" s="360"/>
      <c r="J157" s="360" t="s">
        <v>299</v>
      </c>
      <c r="K157" s="362"/>
      <c r="L157" s="361"/>
      <c r="M157" s="361"/>
      <c r="N157" s="360"/>
      <c r="O157" s="360"/>
      <c r="P157" s="360"/>
      <c r="Q157" s="360"/>
      <c r="R157" s="363"/>
      <c r="S157" s="360"/>
      <c r="T157" s="361" t="s">
        <v>164</v>
      </c>
    </row>
    <row r="158" ht="34.5">
      <c r="A158" s="361" t="s">
        <v>264</v>
      </c>
      <c r="B158" s="361" t="s">
        <v>265</v>
      </c>
      <c r="C158" s="361" t="s">
        <v>240</v>
      </c>
      <c r="D158" s="361" t="s">
        <v>159</v>
      </c>
      <c r="E158" s="361" t="s">
        <v>160</v>
      </c>
      <c r="F158" s="360" t="s">
        <v>216</v>
      </c>
      <c r="G158" s="361" t="s">
        <v>217</v>
      </c>
      <c r="H158" s="360"/>
      <c r="I158" s="360"/>
      <c r="J158" s="360" t="s">
        <v>300</v>
      </c>
      <c r="K158" s="362"/>
      <c r="L158" s="361"/>
      <c r="M158" s="361"/>
      <c r="N158" s="360"/>
      <c r="O158" s="360"/>
      <c r="P158" s="360"/>
      <c r="Q158" s="360"/>
      <c r="R158" s="363"/>
      <c r="S158" s="360"/>
      <c r="T158" s="361" t="s">
        <v>164</v>
      </c>
    </row>
    <row r="159" ht="34.5">
      <c r="A159" s="361" t="s">
        <v>264</v>
      </c>
      <c r="B159" s="361" t="s">
        <v>265</v>
      </c>
      <c r="C159" s="361" t="s">
        <v>240</v>
      </c>
      <c r="D159" s="361" t="s">
        <v>159</v>
      </c>
      <c r="E159" s="361" t="s">
        <v>160</v>
      </c>
      <c r="F159" s="360" t="s">
        <v>216</v>
      </c>
      <c r="G159" s="361" t="s">
        <v>217</v>
      </c>
      <c r="H159" s="360"/>
      <c r="I159" s="360"/>
      <c r="J159" s="360" t="s">
        <v>259</v>
      </c>
      <c r="K159" s="362"/>
      <c r="L159" s="361"/>
      <c r="M159" s="361"/>
      <c r="N159" s="360"/>
      <c r="O159" s="360"/>
      <c r="P159" s="360"/>
      <c r="Q159" s="360"/>
      <c r="R159" s="363"/>
      <c r="S159" s="360"/>
      <c r="T159" s="361" t="s">
        <v>164</v>
      </c>
    </row>
    <row r="160" ht="34.5">
      <c r="A160" s="361" t="s">
        <v>264</v>
      </c>
      <c r="B160" s="361" t="s">
        <v>265</v>
      </c>
      <c r="C160" s="361" t="s">
        <v>240</v>
      </c>
      <c r="D160" s="361" t="s">
        <v>159</v>
      </c>
      <c r="E160" s="361" t="s">
        <v>160</v>
      </c>
      <c r="F160" s="360" t="s">
        <v>216</v>
      </c>
      <c r="G160" s="361" t="s">
        <v>217</v>
      </c>
      <c r="H160" s="360"/>
      <c r="I160" s="360"/>
      <c r="J160" s="360" t="s">
        <v>301</v>
      </c>
      <c r="K160" s="362"/>
      <c r="L160" s="361"/>
      <c r="M160" s="361"/>
      <c r="N160" s="360"/>
      <c r="O160" s="360"/>
      <c r="P160" s="360"/>
      <c r="Q160" s="360"/>
      <c r="R160" s="363"/>
      <c r="S160" s="360"/>
      <c r="T160" s="361" t="s">
        <v>164</v>
      </c>
    </row>
    <row r="161" ht="34.5">
      <c r="A161" s="361" t="s">
        <v>264</v>
      </c>
      <c r="B161" s="361" t="s">
        <v>265</v>
      </c>
      <c r="C161" s="361" t="s">
        <v>240</v>
      </c>
      <c r="D161" s="361" t="s">
        <v>159</v>
      </c>
      <c r="E161" s="361" t="s">
        <v>160</v>
      </c>
      <c r="F161" s="360" t="s">
        <v>216</v>
      </c>
      <c r="G161" s="361" t="s">
        <v>217</v>
      </c>
      <c r="H161" s="360"/>
      <c r="I161" s="360"/>
      <c r="J161" s="360" t="s">
        <v>302</v>
      </c>
      <c r="K161" s="362"/>
      <c r="L161" s="361"/>
      <c r="M161" s="361"/>
      <c r="N161" s="360"/>
      <c r="O161" s="360"/>
      <c r="P161" s="360"/>
      <c r="Q161" s="360"/>
      <c r="R161" s="363"/>
      <c r="S161" s="360"/>
      <c r="T161" s="361" t="s">
        <v>164</v>
      </c>
    </row>
    <row r="162" ht="34.5">
      <c r="A162" s="361" t="s">
        <v>264</v>
      </c>
      <c r="B162" s="361" t="s">
        <v>265</v>
      </c>
      <c r="C162" s="361" t="s">
        <v>251</v>
      </c>
      <c r="D162" s="361" t="s">
        <v>159</v>
      </c>
      <c r="E162" s="361" t="s">
        <v>160</v>
      </c>
      <c r="F162" s="360" t="s">
        <v>216</v>
      </c>
      <c r="G162" s="361" t="s">
        <v>217</v>
      </c>
      <c r="H162" s="360"/>
      <c r="I162" s="360"/>
      <c r="J162" s="360" t="s">
        <v>303</v>
      </c>
      <c r="K162" s="362"/>
      <c r="L162" s="361"/>
      <c r="M162" s="361"/>
      <c r="N162" s="360"/>
      <c r="O162" s="360"/>
      <c r="P162" s="360"/>
      <c r="Q162" s="360"/>
      <c r="R162" s="363"/>
      <c r="S162" s="360"/>
      <c r="T162" s="361" t="s">
        <v>164</v>
      </c>
    </row>
    <row r="163" ht="34.5">
      <c r="A163" s="361" t="s">
        <v>264</v>
      </c>
      <c r="B163" s="361" t="s">
        <v>265</v>
      </c>
      <c r="C163" s="361" t="s">
        <v>251</v>
      </c>
      <c r="D163" s="361" t="s">
        <v>159</v>
      </c>
      <c r="E163" s="361" t="s">
        <v>160</v>
      </c>
      <c r="F163" s="360" t="s">
        <v>216</v>
      </c>
      <c r="G163" s="361" t="s">
        <v>217</v>
      </c>
      <c r="H163" s="360"/>
      <c r="I163" s="360"/>
      <c r="J163" s="360" t="s">
        <v>304</v>
      </c>
      <c r="K163" s="362"/>
      <c r="L163" s="361"/>
      <c r="M163" s="361"/>
      <c r="N163" s="360"/>
      <c r="O163" s="360"/>
      <c r="P163" s="360"/>
      <c r="Q163" s="360"/>
      <c r="R163" s="363"/>
      <c r="S163" s="360"/>
      <c r="T163" s="361" t="s">
        <v>164</v>
      </c>
    </row>
    <row r="164" ht="34.5">
      <c r="A164" s="361" t="s">
        <v>305</v>
      </c>
      <c r="B164" s="361" t="s">
        <v>306</v>
      </c>
      <c r="C164" s="361" t="s">
        <v>158</v>
      </c>
      <c r="D164" s="361" t="s">
        <v>159</v>
      </c>
      <c r="E164" s="361" t="s">
        <v>160</v>
      </c>
      <c r="F164" s="360" t="s">
        <v>161</v>
      </c>
      <c r="G164" s="361" t="s">
        <v>162</v>
      </c>
      <c r="H164" s="360"/>
      <c r="I164" s="360"/>
      <c r="J164" s="360" t="s">
        <v>163</v>
      </c>
      <c r="K164" s="362"/>
      <c r="L164" s="361"/>
      <c r="M164" s="361"/>
      <c r="N164" s="360"/>
      <c r="O164" s="360"/>
      <c r="P164" s="360"/>
      <c r="Q164" s="360"/>
      <c r="R164" s="363"/>
      <c r="S164" s="360"/>
      <c r="T164" s="361" t="s">
        <v>164</v>
      </c>
    </row>
    <row r="165" ht="34.5">
      <c r="A165" s="361" t="s">
        <v>305</v>
      </c>
      <c r="B165" s="361" t="s">
        <v>306</v>
      </c>
      <c r="C165" s="361" t="s">
        <v>158</v>
      </c>
      <c r="D165" s="361" t="s">
        <v>159</v>
      </c>
      <c r="E165" s="361" t="s">
        <v>160</v>
      </c>
      <c r="F165" s="360" t="s">
        <v>161</v>
      </c>
      <c r="G165" s="361" t="s">
        <v>162</v>
      </c>
      <c r="H165" s="360"/>
      <c r="I165" s="360"/>
      <c r="J165" s="360" t="s">
        <v>165</v>
      </c>
      <c r="K165" s="362"/>
      <c r="L165" s="361"/>
      <c r="M165" s="361"/>
      <c r="N165" s="360"/>
      <c r="O165" s="360"/>
      <c r="P165" s="360"/>
      <c r="Q165" s="360"/>
      <c r="R165" s="363"/>
      <c r="S165" s="360"/>
      <c r="T165" s="361" t="s">
        <v>164</v>
      </c>
    </row>
    <row r="166" ht="34.5">
      <c r="A166" s="361" t="s">
        <v>305</v>
      </c>
      <c r="B166" s="361" t="s">
        <v>306</v>
      </c>
      <c r="C166" s="361" t="s">
        <v>158</v>
      </c>
      <c r="D166" s="361" t="s">
        <v>159</v>
      </c>
      <c r="E166" s="361" t="s">
        <v>160</v>
      </c>
      <c r="F166" s="360" t="s">
        <v>161</v>
      </c>
      <c r="G166" s="361" t="s">
        <v>162</v>
      </c>
      <c r="H166" s="360"/>
      <c r="I166" s="360"/>
      <c r="J166" s="360" t="s">
        <v>166</v>
      </c>
      <c r="K166" s="362"/>
      <c r="L166" s="361"/>
      <c r="M166" s="361"/>
      <c r="N166" s="360"/>
      <c r="O166" s="360"/>
      <c r="P166" s="360"/>
      <c r="Q166" s="360"/>
      <c r="R166" s="363"/>
      <c r="S166" s="360"/>
      <c r="T166" s="361" t="s">
        <v>164</v>
      </c>
    </row>
    <row r="167" ht="34.5">
      <c r="A167" s="361" t="s">
        <v>305</v>
      </c>
      <c r="B167" s="361" t="s">
        <v>306</v>
      </c>
      <c r="C167" s="361" t="s">
        <v>158</v>
      </c>
      <c r="D167" s="361" t="s">
        <v>159</v>
      </c>
      <c r="E167" s="361" t="s">
        <v>160</v>
      </c>
      <c r="F167" s="360" t="s">
        <v>161</v>
      </c>
      <c r="G167" s="361" t="s">
        <v>162</v>
      </c>
      <c r="H167" s="360"/>
      <c r="I167" s="360"/>
      <c r="J167" s="360" t="s">
        <v>307</v>
      </c>
      <c r="K167" s="362"/>
      <c r="L167" s="361"/>
      <c r="M167" s="361"/>
      <c r="N167" s="360"/>
      <c r="O167" s="360"/>
      <c r="P167" s="360"/>
      <c r="Q167" s="360"/>
      <c r="R167" s="363"/>
      <c r="S167" s="360"/>
      <c r="T167" s="361" t="s">
        <v>164</v>
      </c>
    </row>
    <row r="168" ht="34.5">
      <c r="A168" s="361" t="s">
        <v>305</v>
      </c>
      <c r="B168" s="361" t="s">
        <v>306</v>
      </c>
      <c r="C168" s="361" t="s">
        <v>158</v>
      </c>
      <c r="D168" s="361" t="s">
        <v>159</v>
      </c>
      <c r="E168" s="361" t="s">
        <v>160</v>
      </c>
      <c r="F168" s="360" t="s">
        <v>161</v>
      </c>
      <c r="G168" s="361" t="s">
        <v>162</v>
      </c>
      <c r="H168" s="360"/>
      <c r="I168" s="360"/>
      <c r="J168" s="360" t="s">
        <v>168</v>
      </c>
      <c r="K168" s="362"/>
      <c r="L168" s="361"/>
      <c r="M168" s="361"/>
      <c r="N168" s="360"/>
      <c r="O168" s="360"/>
      <c r="P168" s="360"/>
      <c r="Q168" s="360"/>
      <c r="R168" s="363"/>
      <c r="S168" s="360"/>
      <c r="T168" s="361" t="s">
        <v>164</v>
      </c>
    </row>
    <row r="169" ht="34.5">
      <c r="A169" s="361" t="s">
        <v>305</v>
      </c>
      <c r="B169" s="361" t="s">
        <v>306</v>
      </c>
      <c r="C169" s="361" t="s">
        <v>158</v>
      </c>
      <c r="D169" s="361" t="s">
        <v>159</v>
      </c>
      <c r="E169" s="361" t="s">
        <v>160</v>
      </c>
      <c r="F169" s="360" t="s">
        <v>161</v>
      </c>
      <c r="G169" s="361" t="s">
        <v>162</v>
      </c>
      <c r="H169" s="360"/>
      <c r="I169" s="360"/>
      <c r="J169" s="360" t="s">
        <v>308</v>
      </c>
      <c r="K169" s="362"/>
      <c r="L169" s="361"/>
      <c r="M169" s="361"/>
      <c r="N169" s="360"/>
      <c r="O169" s="360"/>
      <c r="P169" s="360"/>
      <c r="Q169" s="360"/>
      <c r="R169" s="363"/>
      <c r="S169" s="360"/>
      <c r="T169" s="361" t="s">
        <v>164</v>
      </c>
    </row>
    <row r="170" ht="34.5">
      <c r="A170" s="361" t="s">
        <v>305</v>
      </c>
      <c r="B170" s="361" t="s">
        <v>306</v>
      </c>
      <c r="C170" s="361" t="s">
        <v>158</v>
      </c>
      <c r="D170" s="361" t="s">
        <v>159</v>
      </c>
      <c r="E170" s="361" t="s">
        <v>172</v>
      </c>
      <c r="F170" s="360" t="s">
        <v>173</v>
      </c>
      <c r="G170" s="361" t="s">
        <v>162</v>
      </c>
      <c r="H170" s="360"/>
      <c r="I170" s="360"/>
      <c r="J170" s="360" t="s">
        <v>267</v>
      </c>
      <c r="K170" s="362"/>
      <c r="L170" s="361"/>
      <c r="M170" s="361"/>
      <c r="N170" s="360"/>
      <c r="O170" s="360"/>
      <c r="P170" s="360"/>
      <c r="Q170" s="360"/>
      <c r="R170" s="363"/>
      <c r="S170" s="360"/>
      <c r="T170" s="361" t="s">
        <v>164</v>
      </c>
    </row>
    <row r="171" ht="34.5">
      <c r="A171" s="361" t="s">
        <v>305</v>
      </c>
      <c r="B171" s="361" t="s">
        <v>306</v>
      </c>
      <c r="C171" s="361" t="s">
        <v>171</v>
      </c>
      <c r="D171" s="361" t="s">
        <v>159</v>
      </c>
      <c r="E171" s="361" t="s">
        <v>172</v>
      </c>
      <c r="F171" s="360" t="s">
        <v>173</v>
      </c>
      <c r="G171" s="361" t="s">
        <v>162</v>
      </c>
      <c r="H171" s="360"/>
      <c r="I171" s="360"/>
      <c r="J171" s="360" t="s">
        <v>309</v>
      </c>
      <c r="K171" s="362"/>
      <c r="L171" s="361"/>
      <c r="M171" s="361"/>
      <c r="N171" s="360"/>
      <c r="O171" s="360"/>
      <c r="P171" s="360"/>
      <c r="Q171" s="360"/>
      <c r="R171" s="363"/>
      <c r="S171" s="360"/>
      <c r="T171" s="361" t="s">
        <v>164</v>
      </c>
    </row>
    <row r="172" ht="34.5">
      <c r="A172" s="361" t="s">
        <v>305</v>
      </c>
      <c r="B172" s="361" t="s">
        <v>306</v>
      </c>
      <c r="C172" s="361" t="s">
        <v>171</v>
      </c>
      <c r="D172" s="361" t="s">
        <v>159</v>
      </c>
      <c r="E172" s="361" t="s">
        <v>172</v>
      </c>
      <c r="F172" s="360" t="s">
        <v>173</v>
      </c>
      <c r="G172" s="361" t="s">
        <v>162</v>
      </c>
      <c r="H172" s="360"/>
      <c r="I172" s="360"/>
      <c r="J172" s="360" t="s">
        <v>175</v>
      </c>
      <c r="K172" s="362"/>
      <c r="L172" s="361"/>
      <c r="M172" s="361"/>
      <c r="N172" s="360"/>
      <c r="O172" s="360"/>
      <c r="P172" s="360"/>
      <c r="Q172" s="360"/>
      <c r="R172" s="363"/>
      <c r="S172" s="360"/>
      <c r="T172" s="361" t="s">
        <v>164</v>
      </c>
    </row>
    <row r="173" ht="34.5">
      <c r="A173" s="361" t="s">
        <v>305</v>
      </c>
      <c r="B173" s="361" t="s">
        <v>306</v>
      </c>
      <c r="C173" s="361" t="s">
        <v>171</v>
      </c>
      <c r="D173" s="361" t="s">
        <v>159</v>
      </c>
      <c r="E173" s="361" t="s">
        <v>172</v>
      </c>
      <c r="F173" s="360" t="s">
        <v>173</v>
      </c>
      <c r="G173" s="361" t="s">
        <v>162</v>
      </c>
      <c r="H173" s="360"/>
      <c r="I173" s="360"/>
      <c r="J173" s="360" t="s">
        <v>310</v>
      </c>
      <c r="K173" s="362"/>
      <c r="L173" s="361"/>
      <c r="M173" s="361"/>
      <c r="N173" s="360"/>
      <c r="O173" s="360"/>
      <c r="P173" s="360"/>
      <c r="Q173" s="360"/>
      <c r="R173" s="363"/>
      <c r="S173" s="360"/>
      <c r="T173" s="361" t="s">
        <v>164</v>
      </c>
    </row>
    <row r="174" ht="34.5">
      <c r="A174" s="361" t="s">
        <v>305</v>
      </c>
      <c r="B174" s="361" t="s">
        <v>306</v>
      </c>
      <c r="C174" s="361" t="s">
        <v>171</v>
      </c>
      <c r="D174" s="361" t="s">
        <v>159</v>
      </c>
      <c r="E174" s="361" t="s">
        <v>172</v>
      </c>
      <c r="F174" s="360" t="s">
        <v>173</v>
      </c>
      <c r="G174" s="361" t="s">
        <v>162</v>
      </c>
      <c r="H174" s="360"/>
      <c r="I174" s="360"/>
      <c r="J174" s="360" t="s">
        <v>311</v>
      </c>
      <c r="K174" s="362"/>
      <c r="L174" s="361"/>
      <c r="M174" s="361"/>
      <c r="N174" s="360"/>
      <c r="O174" s="360"/>
      <c r="P174" s="360"/>
      <c r="Q174" s="360"/>
      <c r="R174" s="363"/>
      <c r="S174" s="360"/>
      <c r="T174" s="361" t="s">
        <v>164</v>
      </c>
    </row>
    <row r="175" ht="34.5">
      <c r="A175" s="361" t="s">
        <v>305</v>
      </c>
      <c r="B175" s="361" t="s">
        <v>306</v>
      </c>
      <c r="C175" s="361" t="s">
        <v>171</v>
      </c>
      <c r="D175" s="361" t="s">
        <v>159</v>
      </c>
      <c r="E175" s="361" t="s">
        <v>172</v>
      </c>
      <c r="F175" s="360" t="s">
        <v>173</v>
      </c>
      <c r="G175" s="361" t="s">
        <v>162</v>
      </c>
      <c r="H175" s="360"/>
      <c r="I175" s="360"/>
      <c r="J175" s="360" t="s">
        <v>179</v>
      </c>
      <c r="K175" s="362"/>
      <c r="L175" s="361"/>
      <c r="M175" s="361"/>
      <c r="N175" s="360"/>
      <c r="O175" s="360"/>
      <c r="P175" s="360"/>
      <c r="Q175" s="360"/>
      <c r="R175" s="363"/>
      <c r="S175" s="360"/>
      <c r="T175" s="361" t="s">
        <v>164</v>
      </c>
    </row>
    <row r="176" ht="34.5">
      <c r="A176" s="361" t="s">
        <v>305</v>
      </c>
      <c r="B176" s="361" t="s">
        <v>306</v>
      </c>
      <c r="C176" s="361" t="s">
        <v>171</v>
      </c>
      <c r="D176" s="361" t="s">
        <v>180</v>
      </c>
      <c r="E176" s="361" t="s">
        <v>172</v>
      </c>
      <c r="F176" s="360" t="s">
        <v>173</v>
      </c>
      <c r="G176" s="361" t="s">
        <v>162</v>
      </c>
      <c r="H176" s="360"/>
      <c r="I176" s="360"/>
      <c r="J176" s="360" t="s">
        <v>181</v>
      </c>
      <c r="K176" s="362"/>
      <c r="L176" s="361"/>
      <c r="M176" s="361"/>
      <c r="N176" s="360"/>
      <c r="O176" s="360"/>
      <c r="P176" s="360"/>
      <c r="Q176" s="360"/>
      <c r="R176" s="363"/>
      <c r="S176" s="360"/>
      <c r="T176" s="361" t="s">
        <v>164</v>
      </c>
    </row>
    <row r="177" ht="34.5">
      <c r="A177" s="361" t="s">
        <v>305</v>
      </c>
      <c r="B177" s="361" t="s">
        <v>306</v>
      </c>
      <c r="C177" s="361" t="s">
        <v>182</v>
      </c>
      <c r="D177" s="361" t="s">
        <v>183</v>
      </c>
      <c r="E177" s="361" t="s">
        <v>172</v>
      </c>
      <c r="F177" s="360" t="s">
        <v>173</v>
      </c>
      <c r="G177" s="361" t="s">
        <v>162</v>
      </c>
      <c r="H177" s="360"/>
      <c r="I177" s="360"/>
      <c r="J177" s="360" t="s">
        <v>184</v>
      </c>
      <c r="K177" s="362"/>
      <c r="L177" s="361"/>
      <c r="M177" s="361"/>
      <c r="N177" s="360"/>
      <c r="O177" s="360"/>
      <c r="P177" s="360"/>
      <c r="Q177" s="360"/>
      <c r="R177" s="363"/>
      <c r="S177" s="360"/>
      <c r="T177" s="361" t="s">
        <v>164</v>
      </c>
    </row>
    <row r="178" ht="34.5">
      <c r="A178" s="361" t="s">
        <v>305</v>
      </c>
      <c r="B178" s="361" t="s">
        <v>306</v>
      </c>
      <c r="C178" s="361" t="s">
        <v>182</v>
      </c>
      <c r="D178" s="361" t="s">
        <v>159</v>
      </c>
      <c r="E178" s="361" t="s">
        <v>186</v>
      </c>
      <c r="F178" s="360" t="s">
        <v>187</v>
      </c>
      <c r="G178" s="361" t="s">
        <v>162</v>
      </c>
      <c r="H178" s="360"/>
      <c r="I178" s="360"/>
      <c r="J178" s="360" t="s">
        <v>312</v>
      </c>
      <c r="K178" s="362"/>
      <c r="L178" s="361"/>
      <c r="M178" s="361"/>
      <c r="N178" s="360"/>
      <c r="O178" s="360"/>
      <c r="P178" s="360"/>
      <c r="Q178" s="360"/>
      <c r="R178" s="363"/>
      <c r="S178" s="360"/>
      <c r="T178" s="361" t="s">
        <v>164</v>
      </c>
    </row>
    <row r="179" ht="34.5">
      <c r="A179" s="361" t="s">
        <v>305</v>
      </c>
      <c r="B179" s="361" t="s">
        <v>306</v>
      </c>
      <c r="C179" s="361" t="s">
        <v>182</v>
      </c>
      <c r="D179" s="361" t="s">
        <v>159</v>
      </c>
      <c r="E179" s="361" t="s">
        <v>186</v>
      </c>
      <c r="F179" s="360" t="s">
        <v>187</v>
      </c>
      <c r="G179" s="361" t="s">
        <v>162</v>
      </c>
      <c r="H179" s="360"/>
      <c r="I179" s="360"/>
      <c r="J179" s="360" t="s">
        <v>313</v>
      </c>
      <c r="K179" s="362"/>
      <c r="L179" s="361"/>
      <c r="M179" s="361"/>
      <c r="N179" s="360"/>
      <c r="O179" s="360"/>
      <c r="P179" s="360"/>
      <c r="Q179" s="360"/>
      <c r="R179" s="363"/>
      <c r="S179" s="360"/>
      <c r="T179" s="361" t="s">
        <v>164</v>
      </c>
    </row>
    <row r="180" ht="34.5">
      <c r="A180" s="361" t="s">
        <v>305</v>
      </c>
      <c r="B180" s="361" t="s">
        <v>306</v>
      </c>
      <c r="C180" s="361" t="s">
        <v>185</v>
      </c>
      <c r="D180" s="361" t="s">
        <v>159</v>
      </c>
      <c r="E180" s="361" t="s">
        <v>186</v>
      </c>
      <c r="F180" s="360" t="s">
        <v>187</v>
      </c>
      <c r="G180" s="361" t="s">
        <v>162</v>
      </c>
      <c r="H180" s="360"/>
      <c r="I180" s="360"/>
      <c r="J180" s="360" t="s">
        <v>314</v>
      </c>
      <c r="K180" s="362"/>
      <c r="L180" s="361"/>
      <c r="M180" s="361"/>
      <c r="N180" s="360"/>
      <c r="O180" s="360"/>
      <c r="P180" s="360"/>
      <c r="Q180" s="360"/>
      <c r="R180" s="363"/>
      <c r="S180" s="360"/>
      <c r="T180" s="361" t="s">
        <v>164</v>
      </c>
    </row>
    <row r="181" ht="34.5">
      <c r="A181" s="361" t="s">
        <v>305</v>
      </c>
      <c r="B181" s="361" t="s">
        <v>306</v>
      </c>
      <c r="C181" s="361" t="s">
        <v>185</v>
      </c>
      <c r="D181" s="361" t="s">
        <v>159</v>
      </c>
      <c r="E181" s="361" t="s">
        <v>186</v>
      </c>
      <c r="F181" s="360" t="s">
        <v>187</v>
      </c>
      <c r="G181" s="361" t="s">
        <v>162</v>
      </c>
      <c r="H181" s="360"/>
      <c r="I181" s="360"/>
      <c r="J181" s="360" t="s">
        <v>315</v>
      </c>
      <c r="K181" s="362"/>
      <c r="L181" s="361"/>
      <c r="M181" s="361"/>
      <c r="N181" s="360"/>
      <c r="O181" s="360"/>
      <c r="P181" s="360"/>
      <c r="Q181" s="360"/>
      <c r="R181" s="363"/>
      <c r="S181" s="360"/>
      <c r="T181" s="361" t="s">
        <v>164</v>
      </c>
    </row>
    <row r="182" ht="34.5">
      <c r="A182" s="361" t="s">
        <v>305</v>
      </c>
      <c r="B182" s="361" t="s">
        <v>306</v>
      </c>
      <c r="C182" s="361" t="s">
        <v>185</v>
      </c>
      <c r="D182" s="361" t="s">
        <v>159</v>
      </c>
      <c r="E182" s="361" t="s">
        <v>186</v>
      </c>
      <c r="F182" s="360" t="s">
        <v>187</v>
      </c>
      <c r="G182" s="361" t="s">
        <v>162</v>
      </c>
      <c r="H182" s="360"/>
      <c r="I182" s="360"/>
      <c r="J182" s="360" t="s">
        <v>197</v>
      </c>
      <c r="K182" s="362"/>
      <c r="L182" s="361"/>
      <c r="M182" s="361"/>
      <c r="N182" s="360"/>
      <c r="O182" s="360"/>
      <c r="P182" s="360"/>
      <c r="Q182" s="360"/>
      <c r="R182" s="363"/>
      <c r="S182" s="360"/>
      <c r="T182" s="361" t="s">
        <v>164</v>
      </c>
    </row>
    <row r="183" ht="34.5">
      <c r="A183" s="361" t="s">
        <v>305</v>
      </c>
      <c r="B183" s="361" t="s">
        <v>306</v>
      </c>
      <c r="C183" s="361" t="s">
        <v>185</v>
      </c>
      <c r="D183" s="361" t="s">
        <v>159</v>
      </c>
      <c r="E183" s="361" t="s">
        <v>186</v>
      </c>
      <c r="F183" s="360" t="s">
        <v>187</v>
      </c>
      <c r="G183" s="361" t="s">
        <v>162</v>
      </c>
      <c r="H183" s="360"/>
      <c r="I183" s="360"/>
      <c r="J183" s="360" t="s">
        <v>198</v>
      </c>
      <c r="K183" s="362"/>
      <c r="L183" s="361"/>
      <c r="M183" s="361"/>
      <c r="N183" s="360"/>
      <c r="O183" s="360"/>
      <c r="P183" s="360"/>
      <c r="Q183" s="360"/>
      <c r="R183" s="363"/>
      <c r="S183" s="360"/>
      <c r="T183" s="361" t="s">
        <v>164</v>
      </c>
    </row>
    <row r="184" ht="34.5">
      <c r="A184" s="361" t="s">
        <v>305</v>
      </c>
      <c r="B184" s="361" t="s">
        <v>306</v>
      </c>
      <c r="C184" s="361" t="s">
        <v>185</v>
      </c>
      <c r="D184" s="361" t="s">
        <v>159</v>
      </c>
      <c r="E184" s="361" t="s">
        <v>186</v>
      </c>
      <c r="F184" s="360" t="s">
        <v>187</v>
      </c>
      <c r="G184" s="361" t="s">
        <v>162</v>
      </c>
      <c r="H184" s="360"/>
      <c r="I184" s="360"/>
      <c r="J184" s="360" t="s">
        <v>316</v>
      </c>
      <c r="K184" s="362"/>
      <c r="L184" s="361"/>
      <c r="M184" s="361"/>
      <c r="N184" s="360"/>
      <c r="O184" s="360"/>
      <c r="P184" s="360"/>
      <c r="Q184" s="360"/>
      <c r="R184" s="363"/>
      <c r="S184" s="360"/>
      <c r="T184" s="361" t="s">
        <v>164</v>
      </c>
    </row>
    <row r="185" ht="34.5">
      <c r="A185" s="361" t="s">
        <v>305</v>
      </c>
      <c r="B185" s="361" t="s">
        <v>306</v>
      </c>
      <c r="C185" s="361" t="s">
        <v>185</v>
      </c>
      <c r="D185" s="361" t="s">
        <v>159</v>
      </c>
      <c r="E185" s="361" t="s">
        <v>186</v>
      </c>
      <c r="F185" s="360" t="s">
        <v>187</v>
      </c>
      <c r="G185" s="361" t="s">
        <v>162</v>
      </c>
      <c r="H185" s="360"/>
      <c r="I185" s="360"/>
      <c r="J185" s="360" t="s">
        <v>317</v>
      </c>
      <c r="K185" s="362"/>
      <c r="L185" s="361"/>
      <c r="M185" s="361"/>
      <c r="N185" s="360"/>
      <c r="O185" s="360"/>
      <c r="P185" s="360"/>
      <c r="Q185" s="360"/>
      <c r="R185" s="363"/>
      <c r="S185" s="360"/>
      <c r="T185" s="361" t="s">
        <v>164</v>
      </c>
    </row>
    <row r="186" ht="34.5">
      <c r="A186" s="361" t="s">
        <v>305</v>
      </c>
      <c r="B186" s="361" t="s">
        <v>306</v>
      </c>
      <c r="C186" s="361" t="s">
        <v>185</v>
      </c>
      <c r="D186" s="361" t="s">
        <v>159</v>
      </c>
      <c r="E186" s="361" t="s">
        <v>186</v>
      </c>
      <c r="F186" s="360" t="s">
        <v>187</v>
      </c>
      <c r="G186" s="361" t="s">
        <v>162</v>
      </c>
      <c r="H186" s="360"/>
      <c r="I186" s="360"/>
      <c r="J186" s="360" t="s">
        <v>318</v>
      </c>
      <c r="K186" s="362"/>
      <c r="L186" s="361"/>
      <c r="M186" s="361"/>
      <c r="N186" s="360"/>
      <c r="O186" s="360"/>
      <c r="P186" s="360"/>
      <c r="Q186" s="360"/>
      <c r="R186" s="363"/>
      <c r="S186" s="360"/>
      <c r="T186" s="361" t="s">
        <v>164</v>
      </c>
    </row>
    <row r="187" ht="34.5">
      <c r="A187" s="361" t="s">
        <v>305</v>
      </c>
      <c r="B187" s="361" t="s">
        <v>306</v>
      </c>
      <c r="C187" s="361" t="s">
        <v>185</v>
      </c>
      <c r="D187" s="361" t="s">
        <v>159</v>
      </c>
      <c r="E187" s="361" t="s">
        <v>186</v>
      </c>
      <c r="F187" s="360" t="s">
        <v>187</v>
      </c>
      <c r="G187" s="361" t="s">
        <v>162</v>
      </c>
      <c r="H187" s="360"/>
      <c r="I187" s="360"/>
      <c r="J187" s="360" t="s">
        <v>319</v>
      </c>
      <c r="K187" s="362"/>
      <c r="L187" s="361"/>
      <c r="M187" s="361"/>
      <c r="N187" s="360"/>
      <c r="O187" s="360"/>
      <c r="P187" s="360"/>
      <c r="Q187" s="360"/>
      <c r="R187" s="363"/>
      <c r="S187" s="360"/>
      <c r="T187" s="361" t="s">
        <v>164</v>
      </c>
    </row>
    <row r="188" ht="34.5">
      <c r="A188" s="361" t="s">
        <v>305</v>
      </c>
      <c r="B188" s="361" t="s">
        <v>306</v>
      </c>
      <c r="C188" s="361" t="s">
        <v>185</v>
      </c>
      <c r="D188" s="361" t="s">
        <v>159</v>
      </c>
      <c r="E188" s="361" t="s">
        <v>186</v>
      </c>
      <c r="F188" s="360" t="s">
        <v>187</v>
      </c>
      <c r="G188" s="361" t="s">
        <v>162</v>
      </c>
      <c r="H188" s="360"/>
      <c r="I188" s="360"/>
      <c r="J188" s="360" t="s">
        <v>320</v>
      </c>
      <c r="K188" s="362"/>
      <c r="L188" s="361"/>
      <c r="M188" s="361"/>
      <c r="N188" s="360"/>
      <c r="O188" s="360"/>
      <c r="P188" s="360"/>
      <c r="Q188" s="360"/>
      <c r="R188" s="363"/>
      <c r="S188" s="360"/>
      <c r="T188" s="361" t="s">
        <v>164</v>
      </c>
    </row>
    <row r="189" ht="34.5">
      <c r="A189" s="361" t="s">
        <v>305</v>
      </c>
      <c r="B189" s="361" t="s">
        <v>306</v>
      </c>
      <c r="C189" s="361" t="s">
        <v>185</v>
      </c>
      <c r="D189" s="361" t="s">
        <v>159</v>
      </c>
      <c r="E189" s="361" t="s">
        <v>186</v>
      </c>
      <c r="F189" s="360" t="s">
        <v>187</v>
      </c>
      <c r="G189" s="361" t="s">
        <v>162</v>
      </c>
      <c r="H189" s="360"/>
      <c r="I189" s="360"/>
      <c r="J189" s="360" t="s">
        <v>203</v>
      </c>
      <c r="K189" s="362"/>
      <c r="L189" s="361"/>
      <c r="M189" s="361"/>
      <c r="N189" s="360"/>
      <c r="O189" s="360"/>
      <c r="P189" s="360"/>
      <c r="Q189" s="360"/>
      <c r="R189" s="363"/>
      <c r="S189" s="360"/>
      <c r="T189" s="361" t="s">
        <v>164</v>
      </c>
    </row>
    <row r="190" ht="34.5">
      <c r="A190" s="361" t="s">
        <v>305</v>
      </c>
      <c r="B190" s="361" t="s">
        <v>306</v>
      </c>
      <c r="C190" s="361" t="s">
        <v>185</v>
      </c>
      <c r="D190" s="361" t="s">
        <v>159</v>
      </c>
      <c r="E190" s="361" t="s">
        <v>186</v>
      </c>
      <c r="F190" s="360" t="s">
        <v>187</v>
      </c>
      <c r="G190" s="361" t="s">
        <v>162</v>
      </c>
      <c r="H190" s="360"/>
      <c r="I190" s="360"/>
      <c r="J190" s="360" t="s">
        <v>321</v>
      </c>
      <c r="K190" s="362"/>
      <c r="L190" s="361"/>
      <c r="M190" s="361"/>
      <c r="N190" s="360"/>
      <c r="O190" s="360"/>
      <c r="P190" s="360"/>
      <c r="Q190" s="360"/>
      <c r="R190" s="363"/>
      <c r="S190" s="360"/>
      <c r="T190" s="361" t="s">
        <v>164</v>
      </c>
    </row>
    <row r="191" ht="34.5">
      <c r="A191" s="361" t="s">
        <v>305</v>
      </c>
      <c r="B191" s="361" t="s">
        <v>306</v>
      </c>
      <c r="C191" s="361" t="s">
        <v>185</v>
      </c>
      <c r="D191" s="361" t="s">
        <v>159</v>
      </c>
      <c r="E191" s="361" t="s">
        <v>186</v>
      </c>
      <c r="F191" s="360" t="s">
        <v>187</v>
      </c>
      <c r="G191" s="361" t="s">
        <v>162</v>
      </c>
      <c r="H191" s="360"/>
      <c r="I191" s="360"/>
      <c r="J191" s="360" t="s">
        <v>322</v>
      </c>
      <c r="K191" s="362"/>
      <c r="L191" s="361"/>
      <c r="M191" s="361"/>
      <c r="N191" s="360"/>
      <c r="O191" s="360"/>
      <c r="P191" s="360"/>
      <c r="Q191" s="360"/>
      <c r="R191" s="363"/>
      <c r="S191" s="360"/>
      <c r="T191" s="361" t="s">
        <v>164</v>
      </c>
    </row>
    <row r="192" ht="34.5">
      <c r="A192" s="361" t="s">
        <v>305</v>
      </c>
      <c r="B192" s="361" t="s">
        <v>306</v>
      </c>
      <c r="C192" s="361" t="s">
        <v>193</v>
      </c>
      <c r="D192" s="361" t="s">
        <v>159</v>
      </c>
      <c r="E192" s="361" t="s">
        <v>186</v>
      </c>
      <c r="F192" s="360" t="s">
        <v>187</v>
      </c>
      <c r="G192" s="361" t="s">
        <v>162</v>
      </c>
      <c r="H192" s="360"/>
      <c r="I192" s="360"/>
      <c r="J192" s="360" t="s">
        <v>323</v>
      </c>
      <c r="K192" s="362"/>
      <c r="L192" s="361"/>
      <c r="M192" s="361"/>
      <c r="N192" s="360"/>
      <c r="O192" s="360"/>
      <c r="P192" s="360"/>
      <c r="Q192" s="360"/>
      <c r="R192" s="363"/>
      <c r="S192" s="360"/>
      <c r="T192" s="361" t="s">
        <v>164</v>
      </c>
    </row>
    <row r="193" ht="34.5">
      <c r="A193" s="361" t="s">
        <v>305</v>
      </c>
      <c r="B193" s="361" t="s">
        <v>306</v>
      </c>
      <c r="C193" s="361" t="s">
        <v>193</v>
      </c>
      <c r="D193" s="361" t="s">
        <v>159</v>
      </c>
      <c r="E193" s="361" t="s">
        <v>186</v>
      </c>
      <c r="F193" s="360" t="s">
        <v>187</v>
      </c>
      <c r="G193" s="361" t="s">
        <v>162</v>
      </c>
      <c r="H193" s="360"/>
      <c r="I193" s="360"/>
      <c r="J193" s="360" t="s">
        <v>324</v>
      </c>
      <c r="K193" s="362"/>
      <c r="L193" s="361"/>
      <c r="M193" s="361"/>
      <c r="N193" s="360"/>
      <c r="O193" s="360"/>
      <c r="P193" s="360"/>
      <c r="Q193" s="360"/>
      <c r="R193" s="363"/>
      <c r="S193" s="360"/>
      <c r="T193" s="361" t="s">
        <v>164</v>
      </c>
    </row>
    <row r="194" ht="34.5">
      <c r="A194" s="361" t="s">
        <v>305</v>
      </c>
      <c r="B194" s="361" t="s">
        <v>306</v>
      </c>
      <c r="C194" s="361" t="s">
        <v>193</v>
      </c>
      <c r="D194" s="361" t="s">
        <v>159</v>
      </c>
      <c r="E194" s="361" t="s">
        <v>186</v>
      </c>
      <c r="F194" s="360" t="s">
        <v>187</v>
      </c>
      <c r="G194" s="361" t="s">
        <v>162</v>
      </c>
      <c r="H194" s="360"/>
      <c r="I194" s="360"/>
      <c r="J194" s="360" t="s">
        <v>210</v>
      </c>
      <c r="K194" s="362"/>
      <c r="L194" s="361"/>
      <c r="M194" s="361"/>
      <c r="N194" s="360"/>
      <c r="O194" s="360"/>
      <c r="P194" s="360"/>
      <c r="Q194" s="360"/>
      <c r="R194" s="363"/>
      <c r="S194" s="360"/>
      <c r="T194" s="361" t="s">
        <v>164</v>
      </c>
    </row>
    <row r="195" ht="34.5">
      <c r="A195" s="361" t="s">
        <v>305</v>
      </c>
      <c r="B195" s="361" t="s">
        <v>306</v>
      </c>
      <c r="C195" s="361" t="s">
        <v>193</v>
      </c>
      <c r="D195" s="361" t="s">
        <v>159</v>
      </c>
      <c r="E195" s="361" t="s">
        <v>186</v>
      </c>
      <c r="F195" s="360" t="s">
        <v>187</v>
      </c>
      <c r="G195" s="361" t="s">
        <v>162</v>
      </c>
      <c r="H195" s="360"/>
      <c r="I195" s="360"/>
      <c r="J195" s="360" t="s">
        <v>211</v>
      </c>
      <c r="K195" s="362"/>
      <c r="L195" s="361"/>
      <c r="M195" s="361"/>
      <c r="N195" s="360"/>
      <c r="O195" s="360"/>
      <c r="P195" s="360"/>
      <c r="Q195" s="360"/>
      <c r="R195" s="363"/>
      <c r="S195" s="360"/>
      <c r="T195" s="361" t="s">
        <v>164</v>
      </c>
    </row>
    <row r="196" ht="34.5">
      <c r="A196" s="361" t="s">
        <v>305</v>
      </c>
      <c r="B196" s="361" t="s">
        <v>306</v>
      </c>
      <c r="C196" s="361" t="s">
        <v>193</v>
      </c>
      <c r="D196" s="361" t="s">
        <v>159</v>
      </c>
      <c r="E196" s="361" t="s">
        <v>186</v>
      </c>
      <c r="F196" s="360" t="s">
        <v>187</v>
      </c>
      <c r="G196" s="361" t="s">
        <v>162</v>
      </c>
      <c r="H196" s="360"/>
      <c r="I196" s="360"/>
      <c r="J196" s="360" t="s">
        <v>283</v>
      </c>
      <c r="K196" s="362"/>
      <c r="L196" s="361"/>
      <c r="M196" s="361"/>
      <c r="N196" s="360"/>
      <c r="O196" s="360"/>
      <c r="P196" s="360"/>
      <c r="Q196" s="360"/>
      <c r="R196" s="363"/>
      <c r="S196" s="360"/>
      <c r="T196" s="361" t="s">
        <v>164</v>
      </c>
    </row>
    <row r="197" ht="34.5">
      <c r="A197" s="361" t="s">
        <v>305</v>
      </c>
      <c r="B197" s="361" t="s">
        <v>306</v>
      </c>
      <c r="C197" s="361" t="s">
        <v>193</v>
      </c>
      <c r="D197" s="361" t="s">
        <v>159</v>
      </c>
      <c r="E197" s="361" t="s">
        <v>186</v>
      </c>
      <c r="F197" s="360" t="s">
        <v>187</v>
      </c>
      <c r="G197" s="361" t="s">
        <v>162</v>
      </c>
      <c r="H197" s="360"/>
      <c r="I197" s="360"/>
      <c r="J197" s="360" t="s">
        <v>325</v>
      </c>
      <c r="K197" s="362"/>
      <c r="L197" s="361"/>
      <c r="M197" s="361"/>
      <c r="N197" s="360"/>
      <c r="O197" s="360"/>
      <c r="P197" s="360"/>
      <c r="Q197" s="360"/>
      <c r="R197" s="363"/>
      <c r="S197" s="360"/>
      <c r="T197" s="361" t="s">
        <v>164</v>
      </c>
    </row>
    <row r="198" ht="34.5">
      <c r="A198" s="361" t="s">
        <v>305</v>
      </c>
      <c r="B198" s="361" t="s">
        <v>306</v>
      </c>
      <c r="C198" s="361" t="s">
        <v>193</v>
      </c>
      <c r="D198" s="361" t="s">
        <v>159</v>
      </c>
      <c r="E198" s="361" t="s">
        <v>186</v>
      </c>
      <c r="F198" s="360" t="s">
        <v>187</v>
      </c>
      <c r="G198" s="361" t="s">
        <v>162</v>
      </c>
      <c r="H198" s="360"/>
      <c r="I198" s="360"/>
      <c r="J198" s="360" t="s">
        <v>214</v>
      </c>
      <c r="K198" s="362"/>
      <c r="L198" s="361"/>
      <c r="M198" s="361"/>
      <c r="N198" s="360"/>
      <c r="O198" s="360"/>
      <c r="P198" s="360"/>
      <c r="Q198" s="360"/>
      <c r="R198" s="363"/>
      <c r="S198" s="360"/>
      <c r="T198" s="361" t="s">
        <v>164</v>
      </c>
    </row>
    <row r="199" ht="34.5">
      <c r="A199" s="361" t="s">
        <v>305</v>
      </c>
      <c r="B199" s="361" t="s">
        <v>306</v>
      </c>
      <c r="C199" s="361" t="s">
        <v>193</v>
      </c>
      <c r="D199" s="361" t="s">
        <v>159</v>
      </c>
      <c r="E199" s="361" t="s">
        <v>186</v>
      </c>
      <c r="F199" s="360" t="s">
        <v>187</v>
      </c>
      <c r="G199" s="361" t="s">
        <v>162</v>
      </c>
      <c r="H199" s="360"/>
      <c r="I199" s="360"/>
      <c r="J199" s="360" t="s">
        <v>326</v>
      </c>
      <c r="K199" s="362"/>
      <c r="L199" s="361"/>
      <c r="M199" s="361"/>
      <c r="N199" s="360"/>
      <c r="O199" s="360"/>
      <c r="P199" s="360"/>
      <c r="Q199" s="360"/>
      <c r="R199" s="363"/>
      <c r="S199" s="360"/>
      <c r="T199" s="361" t="s">
        <v>164</v>
      </c>
    </row>
    <row r="200" ht="34.5">
      <c r="A200" s="361" t="s">
        <v>305</v>
      </c>
      <c r="B200" s="361" t="s">
        <v>306</v>
      </c>
      <c r="C200" s="361" t="s">
        <v>193</v>
      </c>
      <c r="D200" s="361" t="s">
        <v>159</v>
      </c>
      <c r="E200" s="361" t="s">
        <v>160</v>
      </c>
      <c r="F200" s="360" t="s">
        <v>216</v>
      </c>
      <c r="G200" s="361" t="s">
        <v>217</v>
      </c>
      <c r="H200" s="360"/>
      <c r="I200" s="360"/>
      <c r="J200" s="360" t="s">
        <v>327</v>
      </c>
      <c r="K200" s="362"/>
      <c r="L200" s="361"/>
      <c r="M200" s="361"/>
      <c r="N200" s="360"/>
      <c r="O200" s="360"/>
      <c r="P200" s="360"/>
      <c r="Q200" s="360"/>
      <c r="R200" s="363"/>
      <c r="S200" s="360"/>
      <c r="T200" s="361" t="s">
        <v>164</v>
      </c>
    </row>
    <row r="201" ht="34.5">
      <c r="A201" s="361" t="s">
        <v>305</v>
      </c>
      <c r="B201" s="361" t="s">
        <v>306</v>
      </c>
      <c r="C201" s="361" t="s">
        <v>193</v>
      </c>
      <c r="D201" s="361" t="s">
        <v>159</v>
      </c>
      <c r="E201" s="361" t="s">
        <v>160</v>
      </c>
      <c r="F201" s="360" t="s">
        <v>216</v>
      </c>
      <c r="G201" s="361" t="s">
        <v>217</v>
      </c>
      <c r="H201" s="360"/>
      <c r="I201" s="360"/>
      <c r="J201" s="360" t="s">
        <v>328</v>
      </c>
      <c r="K201" s="362"/>
      <c r="L201" s="361"/>
      <c r="M201" s="361"/>
      <c r="N201" s="360"/>
      <c r="O201" s="360"/>
      <c r="P201" s="360"/>
      <c r="Q201" s="360"/>
      <c r="R201" s="363"/>
      <c r="S201" s="360"/>
      <c r="T201" s="361" t="s">
        <v>164</v>
      </c>
    </row>
    <row r="202" ht="34.5">
      <c r="A202" s="361" t="s">
        <v>305</v>
      </c>
      <c r="B202" s="361" t="s">
        <v>306</v>
      </c>
      <c r="C202" s="361" t="s">
        <v>205</v>
      </c>
      <c r="D202" s="361" t="s">
        <v>159</v>
      </c>
      <c r="E202" s="361" t="s">
        <v>160</v>
      </c>
      <c r="F202" s="360" t="s">
        <v>216</v>
      </c>
      <c r="G202" s="361" t="s">
        <v>217</v>
      </c>
      <c r="H202" s="360"/>
      <c r="I202" s="360"/>
      <c r="J202" s="360" t="s">
        <v>286</v>
      </c>
      <c r="K202" s="362"/>
      <c r="L202" s="361"/>
      <c r="M202" s="361"/>
      <c r="N202" s="360"/>
      <c r="O202" s="360"/>
      <c r="P202" s="360"/>
      <c r="Q202" s="360"/>
      <c r="R202" s="363"/>
      <c r="S202" s="360"/>
      <c r="T202" s="361" t="s">
        <v>164</v>
      </c>
    </row>
    <row r="203" ht="34.5">
      <c r="A203" s="361" t="s">
        <v>305</v>
      </c>
      <c r="B203" s="361" t="s">
        <v>306</v>
      </c>
      <c r="C203" s="361" t="s">
        <v>205</v>
      </c>
      <c r="D203" s="361" t="s">
        <v>159</v>
      </c>
      <c r="E203" s="361" t="s">
        <v>160</v>
      </c>
      <c r="F203" s="360" t="s">
        <v>216</v>
      </c>
      <c r="G203" s="361" t="s">
        <v>217</v>
      </c>
      <c r="H203" s="360"/>
      <c r="I203" s="360"/>
      <c r="J203" s="360" t="s">
        <v>329</v>
      </c>
      <c r="K203" s="362"/>
      <c r="L203" s="361"/>
      <c r="M203" s="361"/>
      <c r="N203" s="360"/>
      <c r="O203" s="360"/>
      <c r="P203" s="360"/>
      <c r="Q203" s="360"/>
      <c r="R203" s="363"/>
      <c r="S203" s="360"/>
      <c r="T203" s="361" t="s">
        <v>164</v>
      </c>
    </row>
    <row r="204" ht="34.5">
      <c r="A204" s="361" t="s">
        <v>305</v>
      </c>
      <c r="B204" s="361" t="s">
        <v>306</v>
      </c>
      <c r="C204" s="361" t="s">
        <v>205</v>
      </c>
      <c r="D204" s="361" t="s">
        <v>159</v>
      </c>
      <c r="E204" s="361" t="s">
        <v>160</v>
      </c>
      <c r="F204" s="360" t="s">
        <v>216</v>
      </c>
      <c r="G204" s="361" t="s">
        <v>217</v>
      </c>
      <c r="H204" s="360"/>
      <c r="I204" s="360"/>
      <c r="J204" s="360" t="s">
        <v>288</v>
      </c>
      <c r="K204" s="362"/>
      <c r="L204" s="361"/>
      <c r="M204" s="361"/>
      <c r="N204" s="360"/>
      <c r="O204" s="360"/>
      <c r="P204" s="360"/>
      <c r="Q204" s="360"/>
      <c r="R204" s="363"/>
      <c r="S204" s="360"/>
      <c r="T204" s="361" t="s">
        <v>164</v>
      </c>
    </row>
    <row r="205" ht="34.5">
      <c r="A205" s="361" t="s">
        <v>305</v>
      </c>
      <c r="B205" s="361" t="s">
        <v>306</v>
      </c>
      <c r="C205" s="361" t="s">
        <v>205</v>
      </c>
      <c r="D205" s="361" t="s">
        <v>159</v>
      </c>
      <c r="E205" s="361" t="s">
        <v>160</v>
      </c>
      <c r="F205" s="360" t="s">
        <v>216</v>
      </c>
      <c r="G205" s="361" t="s">
        <v>217</v>
      </c>
      <c r="H205" s="360"/>
      <c r="I205" s="360"/>
      <c r="J205" s="360" t="s">
        <v>225</v>
      </c>
      <c r="K205" s="362"/>
      <c r="L205" s="361"/>
      <c r="M205" s="361"/>
      <c r="N205" s="360"/>
      <c r="O205" s="360"/>
      <c r="P205" s="360"/>
      <c r="Q205" s="360"/>
      <c r="R205" s="363"/>
      <c r="S205" s="360"/>
      <c r="T205" s="361" t="s">
        <v>164</v>
      </c>
    </row>
    <row r="206" ht="34.5">
      <c r="A206" s="361" t="s">
        <v>305</v>
      </c>
      <c r="B206" s="361" t="s">
        <v>306</v>
      </c>
      <c r="C206" s="361" t="s">
        <v>205</v>
      </c>
      <c r="D206" s="361" t="s">
        <v>159</v>
      </c>
      <c r="E206" s="361" t="s">
        <v>160</v>
      </c>
      <c r="F206" s="360" t="s">
        <v>216</v>
      </c>
      <c r="G206" s="361" t="s">
        <v>217</v>
      </c>
      <c r="H206" s="360"/>
      <c r="I206" s="360"/>
      <c r="J206" s="360" t="s">
        <v>330</v>
      </c>
      <c r="K206" s="362"/>
      <c r="L206" s="361"/>
      <c r="M206" s="361"/>
      <c r="N206" s="360"/>
      <c r="O206" s="360"/>
      <c r="P206" s="360"/>
      <c r="Q206" s="360"/>
      <c r="R206" s="363"/>
      <c r="S206" s="360"/>
      <c r="T206" s="361" t="s">
        <v>164</v>
      </c>
    </row>
    <row r="207" ht="34.5">
      <c r="A207" s="361" t="s">
        <v>305</v>
      </c>
      <c r="B207" s="361" t="s">
        <v>306</v>
      </c>
      <c r="C207" s="361" t="s">
        <v>205</v>
      </c>
      <c r="D207" s="361" t="s">
        <v>159</v>
      </c>
      <c r="E207" s="361" t="s">
        <v>160</v>
      </c>
      <c r="F207" s="360" t="s">
        <v>216</v>
      </c>
      <c r="G207" s="361" t="s">
        <v>217</v>
      </c>
      <c r="H207" s="360"/>
      <c r="I207" s="360"/>
      <c r="J207" s="360" t="s">
        <v>229</v>
      </c>
      <c r="K207" s="362"/>
      <c r="L207" s="361"/>
      <c r="M207" s="361"/>
      <c r="N207" s="360"/>
      <c r="O207" s="360"/>
      <c r="P207" s="360"/>
      <c r="Q207" s="360"/>
      <c r="R207" s="363"/>
      <c r="S207" s="360"/>
      <c r="T207" s="361" t="s">
        <v>164</v>
      </c>
    </row>
    <row r="208" ht="34.5">
      <c r="A208" s="361" t="s">
        <v>305</v>
      </c>
      <c r="B208" s="361" t="s">
        <v>306</v>
      </c>
      <c r="C208" s="361" t="s">
        <v>205</v>
      </c>
      <c r="D208" s="361" t="s">
        <v>159</v>
      </c>
      <c r="E208" s="361" t="s">
        <v>160</v>
      </c>
      <c r="F208" s="360" t="s">
        <v>216</v>
      </c>
      <c r="G208" s="361" t="s">
        <v>217</v>
      </c>
      <c r="H208" s="360"/>
      <c r="I208" s="360"/>
      <c r="J208" s="360" t="s">
        <v>230</v>
      </c>
      <c r="K208" s="362"/>
      <c r="L208" s="361"/>
      <c r="M208" s="361"/>
      <c r="N208" s="360"/>
      <c r="O208" s="360"/>
      <c r="P208" s="360"/>
      <c r="Q208" s="360"/>
      <c r="R208" s="363"/>
      <c r="S208" s="360"/>
      <c r="T208" s="361" t="s">
        <v>164</v>
      </c>
    </row>
    <row r="209" ht="34.5">
      <c r="A209" s="361" t="s">
        <v>305</v>
      </c>
      <c r="B209" s="361" t="s">
        <v>306</v>
      </c>
      <c r="C209" s="361" t="s">
        <v>205</v>
      </c>
      <c r="D209" s="361" t="s">
        <v>159</v>
      </c>
      <c r="E209" s="361" t="s">
        <v>160</v>
      </c>
      <c r="F209" s="360" t="s">
        <v>216</v>
      </c>
      <c r="G209" s="361" t="s">
        <v>217</v>
      </c>
      <c r="H209" s="360"/>
      <c r="I209" s="360"/>
      <c r="J209" s="360" t="s">
        <v>231</v>
      </c>
      <c r="K209" s="362"/>
      <c r="L209" s="361"/>
      <c r="M209" s="361"/>
      <c r="N209" s="360"/>
      <c r="O209" s="360"/>
      <c r="P209" s="360"/>
      <c r="Q209" s="360"/>
      <c r="R209" s="363"/>
      <c r="S209" s="360"/>
      <c r="T209" s="361" t="s">
        <v>164</v>
      </c>
    </row>
    <row r="210" ht="34.5">
      <c r="A210" s="361" t="s">
        <v>305</v>
      </c>
      <c r="B210" s="361" t="s">
        <v>306</v>
      </c>
      <c r="C210" s="361" t="s">
        <v>205</v>
      </c>
      <c r="D210" s="361" t="s">
        <v>159</v>
      </c>
      <c r="E210" s="361" t="s">
        <v>160</v>
      </c>
      <c r="F210" s="360" t="s">
        <v>216</v>
      </c>
      <c r="G210" s="361" t="s">
        <v>217</v>
      </c>
      <c r="H210" s="360"/>
      <c r="I210" s="360"/>
      <c r="J210" s="360" t="s">
        <v>331</v>
      </c>
      <c r="K210" s="362"/>
      <c r="L210" s="361"/>
      <c r="M210" s="361"/>
      <c r="N210" s="360"/>
      <c r="O210" s="360"/>
      <c r="P210" s="360"/>
      <c r="Q210" s="360"/>
      <c r="R210" s="363"/>
      <c r="S210" s="360"/>
      <c r="T210" s="361" t="s">
        <v>164</v>
      </c>
    </row>
    <row r="211" ht="34.5">
      <c r="A211" s="361" t="s">
        <v>305</v>
      </c>
      <c r="B211" s="361" t="s">
        <v>306</v>
      </c>
      <c r="C211" s="361" t="s">
        <v>219</v>
      </c>
      <c r="D211" s="361" t="s">
        <v>159</v>
      </c>
      <c r="E211" s="361" t="s">
        <v>160</v>
      </c>
      <c r="F211" s="360" t="s">
        <v>216</v>
      </c>
      <c r="G211" s="361" t="s">
        <v>217</v>
      </c>
      <c r="H211" s="360"/>
      <c r="I211" s="360"/>
      <c r="J211" s="360" t="s">
        <v>332</v>
      </c>
      <c r="K211" s="362"/>
      <c r="L211" s="361"/>
      <c r="M211" s="361"/>
      <c r="N211" s="360"/>
      <c r="O211" s="360"/>
      <c r="P211" s="360"/>
      <c r="Q211" s="360"/>
      <c r="R211" s="363"/>
      <c r="S211" s="360"/>
      <c r="T211" s="361" t="s">
        <v>164</v>
      </c>
    </row>
    <row r="212" ht="34.5">
      <c r="A212" s="361" t="s">
        <v>305</v>
      </c>
      <c r="B212" s="361" t="s">
        <v>306</v>
      </c>
      <c r="C212" s="361" t="s">
        <v>219</v>
      </c>
      <c r="D212" s="361" t="s">
        <v>159</v>
      </c>
      <c r="E212" s="361" t="s">
        <v>160</v>
      </c>
      <c r="F212" s="360" t="s">
        <v>216</v>
      </c>
      <c r="G212" s="361" t="s">
        <v>217</v>
      </c>
      <c r="H212" s="360"/>
      <c r="I212" s="360"/>
      <c r="J212" s="360" t="s">
        <v>233</v>
      </c>
      <c r="K212" s="362"/>
      <c r="L212" s="361"/>
      <c r="M212" s="361"/>
      <c r="N212" s="360"/>
      <c r="O212" s="360"/>
      <c r="P212" s="360"/>
      <c r="Q212" s="360"/>
      <c r="R212" s="363"/>
      <c r="S212" s="360"/>
      <c r="T212" s="361" t="s">
        <v>164</v>
      </c>
    </row>
    <row r="213" ht="34.5">
      <c r="A213" s="361" t="s">
        <v>305</v>
      </c>
      <c r="B213" s="361" t="s">
        <v>306</v>
      </c>
      <c r="C213" s="361" t="s">
        <v>219</v>
      </c>
      <c r="D213" s="361" t="s">
        <v>159</v>
      </c>
      <c r="E213" s="361" t="s">
        <v>160</v>
      </c>
      <c r="F213" s="360" t="s">
        <v>216</v>
      </c>
      <c r="G213" s="361" t="s">
        <v>217</v>
      </c>
      <c r="H213" s="360"/>
      <c r="I213" s="360"/>
      <c r="J213" s="360" t="s">
        <v>234</v>
      </c>
      <c r="K213" s="362"/>
      <c r="L213" s="361"/>
      <c r="M213" s="361"/>
      <c r="N213" s="360"/>
      <c r="O213" s="360"/>
      <c r="P213" s="360"/>
      <c r="Q213" s="360"/>
      <c r="R213" s="363"/>
      <c r="S213" s="360"/>
      <c r="T213" s="361" t="s">
        <v>164</v>
      </c>
    </row>
    <row r="214" ht="34.5">
      <c r="A214" s="361" t="s">
        <v>305</v>
      </c>
      <c r="B214" s="361" t="s">
        <v>306</v>
      </c>
      <c r="C214" s="361" t="s">
        <v>219</v>
      </c>
      <c r="D214" s="361" t="s">
        <v>159</v>
      </c>
      <c r="E214" s="361" t="s">
        <v>160</v>
      </c>
      <c r="F214" s="360" t="s">
        <v>216</v>
      </c>
      <c r="G214" s="361" t="s">
        <v>217</v>
      </c>
      <c r="H214" s="360"/>
      <c r="I214" s="360"/>
      <c r="J214" s="360" t="s">
        <v>333</v>
      </c>
      <c r="K214" s="362"/>
      <c r="L214" s="361"/>
      <c r="M214" s="361"/>
      <c r="N214" s="360"/>
      <c r="O214" s="360"/>
      <c r="P214" s="360"/>
      <c r="Q214" s="360"/>
      <c r="R214" s="363"/>
      <c r="S214" s="360"/>
      <c r="T214" s="361" t="s">
        <v>164</v>
      </c>
    </row>
    <row r="215" ht="34.5">
      <c r="A215" s="361" t="s">
        <v>305</v>
      </c>
      <c r="B215" s="361" t="s">
        <v>306</v>
      </c>
      <c r="C215" s="361" t="s">
        <v>219</v>
      </c>
      <c r="D215" s="361" t="s">
        <v>159</v>
      </c>
      <c r="E215" s="361" t="s">
        <v>160</v>
      </c>
      <c r="F215" s="360" t="s">
        <v>216</v>
      </c>
      <c r="G215" s="361" t="s">
        <v>217</v>
      </c>
      <c r="H215" s="360"/>
      <c r="I215" s="360"/>
      <c r="J215" s="360" t="s">
        <v>237</v>
      </c>
      <c r="K215" s="362"/>
      <c r="L215" s="361"/>
      <c r="M215" s="361"/>
      <c r="N215" s="360"/>
      <c r="O215" s="360"/>
      <c r="P215" s="360"/>
      <c r="Q215" s="360"/>
      <c r="R215" s="363"/>
      <c r="S215" s="360"/>
      <c r="T215" s="361" t="s">
        <v>164</v>
      </c>
    </row>
    <row r="216" ht="34.5">
      <c r="A216" s="361" t="s">
        <v>305</v>
      </c>
      <c r="B216" s="361" t="s">
        <v>306</v>
      </c>
      <c r="C216" s="361" t="s">
        <v>219</v>
      </c>
      <c r="D216" s="361" t="s">
        <v>159</v>
      </c>
      <c r="E216" s="361" t="s">
        <v>160</v>
      </c>
      <c r="F216" s="360" t="s">
        <v>216</v>
      </c>
      <c r="G216" s="361" t="s">
        <v>217</v>
      </c>
      <c r="H216" s="360"/>
      <c r="I216" s="360"/>
      <c r="J216" s="360" t="s">
        <v>334</v>
      </c>
      <c r="K216" s="362"/>
      <c r="L216" s="361"/>
      <c r="M216" s="361"/>
      <c r="N216" s="360"/>
      <c r="O216" s="360"/>
      <c r="P216" s="360"/>
      <c r="Q216" s="360"/>
      <c r="R216" s="363"/>
      <c r="S216" s="360"/>
      <c r="T216" s="361" t="s">
        <v>164</v>
      </c>
    </row>
    <row r="217" ht="34.5">
      <c r="A217" s="361" t="s">
        <v>305</v>
      </c>
      <c r="B217" s="361" t="s">
        <v>306</v>
      </c>
      <c r="C217" s="361" t="s">
        <v>219</v>
      </c>
      <c r="D217" s="361" t="s">
        <v>159</v>
      </c>
      <c r="E217" s="361" t="s">
        <v>160</v>
      </c>
      <c r="F217" s="360" t="s">
        <v>216</v>
      </c>
      <c r="G217" s="361" t="s">
        <v>217</v>
      </c>
      <c r="H217" s="360"/>
      <c r="I217" s="360"/>
      <c r="J217" s="360" t="s">
        <v>335</v>
      </c>
      <c r="K217" s="362"/>
      <c r="L217" s="361"/>
      <c r="M217" s="361"/>
      <c r="N217" s="360"/>
      <c r="O217" s="360"/>
      <c r="P217" s="360"/>
      <c r="Q217" s="360"/>
      <c r="R217" s="363"/>
      <c r="S217" s="360"/>
      <c r="T217" s="361" t="s">
        <v>164</v>
      </c>
    </row>
    <row r="218" ht="34.5">
      <c r="A218" s="361" t="s">
        <v>305</v>
      </c>
      <c r="B218" s="361" t="s">
        <v>306</v>
      </c>
      <c r="C218" s="361" t="s">
        <v>219</v>
      </c>
      <c r="D218" s="361" t="s">
        <v>159</v>
      </c>
      <c r="E218" s="361" t="s">
        <v>160</v>
      </c>
      <c r="F218" s="360" t="s">
        <v>216</v>
      </c>
      <c r="G218" s="361" t="s">
        <v>217</v>
      </c>
      <c r="H218" s="360"/>
      <c r="I218" s="360"/>
      <c r="J218" s="360" t="s">
        <v>336</v>
      </c>
      <c r="K218" s="362"/>
      <c r="L218" s="361"/>
      <c r="M218" s="361"/>
      <c r="N218" s="360"/>
      <c r="O218" s="360"/>
      <c r="P218" s="360"/>
      <c r="Q218" s="360"/>
      <c r="R218" s="363"/>
      <c r="S218" s="360"/>
      <c r="T218" s="361" t="s">
        <v>164</v>
      </c>
    </row>
    <row r="219" ht="34.5">
      <c r="A219" s="361" t="s">
        <v>305</v>
      </c>
      <c r="B219" s="361" t="s">
        <v>306</v>
      </c>
      <c r="C219" s="361" t="s">
        <v>219</v>
      </c>
      <c r="D219" s="361" t="s">
        <v>159</v>
      </c>
      <c r="E219" s="361" t="s">
        <v>160</v>
      </c>
      <c r="F219" s="360" t="s">
        <v>216</v>
      </c>
      <c r="G219" s="361" t="s">
        <v>217</v>
      </c>
      <c r="H219" s="360"/>
      <c r="I219" s="360"/>
      <c r="J219" s="360" t="s">
        <v>337</v>
      </c>
      <c r="K219" s="362"/>
      <c r="L219" s="361"/>
      <c r="M219" s="361"/>
      <c r="N219" s="360"/>
      <c r="O219" s="360"/>
      <c r="P219" s="360"/>
      <c r="Q219" s="360"/>
      <c r="R219" s="363"/>
      <c r="S219" s="360"/>
      <c r="T219" s="361" t="s">
        <v>164</v>
      </c>
    </row>
    <row r="220" ht="34.5">
      <c r="A220" s="361" t="s">
        <v>305</v>
      </c>
      <c r="B220" s="361" t="s">
        <v>306</v>
      </c>
      <c r="C220" s="361" t="s">
        <v>219</v>
      </c>
      <c r="D220" s="361" t="s">
        <v>159</v>
      </c>
      <c r="E220" s="361" t="s">
        <v>160</v>
      </c>
      <c r="F220" s="360" t="s">
        <v>216</v>
      </c>
      <c r="G220" s="361" t="s">
        <v>217</v>
      </c>
      <c r="H220" s="360"/>
      <c r="I220" s="360"/>
      <c r="J220" s="360" t="s">
        <v>242</v>
      </c>
      <c r="K220" s="362"/>
      <c r="L220" s="361"/>
      <c r="M220" s="361"/>
      <c r="N220" s="360"/>
      <c r="O220" s="360"/>
      <c r="P220" s="360"/>
      <c r="Q220" s="360"/>
      <c r="R220" s="363"/>
      <c r="S220" s="360"/>
      <c r="T220" s="361" t="s">
        <v>164</v>
      </c>
    </row>
    <row r="221" ht="34.5">
      <c r="A221" s="361" t="s">
        <v>305</v>
      </c>
      <c r="B221" s="361" t="s">
        <v>306</v>
      </c>
      <c r="C221" s="361" t="s">
        <v>219</v>
      </c>
      <c r="D221" s="361" t="s">
        <v>159</v>
      </c>
      <c r="E221" s="361" t="s">
        <v>160</v>
      </c>
      <c r="F221" s="360" t="s">
        <v>216</v>
      </c>
      <c r="G221" s="361" t="s">
        <v>217</v>
      </c>
      <c r="H221" s="360"/>
      <c r="I221" s="360"/>
      <c r="J221" s="360" t="s">
        <v>338</v>
      </c>
      <c r="K221" s="362"/>
      <c r="L221" s="361"/>
      <c r="M221" s="361"/>
      <c r="N221" s="360"/>
      <c r="O221" s="360"/>
      <c r="P221" s="360"/>
      <c r="Q221" s="360"/>
      <c r="R221" s="363"/>
      <c r="S221" s="360"/>
      <c r="T221" s="361" t="s">
        <v>164</v>
      </c>
    </row>
    <row r="222" ht="34.5">
      <c r="A222" s="361" t="s">
        <v>305</v>
      </c>
      <c r="B222" s="361" t="s">
        <v>306</v>
      </c>
      <c r="C222" s="361" t="s">
        <v>228</v>
      </c>
      <c r="D222" s="361" t="s">
        <v>159</v>
      </c>
      <c r="E222" s="361" t="s">
        <v>160</v>
      </c>
      <c r="F222" s="360" t="s">
        <v>216</v>
      </c>
      <c r="G222" s="361" t="s">
        <v>217</v>
      </c>
      <c r="H222" s="360"/>
      <c r="I222" s="360"/>
      <c r="J222" s="360" t="s">
        <v>339</v>
      </c>
      <c r="K222" s="362"/>
      <c r="L222" s="361"/>
      <c r="M222" s="361"/>
      <c r="N222" s="360"/>
      <c r="O222" s="360"/>
      <c r="P222" s="360"/>
      <c r="Q222" s="360"/>
      <c r="R222" s="363"/>
      <c r="S222" s="360"/>
      <c r="T222" s="361" t="s">
        <v>164</v>
      </c>
    </row>
    <row r="223" ht="34.5">
      <c r="A223" s="361" t="s">
        <v>305</v>
      </c>
      <c r="B223" s="361" t="s">
        <v>306</v>
      </c>
      <c r="C223" s="361" t="s">
        <v>228</v>
      </c>
      <c r="D223" s="361" t="s">
        <v>159</v>
      </c>
      <c r="E223" s="361" t="s">
        <v>160</v>
      </c>
      <c r="F223" s="360" t="s">
        <v>216</v>
      </c>
      <c r="G223" s="361" t="s">
        <v>217</v>
      </c>
      <c r="H223" s="360"/>
      <c r="I223" s="360"/>
      <c r="J223" s="360" t="s">
        <v>340</v>
      </c>
      <c r="K223" s="362"/>
      <c r="L223" s="361"/>
      <c r="M223" s="361"/>
      <c r="N223" s="360"/>
      <c r="O223" s="360"/>
      <c r="P223" s="360"/>
      <c r="Q223" s="360"/>
      <c r="R223" s="363"/>
      <c r="S223" s="360"/>
      <c r="T223" s="361" t="s">
        <v>164</v>
      </c>
    </row>
    <row r="224" ht="34.5">
      <c r="A224" s="361" t="s">
        <v>305</v>
      </c>
      <c r="B224" s="361" t="s">
        <v>306</v>
      </c>
      <c r="C224" s="361" t="s">
        <v>228</v>
      </c>
      <c r="D224" s="361" t="s">
        <v>159</v>
      </c>
      <c r="E224" s="361" t="s">
        <v>160</v>
      </c>
      <c r="F224" s="360" t="s">
        <v>216</v>
      </c>
      <c r="G224" s="361" t="s">
        <v>217</v>
      </c>
      <c r="H224" s="360"/>
      <c r="I224" s="360"/>
      <c r="J224" s="360" t="s">
        <v>246</v>
      </c>
      <c r="K224" s="362"/>
      <c r="L224" s="361"/>
      <c r="M224" s="361"/>
      <c r="N224" s="360"/>
      <c r="O224" s="360"/>
      <c r="P224" s="360"/>
      <c r="Q224" s="360"/>
      <c r="R224" s="363"/>
      <c r="S224" s="360"/>
      <c r="T224" s="361" t="s">
        <v>164</v>
      </c>
    </row>
    <row r="225" ht="34.5">
      <c r="A225" s="361" t="s">
        <v>305</v>
      </c>
      <c r="B225" s="361" t="s">
        <v>306</v>
      </c>
      <c r="C225" s="361" t="s">
        <v>228</v>
      </c>
      <c r="D225" s="361" t="s">
        <v>159</v>
      </c>
      <c r="E225" s="361" t="s">
        <v>160</v>
      </c>
      <c r="F225" s="360" t="s">
        <v>216</v>
      </c>
      <c r="G225" s="361" t="s">
        <v>217</v>
      </c>
      <c r="H225" s="360"/>
      <c r="I225" s="360"/>
      <c r="J225" s="360" t="s">
        <v>294</v>
      </c>
      <c r="K225" s="362"/>
      <c r="L225" s="361"/>
      <c r="M225" s="361"/>
      <c r="N225" s="360"/>
      <c r="O225" s="360"/>
      <c r="P225" s="360"/>
      <c r="Q225" s="360"/>
      <c r="R225" s="363"/>
      <c r="S225" s="360"/>
      <c r="T225" s="361" t="s">
        <v>164</v>
      </c>
    </row>
    <row r="226" ht="34.5">
      <c r="A226" s="361" t="s">
        <v>305</v>
      </c>
      <c r="B226" s="361" t="s">
        <v>306</v>
      </c>
      <c r="C226" s="361" t="s">
        <v>228</v>
      </c>
      <c r="D226" s="361" t="s">
        <v>159</v>
      </c>
      <c r="E226" s="361" t="s">
        <v>160</v>
      </c>
      <c r="F226" s="360" t="s">
        <v>216</v>
      </c>
      <c r="G226" s="361" t="s">
        <v>217</v>
      </c>
      <c r="H226" s="360"/>
      <c r="I226" s="360"/>
      <c r="J226" s="360" t="s">
        <v>341</v>
      </c>
      <c r="K226" s="362"/>
      <c r="L226" s="361"/>
      <c r="M226" s="361"/>
      <c r="N226" s="360"/>
      <c r="O226" s="360"/>
      <c r="P226" s="360"/>
      <c r="Q226" s="360"/>
      <c r="R226" s="363"/>
      <c r="S226" s="360"/>
      <c r="T226" s="361" t="s">
        <v>164</v>
      </c>
    </row>
    <row r="227" ht="34.5">
      <c r="A227" s="361" t="s">
        <v>305</v>
      </c>
      <c r="B227" s="361" t="s">
        <v>306</v>
      </c>
      <c r="C227" s="361" t="s">
        <v>228</v>
      </c>
      <c r="D227" s="361" t="s">
        <v>159</v>
      </c>
      <c r="E227" s="361" t="s">
        <v>160</v>
      </c>
      <c r="F227" s="360" t="s">
        <v>216</v>
      </c>
      <c r="G227" s="361" t="s">
        <v>217</v>
      </c>
      <c r="H227" s="360"/>
      <c r="I227" s="360"/>
      <c r="J227" s="360" t="s">
        <v>249</v>
      </c>
      <c r="K227" s="362"/>
      <c r="L227" s="361"/>
      <c r="M227" s="361"/>
      <c r="N227" s="360"/>
      <c r="O227" s="360"/>
      <c r="P227" s="360"/>
      <c r="Q227" s="360"/>
      <c r="R227" s="363"/>
      <c r="S227" s="360"/>
      <c r="T227" s="361" t="s">
        <v>164</v>
      </c>
    </row>
    <row r="228" ht="34.5">
      <c r="A228" s="361" t="s">
        <v>305</v>
      </c>
      <c r="B228" s="361" t="s">
        <v>306</v>
      </c>
      <c r="C228" s="361" t="s">
        <v>228</v>
      </c>
      <c r="D228" s="361" t="s">
        <v>159</v>
      </c>
      <c r="E228" s="361" t="s">
        <v>160</v>
      </c>
      <c r="F228" s="360" t="s">
        <v>216</v>
      </c>
      <c r="G228" s="361" t="s">
        <v>217</v>
      </c>
      <c r="H228" s="360"/>
      <c r="I228" s="360"/>
      <c r="J228" s="360" t="s">
        <v>342</v>
      </c>
      <c r="K228" s="362">
        <v>1000</v>
      </c>
      <c r="L228" s="361" t="s">
        <v>236</v>
      </c>
      <c r="M228" s="361"/>
      <c r="N228" s="360"/>
      <c r="O228" s="360"/>
      <c r="P228" s="360"/>
      <c r="Q228" s="360"/>
      <c r="R228" s="363"/>
      <c r="S228" s="360"/>
      <c r="T228" s="361" t="s">
        <v>164</v>
      </c>
    </row>
    <row r="229" ht="34.5">
      <c r="A229" s="361" t="s">
        <v>305</v>
      </c>
      <c r="B229" s="361" t="s">
        <v>306</v>
      </c>
      <c r="C229" s="361" t="s">
        <v>228</v>
      </c>
      <c r="D229" s="361" t="s">
        <v>159</v>
      </c>
      <c r="E229" s="361" t="s">
        <v>160</v>
      </c>
      <c r="F229" s="360" t="s">
        <v>216</v>
      </c>
      <c r="G229" s="361" t="s">
        <v>217</v>
      </c>
      <c r="H229" s="360"/>
      <c r="I229" s="360"/>
      <c r="J229" s="360" t="s">
        <v>343</v>
      </c>
      <c r="K229" s="362"/>
      <c r="L229" s="361"/>
      <c r="M229" s="361"/>
      <c r="N229" s="360"/>
      <c r="O229" s="360"/>
      <c r="P229" s="360"/>
      <c r="Q229" s="360"/>
      <c r="R229" s="363"/>
      <c r="S229" s="360"/>
      <c r="T229" s="361" t="s">
        <v>164</v>
      </c>
    </row>
    <row r="230" ht="34.5">
      <c r="A230" s="361" t="s">
        <v>305</v>
      </c>
      <c r="B230" s="361" t="s">
        <v>306</v>
      </c>
      <c r="C230" s="361" t="s">
        <v>228</v>
      </c>
      <c r="D230" s="361" t="s">
        <v>159</v>
      </c>
      <c r="E230" s="361" t="s">
        <v>160</v>
      </c>
      <c r="F230" s="360" t="s">
        <v>216</v>
      </c>
      <c r="G230" s="361" t="s">
        <v>217</v>
      </c>
      <c r="H230" s="360"/>
      <c r="I230" s="360"/>
      <c r="J230" s="360" t="s">
        <v>254</v>
      </c>
      <c r="K230" s="362"/>
      <c r="L230" s="361"/>
      <c r="M230" s="361"/>
      <c r="N230" s="360"/>
      <c r="O230" s="360"/>
      <c r="P230" s="360"/>
      <c r="Q230" s="360"/>
      <c r="R230" s="363"/>
      <c r="S230" s="360"/>
      <c r="T230" s="361" t="s">
        <v>164</v>
      </c>
    </row>
    <row r="231" ht="34.5">
      <c r="A231" s="361" t="s">
        <v>305</v>
      </c>
      <c r="B231" s="361" t="s">
        <v>306</v>
      </c>
      <c r="C231" s="361" t="s">
        <v>228</v>
      </c>
      <c r="D231" s="361" t="s">
        <v>159</v>
      </c>
      <c r="E231" s="361" t="s">
        <v>160</v>
      </c>
      <c r="F231" s="360" t="s">
        <v>216</v>
      </c>
      <c r="G231" s="361" t="s">
        <v>217</v>
      </c>
      <c r="H231" s="360"/>
      <c r="I231" s="360"/>
      <c r="J231" s="360" t="s">
        <v>344</v>
      </c>
      <c r="K231" s="362"/>
      <c r="L231" s="361"/>
      <c r="M231" s="361"/>
      <c r="N231" s="360"/>
      <c r="O231" s="360"/>
      <c r="P231" s="360"/>
      <c r="Q231" s="360"/>
      <c r="R231" s="363"/>
      <c r="S231" s="360"/>
      <c r="T231" s="361" t="s">
        <v>164</v>
      </c>
    </row>
    <row r="232" ht="34.5">
      <c r="A232" s="361" t="s">
        <v>305</v>
      </c>
      <c r="B232" s="361" t="s">
        <v>306</v>
      </c>
      <c r="C232" s="361" t="s">
        <v>240</v>
      </c>
      <c r="D232" s="361" t="s">
        <v>159</v>
      </c>
      <c r="E232" s="361" t="s">
        <v>160</v>
      </c>
      <c r="F232" s="360" t="s">
        <v>216</v>
      </c>
      <c r="G232" s="361" t="s">
        <v>217</v>
      </c>
      <c r="H232" s="360"/>
      <c r="I232" s="360"/>
      <c r="J232" s="360" t="s">
        <v>345</v>
      </c>
      <c r="K232" s="362"/>
      <c r="L232" s="361"/>
      <c r="M232" s="361"/>
      <c r="N232" s="360"/>
      <c r="O232" s="360"/>
      <c r="P232" s="360"/>
      <c r="Q232" s="360"/>
      <c r="R232" s="363"/>
      <c r="S232" s="360"/>
      <c r="T232" s="361" t="s">
        <v>164</v>
      </c>
    </row>
    <row r="233" ht="34.5">
      <c r="A233" s="361" t="s">
        <v>305</v>
      </c>
      <c r="B233" s="361" t="s">
        <v>306</v>
      </c>
      <c r="C233" s="361" t="s">
        <v>240</v>
      </c>
      <c r="D233" s="361" t="s">
        <v>159</v>
      </c>
      <c r="E233" s="361" t="s">
        <v>160</v>
      </c>
      <c r="F233" s="360" t="s">
        <v>216</v>
      </c>
      <c r="G233" s="361" t="s">
        <v>217</v>
      </c>
      <c r="H233" s="360"/>
      <c r="I233" s="360"/>
      <c r="J233" s="360" t="s">
        <v>259</v>
      </c>
      <c r="K233" s="362"/>
      <c r="L233" s="361"/>
      <c r="M233" s="361"/>
      <c r="N233" s="360"/>
      <c r="O233" s="360"/>
      <c r="P233" s="360"/>
      <c r="Q233" s="360"/>
      <c r="R233" s="363"/>
      <c r="S233" s="360"/>
      <c r="T233" s="361" t="s">
        <v>164</v>
      </c>
    </row>
    <row r="234" ht="34.5">
      <c r="A234" s="361" t="s">
        <v>305</v>
      </c>
      <c r="B234" s="361" t="s">
        <v>306</v>
      </c>
      <c r="C234" s="361" t="s">
        <v>240</v>
      </c>
      <c r="D234" s="361" t="s">
        <v>159</v>
      </c>
      <c r="E234" s="361" t="s">
        <v>160</v>
      </c>
      <c r="F234" s="360" t="s">
        <v>216</v>
      </c>
      <c r="G234" s="361" t="s">
        <v>217</v>
      </c>
      <c r="H234" s="360"/>
      <c r="I234" s="360"/>
      <c r="J234" s="360" t="s">
        <v>301</v>
      </c>
      <c r="K234" s="362"/>
      <c r="L234" s="361"/>
      <c r="M234" s="361"/>
      <c r="N234" s="360"/>
      <c r="O234" s="360"/>
      <c r="P234" s="360"/>
      <c r="Q234" s="360"/>
      <c r="R234" s="363"/>
      <c r="S234" s="360"/>
      <c r="T234" s="361" t="s">
        <v>164</v>
      </c>
    </row>
    <row r="235" ht="34.5">
      <c r="A235" s="361" t="s">
        <v>305</v>
      </c>
      <c r="B235" s="361" t="s">
        <v>306</v>
      </c>
      <c r="C235" s="361" t="s">
        <v>240</v>
      </c>
      <c r="D235" s="361" t="s">
        <v>159</v>
      </c>
      <c r="E235" s="361" t="s">
        <v>160</v>
      </c>
      <c r="F235" s="360" t="s">
        <v>216</v>
      </c>
      <c r="G235" s="361" t="s">
        <v>217</v>
      </c>
      <c r="H235" s="360"/>
      <c r="I235" s="360"/>
      <c r="J235" s="360" t="s">
        <v>346</v>
      </c>
      <c r="K235" s="362"/>
      <c r="L235" s="361"/>
      <c r="M235" s="361"/>
      <c r="N235" s="360"/>
      <c r="O235" s="360"/>
      <c r="P235" s="360"/>
      <c r="Q235" s="360"/>
      <c r="R235" s="363"/>
      <c r="S235" s="360"/>
      <c r="T235" s="361" t="s">
        <v>164</v>
      </c>
    </row>
    <row r="236" ht="34.5">
      <c r="A236" s="361" t="s">
        <v>305</v>
      </c>
      <c r="B236" s="361" t="s">
        <v>306</v>
      </c>
      <c r="C236" s="361" t="s">
        <v>240</v>
      </c>
      <c r="D236" s="361" t="s">
        <v>159</v>
      </c>
      <c r="E236" s="361" t="s">
        <v>160</v>
      </c>
      <c r="F236" s="360" t="s">
        <v>216</v>
      </c>
      <c r="G236" s="361" t="s">
        <v>217</v>
      </c>
      <c r="H236" s="360"/>
      <c r="I236" s="360"/>
      <c r="J236" s="360" t="s">
        <v>347</v>
      </c>
      <c r="K236" s="362"/>
      <c r="L236" s="361"/>
      <c r="M236" s="361"/>
      <c r="N236" s="360"/>
      <c r="O236" s="360"/>
      <c r="P236" s="360"/>
      <c r="Q236" s="360"/>
      <c r="R236" s="363"/>
      <c r="S236" s="360"/>
      <c r="T236" s="361" t="s">
        <v>164</v>
      </c>
    </row>
    <row r="237" ht="34.5">
      <c r="A237" s="361" t="s">
        <v>348</v>
      </c>
      <c r="B237" s="361" t="s">
        <v>349</v>
      </c>
      <c r="C237" s="361" t="s">
        <v>158</v>
      </c>
      <c r="D237" s="361" t="s">
        <v>159</v>
      </c>
      <c r="E237" s="361" t="s">
        <v>160</v>
      </c>
      <c r="F237" s="360" t="s">
        <v>161</v>
      </c>
      <c r="G237" s="361" t="s">
        <v>162</v>
      </c>
      <c r="H237" s="360"/>
      <c r="I237" s="360"/>
      <c r="J237" s="360" t="s">
        <v>350</v>
      </c>
      <c r="K237" s="362"/>
      <c r="L237" s="361"/>
      <c r="M237" s="361"/>
      <c r="N237" s="360"/>
      <c r="O237" s="360"/>
      <c r="P237" s="360"/>
      <c r="Q237" s="360"/>
      <c r="R237" s="363"/>
      <c r="S237" s="360"/>
      <c r="T237" s="361" t="s">
        <v>164</v>
      </c>
    </row>
    <row r="238" ht="34.5">
      <c r="A238" s="361" t="s">
        <v>348</v>
      </c>
      <c r="B238" s="361" t="s">
        <v>349</v>
      </c>
      <c r="C238" s="361" t="s">
        <v>158</v>
      </c>
      <c r="D238" s="361" t="s">
        <v>159</v>
      </c>
      <c r="E238" s="361" t="s">
        <v>160</v>
      </c>
      <c r="F238" s="360" t="s">
        <v>161</v>
      </c>
      <c r="G238" s="361" t="s">
        <v>162</v>
      </c>
      <c r="H238" s="360"/>
      <c r="I238" s="360"/>
      <c r="J238" s="360" t="s">
        <v>165</v>
      </c>
      <c r="K238" s="362"/>
      <c r="L238" s="361"/>
      <c r="M238" s="361"/>
      <c r="N238" s="360"/>
      <c r="O238" s="360"/>
      <c r="P238" s="360"/>
      <c r="Q238" s="360"/>
      <c r="R238" s="363"/>
      <c r="S238" s="360"/>
      <c r="T238" s="361" t="s">
        <v>164</v>
      </c>
    </row>
    <row r="239" ht="34.5">
      <c r="A239" s="361" t="s">
        <v>348</v>
      </c>
      <c r="B239" s="361" t="s">
        <v>349</v>
      </c>
      <c r="C239" s="361" t="s">
        <v>158</v>
      </c>
      <c r="D239" s="361" t="s">
        <v>159</v>
      </c>
      <c r="E239" s="361" t="s">
        <v>160</v>
      </c>
      <c r="F239" s="360" t="s">
        <v>161</v>
      </c>
      <c r="G239" s="361" t="s">
        <v>162</v>
      </c>
      <c r="H239" s="360"/>
      <c r="I239" s="360"/>
      <c r="J239" s="360" t="s">
        <v>351</v>
      </c>
      <c r="K239" s="362"/>
      <c r="L239" s="361"/>
      <c r="M239" s="361"/>
      <c r="N239" s="360"/>
      <c r="O239" s="360"/>
      <c r="P239" s="360"/>
      <c r="Q239" s="360"/>
      <c r="R239" s="363"/>
      <c r="S239" s="360"/>
      <c r="T239" s="361" t="s">
        <v>164</v>
      </c>
    </row>
    <row r="240" ht="34.5">
      <c r="A240" s="361" t="s">
        <v>348</v>
      </c>
      <c r="B240" s="361" t="s">
        <v>349</v>
      </c>
      <c r="C240" s="361" t="s">
        <v>158</v>
      </c>
      <c r="D240" s="361" t="s">
        <v>159</v>
      </c>
      <c r="E240" s="361" t="s">
        <v>160</v>
      </c>
      <c r="F240" s="360" t="s">
        <v>161</v>
      </c>
      <c r="G240" s="361" t="s">
        <v>162</v>
      </c>
      <c r="H240" s="360"/>
      <c r="I240" s="360"/>
      <c r="J240" s="360" t="s">
        <v>352</v>
      </c>
      <c r="K240" s="362"/>
      <c r="L240" s="361"/>
      <c r="M240" s="361"/>
      <c r="N240" s="360"/>
      <c r="O240" s="360"/>
      <c r="P240" s="360"/>
      <c r="Q240" s="360"/>
      <c r="R240" s="363"/>
      <c r="S240" s="360"/>
      <c r="T240" s="361" t="s">
        <v>164</v>
      </c>
    </row>
    <row r="241" ht="34.5">
      <c r="A241" s="361" t="s">
        <v>348</v>
      </c>
      <c r="B241" s="361" t="s">
        <v>349</v>
      </c>
      <c r="C241" s="361" t="s">
        <v>158</v>
      </c>
      <c r="D241" s="361" t="s">
        <v>159</v>
      </c>
      <c r="E241" s="361" t="s">
        <v>160</v>
      </c>
      <c r="F241" s="360" t="s">
        <v>161</v>
      </c>
      <c r="G241" s="361" t="s">
        <v>162</v>
      </c>
      <c r="H241" s="360"/>
      <c r="I241" s="360"/>
      <c r="J241" s="360" t="s">
        <v>353</v>
      </c>
      <c r="K241" s="362"/>
      <c r="L241" s="361"/>
      <c r="M241" s="361"/>
      <c r="N241" s="360"/>
      <c r="O241" s="360"/>
      <c r="P241" s="360"/>
      <c r="Q241" s="360"/>
      <c r="R241" s="363"/>
      <c r="S241" s="360"/>
      <c r="T241" s="361" t="s">
        <v>164</v>
      </c>
    </row>
    <row r="242" ht="34.5">
      <c r="A242" s="361" t="s">
        <v>348</v>
      </c>
      <c r="B242" s="361" t="s">
        <v>349</v>
      </c>
      <c r="C242" s="361" t="s">
        <v>158</v>
      </c>
      <c r="D242" s="361" t="s">
        <v>159</v>
      </c>
      <c r="E242" s="361" t="s">
        <v>160</v>
      </c>
      <c r="F242" s="360" t="s">
        <v>161</v>
      </c>
      <c r="G242" s="361" t="s">
        <v>162</v>
      </c>
      <c r="H242" s="360"/>
      <c r="I242" s="360"/>
      <c r="J242" s="360" t="s">
        <v>308</v>
      </c>
      <c r="K242" s="362"/>
      <c r="L242" s="361"/>
      <c r="M242" s="361"/>
      <c r="N242" s="360"/>
      <c r="O242" s="360"/>
      <c r="P242" s="360"/>
      <c r="Q242" s="360"/>
      <c r="R242" s="363"/>
      <c r="S242" s="360"/>
      <c r="T242" s="361" t="s">
        <v>164</v>
      </c>
    </row>
    <row r="243" ht="34.5">
      <c r="A243" s="361" t="s">
        <v>348</v>
      </c>
      <c r="B243" s="361" t="s">
        <v>349</v>
      </c>
      <c r="C243" s="361" t="s">
        <v>158</v>
      </c>
      <c r="D243" s="361" t="s">
        <v>159</v>
      </c>
      <c r="E243" s="361" t="s">
        <v>172</v>
      </c>
      <c r="F243" s="360" t="s">
        <v>173</v>
      </c>
      <c r="G243" s="361" t="s">
        <v>162</v>
      </c>
      <c r="H243" s="360"/>
      <c r="I243" s="360"/>
      <c r="J243" s="360" t="s">
        <v>354</v>
      </c>
      <c r="K243" s="362"/>
      <c r="L243" s="361"/>
      <c r="M243" s="361"/>
      <c r="N243" s="360"/>
      <c r="O243" s="360"/>
      <c r="P243" s="360"/>
      <c r="Q243" s="360"/>
      <c r="R243" s="363"/>
      <c r="S243" s="360"/>
      <c r="T243" s="361" t="s">
        <v>164</v>
      </c>
    </row>
    <row r="244" ht="34.5">
      <c r="A244" s="361" t="s">
        <v>348</v>
      </c>
      <c r="B244" s="361" t="s">
        <v>349</v>
      </c>
      <c r="C244" s="361" t="s">
        <v>158</v>
      </c>
      <c r="D244" s="361" t="s">
        <v>159</v>
      </c>
      <c r="E244" s="361" t="s">
        <v>172</v>
      </c>
      <c r="F244" s="360" t="s">
        <v>173</v>
      </c>
      <c r="G244" s="361" t="s">
        <v>162</v>
      </c>
      <c r="H244" s="360"/>
      <c r="I244" s="360"/>
      <c r="J244" s="360" t="s">
        <v>175</v>
      </c>
      <c r="K244" s="362"/>
      <c r="L244" s="361"/>
      <c r="M244" s="361"/>
      <c r="N244" s="360"/>
      <c r="O244" s="360"/>
      <c r="P244" s="360"/>
      <c r="Q244" s="360"/>
      <c r="R244" s="363"/>
      <c r="S244" s="360"/>
      <c r="T244" s="361" t="s">
        <v>164</v>
      </c>
    </row>
    <row r="245" ht="34.5">
      <c r="A245" s="361" t="s">
        <v>348</v>
      </c>
      <c r="B245" s="361" t="s">
        <v>349</v>
      </c>
      <c r="C245" s="361" t="s">
        <v>158</v>
      </c>
      <c r="D245" s="361" t="s">
        <v>159</v>
      </c>
      <c r="E245" s="361" t="s">
        <v>172</v>
      </c>
      <c r="F245" s="360" t="s">
        <v>173</v>
      </c>
      <c r="G245" s="361" t="s">
        <v>162</v>
      </c>
      <c r="H245" s="360"/>
      <c r="I245" s="360"/>
      <c r="J245" s="360" t="s">
        <v>355</v>
      </c>
      <c r="K245" s="362"/>
      <c r="L245" s="361"/>
      <c r="M245" s="361"/>
      <c r="N245" s="360"/>
      <c r="O245" s="360"/>
      <c r="P245" s="360"/>
      <c r="Q245" s="360"/>
      <c r="R245" s="363"/>
      <c r="S245" s="360"/>
      <c r="T245" s="361" t="s">
        <v>164</v>
      </c>
    </row>
    <row r="246" ht="34.5">
      <c r="A246" s="361" t="s">
        <v>348</v>
      </c>
      <c r="B246" s="361" t="s">
        <v>349</v>
      </c>
      <c r="C246" s="361" t="s">
        <v>171</v>
      </c>
      <c r="D246" s="361" t="s">
        <v>159</v>
      </c>
      <c r="E246" s="361" t="s">
        <v>172</v>
      </c>
      <c r="F246" s="360" t="s">
        <v>173</v>
      </c>
      <c r="G246" s="361" t="s">
        <v>162</v>
      </c>
      <c r="H246" s="360"/>
      <c r="I246" s="360"/>
      <c r="J246" s="360" t="s">
        <v>356</v>
      </c>
      <c r="K246" s="362"/>
      <c r="L246" s="361"/>
      <c r="M246" s="361"/>
      <c r="N246" s="360"/>
      <c r="O246" s="360"/>
      <c r="P246" s="360"/>
      <c r="Q246" s="360"/>
      <c r="R246" s="363"/>
      <c r="S246" s="360"/>
      <c r="T246" s="361" t="s">
        <v>164</v>
      </c>
    </row>
    <row r="247" ht="34.5">
      <c r="A247" s="361" t="s">
        <v>348</v>
      </c>
      <c r="B247" s="361" t="s">
        <v>349</v>
      </c>
      <c r="C247" s="361" t="s">
        <v>171</v>
      </c>
      <c r="D247" s="361" t="s">
        <v>159</v>
      </c>
      <c r="E247" s="361" t="s">
        <v>172</v>
      </c>
      <c r="F247" s="360" t="s">
        <v>173</v>
      </c>
      <c r="G247" s="361" t="s">
        <v>162</v>
      </c>
      <c r="H247" s="360"/>
      <c r="I247" s="360"/>
      <c r="J247" s="360" t="s">
        <v>357</v>
      </c>
      <c r="K247" s="362"/>
      <c r="L247" s="361"/>
      <c r="M247" s="361"/>
      <c r="N247" s="360"/>
      <c r="O247" s="360"/>
      <c r="P247" s="360"/>
      <c r="Q247" s="360"/>
      <c r="R247" s="363"/>
      <c r="S247" s="360"/>
      <c r="T247" s="361" t="s">
        <v>164</v>
      </c>
    </row>
    <row r="248" ht="34.5">
      <c r="A248" s="361" t="s">
        <v>348</v>
      </c>
      <c r="B248" s="361" t="s">
        <v>349</v>
      </c>
      <c r="C248" s="361" t="s">
        <v>171</v>
      </c>
      <c r="D248" s="361" t="s">
        <v>159</v>
      </c>
      <c r="E248" s="361" t="s">
        <v>172</v>
      </c>
      <c r="F248" s="360" t="s">
        <v>173</v>
      </c>
      <c r="G248" s="361" t="s">
        <v>162</v>
      </c>
      <c r="H248" s="360"/>
      <c r="I248" s="360"/>
      <c r="J248" s="360" t="s">
        <v>179</v>
      </c>
      <c r="K248" s="362"/>
      <c r="L248" s="361"/>
      <c r="M248" s="361"/>
      <c r="N248" s="360"/>
      <c r="O248" s="360"/>
      <c r="P248" s="360"/>
      <c r="Q248" s="360"/>
      <c r="R248" s="363"/>
      <c r="S248" s="360"/>
      <c r="T248" s="361" t="s">
        <v>164</v>
      </c>
    </row>
    <row r="249" ht="34.5">
      <c r="A249" s="361" t="s">
        <v>348</v>
      </c>
      <c r="B249" s="361" t="s">
        <v>349</v>
      </c>
      <c r="C249" s="361" t="s">
        <v>171</v>
      </c>
      <c r="D249" s="361" t="s">
        <v>180</v>
      </c>
      <c r="E249" s="361" t="s">
        <v>172</v>
      </c>
      <c r="F249" s="360" t="s">
        <v>173</v>
      </c>
      <c r="G249" s="361" t="s">
        <v>162</v>
      </c>
      <c r="H249" s="360"/>
      <c r="I249" s="360"/>
      <c r="J249" s="360" t="s">
        <v>181</v>
      </c>
      <c r="K249" s="362"/>
      <c r="L249" s="361"/>
      <c r="M249" s="361"/>
      <c r="N249" s="360"/>
      <c r="O249" s="360"/>
      <c r="P249" s="360"/>
      <c r="Q249" s="360"/>
      <c r="R249" s="363"/>
      <c r="S249" s="360"/>
      <c r="T249" s="361" t="s">
        <v>164</v>
      </c>
    </row>
    <row r="250" ht="34.5">
      <c r="A250" s="361" t="s">
        <v>348</v>
      </c>
      <c r="B250" s="361" t="s">
        <v>349</v>
      </c>
      <c r="C250" s="361" t="s">
        <v>182</v>
      </c>
      <c r="D250" s="361" t="s">
        <v>183</v>
      </c>
      <c r="E250" s="361" t="s">
        <v>172</v>
      </c>
      <c r="F250" s="360" t="s">
        <v>173</v>
      </c>
      <c r="G250" s="361" t="s">
        <v>162</v>
      </c>
      <c r="H250" s="360"/>
      <c r="I250" s="360"/>
      <c r="J250" s="360" t="s">
        <v>184</v>
      </c>
      <c r="K250" s="362"/>
      <c r="L250" s="361"/>
      <c r="M250" s="361"/>
      <c r="N250" s="360"/>
      <c r="O250" s="360"/>
      <c r="P250" s="360"/>
      <c r="Q250" s="360"/>
      <c r="R250" s="363"/>
      <c r="S250" s="360"/>
      <c r="T250" s="361" t="s">
        <v>164</v>
      </c>
    </row>
    <row r="251" ht="34.5">
      <c r="A251" s="361" t="s">
        <v>348</v>
      </c>
      <c r="B251" s="361" t="s">
        <v>349</v>
      </c>
      <c r="C251" s="361" t="s">
        <v>182</v>
      </c>
      <c r="D251" s="361" t="s">
        <v>159</v>
      </c>
      <c r="E251" s="361" t="s">
        <v>186</v>
      </c>
      <c r="F251" s="360" t="s">
        <v>187</v>
      </c>
      <c r="G251" s="361" t="s">
        <v>162</v>
      </c>
      <c r="H251" s="360"/>
      <c r="I251" s="360"/>
      <c r="J251" s="360" t="s">
        <v>358</v>
      </c>
      <c r="K251" s="362"/>
      <c r="L251" s="361"/>
      <c r="M251" s="361"/>
      <c r="N251" s="360"/>
      <c r="O251" s="360"/>
      <c r="P251" s="360"/>
      <c r="Q251" s="360"/>
      <c r="R251" s="363"/>
      <c r="S251" s="360"/>
      <c r="T251" s="361" t="s">
        <v>164</v>
      </c>
    </row>
    <row r="252" ht="34.5">
      <c r="A252" s="361" t="s">
        <v>348</v>
      </c>
      <c r="B252" s="361" t="s">
        <v>349</v>
      </c>
      <c r="C252" s="361" t="s">
        <v>182</v>
      </c>
      <c r="D252" s="361" t="s">
        <v>159</v>
      </c>
      <c r="E252" s="361" t="s">
        <v>186</v>
      </c>
      <c r="F252" s="360" t="s">
        <v>187</v>
      </c>
      <c r="G252" s="361" t="s">
        <v>162</v>
      </c>
      <c r="H252" s="360"/>
      <c r="I252" s="360"/>
      <c r="J252" s="360" t="s">
        <v>359</v>
      </c>
      <c r="K252" s="362"/>
      <c r="L252" s="361"/>
      <c r="M252" s="361"/>
      <c r="N252" s="360"/>
      <c r="O252" s="360"/>
      <c r="P252" s="360"/>
      <c r="Q252" s="360"/>
      <c r="R252" s="363"/>
      <c r="S252" s="360"/>
      <c r="T252" s="361" t="s">
        <v>164</v>
      </c>
    </row>
    <row r="253" ht="34.5">
      <c r="A253" s="361" t="s">
        <v>348</v>
      </c>
      <c r="B253" s="361" t="s">
        <v>349</v>
      </c>
      <c r="C253" s="361" t="s">
        <v>182</v>
      </c>
      <c r="D253" s="361" t="s">
        <v>159</v>
      </c>
      <c r="E253" s="361" t="s">
        <v>186</v>
      </c>
      <c r="F253" s="360" t="s">
        <v>187</v>
      </c>
      <c r="G253" s="361" t="s">
        <v>162</v>
      </c>
      <c r="H253" s="360"/>
      <c r="I253" s="360"/>
      <c r="J253" s="360" t="s">
        <v>360</v>
      </c>
      <c r="K253" s="362"/>
      <c r="L253" s="361"/>
      <c r="M253" s="361"/>
      <c r="N253" s="360"/>
      <c r="O253" s="360"/>
      <c r="P253" s="360"/>
      <c r="Q253" s="360"/>
      <c r="R253" s="363"/>
      <c r="S253" s="360"/>
      <c r="T253" s="361" t="s">
        <v>164</v>
      </c>
    </row>
    <row r="254" ht="34.5">
      <c r="A254" s="361" t="s">
        <v>348</v>
      </c>
      <c r="B254" s="361" t="s">
        <v>349</v>
      </c>
      <c r="C254" s="361" t="s">
        <v>182</v>
      </c>
      <c r="D254" s="361" t="s">
        <v>159</v>
      </c>
      <c r="E254" s="361" t="s">
        <v>186</v>
      </c>
      <c r="F254" s="360" t="s">
        <v>187</v>
      </c>
      <c r="G254" s="361" t="s">
        <v>162</v>
      </c>
      <c r="H254" s="360"/>
      <c r="I254" s="360"/>
      <c r="J254" s="360" t="s">
        <v>197</v>
      </c>
      <c r="K254" s="362"/>
      <c r="L254" s="361"/>
      <c r="M254" s="361"/>
      <c r="N254" s="360"/>
      <c r="O254" s="360"/>
      <c r="P254" s="360"/>
      <c r="Q254" s="360"/>
      <c r="R254" s="363"/>
      <c r="S254" s="360"/>
      <c r="T254" s="361" t="s">
        <v>164</v>
      </c>
    </row>
    <row r="255" ht="34.5">
      <c r="A255" s="361" t="s">
        <v>348</v>
      </c>
      <c r="B255" s="361" t="s">
        <v>349</v>
      </c>
      <c r="C255" s="361" t="s">
        <v>182</v>
      </c>
      <c r="D255" s="361" t="s">
        <v>159</v>
      </c>
      <c r="E255" s="361" t="s">
        <v>186</v>
      </c>
      <c r="F255" s="360" t="s">
        <v>187</v>
      </c>
      <c r="G255" s="361" t="s">
        <v>162</v>
      </c>
      <c r="H255" s="360"/>
      <c r="I255" s="360"/>
      <c r="J255" s="360" t="s">
        <v>198</v>
      </c>
      <c r="K255" s="362"/>
      <c r="L255" s="361"/>
      <c r="M255" s="361"/>
      <c r="N255" s="360"/>
      <c r="O255" s="360"/>
      <c r="P255" s="360"/>
      <c r="Q255" s="360"/>
      <c r="R255" s="363"/>
      <c r="S255" s="360"/>
      <c r="T255" s="361" t="s">
        <v>164</v>
      </c>
    </row>
    <row r="256" ht="34.5">
      <c r="A256" s="361" t="s">
        <v>348</v>
      </c>
      <c r="B256" s="361" t="s">
        <v>349</v>
      </c>
      <c r="C256" s="361" t="s">
        <v>182</v>
      </c>
      <c r="D256" s="361" t="s">
        <v>159</v>
      </c>
      <c r="E256" s="361" t="s">
        <v>186</v>
      </c>
      <c r="F256" s="360" t="s">
        <v>187</v>
      </c>
      <c r="G256" s="361" t="s">
        <v>162</v>
      </c>
      <c r="H256" s="360"/>
      <c r="I256" s="360"/>
      <c r="J256" s="360" t="s">
        <v>199</v>
      </c>
      <c r="K256" s="362"/>
      <c r="L256" s="361"/>
      <c r="M256" s="361"/>
      <c r="N256" s="360"/>
      <c r="O256" s="360"/>
      <c r="P256" s="360"/>
      <c r="Q256" s="360"/>
      <c r="R256" s="363"/>
      <c r="S256" s="360"/>
      <c r="T256" s="361" t="s">
        <v>164</v>
      </c>
    </row>
    <row r="257" ht="34.5">
      <c r="A257" s="361" t="s">
        <v>348</v>
      </c>
      <c r="B257" s="361" t="s">
        <v>349</v>
      </c>
      <c r="C257" s="361" t="s">
        <v>185</v>
      </c>
      <c r="D257" s="361" t="s">
        <v>159</v>
      </c>
      <c r="E257" s="361" t="s">
        <v>186</v>
      </c>
      <c r="F257" s="360" t="s">
        <v>187</v>
      </c>
      <c r="G257" s="361" t="s">
        <v>162</v>
      </c>
      <c r="H257" s="360"/>
      <c r="I257" s="360"/>
      <c r="J257" s="360" t="s">
        <v>361</v>
      </c>
      <c r="K257" s="362"/>
      <c r="L257" s="361"/>
      <c r="M257" s="361"/>
      <c r="N257" s="360"/>
      <c r="O257" s="360"/>
      <c r="P257" s="360"/>
      <c r="Q257" s="360"/>
      <c r="R257" s="363"/>
      <c r="S257" s="360"/>
      <c r="T257" s="361" t="s">
        <v>164</v>
      </c>
    </row>
    <row r="258" ht="34.5">
      <c r="A258" s="361" t="s">
        <v>348</v>
      </c>
      <c r="B258" s="361" t="s">
        <v>349</v>
      </c>
      <c r="C258" s="361" t="s">
        <v>185</v>
      </c>
      <c r="D258" s="361" t="s">
        <v>159</v>
      </c>
      <c r="E258" s="361" t="s">
        <v>186</v>
      </c>
      <c r="F258" s="360" t="s">
        <v>187</v>
      </c>
      <c r="G258" s="361" t="s">
        <v>162</v>
      </c>
      <c r="H258" s="360"/>
      <c r="I258" s="360"/>
      <c r="J258" s="360" t="s">
        <v>362</v>
      </c>
      <c r="K258" s="362"/>
      <c r="L258" s="361"/>
      <c r="M258" s="361"/>
      <c r="N258" s="360"/>
      <c r="O258" s="360"/>
      <c r="P258" s="360"/>
      <c r="Q258" s="360"/>
      <c r="R258" s="363"/>
      <c r="S258" s="360"/>
      <c r="T258" s="361" t="s">
        <v>164</v>
      </c>
    </row>
    <row r="259" ht="34.5">
      <c r="A259" s="361" t="s">
        <v>348</v>
      </c>
      <c r="B259" s="361" t="s">
        <v>349</v>
      </c>
      <c r="C259" s="361" t="s">
        <v>185</v>
      </c>
      <c r="D259" s="361" t="s">
        <v>159</v>
      </c>
      <c r="E259" s="361" t="s">
        <v>186</v>
      </c>
      <c r="F259" s="360" t="s">
        <v>187</v>
      </c>
      <c r="G259" s="361" t="s">
        <v>162</v>
      </c>
      <c r="H259" s="360"/>
      <c r="I259" s="360"/>
      <c r="J259" s="360" t="s">
        <v>277</v>
      </c>
      <c r="K259" s="362"/>
      <c r="L259" s="361"/>
      <c r="M259" s="361"/>
      <c r="N259" s="360"/>
      <c r="O259" s="360"/>
      <c r="P259" s="360"/>
      <c r="Q259" s="360"/>
      <c r="R259" s="363"/>
      <c r="S259" s="360"/>
      <c r="T259" s="361" t="s">
        <v>164</v>
      </c>
    </row>
    <row r="260" ht="34.5">
      <c r="A260" s="361" t="s">
        <v>348</v>
      </c>
      <c r="B260" s="361" t="s">
        <v>349</v>
      </c>
      <c r="C260" s="361" t="s">
        <v>185</v>
      </c>
      <c r="D260" s="361" t="s">
        <v>159</v>
      </c>
      <c r="E260" s="361" t="s">
        <v>186</v>
      </c>
      <c r="F260" s="360" t="s">
        <v>187</v>
      </c>
      <c r="G260" s="361" t="s">
        <v>162</v>
      </c>
      <c r="H260" s="360"/>
      <c r="I260" s="360"/>
      <c r="J260" s="360" t="s">
        <v>320</v>
      </c>
      <c r="K260" s="362"/>
      <c r="L260" s="361"/>
      <c r="M260" s="361"/>
      <c r="N260" s="360"/>
      <c r="O260" s="360"/>
      <c r="P260" s="360"/>
      <c r="Q260" s="360"/>
      <c r="R260" s="363"/>
      <c r="S260" s="360"/>
      <c r="T260" s="361" t="s">
        <v>164</v>
      </c>
    </row>
    <row r="261" ht="34.5">
      <c r="A261" s="361" t="s">
        <v>348</v>
      </c>
      <c r="B261" s="361" t="s">
        <v>349</v>
      </c>
      <c r="C261" s="361" t="s">
        <v>185</v>
      </c>
      <c r="D261" s="361" t="s">
        <v>159</v>
      </c>
      <c r="E261" s="361" t="s">
        <v>186</v>
      </c>
      <c r="F261" s="360" t="s">
        <v>187</v>
      </c>
      <c r="G261" s="361" t="s">
        <v>162</v>
      </c>
      <c r="H261" s="360"/>
      <c r="I261" s="360"/>
      <c r="J261" s="360" t="s">
        <v>203</v>
      </c>
      <c r="K261" s="362"/>
      <c r="L261" s="361"/>
      <c r="M261" s="361"/>
      <c r="N261" s="360"/>
      <c r="O261" s="360"/>
      <c r="P261" s="360"/>
      <c r="Q261" s="360"/>
      <c r="R261" s="363"/>
      <c r="S261" s="360"/>
      <c r="T261" s="361" t="s">
        <v>164</v>
      </c>
    </row>
    <row r="262" ht="34.5">
      <c r="A262" s="361" t="s">
        <v>348</v>
      </c>
      <c r="B262" s="361" t="s">
        <v>349</v>
      </c>
      <c r="C262" s="361" t="s">
        <v>185</v>
      </c>
      <c r="D262" s="361" t="s">
        <v>159</v>
      </c>
      <c r="E262" s="361" t="s">
        <v>186</v>
      </c>
      <c r="F262" s="360" t="s">
        <v>187</v>
      </c>
      <c r="G262" s="361" t="s">
        <v>162</v>
      </c>
      <c r="H262" s="360"/>
      <c r="I262" s="360"/>
      <c r="J262" s="360" t="s">
        <v>278</v>
      </c>
      <c r="K262" s="362"/>
      <c r="L262" s="361"/>
      <c r="M262" s="361"/>
      <c r="N262" s="360"/>
      <c r="O262" s="360"/>
      <c r="P262" s="360"/>
      <c r="Q262" s="360"/>
      <c r="R262" s="363"/>
      <c r="S262" s="360"/>
      <c r="T262" s="361" t="s">
        <v>164</v>
      </c>
    </row>
    <row r="263" ht="34.5">
      <c r="A263" s="361" t="s">
        <v>348</v>
      </c>
      <c r="B263" s="361" t="s">
        <v>349</v>
      </c>
      <c r="C263" s="361" t="s">
        <v>185</v>
      </c>
      <c r="D263" s="361" t="s">
        <v>159</v>
      </c>
      <c r="E263" s="361" t="s">
        <v>186</v>
      </c>
      <c r="F263" s="360" t="s">
        <v>187</v>
      </c>
      <c r="G263" s="361" t="s">
        <v>162</v>
      </c>
      <c r="H263" s="360"/>
      <c r="I263" s="360"/>
      <c r="J263" s="360" t="s">
        <v>280</v>
      </c>
      <c r="K263" s="362"/>
      <c r="L263" s="361"/>
      <c r="M263" s="361"/>
      <c r="N263" s="360"/>
      <c r="O263" s="360"/>
      <c r="P263" s="360"/>
      <c r="Q263" s="360"/>
      <c r="R263" s="363"/>
      <c r="S263" s="360"/>
      <c r="T263" s="361" t="s">
        <v>164</v>
      </c>
    </row>
    <row r="264" ht="34.5">
      <c r="A264" s="361" t="s">
        <v>348</v>
      </c>
      <c r="B264" s="361" t="s">
        <v>349</v>
      </c>
      <c r="C264" s="361" t="s">
        <v>185</v>
      </c>
      <c r="D264" s="361" t="s">
        <v>159</v>
      </c>
      <c r="E264" s="361" t="s">
        <v>186</v>
      </c>
      <c r="F264" s="360" t="s">
        <v>187</v>
      </c>
      <c r="G264" s="361" t="s">
        <v>162</v>
      </c>
      <c r="H264" s="360"/>
      <c r="I264" s="360"/>
      <c r="J264" s="360" t="s">
        <v>363</v>
      </c>
      <c r="K264" s="362"/>
      <c r="L264" s="361"/>
      <c r="M264" s="361"/>
      <c r="N264" s="360"/>
      <c r="O264" s="360"/>
      <c r="P264" s="360"/>
      <c r="Q264" s="360"/>
      <c r="R264" s="363"/>
      <c r="S264" s="360"/>
      <c r="T264" s="361" t="s">
        <v>164</v>
      </c>
    </row>
    <row r="265" ht="34.5">
      <c r="A265" s="361" t="s">
        <v>348</v>
      </c>
      <c r="B265" s="361" t="s">
        <v>349</v>
      </c>
      <c r="C265" s="361" t="s">
        <v>185</v>
      </c>
      <c r="D265" s="361" t="s">
        <v>159</v>
      </c>
      <c r="E265" s="361" t="s">
        <v>186</v>
      </c>
      <c r="F265" s="360" t="s">
        <v>187</v>
      </c>
      <c r="G265" s="361" t="s">
        <v>162</v>
      </c>
      <c r="H265" s="360"/>
      <c r="I265" s="360"/>
      <c r="J265" s="360" t="s">
        <v>364</v>
      </c>
      <c r="K265" s="362"/>
      <c r="L265" s="361"/>
      <c r="M265" s="361"/>
      <c r="N265" s="360"/>
      <c r="O265" s="360"/>
      <c r="P265" s="360"/>
      <c r="Q265" s="360"/>
      <c r="R265" s="363"/>
      <c r="S265" s="360"/>
      <c r="T265" s="361" t="s">
        <v>164</v>
      </c>
    </row>
    <row r="266" ht="34.5">
      <c r="A266" s="361" t="s">
        <v>348</v>
      </c>
      <c r="B266" s="361" t="s">
        <v>349</v>
      </c>
      <c r="C266" s="361" t="s">
        <v>185</v>
      </c>
      <c r="D266" s="361" t="s">
        <v>159</v>
      </c>
      <c r="E266" s="361" t="s">
        <v>186</v>
      </c>
      <c r="F266" s="360" t="s">
        <v>187</v>
      </c>
      <c r="G266" s="361" t="s">
        <v>162</v>
      </c>
      <c r="H266" s="360"/>
      <c r="I266" s="360"/>
      <c r="J266" s="360" t="s">
        <v>210</v>
      </c>
      <c r="K266" s="362"/>
      <c r="L266" s="361"/>
      <c r="M266" s="361"/>
      <c r="N266" s="360"/>
      <c r="O266" s="360"/>
      <c r="P266" s="360"/>
      <c r="Q266" s="360"/>
      <c r="R266" s="363"/>
      <c r="S266" s="360"/>
      <c r="T266" s="361" t="s">
        <v>164</v>
      </c>
    </row>
    <row r="267" ht="34.5">
      <c r="A267" s="361" t="s">
        <v>348</v>
      </c>
      <c r="B267" s="361" t="s">
        <v>349</v>
      </c>
      <c r="C267" s="361" t="s">
        <v>185</v>
      </c>
      <c r="D267" s="361" t="s">
        <v>159</v>
      </c>
      <c r="E267" s="361" t="s">
        <v>186</v>
      </c>
      <c r="F267" s="360" t="s">
        <v>187</v>
      </c>
      <c r="G267" s="361" t="s">
        <v>162</v>
      </c>
      <c r="H267" s="360"/>
      <c r="I267" s="360"/>
      <c r="J267" s="360" t="s">
        <v>211</v>
      </c>
      <c r="K267" s="362"/>
      <c r="L267" s="361"/>
      <c r="M267" s="361"/>
      <c r="N267" s="360"/>
      <c r="O267" s="360"/>
      <c r="P267" s="360"/>
      <c r="Q267" s="360"/>
      <c r="R267" s="363"/>
      <c r="S267" s="360"/>
      <c r="T267" s="361" t="s">
        <v>164</v>
      </c>
    </row>
    <row r="268" ht="34.5">
      <c r="A268" s="361" t="s">
        <v>348</v>
      </c>
      <c r="B268" s="361" t="s">
        <v>349</v>
      </c>
      <c r="C268" s="361" t="s">
        <v>185</v>
      </c>
      <c r="D268" s="361" t="s">
        <v>159</v>
      </c>
      <c r="E268" s="361" t="s">
        <v>186</v>
      </c>
      <c r="F268" s="360" t="s">
        <v>187</v>
      </c>
      <c r="G268" s="361" t="s">
        <v>162</v>
      </c>
      <c r="H268" s="360"/>
      <c r="I268" s="360"/>
      <c r="J268" s="360" t="s">
        <v>283</v>
      </c>
      <c r="K268" s="362"/>
      <c r="L268" s="361"/>
      <c r="M268" s="361"/>
      <c r="N268" s="360"/>
      <c r="O268" s="360"/>
      <c r="P268" s="360"/>
      <c r="Q268" s="360"/>
      <c r="R268" s="363"/>
      <c r="S268" s="360"/>
      <c r="T268" s="361" t="s">
        <v>164</v>
      </c>
    </row>
    <row r="269" ht="34.5">
      <c r="A269" s="361" t="s">
        <v>348</v>
      </c>
      <c r="B269" s="361" t="s">
        <v>349</v>
      </c>
      <c r="C269" s="361" t="s">
        <v>185</v>
      </c>
      <c r="D269" s="361" t="s">
        <v>159</v>
      </c>
      <c r="E269" s="361" t="s">
        <v>186</v>
      </c>
      <c r="F269" s="360" t="s">
        <v>187</v>
      </c>
      <c r="G269" s="361" t="s">
        <v>162</v>
      </c>
      <c r="H269" s="360"/>
      <c r="I269" s="360"/>
      <c r="J269" s="360" t="s">
        <v>213</v>
      </c>
      <c r="K269" s="362"/>
      <c r="L269" s="361"/>
      <c r="M269" s="361"/>
      <c r="N269" s="360"/>
      <c r="O269" s="360"/>
      <c r="P269" s="360"/>
      <c r="Q269" s="360"/>
      <c r="R269" s="363"/>
      <c r="S269" s="360"/>
      <c r="T269" s="361" t="s">
        <v>164</v>
      </c>
    </row>
    <row r="270" ht="34.5">
      <c r="A270" s="361" t="s">
        <v>348</v>
      </c>
      <c r="B270" s="361" t="s">
        <v>349</v>
      </c>
      <c r="C270" s="361" t="s">
        <v>185</v>
      </c>
      <c r="D270" s="361" t="s">
        <v>159</v>
      </c>
      <c r="E270" s="361" t="s">
        <v>186</v>
      </c>
      <c r="F270" s="360" t="s">
        <v>187</v>
      </c>
      <c r="G270" s="361" t="s">
        <v>162</v>
      </c>
      <c r="H270" s="360"/>
      <c r="I270" s="360"/>
      <c r="J270" s="360" t="s">
        <v>365</v>
      </c>
      <c r="K270" s="362"/>
      <c r="L270" s="361"/>
      <c r="M270" s="361"/>
      <c r="N270" s="360"/>
      <c r="O270" s="360"/>
      <c r="P270" s="360"/>
      <c r="Q270" s="360"/>
      <c r="R270" s="363"/>
      <c r="S270" s="360"/>
      <c r="T270" s="361" t="s">
        <v>164</v>
      </c>
    </row>
    <row r="271" ht="34.5">
      <c r="A271" s="361" t="s">
        <v>348</v>
      </c>
      <c r="B271" s="361" t="s">
        <v>349</v>
      </c>
      <c r="C271" s="361" t="s">
        <v>185</v>
      </c>
      <c r="D271" s="361" t="s">
        <v>159</v>
      </c>
      <c r="E271" s="361" t="s">
        <v>186</v>
      </c>
      <c r="F271" s="360" t="s">
        <v>187</v>
      </c>
      <c r="G271" s="361" t="s">
        <v>162</v>
      </c>
      <c r="H271" s="360"/>
      <c r="I271" s="360"/>
      <c r="J271" s="360" t="s">
        <v>326</v>
      </c>
      <c r="K271" s="362"/>
      <c r="L271" s="361"/>
      <c r="M271" s="361"/>
      <c r="N271" s="360"/>
      <c r="O271" s="360"/>
      <c r="P271" s="360"/>
      <c r="Q271" s="360"/>
      <c r="R271" s="363"/>
      <c r="S271" s="360"/>
      <c r="T271" s="361" t="s">
        <v>164</v>
      </c>
    </row>
    <row r="272" ht="34.5">
      <c r="A272" s="361" t="s">
        <v>348</v>
      </c>
      <c r="B272" s="361" t="s">
        <v>349</v>
      </c>
      <c r="C272" s="361" t="s">
        <v>193</v>
      </c>
      <c r="D272" s="361" t="s">
        <v>159</v>
      </c>
      <c r="E272" s="361" t="s">
        <v>160</v>
      </c>
      <c r="F272" s="360" t="s">
        <v>216</v>
      </c>
      <c r="G272" s="361" t="s">
        <v>217</v>
      </c>
      <c r="H272" s="360"/>
      <c r="I272" s="360"/>
      <c r="J272" s="360" t="s">
        <v>327</v>
      </c>
      <c r="K272" s="362"/>
      <c r="L272" s="361"/>
      <c r="M272" s="361"/>
      <c r="N272" s="360"/>
      <c r="O272" s="360"/>
      <c r="P272" s="360"/>
      <c r="Q272" s="360"/>
      <c r="R272" s="363"/>
      <c r="S272" s="360"/>
      <c r="T272" s="361" t="s">
        <v>164</v>
      </c>
    </row>
    <row r="273" ht="34.5">
      <c r="A273" s="361" t="s">
        <v>348</v>
      </c>
      <c r="B273" s="361" t="s">
        <v>349</v>
      </c>
      <c r="C273" s="361" t="s">
        <v>193</v>
      </c>
      <c r="D273" s="361" t="s">
        <v>159</v>
      </c>
      <c r="E273" s="361" t="s">
        <v>160</v>
      </c>
      <c r="F273" s="360" t="s">
        <v>216</v>
      </c>
      <c r="G273" s="361" t="s">
        <v>217</v>
      </c>
      <c r="H273" s="360"/>
      <c r="I273" s="360"/>
      <c r="J273" s="360" t="s">
        <v>328</v>
      </c>
      <c r="K273" s="362"/>
      <c r="L273" s="361"/>
      <c r="M273" s="361"/>
      <c r="N273" s="360"/>
      <c r="O273" s="360"/>
      <c r="P273" s="360"/>
      <c r="Q273" s="360"/>
      <c r="R273" s="363"/>
      <c r="S273" s="360"/>
      <c r="T273" s="361" t="s">
        <v>164</v>
      </c>
    </row>
    <row r="274" ht="34.5">
      <c r="A274" s="361" t="s">
        <v>348</v>
      </c>
      <c r="B274" s="361" t="s">
        <v>349</v>
      </c>
      <c r="C274" s="361" t="s">
        <v>193</v>
      </c>
      <c r="D274" s="361" t="s">
        <v>159</v>
      </c>
      <c r="E274" s="361" t="s">
        <v>160</v>
      </c>
      <c r="F274" s="360" t="s">
        <v>216</v>
      </c>
      <c r="G274" s="361" t="s">
        <v>217</v>
      </c>
      <c r="H274" s="360"/>
      <c r="I274" s="360"/>
      <c r="J274" s="360" t="s">
        <v>286</v>
      </c>
      <c r="K274" s="362"/>
      <c r="L274" s="361"/>
      <c r="M274" s="361"/>
      <c r="N274" s="360"/>
      <c r="O274" s="360"/>
      <c r="P274" s="360"/>
      <c r="Q274" s="360"/>
      <c r="R274" s="363"/>
      <c r="S274" s="360"/>
      <c r="T274" s="361" t="s">
        <v>164</v>
      </c>
    </row>
    <row r="275" ht="34.5">
      <c r="A275" s="361" t="s">
        <v>348</v>
      </c>
      <c r="B275" s="361" t="s">
        <v>349</v>
      </c>
      <c r="C275" s="361" t="s">
        <v>193</v>
      </c>
      <c r="D275" s="361" t="s">
        <v>159</v>
      </c>
      <c r="E275" s="361" t="s">
        <v>160</v>
      </c>
      <c r="F275" s="360" t="s">
        <v>216</v>
      </c>
      <c r="G275" s="361" t="s">
        <v>217</v>
      </c>
      <c r="H275" s="360"/>
      <c r="I275" s="360"/>
      <c r="J275" s="360" t="s">
        <v>366</v>
      </c>
      <c r="K275" s="362"/>
      <c r="L275" s="361"/>
      <c r="M275" s="361"/>
      <c r="N275" s="360"/>
      <c r="O275" s="360"/>
      <c r="P275" s="360"/>
      <c r="Q275" s="360"/>
      <c r="R275" s="363"/>
      <c r="S275" s="360"/>
      <c r="T275" s="361" t="s">
        <v>164</v>
      </c>
    </row>
    <row r="276" ht="34.5">
      <c r="A276" s="361" t="s">
        <v>348</v>
      </c>
      <c r="B276" s="361" t="s">
        <v>349</v>
      </c>
      <c r="C276" s="361" t="s">
        <v>193</v>
      </c>
      <c r="D276" s="361" t="s">
        <v>159</v>
      </c>
      <c r="E276" s="361" t="s">
        <v>160</v>
      </c>
      <c r="F276" s="360" t="s">
        <v>216</v>
      </c>
      <c r="G276" s="361" t="s">
        <v>217</v>
      </c>
      <c r="H276" s="360"/>
      <c r="I276" s="360"/>
      <c r="J276" s="360" t="s">
        <v>367</v>
      </c>
      <c r="K276" s="362"/>
      <c r="L276" s="361"/>
      <c r="M276" s="361"/>
      <c r="N276" s="360"/>
      <c r="O276" s="360"/>
      <c r="P276" s="360"/>
      <c r="Q276" s="360"/>
      <c r="R276" s="363"/>
      <c r="S276" s="360"/>
      <c r="T276" s="361" t="s">
        <v>164</v>
      </c>
    </row>
    <row r="277" ht="34.5">
      <c r="A277" s="361" t="s">
        <v>348</v>
      </c>
      <c r="B277" s="361" t="s">
        <v>349</v>
      </c>
      <c r="C277" s="361" t="s">
        <v>193</v>
      </c>
      <c r="D277" s="361" t="s">
        <v>159</v>
      </c>
      <c r="E277" s="361" t="s">
        <v>160</v>
      </c>
      <c r="F277" s="360" t="s">
        <v>216</v>
      </c>
      <c r="G277" s="361" t="s">
        <v>217</v>
      </c>
      <c r="H277" s="360"/>
      <c r="I277" s="360"/>
      <c r="J277" s="360" t="s">
        <v>226</v>
      </c>
      <c r="K277" s="362"/>
      <c r="L277" s="361"/>
      <c r="M277" s="361"/>
      <c r="N277" s="360"/>
      <c r="O277" s="360"/>
      <c r="P277" s="360"/>
      <c r="Q277" s="360"/>
      <c r="R277" s="363"/>
      <c r="S277" s="360"/>
      <c r="T277" s="361" t="s">
        <v>164</v>
      </c>
    </row>
    <row r="278" ht="34.5">
      <c r="A278" s="361" t="s">
        <v>348</v>
      </c>
      <c r="B278" s="361" t="s">
        <v>349</v>
      </c>
      <c r="C278" s="361" t="s">
        <v>193</v>
      </c>
      <c r="D278" s="361" t="s">
        <v>159</v>
      </c>
      <c r="E278" s="361" t="s">
        <v>160</v>
      </c>
      <c r="F278" s="360" t="s">
        <v>216</v>
      </c>
      <c r="G278" s="361" t="s">
        <v>217</v>
      </c>
      <c r="H278" s="360"/>
      <c r="I278" s="360"/>
      <c r="J278" s="360" t="s">
        <v>368</v>
      </c>
      <c r="K278" s="362"/>
      <c r="L278" s="361"/>
      <c r="M278" s="361"/>
      <c r="N278" s="360"/>
      <c r="O278" s="360"/>
      <c r="P278" s="360"/>
      <c r="Q278" s="360"/>
      <c r="R278" s="363"/>
      <c r="S278" s="360"/>
      <c r="T278" s="361" t="s">
        <v>164</v>
      </c>
    </row>
    <row r="279" ht="34.5">
      <c r="A279" s="361" t="s">
        <v>348</v>
      </c>
      <c r="B279" s="361" t="s">
        <v>349</v>
      </c>
      <c r="C279" s="361" t="s">
        <v>193</v>
      </c>
      <c r="D279" s="361" t="s">
        <v>159</v>
      </c>
      <c r="E279" s="361" t="s">
        <v>160</v>
      </c>
      <c r="F279" s="360" t="s">
        <v>216</v>
      </c>
      <c r="G279" s="361" t="s">
        <v>217</v>
      </c>
      <c r="H279" s="360"/>
      <c r="I279" s="360"/>
      <c r="J279" s="360" t="s">
        <v>231</v>
      </c>
      <c r="K279" s="362"/>
      <c r="L279" s="361"/>
      <c r="M279" s="361"/>
      <c r="N279" s="360"/>
      <c r="O279" s="360"/>
      <c r="P279" s="360"/>
      <c r="Q279" s="360"/>
      <c r="R279" s="363"/>
      <c r="S279" s="360"/>
      <c r="T279" s="361" t="s">
        <v>164</v>
      </c>
    </row>
    <row r="280" ht="34.5">
      <c r="A280" s="361" t="s">
        <v>348</v>
      </c>
      <c r="B280" s="361" t="s">
        <v>349</v>
      </c>
      <c r="C280" s="361" t="s">
        <v>193</v>
      </c>
      <c r="D280" s="361" t="s">
        <v>159</v>
      </c>
      <c r="E280" s="361" t="s">
        <v>160</v>
      </c>
      <c r="F280" s="360" t="s">
        <v>216</v>
      </c>
      <c r="G280" s="361" t="s">
        <v>217</v>
      </c>
      <c r="H280" s="360"/>
      <c r="I280" s="360"/>
      <c r="J280" s="360" t="s">
        <v>369</v>
      </c>
      <c r="K280" s="362"/>
      <c r="L280" s="361"/>
      <c r="M280" s="361"/>
      <c r="N280" s="360"/>
      <c r="O280" s="360"/>
      <c r="P280" s="360"/>
      <c r="Q280" s="360"/>
      <c r="R280" s="363"/>
      <c r="S280" s="360"/>
      <c r="T280" s="361" t="s">
        <v>164</v>
      </c>
    </row>
    <row r="281" ht="34.5">
      <c r="A281" s="361" t="s">
        <v>348</v>
      </c>
      <c r="B281" s="361" t="s">
        <v>349</v>
      </c>
      <c r="C281" s="361" t="s">
        <v>193</v>
      </c>
      <c r="D281" s="361" t="s">
        <v>159</v>
      </c>
      <c r="E281" s="361" t="s">
        <v>160</v>
      </c>
      <c r="F281" s="360" t="s">
        <v>216</v>
      </c>
      <c r="G281" s="361" t="s">
        <v>217</v>
      </c>
      <c r="H281" s="360"/>
      <c r="I281" s="360"/>
      <c r="J281" s="360" t="s">
        <v>233</v>
      </c>
      <c r="K281" s="362"/>
      <c r="L281" s="361"/>
      <c r="M281" s="361"/>
      <c r="N281" s="360"/>
      <c r="O281" s="360"/>
      <c r="P281" s="360"/>
      <c r="Q281" s="360"/>
      <c r="R281" s="363"/>
      <c r="S281" s="360"/>
      <c r="T281" s="361" t="s">
        <v>164</v>
      </c>
    </row>
    <row r="282" ht="34.5">
      <c r="A282" s="361" t="s">
        <v>348</v>
      </c>
      <c r="B282" s="361" t="s">
        <v>349</v>
      </c>
      <c r="C282" s="361" t="s">
        <v>205</v>
      </c>
      <c r="D282" s="361" t="s">
        <v>159</v>
      </c>
      <c r="E282" s="361" t="s">
        <v>160</v>
      </c>
      <c r="F282" s="360" t="s">
        <v>216</v>
      </c>
      <c r="G282" s="361" t="s">
        <v>217</v>
      </c>
      <c r="H282" s="360"/>
      <c r="I282" s="360"/>
      <c r="J282" s="360" t="s">
        <v>370</v>
      </c>
      <c r="K282" s="362"/>
      <c r="L282" s="361"/>
      <c r="M282" s="361"/>
      <c r="N282" s="360"/>
      <c r="O282" s="360"/>
      <c r="P282" s="360"/>
      <c r="Q282" s="360"/>
      <c r="R282" s="363"/>
      <c r="S282" s="360"/>
      <c r="T282" s="361" t="s">
        <v>164</v>
      </c>
    </row>
    <row r="283" ht="34.5">
      <c r="A283" s="361" t="s">
        <v>348</v>
      </c>
      <c r="B283" s="361" t="s">
        <v>349</v>
      </c>
      <c r="C283" s="361" t="s">
        <v>205</v>
      </c>
      <c r="D283" s="361" t="s">
        <v>159</v>
      </c>
      <c r="E283" s="361" t="s">
        <v>160</v>
      </c>
      <c r="F283" s="360" t="s">
        <v>216</v>
      </c>
      <c r="G283" s="361" t="s">
        <v>217</v>
      </c>
      <c r="H283" s="360"/>
      <c r="I283" s="360"/>
      <c r="J283" s="360" t="s">
        <v>333</v>
      </c>
      <c r="K283" s="362"/>
      <c r="L283" s="361"/>
      <c r="M283" s="361"/>
      <c r="N283" s="360"/>
      <c r="O283" s="360"/>
      <c r="P283" s="360"/>
      <c r="Q283" s="360"/>
      <c r="R283" s="363"/>
      <c r="S283" s="360"/>
      <c r="T283" s="361" t="s">
        <v>164</v>
      </c>
    </row>
    <row r="284" ht="34.5">
      <c r="A284" s="361" t="s">
        <v>348</v>
      </c>
      <c r="B284" s="361" t="s">
        <v>349</v>
      </c>
      <c r="C284" s="361" t="s">
        <v>205</v>
      </c>
      <c r="D284" s="361" t="s">
        <v>159</v>
      </c>
      <c r="E284" s="361" t="s">
        <v>160</v>
      </c>
      <c r="F284" s="360" t="s">
        <v>216</v>
      </c>
      <c r="G284" s="361" t="s">
        <v>217</v>
      </c>
      <c r="H284" s="360"/>
      <c r="I284" s="360"/>
      <c r="J284" s="360" t="s">
        <v>371</v>
      </c>
      <c r="K284" s="362"/>
      <c r="L284" s="361"/>
      <c r="M284" s="361"/>
      <c r="N284" s="360"/>
      <c r="O284" s="360"/>
      <c r="P284" s="360"/>
      <c r="Q284" s="360"/>
      <c r="R284" s="363"/>
      <c r="S284" s="360"/>
      <c r="T284" s="361" t="s">
        <v>164</v>
      </c>
    </row>
    <row r="285" ht="34.5">
      <c r="A285" s="361" t="s">
        <v>348</v>
      </c>
      <c r="B285" s="361" t="s">
        <v>349</v>
      </c>
      <c r="C285" s="361" t="s">
        <v>205</v>
      </c>
      <c r="D285" s="361" t="s">
        <v>159</v>
      </c>
      <c r="E285" s="361" t="s">
        <v>160</v>
      </c>
      <c r="F285" s="360" t="s">
        <v>216</v>
      </c>
      <c r="G285" s="361" t="s">
        <v>217</v>
      </c>
      <c r="H285" s="360"/>
      <c r="I285" s="360"/>
      <c r="J285" s="360" t="s">
        <v>334</v>
      </c>
      <c r="K285" s="362"/>
      <c r="L285" s="361"/>
      <c r="M285" s="361"/>
      <c r="N285" s="360"/>
      <c r="O285" s="360"/>
      <c r="P285" s="360"/>
      <c r="Q285" s="360"/>
      <c r="R285" s="363"/>
      <c r="S285" s="360"/>
      <c r="T285" s="361" t="s">
        <v>164</v>
      </c>
    </row>
    <row r="286" ht="34.5">
      <c r="A286" s="361" t="s">
        <v>348</v>
      </c>
      <c r="B286" s="361" t="s">
        <v>349</v>
      </c>
      <c r="C286" s="361" t="s">
        <v>205</v>
      </c>
      <c r="D286" s="361" t="s">
        <v>159</v>
      </c>
      <c r="E286" s="361" t="s">
        <v>160</v>
      </c>
      <c r="F286" s="360" t="s">
        <v>216</v>
      </c>
      <c r="G286" s="361" t="s">
        <v>217</v>
      </c>
      <c r="H286" s="360"/>
      <c r="I286" s="360"/>
      <c r="J286" s="360" t="s">
        <v>335</v>
      </c>
      <c r="K286" s="362"/>
      <c r="L286" s="361"/>
      <c r="M286" s="361"/>
      <c r="N286" s="360"/>
      <c r="O286" s="360"/>
      <c r="P286" s="360"/>
      <c r="Q286" s="360"/>
      <c r="R286" s="363"/>
      <c r="S286" s="360"/>
      <c r="T286" s="361" t="s">
        <v>164</v>
      </c>
    </row>
    <row r="287" ht="34.5">
      <c r="A287" s="361" t="s">
        <v>348</v>
      </c>
      <c r="B287" s="361" t="s">
        <v>349</v>
      </c>
      <c r="C287" s="361" t="s">
        <v>205</v>
      </c>
      <c r="D287" s="361" t="s">
        <v>159</v>
      </c>
      <c r="E287" s="361" t="s">
        <v>160</v>
      </c>
      <c r="F287" s="360" t="s">
        <v>216</v>
      </c>
      <c r="G287" s="361" t="s">
        <v>217</v>
      </c>
      <c r="H287" s="360"/>
      <c r="I287" s="360"/>
      <c r="J287" s="360" t="s">
        <v>336</v>
      </c>
      <c r="K287" s="362"/>
      <c r="L287" s="361"/>
      <c r="M287" s="361"/>
      <c r="N287" s="360"/>
      <c r="O287" s="360"/>
      <c r="P287" s="360"/>
      <c r="Q287" s="360"/>
      <c r="R287" s="363"/>
      <c r="S287" s="360"/>
      <c r="T287" s="361" t="s">
        <v>164</v>
      </c>
    </row>
    <row r="288" ht="34.5">
      <c r="A288" s="361" t="s">
        <v>348</v>
      </c>
      <c r="B288" s="361" t="s">
        <v>349</v>
      </c>
      <c r="C288" s="361" t="s">
        <v>205</v>
      </c>
      <c r="D288" s="361" t="s">
        <v>159</v>
      </c>
      <c r="E288" s="361" t="s">
        <v>160</v>
      </c>
      <c r="F288" s="360" t="s">
        <v>216</v>
      </c>
      <c r="G288" s="361" t="s">
        <v>217</v>
      </c>
      <c r="H288" s="360"/>
      <c r="I288" s="360"/>
      <c r="J288" s="360" t="s">
        <v>337</v>
      </c>
      <c r="K288" s="362"/>
      <c r="L288" s="361"/>
      <c r="M288" s="361"/>
      <c r="N288" s="360"/>
      <c r="O288" s="360"/>
      <c r="P288" s="360"/>
      <c r="Q288" s="360"/>
      <c r="R288" s="363"/>
      <c r="S288" s="360"/>
      <c r="T288" s="361" t="s">
        <v>164</v>
      </c>
    </row>
    <row r="289" ht="34.5">
      <c r="A289" s="361" t="s">
        <v>348</v>
      </c>
      <c r="B289" s="361" t="s">
        <v>349</v>
      </c>
      <c r="C289" s="361" t="s">
        <v>205</v>
      </c>
      <c r="D289" s="361" t="s">
        <v>159</v>
      </c>
      <c r="E289" s="361" t="s">
        <v>160</v>
      </c>
      <c r="F289" s="360" t="s">
        <v>216</v>
      </c>
      <c r="G289" s="361" t="s">
        <v>217</v>
      </c>
      <c r="H289" s="360"/>
      <c r="I289" s="360"/>
      <c r="J289" s="360" t="s">
        <v>372</v>
      </c>
      <c r="K289" s="362"/>
      <c r="L289" s="361"/>
      <c r="M289" s="361"/>
      <c r="N289" s="360"/>
      <c r="O289" s="360"/>
      <c r="P289" s="360"/>
      <c r="Q289" s="360"/>
      <c r="R289" s="363"/>
      <c r="S289" s="360"/>
      <c r="T289" s="361" t="s">
        <v>164</v>
      </c>
    </row>
    <row r="290" ht="34.5">
      <c r="A290" s="361" t="s">
        <v>348</v>
      </c>
      <c r="B290" s="361" t="s">
        <v>349</v>
      </c>
      <c r="C290" s="361" t="s">
        <v>205</v>
      </c>
      <c r="D290" s="361" t="s">
        <v>159</v>
      </c>
      <c r="E290" s="361" t="s">
        <v>160</v>
      </c>
      <c r="F290" s="360" t="s">
        <v>216</v>
      </c>
      <c r="G290" s="361" t="s">
        <v>217</v>
      </c>
      <c r="H290" s="360"/>
      <c r="I290" s="360"/>
      <c r="J290" s="360" t="s">
        <v>373</v>
      </c>
      <c r="K290" s="362"/>
      <c r="L290" s="361"/>
      <c r="M290" s="361"/>
      <c r="N290" s="360"/>
      <c r="O290" s="360"/>
      <c r="P290" s="360"/>
      <c r="Q290" s="360"/>
      <c r="R290" s="363"/>
      <c r="S290" s="360"/>
      <c r="T290" s="361" t="s">
        <v>164</v>
      </c>
    </row>
    <row r="291" ht="34.5">
      <c r="A291" s="361" t="s">
        <v>348</v>
      </c>
      <c r="B291" s="361" t="s">
        <v>349</v>
      </c>
      <c r="C291" s="361" t="s">
        <v>205</v>
      </c>
      <c r="D291" s="361" t="s">
        <v>159</v>
      </c>
      <c r="E291" s="361" t="s">
        <v>160</v>
      </c>
      <c r="F291" s="360" t="s">
        <v>216</v>
      </c>
      <c r="G291" s="361" t="s">
        <v>217</v>
      </c>
      <c r="H291" s="360"/>
      <c r="I291" s="360"/>
      <c r="J291" s="360" t="s">
        <v>374</v>
      </c>
      <c r="K291" s="362"/>
      <c r="L291" s="361"/>
      <c r="M291" s="361"/>
      <c r="N291" s="360"/>
      <c r="O291" s="360"/>
      <c r="P291" s="360"/>
      <c r="Q291" s="360"/>
      <c r="R291" s="363"/>
      <c r="S291" s="360"/>
      <c r="T291" s="361" t="s">
        <v>164</v>
      </c>
    </row>
    <row r="292" ht="34.5">
      <c r="A292" s="361" t="s">
        <v>348</v>
      </c>
      <c r="B292" s="361" t="s">
        <v>349</v>
      </c>
      <c r="C292" s="361" t="s">
        <v>205</v>
      </c>
      <c r="D292" s="361" t="s">
        <v>159</v>
      </c>
      <c r="E292" s="361" t="s">
        <v>160</v>
      </c>
      <c r="F292" s="360" t="s">
        <v>216</v>
      </c>
      <c r="G292" s="361" t="s">
        <v>217</v>
      </c>
      <c r="H292" s="360"/>
      <c r="I292" s="360"/>
      <c r="J292" s="360" t="s">
        <v>375</v>
      </c>
      <c r="K292" s="362">
        <v>10000</v>
      </c>
      <c r="L292" s="361" t="s">
        <v>236</v>
      </c>
      <c r="M292" s="361"/>
      <c r="N292" s="360"/>
      <c r="O292" s="360"/>
      <c r="P292" s="360"/>
      <c r="Q292" s="360"/>
      <c r="R292" s="363"/>
      <c r="S292" s="360"/>
      <c r="T292" s="361" t="s">
        <v>164</v>
      </c>
    </row>
    <row r="293" ht="34.5">
      <c r="A293" s="361" t="s">
        <v>348</v>
      </c>
      <c r="B293" s="361" t="s">
        <v>349</v>
      </c>
      <c r="C293" s="361" t="s">
        <v>219</v>
      </c>
      <c r="D293" s="361" t="s">
        <v>159</v>
      </c>
      <c r="E293" s="361" t="s">
        <v>160</v>
      </c>
      <c r="F293" s="360" t="s">
        <v>216</v>
      </c>
      <c r="G293" s="361" t="s">
        <v>217</v>
      </c>
      <c r="H293" s="360"/>
      <c r="I293" s="360"/>
      <c r="J293" s="360" t="s">
        <v>376</v>
      </c>
      <c r="K293" s="362"/>
      <c r="L293" s="361"/>
      <c r="M293" s="361"/>
      <c r="N293" s="360"/>
      <c r="O293" s="360"/>
      <c r="P293" s="360"/>
      <c r="Q293" s="360"/>
      <c r="R293" s="363"/>
      <c r="S293" s="360"/>
      <c r="T293" s="361" t="s">
        <v>164</v>
      </c>
    </row>
    <row r="294" ht="34.5">
      <c r="A294" s="361" t="s">
        <v>348</v>
      </c>
      <c r="B294" s="361" t="s">
        <v>349</v>
      </c>
      <c r="C294" s="361" t="s">
        <v>219</v>
      </c>
      <c r="D294" s="361" t="s">
        <v>159</v>
      </c>
      <c r="E294" s="361" t="s">
        <v>160</v>
      </c>
      <c r="F294" s="360" t="s">
        <v>216</v>
      </c>
      <c r="G294" s="361" t="s">
        <v>217</v>
      </c>
      <c r="H294" s="360"/>
      <c r="I294" s="360"/>
      <c r="J294" s="360" t="s">
        <v>298</v>
      </c>
      <c r="K294" s="362"/>
      <c r="L294" s="361"/>
      <c r="M294" s="361"/>
      <c r="N294" s="360"/>
      <c r="O294" s="360"/>
      <c r="P294" s="360"/>
      <c r="Q294" s="360"/>
      <c r="R294" s="363"/>
      <c r="S294" s="360"/>
      <c r="T294" s="361" t="s">
        <v>164</v>
      </c>
    </row>
    <row r="295" ht="34.5">
      <c r="A295" s="361" t="s">
        <v>348</v>
      </c>
      <c r="B295" s="361" t="s">
        <v>349</v>
      </c>
      <c r="C295" s="361" t="s">
        <v>219</v>
      </c>
      <c r="D295" s="361" t="s">
        <v>159</v>
      </c>
      <c r="E295" s="361" t="s">
        <v>160</v>
      </c>
      <c r="F295" s="360" t="s">
        <v>216</v>
      </c>
      <c r="G295" s="361" t="s">
        <v>217</v>
      </c>
      <c r="H295" s="360"/>
      <c r="I295" s="360"/>
      <c r="J295" s="360" t="s">
        <v>254</v>
      </c>
      <c r="K295" s="362"/>
      <c r="L295" s="361"/>
      <c r="M295" s="361"/>
      <c r="N295" s="360"/>
      <c r="O295" s="360"/>
      <c r="P295" s="360"/>
      <c r="Q295" s="360"/>
      <c r="R295" s="363"/>
      <c r="S295" s="360"/>
      <c r="T295" s="361" t="s">
        <v>164</v>
      </c>
    </row>
    <row r="296" ht="34.5">
      <c r="A296" s="361" t="s">
        <v>348</v>
      </c>
      <c r="B296" s="361" t="s">
        <v>349</v>
      </c>
      <c r="C296" s="361" t="s">
        <v>219</v>
      </c>
      <c r="D296" s="361" t="s">
        <v>159</v>
      </c>
      <c r="E296" s="361" t="s">
        <v>160</v>
      </c>
      <c r="F296" s="360" t="s">
        <v>216</v>
      </c>
      <c r="G296" s="361" t="s">
        <v>217</v>
      </c>
      <c r="H296" s="360"/>
      <c r="I296" s="360"/>
      <c r="J296" s="360" t="s">
        <v>299</v>
      </c>
      <c r="K296" s="362"/>
      <c r="L296" s="361"/>
      <c r="M296" s="361"/>
      <c r="N296" s="360"/>
      <c r="O296" s="360"/>
      <c r="P296" s="360"/>
      <c r="Q296" s="360"/>
      <c r="R296" s="363"/>
      <c r="S296" s="360"/>
      <c r="T296" s="361" t="s">
        <v>164</v>
      </c>
    </row>
    <row r="297" ht="34.5">
      <c r="A297" s="361" t="s">
        <v>348</v>
      </c>
      <c r="B297" s="361" t="s">
        <v>349</v>
      </c>
      <c r="C297" s="361" t="s">
        <v>219</v>
      </c>
      <c r="D297" s="361" t="s">
        <v>159</v>
      </c>
      <c r="E297" s="361" t="s">
        <v>160</v>
      </c>
      <c r="F297" s="360" t="s">
        <v>216</v>
      </c>
      <c r="G297" s="361" t="s">
        <v>217</v>
      </c>
      <c r="H297" s="360"/>
      <c r="I297" s="360"/>
      <c r="J297" s="360" t="s">
        <v>300</v>
      </c>
      <c r="K297" s="362"/>
      <c r="L297" s="361"/>
      <c r="M297" s="361"/>
      <c r="N297" s="360"/>
      <c r="O297" s="360"/>
      <c r="P297" s="360"/>
      <c r="Q297" s="360"/>
      <c r="R297" s="363"/>
      <c r="S297" s="360"/>
      <c r="T297" s="361" t="s">
        <v>164</v>
      </c>
    </row>
    <row r="298" ht="34.5">
      <c r="A298" s="361" t="s">
        <v>348</v>
      </c>
      <c r="B298" s="361" t="s">
        <v>349</v>
      </c>
      <c r="C298" s="361" t="s">
        <v>219</v>
      </c>
      <c r="D298" s="361" t="s">
        <v>159</v>
      </c>
      <c r="E298" s="361" t="s">
        <v>160</v>
      </c>
      <c r="F298" s="360" t="s">
        <v>216</v>
      </c>
      <c r="G298" s="361" t="s">
        <v>217</v>
      </c>
      <c r="H298" s="360"/>
      <c r="I298" s="360"/>
      <c r="J298" s="360" t="s">
        <v>259</v>
      </c>
      <c r="K298" s="362"/>
      <c r="L298" s="361"/>
      <c r="M298" s="361"/>
      <c r="N298" s="360"/>
      <c r="O298" s="360"/>
      <c r="P298" s="360"/>
      <c r="Q298" s="360"/>
      <c r="R298" s="363"/>
      <c r="S298" s="360"/>
      <c r="T298" s="361" t="s">
        <v>164</v>
      </c>
    </row>
    <row r="299" ht="34.5">
      <c r="A299" s="361" t="s">
        <v>348</v>
      </c>
      <c r="B299" s="361" t="s">
        <v>349</v>
      </c>
      <c r="C299" s="361" t="s">
        <v>219</v>
      </c>
      <c r="D299" s="361" t="s">
        <v>159</v>
      </c>
      <c r="E299" s="361" t="s">
        <v>160</v>
      </c>
      <c r="F299" s="360" t="s">
        <v>216</v>
      </c>
      <c r="G299" s="361" t="s">
        <v>217</v>
      </c>
      <c r="H299" s="360"/>
      <c r="I299" s="360"/>
      <c r="J299" s="360" t="s">
        <v>301</v>
      </c>
      <c r="K299" s="362"/>
      <c r="L299" s="361"/>
      <c r="M299" s="361"/>
      <c r="N299" s="360"/>
      <c r="O299" s="360"/>
      <c r="P299" s="360"/>
      <c r="Q299" s="360"/>
      <c r="R299" s="363"/>
      <c r="S299" s="360"/>
      <c r="T299" s="361" t="s">
        <v>164</v>
      </c>
    </row>
    <row r="300" ht="34.5">
      <c r="A300" s="361" t="s">
        <v>348</v>
      </c>
      <c r="B300" s="361" t="s">
        <v>349</v>
      </c>
      <c r="C300" s="361" t="s">
        <v>219</v>
      </c>
      <c r="D300" s="361" t="s">
        <v>159</v>
      </c>
      <c r="E300" s="361" t="s">
        <v>160</v>
      </c>
      <c r="F300" s="360" t="s">
        <v>216</v>
      </c>
      <c r="G300" s="361" t="s">
        <v>217</v>
      </c>
      <c r="H300" s="360"/>
      <c r="I300" s="360"/>
      <c r="J300" s="360" t="s">
        <v>302</v>
      </c>
      <c r="K300" s="362"/>
      <c r="L300" s="361"/>
      <c r="M300" s="361"/>
      <c r="N300" s="360"/>
      <c r="O300" s="360"/>
      <c r="P300" s="360"/>
      <c r="Q300" s="360"/>
      <c r="R300" s="363"/>
      <c r="S300" s="360"/>
      <c r="T300" s="361" t="s">
        <v>164</v>
      </c>
    </row>
    <row r="301" ht="34.5">
      <c r="A301" s="361" t="s">
        <v>348</v>
      </c>
      <c r="B301" s="361" t="s">
        <v>349</v>
      </c>
      <c r="C301" s="361" t="s">
        <v>219</v>
      </c>
      <c r="D301" s="361" t="s">
        <v>159</v>
      </c>
      <c r="E301" s="361" t="s">
        <v>160</v>
      </c>
      <c r="F301" s="360" t="s">
        <v>216</v>
      </c>
      <c r="G301" s="361" t="s">
        <v>217</v>
      </c>
      <c r="H301" s="360"/>
      <c r="I301" s="360"/>
      <c r="J301" s="360" t="s">
        <v>377</v>
      </c>
      <c r="K301" s="362"/>
      <c r="L301" s="361"/>
      <c r="M301" s="361"/>
      <c r="N301" s="360"/>
      <c r="O301" s="360"/>
      <c r="P301" s="360"/>
      <c r="Q301" s="360"/>
      <c r="R301" s="363"/>
      <c r="S301" s="360"/>
      <c r="T301" s="361" t="s">
        <v>164</v>
      </c>
    </row>
    <row r="302" ht="34.5">
      <c r="A302" s="361" t="s">
        <v>348</v>
      </c>
      <c r="B302" s="361" t="s">
        <v>349</v>
      </c>
      <c r="C302" s="361" t="s">
        <v>219</v>
      </c>
      <c r="D302" s="361" t="s">
        <v>159</v>
      </c>
      <c r="E302" s="361" t="s">
        <v>160</v>
      </c>
      <c r="F302" s="360" t="s">
        <v>216</v>
      </c>
      <c r="G302" s="361" t="s">
        <v>217</v>
      </c>
      <c r="H302" s="360"/>
      <c r="I302" s="360"/>
      <c r="J302" s="360" t="s">
        <v>304</v>
      </c>
      <c r="K302" s="362"/>
      <c r="L302" s="361"/>
      <c r="M302" s="361"/>
      <c r="N302" s="360"/>
      <c r="O302" s="360"/>
      <c r="P302" s="360"/>
      <c r="Q302" s="360"/>
      <c r="R302" s="363"/>
      <c r="S302" s="360"/>
      <c r="T302" s="361" t="s">
        <v>164</v>
      </c>
    </row>
    <row r="303" ht="34.5"/>
  </sheetData>
  <autoFilter ref="A5:T302"/>
</worksheet>
</file>

<file path=xl/worksheets/sheet3.xml><?xml version="1.0" encoding="utf-8"?>
<worksheet xmlns="http://schemas.openxmlformats.org/spreadsheetml/2006/main" xmlns:r="http://schemas.openxmlformats.org/officeDocument/2006/relationships">
  <dimension ref="A1:Q37"/>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514" t="s">
        <v>0</v>
      </c>
      <c r="B1" s="469"/>
      <c r="C1" s="469"/>
      <c r="D1" s="469"/>
      <c r="E1" s="469"/>
      <c r="F1" s="469"/>
      <c r="G1" s="471"/>
      <c r="H1" s="468"/>
      <c r="I1" s="468"/>
      <c r="J1" s="468"/>
      <c r="K1" s="468"/>
      <c r="L1" s="462"/>
      <c r="M1" s="462"/>
      <c r="N1" s="466"/>
      <c r="O1" s="462"/>
      <c r="P1" s="462"/>
      <c r="Q1" s="466"/>
    </row>
    <row r="2">
      <c r="A2" s="464"/>
      <c r="B2" s="464"/>
      <c r="C2" s="464"/>
      <c r="D2" s="464"/>
      <c r="E2" s="464"/>
      <c r="F2" s="464"/>
      <c r="G2" s="470"/>
      <c r="H2" s="464"/>
      <c r="I2" s="464"/>
      <c r="J2" s="464"/>
      <c r="K2" s="464"/>
      <c r="L2" s="462"/>
      <c r="M2" s="462"/>
      <c r="N2" s="466"/>
      <c r="O2" s="462"/>
      <c r="P2" s="462"/>
      <c r="Q2" s="466"/>
    </row>
    <row r="3">
      <c r="A3" s="511" t="s">
        <v>378</v>
      </c>
      <c r="G3" s="470"/>
      <c r="L3" s="462"/>
      <c r="M3" s="462"/>
      <c r="N3" s="466"/>
      <c r="O3" s="462"/>
      <c r="P3" s="462"/>
      <c r="Q3" s="466"/>
    </row>
    <row r="4">
      <c r="A4" s="511" t="s">
        <v>379</v>
      </c>
      <c r="G4" s="470"/>
      <c r="L4" s="462"/>
      <c r="M4" s="462"/>
      <c r="N4" s="466"/>
      <c r="O4" s="462"/>
      <c r="P4" s="462"/>
      <c r="Q4" s="466"/>
    </row>
    <row r="5">
      <c r="A5" s="511" t="s">
        <v>380</v>
      </c>
      <c r="B5" s="463"/>
      <c r="C5" s="415">
        <v>1</v>
      </c>
      <c r="D5" s="463"/>
      <c r="E5" s="463"/>
      <c r="F5" s="463"/>
      <c r="G5" s="472"/>
      <c r="H5" s="463"/>
      <c r="I5" s="463"/>
      <c r="J5" s="463"/>
      <c r="K5" s="463"/>
      <c r="L5" s="462"/>
      <c r="M5" s="511" t="s">
        <v>381</v>
      </c>
      <c r="N5" s="466" t="s">
        <v>382</v>
      </c>
      <c r="O5" s="462"/>
      <c r="P5" s="462"/>
      <c r="Q5" s="466" t="s">
        <v>383</v>
      </c>
    </row>
    <row r="6">
      <c r="A6" s="511" t="s">
        <v>384</v>
      </c>
      <c r="B6" s="463"/>
      <c r="C6" s="496" t="str">
        <f>CHOOSE($C$5,"Base","Bull","Bear")</f>
        <v>Base</v>
      </c>
      <c r="D6" s="463"/>
      <c r="E6" s="463"/>
      <c r="F6" s="463"/>
      <c r="G6" s="472"/>
      <c r="H6" s="463"/>
      <c r="I6" s="463"/>
      <c r="J6" s="463"/>
      <c r="K6" s="463"/>
      <c r="L6" s="462"/>
      <c r="M6" s="511" t="s">
        <v>385</v>
      </c>
      <c r="N6" s="466" t="s">
        <v>382</v>
      </c>
      <c r="O6" s="462"/>
      <c r="P6" s="462"/>
      <c r="Q6" s="466" t="s">
        <v>386</v>
      </c>
    </row>
    <row r="7">
      <c r="A7" s="464"/>
      <c r="B7" s="464"/>
      <c r="C7" s="464"/>
      <c r="D7" s="464"/>
      <c r="E7" s="464"/>
      <c r="F7" s="464"/>
      <c r="G7" s="470"/>
      <c r="H7" s="464"/>
      <c r="I7" s="464"/>
      <c r="J7" s="464"/>
      <c r="K7" s="464"/>
      <c r="L7" s="462"/>
      <c r="M7" s="462"/>
      <c r="N7" s="466"/>
      <c r="O7" s="462"/>
      <c r="P7" s="462"/>
      <c r="Q7" s="466"/>
    </row>
    <row r="8">
      <c r="A8" s="514" t="s">
        <v>3</v>
      </c>
      <c r="B8" s="515" t="s">
        <v>4</v>
      </c>
      <c r="C8" s="515" t="s">
        <v>5</v>
      </c>
      <c r="D8" s="515" t="s">
        <v>6</v>
      </c>
      <c r="E8" s="515" t="s">
        <v>7</v>
      </c>
      <c r="F8" s="515" t="s">
        <v>8</v>
      </c>
      <c r="G8" s="517" t="s">
        <v>9</v>
      </c>
      <c r="H8" s="516" t="s">
        <v>10</v>
      </c>
      <c r="I8" s="516" t="s">
        <v>11</v>
      </c>
      <c r="J8" s="516" t="s">
        <v>12</v>
      </c>
      <c r="K8" s="516" t="s">
        <v>13</v>
      </c>
      <c r="L8" s="462"/>
      <c r="M8" s="499" t="s">
        <v>387</v>
      </c>
      <c r="N8" s="499" t="s">
        <v>388</v>
      </c>
      <c r="O8" s="462"/>
      <c r="P8" s="462"/>
      <c r="Q8" s="499" t="s">
        <v>389</v>
      </c>
    </row>
    <row r="9">
      <c r="A9" s="464"/>
      <c r="B9" s="464"/>
      <c r="C9" s="464"/>
      <c r="D9" s="464"/>
      <c r="E9" s="464"/>
      <c r="F9" s="464"/>
      <c r="G9" s="470"/>
      <c r="H9" s="464"/>
      <c r="I9" s="464"/>
      <c r="J9" s="464"/>
      <c r="K9" s="464"/>
      <c r="L9" s="462"/>
      <c r="M9" s="462"/>
      <c r="N9" s="466"/>
      <c r="O9" s="462"/>
      <c r="P9" s="462"/>
      <c r="Q9" s="466"/>
    </row>
    <row r="10">
      <c r="A10" s="514" t="s">
        <v>390</v>
      </c>
      <c r="B10" s="460"/>
      <c r="C10" s="460"/>
      <c r="D10" s="460"/>
      <c r="E10" s="460"/>
      <c r="F10" s="460"/>
      <c r="G10" s="473"/>
      <c r="H10" s="467"/>
      <c r="I10" s="467"/>
      <c r="J10" s="467"/>
      <c r="K10" s="467"/>
      <c r="L10" s="462"/>
      <c r="M10" s="462"/>
      <c r="N10" s="462"/>
      <c r="O10" s="462"/>
      <c r="P10" s="462"/>
      <c r="Q10" s="462"/>
    </row>
    <row r="11">
      <c r="A11" s="511" t="s">
        <v>391</v>
      </c>
      <c r="B11" s="461"/>
      <c r="C11" s="461"/>
      <c r="D11" s="461"/>
      <c r="E11" s="461"/>
      <c r="F11" s="461"/>
      <c r="G11" s="474">
        <f>CHOOSE($C$5,G13,G14,G12)</f>
        <v>0.045</v>
      </c>
      <c r="H11" s="461">
        <f>CHOOSE($C$5,H13,H14,H12)</f>
        <v>0.04</v>
      </c>
      <c r="I11" s="461">
        <f>CHOOSE($C$5,I13,I14,I12)</f>
        <v>0.035</v>
      </c>
      <c r="J11" s="461">
        <f>CHOOSE($C$5,J13,J14,J12)</f>
        <v>0.03</v>
      </c>
      <c r="K11" s="461">
        <f>CHOOSE($C$5,K13,K14,K12)</f>
        <v>0.03</v>
      </c>
      <c r="L11" s="462"/>
      <c r="M11" s="511" t="s">
        <v>392</v>
      </c>
      <c r="N11" s="466" t="s">
        <v>382</v>
      </c>
      <c r="O11" s="462"/>
      <c r="P11" s="462"/>
      <c r="Q11" s="466" t="s">
        <v>386</v>
      </c>
    </row>
    <row r="12">
      <c r="A12" s="511" t="s">
        <v>393</v>
      </c>
      <c r="B12" s="463"/>
      <c r="C12" s="463"/>
      <c r="D12" s="463"/>
      <c r="E12" s="463"/>
      <c r="F12" s="463"/>
      <c r="G12" s="424">
        <v>0.02</v>
      </c>
      <c r="H12" s="415">
        <v>0.015</v>
      </c>
      <c r="I12" s="415">
        <v>0.015</v>
      </c>
      <c r="J12" s="415">
        <v>0.01</v>
      </c>
      <c r="K12" s="415">
        <v>0.01</v>
      </c>
      <c r="L12" s="462"/>
      <c r="M12" s="511" t="s">
        <v>385</v>
      </c>
      <c r="N12" s="466" t="s">
        <v>382</v>
      </c>
      <c r="O12" s="462"/>
      <c r="P12" s="462"/>
      <c r="Q12" s="466" t="s">
        <v>394</v>
      </c>
    </row>
    <row r="13">
      <c r="A13" s="511" t="s">
        <v>395</v>
      </c>
      <c r="B13" s="463"/>
      <c r="C13" s="463"/>
      <c r="D13" s="463"/>
      <c r="E13" s="463"/>
      <c r="F13" s="463"/>
      <c r="G13" s="424">
        <v>0.045</v>
      </c>
      <c r="H13" s="415">
        <v>0.04</v>
      </c>
      <c r="I13" s="415">
        <v>0.035</v>
      </c>
      <c r="J13" s="415">
        <v>0.03</v>
      </c>
      <c r="K13" s="415">
        <v>0.03</v>
      </c>
      <c r="L13" s="462"/>
      <c r="M13" s="511" t="s">
        <v>385</v>
      </c>
      <c r="N13" s="466" t="s">
        <v>382</v>
      </c>
      <c r="O13" s="462"/>
      <c r="P13" s="462"/>
      <c r="Q13" s="466" t="s">
        <v>394</v>
      </c>
    </row>
    <row r="14">
      <c r="A14" s="511" t="s">
        <v>396</v>
      </c>
      <c r="B14" s="463"/>
      <c r="C14" s="463"/>
      <c r="D14" s="463"/>
      <c r="E14" s="463"/>
      <c r="F14" s="463"/>
      <c r="G14" s="424">
        <v>0.065</v>
      </c>
      <c r="H14" s="415">
        <v>0.06</v>
      </c>
      <c r="I14" s="415">
        <v>0.055</v>
      </c>
      <c r="J14" s="415">
        <v>0.05</v>
      </c>
      <c r="K14" s="415">
        <v>0.05</v>
      </c>
      <c r="L14" s="462"/>
      <c r="M14" s="511" t="s">
        <v>385</v>
      </c>
      <c r="N14" s="466" t="s">
        <v>382</v>
      </c>
      <c r="O14" s="462"/>
      <c r="P14" s="462"/>
      <c r="Q14" s="466" t="s">
        <v>394</v>
      </c>
    </row>
    <row r="15">
      <c r="A15" s="511" t="s">
        <v>397</v>
      </c>
      <c r="B15" s="498">
        <f>EEFF!B10</f>
        <v>241005737</v>
      </c>
      <c r="C15" s="498">
        <f>EEFF!C10</f>
        <v>258315486</v>
      </c>
      <c r="D15" s="498">
        <f>EEFF!D10</f>
        <v>283171731</v>
      </c>
      <c r="E15" s="498">
        <f>EEFF!E10</f>
        <v>320833653</v>
      </c>
      <c r="F15" s="498">
        <f>EEFF!F10</f>
        <v>342224043</v>
      </c>
      <c r="G15" s="472"/>
      <c r="H15" s="463"/>
      <c r="I15" s="463"/>
      <c r="J15" s="463"/>
      <c r="K15" s="463"/>
      <c r="L15" s="462"/>
      <c r="M15" s="511" t="s">
        <v>385</v>
      </c>
      <c r="N15" s="466" t="s">
        <v>398</v>
      </c>
      <c r="O15" s="462"/>
      <c r="P15" s="462"/>
      <c r="Q15" s="466" t="s">
        <v>399</v>
      </c>
    </row>
    <row r="16">
      <c r="A16" s="464"/>
      <c r="B16" s="464"/>
      <c r="C16" s="464"/>
      <c r="D16" s="464"/>
      <c r="E16" s="464"/>
      <c r="F16" s="464"/>
      <c r="G16" s="470"/>
      <c r="H16" s="464"/>
      <c r="I16" s="464"/>
      <c r="J16" s="464"/>
      <c r="K16" s="464"/>
      <c r="L16" s="462"/>
      <c r="M16" s="462"/>
      <c r="N16" s="466"/>
      <c r="O16" s="462"/>
      <c r="P16" s="462"/>
      <c r="Q16" s="466"/>
    </row>
    <row r="17">
      <c r="A17" s="514" t="s">
        <v>400</v>
      </c>
      <c r="B17" s="460"/>
      <c r="C17" s="460"/>
      <c r="D17" s="460"/>
      <c r="E17" s="460"/>
      <c r="F17" s="460"/>
      <c r="G17" s="473"/>
      <c r="H17" s="467"/>
      <c r="I17" s="467"/>
      <c r="J17" s="467"/>
      <c r="K17" s="467"/>
      <c r="L17" s="462"/>
      <c r="M17" s="462"/>
      <c r="N17" s="462"/>
      <c r="O17" s="462"/>
      <c r="P17" s="462"/>
      <c r="Q17" s="462"/>
    </row>
    <row r="18">
      <c r="A18" s="511" t="s">
        <v>401</v>
      </c>
      <c r="B18" s="463"/>
      <c r="C18" s="463"/>
      <c r="D18" s="463"/>
      <c r="E18" s="463"/>
      <c r="F18" s="463"/>
      <c r="G18" s="500">
        <f>CHOOSE($C$5,G20,G21,G19)</f>
        <v>-0.185</v>
      </c>
      <c r="H18" s="496">
        <f>CHOOSE($C$5,H20,H21,H19)</f>
        <v>-0.185</v>
      </c>
      <c r="I18" s="496">
        <f>CHOOSE($C$5,I20,I21,I19)</f>
        <v>-0.185</v>
      </c>
      <c r="J18" s="496">
        <f>CHOOSE($C$5,J20,J21,J19)</f>
        <v>-0.185</v>
      </c>
      <c r="K18" s="496">
        <f>CHOOSE($C$5,K20,K21,K19)</f>
        <v>-0.185</v>
      </c>
      <c r="L18" s="462"/>
      <c r="M18" s="511" t="s">
        <v>385</v>
      </c>
      <c r="N18" s="466" t="s">
        <v>382</v>
      </c>
      <c r="O18" s="462"/>
      <c r="P18" s="462"/>
      <c r="Q18" s="466" t="s">
        <v>386</v>
      </c>
    </row>
    <row r="19">
      <c r="A19" s="511" t="s">
        <v>393</v>
      </c>
      <c r="B19" s="463"/>
      <c r="C19" s="463"/>
      <c r="D19" s="463"/>
      <c r="E19" s="463"/>
      <c r="F19" s="463"/>
      <c r="G19" s="424">
        <v>-0.205</v>
      </c>
      <c r="H19" s="415">
        <v>-0.205</v>
      </c>
      <c r="I19" s="415">
        <v>-0.205</v>
      </c>
      <c r="J19" s="415">
        <v>-0.205</v>
      </c>
      <c r="K19" s="415">
        <v>-0.205</v>
      </c>
      <c r="L19" s="462"/>
      <c r="M19" s="511" t="s">
        <v>385</v>
      </c>
      <c r="N19" s="466" t="s">
        <v>382</v>
      </c>
      <c r="O19" s="462"/>
      <c r="P19" s="462"/>
      <c r="Q19" s="466" t="s">
        <v>394</v>
      </c>
    </row>
    <row r="20">
      <c r="A20" s="511" t="s">
        <v>395</v>
      </c>
      <c r="B20" s="463"/>
      <c r="C20" s="463"/>
      <c r="D20" s="463"/>
      <c r="E20" s="463"/>
      <c r="F20" s="463"/>
      <c r="G20" s="424">
        <v>-0.185</v>
      </c>
      <c r="H20" s="415">
        <v>-0.185</v>
      </c>
      <c r="I20" s="415">
        <v>-0.185</v>
      </c>
      <c r="J20" s="415">
        <v>-0.185</v>
      </c>
      <c r="K20" s="415">
        <v>-0.185</v>
      </c>
      <c r="L20" s="462"/>
      <c r="M20" s="511" t="s">
        <v>385</v>
      </c>
      <c r="N20" s="466" t="s">
        <v>382</v>
      </c>
      <c r="O20" s="462"/>
      <c r="P20" s="462"/>
      <c r="Q20" s="466" t="s">
        <v>394</v>
      </c>
    </row>
    <row r="21">
      <c r="A21" s="511" t="s">
        <v>396</v>
      </c>
      <c r="B21" s="463"/>
      <c r="C21" s="463"/>
      <c r="D21" s="463"/>
      <c r="E21" s="463"/>
      <c r="F21" s="463"/>
      <c r="G21" s="424">
        <v>-0.165</v>
      </c>
      <c r="H21" s="415">
        <v>-0.165</v>
      </c>
      <c r="I21" s="415">
        <v>-0.165</v>
      </c>
      <c r="J21" s="415">
        <v>-0.165</v>
      </c>
      <c r="K21" s="415">
        <v>-0.165</v>
      </c>
      <c r="L21" s="462"/>
      <c r="M21" s="511" t="s">
        <v>385</v>
      </c>
      <c r="N21" s="466" t="s">
        <v>382</v>
      </c>
      <c r="O21" s="462"/>
      <c r="P21" s="462"/>
      <c r="Q21" s="466" t="s">
        <v>394</v>
      </c>
    </row>
    <row r="22">
      <c r="A22" s="511" t="s">
        <v>402</v>
      </c>
      <c r="B22" s="407">
        <f>IF(EEFF!B14=0,"",EEFF!B15/EEFF!B14)</f>
        <v>0</v>
      </c>
      <c r="C22" s="407">
        <f>IF(EEFF!C14=0,"",EEFF!C15/EEFF!C14)</f>
        <v>0</v>
      </c>
      <c r="D22" s="407">
        <f>IF(EEFF!D14=0,"",EEFF!D15/EEFF!D14)</f>
        <v>-0.2421564971243539</v>
      </c>
      <c r="E22" s="407">
        <f>IF(EEFF!E14=0,"",EEFF!E15/EEFF!E14)</f>
        <v>-0.23231523215715866</v>
      </c>
      <c r="F22" s="407">
        <f>IF(EEFF!F14=0,"",EEFF!F15/EEFF!F14)</f>
        <v>-0.18495411958557118</v>
      </c>
      <c r="G22" s="474"/>
      <c r="H22" s="461"/>
      <c r="I22" s="461"/>
      <c r="J22" s="461"/>
      <c r="K22" s="461"/>
      <c r="L22" s="462"/>
      <c r="M22" s="511" t="s">
        <v>392</v>
      </c>
      <c r="N22" s="466" t="s">
        <v>398</v>
      </c>
      <c r="O22" s="462"/>
      <c r="P22" s="462"/>
      <c r="Q22" s="466" t="s">
        <v>399</v>
      </c>
    </row>
    <row r="23">
      <c r="A23" s="464"/>
      <c r="B23" s="464"/>
      <c r="C23" s="464"/>
      <c r="D23" s="464"/>
      <c r="E23" s="464"/>
      <c r="F23" s="464"/>
      <c r="G23" s="470"/>
      <c r="H23" s="464"/>
      <c r="I23" s="464"/>
      <c r="J23" s="464"/>
      <c r="K23" s="464"/>
      <c r="L23" s="462"/>
      <c r="M23" s="462"/>
      <c r="N23" s="466"/>
      <c r="O23" s="462"/>
      <c r="P23" s="462"/>
      <c r="Q23" s="466"/>
    </row>
    <row r="24">
      <c r="A24" s="514" t="s">
        <v>403</v>
      </c>
      <c r="B24" s="460"/>
      <c r="C24" s="460"/>
      <c r="D24" s="460"/>
      <c r="E24" s="460"/>
      <c r="F24" s="460"/>
      <c r="G24" s="473"/>
      <c r="H24" s="467"/>
      <c r="I24" s="467"/>
      <c r="J24" s="467"/>
      <c r="K24" s="467"/>
      <c r="L24" s="462"/>
      <c r="M24" s="462"/>
      <c r="N24" s="462"/>
      <c r="O24" s="462"/>
      <c r="P24" s="462"/>
      <c r="Q24" s="462"/>
    </row>
    <row r="25">
      <c r="A25" s="511" t="s">
        <v>404</v>
      </c>
      <c r="B25" s="463"/>
      <c r="C25" s="463"/>
      <c r="D25" s="463"/>
      <c r="E25" s="463"/>
      <c r="F25" s="463"/>
      <c r="G25" s="500">
        <f>CHOOSE($C$5,G27,G28,G26)</f>
        <v>-0.391</v>
      </c>
      <c r="H25" s="496">
        <f>CHOOSE($C$5,H27,H28,H26)</f>
        <v>-0.391</v>
      </c>
      <c r="I25" s="496">
        <f>CHOOSE($C$5,I27,I28,I26)</f>
        <v>-0.391</v>
      </c>
      <c r="J25" s="496">
        <f>CHOOSE($C$5,J27,J28,J26)</f>
        <v>-0.391</v>
      </c>
      <c r="K25" s="496">
        <f>CHOOSE($C$5,K27,K28,K26)</f>
        <v>-0.391</v>
      </c>
      <c r="L25" s="462"/>
      <c r="M25" s="511" t="s">
        <v>385</v>
      </c>
      <c r="N25" s="466" t="s">
        <v>382</v>
      </c>
      <c r="O25" s="462"/>
      <c r="P25" s="462"/>
      <c r="Q25" s="466" t="s">
        <v>386</v>
      </c>
    </row>
    <row r="26">
      <c r="A26" s="511" t="s">
        <v>393</v>
      </c>
      <c r="B26" s="463"/>
      <c r="C26" s="463"/>
      <c r="D26" s="463"/>
      <c r="E26" s="463"/>
      <c r="F26" s="463"/>
      <c r="G26" s="424">
        <v>-0.411</v>
      </c>
      <c r="H26" s="415">
        <v>-0.411</v>
      </c>
      <c r="I26" s="415">
        <v>-0.411</v>
      </c>
      <c r="J26" s="415">
        <v>-0.411</v>
      </c>
      <c r="K26" s="415">
        <v>-0.411</v>
      </c>
      <c r="L26" s="462"/>
      <c r="M26" s="511" t="s">
        <v>385</v>
      </c>
      <c r="N26" s="466" t="s">
        <v>382</v>
      </c>
      <c r="O26" s="462"/>
      <c r="P26" s="462"/>
      <c r="Q26" s="466" t="s">
        <v>394</v>
      </c>
    </row>
    <row r="27">
      <c r="A27" s="511" t="s">
        <v>395</v>
      </c>
      <c r="B27" s="463"/>
      <c r="C27" s="463"/>
      <c r="D27" s="463"/>
      <c r="E27" s="463"/>
      <c r="F27" s="463"/>
      <c r="G27" s="424">
        <v>-0.391</v>
      </c>
      <c r="H27" s="415">
        <v>-0.391</v>
      </c>
      <c r="I27" s="415">
        <v>-0.391</v>
      </c>
      <c r="J27" s="415">
        <v>-0.391</v>
      </c>
      <c r="K27" s="415">
        <v>-0.391</v>
      </c>
      <c r="L27" s="462"/>
      <c r="M27" s="511" t="s">
        <v>385</v>
      </c>
      <c r="N27" s="466" t="s">
        <v>382</v>
      </c>
      <c r="O27" s="462"/>
      <c r="P27" s="462"/>
      <c r="Q27" s="466" t="s">
        <v>394</v>
      </c>
    </row>
    <row r="28">
      <c r="A28" s="511" t="s">
        <v>396</v>
      </c>
      <c r="B28" s="463"/>
      <c r="C28" s="463"/>
      <c r="D28" s="463"/>
      <c r="E28" s="463"/>
      <c r="F28" s="463"/>
      <c r="G28" s="424">
        <v>-0.371</v>
      </c>
      <c r="H28" s="415">
        <v>-0.371</v>
      </c>
      <c r="I28" s="415">
        <v>-0.371</v>
      </c>
      <c r="J28" s="415">
        <v>-0.371</v>
      </c>
      <c r="K28" s="415">
        <v>-0.371</v>
      </c>
      <c r="L28" s="462"/>
      <c r="M28" s="511" t="s">
        <v>385</v>
      </c>
      <c r="N28" s="466" t="s">
        <v>382</v>
      </c>
      <c r="O28" s="462"/>
      <c r="P28" s="462"/>
      <c r="Q28" s="466" t="s">
        <v>394</v>
      </c>
    </row>
    <row r="29">
      <c r="A29" s="511" t="s">
        <v>405</v>
      </c>
      <c r="B29" s="407">
        <f>IF(EEFF!B14=0,"",EEFF!B18/EEFF!B14)</f>
        <v>0</v>
      </c>
      <c r="C29" s="407">
        <f>IF(EEFF!C14=0,"",EEFF!C18/EEFF!C14)</f>
        <v>0</v>
      </c>
      <c r="D29" s="407">
        <f>IF(EEFF!D14=0,"",EEFF!D18/EEFF!D14)</f>
        <v>-0.4033364714746106</v>
      </c>
      <c r="E29" s="407">
        <f>IF(EEFF!E14=0,"",EEFF!E18/EEFF!E14)</f>
        <v>-0.38478294622141007</v>
      </c>
      <c r="F29" s="407">
        <f>IF(EEFF!F14=0,"",EEFF!F18/EEFF!F14)</f>
        <v>-0.39063187206512573</v>
      </c>
      <c r="G29" s="474"/>
      <c r="H29" s="461"/>
      <c r="I29" s="461"/>
      <c r="J29" s="461"/>
      <c r="K29" s="461"/>
      <c r="L29" s="462"/>
      <c r="M29" s="511" t="s">
        <v>392</v>
      </c>
      <c r="N29" s="466" t="s">
        <v>398</v>
      </c>
      <c r="O29" s="462"/>
      <c r="P29" s="462"/>
      <c r="Q29" s="466" t="s">
        <v>399</v>
      </c>
    </row>
    <row r="30">
      <c r="A30" s="464"/>
      <c r="B30" s="464"/>
      <c r="C30" s="464"/>
      <c r="D30" s="464"/>
      <c r="E30" s="464"/>
      <c r="F30" s="464"/>
      <c r="G30" s="470"/>
      <c r="H30" s="464"/>
      <c r="I30" s="464"/>
      <c r="J30" s="464"/>
      <c r="K30" s="464"/>
      <c r="L30" s="462"/>
      <c r="M30" s="462"/>
      <c r="N30" s="466"/>
      <c r="O30" s="462"/>
      <c r="P30" s="462"/>
      <c r="Q30" s="466"/>
    </row>
    <row r="31">
      <c r="A31" s="514" t="s">
        <v>406</v>
      </c>
      <c r="B31" s="460"/>
      <c r="C31" s="460"/>
      <c r="D31" s="460"/>
      <c r="E31" s="460"/>
      <c r="F31" s="460"/>
      <c r="G31" s="473"/>
      <c r="H31" s="467"/>
      <c r="I31" s="467"/>
      <c r="J31" s="467"/>
      <c r="K31" s="467"/>
      <c r="L31" s="462"/>
      <c r="M31" s="462"/>
      <c r="N31" s="462"/>
      <c r="O31" s="462"/>
      <c r="P31" s="462"/>
      <c r="Q31" s="462"/>
    </row>
    <row r="32">
      <c r="A32" s="511" t="s">
        <v>407</v>
      </c>
      <c r="B32" s="463"/>
      <c r="C32" s="463"/>
      <c r="D32" s="463"/>
      <c r="E32" s="463"/>
      <c r="F32" s="463"/>
      <c r="G32" s="500">
        <f>CHOOSE($C$5,G34,G35,G33)</f>
        <v>18000000</v>
      </c>
      <c r="H32" s="496">
        <f>CHOOSE($C$5,H34,H35,H33)</f>
        <v>15000000</v>
      </c>
      <c r="I32" s="496">
        <f>CHOOSE($C$5,I34,I35,I33)</f>
        <v>12000000</v>
      </c>
      <c r="J32" s="496">
        <f>CHOOSE($C$5,J34,J35,J33)</f>
        <v>8000000</v>
      </c>
      <c r="K32" s="496">
        <f>CHOOSE($C$5,K34,K35,K33)</f>
        <v>5000000</v>
      </c>
      <c r="L32" s="462"/>
      <c r="M32" s="511" t="s">
        <v>385</v>
      </c>
      <c r="N32" s="466" t="s">
        <v>382</v>
      </c>
      <c r="O32" s="462"/>
      <c r="P32" s="462"/>
      <c r="Q32" s="466" t="s">
        <v>386</v>
      </c>
    </row>
    <row r="33">
      <c r="A33" s="511" t="s">
        <v>393</v>
      </c>
      <c r="B33" s="463"/>
      <c r="C33" s="463"/>
      <c r="D33" s="463"/>
      <c r="E33" s="463"/>
      <c r="F33" s="463"/>
      <c r="G33" s="424">
        <v>10000000</v>
      </c>
      <c r="H33" s="415">
        <v>6000000</v>
      </c>
      <c r="I33" s="415">
        <v>3000000</v>
      </c>
      <c r="J33" s="415">
        <v>0</v>
      </c>
      <c r="K33" s="415">
        <v>0</v>
      </c>
      <c r="L33" s="462"/>
      <c r="M33" s="511" t="s">
        <v>385</v>
      </c>
      <c r="N33" s="466" t="s">
        <v>382</v>
      </c>
      <c r="O33" s="462"/>
      <c r="P33" s="462"/>
      <c r="Q33" s="466" t="s">
        <v>394</v>
      </c>
    </row>
    <row r="34">
      <c r="A34" s="511" t="s">
        <v>395</v>
      </c>
      <c r="B34" s="463"/>
      <c r="C34" s="463"/>
      <c r="D34" s="463"/>
      <c r="E34" s="463"/>
      <c r="F34" s="463"/>
      <c r="G34" s="424">
        <v>18000000</v>
      </c>
      <c r="H34" s="415">
        <v>15000000</v>
      </c>
      <c r="I34" s="415">
        <v>12000000</v>
      </c>
      <c r="J34" s="415">
        <v>8000000</v>
      </c>
      <c r="K34" s="415">
        <v>5000000</v>
      </c>
      <c r="L34" s="462"/>
      <c r="M34" s="511" t="s">
        <v>385</v>
      </c>
      <c r="N34" s="466" t="s">
        <v>382</v>
      </c>
      <c r="O34" s="462"/>
      <c r="P34" s="462"/>
      <c r="Q34" s="466" t="s">
        <v>394</v>
      </c>
    </row>
    <row r="35">
      <c r="A35" s="511" t="s">
        <v>396</v>
      </c>
      <c r="B35" s="463"/>
      <c r="C35" s="463"/>
      <c r="D35" s="463"/>
      <c r="E35" s="463"/>
      <c r="F35" s="463"/>
      <c r="G35" s="424">
        <v>25631321</v>
      </c>
      <c r="H35" s="415">
        <v>22000000</v>
      </c>
      <c r="I35" s="415">
        <v>18000000</v>
      </c>
      <c r="J35" s="415">
        <v>14000000</v>
      </c>
      <c r="K35" s="415">
        <v>10000000</v>
      </c>
      <c r="L35" s="462"/>
      <c r="M35" s="511" t="s">
        <v>385</v>
      </c>
      <c r="N35" s="466" t="s">
        <v>382</v>
      </c>
      <c r="O35" s="462"/>
      <c r="P35" s="462"/>
      <c r="Q35" s="466" t="s">
        <v>394</v>
      </c>
    </row>
    <row r="36">
      <c r="A36" s="511" t="s">
        <v>408</v>
      </c>
      <c r="B36" s="498">
        <f>EEFF!B12</f>
        <v>1208524</v>
      </c>
      <c r="C36" s="498">
        <f>EEFF!C12</f>
        <v>0</v>
      </c>
      <c r="D36" s="498">
        <f>EEFF!D12</f>
        <v>50128462</v>
      </c>
      <c r="E36" s="498">
        <f>EEFF!E12</f>
        <v>66851027</v>
      </c>
      <c r="F36" s="498">
        <f>EEFF!F12</f>
        <v>25631321</v>
      </c>
      <c r="G36" s="472"/>
      <c r="H36" s="463"/>
      <c r="I36" s="463"/>
      <c r="J36" s="463"/>
      <c r="K36" s="463"/>
      <c r="L36" s="462"/>
      <c r="M36" s="511" t="s">
        <v>385</v>
      </c>
      <c r="N36" s="466" t="s">
        <v>398</v>
      </c>
      <c r="O36" s="462"/>
      <c r="P36" s="462"/>
      <c r="Q36" s="466" t="s">
        <v>409</v>
      </c>
    </row>
    <row r="37">
      <c r="A37" s="409"/>
      <c r="B37" s="409"/>
      <c r="C37" s="409"/>
      <c r="D37" s="409"/>
      <c r="E37" s="409"/>
      <c r="F37" s="409"/>
      <c r="G37" s="422"/>
      <c r="H37" s="409"/>
      <c r="I37" s="409"/>
      <c r="J37" s="409"/>
      <c r="K37" s="409"/>
    </row>
  </sheetData>
</worksheet>
</file>

<file path=xl/worksheets/sheet4.xml><?xml version="1.0" encoding="utf-8"?>
<worksheet xmlns="http://schemas.openxmlformats.org/spreadsheetml/2006/main" xmlns:r="http://schemas.openxmlformats.org/officeDocument/2006/relationships">
  <dimension ref="A1:K144"/>
  <sheetViews>
    <sheetView showGridLines="0" workbookViewId="0"/>
  </sheetViews>
  <sheetFormatPr defaultColWidth="8.375" defaultRowHeight="15"/>
  <cols>
    <col min="1" max="1" width="43.125" customWidth="1"/>
    <col min="2" max="11" width="15.625" customWidth="1"/>
  </cols>
  <sheetData>
    <row r="1">
      <c r="A1" s="514" t="s">
        <v>0</v>
      </c>
      <c r="B1" s="489"/>
      <c r="C1" s="489"/>
      <c r="D1" s="489"/>
      <c r="E1" s="489"/>
      <c r="F1" s="489"/>
      <c r="G1" s="491"/>
      <c r="H1" s="484"/>
      <c r="I1" s="484"/>
      <c r="J1" s="484"/>
      <c r="K1" s="484"/>
    </row>
    <row r="2">
      <c r="A2" s="511" t="s">
        <v>1</v>
      </c>
      <c r="G2" s="488"/>
    </row>
    <row r="3">
      <c r="A3" s="511" t="s">
        <v>2</v>
      </c>
      <c r="G3" s="488"/>
    </row>
    <row r="4">
      <c r="A4" s="486"/>
      <c r="B4" s="486"/>
      <c r="C4" s="486"/>
      <c r="D4" s="486"/>
      <c r="E4" s="486"/>
      <c r="F4" s="486"/>
      <c r="G4" s="488"/>
      <c r="H4" s="486"/>
      <c r="I4" s="486"/>
      <c r="J4" s="486"/>
      <c r="K4" s="486"/>
    </row>
    <row r="5">
      <c r="A5" s="514" t="s">
        <v>3</v>
      </c>
      <c r="B5" s="515" t="s">
        <v>4</v>
      </c>
      <c r="C5" s="515" t="s">
        <v>5</v>
      </c>
      <c r="D5" s="515" t="s">
        <v>6</v>
      </c>
      <c r="E5" s="515" t="s">
        <v>7</v>
      </c>
      <c r="F5" s="515" t="s">
        <v>8</v>
      </c>
      <c r="G5" s="517" t="s">
        <v>9</v>
      </c>
      <c r="H5" s="516" t="s">
        <v>10</v>
      </c>
      <c r="I5" s="516" t="s">
        <v>11</v>
      </c>
      <c r="J5" s="516" t="s">
        <v>12</v>
      </c>
      <c r="K5" s="516" t="s">
        <v>13</v>
      </c>
    </row>
    <row r="6">
      <c r="A6" s="514" t="s">
        <v>14</v>
      </c>
      <c r="B6" s="481"/>
      <c r="C6" s="481"/>
      <c r="D6" s="481"/>
      <c r="E6" s="481"/>
      <c r="F6" s="481"/>
      <c r="G6" s="492"/>
      <c r="H6" s="490"/>
      <c r="I6" s="490"/>
      <c r="J6" s="490"/>
      <c r="K6" s="490"/>
    </row>
    <row r="7">
      <c r="A7" s="511" t="s">
        <v>15</v>
      </c>
      <c r="B7" s="498">
        <f>EEFF!B7</f>
        <v>124638235</v>
      </c>
      <c r="C7" s="498">
        <f>EEFF!C7</f>
        <v>117638023</v>
      </c>
      <c r="D7" s="498">
        <f>EEFF!D7</f>
        <v>104655658</v>
      </c>
      <c r="E7" s="498">
        <f>EEFF!E7</f>
        <v>87255861</v>
      </c>
      <c r="F7" s="498">
        <f>EEFF!F7</f>
        <v>82524242</v>
      </c>
      <c r="G7" s="500">
        <f>F7</f>
        <v>82524242</v>
      </c>
      <c r="H7" s="496">
        <f>G7</f>
        <v>82524242</v>
      </c>
      <c r="I7" s="496">
        <f>H7</f>
        <v>82524242</v>
      </c>
      <c r="J7" s="496">
        <f>I7</f>
        <v>82524242</v>
      </c>
      <c r="K7" s="496">
        <f>J7</f>
        <v>82524242</v>
      </c>
    </row>
    <row r="8">
      <c r="A8" s="511" t="s">
        <v>16</v>
      </c>
      <c r="B8" s="498">
        <f>EEFF!B8</f>
        <v>204017285</v>
      </c>
      <c r="C8" s="498">
        <f>EEFF!C8</f>
        <v>211901340</v>
      </c>
      <c r="D8" s="498">
        <f>EEFF!D8</f>
        <v>219895566</v>
      </c>
      <c r="E8" s="498">
        <f>EEFF!E8</f>
        <v>224687080</v>
      </c>
      <c r="F8" s="498">
        <f>EEFF!F8</f>
        <v>224896583</v>
      </c>
      <c r="G8" s="500">
        <f>F8</f>
        <v>224896583</v>
      </c>
      <c r="H8" s="496">
        <f>G8</f>
        <v>224896583</v>
      </c>
      <c r="I8" s="496">
        <f>H8</f>
        <v>224896583</v>
      </c>
      <c r="J8" s="496">
        <f>I8</f>
        <v>224896583</v>
      </c>
      <c r="K8" s="496">
        <f>J8</f>
        <v>224896583</v>
      </c>
    </row>
    <row r="9">
      <c r="A9" s="511" t="s">
        <v>17</v>
      </c>
      <c r="B9" s="498">
        <f>EEFF!B9</f>
        <v>34093835</v>
      </c>
      <c r="C9" s="498">
        <f>EEFF!C9</f>
        <v>28457738</v>
      </c>
      <c r="D9" s="498">
        <f>EEFF!D9</f>
        <v>26021086</v>
      </c>
      <c r="E9" s="498">
        <f>EEFF!E9</f>
        <v>22369326</v>
      </c>
      <c r="F9" s="498">
        <f>EEFF!F9</f>
        <v>19786399</v>
      </c>
      <c r="G9" s="500">
        <f>F9</f>
        <v>19786399</v>
      </c>
      <c r="H9" s="496">
        <f>G9</f>
        <v>19786399</v>
      </c>
      <c r="I9" s="496">
        <f>H9</f>
        <v>19786399</v>
      </c>
      <c r="J9" s="496">
        <f>I9</f>
        <v>19786399</v>
      </c>
      <c r="K9" s="496">
        <f>J9</f>
        <v>19786399</v>
      </c>
    </row>
    <row r="10">
      <c r="A10" s="511" t="s">
        <v>18</v>
      </c>
      <c r="B10" s="498">
        <f>EEFF!B10</f>
        <v>241005737</v>
      </c>
      <c r="C10" s="498">
        <f>EEFF!C10</f>
        <v>258315486</v>
      </c>
      <c r="D10" s="498">
        <f>EEFF!D10</f>
        <v>283171731</v>
      </c>
      <c r="E10" s="498">
        <f>EEFF!E10</f>
        <v>320833653</v>
      </c>
      <c r="F10" s="498">
        <f>EEFF!F10</f>
        <v>342224043</v>
      </c>
      <c r="G10" s="502">
        <f>F10*(1+Supuestos!G11)</f>
        <v>357624124.935</v>
      </c>
      <c r="H10" s="498">
        <f>G10*(1+Supuestos!H11)</f>
        <v>371929089.9324</v>
      </c>
      <c r="I10" s="498">
        <f>H10*(1+Supuestos!I11)</f>
        <v>384946608.08003396</v>
      </c>
      <c r="J10" s="498">
        <f>I10*(1+Supuestos!J11)</f>
        <v>396495006.32243496</v>
      </c>
      <c r="K10" s="498">
        <f>J10*(1+Supuestos!K11)</f>
        <v>408389856.512108</v>
      </c>
    </row>
    <row r="11">
      <c r="A11" s="511" t="s">
        <v>19</v>
      </c>
      <c r="B11" s="498">
        <f>EEFF!B11</f>
        <v>24841863</v>
      </c>
      <c r="C11" s="498">
        <f>EEFF!C11</f>
        <v>26972802</v>
      </c>
      <c r="D11" s="498">
        <f>EEFF!D11</f>
        <v>30763445</v>
      </c>
      <c r="E11" s="498">
        <f>EEFF!E11</f>
        <v>33498590</v>
      </c>
      <c r="F11" s="498">
        <f>EEFF!F11</f>
        <v>30528983</v>
      </c>
      <c r="G11" s="500">
        <f>F11</f>
        <v>30528983</v>
      </c>
      <c r="H11" s="496">
        <f>G11</f>
        <v>30528983</v>
      </c>
      <c r="I11" s="496">
        <f>H11</f>
        <v>30528983</v>
      </c>
      <c r="J11" s="496">
        <f>I11</f>
        <v>30528983</v>
      </c>
      <c r="K11" s="496">
        <f>J11</f>
        <v>30528983</v>
      </c>
    </row>
    <row r="12">
      <c r="A12" s="511" t="s">
        <v>20</v>
      </c>
      <c r="B12" s="498">
        <f>EEFF!B12</f>
        <v>1208524</v>
      </c>
      <c r="C12" s="498">
        <f>EEFF!C12</f>
        <v>0</v>
      </c>
      <c r="D12" s="498">
        <f>EEFF!D12</f>
        <v>50128462</v>
      </c>
      <c r="E12" s="498">
        <f>EEFF!E12</f>
        <v>66851027</v>
      </c>
      <c r="F12" s="498">
        <f>EEFF!F12</f>
        <v>25631321</v>
      </c>
      <c r="G12" s="502">
        <f>Supuestos!G32</f>
        <v>18000000</v>
      </c>
      <c r="H12" s="498">
        <f>Supuestos!H32</f>
        <v>15000000</v>
      </c>
      <c r="I12" s="498">
        <f>Supuestos!I32</f>
        <v>12000000</v>
      </c>
      <c r="J12" s="498">
        <f>Supuestos!J32</f>
        <v>8000000</v>
      </c>
      <c r="K12" s="498">
        <f>Supuestos!K32</f>
        <v>5000000</v>
      </c>
    </row>
    <row r="13">
      <c r="A13" s="511" t="s">
        <v>21</v>
      </c>
      <c r="B13" s="498">
        <f>EEFF!B13</f>
        <v>4881814</v>
      </c>
      <c r="C13" s="498">
        <f>EEFF!C13</f>
        <v>8978444</v>
      </c>
      <c r="D13" s="498">
        <f>EEFF!D13</f>
        <v>9609117</v>
      </c>
      <c r="E13" s="498">
        <f>EEFF!E13</f>
        <v>1354913</v>
      </c>
      <c r="F13" s="498">
        <f>EEFF!F13</f>
        <v>4474633</v>
      </c>
      <c r="G13" s="500">
        <f>F13</f>
        <v>4474633</v>
      </c>
      <c r="H13" s="496">
        <f>G13</f>
        <v>4474633</v>
      </c>
      <c r="I13" s="496">
        <f>H13</f>
        <v>4474633</v>
      </c>
      <c r="J13" s="496">
        <f>I13</f>
        <v>4474633</v>
      </c>
      <c r="K13" s="496">
        <f>J13</f>
        <v>4474633</v>
      </c>
    </row>
    <row r="14">
      <c r="A14" s="479" t="s">
        <v>22</v>
      </c>
      <c r="B14" s="477">
        <f>EEFF!B14</f>
        <v>634687293</v>
      </c>
      <c r="C14" s="477">
        <f>EEFF!C14</f>
        <v>652263833</v>
      </c>
      <c r="D14" s="477">
        <f>EEFF!D14</f>
        <v>724245065</v>
      </c>
      <c r="E14" s="477">
        <f>EEFF!E14</f>
        <v>756850450</v>
      </c>
      <c r="F14" s="477">
        <f>EEFF!F14</f>
        <v>730066204</v>
      </c>
      <c r="G14" s="480">
        <f>G7+G8+G9+G10+G11+G12+G13</f>
        <v>737834964.935</v>
      </c>
      <c r="H14" s="485">
        <f>H7+H8+H9+H10+H11+H12+H13</f>
        <v>749139929.9324</v>
      </c>
      <c r="I14" s="485">
        <f>I7+I8+I9+I10+I11+I12+I13</f>
        <v>759157448.080034</v>
      </c>
      <c r="J14" s="485">
        <f>J7+J8+J9+J10+J11+J12+J13</f>
        <v>766705846.3224349</v>
      </c>
      <c r="K14" s="485">
        <f>K7+K8+K9+K10+K11+K12+K13</f>
        <v>775600696.5121081</v>
      </c>
    </row>
    <row r="15">
      <c r="A15" s="511" t="s">
        <v>23</v>
      </c>
      <c r="B15" s="498">
        <f>EEFF!B15</f>
        <v>0</v>
      </c>
      <c r="C15" s="498">
        <f>EEFF!C15</f>
        <v>0</v>
      </c>
      <c r="D15" s="498">
        <f>EEFF!D15</f>
        <v>-175380648</v>
      </c>
      <c r="E15" s="498">
        <f>EEFF!E15</f>
        <v>-175827888</v>
      </c>
      <c r="F15" s="498">
        <f>EEFF!F15</f>
        <v>-135028752</v>
      </c>
      <c r="G15" s="502">
        <f>G14*Supuestos!G18</f>
        <v>-136499468.51297498</v>
      </c>
      <c r="H15" s="498">
        <f>H14*Supuestos!H18</f>
        <v>-138590887.037494</v>
      </c>
      <c r="I15" s="498">
        <f>I14*Supuestos!I18</f>
        <v>-140444127.8948063</v>
      </c>
      <c r="J15" s="498">
        <f>J14*Supuestos!J18</f>
        <v>-141840581.56965044</v>
      </c>
      <c r="K15" s="498">
        <f>K14*Supuestos!K18</f>
        <v>-143486128.85474</v>
      </c>
    </row>
    <row r="16">
      <c r="A16" s="511" t="s">
        <v>24</v>
      </c>
      <c r="B16" s="498">
        <f>EEFF!B16</f>
        <v>-150875959</v>
      </c>
      <c r="C16" s="498">
        <f>EEFF!C16</f>
        <v>-152396721</v>
      </c>
      <c r="D16" s="498">
        <f>EEFF!D16</f>
        <v>0</v>
      </c>
      <c r="E16" s="498">
        <f>EEFF!E16</f>
        <v>0</v>
      </c>
      <c r="F16" s="498">
        <f>EEFF!F16</f>
        <v>0</v>
      </c>
      <c r="G16" s="475"/>
      <c r="H16" s="476"/>
      <c r="I16" s="476"/>
      <c r="J16" s="476"/>
      <c r="K16" s="476"/>
    </row>
    <row r="17">
      <c r="A17" s="511" t="s">
        <v>25</v>
      </c>
      <c r="B17" s="498">
        <f>EEFF!B17</f>
        <v>-153622836</v>
      </c>
      <c r="C17" s="498">
        <f>EEFF!C17</f>
        <v>-149542407</v>
      </c>
      <c r="D17" s="498">
        <f>EEFF!D17</f>
        <v>-154175663</v>
      </c>
      <c r="E17" s="498">
        <f>EEFF!E17</f>
        <v>-151343212</v>
      </c>
      <c r="F17" s="498">
        <f>EEFF!F17</f>
        <v>-147727956</v>
      </c>
      <c r="G17" s="500">
        <f>F17</f>
        <v>-147727956</v>
      </c>
      <c r="H17" s="496">
        <f>G17</f>
        <v>-147727956</v>
      </c>
      <c r="I17" s="496">
        <f>H17</f>
        <v>-147727956</v>
      </c>
      <c r="J17" s="496">
        <f>I17</f>
        <v>-147727956</v>
      </c>
      <c r="K17" s="496">
        <f>J17</f>
        <v>-147727956</v>
      </c>
    </row>
    <row r="18">
      <c r="A18" s="511" t="s">
        <v>26</v>
      </c>
      <c r="B18" s="498">
        <f>EEFF!B18</f>
        <v>0</v>
      </c>
      <c r="C18" s="498">
        <f>EEFF!C18</f>
        <v>0</v>
      </c>
      <c r="D18" s="498">
        <f>EEFF!D18</f>
        <v>-292114449</v>
      </c>
      <c r="E18" s="498">
        <f>EEFF!E18</f>
        <v>-291223146</v>
      </c>
      <c r="F18" s="498">
        <f>EEFF!F18</f>
        <v>-285187128</v>
      </c>
      <c r="G18" s="502">
        <f>G14*Supuestos!G25</f>
        <v>-288493471.289585</v>
      </c>
      <c r="H18" s="498">
        <f>H14*Supuestos!H25</f>
        <v>-292913712.60356843</v>
      </c>
      <c r="I18" s="498">
        <f>I14*Supuestos!I25</f>
        <v>-296830562.1992933</v>
      </c>
      <c r="J18" s="498">
        <f>J14*Supuestos!J25</f>
        <v>-299781985.91207206</v>
      </c>
      <c r="K18" s="498">
        <f>K14*Supuestos!K25</f>
        <v>-303259872.3362343</v>
      </c>
    </row>
    <row r="19">
      <c r="A19" s="511" t="s">
        <v>27</v>
      </c>
      <c r="B19" s="498">
        <f>EEFF!B19</f>
        <v>-74944892</v>
      </c>
      <c r="C19" s="498">
        <f>EEFF!C19</f>
        <v>-80304113</v>
      </c>
      <c r="D19" s="498">
        <f>EEFF!D19</f>
        <v>0</v>
      </c>
      <c r="E19" s="498">
        <f>EEFF!E19</f>
        <v>0</v>
      </c>
      <c r="F19" s="498">
        <f>EEFF!F19</f>
        <v>0</v>
      </c>
      <c r="G19" s="475"/>
      <c r="H19" s="476"/>
      <c r="I19" s="476"/>
      <c r="J19" s="476"/>
      <c r="K19" s="476"/>
    </row>
    <row r="20">
      <c r="A20" s="511" t="s">
        <v>28</v>
      </c>
      <c r="B20" s="498">
        <f>EEFF!B20</f>
        <v>-132286256</v>
      </c>
      <c r="C20" s="498">
        <f>EEFF!C20</f>
        <v>-142118370</v>
      </c>
      <c r="D20" s="498">
        <f>EEFF!D20</f>
        <v>0</v>
      </c>
      <c r="E20" s="498">
        <f>EEFF!E20</f>
        <v>0</v>
      </c>
      <c r="F20" s="498">
        <f>EEFF!F20</f>
        <v>0</v>
      </c>
      <c r="G20" s="475"/>
      <c r="H20" s="476"/>
      <c r="I20" s="476"/>
      <c r="J20" s="476"/>
      <c r="K20" s="476"/>
    </row>
    <row r="21">
      <c r="A21" s="479" t="s">
        <v>29</v>
      </c>
      <c r="B21" s="477">
        <f>EEFF!B21</f>
        <v>-511729943</v>
      </c>
      <c r="C21" s="477">
        <f>EEFF!C21</f>
        <v>-524361611</v>
      </c>
      <c r="D21" s="477">
        <f>EEFF!D21</f>
        <v>-621670760</v>
      </c>
      <c r="E21" s="477">
        <f>EEFF!E21</f>
        <v>-618394246</v>
      </c>
      <c r="F21" s="477">
        <f>EEFF!F21</f>
        <v>-567943836</v>
      </c>
      <c r="G21" s="480">
        <f>G15+G16+G17+G18+G19+G20</f>
        <v>-572720895.80256</v>
      </c>
      <c r="H21" s="485">
        <f>H15+H16+H17+H18+H19+H20</f>
        <v>-579232555.6410625</v>
      </c>
      <c r="I21" s="485">
        <f>I15+I16+I17+I18+I19+I20</f>
        <v>-585002646.0940995</v>
      </c>
      <c r="J21" s="485">
        <f>J15+J16+J17+J18+J19+J20</f>
        <v>-589350523.4817225</v>
      </c>
      <c r="K21" s="485">
        <f>K15+K16+K17+K18+K19+K20</f>
        <v>-594473957.1909742</v>
      </c>
    </row>
    <row r="22">
      <c r="A22" s="479" t="s">
        <v>30</v>
      </c>
      <c r="B22" s="477">
        <f>EEFF!B22</f>
        <v>122957350</v>
      </c>
      <c r="C22" s="477">
        <f>EEFF!C22</f>
        <v>127902222</v>
      </c>
      <c r="D22" s="477">
        <f>EEFF!D22</f>
        <v>102574305</v>
      </c>
      <c r="E22" s="477">
        <f>EEFF!E22</f>
        <v>138456204</v>
      </c>
      <c r="F22" s="477">
        <f>EEFF!F22</f>
        <v>162122368</v>
      </c>
      <c r="G22" s="480">
        <f>G14+G21</f>
        <v>165114069.13243997</v>
      </c>
      <c r="H22" s="485">
        <f>H14+H21</f>
        <v>169907374.2913375</v>
      </c>
      <c r="I22" s="485">
        <f>I14+I21</f>
        <v>174154801.9859345</v>
      </c>
      <c r="J22" s="485">
        <f>J14+J21</f>
        <v>177355322.84071243</v>
      </c>
      <c r="K22" s="485">
        <f>K14+K21</f>
        <v>181126739.32113385</v>
      </c>
    </row>
    <row r="23">
      <c r="A23" s="511" t="s">
        <v>31</v>
      </c>
      <c r="B23" s="498">
        <f>EEFF!B23</f>
        <v>0</v>
      </c>
      <c r="C23" s="498">
        <f>EEFF!C23</f>
        <v>0</v>
      </c>
      <c r="D23" s="498">
        <f>EEFF!D23</f>
        <v>-45703890</v>
      </c>
      <c r="E23" s="498">
        <f>EEFF!E23</f>
        <v>-46804258</v>
      </c>
      <c r="F23" s="498">
        <f>EEFF!F23</f>
        <v>-53287722</v>
      </c>
      <c r="G23" s="500">
        <f>F23</f>
        <v>-53287722</v>
      </c>
      <c r="H23" s="496">
        <f>G23</f>
        <v>-53287722</v>
      </c>
      <c r="I23" s="496">
        <f>H23</f>
        <v>-53287722</v>
      </c>
      <c r="J23" s="496">
        <f>I23</f>
        <v>-53287722</v>
      </c>
      <c r="K23" s="496">
        <f>J23</f>
        <v>-53287722</v>
      </c>
    </row>
    <row r="24">
      <c r="A24" s="511" t="s">
        <v>32</v>
      </c>
      <c r="B24" s="498">
        <f>EEFF!B24</f>
        <v>0</v>
      </c>
      <c r="C24" s="498">
        <f>EEFF!C24</f>
        <v>0</v>
      </c>
      <c r="D24" s="498">
        <f>EEFF!D24</f>
        <v>5297806</v>
      </c>
      <c r="E24" s="498">
        <f>EEFF!E24</f>
        <v>11724298</v>
      </c>
      <c r="F24" s="498">
        <f>EEFF!F24</f>
        <v>13445208</v>
      </c>
      <c r="G24" s="500">
        <f>F24</f>
        <v>13445208</v>
      </c>
      <c r="H24" s="496">
        <f>G24</f>
        <v>13445208</v>
      </c>
      <c r="I24" s="496">
        <f>H24</f>
        <v>13445208</v>
      </c>
      <c r="J24" s="496">
        <f>I24</f>
        <v>13445208</v>
      </c>
      <c r="K24" s="496">
        <f>J24</f>
        <v>13445208</v>
      </c>
    </row>
    <row r="25">
      <c r="A25" s="479" t="s">
        <v>33</v>
      </c>
      <c r="B25" s="477">
        <f>EEFF!B25</f>
        <v>0</v>
      </c>
      <c r="C25" s="477">
        <f>EEFF!C25</f>
        <v>0</v>
      </c>
      <c r="D25" s="477">
        <f>EEFF!D25</f>
        <v>-40406084</v>
      </c>
      <c r="E25" s="477">
        <f>EEFF!E25</f>
        <v>-35079960</v>
      </c>
      <c r="F25" s="477">
        <f>EEFF!F25</f>
        <v>-39842514</v>
      </c>
      <c r="G25" s="480">
        <f>G23+G24</f>
        <v>-39842514</v>
      </c>
      <c r="H25" s="485">
        <f>H23+H24</f>
        <v>-39842514</v>
      </c>
      <c r="I25" s="485">
        <f>I23+I24</f>
        <v>-39842514</v>
      </c>
      <c r="J25" s="485">
        <f>J23+J24</f>
        <v>-39842514</v>
      </c>
      <c r="K25" s="485">
        <f>K23+K24</f>
        <v>-39842514</v>
      </c>
    </row>
    <row r="26">
      <c r="A26" s="511" t="s">
        <v>34</v>
      </c>
      <c r="B26" s="498">
        <f>EEFF!B26</f>
        <v>-47924773</v>
      </c>
      <c r="C26" s="498">
        <f>EEFF!C26</f>
        <v>-43159349</v>
      </c>
      <c r="D26" s="498">
        <f>EEFF!D26</f>
        <v>0</v>
      </c>
      <c r="E26" s="498">
        <f>EEFF!E26</f>
        <v>0</v>
      </c>
      <c r="F26" s="498">
        <f>EEFF!F26</f>
        <v>0</v>
      </c>
      <c r="G26" s="475"/>
      <c r="H26" s="476"/>
      <c r="I26" s="476"/>
      <c r="J26" s="476"/>
      <c r="K26" s="476"/>
    </row>
    <row r="27">
      <c r="A27" s="479" t="s">
        <v>35</v>
      </c>
      <c r="B27" s="477">
        <f>EEFF!B27</f>
        <v>75032577</v>
      </c>
      <c r="C27" s="477">
        <f>EEFF!C27</f>
        <v>84742873</v>
      </c>
      <c r="D27" s="477">
        <f>EEFF!D27</f>
        <v>62168221</v>
      </c>
      <c r="E27" s="477">
        <f>EEFF!E27</f>
        <v>103376244</v>
      </c>
      <c r="F27" s="477">
        <f>EEFF!F27</f>
        <v>122279854</v>
      </c>
      <c r="G27" s="480">
        <f>G22+G25+G26</f>
        <v>125271555.13243997</v>
      </c>
      <c r="H27" s="485">
        <f>H22+H25+H26</f>
        <v>130064860.29133749</v>
      </c>
      <c r="I27" s="485">
        <f>I22+I25+I26</f>
        <v>134312287.9859345</v>
      </c>
      <c r="J27" s="485">
        <f>J22+J25+J26</f>
        <v>137512808.84071243</v>
      </c>
      <c r="K27" s="485">
        <f>K22+K25+K26</f>
        <v>141284225.32113385</v>
      </c>
    </row>
    <row r="28">
      <c r="A28" s="511" t="s">
        <v>36</v>
      </c>
      <c r="B28" s="498">
        <f>EEFF!B28</f>
        <v>-25689008</v>
      </c>
      <c r="C28" s="498">
        <f>EEFF!C28</f>
        <v>-24811840</v>
      </c>
      <c r="D28" s="498">
        <f>EEFF!D28</f>
        <v>-21213306</v>
      </c>
      <c r="E28" s="498">
        <f>EEFF!E28</f>
        <v>-31932690</v>
      </c>
      <c r="F28" s="498">
        <f>EEFF!F28</f>
        <v>-36828934</v>
      </c>
      <c r="G28" s="500">
        <f>F28</f>
        <v>-36828934</v>
      </c>
      <c r="H28" s="496">
        <f>G28</f>
        <v>-36828934</v>
      </c>
      <c r="I28" s="496">
        <f>H28</f>
        <v>-36828934</v>
      </c>
      <c r="J28" s="496">
        <f>I28</f>
        <v>-36828934</v>
      </c>
      <c r="K28" s="496">
        <f>J28</f>
        <v>-36828934</v>
      </c>
    </row>
    <row r="29">
      <c r="A29" s="479" t="s">
        <v>37</v>
      </c>
      <c r="B29" s="477">
        <f>EEFF!B29</f>
        <v>49343569</v>
      </c>
      <c r="C29" s="477">
        <f>EEFF!C29</f>
        <v>59931033</v>
      </c>
      <c r="D29" s="477">
        <f>EEFF!D29</f>
        <v>40954915</v>
      </c>
      <c r="E29" s="477">
        <f>EEFF!E29</f>
        <v>71443554</v>
      </c>
      <c r="F29" s="477">
        <f>EEFF!F29</f>
        <v>85450920</v>
      </c>
      <c r="G29" s="480">
        <f>G27+G28</f>
        <v>88442621.13243997</v>
      </c>
      <c r="H29" s="485">
        <f>H27+H28</f>
        <v>93235926.29133749</v>
      </c>
      <c r="I29" s="485">
        <f>I27+I28</f>
        <v>97483353.9859345</v>
      </c>
      <c r="J29" s="485">
        <f>J27+J28</f>
        <v>100683874.84071243</v>
      </c>
      <c r="K29" s="485">
        <f>K27+K28</f>
        <v>104455291.32113385</v>
      </c>
    </row>
    <row r="30">
      <c r="A30" s="486"/>
      <c r="B30" s="486"/>
      <c r="C30" s="486"/>
      <c r="D30" s="486"/>
      <c r="E30" s="486"/>
      <c r="F30" s="486"/>
      <c r="G30" s="488"/>
      <c r="H30" s="486"/>
      <c r="I30" s="486"/>
      <c r="J30" s="486"/>
      <c r="K30" s="486"/>
    </row>
    <row r="31">
      <c r="A31" s="514" t="s">
        <v>3</v>
      </c>
      <c r="B31" s="515" t="s">
        <v>4</v>
      </c>
      <c r="C31" s="515" t="s">
        <v>5</v>
      </c>
      <c r="D31" s="515" t="s">
        <v>6</v>
      </c>
      <c r="E31" s="515" t="s">
        <v>7</v>
      </c>
      <c r="F31" s="515" t="s">
        <v>8</v>
      </c>
      <c r="G31" s="517" t="s">
        <v>9</v>
      </c>
      <c r="H31" s="516" t="s">
        <v>10</v>
      </c>
      <c r="I31" s="516" t="s">
        <v>11</v>
      </c>
      <c r="J31" s="516" t="s">
        <v>12</v>
      </c>
      <c r="K31" s="516" t="s">
        <v>13</v>
      </c>
    </row>
    <row r="32">
      <c r="A32" s="514" t="s">
        <v>38</v>
      </c>
      <c r="B32" s="481"/>
      <c r="C32" s="481"/>
      <c r="D32" s="481"/>
      <c r="E32" s="481"/>
      <c r="F32" s="481"/>
      <c r="G32" s="492"/>
      <c r="H32" s="490"/>
      <c r="I32" s="490"/>
      <c r="J32" s="490"/>
      <c r="K32" s="490"/>
    </row>
    <row r="33">
      <c r="A33" s="511" t="s">
        <v>39</v>
      </c>
      <c r="B33" s="498">
        <f>EEFF!B33</f>
        <v>1992208</v>
      </c>
      <c r="C33" s="498">
        <f>EEFF!C33</f>
        <v>2834277</v>
      </c>
      <c r="D33" s="498">
        <f>EEFF!D33</f>
        <v>4697690</v>
      </c>
      <c r="E33" s="498">
        <f>EEFF!E33</f>
        <v>1808937</v>
      </c>
      <c r="F33" s="498">
        <f>EEFF!F33</f>
        <v>1786705</v>
      </c>
      <c r="G33" s="500">
        <f>F33</f>
        <v>1786705</v>
      </c>
      <c r="H33" s="496">
        <f>G33</f>
        <v>1786705</v>
      </c>
      <c r="I33" s="496">
        <f>H33</f>
        <v>1786705</v>
      </c>
      <c r="J33" s="496">
        <f>I33</f>
        <v>1786705</v>
      </c>
      <c r="K33" s="496">
        <f>J33</f>
        <v>1786705</v>
      </c>
    </row>
    <row r="34">
      <c r="A34" s="511" t="s">
        <v>40</v>
      </c>
      <c r="B34" s="498">
        <f>EEFF!B34</f>
        <v>5530438</v>
      </c>
      <c r="C34" s="498">
        <f>EEFF!C34</f>
        <v>5513866</v>
      </c>
      <c r="D34" s="498">
        <f>EEFF!D34</f>
        <v>5515717</v>
      </c>
      <c r="E34" s="498">
        <f>EEFF!E34</f>
        <v>5516532</v>
      </c>
      <c r="F34" s="498">
        <f>EEFF!F34</f>
        <v>18735704</v>
      </c>
      <c r="G34" s="500">
        <f>F34</f>
        <v>18735704</v>
      </c>
      <c r="H34" s="496">
        <f>G34</f>
        <v>18735704</v>
      </c>
      <c r="I34" s="496">
        <f>H34</f>
        <v>18735704</v>
      </c>
      <c r="J34" s="496">
        <f>I34</f>
        <v>18735704</v>
      </c>
      <c r="K34" s="496">
        <f>J34</f>
        <v>18735704</v>
      </c>
    </row>
    <row r="35">
      <c r="A35" s="511" t="s">
        <v>41</v>
      </c>
      <c r="B35" s="498">
        <f>EEFF!B35</f>
        <v>0</v>
      </c>
      <c r="C35" s="498">
        <f>EEFF!C35</f>
        <v>0</v>
      </c>
      <c r="D35" s="498">
        <f>EEFF!D35</f>
        <v>12383205</v>
      </c>
      <c r="E35" s="498">
        <f>EEFF!E35</f>
        <v>12383205</v>
      </c>
      <c r="F35" s="498">
        <f>EEFF!F35</f>
        <v>15277603</v>
      </c>
      <c r="G35" s="500">
        <f>F35</f>
        <v>15277603</v>
      </c>
      <c r="H35" s="496">
        <f>G35</f>
        <v>15277603</v>
      </c>
      <c r="I35" s="496">
        <f>H35</f>
        <v>15277603</v>
      </c>
      <c r="J35" s="496">
        <f>I35</f>
        <v>15277603</v>
      </c>
      <c r="K35" s="496">
        <f>J35</f>
        <v>15277603</v>
      </c>
    </row>
    <row r="36">
      <c r="A36" s="511" t="s">
        <v>42</v>
      </c>
      <c r="B36" s="498">
        <f>EEFF!B36</f>
        <v>179030584</v>
      </c>
      <c r="C36" s="498">
        <f>EEFF!C36</f>
        <v>196791725</v>
      </c>
      <c r="D36" s="498">
        <f>EEFF!D36</f>
        <v>175152218</v>
      </c>
      <c r="E36" s="498">
        <f>EEFF!E36</f>
        <v>175494764</v>
      </c>
      <c r="F36" s="498">
        <f>EEFF!F36</f>
        <v>166402199</v>
      </c>
      <c r="G36" s="500">
        <f>F36</f>
        <v>166402199</v>
      </c>
      <c r="H36" s="496">
        <f>G36</f>
        <v>166402199</v>
      </c>
      <c r="I36" s="496">
        <f>H36</f>
        <v>166402199</v>
      </c>
      <c r="J36" s="496">
        <f>I36</f>
        <v>166402199</v>
      </c>
      <c r="K36" s="496">
        <f>J36</f>
        <v>166402199</v>
      </c>
    </row>
    <row r="37">
      <c r="A37" s="511" t="s">
        <v>43</v>
      </c>
      <c r="B37" s="498">
        <f>EEFF!B37</f>
        <v>472268560</v>
      </c>
      <c r="C37" s="498">
        <f>EEFF!C37</f>
        <v>472268560</v>
      </c>
      <c r="D37" s="498">
        <f>EEFF!D37</f>
        <v>472268560</v>
      </c>
      <c r="E37" s="498">
        <f>EEFF!E37</f>
        <v>472268560</v>
      </c>
      <c r="F37" s="498">
        <f>EEFF!F37</f>
        <v>472268560</v>
      </c>
      <c r="G37" s="500">
        <f>F37</f>
        <v>472268560</v>
      </c>
      <c r="H37" s="496">
        <f>G37</f>
        <v>472268560</v>
      </c>
      <c r="I37" s="496">
        <f>H37</f>
        <v>472268560</v>
      </c>
      <c r="J37" s="496">
        <f>I37</f>
        <v>472268560</v>
      </c>
      <c r="K37" s="496">
        <f>J37</f>
        <v>472268560</v>
      </c>
    </row>
    <row r="38">
      <c r="A38" s="511" t="s">
        <v>44</v>
      </c>
      <c r="B38" s="498">
        <f>EEFF!B38</f>
        <v>121060805</v>
      </c>
      <c r="C38" s="498">
        <f>EEFF!C38</f>
        <v>156439509</v>
      </c>
      <c r="D38" s="498">
        <f>EEFF!D38</f>
        <v>183334593</v>
      </c>
      <c r="E38" s="498">
        <f>EEFF!E38</f>
        <v>168363988</v>
      </c>
      <c r="F38" s="498">
        <f>EEFF!F38</f>
        <v>247871310</v>
      </c>
      <c r="G38" s="500">
        <f>F38</f>
        <v>247871310</v>
      </c>
      <c r="H38" s="496">
        <f>G38</f>
        <v>247871310</v>
      </c>
      <c r="I38" s="496">
        <f>H38</f>
        <v>247871310</v>
      </c>
      <c r="J38" s="496">
        <f>I38</f>
        <v>247871310</v>
      </c>
      <c r="K38" s="496">
        <f>J38</f>
        <v>247871310</v>
      </c>
    </row>
    <row r="39">
      <c r="A39" s="511" t="s">
        <v>45</v>
      </c>
      <c r="B39" s="498">
        <f>EEFF!B39</f>
        <v>413112941</v>
      </c>
      <c r="C39" s="498">
        <f>EEFF!C39</f>
        <v>401510592</v>
      </c>
      <c r="D39" s="498">
        <f>EEFF!D39</f>
        <v>377277321</v>
      </c>
      <c r="E39" s="498">
        <f>EEFF!E39</f>
        <v>378640661</v>
      </c>
      <c r="F39" s="498">
        <f>EEFF!F39</f>
        <v>366524708</v>
      </c>
      <c r="G39" s="500">
        <f>F39</f>
        <v>366524708</v>
      </c>
      <c r="H39" s="496">
        <f>G39</f>
        <v>366524708</v>
      </c>
      <c r="I39" s="496">
        <f>H39</f>
        <v>366524708</v>
      </c>
      <c r="J39" s="496">
        <f>I39</f>
        <v>366524708</v>
      </c>
      <c r="K39" s="496">
        <f>J39</f>
        <v>366524708</v>
      </c>
    </row>
    <row r="40">
      <c r="A40" s="479" t="s">
        <v>46</v>
      </c>
      <c r="B40" s="477">
        <f>EEFF!B40</f>
        <v>1192995536</v>
      </c>
      <c r="C40" s="477">
        <f>EEFF!C40</f>
        <v>1235358529</v>
      </c>
      <c r="D40" s="477">
        <f>EEFF!D40</f>
        <v>1230629304</v>
      </c>
      <c r="E40" s="477">
        <f>EEFF!E40</f>
        <v>1214476647</v>
      </c>
      <c r="F40" s="477">
        <f>EEFF!F40</f>
        <v>1288866789</v>
      </c>
      <c r="G40" s="480">
        <f>F40</f>
        <v>1288866789</v>
      </c>
      <c r="H40" s="485">
        <f>G40</f>
        <v>1288866789</v>
      </c>
      <c r="I40" s="485">
        <f>H40</f>
        <v>1288866789</v>
      </c>
      <c r="J40" s="485">
        <f>I40</f>
        <v>1288866789</v>
      </c>
      <c r="K40" s="485">
        <f>J40</f>
        <v>1288866789</v>
      </c>
    </row>
    <row r="41">
      <c r="A41" s="511" t="s">
        <v>47</v>
      </c>
      <c r="B41" s="498">
        <f>EEFF!B41</f>
        <v>154391742</v>
      </c>
      <c r="C41" s="498">
        <f>EEFF!C41</f>
        <v>109332906</v>
      </c>
      <c r="D41" s="498">
        <f>EEFF!D41</f>
        <v>129232095</v>
      </c>
      <c r="E41" s="498">
        <f>EEFF!E41</f>
        <v>233220914</v>
      </c>
      <c r="F41" s="498">
        <f>EEFF!F41</f>
        <v>441031094</v>
      </c>
      <c r="G41" s="500">
        <f>F41</f>
        <v>441031094</v>
      </c>
      <c r="H41" s="496">
        <f>G41</f>
        <v>441031094</v>
      </c>
      <c r="I41" s="496">
        <f>H41</f>
        <v>441031094</v>
      </c>
      <c r="J41" s="496">
        <f>I41</f>
        <v>441031094</v>
      </c>
      <c r="K41" s="496">
        <f>J41</f>
        <v>441031094</v>
      </c>
    </row>
    <row r="42">
      <c r="A42" s="511" t="s">
        <v>48</v>
      </c>
      <c r="B42" s="498">
        <f>EEFF!B42</f>
        <v>80285735</v>
      </c>
      <c r="C42" s="498">
        <f>EEFF!C42</f>
        <v>86548130</v>
      </c>
      <c r="D42" s="498">
        <f>EEFF!D42</f>
        <v>128663195</v>
      </c>
      <c r="E42" s="498">
        <f>EEFF!E42</f>
        <v>107224672</v>
      </c>
      <c r="F42" s="498">
        <f>EEFF!F42</f>
        <v>152639862</v>
      </c>
      <c r="G42" s="500">
        <f>F42</f>
        <v>152639862</v>
      </c>
      <c r="H42" s="496">
        <f>G42</f>
        <v>152639862</v>
      </c>
      <c r="I42" s="496">
        <f>H42</f>
        <v>152639862</v>
      </c>
      <c r="J42" s="496">
        <f>I42</f>
        <v>152639862</v>
      </c>
      <c r="K42" s="496">
        <f>J42</f>
        <v>152639862</v>
      </c>
    </row>
    <row r="43">
      <c r="A43" s="511" t="s">
        <v>49</v>
      </c>
      <c r="B43" s="498">
        <f>EEFF!B43</f>
        <v>6567102</v>
      </c>
      <c r="C43" s="498">
        <f>EEFF!C43</f>
        <v>9262489</v>
      </c>
      <c r="D43" s="498">
        <f>EEFF!D43</f>
        <v>9050947</v>
      </c>
      <c r="E43" s="498">
        <f>EEFF!E43</f>
        <v>6591682</v>
      </c>
      <c r="F43" s="498">
        <f>EEFF!F43</f>
        <v>6748871</v>
      </c>
      <c r="G43" s="500">
        <f>F43</f>
        <v>6748871</v>
      </c>
      <c r="H43" s="496">
        <f>G43</f>
        <v>6748871</v>
      </c>
      <c r="I43" s="496">
        <f>H43</f>
        <v>6748871</v>
      </c>
      <c r="J43" s="496">
        <f>I43</f>
        <v>6748871</v>
      </c>
      <c r="K43" s="496">
        <f>J43</f>
        <v>6748871</v>
      </c>
    </row>
    <row r="44">
      <c r="A44" s="511" t="s">
        <v>50</v>
      </c>
      <c r="B44" s="498">
        <f>EEFF!B44</f>
        <v>3774009</v>
      </c>
      <c r="C44" s="498">
        <f>EEFF!C44</f>
        <v>5944741</v>
      </c>
      <c r="D44" s="498">
        <f>EEFF!D44</f>
        <v>6689129</v>
      </c>
      <c r="E44" s="498">
        <f>EEFF!E44</f>
        <v>8423428</v>
      </c>
      <c r="F44" s="498">
        <f>EEFF!F44</f>
        <v>8622696</v>
      </c>
      <c r="G44" s="500">
        <f>F44</f>
        <v>8622696</v>
      </c>
      <c r="H44" s="496">
        <f>G44</f>
        <v>8622696</v>
      </c>
      <c r="I44" s="496">
        <f>H44</f>
        <v>8622696</v>
      </c>
      <c r="J44" s="496">
        <f>I44</f>
        <v>8622696</v>
      </c>
      <c r="K44" s="496">
        <f>J44</f>
        <v>8622696</v>
      </c>
    </row>
    <row r="45">
      <c r="A45" s="511" t="s">
        <v>51</v>
      </c>
      <c r="B45" s="498">
        <f>EEFF!B45</f>
        <v>26888655</v>
      </c>
      <c r="C45" s="498">
        <f>EEFF!C45</f>
        <v>35866968</v>
      </c>
      <c r="D45" s="498">
        <f>EEFF!D45</f>
        <v>30334557</v>
      </c>
      <c r="E45" s="498">
        <f>EEFF!E45</f>
        <v>4735196</v>
      </c>
      <c r="F45" s="498">
        <f>EEFF!F45</f>
        <v>4412423</v>
      </c>
      <c r="G45" s="500">
        <f>F45</f>
        <v>4412423</v>
      </c>
      <c r="H45" s="496">
        <f>G45</f>
        <v>4412423</v>
      </c>
      <c r="I45" s="496">
        <f>H45</f>
        <v>4412423</v>
      </c>
      <c r="J45" s="496">
        <f>I45</f>
        <v>4412423</v>
      </c>
      <c r="K45" s="496">
        <f>J45</f>
        <v>4412423</v>
      </c>
    </row>
    <row r="46">
      <c r="A46" s="511" t="s">
        <v>52</v>
      </c>
      <c r="B46" s="498">
        <f>EEFF!B46</f>
        <v>14159929</v>
      </c>
      <c r="C46" s="498">
        <f>EEFF!C46</f>
        <v>6295076</v>
      </c>
      <c r="D46" s="498">
        <f>EEFF!D46</f>
        <v>92125290</v>
      </c>
      <c r="E46" s="498">
        <f>EEFF!E46</f>
        <v>69439881</v>
      </c>
      <c r="F46" s="498">
        <f>EEFF!F46</f>
        <v>54294954</v>
      </c>
      <c r="G46" s="500">
        <f>F46</f>
        <v>54294954</v>
      </c>
      <c r="H46" s="496">
        <f>G46</f>
        <v>54294954</v>
      </c>
      <c r="I46" s="496">
        <f>H46</f>
        <v>54294954</v>
      </c>
      <c r="J46" s="496">
        <f>I46</f>
        <v>54294954</v>
      </c>
      <c r="K46" s="496">
        <f>J46</f>
        <v>54294954</v>
      </c>
    </row>
    <row r="47">
      <c r="A47" s="511" t="s">
        <v>53</v>
      </c>
      <c r="B47" s="498">
        <f>EEFF!B47</f>
        <v>0</v>
      </c>
      <c r="C47" s="498">
        <f>EEFF!C47</f>
        <v>7714713</v>
      </c>
      <c r="D47" s="498">
        <f>EEFF!D47</f>
        <v>3254214</v>
      </c>
      <c r="E47" s="498">
        <f>EEFF!E47</f>
        <v>1733860</v>
      </c>
      <c r="F47" s="498">
        <f>EEFF!F47</f>
        <v>1694508</v>
      </c>
      <c r="G47" s="500">
        <f>F47</f>
        <v>1694508</v>
      </c>
      <c r="H47" s="496">
        <f>G47</f>
        <v>1694508</v>
      </c>
      <c r="I47" s="496">
        <f>H47</f>
        <v>1694508</v>
      </c>
      <c r="J47" s="496">
        <f>I47</f>
        <v>1694508</v>
      </c>
      <c r="K47" s="496">
        <f>J47</f>
        <v>1694508</v>
      </c>
    </row>
    <row r="48">
      <c r="A48" s="479" t="s">
        <v>54</v>
      </c>
      <c r="B48" s="477">
        <f>EEFF!B48</f>
        <v>286067172</v>
      </c>
      <c r="C48" s="477">
        <f>EEFF!C48</f>
        <v>260965023</v>
      </c>
      <c r="D48" s="477">
        <f>EEFF!D48</f>
        <v>399349427</v>
      </c>
      <c r="E48" s="477">
        <f>EEFF!E48</f>
        <v>431369633</v>
      </c>
      <c r="F48" s="477">
        <f>EEFF!F48</f>
        <v>669444408</v>
      </c>
      <c r="G48" s="480">
        <f>F48</f>
        <v>669444408</v>
      </c>
      <c r="H48" s="485">
        <f>G48</f>
        <v>669444408</v>
      </c>
      <c r="I48" s="485">
        <f>H48</f>
        <v>669444408</v>
      </c>
      <c r="J48" s="485">
        <f>I48</f>
        <v>669444408</v>
      </c>
      <c r="K48" s="485">
        <f>J48</f>
        <v>669444408</v>
      </c>
    </row>
    <row r="49">
      <c r="A49" s="479" t="s">
        <v>55</v>
      </c>
      <c r="B49" s="477">
        <f>EEFF!B49</f>
        <v>1479062708</v>
      </c>
      <c r="C49" s="477">
        <f>EEFF!C49</f>
        <v>1496323552</v>
      </c>
      <c r="D49" s="477">
        <f>EEFF!D49</f>
        <v>1629978731</v>
      </c>
      <c r="E49" s="477">
        <f>EEFF!E49</f>
        <v>1645846280</v>
      </c>
      <c r="F49" s="477">
        <f>EEFF!F49</f>
        <v>1958311197</v>
      </c>
      <c r="G49" s="480">
        <f>F49</f>
        <v>1958311197</v>
      </c>
      <c r="H49" s="485">
        <f>G49</f>
        <v>1958311197</v>
      </c>
      <c r="I49" s="485">
        <f>H49</f>
        <v>1958311197</v>
      </c>
      <c r="J49" s="485">
        <f>I49</f>
        <v>1958311197</v>
      </c>
      <c r="K49" s="485">
        <f>J49</f>
        <v>1958311197</v>
      </c>
    </row>
    <row r="50">
      <c r="A50" s="511" t="s">
        <v>56</v>
      </c>
      <c r="B50" s="498">
        <f>EEFF!B50</f>
        <v>57648922</v>
      </c>
      <c r="C50" s="498">
        <f>EEFF!C50</f>
        <v>57648922</v>
      </c>
      <c r="D50" s="498">
        <f>EEFF!D50</f>
        <v>57648922</v>
      </c>
      <c r="E50" s="498">
        <f>EEFF!E50</f>
        <v>57648922</v>
      </c>
      <c r="F50" s="498">
        <f>EEFF!F50</f>
        <v>57648922</v>
      </c>
      <c r="G50" s="500">
        <f>F50</f>
        <v>57648922</v>
      </c>
      <c r="H50" s="496">
        <f>G50</f>
        <v>57648922</v>
      </c>
      <c r="I50" s="496">
        <f>H50</f>
        <v>57648922</v>
      </c>
      <c r="J50" s="496">
        <f>I50</f>
        <v>57648922</v>
      </c>
      <c r="K50" s="496">
        <f>J50</f>
        <v>57648922</v>
      </c>
    </row>
    <row r="51">
      <c r="A51" s="511" t="s">
        <v>57</v>
      </c>
      <c r="B51" s="498">
        <f>EEFF!B51</f>
        <v>2518315</v>
      </c>
      <c r="C51" s="498">
        <f>EEFF!C51</f>
        <v>3351629</v>
      </c>
      <c r="D51" s="498">
        <f>EEFF!D51</f>
        <v>5384058</v>
      </c>
      <c r="E51" s="498">
        <f>EEFF!E51</f>
        <v>7888162</v>
      </c>
      <c r="F51" s="498">
        <f>EEFF!F51</f>
        <v>8181984</v>
      </c>
      <c r="G51" s="500">
        <f>F51</f>
        <v>8181984</v>
      </c>
      <c r="H51" s="496">
        <f>G51</f>
        <v>8181984</v>
      </c>
      <c r="I51" s="496">
        <f>H51</f>
        <v>8181984</v>
      </c>
      <c r="J51" s="496">
        <f>I51</f>
        <v>8181984</v>
      </c>
      <c r="K51" s="496">
        <f>J51</f>
        <v>8181984</v>
      </c>
    </row>
    <row r="52">
      <c r="A52" s="511" t="s">
        <v>58</v>
      </c>
      <c r="B52" s="498">
        <f>EEFF!B52</f>
        <v>-3705453</v>
      </c>
      <c r="C52" s="498">
        <f>EEFF!C52</f>
        <v>-6160671</v>
      </c>
      <c r="D52" s="498">
        <f>EEFF!D52</f>
        <v>-7724456</v>
      </c>
      <c r="E52" s="498">
        <f>EEFF!E52</f>
        <v>-9197735</v>
      </c>
      <c r="F52" s="498">
        <f>EEFF!F52</f>
        <v>-11106105</v>
      </c>
      <c r="G52" s="500">
        <f>F52</f>
        <v>-11106105</v>
      </c>
      <c r="H52" s="496">
        <f>G52</f>
        <v>-11106105</v>
      </c>
      <c r="I52" s="496">
        <f>H52</f>
        <v>-11106105</v>
      </c>
      <c r="J52" s="496">
        <f>I52</f>
        <v>-11106105</v>
      </c>
      <c r="K52" s="496">
        <f>J52</f>
        <v>-11106105</v>
      </c>
    </row>
    <row r="53">
      <c r="A53" s="511" t="s">
        <v>59</v>
      </c>
      <c r="B53" s="498">
        <f>EEFF!B53</f>
        <v>160586522</v>
      </c>
      <c r="C53" s="498">
        <f>EEFF!C53</f>
        <v>220448885</v>
      </c>
      <c r="D53" s="498">
        <f>EEFF!D53</f>
        <v>260719940</v>
      </c>
      <c r="E53" s="498">
        <f>EEFF!E53</f>
        <v>332142057</v>
      </c>
      <c r="F53" s="498">
        <f>EEFF!F53</f>
        <v>417592977</v>
      </c>
      <c r="G53" s="500">
        <f>F53</f>
        <v>417592977</v>
      </c>
      <c r="H53" s="496">
        <f>G53</f>
        <v>417592977</v>
      </c>
      <c r="I53" s="496">
        <f>H53</f>
        <v>417592977</v>
      </c>
      <c r="J53" s="496">
        <f>I53</f>
        <v>417592977</v>
      </c>
      <c r="K53" s="496">
        <f>J53</f>
        <v>417592977</v>
      </c>
    </row>
    <row r="54">
      <c r="A54" s="511" t="s">
        <v>60</v>
      </c>
      <c r="B54" s="498">
        <f>EEFF!B54</f>
        <v>-461403</v>
      </c>
      <c r="C54" s="498">
        <f>EEFF!C54</f>
        <v>-392795</v>
      </c>
      <c r="D54" s="498">
        <f>EEFF!D54</f>
        <v>0</v>
      </c>
      <c r="E54" s="498">
        <f>EEFF!E54</f>
        <v>0</v>
      </c>
      <c r="F54" s="498">
        <f>EEFF!F54</f>
        <v>0</v>
      </c>
      <c r="G54" s="475"/>
      <c r="H54" s="476"/>
      <c r="I54" s="476"/>
      <c r="J54" s="476"/>
      <c r="K54" s="476"/>
    </row>
    <row r="55">
      <c r="A55" s="479" t="s">
        <v>61</v>
      </c>
      <c r="B55" s="477">
        <f>EEFF!B55</f>
        <v>216586903</v>
      </c>
      <c r="C55" s="477">
        <f>EEFF!C55</f>
        <v>274895970</v>
      </c>
      <c r="D55" s="477">
        <f>EEFF!D55</f>
        <v>316028464</v>
      </c>
      <c r="E55" s="477">
        <f>EEFF!E55</f>
        <v>388481406</v>
      </c>
      <c r="F55" s="477">
        <f>EEFF!F55</f>
        <v>472317778</v>
      </c>
      <c r="G55" s="480">
        <f>F55</f>
        <v>472317778</v>
      </c>
      <c r="H55" s="485">
        <f>G55</f>
        <v>472317778</v>
      </c>
      <c r="I55" s="485">
        <f>H55</f>
        <v>472317778</v>
      </c>
      <c r="J55" s="485">
        <f>I55</f>
        <v>472317778</v>
      </c>
      <c r="K55" s="485">
        <f>J55</f>
        <v>472317778</v>
      </c>
    </row>
    <row r="56">
      <c r="A56" s="511" t="s">
        <v>62</v>
      </c>
      <c r="B56" s="498">
        <f>EEFF!B56</f>
        <v>109478758</v>
      </c>
      <c r="C56" s="498">
        <f>EEFF!C56</f>
        <v>145208873</v>
      </c>
      <c r="D56" s="498">
        <f>EEFF!D56</f>
        <v>163980663</v>
      </c>
      <c r="E56" s="498">
        <f>EEFF!E56</f>
        <v>150405457</v>
      </c>
      <c r="F56" s="498">
        <f>EEFF!F56</f>
        <v>233721595</v>
      </c>
      <c r="G56" s="500">
        <f>F56</f>
        <v>233721595</v>
      </c>
      <c r="H56" s="496">
        <f>G56</f>
        <v>233721595</v>
      </c>
      <c r="I56" s="496">
        <f>H56</f>
        <v>233721595</v>
      </c>
      <c r="J56" s="496">
        <f>I56</f>
        <v>233721595</v>
      </c>
      <c r="K56" s="496">
        <f>J56</f>
        <v>233721595</v>
      </c>
    </row>
    <row r="57">
      <c r="A57" s="511" t="s">
        <v>63</v>
      </c>
      <c r="B57" s="498">
        <f>EEFF!B57</f>
        <v>254642857</v>
      </c>
      <c r="C57" s="498">
        <f>EEFF!C57</f>
        <v>185000000</v>
      </c>
      <c r="D57" s="498">
        <f>EEFF!D57</f>
        <v>185000000</v>
      </c>
      <c r="E57" s="498">
        <f>EEFF!E57</f>
        <v>74877710</v>
      </c>
      <c r="F57" s="498">
        <f>EEFF!F57</f>
        <v>109175604</v>
      </c>
      <c r="G57" s="500">
        <f>F57</f>
        <v>109175604</v>
      </c>
      <c r="H57" s="496">
        <f>G57</f>
        <v>109175604</v>
      </c>
      <c r="I57" s="496">
        <f>H57</f>
        <v>109175604</v>
      </c>
      <c r="J57" s="496">
        <f>I57</f>
        <v>109175604</v>
      </c>
      <c r="K57" s="496">
        <f>J57</f>
        <v>109175604</v>
      </c>
    </row>
    <row r="58">
      <c r="A58" s="511" t="s">
        <v>64</v>
      </c>
      <c r="B58" s="498">
        <f>EEFF!B58</f>
        <v>586293874</v>
      </c>
      <c r="C58" s="498">
        <f>EEFF!C58</f>
        <v>588064644</v>
      </c>
      <c r="D58" s="498">
        <f>EEFF!D58</f>
        <v>574166415</v>
      </c>
      <c r="E58" s="498">
        <f>EEFF!E58</f>
        <v>548871151</v>
      </c>
      <c r="F58" s="498">
        <f>EEFF!F58</f>
        <v>550330370</v>
      </c>
      <c r="G58" s="500">
        <f>F58</f>
        <v>550330370</v>
      </c>
      <c r="H58" s="496">
        <f>G58</f>
        <v>550330370</v>
      </c>
      <c r="I58" s="496">
        <f>H58</f>
        <v>550330370</v>
      </c>
      <c r="J58" s="496">
        <f>I58</f>
        <v>550330370</v>
      </c>
      <c r="K58" s="496">
        <f>J58</f>
        <v>550330370</v>
      </c>
    </row>
    <row r="59">
      <c r="A59" s="511" t="s">
        <v>65</v>
      </c>
      <c r="B59" s="498">
        <f>EEFF!B59</f>
        <v>15502678</v>
      </c>
      <c r="C59" s="498">
        <f>EEFF!C59</f>
        <v>14051922</v>
      </c>
      <c r="D59" s="498">
        <f>EEFF!D59</f>
        <v>10803802</v>
      </c>
      <c r="E59" s="498">
        <f>EEFF!E59</f>
        <v>8771228</v>
      </c>
      <c r="F59" s="498">
        <f>EEFF!F59</f>
        <v>3285322</v>
      </c>
      <c r="G59" s="500">
        <f>F59</f>
        <v>3285322</v>
      </c>
      <c r="H59" s="496">
        <f>G59</f>
        <v>3285322</v>
      </c>
      <c r="I59" s="496">
        <f>H59</f>
        <v>3285322</v>
      </c>
      <c r="J59" s="496">
        <f>I59</f>
        <v>3285322</v>
      </c>
      <c r="K59" s="496">
        <f>J59</f>
        <v>3285322</v>
      </c>
    </row>
    <row r="60">
      <c r="A60" s="511" t="s">
        <v>66</v>
      </c>
      <c r="B60" s="498">
        <f>EEFF!B60</f>
        <v>37462043</v>
      </c>
      <c r="C60" s="498">
        <f>EEFF!C60</f>
        <v>33716806</v>
      </c>
      <c r="D60" s="498">
        <f>EEFF!D60</f>
        <v>30541476</v>
      </c>
      <c r="E60" s="498">
        <f>EEFF!E60</f>
        <v>30909514</v>
      </c>
      <c r="F60" s="498">
        <f>EEFF!F60</f>
        <v>29048539</v>
      </c>
      <c r="G60" s="500">
        <f>F60</f>
        <v>29048539</v>
      </c>
      <c r="H60" s="496">
        <f>G60</f>
        <v>29048539</v>
      </c>
      <c r="I60" s="496">
        <f>H60</f>
        <v>29048539</v>
      </c>
      <c r="J60" s="496">
        <f>I60</f>
        <v>29048539</v>
      </c>
      <c r="K60" s="496">
        <f>J60</f>
        <v>29048539</v>
      </c>
    </row>
    <row r="61">
      <c r="A61" s="511" t="s">
        <v>67</v>
      </c>
      <c r="B61" s="498">
        <f>EEFF!B61</f>
        <v>19674930</v>
      </c>
      <c r="C61" s="498">
        <f>EEFF!C61</f>
        <v>14872459</v>
      </c>
      <c r="D61" s="498">
        <f>EEFF!D61</f>
        <v>11776890</v>
      </c>
      <c r="E61" s="498">
        <f>EEFF!E61</f>
        <v>12343879</v>
      </c>
      <c r="F61" s="498">
        <f>EEFF!F61</f>
        <v>22981310</v>
      </c>
      <c r="G61" s="500">
        <f>F61</f>
        <v>22981310</v>
      </c>
      <c r="H61" s="496">
        <f>G61</f>
        <v>22981310</v>
      </c>
      <c r="I61" s="496">
        <f>H61</f>
        <v>22981310</v>
      </c>
      <c r="J61" s="496">
        <f>I61</f>
        <v>22981310</v>
      </c>
      <c r="K61" s="496">
        <f>J61</f>
        <v>22981310</v>
      </c>
    </row>
    <row r="62">
      <c r="A62" s="479" t="s">
        <v>68</v>
      </c>
      <c r="B62" s="477">
        <f>EEFF!B62</f>
        <v>1023055140</v>
      </c>
      <c r="C62" s="477">
        <f>EEFF!C62</f>
        <v>980914704</v>
      </c>
      <c r="D62" s="477">
        <f>EEFF!D62</f>
        <v>976269246</v>
      </c>
      <c r="E62" s="477">
        <f>EEFF!E62</f>
        <v>826178939</v>
      </c>
      <c r="F62" s="477">
        <f>EEFF!F62</f>
        <v>948542740</v>
      </c>
      <c r="G62" s="480">
        <f>F62</f>
        <v>948542740</v>
      </c>
      <c r="H62" s="485">
        <f>G62</f>
        <v>948542740</v>
      </c>
      <c r="I62" s="485">
        <f>H62</f>
        <v>948542740</v>
      </c>
      <c r="J62" s="485">
        <f>I62</f>
        <v>948542740</v>
      </c>
      <c r="K62" s="485">
        <f>J62</f>
        <v>948542740</v>
      </c>
    </row>
    <row r="63">
      <c r="A63" s="511" t="s">
        <v>69</v>
      </c>
      <c r="B63" s="498">
        <f>EEFF!B63</f>
        <v>85684491</v>
      </c>
      <c r="C63" s="498">
        <f>EEFF!C63</f>
        <v>122130752</v>
      </c>
      <c r="D63" s="498">
        <f>EEFF!D63</f>
        <v>150457052</v>
      </c>
      <c r="E63" s="498">
        <f>EEFF!E63</f>
        <v>165042228</v>
      </c>
      <c r="F63" s="498">
        <f>EEFF!F63</f>
        <v>293935626</v>
      </c>
      <c r="G63" s="500">
        <f>F63</f>
        <v>293935626</v>
      </c>
      <c r="H63" s="496">
        <f>G63</f>
        <v>293935626</v>
      </c>
      <c r="I63" s="496">
        <f>H63</f>
        <v>293935626</v>
      </c>
      <c r="J63" s="496">
        <f>I63</f>
        <v>293935626</v>
      </c>
      <c r="K63" s="496">
        <f>J63</f>
        <v>293935626</v>
      </c>
    </row>
    <row r="64">
      <c r="A64" s="511" t="s">
        <v>70</v>
      </c>
      <c r="B64" s="498">
        <f>EEFF!B64</f>
        <v>5357143</v>
      </c>
      <c r="C64" s="498">
        <f>EEFF!C64</f>
        <v>0</v>
      </c>
      <c r="D64" s="498">
        <f>EEFF!D64</f>
        <v>0</v>
      </c>
      <c r="E64" s="498">
        <f>EEFF!E64</f>
        <v>109928816</v>
      </c>
      <c r="F64" s="498">
        <f>EEFF!F64</f>
        <v>74950092</v>
      </c>
      <c r="G64" s="500">
        <f>F64</f>
        <v>74950092</v>
      </c>
      <c r="H64" s="496">
        <f>G64</f>
        <v>74950092</v>
      </c>
      <c r="I64" s="496">
        <f>H64</f>
        <v>74950092</v>
      </c>
      <c r="J64" s="496">
        <f>I64</f>
        <v>74950092</v>
      </c>
      <c r="K64" s="496">
        <f>J64</f>
        <v>74950092</v>
      </c>
    </row>
    <row r="65">
      <c r="A65" s="511" t="s">
        <v>71</v>
      </c>
      <c r="B65" s="498">
        <f>EEFF!B65</f>
        <v>19031868</v>
      </c>
      <c r="C65" s="498">
        <f>EEFF!C65</f>
        <v>22268363</v>
      </c>
      <c r="D65" s="498">
        <f>EEFF!D65</f>
        <v>26995613</v>
      </c>
      <c r="E65" s="498">
        <f>EEFF!E65</f>
        <v>29890646</v>
      </c>
      <c r="F65" s="498">
        <f>EEFF!F65</f>
        <v>28498850</v>
      </c>
      <c r="G65" s="500">
        <f>F65</f>
        <v>28498850</v>
      </c>
      <c r="H65" s="496">
        <f>G65</f>
        <v>28498850</v>
      </c>
      <c r="I65" s="496">
        <f>H65</f>
        <v>28498850</v>
      </c>
      <c r="J65" s="496">
        <f>I65</f>
        <v>28498850</v>
      </c>
      <c r="K65" s="496">
        <f>J65</f>
        <v>28498850</v>
      </c>
    </row>
    <row r="66">
      <c r="A66" s="511" t="s">
        <v>72</v>
      </c>
      <c r="B66" s="498">
        <f>EEFF!B66</f>
        <v>14169592</v>
      </c>
      <c r="C66" s="498">
        <f>EEFF!C66</f>
        <v>11911349</v>
      </c>
      <c r="D66" s="498">
        <f>EEFF!D66</f>
        <v>11338567</v>
      </c>
      <c r="E66" s="498">
        <f>EEFF!E66</f>
        <v>13330743</v>
      </c>
      <c r="F66" s="498">
        <f>EEFF!F66</f>
        <v>14313233</v>
      </c>
      <c r="G66" s="500">
        <f>F66</f>
        <v>14313233</v>
      </c>
      <c r="H66" s="496">
        <f>G66</f>
        <v>14313233</v>
      </c>
      <c r="I66" s="496">
        <f>H66</f>
        <v>14313233</v>
      </c>
      <c r="J66" s="496">
        <f>I66</f>
        <v>14313233</v>
      </c>
      <c r="K66" s="496">
        <f>J66</f>
        <v>14313233</v>
      </c>
    </row>
    <row r="67">
      <c r="A67" s="511" t="s">
        <v>73</v>
      </c>
      <c r="B67" s="498">
        <f>EEFF!B67</f>
        <v>4069400</v>
      </c>
      <c r="C67" s="498">
        <f>EEFF!C67</f>
        <v>3896427</v>
      </c>
      <c r="D67" s="498">
        <f>EEFF!D67</f>
        <v>3785001</v>
      </c>
      <c r="E67" s="498">
        <f>EEFF!E67</f>
        <v>3684917</v>
      </c>
      <c r="F67" s="498">
        <f>EEFF!F67</f>
        <v>3588937</v>
      </c>
      <c r="G67" s="500">
        <f>F67</f>
        <v>3588937</v>
      </c>
      <c r="H67" s="496">
        <f>G67</f>
        <v>3588937</v>
      </c>
      <c r="I67" s="496">
        <f>H67</f>
        <v>3588937</v>
      </c>
      <c r="J67" s="496">
        <f>I67</f>
        <v>3588937</v>
      </c>
      <c r="K67" s="496">
        <f>J67</f>
        <v>3588937</v>
      </c>
    </row>
    <row r="68">
      <c r="A68" s="511" t="s">
        <v>74</v>
      </c>
      <c r="B68" s="498">
        <f>EEFF!B68</f>
        <v>14293284</v>
      </c>
      <c r="C68" s="498">
        <f>EEFF!C68</f>
        <v>15364765</v>
      </c>
      <c r="D68" s="498">
        <f>EEFF!D68</f>
        <v>87276960</v>
      </c>
      <c r="E68" s="498">
        <f>EEFF!E68</f>
        <v>42178530</v>
      </c>
      <c r="F68" s="498">
        <f>EEFF!F68</f>
        <v>63159649</v>
      </c>
      <c r="G68" s="500">
        <f>F68</f>
        <v>63159649</v>
      </c>
      <c r="H68" s="496">
        <f>G68</f>
        <v>63159649</v>
      </c>
      <c r="I68" s="496">
        <f>H68</f>
        <v>63159649</v>
      </c>
      <c r="J68" s="496">
        <f>I68</f>
        <v>63159649</v>
      </c>
      <c r="K68" s="496">
        <f>J68</f>
        <v>63159649</v>
      </c>
    </row>
    <row r="69">
      <c r="A69" s="511" t="s">
        <v>75</v>
      </c>
      <c r="B69" s="498">
        <f>EEFF!B69</f>
        <v>86569614</v>
      </c>
      <c r="C69" s="498">
        <f>EEFF!C69</f>
        <v>62291352</v>
      </c>
      <c r="D69" s="498">
        <f>EEFF!D69</f>
        <v>56109542</v>
      </c>
      <c r="E69" s="498">
        <f>EEFF!E69</f>
        <v>58216411</v>
      </c>
      <c r="F69" s="498">
        <f>EEFF!F69</f>
        <v>50452097</v>
      </c>
      <c r="G69" s="500">
        <f>F69</f>
        <v>50452097</v>
      </c>
      <c r="H69" s="496">
        <f>G69</f>
        <v>50452097</v>
      </c>
      <c r="I69" s="496">
        <f>H69</f>
        <v>50452097</v>
      </c>
      <c r="J69" s="496">
        <f>I69</f>
        <v>50452097</v>
      </c>
      <c r="K69" s="496">
        <f>J69</f>
        <v>50452097</v>
      </c>
    </row>
    <row r="70">
      <c r="A70" s="511" t="s">
        <v>76</v>
      </c>
      <c r="B70" s="498">
        <f>EEFF!B70</f>
        <v>10245273</v>
      </c>
      <c r="C70" s="498">
        <f>EEFF!C70</f>
        <v>2649870</v>
      </c>
      <c r="D70" s="498">
        <f>EEFF!D70</f>
        <v>1718286</v>
      </c>
      <c r="E70" s="498">
        <f>EEFF!E70</f>
        <v>8913644</v>
      </c>
      <c r="F70" s="498">
        <f>EEFF!F70</f>
        <v>8552195</v>
      </c>
      <c r="G70" s="500">
        <f>F70</f>
        <v>8552195</v>
      </c>
      <c r="H70" s="496">
        <f>G70</f>
        <v>8552195</v>
      </c>
      <c r="I70" s="496">
        <f>H70</f>
        <v>8552195</v>
      </c>
      <c r="J70" s="496">
        <f>I70</f>
        <v>8552195</v>
      </c>
      <c r="K70" s="496">
        <f>J70</f>
        <v>8552195</v>
      </c>
    </row>
    <row r="71">
      <c r="A71" s="479" t="s">
        <v>77</v>
      </c>
      <c r="B71" s="477">
        <f>EEFF!B71</f>
        <v>239420665</v>
      </c>
      <c r="C71" s="477">
        <f>EEFF!C71</f>
        <v>240512878</v>
      </c>
      <c r="D71" s="477">
        <f>EEFF!D71</f>
        <v>337681021</v>
      </c>
      <c r="E71" s="477">
        <f>EEFF!E71</f>
        <v>431185935</v>
      </c>
      <c r="F71" s="477">
        <f>EEFF!F71</f>
        <v>537450679</v>
      </c>
      <c r="G71" s="480">
        <f>F71</f>
        <v>537450679</v>
      </c>
      <c r="H71" s="485">
        <f>G71</f>
        <v>537450679</v>
      </c>
      <c r="I71" s="485">
        <f>H71</f>
        <v>537450679</v>
      </c>
      <c r="J71" s="485">
        <f>I71</f>
        <v>537450679</v>
      </c>
      <c r="K71" s="485">
        <f>J71</f>
        <v>537450679</v>
      </c>
    </row>
    <row r="72">
      <c r="A72" s="479" t="s">
        <v>78</v>
      </c>
      <c r="B72" s="477">
        <f>EEFF!B72</f>
        <v>1262475805</v>
      </c>
      <c r="C72" s="477">
        <f>EEFF!C72</f>
        <v>1221427582</v>
      </c>
      <c r="D72" s="477">
        <f>EEFF!D72</f>
        <v>1313950267</v>
      </c>
      <c r="E72" s="477">
        <f>EEFF!E72</f>
        <v>1257364874</v>
      </c>
      <c r="F72" s="477">
        <f>EEFF!F72</f>
        <v>1485993419</v>
      </c>
      <c r="G72" s="480">
        <f>F72</f>
        <v>1485993419</v>
      </c>
      <c r="H72" s="485">
        <f>G72</f>
        <v>1485993419</v>
      </c>
      <c r="I72" s="485">
        <f>H72</f>
        <v>1485993419</v>
      </c>
      <c r="J72" s="485">
        <f>I72</f>
        <v>1485993419</v>
      </c>
      <c r="K72" s="485">
        <f>J72</f>
        <v>1485993419</v>
      </c>
    </row>
    <row r="73">
      <c r="A73" s="479" t="s">
        <v>79</v>
      </c>
      <c r="B73" s="477">
        <f>EEFF!B73</f>
        <v>1479062708</v>
      </c>
      <c r="C73" s="477">
        <f>EEFF!C73</f>
        <v>1496323552</v>
      </c>
      <c r="D73" s="477">
        <f>EEFF!D73</f>
        <v>1629978731</v>
      </c>
      <c r="E73" s="477">
        <f>EEFF!E73</f>
        <v>1645846280</v>
      </c>
      <c r="F73" s="477">
        <f>EEFF!F73</f>
        <v>1958311197</v>
      </c>
      <c r="G73" s="480">
        <f>F73</f>
        <v>1958311197</v>
      </c>
      <c r="H73" s="485">
        <f>G73</f>
        <v>1958311197</v>
      </c>
      <c r="I73" s="485">
        <f>H73</f>
        <v>1958311197</v>
      </c>
      <c r="J73" s="485">
        <f>I73</f>
        <v>1958311197</v>
      </c>
      <c r="K73" s="485">
        <f>J73</f>
        <v>1958311197</v>
      </c>
    </row>
    <row r="74">
      <c r="A74" s="486"/>
      <c r="B74" s="486"/>
      <c r="C74" s="486"/>
      <c r="D74" s="486"/>
      <c r="E74" s="486"/>
      <c r="F74" s="486"/>
      <c r="G74" s="488"/>
      <c r="H74" s="486"/>
      <c r="I74" s="486"/>
      <c r="J74" s="486"/>
      <c r="K74" s="486"/>
    </row>
    <row r="75">
      <c r="A75" s="514" t="s">
        <v>3</v>
      </c>
      <c r="B75" s="515" t="s">
        <v>4</v>
      </c>
      <c r="C75" s="515" t="s">
        <v>5</v>
      </c>
      <c r="D75" s="515" t="s">
        <v>6</v>
      </c>
      <c r="E75" s="515" t="s">
        <v>7</v>
      </c>
      <c r="F75" s="515" t="s">
        <v>8</v>
      </c>
      <c r="G75" s="517" t="s">
        <v>9</v>
      </c>
      <c r="H75" s="516" t="s">
        <v>10</v>
      </c>
      <c r="I75" s="516" t="s">
        <v>11</v>
      </c>
      <c r="J75" s="516" t="s">
        <v>12</v>
      </c>
      <c r="K75" s="516" t="s">
        <v>13</v>
      </c>
    </row>
    <row r="76">
      <c r="A76" s="514" t="s">
        <v>80</v>
      </c>
      <c r="B76" s="481"/>
      <c r="C76" s="481"/>
      <c r="D76" s="481"/>
      <c r="E76" s="481"/>
      <c r="F76" s="481"/>
      <c r="G76" s="492"/>
      <c r="H76" s="490"/>
      <c r="I76" s="490"/>
      <c r="J76" s="490"/>
      <c r="K76" s="490"/>
    </row>
    <row r="77">
      <c r="A77" s="479" t="s">
        <v>37</v>
      </c>
      <c r="B77" s="477">
        <f>EEFF!B77</f>
        <v>0</v>
      </c>
      <c r="C77" s="477">
        <f>EEFF!C77</f>
        <v>0</v>
      </c>
      <c r="D77" s="477">
        <f>EEFF!D77</f>
        <v>40954915</v>
      </c>
      <c r="E77" s="477">
        <f>EEFF!E77</f>
        <v>71443554</v>
      </c>
      <c r="F77" s="477">
        <f>EEFF!F77</f>
        <v>85450920</v>
      </c>
      <c r="G77" s="480">
        <f>F77</f>
        <v>85450920</v>
      </c>
      <c r="H77" s="485">
        <f>G77</f>
        <v>85450920</v>
      </c>
      <c r="I77" s="485">
        <f>H77</f>
        <v>85450920</v>
      </c>
      <c r="J77" s="485">
        <f>I77</f>
        <v>85450920</v>
      </c>
      <c r="K77" s="485">
        <f>J77</f>
        <v>85450920</v>
      </c>
    </row>
    <row r="78">
      <c r="A78" s="511" t="s">
        <v>35</v>
      </c>
      <c r="B78" s="498">
        <f>EEFF!B78</f>
        <v>75032577</v>
      </c>
      <c r="C78" s="498">
        <f>EEFF!C78</f>
        <v>84742873</v>
      </c>
      <c r="D78" s="498">
        <f>EEFF!D78</f>
        <v>0</v>
      </c>
      <c r="E78" s="498">
        <f>EEFF!E78</f>
        <v>0</v>
      </c>
      <c r="F78" s="498">
        <f>EEFF!F78</f>
        <v>0</v>
      </c>
      <c r="G78" s="475"/>
      <c r="H78" s="476"/>
      <c r="I78" s="476"/>
      <c r="J78" s="476"/>
      <c r="K78" s="476"/>
    </row>
    <row r="79">
      <c r="A79" s="511" t="s">
        <v>81</v>
      </c>
      <c r="B79" s="498">
        <f>EEFF!B79</f>
        <v>0</v>
      </c>
      <c r="C79" s="498">
        <f>EEFF!C79</f>
        <v>0</v>
      </c>
      <c r="D79" s="498">
        <f>EEFF!D79</f>
        <v>101595741</v>
      </c>
      <c r="E79" s="498">
        <f>EEFF!E79</f>
        <v>95042026</v>
      </c>
      <c r="F79" s="498">
        <f>EEFF!F79</f>
        <v>85775066</v>
      </c>
      <c r="G79" s="500">
        <f>F79</f>
        <v>85775066</v>
      </c>
      <c r="H79" s="496">
        <f>G79</f>
        <v>85775066</v>
      </c>
      <c r="I79" s="496">
        <f>H79</f>
        <v>85775066</v>
      </c>
      <c r="J79" s="496">
        <f>I79</f>
        <v>85775066</v>
      </c>
      <c r="K79" s="496">
        <f>J79</f>
        <v>85775066</v>
      </c>
    </row>
    <row r="80">
      <c r="A80" s="511" t="s">
        <v>82</v>
      </c>
      <c r="B80" s="498">
        <f>EEFF!B80</f>
        <v>105087198</v>
      </c>
      <c r="C80" s="498">
        <f>EEFF!C80</f>
        <v>99475198</v>
      </c>
      <c r="D80" s="498">
        <f>EEFF!D80</f>
        <v>0</v>
      </c>
      <c r="E80" s="498">
        <f>EEFF!E80</f>
        <v>0</v>
      </c>
      <c r="F80" s="498">
        <f>EEFF!F80</f>
        <v>0</v>
      </c>
      <c r="G80" s="475"/>
      <c r="H80" s="476"/>
      <c r="I80" s="476"/>
      <c r="J80" s="476"/>
      <c r="K80" s="476"/>
    </row>
    <row r="81">
      <c r="A81" s="511" t="s">
        <v>83</v>
      </c>
      <c r="B81" s="498">
        <f>EEFF!B81</f>
        <v>0</v>
      </c>
      <c r="C81" s="498">
        <f>EEFF!C81</f>
        <v>0</v>
      </c>
      <c r="D81" s="498">
        <f>EEFF!D81</f>
        <v>24803280</v>
      </c>
      <c r="E81" s="498">
        <f>EEFF!E81</f>
        <v>29605859</v>
      </c>
      <c r="F81" s="498">
        <f>EEFF!F81</f>
        <v>31070724</v>
      </c>
      <c r="G81" s="500">
        <f>F81</f>
        <v>31070724</v>
      </c>
      <c r="H81" s="496">
        <f>G81</f>
        <v>31070724</v>
      </c>
      <c r="I81" s="496">
        <f>H81</f>
        <v>31070724</v>
      </c>
      <c r="J81" s="496">
        <f>I81</f>
        <v>31070724</v>
      </c>
      <c r="K81" s="496">
        <f>J81</f>
        <v>31070724</v>
      </c>
    </row>
    <row r="82">
      <c r="A82" s="511" t="s">
        <v>84</v>
      </c>
      <c r="B82" s="498">
        <f>EEFF!B82</f>
        <v>21797355</v>
      </c>
      <c r="C82" s="498">
        <f>EEFF!C82</f>
        <v>22803407</v>
      </c>
      <c r="D82" s="498">
        <f>EEFF!D82</f>
        <v>0</v>
      </c>
      <c r="E82" s="498">
        <f>EEFF!E82</f>
        <v>0</v>
      </c>
      <c r="F82" s="498">
        <f>EEFF!F82</f>
        <v>0</v>
      </c>
      <c r="G82" s="475"/>
      <c r="H82" s="476"/>
      <c r="I82" s="476"/>
      <c r="J82" s="476"/>
      <c r="K82" s="476"/>
    </row>
    <row r="83">
      <c r="A83" s="511" t="s">
        <v>85</v>
      </c>
      <c r="B83" s="498">
        <f>EEFF!B83</f>
        <v>26738283</v>
      </c>
      <c r="C83" s="498">
        <f>EEFF!C83</f>
        <v>27263802</v>
      </c>
      <c r="D83" s="498">
        <f>EEFF!D83</f>
        <v>27776642</v>
      </c>
      <c r="E83" s="498">
        <f>EEFF!E83</f>
        <v>26695327</v>
      </c>
      <c r="F83" s="498">
        <f>EEFF!F83</f>
        <v>30882166</v>
      </c>
      <c r="G83" s="500">
        <f>F83</f>
        <v>30882166</v>
      </c>
      <c r="H83" s="496">
        <f>G83</f>
        <v>30882166</v>
      </c>
      <c r="I83" s="496">
        <f>H83</f>
        <v>30882166</v>
      </c>
      <c r="J83" s="496">
        <f>I83</f>
        <v>30882166</v>
      </c>
      <c r="K83" s="496">
        <f>J83</f>
        <v>30882166</v>
      </c>
    </row>
    <row r="84">
      <c r="A84" s="511" t="s">
        <v>86</v>
      </c>
      <c r="B84" s="498">
        <f>EEFF!B84</f>
        <v>0</v>
      </c>
      <c r="C84" s="498">
        <f>EEFF!C84</f>
        <v>0</v>
      </c>
      <c r="D84" s="498">
        <f>EEFF!D84</f>
        <v>0</v>
      </c>
      <c r="E84" s="498">
        <f>EEFF!E84</f>
        <v>0</v>
      </c>
      <c r="F84" s="498">
        <f>EEFF!F84</f>
        <v>950621</v>
      </c>
      <c r="G84" s="500">
        <f>F84</f>
        <v>950621</v>
      </c>
      <c r="H84" s="496">
        <f>G84</f>
        <v>950621</v>
      </c>
      <c r="I84" s="496">
        <f>H84</f>
        <v>950621</v>
      </c>
      <c r="J84" s="496">
        <f>I84</f>
        <v>950621</v>
      </c>
      <c r="K84" s="496">
        <f>J84</f>
        <v>950621</v>
      </c>
    </row>
    <row r="85">
      <c r="A85" s="511" t="s">
        <v>87</v>
      </c>
      <c r="B85" s="498">
        <f>EEFF!B85</f>
        <v>0</v>
      </c>
      <c r="C85" s="498">
        <f>EEFF!C85</f>
        <v>0</v>
      </c>
      <c r="D85" s="498">
        <f>EEFF!D85</f>
        <v>6981854</v>
      </c>
      <c r="E85" s="498">
        <f>EEFF!E85</f>
        <v>985327</v>
      </c>
      <c r="F85" s="498">
        <f>EEFF!F85</f>
        <v>3591060</v>
      </c>
      <c r="G85" s="500">
        <f>F85</f>
        <v>3591060</v>
      </c>
      <c r="H85" s="496">
        <f>G85</f>
        <v>3591060</v>
      </c>
      <c r="I85" s="496">
        <f>H85</f>
        <v>3591060</v>
      </c>
      <c r="J85" s="496">
        <f>I85</f>
        <v>3591060</v>
      </c>
      <c r="K85" s="496">
        <f>J85</f>
        <v>3591060</v>
      </c>
    </row>
    <row r="86">
      <c r="A86" s="479" t="s">
        <v>88</v>
      </c>
      <c r="B86" s="477">
        <f>EEFF!B86</f>
        <v>0</v>
      </c>
      <c r="C86" s="477">
        <f>EEFF!C86</f>
        <v>80903</v>
      </c>
      <c r="D86" s="477">
        <f>EEFF!D86</f>
        <v>0</v>
      </c>
      <c r="E86" s="477">
        <f>EEFF!E86</f>
        <v>0</v>
      </c>
      <c r="F86" s="477">
        <f>EEFF!F86</f>
        <v>0</v>
      </c>
      <c r="G86" s="480"/>
      <c r="H86" s="485"/>
      <c r="I86" s="485"/>
      <c r="J86" s="485"/>
      <c r="K86" s="485"/>
    </row>
    <row r="87">
      <c r="A87" s="479" t="s">
        <v>89</v>
      </c>
      <c r="B87" s="477">
        <f>EEFF!B87</f>
        <v>0</v>
      </c>
      <c r="C87" s="477">
        <f>EEFF!C87</f>
        <v>1874316</v>
      </c>
      <c r="D87" s="477">
        <f>EEFF!D87</f>
        <v>0</v>
      </c>
      <c r="E87" s="477">
        <f>EEFF!E87</f>
        <v>0</v>
      </c>
      <c r="F87" s="477">
        <f>EEFF!F87</f>
        <v>0</v>
      </c>
      <c r="G87" s="480"/>
      <c r="H87" s="485"/>
      <c r="I87" s="485"/>
      <c r="J87" s="485"/>
      <c r="K87" s="485"/>
    </row>
    <row r="88">
      <c r="A88" s="511" t="s">
        <v>90</v>
      </c>
      <c r="B88" s="498">
        <f>EEFF!B88</f>
        <v>0</v>
      </c>
      <c r="C88" s="498">
        <f>EEFF!C88</f>
        <v>0</v>
      </c>
      <c r="D88" s="498">
        <f>EEFF!D88</f>
        <v>-196002</v>
      </c>
      <c r="E88" s="498">
        <f>EEFF!E88</f>
        <v>0</v>
      </c>
      <c r="F88" s="498">
        <f>EEFF!F88</f>
        <v>0</v>
      </c>
      <c r="G88" s="475"/>
      <c r="H88" s="476"/>
      <c r="I88" s="476"/>
      <c r="J88" s="476"/>
      <c r="K88" s="476"/>
    </row>
    <row r="89">
      <c r="A89" s="511" t="s">
        <v>91</v>
      </c>
      <c r="B89" s="498">
        <f>EEFF!B89</f>
        <v>0</v>
      </c>
      <c r="C89" s="498">
        <f>EEFF!C89</f>
        <v>0</v>
      </c>
      <c r="D89" s="498">
        <f>EEFF!D89</f>
        <v>0</v>
      </c>
      <c r="E89" s="498">
        <f>EEFF!E89</f>
        <v>0</v>
      </c>
      <c r="F89" s="498">
        <f>EEFF!F89</f>
        <v>747628</v>
      </c>
      <c r="G89" s="500">
        <f>F89</f>
        <v>747628</v>
      </c>
      <c r="H89" s="496">
        <f>G89</f>
        <v>747628</v>
      </c>
      <c r="I89" s="496">
        <f>H89</f>
        <v>747628</v>
      </c>
      <c r="J89" s="496">
        <f>I89</f>
        <v>747628</v>
      </c>
      <c r="K89" s="496">
        <f>J89</f>
        <v>747628</v>
      </c>
    </row>
    <row r="90">
      <c r="A90" s="511" t="s">
        <v>92</v>
      </c>
      <c r="B90" s="498">
        <f>EEFF!B90</f>
        <v>0</v>
      </c>
      <c r="C90" s="498">
        <f>EEFF!C90</f>
        <v>0</v>
      </c>
      <c r="D90" s="498">
        <f>EEFF!D90</f>
        <v>0</v>
      </c>
      <c r="E90" s="498">
        <f>EEFF!E90</f>
        <v>0</v>
      </c>
      <c r="F90" s="498">
        <f>EEFF!F90</f>
        <v>2851248</v>
      </c>
      <c r="G90" s="500">
        <f>F90</f>
        <v>2851248</v>
      </c>
      <c r="H90" s="496">
        <f>G90</f>
        <v>2851248</v>
      </c>
      <c r="I90" s="496">
        <f>H90</f>
        <v>2851248</v>
      </c>
      <c r="J90" s="496">
        <f>I90</f>
        <v>2851248</v>
      </c>
      <c r="K90" s="496">
        <f>J90</f>
        <v>2851248</v>
      </c>
    </row>
    <row r="91">
      <c r="A91" s="511" t="s">
        <v>93</v>
      </c>
      <c r="B91" s="498">
        <f>EEFF!B91</f>
        <v>0</v>
      </c>
      <c r="C91" s="498">
        <f>EEFF!C91</f>
        <v>0</v>
      </c>
      <c r="D91" s="498">
        <f>EEFF!D91</f>
        <v>11226187</v>
      </c>
      <c r="E91" s="498">
        <f>EEFF!E91</f>
        <v>853306</v>
      </c>
      <c r="F91" s="498">
        <f>EEFF!F91</f>
        <v>543953</v>
      </c>
      <c r="G91" s="500">
        <f>F91</f>
        <v>543953</v>
      </c>
      <c r="H91" s="496">
        <f>G91</f>
        <v>543953</v>
      </c>
      <c r="I91" s="496">
        <f>H91</f>
        <v>543953</v>
      </c>
      <c r="J91" s="496">
        <f>I91</f>
        <v>543953</v>
      </c>
      <c r="K91" s="496">
        <f>J91</f>
        <v>543953</v>
      </c>
    </row>
    <row r="92">
      <c r="A92" s="511" t="s">
        <v>94</v>
      </c>
      <c r="B92" s="498">
        <f>EEFF!B92</f>
        <v>-152589</v>
      </c>
      <c r="C92" s="498">
        <f>EEFF!C92</f>
        <v>16417</v>
      </c>
      <c r="D92" s="498">
        <f>EEFF!D92</f>
        <v>0</v>
      </c>
      <c r="E92" s="498">
        <f>EEFF!E92</f>
        <v>0</v>
      </c>
      <c r="F92" s="498">
        <f>EEFF!F92</f>
        <v>0</v>
      </c>
      <c r="G92" s="475"/>
      <c r="H92" s="476"/>
      <c r="I92" s="476"/>
      <c r="J92" s="476"/>
      <c r="K92" s="476"/>
    </row>
    <row r="93">
      <c r="A93" s="511" t="s">
        <v>95</v>
      </c>
      <c r="B93" s="498">
        <f>EEFF!B93</f>
        <v>0</v>
      </c>
      <c r="C93" s="498">
        <f>EEFF!C93</f>
        <v>0</v>
      </c>
      <c r="D93" s="498">
        <f>EEFF!D93</f>
        <v>13277560</v>
      </c>
      <c r="E93" s="498">
        <f>EEFF!E93</f>
        <v>10668067</v>
      </c>
      <c r="F93" s="498">
        <f>EEFF!F93</f>
        <v>10345831</v>
      </c>
      <c r="G93" s="500">
        <f>F93</f>
        <v>10345831</v>
      </c>
      <c r="H93" s="496">
        <f>G93</f>
        <v>10345831</v>
      </c>
      <c r="I93" s="496">
        <f>H93</f>
        <v>10345831</v>
      </c>
      <c r="J93" s="496">
        <f>I93</f>
        <v>10345831</v>
      </c>
      <c r="K93" s="496">
        <f>J93</f>
        <v>10345831</v>
      </c>
    </row>
    <row r="94">
      <c r="A94" s="511" t="s">
        <v>96</v>
      </c>
      <c r="B94" s="498">
        <f>EEFF!B94</f>
        <v>6651267</v>
      </c>
      <c r="C94" s="498">
        <f>EEFF!C94</f>
        <v>6717067</v>
      </c>
      <c r="D94" s="498">
        <f>EEFF!D94</f>
        <v>0</v>
      </c>
      <c r="E94" s="498">
        <f>EEFF!E94</f>
        <v>0</v>
      </c>
      <c r="F94" s="498">
        <f>EEFF!F94</f>
        <v>0</v>
      </c>
      <c r="G94" s="475"/>
      <c r="H94" s="476"/>
      <c r="I94" s="476"/>
      <c r="J94" s="476"/>
      <c r="K94" s="476"/>
    </row>
    <row r="95">
      <c r="A95" s="511" t="s">
        <v>97</v>
      </c>
      <c r="B95" s="498">
        <f>EEFF!B95</f>
        <v>2659899</v>
      </c>
      <c r="C95" s="498">
        <f>EEFF!C95</f>
        <v>1860770</v>
      </c>
      <c r="D95" s="498">
        <f>EEFF!D95</f>
        <v>0</v>
      </c>
      <c r="E95" s="498">
        <f>EEFF!E95</f>
        <v>1975262</v>
      </c>
      <c r="F95" s="498">
        <f>EEFF!F95</f>
        <v>1635599</v>
      </c>
      <c r="G95" s="500">
        <f>F95</f>
        <v>1635599</v>
      </c>
      <c r="H95" s="496">
        <f>G95</f>
        <v>1635599</v>
      </c>
      <c r="I95" s="496">
        <f>H95</f>
        <v>1635599</v>
      </c>
      <c r="J95" s="496">
        <f>I95</f>
        <v>1635599</v>
      </c>
      <c r="K95" s="496">
        <f>J95</f>
        <v>1635599</v>
      </c>
    </row>
    <row r="96">
      <c r="A96" s="511" t="s">
        <v>36</v>
      </c>
      <c r="B96" s="498">
        <f>EEFF!B96</f>
        <v>0</v>
      </c>
      <c r="C96" s="498">
        <f>EEFF!C96</f>
        <v>0</v>
      </c>
      <c r="D96" s="498">
        <f>EEFF!D96</f>
        <v>21213306</v>
      </c>
      <c r="E96" s="498">
        <f>EEFF!E96</f>
        <v>31932690</v>
      </c>
      <c r="F96" s="498">
        <f>EEFF!F96</f>
        <v>36828934</v>
      </c>
      <c r="G96" s="500">
        <f>F96</f>
        <v>36828934</v>
      </c>
      <c r="H96" s="496">
        <f>G96</f>
        <v>36828934</v>
      </c>
      <c r="I96" s="496">
        <f>H96</f>
        <v>36828934</v>
      </c>
      <c r="J96" s="496">
        <f>I96</f>
        <v>36828934</v>
      </c>
      <c r="K96" s="496">
        <f>J96</f>
        <v>36828934</v>
      </c>
    </row>
    <row r="97">
      <c r="A97" s="511" t="s">
        <v>33</v>
      </c>
      <c r="B97" s="498">
        <f>EEFF!B97</f>
        <v>0</v>
      </c>
      <c r="C97" s="498">
        <f>EEFF!C97</f>
        <v>0</v>
      </c>
      <c r="D97" s="498">
        <f>EEFF!D97</f>
        <v>40406084</v>
      </c>
      <c r="E97" s="498">
        <f>EEFF!E97</f>
        <v>33104698</v>
      </c>
      <c r="F97" s="498">
        <f>EEFF!F97</f>
        <v>38206915</v>
      </c>
      <c r="G97" s="500">
        <f>F97</f>
        <v>38206915</v>
      </c>
      <c r="H97" s="496">
        <f>G97</f>
        <v>38206915</v>
      </c>
      <c r="I97" s="496">
        <f>H97</f>
        <v>38206915</v>
      </c>
      <c r="J97" s="496">
        <f>I97</f>
        <v>38206915</v>
      </c>
      <c r="K97" s="496">
        <f>J97</f>
        <v>38206915</v>
      </c>
    </row>
    <row r="98">
      <c r="A98" s="511" t="s">
        <v>98</v>
      </c>
      <c r="B98" s="498">
        <f>EEFF!B98</f>
        <v>47924773</v>
      </c>
      <c r="C98" s="498">
        <f>EEFF!C98</f>
        <v>43159349</v>
      </c>
      <c r="D98" s="498">
        <f>EEFF!D98</f>
        <v>0</v>
      </c>
      <c r="E98" s="498">
        <f>EEFF!E98</f>
        <v>0</v>
      </c>
      <c r="F98" s="498">
        <f>EEFF!F98</f>
        <v>0</v>
      </c>
      <c r="G98" s="475"/>
      <c r="H98" s="476"/>
      <c r="I98" s="476"/>
      <c r="J98" s="476"/>
      <c r="K98" s="476"/>
    </row>
    <row r="99">
      <c r="A99" s="511" t="s">
        <v>99</v>
      </c>
      <c r="B99" s="498">
        <f>EEFF!B99</f>
        <v>682455</v>
      </c>
      <c r="C99" s="498">
        <f>EEFF!C99</f>
        <v>833314</v>
      </c>
      <c r="D99" s="498">
        <f>EEFF!D99</f>
        <v>2032429</v>
      </c>
      <c r="E99" s="498">
        <f>EEFF!E99</f>
        <v>2504104</v>
      </c>
      <c r="F99" s="498">
        <f>EEFF!F99</f>
        <v>293822</v>
      </c>
      <c r="G99" s="500">
        <f>F99</f>
        <v>293822</v>
      </c>
      <c r="H99" s="496">
        <f>G99</f>
        <v>293822</v>
      </c>
      <c r="I99" s="496">
        <f>H99</f>
        <v>293822</v>
      </c>
      <c r="J99" s="496">
        <f>I99</f>
        <v>293822</v>
      </c>
      <c r="K99" s="496">
        <f>J99</f>
        <v>293822</v>
      </c>
    </row>
    <row r="100">
      <c r="A100" s="511" t="s">
        <v>100</v>
      </c>
      <c r="B100" s="498">
        <f>EEFF!B100</f>
        <v>286421218</v>
      </c>
      <c r="C100" s="498">
        <f>EEFF!C100</f>
        <v>288827416</v>
      </c>
      <c r="D100" s="498">
        <f>EEFF!D100</f>
        <v>290071996</v>
      </c>
      <c r="E100" s="498">
        <f>EEFF!E100</f>
        <v>304810220</v>
      </c>
      <c r="F100" s="498">
        <f>EEFF!F100</f>
        <v>329174487</v>
      </c>
      <c r="G100" s="500">
        <f>F100</f>
        <v>329174487</v>
      </c>
      <c r="H100" s="496">
        <f>G100</f>
        <v>329174487</v>
      </c>
      <c r="I100" s="496">
        <f>H100</f>
        <v>329174487</v>
      </c>
      <c r="J100" s="496">
        <f>I100</f>
        <v>329174487</v>
      </c>
      <c r="K100" s="496">
        <f>J100</f>
        <v>329174487</v>
      </c>
    </row>
    <row r="101">
      <c r="A101" s="511" t="s">
        <v>101</v>
      </c>
      <c r="B101" s="498">
        <f>EEFF!B101</f>
        <v>-3867776</v>
      </c>
      <c r="C101" s="498">
        <f>EEFF!C101</f>
        <v>-12979462</v>
      </c>
      <c r="D101" s="498">
        <f>EEFF!D101</f>
        <v>-55392625</v>
      </c>
      <c r="E101" s="498">
        <f>EEFF!E101</f>
        <v>10770456</v>
      </c>
      <c r="F101" s="498">
        <f>EEFF!F101</f>
        <v>-55761021</v>
      </c>
      <c r="G101" s="500">
        <f>F101</f>
        <v>-55761021</v>
      </c>
      <c r="H101" s="496">
        <f>G101</f>
        <v>-55761021</v>
      </c>
      <c r="I101" s="496">
        <f>H101</f>
        <v>-55761021</v>
      </c>
      <c r="J101" s="496">
        <f>I101</f>
        <v>-55761021</v>
      </c>
      <c r="K101" s="496">
        <f>J101</f>
        <v>-55761021</v>
      </c>
    </row>
    <row r="102">
      <c r="A102" s="511" t="s">
        <v>49</v>
      </c>
      <c r="B102" s="498">
        <f>EEFF!B102</f>
        <v>1803142</v>
      </c>
      <c r="C102" s="498">
        <f>EEFF!C102</f>
        <v>-4483087</v>
      </c>
      <c r="D102" s="498">
        <f>EEFF!D102</f>
        <v>211542</v>
      </c>
      <c r="E102" s="498">
        <f>EEFF!E102</f>
        <v>1157433</v>
      </c>
      <c r="F102" s="498">
        <f>EEFF!F102</f>
        <v>1521412</v>
      </c>
      <c r="G102" s="500">
        <f>F102</f>
        <v>1521412</v>
      </c>
      <c r="H102" s="496">
        <f>G102</f>
        <v>1521412</v>
      </c>
      <c r="I102" s="496">
        <f>H102</f>
        <v>1521412</v>
      </c>
      <c r="J102" s="496">
        <f>I102</f>
        <v>1521412</v>
      </c>
      <c r="K102" s="496">
        <f>J102</f>
        <v>1521412</v>
      </c>
    </row>
    <row r="103">
      <c r="A103" s="511" t="s">
        <v>50</v>
      </c>
      <c r="B103" s="498">
        <f>EEFF!B103</f>
        <v>-843091</v>
      </c>
      <c r="C103" s="498">
        <f>EEFF!C103</f>
        <v>-2170732</v>
      </c>
      <c r="D103" s="498">
        <f>EEFF!D103</f>
        <v>-744388</v>
      </c>
      <c r="E103" s="498">
        <f>EEFF!E103</f>
        <v>-1734299</v>
      </c>
      <c r="F103" s="498">
        <f>EEFF!F103</f>
        <v>-199268</v>
      </c>
      <c r="G103" s="500">
        <f>F103</f>
        <v>-199268</v>
      </c>
      <c r="H103" s="496">
        <f>G103</f>
        <v>-199268</v>
      </c>
      <c r="I103" s="496">
        <f>H103</f>
        <v>-199268</v>
      </c>
      <c r="J103" s="496">
        <f>I103</f>
        <v>-199268</v>
      </c>
      <c r="K103" s="496">
        <f>J103</f>
        <v>-199268</v>
      </c>
    </row>
    <row r="104">
      <c r="A104" s="511" t="s">
        <v>102</v>
      </c>
      <c r="B104" s="498">
        <f>EEFF!B104</f>
        <v>-2442302</v>
      </c>
      <c r="C104" s="498">
        <f>EEFF!C104</f>
        <v>-8978313</v>
      </c>
      <c r="D104" s="498">
        <f>EEFF!D104</f>
        <v>5532411</v>
      </c>
      <c r="E104" s="498">
        <f>EEFF!E104</f>
        <v>8215531</v>
      </c>
      <c r="F104" s="498">
        <f>EEFF!F104</f>
        <v>322773</v>
      </c>
      <c r="G104" s="500">
        <f>F104</f>
        <v>322773</v>
      </c>
      <c r="H104" s="496">
        <f>G104</f>
        <v>322773</v>
      </c>
      <c r="I104" s="496">
        <f>H104</f>
        <v>322773</v>
      </c>
      <c r="J104" s="496">
        <f>I104</f>
        <v>322773</v>
      </c>
      <c r="K104" s="496">
        <f>J104</f>
        <v>322773</v>
      </c>
    </row>
    <row r="105">
      <c r="A105" s="511" t="s">
        <v>52</v>
      </c>
      <c r="B105" s="498">
        <f>EEFF!B105</f>
        <v>-6663080</v>
      </c>
      <c r="C105" s="498">
        <f>EEFF!C105</f>
        <v>7864853</v>
      </c>
      <c r="D105" s="498">
        <f>EEFF!D105</f>
        <v>-85830214</v>
      </c>
      <c r="E105" s="498">
        <f>EEFF!E105</f>
        <v>24247074</v>
      </c>
      <c r="F105" s="498">
        <f>EEFF!F105</f>
        <v>15144927</v>
      </c>
      <c r="G105" s="500">
        <f>F105</f>
        <v>15144927</v>
      </c>
      <c r="H105" s="496">
        <f>G105</f>
        <v>15144927</v>
      </c>
      <c r="I105" s="496">
        <f>H105</f>
        <v>15144927</v>
      </c>
      <c r="J105" s="496">
        <f>I105</f>
        <v>15144927</v>
      </c>
      <c r="K105" s="496">
        <f>J105</f>
        <v>15144927</v>
      </c>
    </row>
    <row r="106">
      <c r="A106" s="511" t="s">
        <v>40</v>
      </c>
      <c r="B106" s="498">
        <f>EEFF!B106</f>
        <v>74097</v>
      </c>
      <c r="C106" s="498">
        <f>EEFF!C106</f>
        <v>16572</v>
      </c>
      <c r="D106" s="498">
        <f>EEFF!D106</f>
        <v>-1850</v>
      </c>
      <c r="E106" s="498">
        <f>EEFF!E106</f>
        <v>0</v>
      </c>
      <c r="F106" s="498">
        <f>EEFF!F106</f>
        <v>-13219172</v>
      </c>
      <c r="G106" s="500">
        <f>F106</f>
        <v>-13219172</v>
      </c>
      <c r="H106" s="496">
        <f>G106</f>
        <v>-13219172</v>
      </c>
      <c r="I106" s="496">
        <f>H106</f>
        <v>-13219172</v>
      </c>
      <c r="J106" s="496">
        <f>I106</f>
        <v>-13219172</v>
      </c>
      <c r="K106" s="496">
        <f>J106</f>
        <v>-13219172</v>
      </c>
    </row>
    <row r="107">
      <c r="A107" s="511" t="s">
        <v>69</v>
      </c>
      <c r="B107" s="498">
        <f>EEFF!B107</f>
        <v>-13530095</v>
      </c>
      <c r="C107" s="498">
        <f>EEFF!C107</f>
        <v>43262719</v>
      </c>
      <c r="D107" s="498">
        <f>EEFF!D107</f>
        <v>28326300</v>
      </c>
      <c r="E107" s="498">
        <f>EEFF!E107</f>
        <v>16332582</v>
      </c>
      <c r="F107" s="498">
        <f>EEFF!F107</f>
        <v>128197906</v>
      </c>
      <c r="G107" s="500">
        <f>F107</f>
        <v>128197906</v>
      </c>
      <c r="H107" s="496">
        <f>G107</f>
        <v>128197906</v>
      </c>
      <c r="I107" s="496">
        <f>H107</f>
        <v>128197906</v>
      </c>
      <c r="J107" s="496">
        <f>I107</f>
        <v>128197906</v>
      </c>
      <c r="K107" s="496">
        <f>J107</f>
        <v>128197906</v>
      </c>
    </row>
    <row r="108">
      <c r="A108" s="511" t="s">
        <v>76</v>
      </c>
      <c r="B108" s="498">
        <f>EEFF!B108</f>
        <v>0</v>
      </c>
      <c r="C108" s="498">
        <f>EEFF!C108</f>
        <v>0</v>
      </c>
      <c r="D108" s="498">
        <f>EEFF!D108</f>
        <v>0</v>
      </c>
      <c r="E108" s="498">
        <f>EEFF!E108</f>
        <v>43420</v>
      </c>
      <c r="F108" s="498">
        <f>EEFF!F108</f>
        <v>-80654</v>
      </c>
      <c r="G108" s="500">
        <f>F108</f>
        <v>-80654</v>
      </c>
      <c r="H108" s="496">
        <f>G108</f>
        <v>-80654</v>
      </c>
      <c r="I108" s="496">
        <f>H108</f>
        <v>-80654</v>
      </c>
      <c r="J108" s="496">
        <f>I108</f>
        <v>-80654</v>
      </c>
      <c r="K108" s="496">
        <f>J108</f>
        <v>-80654</v>
      </c>
    </row>
    <row r="109">
      <c r="A109" s="511" t="s">
        <v>72</v>
      </c>
      <c r="B109" s="498">
        <f>EEFF!B109</f>
        <v>4322615</v>
      </c>
      <c r="C109" s="498">
        <f>EEFF!C109</f>
        <v>-2258243</v>
      </c>
      <c r="D109" s="498">
        <f>EEFF!D109</f>
        <v>-572782</v>
      </c>
      <c r="E109" s="498">
        <f>EEFF!E109</f>
        <v>1846348</v>
      </c>
      <c r="F109" s="498">
        <f>EEFF!F109</f>
        <v>982490</v>
      </c>
      <c r="G109" s="500">
        <f>F109</f>
        <v>982490</v>
      </c>
      <c r="H109" s="496">
        <f>G109</f>
        <v>982490</v>
      </c>
      <c r="I109" s="496">
        <f>H109</f>
        <v>982490</v>
      </c>
      <c r="J109" s="496">
        <f>I109</f>
        <v>982490</v>
      </c>
      <c r="K109" s="496">
        <f>J109</f>
        <v>982490</v>
      </c>
    </row>
    <row r="110">
      <c r="A110" s="511" t="s">
        <v>75</v>
      </c>
      <c r="B110" s="498">
        <f>EEFF!B110</f>
        <v>11465016</v>
      </c>
      <c r="C110" s="498">
        <f>EEFF!C110</f>
        <v>-31876912</v>
      </c>
      <c r="D110" s="498">
        <f>EEFF!D110</f>
        <v>-7292647</v>
      </c>
      <c r="E110" s="498">
        <f>EEFF!E110</f>
        <v>-2355218</v>
      </c>
      <c r="F110" s="498">
        <f>EEFF!F110</f>
        <v>-14702024</v>
      </c>
      <c r="G110" s="500">
        <f>F110</f>
        <v>-14702024</v>
      </c>
      <c r="H110" s="496">
        <f>G110</f>
        <v>-14702024</v>
      </c>
      <c r="I110" s="496">
        <f>H110</f>
        <v>-14702024</v>
      </c>
      <c r="J110" s="496">
        <f>I110</f>
        <v>-14702024</v>
      </c>
      <c r="K110" s="496">
        <f>J110</f>
        <v>-14702024</v>
      </c>
    </row>
    <row r="111">
      <c r="A111" s="511" t="s">
        <v>73</v>
      </c>
      <c r="B111" s="498">
        <f>EEFF!B111</f>
        <v>-103440</v>
      </c>
      <c r="C111" s="498">
        <f>EEFF!C111</f>
        <v>-172973</v>
      </c>
      <c r="D111" s="498">
        <f>EEFF!D111</f>
        <v>-111425</v>
      </c>
      <c r="E111" s="498">
        <f>EEFF!E111</f>
        <v>-100084</v>
      </c>
      <c r="F111" s="498">
        <f>EEFF!F111</f>
        <v>-95980</v>
      </c>
      <c r="G111" s="500">
        <f>F111</f>
        <v>-95980</v>
      </c>
      <c r="H111" s="496">
        <f>G111</f>
        <v>-95980</v>
      </c>
      <c r="I111" s="496">
        <f>H111</f>
        <v>-95980</v>
      </c>
      <c r="J111" s="496">
        <f>I111</f>
        <v>-95980</v>
      </c>
      <c r="K111" s="496">
        <f>J111</f>
        <v>-95980</v>
      </c>
    </row>
    <row r="112">
      <c r="A112" s="511" t="s">
        <v>65</v>
      </c>
      <c r="B112" s="498">
        <f>EEFF!B112</f>
        <v>-4620289</v>
      </c>
      <c r="C112" s="498">
        <f>EEFF!C112</f>
        <v>-379275</v>
      </c>
      <c r="D112" s="498">
        <f>EEFF!D112</f>
        <v>68664075</v>
      </c>
      <c r="E112" s="498">
        <f>EEFF!E112</f>
        <v>-47131004</v>
      </c>
      <c r="F112" s="498">
        <f>EEFF!F112</f>
        <v>15495213</v>
      </c>
      <c r="G112" s="500">
        <f>F112</f>
        <v>15495213</v>
      </c>
      <c r="H112" s="496">
        <f>G112</f>
        <v>15495213</v>
      </c>
      <c r="I112" s="496">
        <f>H112</f>
        <v>15495213</v>
      </c>
      <c r="J112" s="496">
        <f>I112</f>
        <v>15495213</v>
      </c>
      <c r="K112" s="496">
        <f>J112</f>
        <v>15495213</v>
      </c>
    </row>
    <row r="113">
      <c r="A113" s="511" t="s">
        <v>103</v>
      </c>
      <c r="B113" s="498">
        <f>EEFF!B113</f>
        <v>5686947</v>
      </c>
      <c r="C113" s="498">
        <f>EEFF!C113</f>
        <v>-4802471</v>
      </c>
      <c r="D113" s="498">
        <f>EEFF!D113</f>
        <v>-3095569</v>
      </c>
      <c r="E113" s="498">
        <f>EEFF!E113</f>
        <v>566989</v>
      </c>
      <c r="F113" s="498">
        <f>EEFF!F113</f>
        <v>9889803</v>
      </c>
      <c r="G113" s="500">
        <f>F113</f>
        <v>9889803</v>
      </c>
      <c r="H113" s="496">
        <f>G113</f>
        <v>9889803</v>
      </c>
      <c r="I113" s="496">
        <f>H113</f>
        <v>9889803</v>
      </c>
      <c r="J113" s="496">
        <f>I113</f>
        <v>9889803</v>
      </c>
      <c r="K113" s="496">
        <f>J113</f>
        <v>9889803</v>
      </c>
    </row>
    <row r="114">
      <c r="A114" s="479" t="s">
        <v>104</v>
      </c>
      <c r="B114" s="477">
        <f>EEFF!B114</f>
        <v>277702962</v>
      </c>
      <c r="C114" s="477">
        <f>EEFF!C114</f>
        <v>271870092</v>
      </c>
      <c r="D114" s="477">
        <f>EEFF!D114</f>
        <v>239764824</v>
      </c>
      <c r="E114" s="477">
        <f>EEFF!E114</f>
        <v>316669448</v>
      </c>
      <c r="F114" s="477">
        <f>EEFF!F114</f>
        <v>416670892</v>
      </c>
      <c r="G114" s="480">
        <f>F114</f>
        <v>416670892</v>
      </c>
      <c r="H114" s="485">
        <f>G114</f>
        <v>416670892</v>
      </c>
      <c r="I114" s="485">
        <f>H114</f>
        <v>416670892</v>
      </c>
      <c r="J114" s="485">
        <f>I114</f>
        <v>416670892</v>
      </c>
      <c r="K114" s="485">
        <f>J114</f>
        <v>416670892</v>
      </c>
    </row>
    <row r="115">
      <c r="A115" s="511" t="s">
        <v>105</v>
      </c>
      <c r="B115" s="498">
        <f>EEFF!B115</f>
        <v>-17658392</v>
      </c>
      <c r="C115" s="498">
        <f>EEFF!C115</f>
        <v>-44240683</v>
      </c>
      <c r="D115" s="498">
        <f>EEFF!D115</f>
        <v>-21055724</v>
      </c>
      <c r="E115" s="498">
        <f>EEFF!E115</f>
        <v>-22892360</v>
      </c>
      <c r="F115" s="498">
        <f>EEFF!F115</f>
        <v>-38931353</v>
      </c>
      <c r="G115" s="500">
        <f>F115</f>
        <v>-38931353</v>
      </c>
      <c r="H115" s="496">
        <f>G115</f>
        <v>-38931353</v>
      </c>
      <c r="I115" s="496">
        <f>H115</f>
        <v>-38931353</v>
      </c>
      <c r="J115" s="496">
        <f>I115</f>
        <v>-38931353</v>
      </c>
      <c r="K115" s="496">
        <f>J115</f>
        <v>-38931353</v>
      </c>
    </row>
    <row r="116">
      <c r="A116" s="511" t="s">
        <v>106</v>
      </c>
      <c r="B116" s="498">
        <f>EEFF!B116</f>
        <v>0</v>
      </c>
      <c r="C116" s="498">
        <f>EEFF!C116</f>
        <v>0</v>
      </c>
      <c r="D116" s="498">
        <f>EEFF!D116</f>
        <v>0</v>
      </c>
      <c r="E116" s="498">
        <f>EEFF!E116</f>
        <v>-2157566</v>
      </c>
      <c r="F116" s="498">
        <f>EEFF!F116</f>
        <v>-2700627</v>
      </c>
      <c r="G116" s="500">
        <f>F116</f>
        <v>-2700627</v>
      </c>
      <c r="H116" s="496">
        <f>G116</f>
        <v>-2700627</v>
      </c>
      <c r="I116" s="496">
        <f>H116</f>
        <v>-2700627</v>
      </c>
      <c r="J116" s="496">
        <f>I116</f>
        <v>-2700627</v>
      </c>
      <c r="K116" s="496">
        <f>J116</f>
        <v>-2700627</v>
      </c>
    </row>
    <row r="117">
      <c r="A117" s="511" t="s">
        <v>107</v>
      </c>
      <c r="B117" s="498">
        <f>EEFF!B117</f>
        <v>-20296736</v>
      </c>
      <c r="C117" s="498">
        <f>EEFF!C117</f>
        <v>-35560699</v>
      </c>
      <c r="D117" s="498">
        <f>EEFF!D117</f>
        <v>-33913561</v>
      </c>
      <c r="E117" s="498">
        <f>EEFF!E117</f>
        <v>-32531954</v>
      </c>
      <c r="F117" s="498">
        <f>EEFF!F117</f>
        <v>-31828373</v>
      </c>
      <c r="G117" s="500">
        <f>F117</f>
        <v>-31828373</v>
      </c>
      <c r="H117" s="496">
        <f>G117</f>
        <v>-31828373</v>
      </c>
      <c r="I117" s="496">
        <f>H117</f>
        <v>-31828373</v>
      </c>
      <c r="J117" s="496">
        <f>I117</f>
        <v>-31828373</v>
      </c>
      <c r="K117" s="496">
        <f>J117</f>
        <v>-31828373</v>
      </c>
    </row>
    <row r="118">
      <c r="A118" s="511" t="s">
        <v>108</v>
      </c>
      <c r="B118" s="498">
        <f>EEFF!B118</f>
        <v>0</v>
      </c>
      <c r="C118" s="498">
        <f>EEFF!C118</f>
        <v>0</v>
      </c>
      <c r="D118" s="498">
        <f>EEFF!D118</f>
        <v>0</v>
      </c>
      <c r="E118" s="498">
        <f>EEFF!E118</f>
        <v>7106702</v>
      </c>
      <c r="F118" s="498">
        <f>EEFF!F118</f>
        <v>11766607</v>
      </c>
      <c r="G118" s="500">
        <f>F118</f>
        <v>11766607</v>
      </c>
      <c r="H118" s="496">
        <f>G118</f>
        <v>11766607</v>
      </c>
      <c r="I118" s="496">
        <f>H118</f>
        <v>11766607</v>
      </c>
      <c r="J118" s="496">
        <f>I118</f>
        <v>11766607</v>
      </c>
      <c r="K118" s="496">
        <f>J118</f>
        <v>11766607</v>
      </c>
    </row>
    <row r="119">
      <c r="A119" s="511" t="s">
        <v>109</v>
      </c>
      <c r="B119" s="498">
        <f>EEFF!B119</f>
        <v>-5841971</v>
      </c>
      <c r="C119" s="498">
        <f>EEFF!C119</f>
        <v>-6435960</v>
      </c>
      <c r="D119" s="498">
        <f>EEFF!D119</f>
        <v>-8877687</v>
      </c>
      <c r="E119" s="498">
        <f>EEFF!E119</f>
        <v>-8063697</v>
      </c>
      <c r="F119" s="498">
        <f>EEFF!F119</f>
        <v>-14178181</v>
      </c>
      <c r="G119" s="500">
        <f>F119</f>
        <v>-14178181</v>
      </c>
      <c r="H119" s="496">
        <f>G119</f>
        <v>-14178181</v>
      </c>
      <c r="I119" s="496">
        <f>H119</f>
        <v>-14178181</v>
      </c>
      <c r="J119" s="496">
        <f>I119</f>
        <v>-14178181</v>
      </c>
      <c r="K119" s="496">
        <f>J119</f>
        <v>-14178181</v>
      </c>
    </row>
    <row r="120">
      <c r="A120" s="511" t="s">
        <v>110</v>
      </c>
      <c r="B120" s="498">
        <f>EEFF!B120</f>
        <v>-1672050</v>
      </c>
      <c r="C120" s="498">
        <f>EEFF!C120</f>
        <v>-3190860</v>
      </c>
      <c r="D120" s="498">
        <f>EEFF!D120</f>
        <v>-13259077</v>
      </c>
      <c r="E120" s="498">
        <f>EEFF!E120</f>
        <v>-596868</v>
      </c>
      <c r="F120" s="498">
        <f>EEFF!F120</f>
        <v>-486159</v>
      </c>
      <c r="G120" s="500">
        <f>F120</f>
        <v>-486159</v>
      </c>
      <c r="H120" s="496">
        <f>G120</f>
        <v>-486159</v>
      </c>
      <c r="I120" s="496">
        <f>H120</f>
        <v>-486159</v>
      </c>
      <c r="J120" s="496">
        <f>I120</f>
        <v>-486159</v>
      </c>
      <c r="K120" s="496">
        <f>J120</f>
        <v>-486159</v>
      </c>
    </row>
    <row r="121">
      <c r="A121" s="479" t="s">
        <v>111</v>
      </c>
      <c r="B121" s="477">
        <f>EEFF!B121</f>
        <v>232233813</v>
      </c>
      <c r="C121" s="477">
        <f>EEFF!C121</f>
        <v>182441890</v>
      </c>
      <c r="D121" s="477">
        <f>EEFF!D121</f>
        <v>162658775</v>
      </c>
      <c r="E121" s="477">
        <f>EEFF!E121</f>
        <v>257533705</v>
      </c>
      <c r="F121" s="477">
        <f>EEFF!F121</f>
        <v>340312806</v>
      </c>
      <c r="G121" s="480">
        <f>F121</f>
        <v>340312806</v>
      </c>
      <c r="H121" s="485">
        <f>G121</f>
        <v>340312806</v>
      </c>
      <c r="I121" s="485">
        <f>H121</f>
        <v>340312806</v>
      </c>
      <c r="J121" s="485">
        <f>I121</f>
        <v>340312806</v>
      </c>
      <c r="K121" s="485">
        <f>J121</f>
        <v>340312806</v>
      </c>
    </row>
    <row r="122">
      <c r="A122" s="511" t="s">
        <v>112</v>
      </c>
      <c r="B122" s="498">
        <f>EEFF!B122</f>
        <v>462908</v>
      </c>
      <c r="C122" s="498">
        <f>EEFF!C122</f>
        <v>2332374</v>
      </c>
      <c r="D122" s="498">
        <f>EEFF!D122</f>
        <v>169482</v>
      </c>
      <c r="E122" s="498">
        <f>EEFF!E122</f>
        <v>2632315</v>
      </c>
      <c r="F122" s="498">
        <f>EEFF!F122</f>
        <v>-35562</v>
      </c>
      <c r="G122" s="500">
        <f>F122</f>
        <v>-35562</v>
      </c>
      <c r="H122" s="496">
        <f>G122</f>
        <v>-35562</v>
      </c>
      <c r="I122" s="496">
        <f>H122</f>
        <v>-35562</v>
      </c>
      <c r="J122" s="496">
        <f>I122</f>
        <v>-35562</v>
      </c>
      <c r="K122" s="496">
        <f>J122</f>
        <v>-35562</v>
      </c>
    </row>
    <row r="123">
      <c r="A123" s="511" t="s">
        <v>113</v>
      </c>
      <c r="B123" s="498">
        <f>EEFF!B123</f>
        <v>-38882122</v>
      </c>
      <c r="C123" s="498">
        <f>EEFF!C123</f>
        <v>-45024943</v>
      </c>
      <c r="D123" s="498">
        <f>EEFF!D123</f>
        <v>-5592388</v>
      </c>
      <c r="E123" s="498">
        <f>EEFF!E123</f>
        <v>-23761385</v>
      </c>
      <c r="F123" s="498">
        <f>EEFF!F123</f>
        <v>-18940495</v>
      </c>
      <c r="G123" s="500">
        <f>F123</f>
        <v>-18940495</v>
      </c>
      <c r="H123" s="496">
        <f>G123</f>
        <v>-18940495</v>
      </c>
      <c r="I123" s="496">
        <f>H123</f>
        <v>-18940495</v>
      </c>
      <c r="J123" s="496">
        <f>I123</f>
        <v>-18940495</v>
      </c>
      <c r="K123" s="496">
        <f>J123</f>
        <v>-18940495</v>
      </c>
    </row>
    <row r="124">
      <c r="A124" s="511" t="s">
        <v>114</v>
      </c>
      <c r="B124" s="498">
        <f>EEFF!B124</f>
        <v>0</v>
      </c>
      <c r="C124" s="498">
        <f>EEFF!C124</f>
        <v>0</v>
      </c>
      <c r="D124" s="498">
        <f>EEFF!D124</f>
        <v>-312499</v>
      </c>
      <c r="E124" s="498">
        <f>EEFF!E124</f>
        <v>0</v>
      </c>
      <c r="F124" s="498">
        <f>EEFF!F124</f>
        <v>0</v>
      </c>
      <c r="G124" s="475"/>
      <c r="H124" s="476"/>
      <c r="I124" s="476"/>
      <c r="J124" s="476"/>
      <c r="K124" s="476"/>
    </row>
    <row r="125">
      <c r="A125" s="511" t="s">
        <v>115</v>
      </c>
      <c r="B125" s="498">
        <f>EEFF!B125</f>
        <v>0</v>
      </c>
      <c r="C125" s="498">
        <f>EEFF!C125</f>
        <v>0</v>
      </c>
      <c r="D125" s="498">
        <f>EEFF!D125</f>
        <v>12487934</v>
      </c>
      <c r="E125" s="498">
        <f>EEFF!E125</f>
        <v>0</v>
      </c>
      <c r="F125" s="498">
        <f>EEFF!F125</f>
        <v>0</v>
      </c>
      <c r="G125" s="475"/>
      <c r="H125" s="476"/>
      <c r="I125" s="476"/>
      <c r="J125" s="476"/>
      <c r="K125" s="476"/>
    </row>
    <row r="126">
      <c r="A126" s="511" t="s">
        <v>116</v>
      </c>
      <c r="B126" s="498">
        <f>EEFF!B126</f>
        <v>0</v>
      </c>
      <c r="C126" s="498">
        <f>EEFF!C126</f>
        <v>0</v>
      </c>
      <c r="D126" s="498">
        <f>EEFF!D126</f>
        <v>0</v>
      </c>
      <c r="E126" s="498">
        <f>EEFF!E126</f>
        <v>0</v>
      </c>
      <c r="F126" s="498">
        <f>EEFF!F126</f>
        <v>3858749</v>
      </c>
      <c r="G126" s="500">
        <f>F126</f>
        <v>3858749</v>
      </c>
      <c r="H126" s="496">
        <f>G126</f>
        <v>3858749</v>
      </c>
      <c r="I126" s="496">
        <f>H126</f>
        <v>3858749</v>
      </c>
      <c r="J126" s="496">
        <f>I126</f>
        <v>3858749</v>
      </c>
      <c r="K126" s="496">
        <f>J126</f>
        <v>3858749</v>
      </c>
    </row>
    <row r="127">
      <c r="A127" s="511" t="s">
        <v>117</v>
      </c>
      <c r="B127" s="498">
        <f>EEFF!B127</f>
        <v>0</v>
      </c>
      <c r="C127" s="498">
        <f>EEFF!C127</f>
        <v>0</v>
      </c>
      <c r="D127" s="498">
        <f>EEFF!D127</f>
        <v>-12383205</v>
      </c>
      <c r="E127" s="498">
        <f>EEFF!E127</f>
        <v>0</v>
      </c>
      <c r="F127" s="498">
        <f>EEFF!F127</f>
        <v>0</v>
      </c>
      <c r="G127" s="475"/>
      <c r="H127" s="476"/>
      <c r="I127" s="476"/>
      <c r="J127" s="476"/>
      <c r="K127" s="476"/>
    </row>
    <row r="128">
      <c r="A128" s="511" t="s">
        <v>118</v>
      </c>
      <c r="B128" s="498">
        <f>EEFF!B128</f>
        <v>0</v>
      </c>
      <c r="C128" s="498">
        <f>EEFF!C128</f>
        <v>0</v>
      </c>
      <c r="D128" s="498">
        <f>EEFF!D128</f>
        <v>0</v>
      </c>
      <c r="E128" s="498">
        <f>EEFF!E128</f>
        <v>0</v>
      </c>
      <c r="F128" s="498">
        <f>EEFF!F128</f>
        <v>-2894398</v>
      </c>
      <c r="G128" s="500">
        <f>F128</f>
        <v>-2894398</v>
      </c>
      <c r="H128" s="496">
        <f>G128</f>
        <v>-2894398</v>
      </c>
      <c r="I128" s="496">
        <f>H128</f>
        <v>-2894398</v>
      </c>
      <c r="J128" s="496">
        <f>I128</f>
        <v>-2894398</v>
      </c>
      <c r="K128" s="496">
        <f>J128</f>
        <v>-2894398</v>
      </c>
    </row>
    <row r="129">
      <c r="A129" s="511" t="s">
        <v>119</v>
      </c>
      <c r="B129" s="498">
        <f>EEFF!B129</f>
        <v>-86333715</v>
      </c>
      <c r="C129" s="498">
        <f>EEFF!C129</f>
        <v>-87953752</v>
      </c>
      <c r="D129" s="498">
        <f>EEFF!D129</f>
        <v>-97407479</v>
      </c>
      <c r="E129" s="498">
        <f>EEFF!E129</f>
        <v>-83283351</v>
      </c>
      <c r="F129" s="498">
        <f>EEFF!F129</f>
        <v>-84908649</v>
      </c>
      <c r="G129" s="500">
        <f>F129</f>
        <v>-84908649</v>
      </c>
      <c r="H129" s="496">
        <f>G129</f>
        <v>-84908649</v>
      </c>
      <c r="I129" s="496">
        <f>H129</f>
        <v>-84908649</v>
      </c>
      <c r="J129" s="496">
        <f>I129</f>
        <v>-84908649</v>
      </c>
      <c r="K129" s="496">
        <f>J129</f>
        <v>-84908649</v>
      </c>
    </row>
    <row r="130">
      <c r="A130" s="479" t="s">
        <v>120</v>
      </c>
      <c r="B130" s="477">
        <f>EEFF!B130</f>
        <v>-124752929</v>
      </c>
      <c r="C130" s="477">
        <f>EEFF!C130</f>
        <v>-130646321</v>
      </c>
      <c r="D130" s="477">
        <f>EEFF!D130</f>
        <v>-103038155</v>
      </c>
      <c r="E130" s="477">
        <f>EEFF!E130</f>
        <v>-104412421</v>
      </c>
      <c r="F130" s="477">
        <f>EEFF!F130</f>
        <v>-102920355</v>
      </c>
      <c r="G130" s="480">
        <f>F130</f>
        <v>-102920355</v>
      </c>
      <c r="H130" s="485">
        <f>G130</f>
        <v>-102920355</v>
      </c>
      <c r="I130" s="485">
        <f>H130</f>
        <v>-102920355</v>
      </c>
      <c r="J130" s="485">
        <f>I130</f>
        <v>-102920355</v>
      </c>
      <c r="K130" s="485">
        <f>J130</f>
        <v>-102920355</v>
      </c>
    </row>
    <row r="131">
      <c r="A131" s="511" t="s">
        <v>121</v>
      </c>
      <c r="B131" s="498">
        <f>EEFF!B131</f>
        <v>100000000</v>
      </c>
      <c r="C131" s="498">
        <f>EEFF!C131</f>
        <v>0</v>
      </c>
      <c r="D131" s="498">
        <f>EEFF!D131</f>
        <v>0</v>
      </c>
      <c r="E131" s="498">
        <f>EEFF!E131</f>
        <v>0</v>
      </c>
      <c r="F131" s="498">
        <f>EEFF!F131</f>
        <v>0</v>
      </c>
      <c r="G131" s="475"/>
      <c r="H131" s="476"/>
      <c r="I131" s="476"/>
      <c r="J131" s="476"/>
      <c r="K131" s="476"/>
    </row>
    <row r="132">
      <c r="A132" s="511" t="s">
        <v>122</v>
      </c>
      <c r="B132" s="498">
        <f>EEFF!B132</f>
        <v>0</v>
      </c>
      <c r="C132" s="498">
        <f>EEFF!C132</f>
        <v>0</v>
      </c>
      <c r="D132" s="498">
        <f>EEFF!D132</f>
        <v>0</v>
      </c>
      <c r="E132" s="498">
        <f>EEFF!E132</f>
        <v>0</v>
      </c>
      <c r="F132" s="498">
        <f>EEFF!F132</f>
        <v>110000000</v>
      </c>
      <c r="G132" s="500">
        <f>F132</f>
        <v>110000000</v>
      </c>
      <c r="H132" s="496">
        <f>G132</f>
        <v>110000000</v>
      </c>
      <c r="I132" s="496">
        <f>H132</f>
        <v>110000000</v>
      </c>
      <c r="J132" s="496">
        <f>I132</f>
        <v>110000000</v>
      </c>
      <c r="K132" s="496">
        <f>J132</f>
        <v>110000000</v>
      </c>
    </row>
    <row r="133">
      <c r="A133" s="511" t="s">
        <v>123</v>
      </c>
      <c r="B133" s="498">
        <f>EEFF!B133</f>
        <v>-125000000</v>
      </c>
      <c r="C133" s="498">
        <f>EEFF!C133</f>
        <v>-75000000</v>
      </c>
      <c r="D133" s="498">
        <f>EEFF!D133</f>
        <v>0</v>
      </c>
      <c r="E133" s="498">
        <f>EEFF!E133</f>
        <v>0</v>
      </c>
      <c r="F133" s="498">
        <f>EEFF!F133</f>
        <v>0</v>
      </c>
      <c r="G133" s="475"/>
      <c r="H133" s="476"/>
      <c r="I133" s="476"/>
      <c r="J133" s="476"/>
      <c r="K133" s="476"/>
    </row>
    <row r="134">
      <c r="A134" s="511" t="s">
        <v>124</v>
      </c>
      <c r="B134" s="498">
        <f>EEFF!B134</f>
        <v>0</v>
      </c>
      <c r="C134" s="498">
        <f>EEFF!C134</f>
        <v>0</v>
      </c>
      <c r="D134" s="498">
        <f>EEFF!D134</f>
        <v>0</v>
      </c>
      <c r="E134" s="498">
        <f>EEFF!E134</f>
        <v>0</v>
      </c>
      <c r="F134" s="498">
        <f>EEFF!F134</f>
        <v>-110000000</v>
      </c>
      <c r="G134" s="500">
        <f>F134</f>
        <v>-110000000</v>
      </c>
      <c r="H134" s="496">
        <f>G134</f>
        <v>-110000000</v>
      </c>
      <c r="I134" s="496">
        <f>H134</f>
        <v>-110000000</v>
      </c>
      <c r="J134" s="496">
        <f>I134</f>
        <v>-110000000</v>
      </c>
      <c r="K134" s="496">
        <f>J134</f>
        <v>-110000000</v>
      </c>
    </row>
    <row r="135">
      <c r="A135" s="511" t="s">
        <v>125</v>
      </c>
      <c r="B135" s="498">
        <f>EEFF!B135</f>
        <v>0</v>
      </c>
      <c r="C135" s="498">
        <f>EEFF!C135</f>
        <v>0</v>
      </c>
      <c r="D135" s="498">
        <f>EEFF!D135</f>
        <v>-13446841</v>
      </c>
      <c r="E135" s="498">
        <f>EEFF!E135</f>
        <v>-24262912</v>
      </c>
      <c r="F135" s="498">
        <f>EEFF!F135</f>
        <v>0</v>
      </c>
      <c r="G135" s="500">
        <f>F135</f>
        <v>0</v>
      </c>
      <c r="H135" s="496">
        <f>G135</f>
        <v>0</v>
      </c>
      <c r="I135" s="496">
        <f>H135</f>
        <v>0</v>
      </c>
      <c r="J135" s="496">
        <f>I135</f>
        <v>0</v>
      </c>
      <c r="K135" s="496">
        <f>J135</f>
        <v>0</v>
      </c>
    </row>
    <row r="136">
      <c r="A136" s="511" t="s">
        <v>126</v>
      </c>
      <c r="B136" s="498">
        <f>EEFF!B136</f>
        <v>-613439</v>
      </c>
      <c r="C136" s="498">
        <f>EEFF!C136</f>
        <v>0</v>
      </c>
      <c r="D136" s="498">
        <f>EEFF!D136</f>
        <v>0</v>
      </c>
      <c r="E136" s="498">
        <f>EEFF!E136</f>
        <v>0</v>
      </c>
      <c r="F136" s="498">
        <f>EEFF!F136</f>
        <v>0</v>
      </c>
      <c r="G136" s="475"/>
      <c r="H136" s="476"/>
      <c r="I136" s="476"/>
      <c r="J136" s="476"/>
      <c r="K136" s="476"/>
    </row>
    <row r="137">
      <c r="A137" s="511" t="s">
        <v>127</v>
      </c>
      <c r="B137" s="498">
        <f>EEFF!B137</f>
        <v>0</v>
      </c>
      <c r="C137" s="498">
        <f>EEFF!C137</f>
        <v>0</v>
      </c>
      <c r="D137" s="498">
        <f>EEFF!D137</f>
        <v>0</v>
      </c>
      <c r="E137" s="498">
        <f>EEFF!E137</f>
        <v>0</v>
      </c>
      <c r="F137" s="498">
        <f>EEFF!F137</f>
        <v>-857210</v>
      </c>
      <c r="G137" s="500">
        <f>F137</f>
        <v>-857210</v>
      </c>
      <c r="H137" s="496">
        <f>G137</f>
        <v>-857210</v>
      </c>
      <c r="I137" s="496">
        <f>H137</f>
        <v>-857210</v>
      </c>
      <c r="J137" s="496">
        <f>I137</f>
        <v>-857210</v>
      </c>
      <c r="K137" s="496">
        <f>J137</f>
        <v>-857210</v>
      </c>
    </row>
    <row r="138">
      <c r="A138" s="511" t="s">
        <v>128</v>
      </c>
      <c r="B138" s="498">
        <f>EEFF!B138</f>
        <v>-1758990</v>
      </c>
      <c r="C138" s="498">
        <f>EEFF!C138</f>
        <v>-2455218</v>
      </c>
      <c r="D138" s="498">
        <f>EEFF!D138</f>
        <v>-1542351</v>
      </c>
      <c r="E138" s="498">
        <f>EEFF!E138</f>
        <v>-1494714</v>
      </c>
      <c r="F138" s="498">
        <f>EEFF!F138</f>
        <v>-1908370</v>
      </c>
      <c r="G138" s="500">
        <f>F138</f>
        <v>-1908370</v>
      </c>
      <c r="H138" s="496">
        <f>G138</f>
        <v>-1908370</v>
      </c>
      <c r="I138" s="496">
        <f>H138</f>
        <v>-1908370</v>
      </c>
      <c r="J138" s="496">
        <f>I138</f>
        <v>-1908370</v>
      </c>
      <c r="K138" s="496">
        <f>J138</f>
        <v>-1908370</v>
      </c>
    </row>
    <row r="139">
      <c r="A139" s="511" t="s">
        <v>129</v>
      </c>
      <c r="B139" s="498">
        <f>EEFF!B139</f>
        <v>-10565095</v>
      </c>
      <c r="C139" s="498">
        <f>EEFF!C139</f>
        <v>-19399187</v>
      </c>
      <c r="D139" s="498">
        <f>EEFF!D139</f>
        <v>-24732239</v>
      </c>
      <c r="E139" s="498">
        <f>EEFF!E139</f>
        <v>-23374839</v>
      </c>
      <c r="F139" s="498">
        <f>EEFF!F139</f>
        <v>-26816691</v>
      </c>
      <c r="G139" s="500">
        <f>F139</f>
        <v>-26816691</v>
      </c>
      <c r="H139" s="496">
        <f>G139</f>
        <v>-26816691</v>
      </c>
      <c r="I139" s="496">
        <f>H139</f>
        <v>-26816691</v>
      </c>
      <c r="J139" s="496">
        <f>I139</f>
        <v>-26816691</v>
      </c>
      <c r="K139" s="496">
        <f>J139</f>
        <v>-26816691</v>
      </c>
    </row>
    <row r="140">
      <c r="A140" s="479" t="s">
        <v>130</v>
      </c>
      <c r="B140" s="477">
        <f>EEFF!B140</f>
        <v>-37937524</v>
      </c>
      <c r="C140" s="477">
        <f>EEFF!C140</f>
        <v>-96854405</v>
      </c>
      <c r="D140" s="477">
        <f>EEFF!D140</f>
        <v>-39721431</v>
      </c>
      <c r="E140" s="477">
        <f>EEFF!E140</f>
        <v>-49132465</v>
      </c>
      <c r="F140" s="477">
        <f>EEFF!F140</f>
        <v>-29582271</v>
      </c>
      <c r="G140" s="480">
        <f>F140</f>
        <v>-29582271</v>
      </c>
      <c r="H140" s="485">
        <f>G140</f>
        <v>-29582271</v>
      </c>
      <c r="I140" s="485">
        <f>H140</f>
        <v>-29582271</v>
      </c>
      <c r="J140" s="485">
        <f>I140</f>
        <v>-29582271</v>
      </c>
      <c r="K140" s="485">
        <f>J140</f>
        <v>-29582271</v>
      </c>
    </row>
    <row r="141">
      <c r="A141" s="511" t="s">
        <v>131</v>
      </c>
      <c r="B141" s="498">
        <f>EEFF!B141</f>
        <v>69544360</v>
      </c>
      <c r="C141" s="498">
        <f>EEFF!C141</f>
        <v>-45058836</v>
      </c>
      <c r="D141" s="498">
        <f>EEFF!D141</f>
        <v>19899189</v>
      </c>
      <c r="E141" s="498">
        <f>EEFF!E141</f>
        <v>103988819</v>
      </c>
      <c r="F141" s="498">
        <f>EEFF!F141</f>
        <v>207810180</v>
      </c>
      <c r="G141" s="500">
        <f>F141</f>
        <v>207810180</v>
      </c>
      <c r="H141" s="496">
        <f>G141</f>
        <v>207810180</v>
      </c>
      <c r="I141" s="496">
        <f>H141</f>
        <v>207810180</v>
      </c>
      <c r="J141" s="496">
        <f>I141</f>
        <v>207810180</v>
      </c>
      <c r="K141" s="496">
        <f>J141</f>
        <v>207810180</v>
      </c>
    </row>
    <row r="142">
      <c r="A142" s="511" t="s">
        <v>132</v>
      </c>
      <c r="B142" s="498">
        <f>EEFF!B142</f>
        <v>84847382</v>
      </c>
      <c r="C142" s="498">
        <f>EEFF!C142</f>
        <v>154391742</v>
      </c>
      <c r="D142" s="498">
        <f>EEFF!D142</f>
        <v>109332906</v>
      </c>
      <c r="E142" s="498">
        <f>EEFF!E142</f>
        <v>129232095</v>
      </c>
      <c r="F142" s="498">
        <f>EEFF!F142</f>
        <v>233220914</v>
      </c>
      <c r="G142" s="500">
        <f>F142</f>
        <v>233220914</v>
      </c>
      <c r="H142" s="496">
        <f>G142</f>
        <v>233220914</v>
      </c>
      <c r="I142" s="496">
        <f>H142</f>
        <v>233220914</v>
      </c>
      <c r="J142" s="496">
        <f>I142</f>
        <v>233220914</v>
      </c>
      <c r="K142" s="496">
        <f>J142</f>
        <v>233220914</v>
      </c>
    </row>
    <row r="143">
      <c r="A143" s="479" t="s">
        <v>133</v>
      </c>
      <c r="B143" s="477">
        <f>EEFF!B143</f>
        <v>154391742</v>
      </c>
      <c r="C143" s="477">
        <f>EEFF!C143</f>
        <v>109332906</v>
      </c>
      <c r="D143" s="477">
        <f>EEFF!D143</f>
        <v>129232095</v>
      </c>
      <c r="E143" s="477">
        <f>EEFF!E143</f>
        <v>233220914</v>
      </c>
      <c r="F143" s="477">
        <f>EEFF!F143</f>
        <v>441031094</v>
      </c>
      <c r="G143" s="480">
        <f>F143</f>
        <v>441031094</v>
      </c>
      <c r="H143" s="485">
        <f>G143</f>
        <v>441031094</v>
      </c>
      <c r="I143" s="485">
        <f>H143</f>
        <v>441031094</v>
      </c>
      <c r="J143" s="485">
        <f>I143</f>
        <v>441031094</v>
      </c>
      <c r="K143" s="485">
        <f>J143</f>
        <v>441031094</v>
      </c>
    </row>
    <row r="144">
      <c r="A144" s="486"/>
      <c r="B144" s="486"/>
      <c r="C144" s="486"/>
      <c r="D144" s="486"/>
      <c r="E144" s="486"/>
      <c r="F144" s="486"/>
      <c r="G144" s="488"/>
      <c r="H144" s="486"/>
      <c r="I144" s="486"/>
      <c r="J144" s="486"/>
      <c r="K144" s="486"/>
    </row>
  </sheetData>
</worksheet>
</file>

<file path=xl/worksheets/sheet5.xml><?xml version="1.0" encoding="utf-8"?>
<worksheet xmlns="http://schemas.openxmlformats.org/spreadsheetml/2006/main" xmlns:r="http://schemas.openxmlformats.org/officeDocument/2006/relationships">
  <dimension ref="A1:Q29"/>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514" t="s">
        <v>0</v>
      </c>
      <c r="B1" s="497"/>
      <c r="C1" s="497"/>
      <c r="D1" s="497"/>
      <c r="E1" s="497"/>
      <c r="F1" s="497"/>
      <c r="G1" s="497"/>
      <c r="H1" s="497"/>
      <c r="I1" s="497"/>
      <c r="J1" s="497"/>
      <c r="K1" s="497"/>
      <c r="L1" s="497"/>
      <c r="M1" s="501"/>
      <c r="N1" s="501"/>
      <c r="O1" s="501"/>
      <c r="P1" s="501"/>
      <c r="Q1" s="501"/>
    </row>
    <row r="2">
      <c r="A2" s="505" t="s">
        <v>410</v>
      </c>
      <c r="B2" s="495"/>
      <c r="C2" s="495"/>
      <c r="D2" s="495"/>
      <c r="E2" s="495"/>
      <c r="F2" s="495"/>
      <c r="G2" s="495"/>
      <c r="H2" s="495"/>
      <c r="I2" s="495"/>
      <c r="J2" s="495"/>
      <c r="K2" s="495"/>
      <c r="L2" s="495"/>
      <c r="M2" s="495"/>
      <c r="N2" s="495"/>
      <c r="O2" s="495"/>
      <c r="P2" s="495"/>
      <c r="Q2" s="495"/>
    </row>
    <row r="3">
      <c r="A3" s="505" t="s">
        <v>411</v>
      </c>
      <c r="B3" s="495"/>
      <c r="C3" s="495"/>
      <c r="D3" s="495"/>
      <c r="E3" s="495"/>
      <c r="F3" s="495"/>
      <c r="G3" s="495"/>
      <c r="H3" s="495"/>
      <c r="I3" s="495"/>
      <c r="J3" s="495"/>
      <c r="K3" s="495"/>
      <c r="L3" s="495"/>
      <c r="M3" s="495"/>
      <c r="N3" s="495"/>
      <c r="O3" s="495"/>
      <c r="P3" s="495"/>
      <c r="Q3" s="495"/>
    </row>
    <row r="4">
      <c r="A4" s="499" t="s">
        <v>412</v>
      </c>
      <c r="B4" s="499" t="s">
        <v>413</v>
      </c>
      <c r="C4" s="507" t="str">
        <f>IF(COUNTIF($C$6:$C$29,"FAIL")=0,"PASS","FAIL")</f>
        <v>PASS</v>
      </c>
      <c r="D4" s="495"/>
      <c r="E4" s="495"/>
      <c r="F4" s="495"/>
      <c r="G4" s="505" t="s">
        <v>414</v>
      </c>
      <c r="H4" s="495"/>
      <c r="I4" s="495"/>
      <c r="J4" s="495"/>
      <c r="K4" s="495"/>
      <c r="L4" s="495"/>
      <c r="M4" s="495"/>
      <c r="N4" s="495"/>
      <c r="O4" s="495"/>
      <c r="P4" s="495"/>
      <c r="Q4" s="495"/>
    </row>
    <row r="5">
      <c r="A5" s="514" t="s">
        <v>415</v>
      </c>
      <c r="B5" s="514" t="s">
        <v>416</v>
      </c>
      <c r="C5" s="514" t="s">
        <v>417</v>
      </c>
      <c r="D5" s="514" t="s">
        <v>418</v>
      </c>
      <c r="E5" s="514" t="s">
        <v>419</v>
      </c>
      <c r="F5" s="514" t="s">
        <v>420</v>
      </c>
      <c r="G5" s="514" t="s">
        <v>421</v>
      </c>
      <c r="H5" s="514" t="s">
        <v>4</v>
      </c>
      <c r="I5" s="514" t="s">
        <v>5</v>
      </c>
      <c r="J5" s="514" t="s">
        <v>6</v>
      </c>
      <c r="K5" s="514" t="s">
        <v>7</v>
      </c>
      <c r="L5" s="514" t="s">
        <v>8</v>
      </c>
      <c r="M5" s="503" t="s">
        <v>9</v>
      </c>
      <c r="N5" s="503" t="s">
        <v>10</v>
      </c>
      <c r="O5" s="503" t="s">
        <v>11</v>
      </c>
      <c r="P5" s="503" t="s">
        <v>12</v>
      </c>
      <c r="Q5" s="503" t="s">
        <v>13</v>
      </c>
    </row>
    <row r="6">
      <c r="A6" s="495"/>
      <c r="B6" s="495"/>
      <c r="C6" s="495"/>
      <c r="D6" s="495"/>
      <c r="E6" s="495"/>
      <c r="F6" s="495"/>
      <c r="G6" s="495"/>
      <c r="H6" s="495"/>
      <c r="I6" s="495"/>
      <c r="J6" s="495"/>
      <c r="K6" s="495"/>
      <c r="L6" s="495"/>
      <c r="M6" s="495"/>
      <c r="N6" s="495"/>
      <c r="O6" s="495"/>
      <c r="P6" s="495"/>
      <c r="Q6" s="495"/>
    </row>
    <row r="7">
      <c r="A7" s="514" t="s">
        <v>422</v>
      </c>
      <c r="B7" s="497"/>
      <c r="C7" s="497"/>
      <c r="D7" s="497"/>
      <c r="E7" s="497"/>
      <c r="F7" s="497"/>
      <c r="G7" s="497"/>
      <c r="H7" s="497"/>
      <c r="I7" s="497"/>
      <c r="J7" s="497"/>
      <c r="K7" s="497"/>
      <c r="L7" s="497"/>
      <c r="M7" s="501"/>
      <c r="N7" s="501"/>
      <c r="O7" s="501"/>
      <c r="P7" s="501"/>
      <c r="Q7" s="501"/>
    </row>
    <row r="8">
      <c r="A8" s="511" t="s">
        <v>423</v>
      </c>
      <c r="B8" s="511" t="s">
        <v>424</v>
      </c>
      <c r="C8" s="494" t="str">
        <f>IF(SUMPRODUCT((ABS(H8:Q8)&gt;1000)*1)=0,"PASS","FAIL")</f>
        <v>PASS</v>
      </c>
      <c r="D8" s="511" t="s">
        <v>425</v>
      </c>
      <c r="E8" s="511" t="s">
        <v>426</v>
      </c>
      <c r="F8" s="511">
        <v>0</v>
      </c>
      <c r="G8" s="511" t="s">
        <v>427</v>
      </c>
      <c r="H8" s="498">
        <f>ModeloFinanciero!B49-ModeloFinanciero!B73</f>
        <v>0</v>
      </c>
      <c r="I8" s="498">
        <f>ModeloFinanciero!C49-ModeloFinanciero!C73</f>
        <v>0</v>
      </c>
      <c r="J8" s="498">
        <f>ModeloFinanciero!D49-ModeloFinanciero!D73</f>
        <v>0</v>
      </c>
      <c r="K8" s="498">
        <f>ModeloFinanciero!E49-ModeloFinanciero!E73</f>
        <v>0</v>
      </c>
      <c r="L8" s="498">
        <f>ModeloFinanciero!F49-ModeloFinanciero!F73</f>
        <v>0</v>
      </c>
      <c r="M8" s="502">
        <f>ModeloFinanciero!G49-ModeloFinanciero!G73</f>
        <v>0</v>
      </c>
      <c r="N8" s="498">
        <f>ModeloFinanciero!H49-ModeloFinanciero!H73</f>
        <v>0</v>
      </c>
      <c r="O8" s="498">
        <f>ModeloFinanciero!I49-ModeloFinanciero!I73</f>
        <v>0</v>
      </c>
      <c r="P8" s="498">
        <f>ModeloFinanciero!J49-ModeloFinanciero!J73</f>
        <v>0</v>
      </c>
      <c r="Q8" s="498">
        <f>ModeloFinanciero!K49-ModeloFinanciero!K73</f>
        <v>0</v>
      </c>
    </row>
    <row r="9">
      <c r="A9" s="511" t="s">
        <v>428</v>
      </c>
      <c r="B9" s="511" t="s">
        <v>429</v>
      </c>
      <c r="C9" s="494" t="str">
        <f>IF(SUMPRODUCT((ABS(H9:Q9)&gt;1000)*1)=0,"PASS","FAIL")</f>
        <v>PASS</v>
      </c>
      <c r="D9" s="511" t="s">
        <v>425</v>
      </c>
      <c r="E9" s="511" t="s">
        <v>426</v>
      </c>
      <c r="F9" s="511">
        <v>0</v>
      </c>
      <c r="G9" s="511" t="s">
        <v>430</v>
      </c>
      <c r="H9" s="498">
        <f>ModeloFinanciero!B143-ModeloFinanciero!B41</f>
        <v>0</v>
      </c>
      <c r="I9" s="498">
        <f>ModeloFinanciero!C143-ModeloFinanciero!C41</f>
        <v>0</v>
      </c>
      <c r="J9" s="498">
        <f>ModeloFinanciero!D143-ModeloFinanciero!D41</f>
        <v>0</v>
      </c>
      <c r="K9" s="498">
        <f>ModeloFinanciero!E143-ModeloFinanciero!E41</f>
        <v>0</v>
      </c>
      <c r="L9" s="498">
        <f>ModeloFinanciero!F143-ModeloFinanciero!F41</f>
        <v>0</v>
      </c>
      <c r="M9" s="500"/>
      <c r="N9" s="496"/>
      <c r="O9" s="496"/>
      <c r="P9" s="496"/>
      <c r="Q9" s="496"/>
    </row>
    <row r="10">
      <c r="A10" s="511" t="s">
        <v>431</v>
      </c>
      <c r="B10" s="511" t="s">
        <v>432</v>
      </c>
      <c r="C10" s="494" t="str">
        <f>IF(SUMPRODUCT((ABS(H10:Q10)&gt;1000)*1)=0,"PASS","FAIL")</f>
        <v>PASS</v>
      </c>
      <c r="D10" s="511" t="s">
        <v>425</v>
      </c>
      <c r="E10" s="511" t="s">
        <v>426</v>
      </c>
      <c r="F10" s="511">
        <v>0</v>
      </c>
      <c r="G10" s="511" t="s">
        <v>433</v>
      </c>
      <c r="H10" s="498">
        <f>ModeloFinanciero!B121+ModeloFinanciero!B130+ModeloFinanciero!B140-(ModeloFinanciero!B143-ModeloFinanciero!B142)</f>
        <v>-1000</v>
      </c>
      <c r="I10" s="498">
        <f>ModeloFinanciero!C121+ModeloFinanciero!C130+ModeloFinanciero!C140-(ModeloFinanciero!C143-ModeloFinanciero!C142)</f>
        <v>0</v>
      </c>
      <c r="J10" s="498">
        <f>ModeloFinanciero!D121+ModeloFinanciero!D130+ModeloFinanciero!D140-(ModeloFinanciero!D143-ModeloFinanciero!D142)</f>
        <v>0</v>
      </c>
      <c r="K10" s="498">
        <f>ModeloFinanciero!E121+ModeloFinanciero!E130+ModeloFinanciero!E140-(ModeloFinanciero!E143-ModeloFinanciero!E142)</f>
        <v>0</v>
      </c>
      <c r="L10" s="498">
        <f>ModeloFinanciero!F121+ModeloFinanciero!F130+ModeloFinanciero!F140-(ModeloFinanciero!F143-ModeloFinanciero!F142)</f>
        <v>0</v>
      </c>
      <c r="M10" s="502">
        <f>ModeloFinanciero!G121+ModeloFinanciero!G130+ModeloFinanciero!G140-(ModeloFinanciero!G143-ModeloFinanciero!G142)</f>
        <v>0</v>
      </c>
      <c r="N10" s="498">
        <f>ModeloFinanciero!H121+ModeloFinanciero!H130+ModeloFinanciero!H140-(ModeloFinanciero!H143-ModeloFinanciero!H142)</f>
        <v>0</v>
      </c>
      <c r="O10" s="498">
        <f>ModeloFinanciero!I121+ModeloFinanciero!I130+ModeloFinanciero!I140-(ModeloFinanciero!I143-ModeloFinanciero!I142)</f>
        <v>0</v>
      </c>
      <c r="P10" s="498">
        <f>ModeloFinanciero!J121+ModeloFinanciero!J130+ModeloFinanciero!J140-(ModeloFinanciero!J143-ModeloFinanciero!J142)</f>
        <v>0</v>
      </c>
      <c r="Q10" s="498">
        <f>ModeloFinanciero!K121+ModeloFinanciero!K130+ModeloFinanciero!K140-(ModeloFinanciero!K143-ModeloFinanciero!K142)</f>
        <v>0</v>
      </c>
    </row>
    <row r="11">
      <c r="A11" s="511" t="s">
        <v>434</v>
      </c>
      <c r="B11" s="511" t="s">
        <v>435</v>
      </c>
      <c r="C11" s="494" t="s">
        <v>436</v>
      </c>
      <c r="D11" s="511" t="s">
        <v>425</v>
      </c>
      <c r="E11" s="511" t="s">
        <v>426</v>
      </c>
      <c r="F11" s="511">
        <v>0</v>
      </c>
      <c r="G11" s="511" t="s">
        <v>437</v>
      </c>
      <c r="H11" s="498">
        <f>ModeloFinanciero!B29-ModeloFinanciero!B77</f>
        <v>49343569</v>
      </c>
      <c r="I11" s="498">
        <f>ModeloFinanciero!C29-ModeloFinanciero!C77</f>
        <v>59931033</v>
      </c>
      <c r="J11" s="498">
        <f>ModeloFinanciero!D29-ModeloFinanciero!D77</f>
        <v>0</v>
      </c>
      <c r="K11" s="498">
        <f>ModeloFinanciero!E29-ModeloFinanciero!E77</f>
        <v>0</v>
      </c>
      <c r="L11" s="498">
        <f>ModeloFinanciero!F29-ModeloFinanciero!F77</f>
        <v>0</v>
      </c>
      <c r="M11" s="500"/>
      <c r="N11" s="496"/>
      <c r="O11" s="496"/>
      <c r="P11" s="496"/>
      <c r="Q11" s="496"/>
    </row>
    <row r="12">
      <c r="A12" s="511" t="s">
        <v>438</v>
      </c>
      <c r="B12" s="511" t="s">
        <v>439</v>
      </c>
      <c r="C12" s="494" t="s">
        <v>436</v>
      </c>
      <c r="D12" s="511" t="s">
        <v>425</v>
      </c>
      <c r="E12" s="511" t="s">
        <v>426</v>
      </c>
      <c r="F12" s="511">
        <v>0</v>
      </c>
      <c r="G12" s="511" t="s">
        <v>440</v>
      </c>
      <c r="H12" s="498">
        <f>ModeloFinanciero!B29-(ModeloFinanciero!B27-ABS(ModeloFinanciero!B28))</f>
        <v>0</v>
      </c>
      <c r="I12" s="498">
        <f>ModeloFinanciero!C29-(ModeloFinanciero!C27-ABS(ModeloFinanciero!C28))</f>
        <v>0</v>
      </c>
      <c r="J12" s="498">
        <f>ModeloFinanciero!D29-(ModeloFinanciero!D27-ABS(ModeloFinanciero!D28))</f>
        <v>0</v>
      </c>
      <c r="K12" s="498">
        <f>ModeloFinanciero!E29-(ModeloFinanciero!E27-ABS(ModeloFinanciero!E28))</f>
        <v>0</v>
      </c>
      <c r="L12" s="498">
        <f>ModeloFinanciero!F29-(ModeloFinanciero!F27-ABS(ModeloFinanciero!F28))</f>
        <v>0</v>
      </c>
      <c r="M12" s="502">
        <f>ModeloFinanciero!G29-(ModeloFinanciero!G27-ABS(ModeloFinanciero!G28))</f>
        <v>0</v>
      </c>
      <c r="N12" s="498">
        <f>ModeloFinanciero!H29-(ModeloFinanciero!H27-ABS(ModeloFinanciero!H28))</f>
        <v>0</v>
      </c>
      <c r="O12" s="498">
        <f>ModeloFinanciero!I29-(ModeloFinanciero!I27-ABS(ModeloFinanciero!I28))</f>
        <v>0</v>
      </c>
      <c r="P12" s="498">
        <f>ModeloFinanciero!J29-(ModeloFinanciero!J27-ABS(ModeloFinanciero!J28))</f>
        <v>0</v>
      </c>
      <c r="Q12" s="498">
        <f>ModeloFinanciero!K29-(ModeloFinanciero!K27-ABS(ModeloFinanciero!K28))</f>
        <v>0</v>
      </c>
    </row>
    <row r="13">
      <c r="A13" s="511" t="s">
        <v>441</v>
      </c>
      <c r="B13" s="511" t="s">
        <v>442</v>
      </c>
      <c r="C13" s="494" t="s">
        <v>436</v>
      </c>
      <c r="D13" s="511" t="s">
        <v>425</v>
      </c>
      <c r="E13" s="511" t="s">
        <v>426</v>
      </c>
      <c r="F13" s="511">
        <v>0</v>
      </c>
      <c r="G13" s="511" t="s">
        <v>443</v>
      </c>
      <c r="H13" s="496"/>
      <c r="I13" s="498">
        <f>ModeloFinanciero!C53-ModeloFinanciero!B53-(ModeloFinanciero!C29)</f>
        <v>-68670</v>
      </c>
      <c r="J13" s="498">
        <f>ModeloFinanciero!D53-ModeloFinanciero!C53-(ModeloFinanciero!D29)</f>
        <v>-683860</v>
      </c>
      <c r="K13" s="498">
        <f>ModeloFinanciero!E53-ModeloFinanciero!D53-(ModeloFinanciero!E29)</f>
        <v>-21437</v>
      </c>
      <c r="L13" s="498">
        <f>ModeloFinanciero!F53-ModeloFinanciero!E53-(ModeloFinanciero!F29)</f>
        <v>0</v>
      </c>
      <c r="M13" s="500"/>
      <c r="N13" s="496"/>
      <c r="O13" s="496"/>
      <c r="P13" s="496"/>
      <c r="Q13" s="496"/>
    </row>
    <row r="14">
      <c r="A14" s="511" t="s">
        <v>444</v>
      </c>
      <c r="B14" s="511" t="s">
        <v>435</v>
      </c>
      <c r="C14" s="494" t="s">
        <v>436</v>
      </c>
      <c r="D14" s="511" t="s">
        <v>425</v>
      </c>
      <c r="E14" s="511" t="s">
        <v>426</v>
      </c>
      <c r="F14" s="511">
        <v>0</v>
      </c>
      <c r="G14" s="511" t="s">
        <v>445</v>
      </c>
      <c r="H14" s="496">
        <f>0</f>
        <v>0</v>
      </c>
      <c r="I14" s="496">
        <f>0</f>
        <v>0</v>
      </c>
      <c r="J14" s="496">
        <f>0</f>
        <v>0</v>
      </c>
      <c r="K14" s="496">
        <f>0</f>
        <v>0</v>
      </c>
      <c r="L14" s="496">
        <f>0</f>
        <v>0</v>
      </c>
      <c r="M14" s="500">
        <f>0</f>
        <v>0</v>
      </c>
      <c r="N14" s="496">
        <f>0</f>
        <v>0</v>
      </c>
      <c r="O14" s="496">
        <f>0</f>
        <v>0</v>
      </c>
      <c r="P14" s="496">
        <f>0</f>
        <v>0</v>
      </c>
      <c r="Q14" s="496">
        <f>0</f>
        <v>0</v>
      </c>
    </row>
    <row r="15">
      <c r="A15" s="511" t="s">
        <v>446</v>
      </c>
      <c r="B15" s="511" t="s">
        <v>435</v>
      </c>
      <c r="C15" s="494" t="str">
        <f>IF(SUMPRODUCT((ABS(H15:Q15)&gt;1000)*1)=0,"PASS","FAIL")</f>
        <v>PASS</v>
      </c>
      <c r="D15" s="511" t="s">
        <v>425</v>
      </c>
      <c r="E15" s="511" t="s">
        <v>426</v>
      </c>
      <c r="F15" s="511">
        <v>0</v>
      </c>
      <c r="G15" s="511" t="s">
        <v>447</v>
      </c>
      <c r="H15" s="498">
        <f>SUM(ModeloFinanciero!B40,ModeloFinanciero!B48)-ModeloFinanciero!B49</f>
        <v>0</v>
      </c>
      <c r="I15" s="498">
        <f>SUM(ModeloFinanciero!C40,ModeloFinanciero!C48)-ModeloFinanciero!C49</f>
        <v>0</v>
      </c>
      <c r="J15" s="498">
        <f>SUM(ModeloFinanciero!D40,ModeloFinanciero!D48)-ModeloFinanciero!D49</f>
        <v>0</v>
      </c>
      <c r="K15" s="498">
        <f>SUM(ModeloFinanciero!E40,ModeloFinanciero!E48)-ModeloFinanciero!E49</f>
        <v>0</v>
      </c>
      <c r="L15" s="498">
        <f>SUM(ModeloFinanciero!F40,ModeloFinanciero!F48)-ModeloFinanciero!F49</f>
        <v>0</v>
      </c>
      <c r="M15" s="502">
        <f>SUM(ModeloFinanciero!G40,ModeloFinanciero!G48)-ModeloFinanciero!G49</f>
        <v>0</v>
      </c>
      <c r="N15" s="498">
        <f>SUM(ModeloFinanciero!H40,ModeloFinanciero!H48)-ModeloFinanciero!H49</f>
        <v>0</v>
      </c>
      <c r="O15" s="498">
        <f>SUM(ModeloFinanciero!I40,ModeloFinanciero!I48)-ModeloFinanciero!I49</f>
        <v>0</v>
      </c>
      <c r="P15" s="498">
        <f>SUM(ModeloFinanciero!J40,ModeloFinanciero!J48)-ModeloFinanciero!J49</f>
        <v>0</v>
      </c>
      <c r="Q15" s="498">
        <f>SUM(ModeloFinanciero!K40,ModeloFinanciero!K48)-ModeloFinanciero!K49</f>
        <v>0</v>
      </c>
    </row>
    <row r="16">
      <c r="A16" s="511" t="s">
        <v>448</v>
      </c>
      <c r="B16" s="511" t="s">
        <v>435</v>
      </c>
      <c r="C16" s="494" t="str">
        <f>IF(SUMPRODUCT((ABS(H16:Q16)&gt;1000)*1)=0,"PASS","FAIL")</f>
        <v>PASS</v>
      </c>
      <c r="D16" s="511" t="s">
        <v>425</v>
      </c>
      <c r="E16" s="511" t="s">
        <v>426</v>
      </c>
      <c r="F16" s="511">
        <v>0</v>
      </c>
      <c r="G16" s="511" t="s">
        <v>447</v>
      </c>
      <c r="H16" s="498">
        <f>ModeloFinanciero!B72+ModeloFinanciero!B55-ModeloFinanciero!B73</f>
        <v>0</v>
      </c>
      <c r="I16" s="498">
        <f>ModeloFinanciero!C72+ModeloFinanciero!C55-ModeloFinanciero!C73</f>
        <v>0</v>
      </c>
      <c r="J16" s="498">
        <f>ModeloFinanciero!D72+ModeloFinanciero!D55-ModeloFinanciero!D73</f>
        <v>0</v>
      </c>
      <c r="K16" s="498">
        <f>ModeloFinanciero!E72+ModeloFinanciero!E55-ModeloFinanciero!E73</f>
        <v>0</v>
      </c>
      <c r="L16" s="498">
        <f>ModeloFinanciero!F72+ModeloFinanciero!F55-ModeloFinanciero!F73</f>
        <v>0</v>
      </c>
      <c r="M16" s="502">
        <f>ModeloFinanciero!G72+ModeloFinanciero!G55-ModeloFinanciero!G73</f>
        <v>0</v>
      </c>
      <c r="N16" s="498">
        <f>ModeloFinanciero!H72+ModeloFinanciero!H55-ModeloFinanciero!H73</f>
        <v>0</v>
      </c>
      <c r="O16" s="498">
        <f>ModeloFinanciero!I72+ModeloFinanciero!I55-ModeloFinanciero!I73</f>
        <v>0</v>
      </c>
      <c r="P16" s="498">
        <f>ModeloFinanciero!J72+ModeloFinanciero!J55-ModeloFinanciero!J73</f>
        <v>0</v>
      </c>
      <c r="Q16" s="498">
        <f>ModeloFinanciero!K72+ModeloFinanciero!K55-ModeloFinanciero!K73</f>
        <v>0</v>
      </c>
    </row>
    <row r="17">
      <c r="A17" s="511" t="s">
        <v>449</v>
      </c>
      <c r="B17" s="511" t="s">
        <v>450</v>
      </c>
      <c r="C17" s="494" t="str">
        <f>IF(SUMPRODUCT((ABS(H17:Q17)&gt;100000)*1)=0,"PASS","FAIL")</f>
        <v>PASS</v>
      </c>
      <c r="D17" s="511" t="s">
        <v>425</v>
      </c>
      <c r="E17" s="511" t="s">
        <v>451</v>
      </c>
      <c r="F17" s="511">
        <v>0</v>
      </c>
      <c r="G17" s="511" t="s">
        <v>452</v>
      </c>
      <c r="H17" s="498">
        <f>ModeloFinanciero!B49-EEFF!B49</f>
        <v>0</v>
      </c>
      <c r="I17" s="498">
        <f>ModeloFinanciero!C49-EEFF!C49</f>
        <v>0</v>
      </c>
      <c r="J17" s="498">
        <f>ModeloFinanciero!D49-EEFF!D49</f>
        <v>0</v>
      </c>
      <c r="K17" s="498">
        <f>ModeloFinanciero!E49-EEFF!E49</f>
        <v>0</v>
      </c>
      <c r="L17" s="498">
        <f>ModeloFinanciero!F49-EEFF!F49</f>
        <v>0</v>
      </c>
      <c r="M17" s="500"/>
      <c r="N17" s="496"/>
      <c r="O17" s="496"/>
      <c r="P17" s="496"/>
      <c r="Q17" s="496"/>
    </row>
    <row r="18">
      <c r="A18" s="511" t="s">
        <v>453</v>
      </c>
      <c r="B18" s="511" t="s">
        <v>454</v>
      </c>
      <c r="C18" s="494" t="str">
        <f>IF(SUMPRODUCT((ABS(H18:Q18)&gt;0)*1)=0,"PASS","FAIL")</f>
        <v>PASS</v>
      </c>
      <c r="D18" s="511" t="s">
        <v>425</v>
      </c>
      <c r="E18" s="511" t="s">
        <v>455</v>
      </c>
      <c r="F18" s="511" t="s">
        <v>455</v>
      </c>
      <c r="G18" s="511" t="s">
        <v>456</v>
      </c>
      <c r="H18" s="496">
        <f>0</f>
        <v>0</v>
      </c>
      <c r="I18" s="496">
        <f>0</f>
        <v>0</v>
      </c>
      <c r="J18" s="496">
        <f>0</f>
        <v>0</v>
      </c>
      <c r="K18" s="496">
        <f>0</f>
        <v>0</v>
      </c>
      <c r="L18" s="496">
        <f>0</f>
        <v>0</v>
      </c>
      <c r="M18" s="500">
        <f>0</f>
        <v>0</v>
      </c>
      <c r="N18" s="496">
        <f>0</f>
        <v>0</v>
      </c>
      <c r="O18" s="496">
        <f>0</f>
        <v>0</v>
      </c>
      <c r="P18" s="496">
        <f>0</f>
        <v>0</v>
      </c>
      <c r="Q18" s="496">
        <f>0</f>
        <v>0</v>
      </c>
    </row>
    <row r="19">
      <c r="A19" s="511" t="s">
        <v>457</v>
      </c>
      <c r="B19" s="511" t="s">
        <v>458</v>
      </c>
      <c r="C19" s="494" t="str">
        <f>IF(SUMPRODUCT((ABS(H19:Q19)&gt;0)*1)=0,"PASS","FAIL")</f>
        <v>PASS</v>
      </c>
      <c r="D19" s="511" t="s">
        <v>425</v>
      </c>
      <c r="E19" s="511" t="s">
        <v>455</v>
      </c>
      <c r="F19" s="511" t="s">
        <v>455</v>
      </c>
      <c r="G19" s="511" t="s">
        <v>459</v>
      </c>
      <c r="H19" s="496">
        <f>COUNTIF($C$6:$C$18,"FAIL")+COUNTIF($C$20:$C$29,"FAIL")</f>
        <v>0</v>
      </c>
      <c r="I19" s="496">
        <f>COUNTIF($C$6:$C$18,"FAIL")+COUNTIF($C$20:$C$29,"FAIL")</f>
        <v>0</v>
      </c>
      <c r="J19" s="496">
        <f>COUNTIF($C$6:$C$18,"FAIL")+COUNTIF($C$20:$C$29,"FAIL")</f>
        <v>0</v>
      </c>
      <c r="K19" s="496">
        <f>COUNTIF($C$6:$C$18,"FAIL")+COUNTIF($C$20:$C$29,"FAIL")</f>
        <v>0</v>
      </c>
      <c r="L19" s="496">
        <f>COUNTIF($C$6:$C$18,"FAIL")+COUNTIF($C$20:$C$29,"FAIL")</f>
        <v>0</v>
      </c>
      <c r="M19" s="500">
        <f>COUNTIF($C$6:$C$18,"FAIL")+COUNTIF($C$20:$C$29,"FAIL")</f>
        <v>0</v>
      </c>
      <c r="N19" s="496">
        <f>COUNTIF($C$6:$C$18,"FAIL")+COUNTIF($C$20:$C$29,"FAIL")</f>
        <v>0</v>
      </c>
      <c r="O19" s="496">
        <f>COUNTIF($C$6:$C$18,"FAIL")+COUNTIF($C$20:$C$29,"FAIL")</f>
        <v>0</v>
      </c>
      <c r="P19" s="496">
        <f>COUNTIF($C$6:$C$18,"FAIL")+COUNTIF($C$20:$C$29,"FAIL")</f>
        <v>0</v>
      </c>
      <c r="Q19" s="496">
        <f>COUNTIF($C$6:$C$18,"FAIL")+COUNTIF($C$20:$C$29,"FAIL")</f>
        <v>0</v>
      </c>
    </row>
    <row r="20">
      <c r="A20" s="495"/>
      <c r="B20" s="495"/>
      <c r="C20" s="495"/>
      <c r="D20" s="495"/>
      <c r="E20" s="495"/>
      <c r="F20" s="495"/>
      <c r="G20" s="495"/>
      <c r="H20" s="495"/>
      <c r="I20" s="495"/>
      <c r="J20" s="495"/>
      <c r="K20" s="495"/>
      <c r="L20" s="495"/>
      <c r="M20" s="495"/>
      <c r="N20" s="495"/>
      <c r="O20" s="495"/>
      <c r="P20" s="495"/>
      <c r="Q20" s="495"/>
    </row>
    <row r="21">
      <c r="A21" s="514" t="s">
        <v>460</v>
      </c>
      <c r="B21" s="497"/>
      <c r="C21" s="497"/>
      <c r="D21" s="497"/>
      <c r="E21" s="497"/>
      <c r="F21" s="497"/>
      <c r="G21" s="497"/>
      <c r="H21" s="497"/>
      <c r="I21" s="497"/>
      <c r="J21" s="497"/>
      <c r="K21" s="497"/>
      <c r="L21" s="497"/>
      <c r="M21" s="501"/>
      <c r="N21" s="501"/>
      <c r="O21" s="501"/>
      <c r="P21" s="501"/>
      <c r="Q21" s="501"/>
    </row>
    <row r="22">
      <c r="A22" s="511" t="s">
        <v>461</v>
      </c>
      <c r="B22" s="511" t="s">
        <v>462</v>
      </c>
      <c r="C22" s="494" t="s">
        <v>436</v>
      </c>
      <c r="D22" s="511" t="s">
        <v>425</v>
      </c>
      <c r="E22" s="511" t="s">
        <v>426</v>
      </c>
      <c r="F22" s="511">
        <v>0</v>
      </c>
      <c r="G22" s="511" t="s">
        <v>463</v>
      </c>
      <c r="H22" s="496">
        <f>0</f>
        <v>0</v>
      </c>
      <c r="I22" s="496">
        <f>0</f>
        <v>0</v>
      </c>
      <c r="J22" s="496">
        <f>0</f>
        <v>0</v>
      </c>
      <c r="K22" s="496">
        <f>0</f>
        <v>0</v>
      </c>
      <c r="L22" s="496">
        <f>0</f>
        <v>0</v>
      </c>
      <c r="M22" s="500">
        <f>0</f>
        <v>0</v>
      </c>
      <c r="N22" s="496">
        <f>0</f>
        <v>0</v>
      </c>
      <c r="O22" s="496">
        <f>0</f>
        <v>0</v>
      </c>
      <c r="P22" s="496">
        <f>0</f>
        <v>0</v>
      </c>
      <c r="Q22" s="496">
        <f>0</f>
        <v>0</v>
      </c>
    </row>
    <row r="23">
      <c r="A23" s="511" t="s">
        <v>464</v>
      </c>
      <c r="B23" s="511" t="s">
        <v>465</v>
      </c>
      <c r="C23" s="494" t="s">
        <v>436</v>
      </c>
      <c r="D23" s="511" t="s">
        <v>425</v>
      </c>
      <c r="E23" s="511" t="s">
        <v>426</v>
      </c>
      <c r="F23" s="511">
        <v>0</v>
      </c>
      <c r="G23" s="511" t="s">
        <v>466</v>
      </c>
      <c r="H23" s="496">
        <f>0</f>
        <v>0</v>
      </c>
      <c r="I23" s="496">
        <f>0</f>
        <v>0</v>
      </c>
      <c r="J23" s="496">
        <f>0</f>
        <v>0</v>
      </c>
      <c r="K23" s="496">
        <f>0</f>
        <v>0</v>
      </c>
      <c r="L23" s="496">
        <f>0</f>
        <v>0</v>
      </c>
      <c r="M23" s="500">
        <f>0</f>
        <v>0</v>
      </c>
      <c r="N23" s="496">
        <f>0</f>
        <v>0</v>
      </c>
      <c r="O23" s="496">
        <f>0</f>
        <v>0</v>
      </c>
      <c r="P23" s="496">
        <f>0</f>
        <v>0</v>
      </c>
      <c r="Q23" s="496">
        <f>0</f>
        <v>0</v>
      </c>
    </row>
    <row r="24">
      <c r="A24" s="511" t="s">
        <v>467</v>
      </c>
      <c r="B24" s="511" t="s">
        <v>468</v>
      </c>
      <c r="C24" s="494" t="s">
        <v>436</v>
      </c>
      <c r="D24" s="511" t="s">
        <v>425</v>
      </c>
      <c r="E24" s="511" t="s">
        <v>426</v>
      </c>
      <c r="F24" s="511">
        <v>0</v>
      </c>
      <c r="G24" s="511" t="s">
        <v>469</v>
      </c>
      <c r="H24" s="496">
        <f>0</f>
        <v>0</v>
      </c>
      <c r="I24" s="496">
        <f>0</f>
        <v>0</v>
      </c>
      <c r="J24" s="496">
        <f>0</f>
        <v>0</v>
      </c>
      <c r="K24" s="496">
        <f>0</f>
        <v>0</v>
      </c>
      <c r="L24" s="496">
        <f>0</f>
        <v>0</v>
      </c>
      <c r="M24" s="500">
        <f>0</f>
        <v>0</v>
      </c>
      <c r="N24" s="496">
        <f>0</f>
        <v>0</v>
      </c>
      <c r="O24" s="496">
        <f>0</f>
        <v>0</v>
      </c>
      <c r="P24" s="496">
        <f>0</f>
        <v>0</v>
      </c>
      <c r="Q24" s="496">
        <f>0</f>
        <v>0</v>
      </c>
    </row>
    <row r="25">
      <c r="A25" s="495"/>
      <c r="B25" s="495"/>
      <c r="C25" s="495"/>
      <c r="D25" s="495"/>
      <c r="E25" s="495"/>
      <c r="F25" s="495"/>
      <c r="G25" s="495"/>
      <c r="H25" s="495"/>
      <c r="I25" s="495"/>
      <c r="J25" s="495"/>
      <c r="K25" s="495"/>
      <c r="L25" s="495"/>
      <c r="M25" s="495"/>
      <c r="N25" s="495"/>
      <c r="O25" s="495"/>
      <c r="P25" s="495"/>
      <c r="Q25" s="495"/>
    </row>
    <row r="26">
      <c r="A26" s="514" t="s">
        <v>470</v>
      </c>
      <c r="B26" s="497"/>
      <c r="C26" s="497"/>
      <c r="D26" s="497"/>
      <c r="E26" s="497"/>
      <c r="F26" s="497"/>
      <c r="G26" s="497"/>
      <c r="H26" s="497"/>
      <c r="I26" s="497"/>
      <c r="J26" s="497"/>
      <c r="K26" s="497"/>
      <c r="L26" s="497"/>
      <c r="M26" s="501"/>
      <c r="N26" s="501"/>
      <c r="O26" s="501"/>
      <c r="P26" s="501"/>
      <c r="Q26" s="501"/>
    </row>
    <row r="27">
      <c r="A27" s="511" t="s">
        <v>471</v>
      </c>
      <c r="B27" s="511" t="s">
        <v>472</v>
      </c>
      <c r="C27" s="494" t="s">
        <v>436</v>
      </c>
      <c r="D27" s="511" t="s">
        <v>425</v>
      </c>
      <c r="E27" s="511" t="s">
        <v>426</v>
      </c>
      <c r="F27" s="511">
        <v>0</v>
      </c>
      <c r="G27" s="511" t="s">
        <v>473</v>
      </c>
      <c r="H27" s="496">
        <f>0</f>
        <v>0</v>
      </c>
      <c r="I27" s="496">
        <f>0</f>
        <v>0</v>
      </c>
      <c r="J27" s="496">
        <f>0</f>
        <v>0</v>
      </c>
      <c r="K27" s="496">
        <f>0</f>
        <v>0</v>
      </c>
      <c r="L27" s="496">
        <f>0</f>
        <v>0</v>
      </c>
      <c r="M27" s="500">
        <f>0</f>
        <v>0</v>
      </c>
      <c r="N27" s="496">
        <f>0</f>
        <v>0</v>
      </c>
      <c r="O27" s="496">
        <f>0</f>
        <v>0</v>
      </c>
      <c r="P27" s="496">
        <f>0</f>
        <v>0</v>
      </c>
      <c r="Q27" s="496">
        <f>0</f>
        <v>0</v>
      </c>
    </row>
    <row r="28">
      <c r="A28" s="511" t="s">
        <v>474</v>
      </c>
      <c r="B28" s="511" t="s">
        <v>475</v>
      </c>
      <c r="C28" s="494" t="s">
        <v>436</v>
      </c>
      <c r="D28" s="511" t="s">
        <v>425</v>
      </c>
      <c r="E28" s="511" t="s">
        <v>426</v>
      </c>
      <c r="F28" s="511">
        <v>0</v>
      </c>
      <c r="G28" s="511" t="s">
        <v>476</v>
      </c>
      <c r="H28" s="496">
        <f>0</f>
        <v>0</v>
      </c>
      <c r="I28" s="496">
        <f>0</f>
        <v>0</v>
      </c>
      <c r="J28" s="496">
        <f>0</f>
        <v>0</v>
      </c>
      <c r="K28" s="496">
        <f>0</f>
        <v>0</v>
      </c>
      <c r="L28" s="496">
        <f>0</f>
        <v>0</v>
      </c>
      <c r="M28" s="500">
        <f>0</f>
        <v>0</v>
      </c>
      <c r="N28" s="496">
        <f>0</f>
        <v>0</v>
      </c>
      <c r="O28" s="496">
        <f>0</f>
        <v>0</v>
      </c>
      <c r="P28" s="496">
        <f>0</f>
        <v>0</v>
      </c>
      <c r="Q28" s="496">
        <f>0</f>
        <v>0</v>
      </c>
    </row>
    <row r="29">
      <c r="A29" s="511" t="s">
        <v>477</v>
      </c>
      <c r="B29" s="511" t="s">
        <v>478</v>
      </c>
      <c r="C29" s="494" t="s">
        <v>436</v>
      </c>
      <c r="D29" s="511" t="s">
        <v>425</v>
      </c>
      <c r="E29" s="511" t="s">
        <v>426</v>
      </c>
      <c r="F29" s="511">
        <v>0</v>
      </c>
      <c r="G29" s="511" t="s">
        <v>479</v>
      </c>
      <c r="H29" s="496">
        <f>0</f>
        <v>0</v>
      </c>
      <c r="I29" s="496">
        <f>0</f>
        <v>0</v>
      </c>
      <c r="J29" s="496">
        <f>0</f>
        <v>0</v>
      </c>
      <c r="K29" s="496">
        <f>0</f>
        <v>0</v>
      </c>
      <c r="L29" s="496">
        <f>0</f>
        <v>0</v>
      </c>
      <c r="M29" s="500">
        <f>0</f>
        <v>0</v>
      </c>
      <c r="N29" s="496">
        <f>0</f>
        <v>0</v>
      </c>
      <c r="O29" s="496">
        <f>0</f>
        <v>0</v>
      </c>
      <c r="P29" s="496">
        <f>0</f>
        <v>0</v>
      </c>
      <c r="Q29" s="496">
        <f>0</f>
        <v>0</v>
      </c>
    </row>
  </sheetData>
</worksheet>
</file>

<file path=xl/worksheets/sheet6.xml><?xml version="1.0" encoding="utf-8"?>
<worksheet xmlns="http://schemas.openxmlformats.org/spreadsheetml/2006/main" xmlns:r="http://schemas.openxmlformats.org/officeDocument/2006/relationships">
  <dimension ref="A1:M25"/>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509" t="s">
        <v>0</v>
      </c>
      <c r="B1" s="505"/>
      <c r="C1" s="505"/>
      <c r="D1" s="505"/>
      <c r="E1" s="505"/>
      <c r="F1" s="505"/>
      <c r="G1" s="505"/>
      <c r="H1" s="505"/>
      <c r="I1" s="505"/>
      <c r="J1" s="505"/>
      <c r="K1" s="505"/>
      <c r="L1" s="505"/>
      <c r="M1" s="505"/>
    </row>
    <row r="2">
      <c r="A2" s="505" t="s">
        <v>480</v>
      </c>
      <c r="B2" s="505"/>
      <c r="C2" s="505"/>
      <c r="D2" s="505"/>
      <c r="E2" s="505"/>
      <c r="F2" s="505"/>
      <c r="G2" s="505"/>
      <c r="H2" s="505"/>
      <c r="I2" s="505"/>
      <c r="J2" s="505"/>
      <c r="K2" s="505"/>
      <c r="L2" s="505"/>
      <c r="M2" s="505"/>
    </row>
    <row r="3">
      <c r="A3" s="505" t="s">
        <v>481</v>
      </c>
      <c r="B3" s="505"/>
      <c r="C3" s="505"/>
      <c r="D3" s="505"/>
      <c r="E3" s="505"/>
      <c r="F3" s="505"/>
      <c r="G3" s="505"/>
      <c r="H3" s="505"/>
      <c r="I3" s="505"/>
      <c r="J3" s="505"/>
      <c r="K3" s="505"/>
      <c r="L3" s="505"/>
      <c r="M3" s="505"/>
    </row>
    <row r="4">
      <c r="A4" s="507" t="s">
        <v>482</v>
      </c>
      <c r="B4" s="507" t="s">
        <v>483</v>
      </c>
      <c r="C4" s="507" t="s">
        <v>484</v>
      </c>
      <c r="D4" s="507" t="s">
        <v>485</v>
      </c>
      <c r="E4" s="507" t="s">
        <v>486</v>
      </c>
      <c r="F4" s="507" t="s">
        <v>487</v>
      </c>
      <c r="G4" s="507" t="s">
        <v>488</v>
      </c>
      <c r="H4" s="507" t="s">
        <v>489</v>
      </c>
      <c r="I4" s="507" t="s">
        <v>490</v>
      </c>
      <c r="J4" s="507" t="s">
        <v>491</v>
      </c>
      <c r="K4" s="507" t="s">
        <v>417</v>
      </c>
      <c r="L4" s="507" t="s">
        <v>492</v>
      </c>
      <c r="M4" s="507" t="s">
        <v>421</v>
      </c>
    </row>
    <row r="5">
      <c r="A5" s="505" t="s">
        <v>493</v>
      </c>
      <c r="B5" s="505" t="s">
        <v>494</v>
      </c>
      <c r="C5" s="505" t="s">
        <v>495</v>
      </c>
      <c r="D5" s="505"/>
      <c r="E5" s="505"/>
      <c r="F5" s="505"/>
      <c r="G5" s="505"/>
      <c r="H5" s="505" t="s">
        <v>496</v>
      </c>
      <c r="I5" s="505" t="s">
        <v>497</v>
      </c>
      <c r="J5" s="505" t="s">
        <v>382</v>
      </c>
      <c r="K5" s="508" t="s">
        <v>164</v>
      </c>
      <c r="L5" s="505" t="s">
        <v>160</v>
      </c>
      <c r="M5" s="505" t="s">
        <v>498</v>
      </c>
    </row>
    <row r="6">
      <c r="A6" s="505" t="s">
        <v>499</v>
      </c>
      <c r="B6" s="505" t="s">
        <v>500</v>
      </c>
      <c r="C6" s="505" t="s">
        <v>495</v>
      </c>
      <c r="D6" s="505" t="s">
        <v>501</v>
      </c>
      <c r="E6" s="505"/>
      <c r="F6" s="505"/>
      <c r="G6" s="505" t="s">
        <v>159</v>
      </c>
      <c r="H6" s="505" t="s">
        <v>502</v>
      </c>
      <c r="I6" s="505" t="s">
        <v>159</v>
      </c>
      <c r="J6" s="505" t="s">
        <v>382</v>
      </c>
      <c r="K6" s="508" t="s">
        <v>164</v>
      </c>
      <c r="L6" s="505" t="s">
        <v>160</v>
      </c>
      <c r="M6" s="505" t="s">
        <v>503</v>
      </c>
    </row>
    <row r="7">
      <c r="A7" s="505" t="s">
        <v>504</v>
      </c>
      <c r="B7" s="505" t="s">
        <v>500</v>
      </c>
      <c r="C7" s="505" t="s">
        <v>495</v>
      </c>
      <c r="D7" s="505" t="s">
        <v>505</v>
      </c>
      <c r="E7" s="505"/>
      <c r="F7" s="505"/>
      <c r="G7" s="505" t="s">
        <v>159</v>
      </c>
      <c r="H7" s="505" t="s">
        <v>502</v>
      </c>
      <c r="I7" s="505" t="s">
        <v>159</v>
      </c>
      <c r="J7" s="505" t="s">
        <v>382</v>
      </c>
      <c r="K7" s="508" t="s">
        <v>164</v>
      </c>
      <c r="L7" s="505" t="s">
        <v>160</v>
      </c>
      <c r="M7" s="505" t="s">
        <v>506</v>
      </c>
    </row>
    <row r="8">
      <c r="A8" s="505" t="s">
        <v>507</v>
      </c>
      <c r="B8" s="505" t="s">
        <v>500</v>
      </c>
      <c r="C8" s="505" t="s">
        <v>495</v>
      </c>
      <c r="D8" s="505" t="s">
        <v>157</v>
      </c>
      <c r="E8" s="505" t="s">
        <v>156</v>
      </c>
      <c r="F8" s="505"/>
      <c r="G8" s="505" t="s">
        <v>159</v>
      </c>
      <c r="H8" s="505" t="s">
        <v>502</v>
      </c>
      <c r="I8" s="505" t="s">
        <v>508</v>
      </c>
      <c r="J8" s="505" t="s">
        <v>509</v>
      </c>
      <c r="K8" s="508" t="s">
        <v>164</v>
      </c>
      <c r="L8" s="505" t="s">
        <v>510</v>
      </c>
      <c r="M8" s="505" t="s">
        <v>511</v>
      </c>
    </row>
    <row r="9">
      <c r="A9" s="505" t="s">
        <v>512</v>
      </c>
      <c r="B9" s="505" t="s">
        <v>500</v>
      </c>
      <c r="C9" s="505" t="s">
        <v>495</v>
      </c>
      <c r="D9" s="505" t="s">
        <v>265</v>
      </c>
      <c r="E9" s="505" t="s">
        <v>264</v>
      </c>
      <c r="F9" s="505"/>
      <c r="G9" s="505" t="s">
        <v>159</v>
      </c>
      <c r="H9" s="505" t="s">
        <v>502</v>
      </c>
      <c r="I9" s="505" t="s">
        <v>508</v>
      </c>
      <c r="J9" s="505" t="s">
        <v>513</v>
      </c>
      <c r="K9" s="508" t="s">
        <v>164</v>
      </c>
      <c r="L9" s="505" t="s">
        <v>514</v>
      </c>
      <c r="M9" s="505" t="s">
        <v>515</v>
      </c>
    </row>
    <row r="10">
      <c r="A10" s="505" t="s">
        <v>516</v>
      </c>
      <c r="B10" s="505" t="s">
        <v>500</v>
      </c>
      <c r="C10" s="505" t="s">
        <v>495</v>
      </c>
      <c r="D10" s="505" t="s">
        <v>306</v>
      </c>
      <c r="E10" s="505" t="s">
        <v>305</v>
      </c>
      <c r="F10" s="505"/>
      <c r="G10" s="505" t="s">
        <v>159</v>
      </c>
      <c r="H10" s="505" t="s">
        <v>502</v>
      </c>
      <c r="I10" s="505" t="s">
        <v>508</v>
      </c>
      <c r="J10" s="505" t="s">
        <v>517</v>
      </c>
      <c r="K10" s="508" t="s">
        <v>164</v>
      </c>
      <c r="L10" s="505" t="s">
        <v>518</v>
      </c>
      <c r="M10" s="505" t="s">
        <v>519</v>
      </c>
    </row>
    <row r="11">
      <c r="A11" s="505" t="s">
        <v>520</v>
      </c>
      <c r="B11" s="505" t="s">
        <v>500</v>
      </c>
      <c r="C11" s="505" t="s">
        <v>495</v>
      </c>
      <c r="D11" s="505" t="s">
        <v>349</v>
      </c>
      <c r="E11" s="505" t="s">
        <v>348</v>
      </c>
      <c r="F11" s="505"/>
      <c r="G11" s="505" t="s">
        <v>159</v>
      </c>
      <c r="H11" s="505" t="s">
        <v>502</v>
      </c>
      <c r="I11" s="505" t="s">
        <v>508</v>
      </c>
      <c r="J11" s="505" t="s">
        <v>521</v>
      </c>
      <c r="K11" s="508" t="s">
        <v>164</v>
      </c>
      <c r="L11" s="505" t="s">
        <v>522</v>
      </c>
      <c r="M11" s="505" t="s">
        <v>523</v>
      </c>
    </row>
    <row r="12">
      <c r="A12" s="505" t="s">
        <v>524</v>
      </c>
      <c r="B12" s="505" t="s">
        <v>525</v>
      </c>
      <c r="C12" s="505" t="s">
        <v>495</v>
      </c>
      <c r="D12" s="505" t="s">
        <v>157</v>
      </c>
      <c r="E12" s="505" t="s">
        <v>156</v>
      </c>
      <c r="F12" s="505" t="s">
        <v>160</v>
      </c>
      <c r="G12" s="505" t="s">
        <v>159</v>
      </c>
      <c r="H12" s="505" t="s">
        <v>526</v>
      </c>
      <c r="I12" s="505" t="s">
        <v>216</v>
      </c>
      <c r="J12" s="505" t="s">
        <v>509</v>
      </c>
      <c r="K12" s="508" t="s">
        <v>164</v>
      </c>
      <c r="L12" s="505" t="s">
        <v>527</v>
      </c>
      <c r="M12" s="505"/>
    </row>
    <row r="13">
      <c r="A13" s="505" t="s">
        <v>528</v>
      </c>
      <c r="B13" s="505" t="s">
        <v>525</v>
      </c>
      <c r="C13" s="505" t="s">
        <v>495</v>
      </c>
      <c r="D13" s="505" t="s">
        <v>157</v>
      </c>
      <c r="E13" s="505" t="s">
        <v>156</v>
      </c>
      <c r="F13" s="505" t="s">
        <v>172</v>
      </c>
      <c r="G13" s="505" t="s">
        <v>529</v>
      </c>
      <c r="H13" s="505" t="s">
        <v>526</v>
      </c>
      <c r="I13" s="505" t="s">
        <v>173</v>
      </c>
      <c r="J13" s="505" t="s">
        <v>509</v>
      </c>
      <c r="K13" s="508" t="s">
        <v>164</v>
      </c>
      <c r="L13" s="505" t="s">
        <v>530</v>
      </c>
      <c r="M13" s="505"/>
    </row>
    <row r="14">
      <c r="A14" s="505" t="s">
        <v>531</v>
      </c>
      <c r="B14" s="505" t="s">
        <v>525</v>
      </c>
      <c r="C14" s="505" t="s">
        <v>495</v>
      </c>
      <c r="D14" s="505" t="s">
        <v>157</v>
      </c>
      <c r="E14" s="505" t="s">
        <v>156</v>
      </c>
      <c r="F14" s="505" t="s">
        <v>186</v>
      </c>
      <c r="G14" s="505" t="s">
        <v>159</v>
      </c>
      <c r="H14" s="505" t="s">
        <v>526</v>
      </c>
      <c r="I14" s="505" t="s">
        <v>187</v>
      </c>
      <c r="J14" s="505" t="s">
        <v>509</v>
      </c>
      <c r="K14" s="508" t="s">
        <v>164</v>
      </c>
      <c r="L14" s="505" t="s">
        <v>532</v>
      </c>
      <c r="M14" s="505"/>
    </row>
    <row r="15">
      <c r="A15" s="505" t="s">
        <v>533</v>
      </c>
      <c r="B15" s="505" t="s">
        <v>525</v>
      </c>
      <c r="C15" s="505" t="s">
        <v>495</v>
      </c>
      <c r="D15" s="505" t="s">
        <v>265</v>
      </c>
      <c r="E15" s="505" t="s">
        <v>264</v>
      </c>
      <c r="F15" s="505" t="s">
        <v>160</v>
      </c>
      <c r="G15" s="505" t="s">
        <v>159</v>
      </c>
      <c r="H15" s="505" t="s">
        <v>526</v>
      </c>
      <c r="I15" s="505" t="s">
        <v>216</v>
      </c>
      <c r="J15" s="505" t="s">
        <v>513</v>
      </c>
      <c r="K15" s="508" t="s">
        <v>164</v>
      </c>
      <c r="L15" s="505" t="s">
        <v>534</v>
      </c>
      <c r="M15" s="505"/>
    </row>
    <row r="16">
      <c r="A16" s="505" t="s">
        <v>535</v>
      </c>
      <c r="B16" s="505" t="s">
        <v>525</v>
      </c>
      <c r="C16" s="505" t="s">
        <v>495</v>
      </c>
      <c r="D16" s="505" t="s">
        <v>265</v>
      </c>
      <c r="E16" s="505" t="s">
        <v>264</v>
      </c>
      <c r="F16" s="505" t="s">
        <v>172</v>
      </c>
      <c r="G16" s="505" t="s">
        <v>529</v>
      </c>
      <c r="H16" s="505" t="s">
        <v>526</v>
      </c>
      <c r="I16" s="505" t="s">
        <v>173</v>
      </c>
      <c r="J16" s="505" t="s">
        <v>513</v>
      </c>
      <c r="K16" s="508" t="s">
        <v>164</v>
      </c>
      <c r="L16" s="505" t="s">
        <v>536</v>
      </c>
      <c r="M16" s="505"/>
    </row>
    <row r="17">
      <c r="A17" s="505" t="s">
        <v>537</v>
      </c>
      <c r="B17" s="505" t="s">
        <v>525</v>
      </c>
      <c r="C17" s="505" t="s">
        <v>495</v>
      </c>
      <c r="D17" s="505" t="s">
        <v>265</v>
      </c>
      <c r="E17" s="505" t="s">
        <v>264</v>
      </c>
      <c r="F17" s="505" t="s">
        <v>186</v>
      </c>
      <c r="G17" s="505" t="s">
        <v>159</v>
      </c>
      <c r="H17" s="505" t="s">
        <v>526</v>
      </c>
      <c r="I17" s="505" t="s">
        <v>187</v>
      </c>
      <c r="J17" s="505" t="s">
        <v>513</v>
      </c>
      <c r="K17" s="508" t="s">
        <v>164</v>
      </c>
      <c r="L17" s="505" t="s">
        <v>538</v>
      </c>
      <c r="M17" s="505"/>
    </row>
    <row r="18">
      <c r="A18" s="505" t="s">
        <v>539</v>
      </c>
      <c r="B18" s="505" t="s">
        <v>525</v>
      </c>
      <c r="C18" s="505" t="s">
        <v>495</v>
      </c>
      <c r="D18" s="505" t="s">
        <v>306</v>
      </c>
      <c r="E18" s="505" t="s">
        <v>305</v>
      </c>
      <c r="F18" s="505" t="s">
        <v>160</v>
      </c>
      <c r="G18" s="505" t="s">
        <v>159</v>
      </c>
      <c r="H18" s="505" t="s">
        <v>526</v>
      </c>
      <c r="I18" s="505" t="s">
        <v>216</v>
      </c>
      <c r="J18" s="505" t="s">
        <v>517</v>
      </c>
      <c r="K18" s="508" t="s">
        <v>164</v>
      </c>
      <c r="L18" s="505" t="s">
        <v>534</v>
      </c>
      <c r="M18" s="505"/>
    </row>
    <row r="19">
      <c r="A19" s="505" t="s">
        <v>540</v>
      </c>
      <c r="B19" s="505" t="s">
        <v>525</v>
      </c>
      <c r="C19" s="505" t="s">
        <v>495</v>
      </c>
      <c r="D19" s="505" t="s">
        <v>306</v>
      </c>
      <c r="E19" s="505" t="s">
        <v>305</v>
      </c>
      <c r="F19" s="505" t="s">
        <v>172</v>
      </c>
      <c r="G19" s="505" t="s">
        <v>529</v>
      </c>
      <c r="H19" s="505" t="s">
        <v>526</v>
      </c>
      <c r="I19" s="505" t="s">
        <v>173</v>
      </c>
      <c r="J19" s="505" t="s">
        <v>517</v>
      </c>
      <c r="K19" s="508" t="s">
        <v>164</v>
      </c>
      <c r="L19" s="505" t="s">
        <v>530</v>
      </c>
      <c r="M19" s="505"/>
    </row>
    <row r="20">
      <c r="A20" s="505" t="s">
        <v>541</v>
      </c>
      <c r="B20" s="505" t="s">
        <v>525</v>
      </c>
      <c r="C20" s="505" t="s">
        <v>495</v>
      </c>
      <c r="D20" s="505" t="s">
        <v>306</v>
      </c>
      <c r="E20" s="505" t="s">
        <v>305</v>
      </c>
      <c r="F20" s="505" t="s">
        <v>186</v>
      </c>
      <c r="G20" s="505" t="s">
        <v>159</v>
      </c>
      <c r="H20" s="505" t="s">
        <v>526</v>
      </c>
      <c r="I20" s="505" t="s">
        <v>187</v>
      </c>
      <c r="J20" s="505" t="s">
        <v>517</v>
      </c>
      <c r="K20" s="508" t="s">
        <v>164</v>
      </c>
      <c r="L20" s="505" t="s">
        <v>542</v>
      </c>
      <c r="M20" s="505"/>
    </row>
    <row r="21">
      <c r="A21" s="505" t="s">
        <v>543</v>
      </c>
      <c r="B21" s="505" t="s">
        <v>525</v>
      </c>
      <c r="C21" s="505" t="s">
        <v>495</v>
      </c>
      <c r="D21" s="505" t="s">
        <v>349</v>
      </c>
      <c r="E21" s="505" t="s">
        <v>348</v>
      </c>
      <c r="F21" s="505" t="s">
        <v>160</v>
      </c>
      <c r="G21" s="505" t="s">
        <v>159</v>
      </c>
      <c r="H21" s="505" t="s">
        <v>526</v>
      </c>
      <c r="I21" s="505" t="s">
        <v>216</v>
      </c>
      <c r="J21" s="505" t="s">
        <v>521</v>
      </c>
      <c r="K21" s="508" t="s">
        <v>164</v>
      </c>
      <c r="L21" s="505" t="s">
        <v>544</v>
      </c>
      <c r="M21" s="505"/>
    </row>
    <row r="22">
      <c r="A22" s="505" t="s">
        <v>545</v>
      </c>
      <c r="B22" s="505" t="s">
        <v>525</v>
      </c>
      <c r="C22" s="505" t="s">
        <v>495</v>
      </c>
      <c r="D22" s="505" t="s">
        <v>349</v>
      </c>
      <c r="E22" s="505" t="s">
        <v>348</v>
      </c>
      <c r="F22" s="505" t="s">
        <v>172</v>
      </c>
      <c r="G22" s="505" t="s">
        <v>529</v>
      </c>
      <c r="H22" s="505" t="s">
        <v>526</v>
      </c>
      <c r="I22" s="505" t="s">
        <v>173</v>
      </c>
      <c r="J22" s="505" t="s">
        <v>521</v>
      </c>
      <c r="K22" s="508" t="s">
        <v>164</v>
      </c>
      <c r="L22" s="505" t="s">
        <v>530</v>
      </c>
      <c r="M22" s="505"/>
    </row>
    <row r="23">
      <c r="A23" s="505" t="s">
        <v>546</v>
      </c>
      <c r="B23" s="505" t="s">
        <v>525</v>
      </c>
      <c r="C23" s="505" t="s">
        <v>495</v>
      </c>
      <c r="D23" s="505" t="s">
        <v>349</v>
      </c>
      <c r="E23" s="505" t="s">
        <v>348</v>
      </c>
      <c r="F23" s="505" t="s">
        <v>186</v>
      </c>
      <c r="G23" s="505" t="s">
        <v>159</v>
      </c>
      <c r="H23" s="505" t="s">
        <v>526</v>
      </c>
      <c r="I23" s="505" t="s">
        <v>187</v>
      </c>
      <c r="J23" s="505" t="s">
        <v>521</v>
      </c>
      <c r="K23" s="508" t="s">
        <v>164</v>
      </c>
      <c r="L23" s="505" t="s">
        <v>547</v>
      </c>
      <c r="M23" s="505"/>
    </row>
    <row r="24">
      <c r="A24" s="505" t="s">
        <v>548</v>
      </c>
      <c r="B24" s="505" t="s">
        <v>549</v>
      </c>
      <c r="C24" s="505" t="s">
        <v>495</v>
      </c>
      <c r="D24" s="505"/>
      <c r="E24" s="505"/>
      <c r="F24" s="505"/>
      <c r="G24" s="505"/>
      <c r="H24" s="505" t="s">
        <v>550</v>
      </c>
      <c r="I24" s="505" t="s">
        <v>551</v>
      </c>
      <c r="J24" s="505" t="s">
        <v>382</v>
      </c>
      <c r="K24" s="507" t="s">
        <v>436</v>
      </c>
      <c r="L24" s="505" t="s">
        <v>552</v>
      </c>
      <c r="M24" s="505" t="s">
        <v>553</v>
      </c>
    </row>
    <row r="25">
      <c r="A25" s="505" t="s">
        <v>554</v>
      </c>
      <c r="B25" s="505" t="s">
        <v>549</v>
      </c>
      <c r="C25" s="505" t="s">
        <v>495</v>
      </c>
      <c r="D25" s="505"/>
      <c r="E25" s="505"/>
      <c r="F25" s="505"/>
      <c r="G25" s="505"/>
      <c r="H25" s="505" t="s">
        <v>550</v>
      </c>
      <c r="I25" s="505" t="s">
        <v>555</v>
      </c>
      <c r="J25" s="505" t="s">
        <v>382</v>
      </c>
      <c r="K25" s="507" t="s">
        <v>436</v>
      </c>
      <c r="L25" s="505" t="s">
        <v>556</v>
      </c>
      <c r="M25" s="505" t="s">
        <v>557</v>
      </c>
    </row>
  </sheetData>
</worksheet>
</file>

<file path=xl/worksheets/sheet7.xml><?xml version="1.0" encoding="utf-8"?>
<worksheet xmlns="http://schemas.openxmlformats.org/spreadsheetml/2006/main" xmlns:r="http://schemas.openxmlformats.org/officeDocument/2006/relationships">
  <dimension ref="A1:H33"/>
  <sheetViews>
    <sheetView showGridLines="0" workbookViewId="0"/>
  </sheetViews>
  <sheetFormatPr defaultColWidth="8.375" defaultRowHeight="15"/>
  <cols>
    <col min="1" max="4" width="16.875" customWidth="1"/>
    <col min="5" max="5" width="59.375" customWidth="1"/>
    <col min="6" max="8" width="16.875" customWidth="1"/>
  </cols>
  <sheetData>
    <row r="1">
      <c r="A1" s="509" t="s">
        <v>0</v>
      </c>
      <c r="B1" s="505"/>
      <c r="C1" s="505"/>
      <c r="D1" s="505"/>
      <c r="E1" s="505"/>
      <c r="F1" s="505"/>
      <c r="G1" s="505"/>
      <c r="H1" s="505"/>
    </row>
    <row r="2">
      <c r="A2" s="505" t="s">
        <v>558</v>
      </c>
      <c r="B2" s="505"/>
      <c r="C2" s="505"/>
      <c r="D2" s="505"/>
      <c r="E2" s="505"/>
      <c r="F2" s="505"/>
      <c r="G2" s="505"/>
      <c r="H2" s="505"/>
    </row>
    <row r="3">
      <c r="A3" s="507" t="s">
        <v>559</v>
      </c>
      <c r="B3" s="507"/>
      <c r="C3" s="507"/>
      <c r="D3" s="507"/>
      <c r="E3" s="507"/>
      <c r="F3" s="507"/>
      <c r="G3" s="507"/>
      <c r="H3" s="507"/>
    </row>
    <row r="4">
      <c r="A4" s="505"/>
      <c r="B4" s="505"/>
      <c r="C4" s="505"/>
      <c r="D4" s="505"/>
      <c r="E4" s="505"/>
      <c r="F4" s="505"/>
      <c r="G4" s="505"/>
      <c r="H4" s="505"/>
    </row>
    <row r="5">
      <c r="A5" s="505"/>
      <c r="B5" s="505"/>
      <c r="C5" s="505"/>
      <c r="D5" s="505"/>
      <c r="E5" s="505"/>
      <c r="F5" s="505"/>
      <c r="G5" s="505"/>
      <c r="H5" s="505"/>
    </row>
    <row r="6">
      <c r="A6" s="505"/>
      <c r="B6" s="505"/>
      <c r="C6" s="505"/>
      <c r="D6" s="505"/>
      <c r="E6" s="505"/>
      <c r="F6" s="505"/>
      <c r="G6" s="505"/>
      <c r="H6" s="505"/>
    </row>
    <row r="7">
      <c r="A7" s="505"/>
      <c r="B7" s="505"/>
      <c r="C7" s="505"/>
      <c r="D7" s="505"/>
      <c r="E7" s="505"/>
      <c r="F7" s="505"/>
      <c r="G7" s="505"/>
      <c r="H7" s="505"/>
    </row>
    <row r="8">
      <c r="A8" s="505"/>
      <c r="B8" s="505"/>
      <c r="C8" s="505"/>
      <c r="D8" s="505"/>
      <c r="E8" s="505"/>
      <c r="F8" s="505"/>
      <c r="G8" s="505"/>
      <c r="H8" s="505"/>
    </row>
    <row r="9">
      <c r="A9" s="505"/>
      <c r="B9" s="505"/>
      <c r="C9" s="505"/>
      <c r="D9" s="505"/>
      <c r="E9" s="505"/>
      <c r="F9" s="505"/>
      <c r="G9" s="505"/>
      <c r="H9" s="505"/>
    </row>
    <row r="10">
      <c r="A10" s="505"/>
      <c r="B10" s="505"/>
      <c r="C10" s="505"/>
      <c r="D10" s="505"/>
      <c r="E10" s="505"/>
      <c r="F10" s="505"/>
      <c r="G10" s="505"/>
      <c r="H10" s="505"/>
    </row>
    <row r="11">
      <c r="A11" s="505"/>
      <c r="B11" s="505"/>
      <c r="C11" s="505"/>
      <c r="D11" s="505"/>
      <c r="E11" s="505"/>
      <c r="F11" s="505"/>
      <c r="G11" s="505"/>
      <c r="H11" s="505"/>
    </row>
    <row r="12">
      <c r="A12" s="505"/>
      <c r="B12" s="505"/>
      <c r="C12" s="505"/>
      <c r="D12" s="505"/>
      <c r="E12" s="505"/>
      <c r="F12" s="505"/>
      <c r="G12" s="505"/>
      <c r="H12" s="505"/>
    </row>
    <row r="13">
      <c r="A13" s="505"/>
      <c r="B13" s="505"/>
      <c r="C13" s="505"/>
      <c r="D13" s="505"/>
      <c r="E13" s="505"/>
      <c r="F13" s="505"/>
      <c r="G13" s="505"/>
      <c r="H13" s="505"/>
    </row>
    <row r="14">
      <c r="A14" s="505"/>
      <c r="B14" s="505"/>
      <c r="C14" s="505"/>
      <c r="D14" s="505"/>
      <c r="E14" s="505"/>
      <c r="F14" s="505"/>
      <c r="G14" s="505"/>
      <c r="H14" s="505"/>
    </row>
    <row r="15">
      <c r="A15" s="505"/>
      <c r="B15" s="505"/>
      <c r="C15" s="505"/>
      <c r="D15" s="505"/>
      <c r="E15" s="505"/>
      <c r="F15" s="505"/>
      <c r="G15" s="505"/>
      <c r="H15" s="505"/>
    </row>
    <row r="16">
      <c r="A16" s="505"/>
      <c r="B16" s="505"/>
      <c r="C16" s="505"/>
      <c r="D16" s="505"/>
      <c r="E16" s="505"/>
      <c r="F16" s="505"/>
      <c r="G16" s="505"/>
      <c r="H16" s="505"/>
    </row>
    <row r="17">
      <c r="A17" s="505"/>
      <c r="B17" s="505"/>
      <c r="C17" s="505"/>
      <c r="D17" s="505"/>
      <c r="E17" s="505"/>
      <c r="F17" s="505"/>
      <c r="G17" s="505"/>
      <c r="H17" s="505"/>
    </row>
    <row r="18">
      <c r="A18" s="505"/>
      <c r="B18" s="506"/>
      <c r="C18" s="505"/>
      <c r="D18" s="505"/>
      <c r="E18" s="505"/>
      <c r="F18" s="505"/>
      <c r="G18" s="505"/>
      <c r="H18" s="505"/>
    </row>
    <row r="19">
      <c r="A19" s="505"/>
      <c r="B19" s="506"/>
      <c r="C19" s="505"/>
      <c r="D19" s="505"/>
      <c r="E19" s="505"/>
      <c r="F19" s="505"/>
      <c r="G19" s="505"/>
      <c r="H19" s="505"/>
    </row>
    <row r="20">
      <c r="A20" s="505"/>
      <c r="B20" s="506"/>
      <c r="C20" s="505"/>
      <c r="D20" s="505"/>
      <c r="E20" s="505"/>
      <c r="F20" s="505"/>
      <c r="G20" s="505"/>
      <c r="H20" s="505"/>
    </row>
    <row r="21">
      <c r="A21" s="505"/>
      <c r="B21" s="506"/>
      <c r="C21" s="505"/>
      <c r="D21" s="505"/>
      <c r="E21" s="505"/>
      <c r="F21" s="505"/>
      <c r="G21" s="505"/>
      <c r="H21" s="505"/>
    </row>
    <row r="22">
      <c r="A22" s="505"/>
      <c r="B22" s="506"/>
      <c r="C22" s="505"/>
      <c r="D22" s="505"/>
      <c r="E22" s="505"/>
      <c r="F22" s="505"/>
      <c r="G22" s="505"/>
      <c r="H22" s="505"/>
    </row>
    <row r="23">
      <c r="A23" s="505"/>
      <c r="B23" s="506"/>
      <c r="C23" s="505"/>
      <c r="D23" s="505"/>
      <c r="E23" s="505"/>
      <c r="F23" s="505"/>
      <c r="G23" s="505"/>
      <c r="H23" s="505"/>
    </row>
    <row r="24">
      <c r="A24" s="505"/>
      <c r="B24" s="506"/>
      <c r="C24" s="505"/>
      <c r="D24" s="505"/>
      <c r="E24" s="505"/>
      <c r="F24" s="505"/>
      <c r="G24" s="505"/>
      <c r="H24" s="505"/>
    </row>
    <row r="25">
      <c r="A25" s="505"/>
      <c r="B25" s="506"/>
      <c r="C25" s="505"/>
      <c r="D25" s="505"/>
      <c r="E25" s="505"/>
      <c r="F25" s="505"/>
      <c r="G25" s="505"/>
      <c r="H25" s="505"/>
    </row>
    <row r="26">
      <c r="A26" s="505"/>
      <c r="B26" s="506"/>
      <c r="C26" s="505"/>
      <c r="D26" s="505"/>
      <c r="E26" s="505"/>
      <c r="F26" s="505"/>
      <c r="G26" s="505"/>
      <c r="H26" s="505"/>
    </row>
    <row r="27">
      <c r="A27" s="505"/>
      <c r="B27" s="506"/>
      <c r="C27" s="505"/>
      <c r="D27" s="505"/>
      <c r="E27" s="505"/>
      <c r="F27" s="505"/>
      <c r="G27" s="505"/>
      <c r="H27" s="505"/>
    </row>
    <row r="28">
      <c r="A28" s="505"/>
      <c r="B28" s="506"/>
      <c r="C28" s="505"/>
      <c r="D28" s="505"/>
      <c r="E28" s="505"/>
      <c r="F28" s="505"/>
      <c r="G28" s="505"/>
      <c r="H28" s="505"/>
    </row>
    <row r="29">
      <c r="A29" s="505"/>
      <c r="B29" s="506"/>
      <c r="C29" s="505"/>
      <c r="D29" s="505"/>
      <c r="E29" s="505"/>
      <c r="F29" s="505"/>
      <c r="G29" s="505"/>
      <c r="H29" s="505"/>
    </row>
    <row r="30">
      <c r="A30" s="505"/>
      <c r="B30" s="506"/>
      <c r="C30" s="505"/>
      <c r="D30" s="505"/>
      <c r="E30" s="505"/>
      <c r="F30" s="505"/>
      <c r="G30" s="505"/>
      <c r="H30" s="505"/>
    </row>
    <row r="31">
      <c r="A31" s="505"/>
      <c r="B31" s="506"/>
      <c r="C31" s="505"/>
      <c r="D31" s="505"/>
      <c r="E31" s="505"/>
      <c r="F31" s="505"/>
      <c r="G31" s="505"/>
      <c r="H31" s="505"/>
    </row>
    <row r="32">
      <c r="A32" s="505"/>
      <c r="B32" s="506"/>
      <c r="C32" s="505"/>
      <c r="D32" s="505"/>
      <c r="E32" s="505"/>
      <c r="F32" s="505"/>
      <c r="G32" s="505"/>
      <c r="H32" s="505"/>
    </row>
    <row r="33">
      <c r="A33" s="505"/>
      <c r="B33" s="505"/>
      <c r="C33" s="505"/>
      <c r="D33" s="505"/>
      <c r="E33" s="505"/>
      <c r="F33" s="505"/>
      <c r="G33" s="505"/>
      <c r="H33" s="505"/>
    </row>
  </sheetData>
</worksheet>
</file>

<file path=xl/worksheets/sheet8.xml><?xml version="1.0" encoding="utf-8"?>
<worksheet xmlns="http://schemas.openxmlformats.org/spreadsheetml/2006/main" xmlns:r="http://schemas.openxmlformats.org/officeDocument/2006/relationships">
  <dimension ref="A1:H89"/>
  <sheetViews>
    <sheetView showGridLines="0" workbookViewId="0"/>
  </sheetViews>
  <sheetFormatPr defaultColWidth="8.375" defaultRowHeight="15"/>
  <cols>
    <col min="1" max="1" width="56.875" customWidth="1"/>
    <col min="2" max="8" width="15.625" customWidth="1"/>
  </cols>
  <sheetData>
    <row r="1">
      <c r="A1" s="514" t="s">
        <v>0</v>
      </c>
      <c r="B1" s="510"/>
      <c r="C1" s="510"/>
      <c r="D1" s="510"/>
      <c r="E1" s="510"/>
      <c r="F1" s="510"/>
      <c r="G1" s="510"/>
      <c r="H1" s="510"/>
    </row>
    <row r="2">
      <c r="A2" s="511" t="s">
        <v>560</v>
      </c>
    </row>
    <row r="3">
      <c r="A3" s="511" t="s">
        <v>561</v>
      </c>
    </row>
    <row r="4">
      <c r="A4" s="513"/>
      <c r="B4" s="513"/>
      <c r="C4" s="513"/>
      <c r="D4" s="513"/>
      <c r="E4" s="513"/>
      <c r="F4" s="513"/>
      <c r="G4" s="513"/>
      <c r="H4" s="513"/>
    </row>
    <row r="5">
      <c r="A5" s="514" t="s">
        <v>562</v>
      </c>
      <c r="B5" s="512"/>
      <c r="C5" s="512"/>
      <c r="D5" s="512"/>
      <c r="E5" s="512"/>
      <c r="F5" s="512"/>
      <c r="G5" s="512"/>
      <c r="H5" s="512"/>
    </row>
    <row r="6">
      <c r="A6" s="511" t="s">
        <v>563</v>
      </c>
    </row>
    <row r="7">
      <c r="A7" s="511" t="s">
        <v>564</v>
      </c>
    </row>
    <row r="8">
      <c r="A8" s="511" t="s">
        <v>565</v>
      </c>
    </row>
    <row r="9">
      <c r="A9" s="511" t="s">
        <v>566</v>
      </c>
    </row>
    <row r="10">
      <c r="A10" s="511" t="s">
        <v>567</v>
      </c>
    </row>
    <row r="11">
      <c r="A11" s="511" t="s">
        <v>568</v>
      </c>
    </row>
    <row r="12">
      <c r="A12" s="511" t="s">
        <v>569</v>
      </c>
    </row>
    <row r="13">
      <c r="A13" s="511" t="s">
        <v>570</v>
      </c>
    </row>
    <row r="14">
      <c r="A14" s="511" t="s">
        <v>571</v>
      </c>
    </row>
    <row r="15">
      <c r="A15" s="511" t="s">
        <v>572</v>
      </c>
    </row>
    <row r="16">
      <c r="A16" s="511" t="s">
        <v>573</v>
      </c>
    </row>
    <row r="17">
      <c r="A17" s="511" t="s">
        <v>574</v>
      </c>
    </row>
    <row r="18">
      <c r="A18" s="511" t="s">
        <v>575</v>
      </c>
    </row>
    <row r="19">
      <c r="A19" s="511" t="s">
        <v>576</v>
      </c>
    </row>
    <row r="20">
      <c r="A20" s="511" t="s">
        <v>577</v>
      </c>
    </row>
    <row r="21">
      <c r="A21" s="511" t="s">
        <v>578</v>
      </c>
    </row>
    <row r="22">
      <c r="A22" s="511" t="s">
        <v>579</v>
      </c>
    </row>
    <row r="23">
      <c r="A23" s="511" t="s">
        <v>580</v>
      </c>
    </row>
    <row r="24">
      <c r="A24" s="511" t="s">
        <v>581</v>
      </c>
    </row>
    <row r="25">
      <c r="A25" s="511" t="s">
        <v>582</v>
      </c>
    </row>
    <row r="26">
      <c r="A26" s="511" t="s">
        <v>583</v>
      </c>
    </row>
    <row r="27">
      <c r="A27" s="511" t="s">
        <v>584</v>
      </c>
    </row>
    <row r="28">
      <c r="A28" s="511" t="s">
        <v>585</v>
      </c>
    </row>
    <row r="29">
      <c r="A29" s="511" t="s">
        <v>586</v>
      </c>
    </row>
    <row r="30">
      <c r="A30" s="511" t="s">
        <v>587</v>
      </c>
    </row>
    <row r="31">
      <c r="A31" s="511" t="s">
        <v>588</v>
      </c>
    </row>
    <row r="32">
      <c r="A32" s="511" t="s">
        <v>589</v>
      </c>
    </row>
    <row r="33">
      <c r="A33" s="511" t="s">
        <v>590</v>
      </c>
    </row>
    <row r="34">
      <c r="A34" s="511" t="s">
        <v>591</v>
      </c>
    </row>
    <row r="35">
      <c r="A35" s="511" t="s">
        <v>592</v>
      </c>
    </row>
    <row r="36">
      <c r="A36" s="511" t="s">
        <v>593</v>
      </c>
    </row>
    <row r="37">
      <c r="A37" s="511" t="s">
        <v>594</v>
      </c>
    </row>
    <row r="38">
      <c r="A38" s="511" t="s">
        <v>595</v>
      </c>
    </row>
    <row r="39">
      <c r="A39" s="511" t="s">
        <v>596</v>
      </c>
    </row>
    <row r="40">
      <c r="A40" s="511" t="s">
        <v>597</v>
      </c>
    </row>
    <row r="41">
      <c r="A41" s="511" t="s">
        <v>598</v>
      </c>
    </row>
    <row r="42">
      <c r="A42" s="511" t="s">
        <v>599</v>
      </c>
    </row>
    <row r="43">
      <c r="A43" s="511" t="s">
        <v>600</v>
      </c>
    </row>
    <row r="44">
      <c r="A44" s="511" t="s">
        <v>601</v>
      </c>
    </row>
    <row r="45">
      <c r="A45" s="511" t="s">
        <v>602</v>
      </c>
    </row>
    <row r="46">
      <c r="A46" s="511" t="s">
        <v>603</v>
      </c>
    </row>
    <row r="47">
      <c r="A47" s="511" t="s">
        <v>604</v>
      </c>
    </row>
    <row r="48">
      <c r="A48" s="511" t="s">
        <v>605</v>
      </c>
    </row>
    <row r="49">
      <c r="A49" s="511" t="s">
        <v>606</v>
      </c>
    </row>
    <row r="50">
      <c r="A50" s="511" t="s">
        <v>607</v>
      </c>
    </row>
    <row r="51">
      <c r="A51" s="511" t="s">
        <v>608</v>
      </c>
    </row>
    <row r="52">
      <c r="A52" s="511" t="s">
        <v>609</v>
      </c>
    </row>
    <row r="53">
      <c r="A53" s="511" t="s">
        <v>610</v>
      </c>
    </row>
    <row r="54">
      <c r="A54" s="511" t="s">
        <v>611</v>
      </c>
    </row>
    <row r="55">
      <c r="A55" s="511" t="s">
        <v>612</v>
      </c>
    </row>
    <row r="56">
      <c r="A56" s="511" t="s">
        <v>613</v>
      </c>
    </row>
    <row r="57">
      <c r="A57" s="511" t="s">
        <v>614</v>
      </c>
    </row>
    <row r="58">
      <c r="A58" s="511" t="s">
        <v>615</v>
      </c>
    </row>
    <row r="59">
      <c r="A59" s="511" t="s">
        <v>616</v>
      </c>
    </row>
    <row r="60">
      <c r="A60" s="511" t="s">
        <v>617</v>
      </c>
    </row>
    <row r="61">
      <c r="A61" s="511" t="s">
        <v>618</v>
      </c>
    </row>
    <row r="62">
      <c r="A62" s="511" t="s">
        <v>619</v>
      </c>
    </row>
    <row r="63">
      <c r="A63" s="511" t="s">
        <v>620</v>
      </c>
    </row>
    <row r="64">
      <c r="A64" s="511" t="s">
        <v>621</v>
      </c>
    </row>
    <row r="65">
      <c r="A65" s="511" t="s">
        <v>622</v>
      </c>
    </row>
    <row r="66">
      <c r="A66" s="511" t="s">
        <v>623</v>
      </c>
    </row>
    <row r="67">
      <c r="A67" s="511" t="s">
        <v>624</v>
      </c>
    </row>
    <row r="68">
      <c r="A68" s="511" t="s">
        <v>625</v>
      </c>
    </row>
    <row r="69">
      <c r="A69" s="511" t="s">
        <v>626</v>
      </c>
    </row>
    <row r="70">
      <c r="A70" s="511" t="s">
        <v>627</v>
      </c>
    </row>
    <row r="71">
      <c r="A71" s="511" t="s">
        <v>628</v>
      </c>
    </row>
    <row r="72">
      <c r="A72" s="511" t="s">
        <v>629</v>
      </c>
    </row>
    <row r="73">
      <c r="A73" s="511" t="s">
        <v>630</v>
      </c>
    </row>
    <row r="74">
      <c r="A74" s="511" t="s">
        <v>631</v>
      </c>
    </row>
    <row r="75">
      <c r="A75" s="511" t="s">
        <v>632</v>
      </c>
    </row>
    <row r="76">
      <c r="A76" s="511" t="s">
        <v>633</v>
      </c>
    </row>
    <row r="77">
      <c r="A77" s="511" t="s">
        <v>634</v>
      </c>
    </row>
    <row r="78">
      <c r="A78" s="511" t="s">
        <v>635</v>
      </c>
    </row>
    <row r="79">
      <c r="A79" s="511" t="s">
        <v>636</v>
      </c>
    </row>
    <row r="80">
      <c r="A80" s="511" t="s">
        <v>637</v>
      </c>
    </row>
    <row r="81">
      <c r="A81" s="511" t="s">
        <v>638</v>
      </c>
    </row>
    <row r="82">
      <c r="A82" s="511" t="s">
        <v>639</v>
      </c>
    </row>
    <row r="83">
      <c r="A83" s="511" t="s">
        <v>640</v>
      </c>
    </row>
    <row r="84">
      <c r="A84" s="511" t="s">
        <v>641</v>
      </c>
    </row>
    <row r="85">
      <c r="A85" s="511" t="s">
        <v>642</v>
      </c>
    </row>
    <row r="86">
      <c r="A86" s="511" t="s">
        <v>643</v>
      </c>
    </row>
    <row r="87">
      <c r="A87" s="511" t="s">
        <v>644</v>
      </c>
    </row>
    <row r="88">
      <c r="A88" s="513"/>
      <c r="B88" s="513"/>
      <c r="C88" s="513"/>
      <c r="D88" s="513"/>
      <c r="E88" s="513"/>
      <c r="F88" s="513"/>
      <c r="G88" s="513"/>
      <c r="H88" s="513"/>
    </row>
    <row r="89">
      <c r="A89" s="511" t="s">
        <v>645</v>
      </c>
    </row>
  </sheetData>
</worksheet>
</file>

<file path=xl/worksheets/sheet9.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518" t="s">
        <v>646</v>
      </c>
      <c r="B1" s="518" t="s">
        <v>647</v>
      </c>
      <c r="C1" s="518" t="s">
        <v>648</v>
      </c>
      <c r="D1" s="518" t="s">
        <v>649</v>
      </c>
      <c r="E1" s="518" t="s">
        <v>650</v>
      </c>
      <c r="F1" s="518" t="s">
        <v>651</v>
      </c>
    </row>
    <row r="2">
      <c r="A2" s="519">
        <v>1</v>
      </c>
      <c r="B2" s="520">
        <v>46324.35933401621</v>
      </c>
      <c r="C2" s="519" t="s">
        <v>652</v>
      </c>
      <c r="D2" s="519" t="s">
        <v>653</v>
      </c>
      <c r="E2" s="519" t="s">
        <v>654</v>
      </c>
      <c r="F2" s="519" t="s">
        <v>655</v>
      </c>
    </row>
  </sheetData>
</worksheet>
</file>