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bookViews>
    <workbookView/>
  </bookViews>
  <sheets>
    <sheet name="EEFF" sheetId="1" r:id="rId1"/>
    <sheet name="Notas_EEFF" sheetId="2" r:id="rId5"/>
    <sheet name="Supuestos" sheetId="3" r:id="rId6"/>
    <sheet name="ModeloFinanciero" sheetId="4" r:id="rId7"/>
    <sheet name="PP&amp;E_Schedule" sheetId="5" r:id="rId8"/>
    <sheet name="Intangibles" sheetId="6" r:id="rId9"/>
    <sheet name="ROU_Lease_Schedule" sheetId="7" r:id="rId10"/>
    <sheet name="Debt_Schedule" sheetId="8" r:id="rId11"/>
    <sheet name="_CHECKS" sheetId="9" r:id="rId12"/>
    <sheet name="Source_Register" sheetId="10" r:id="rId13"/>
    <sheet name="_CHANGELOG" sheetId="11" r:id="rId14"/>
    <sheet name="Claude Code Log" sheetId="12" r:id="rId15"/>
  </sheets>
  <calcPr calcId="0"/>
</workbook>
</file>

<file path=xl/sharedStrings.xml><?xml version="1.0" encoding="utf-8"?>
<sst xmlns="http://schemas.openxmlformats.org/spreadsheetml/2006/main" count="4153" uniqueCount="875">
  <si>
    <t>Empresa de Distribución Eléctrica Metro-Oeste, S. A.</t>
  </si>
  <si>
    <t>Estados Financieros Auditados FY24-FY25 (año fiscal al 31 de diciembre)</t>
  </si>
  <si>
    <t>en B/. sin escala</t>
  </si>
  <si>
    <t>Años</t>
  </si>
  <si>
    <t>FY21A</t>
  </si>
  <si>
    <t>FY22A</t>
  </si>
  <si>
    <t>FY23A</t>
  </si>
  <si>
    <t>FY24A</t>
  </si>
  <si>
    <t>FY25A</t>
  </si>
  <si>
    <t>FY26E</t>
  </si>
  <si>
    <t>FY27E</t>
  </si>
  <si>
    <t>FY28E</t>
  </si>
  <si>
    <t>FY29E</t>
  </si>
  <si>
    <t>FY30E</t>
  </si>
  <si>
    <t>Estado de Resultados</t>
  </si>
  <si>
    <t>Ingresos por actividades ordinarias</t>
  </si>
  <si>
    <t>Aprovisionamientos</t>
  </si>
  <si>
    <t>Reparaciones y conservación</t>
  </si>
  <si>
    <t>Depreciación y amortización</t>
  </si>
  <si>
    <t>Total de ganancia bruta por actividades ordinarias</t>
  </si>
  <si>
    <t>Gastos de personal</t>
  </si>
  <si>
    <t>Otros gastos</t>
  </si>
  <si>
    <t>Resultado de las actividades de operaciones</t>
  </si>
  <si>
    <t>Gastos financieros</t>
  </si>
  <si>
    <t>Ingresos financieros</t>
  </si>
  <si>
    <t>Pérdida neta en tipos de cambio de moneda extranjera</t>
  </si>
  <si>
    <t>Utilidad antes del impuesto sobre la renta</t>
  </si>
  <si>
    <t>Impuesto sobre la renta</t>
  </si>
  <si>
    <t>Utilidad neta</t>
  </si>
  <si>
    <t>Ganancia (pérdida) actuarial sobre las obligaciones por beneficios post-empleo</t>
  </si>
  <si>
    <t>Resultados integrales del año</t>
  </si>
  <si>
    <t>Balance General</t>
  </si>
  <si>
    <t>Inmovilizados materiales</t>
  </si>
  <si>
    <t>Otros activos no corrientes</t>
  </si>
  <si>
    <t>Activos intangibles</t>
  </si>
  <si>
    <t>Activos por derecho de uso</t>
  </si>
  <si>
    <t>Total de activos no corrientes</t>
  </si>
  <si>
    <t>Clientes y otras cuentas por cobrar</t>
  </si>
  <si>
    <t>Efectivo</t>
  </si>
  <si>
    <t>Otros activos corrientes</t>
  </si>
  <si>
    <t>Total de activos corrientes</t>
  </si>
  <si>
    <t>Total de activos</t>
  </si>
  <si>
    <t>Deuda financiera a largo plazo</t>
  </si>
  <si>
    <t>Bonos por pagar a largo plazo</t>
  </si>
  <si>
    <t>Otros pasivos no corrientes</t>
  </si>
  <si>
    <t>Pasivos por impuesto sobre la renta diferido</t>
  </si>
  <si>
    <t>Obligación por arrendamiento financiero</t>
  </si>
  <si>
    <t>Total de pasivos no corrientes</t>
  </si>
  <si>
    <t>Deuda financiera a corto plazo</t>
  </si>
  <si>
    <t>Bonos por pagar a corto plazo</t>
  </si>
  <si>
    <t>Acreedores comerciales y otras cuentas por pagar</t>
  </si>
  <si>
    <t>Otros pasivos corrientes</t>
  </si>
  <si>
    <t>Provisiones para contingencias</t>
  </si>
  <si>
    <t>Impuesto sobre la renta por pagar</t>
  </si>
  <si>
    <t>Total de pasivos corrientes</t>
  </si>
  <si>
    <t>Total de pasivos</t>
  </si>
  <si>
    <t>Patrimonio</t>
  </si>
  <si>
    <t>Total de pasivos y patrimonio</t>
  </si>
  <si>
    <t>Estado de Flujos de Efectivo</t>
  </si>
  <si>
    <t>Ingresos por subvención de capital</t>
  </si>
  <si>
    <t>Depreciación de inmovilizados materiales</t>
  </si>
  <si>
    <t>Depreciación de activo por derecho de uso</t>
  </si>
  <si>
    <t>Amortización de activos intangibles</t>
  </si>
  <si>
    <t>Pérdida procedente de inmovilizado material</t>
  </si>
  <si>
    <t>Estimación para pérdidas crediticias esperadas</t>
  </si>
  <si>
    <t>Adiciones de subvención de capital</t>
  </si>
  <si>
    <t>Otros activos</t>
  </si>
  <si>
    <t>Otros pasivos</t>
  </si>
  <si>
    <t>Efectivo generado por las operaciones</t>
  </si>
  <si>
    <t>Cobros de intereses</t>
  </si>
  <si>
    <t>Impuesto sobre la renta pagado</t>
  </si>
  <si>
    <t>Efectivo neto provisto por las actividades de operación</t>
  </si>
  <si>
    <t>Adquisición de inmovilizados materiales</t>
  </si>
  <si>
    <t>Adquisición de activos intangibles</t>
  </si>
  <si>
    <t>Aportes al fondo de cesantía, neto de retiros</t>
  </si>
  <si>
    <t>Efectivo neto utilizado en las actividades de inversión</t>
  </si>
  <si>
    <t>Pagos de deuda financiera</t>
  </si>
  <si>
    <t>Producto de deuda financiera</t>
  </si>
  <si>
    <t>Emisión de bonos</t>
  </si>
  <si>
    <t>Costos de transacción de bonos</t>
  </si>
  <si>
    <t>Pago de intereses</t>
  </si>
  <si>
    <t>Obligaciones por arrendamiento financiero</t>
  </si>
  <si>
    <t>Pago de impuesto complementario</t>
  </si>
  <si>
    <t>Dividendos pagados</t>
  </si>
  <si>
    <t>Efectivo neto provisto por las actividades de financiamiento</t>
  </si>
  <si>
    <t>Aumento neto en el efectivo y equivalentes de efectivo</t>
  </si>
  <si>
    <t>Efectivo y equivalentes de efectivo al inicio del año</t>
  </si>
  <si>
    <t>Efectivo y equivalentes de efectivo al final del año</t>
  </si>
  <si>
    <t>Notas a los Estados Financieros</t>
  </si>
  <si>
    <t>Fuente: informes auditados vía OCR Mistral (verbatim).</t>
  </si>
  <si>
    <t>Año</t>
  </si>
  <si>
    <t>Documento fuente</t>
  </si>
  <si>
    <t>Página OCR</t>
  </si>
  <si>
    <t>Tabla OCR / sección</t>
  </si>
  <si>
    <t>Nota #</t>
  </si>
  <si>
    <t>Título original de la nota</t>
  </si>
  <si>
    <t>Categoría modelable</t>
  </si>
  <si>
    <t>Line item EEFF</t>
  </si>
  <si>
    <t>Sub-line item / detalle</t>
  </si>
  <si>
    <t>Texto original / disclosure</t>
  </si>
  <si>
    <t>Monto reportado</t>
  </si>
  <si>
    <t>Moneda</t>
  </si>
  <si>
    <t>Unidad / escala</t>
  </si>
  <si>
    <t>Fecha / venc. / tasa / plazo</t>
  </si>
  <si>
    <t>Contraparte / contrato / instrumento</t>
  </si>
  <si>
    <t>Impacto en Supuestos</t>
  </si>
  <si>
    <t>Impacto en ModeloFinanciero</t>
  </si>
  <si>
    <t>Link a celda EEFF</t>
  </si>
  <si>
    <t>Comentario de extracción</t>
  </si>
  <si>
    <t>Status</t>
  </si>
  <si>
    <t>2025</t>
  </si>
  <si>
    <t>INA_EDEMET_2025_0.pdf</t>
  </si>
  <si>
    <t>page-107</t>
  </si>
  <si>
    <t>tbl-83.html</t>
  </si>
  <si>
    <t>5</t>
  </si>
  <si>
    <t>5. Saldos y Transacciones con Partes Relacionadas. continuación</t>
  </si>
  <si>
    <t>Partes relacionadas</t>
  </si>
  <si>
    <t>[tbl-83.html](tbl-83.html)(tbl-82.html)(tbl-82.html)</t>
  </si>
  <si>
    <t>OK</t>
  </si>
  <si>
    <t>markdown.md</t>
  </si>
  <si>
    <t>Los saldos y transacciones con partes relacionadas incluyen los mantenidos con el Gobierno de Panamá (el “Gobierno”) y entidades autónomas. El Gobierno, accionista de la Compañía en un 47,86% (ver Nota 1), tiene participación e influencia significativa en las entidades de generación y distribución eléctrica mixtas de Panamá. En el caso de la entidad de transmisión, el Gobierno mantiene el 100% de control de las entidades que prestan este servicio, como lo es la Empresa de Transmisión Eléctrica, S. A. (ETESA). Dado a que el Gobierno tiene participación en las tres distribuidoras y en algunas generadoras eléctricas del país, el ingreso por venta de energía por montos importantes es efectuado a dichas entidades.</t>
  </si>
  <si>
    <t>6</t>
  </si>
  <si>
    <t>6. Inmovilizados Materiales</t>
  </si>
  <si>
    <t>Otros</t>
  </si>
  <si>
    <t>A continuación, se presenta la composición de los inmovilizados materiales:</t>
  </si>
  <si>
    <t>[tbl-83.html](tbl-83.html)</t>
  </si>
  <si>
    <t>page-108</t>
  </si>
  <si>
    <t># **Empresa de Distribución Eléctrica Chiriquí, S. A.** (Entidad 51% Propiedad de Distribuidora Eléctrica del Caribe, S. A.)</t>
  </si>
  <si>
    <t># **Notas a los Estados Financieros**</t>
  </si>
  <si>
    <t>6. Inmovilizados Materiales, continuación</t>
  </si>
  <si>
    <t>El movimiento del inmovilizado material en explotación se presenta a continuación:</t>
  </si>
  <si>
    <t>tbl-84.html</t>
  </si>
  <si>
    <t>[tbl-84.html](tbl-84.html)(tbl-84.html)</t>
  </si>
  <si>
    <t>page-109</t>
  </si>
  <si>
    <t># **Notas a los Estados Financieros**---</t>
  </si>
  <si>
    <t>La Compañía tiene formalizadas pólizas de seguros para cubrir los posibles riesgos a que están sujetos los diversos elementos de su inmovilizado material, así como las posibles reclamaciones que se le puedan presentar por el ejercicio de su actividad, entendiendo que dichas pólizas cubren de manera suficiente los riesgos a los que están sometidos.</t>
  </si>
  <si>
    <t>Los materiales de almacén de consumo se detallan a continuación:</t>
  </si>
  <si>
    <t>tbl-86.html</t>
  </si>
  <si>
    <t>[tbl-86.html](tbl-86.html)(tbl-85.html)(tbl-85.html)</t>
  </si>
  <si>
    <t>Al 31 de diciembre de 2025 la Compañía no ha identificado provisión para obsolescencia de materiales (2024: B/.0).</t>
  </si>
  <si>
    <t>La Compañía ha contratado a operadores logísticos, otorgando así la administración de sus inventarios a terceros, que incluye la recepción, descarga, almacenamiento, control del inventario, siendo de esta forma ellos responsables de todos los materiales pertenecientes a la Compañía y que fueron depositados para su custodia.</t>
  </si>
  <si>
    <t>Los costos capitalizados también incluyen los gastos de personal relacionados directamente con las obras en curso. Los importes capitalizados por estos conceptos que se excluyen de la cuenta de resultados ascienden a B/.1,166,699 (2024: B/.1,333,108) (véase Nota 17).</t>
  </si>
  <si>
    <t>B/.</t>
  </si>
  <si>
    <t>Para efectos de conciliación con el estado de flujos de efectivo, las adquisiciones de inmovilizados materiales presentadas como flujos de efectivos de actividades de inversiones se presentan netas del cambio neto de materiales de almacén del año, como se detalla a continuación:</t>
  </si>
  <si>
    <t>[tbl-86.html](tbl-86.html)</t>
  </si>
  <si>
    <t>Al 31 de diciembre de 2025, la Compañía mantiene compromisos para la ejecución de inversiones por un monto de B/.17,537,249, concentrados específicamente en calidad y expansión de la red eléctrica.</t>
  </si>
  <si>
    <t>page-110</t>
  </si>
  <si>
    <t>7</t>
  </si>
  <si>
    <t>7. Otros Activos</t>
  </si>
  <si>
    <t>A continuación, se presenta el detalle de los otros activos:</t>
  </si>
  <si>
    <t>tbl-88.html</t>
  </si>
  <si>
    <t>[tbl-88.html](tbl-88.html)(tbl-87.html)(tbl-87.html)</t>
  </si>
  <si>
    <t>8</t>
  </si>
  <si>
    <t>8. Clientes y Otras Cuentas por Cobrar</t>
  </si>
  <si>
    <t>Cuentas por cobrar</t>
  </si>
  <si>
    <t>Los saldos por cobrar a clientes y otras cuentas por cobrar se detallan a continuación:</t>
  </si>
  <si>
    <t>[tbl-88.html](tbl-88.html)</t>
  </si>
  <si>
    <t># **Cuentas por Cobrar a Clientes**</t>
  </si>
  <si>
    <t>Las cuentas por cobrar a clientes comprenden cantidades por cobrar por el monto de la facturación de la energía suministrada. El período promedio de crédito es de 30 días, contados a partir de la fecha de la facturación de energía.</t>
  </si>
  <si>
    <t>La Compañía mantiene una reserva para pérdidas crediticias esperadas de las cuentas por cobrar comerciales, calculada con un modelo simplificado. El cálculo de esta provisión corresponde a un reconocimiento de las pérdidas crediticias esperadas que proyecta la probabilidad de incumplimiento (no pago) en un lapso de un año.</t>
  </si>
  <si>
    <t>page-111</t>
  </si>
  <si>
    <t>8. Clientes y Otras Cuentas por Cobrar, continuación</t>
  </si>
  <si>
    <t>A cada obligación se le asigna una probabilidad individual de no pago que se calcula a partir de un modelo de probabilidad que involucra variables del producto y de su comportamiento de pago. El modelo calcula un porcentaje de pérdida histórica por tipo de mora, la cual se relaciona con un dato macroeconómico buscando una correlación para proyectar un comportamiento según la mejor estimación del crecimiento económico del país.</t>
  </si>
  <si>
    <t>La proyección se aplicará al producto de los promedios de desplazamiento por rango de cartera según la mora histórica, la cual refleja la evolución del comportamiento de los saldos de la cartera de clientes y permite establecer los porcentajes de pérdida sobre hechos históricos.</t>
  </si>
  <si>
    <t>El movimiento de la reserva para pérdidas crediticias esperadas se presenta a continuación:</t>
  </si>
  <si>
    <t>tbl-89.html</t>
  </si>
  <si>
    <t>[tbl-89.html](tbl-89.html)(tbl-89.html)</t>
  </si>
  <si>
    <t>La Compañía realiza todas las gestiones de cobro necesarias para el cobro al cliente, en cumplimiento con las políticas internas y con las normas fiscales aplicables. La Unidad de Ciclo de Ingresos, en el mes de diciembre, realiza una preselección de los candidatos a pasar para "Incobrable Definitivo", se revisan las cuentas de clientes que estaban en baja forzada, baja por impago y bajas voluntarias con saldo débito y que adicionalmente, cuenten presenten las siguientes características:</t>
  </si>
  <si>
    <t>- Que los clientes no sean de tipo: prepago, gobierno o gran cliente. - Que los clientes se encuentren en estado de baja (por impago, voluntaria o forzada) y no asocien deuda &gt;0 a menos de 360 días. - Que los clientes posean deuda mayor&gt;0 a más de 360 días. - Que los clientes no tengan cuentas activas en donde se puedan hacer las transferencias para continuar con la gestión de cobro.</t>
  </si>
  <si>
    <t>Una vez, se compruebe que a estos clientes se les habían realizado los respectivos cortes y revisiones, que se han agotado las acciones de cobro, y que las cuentas de clientes que están en baja, estas se pasarán a incobrables definitivo.</t>
  </si>
  <si>
    <t>page-112</t>
  </si>
  <si>
    <t>A continuación, se presenta análisis de los saldos de cuentas por cobrar a clientes desglosados según el tipo de cliente y su antigüedad:</t>
  </si>
  <si>
    <t>tbl-91.html</t>
  </si>
  <si>
    <t>[tbl-91.html](tbl-91.html)(tbl-90.html)(tbl-90.html)</t>
  </si>
  <si>
    <t>A continuación, el resumen de las cuentas por cobrar consumidores particulares, Gobierno y entidades autónomas:</t>
  </si>
  <si>
    <t>[tbl-91.html](tbl-91.html)</t>
  </si>
  <si>
    <t>page-113</t>
  </si>
  <si>
    <t>Las cuentas por cobrar a gobierno y entidades autónomas incluyen subsidios otorgados por el Gobierno al Fondo de Compensación Energética (FACE), Fondo de Estabilización Tarifaria (FET) y Fondo Tarifario de Occidente (FTO). Los subsidios registrados corresponden a lo acordado en la Ley No.15 de febrero de 2001 que establece el régimen y procedimiento a los que se sujetarán los subsidios destinados a los clientes del servicio público de electricidad, cuyo consumo califica como consumo básico o de subsistencia, y en el cual la administración y aplicación está a cargo de la Compañía, para la cual la Compañía efectúa una retención a algunos clientes y a su vez le concede un descuento a aquellos clientes sujetos al subsidio de acuerdo a lo que define la Ley como clientes de consumo básico o de subsistencias.</t>
  </si>
  <si>
    <t>Durante el 2025, la Compañía recibió el pago de subsidios de parte de la Empresa de Transmisión Eléctrica, S.A. por un importe total de B/.83,095,239 (2024: B/.49,571,213).</t>
  </si>
  <si>
    <t>Los saldos correspondientes a los reembolsos tarifarios del FACE y del FET que no hayan sido compensados en su totalidad por el Estado a través de ETESA, podrán ser incorporados en las actualizaciones semestrales, de acuerdo con lo dispuesto en el régimen tarifario vigente y sus modificaciones.</t>
  </si>
  <si>
    <t># **Activos Regulatorios**</t>
  </si>
  <si>
    <t>Según se establece en el marco regulatorio vigente y dado que los costos estimados de abastecimientos reconocidos en la tarifa fueron diferentes a los costos reales del año 2025, la Compañía mantiene activos regulatorios por B/.10,797,318 (2024: B/.10,313,941), producto de desvíos tarifarios por B/.14,595,699 (2024: B/.9,772,664), menos recuperaciones en tarifa por B/.14,112,322 (2024: B/.14,190,532), según lo establecido en el régimen tarifario.</t>
  </si>
  <si>
    <t>A continuación, el resumen de los movimientos de los desvíos tarifarios por costos de abastecimiento:</t>
  </si>
  <si>
    <t>tbl-92.html</t>
  </si>
  <si>
    <t>[tbl-92.html](tbl-92.html)(tbl-92.html)</t>
  </si>
  <si>
    <t># **Energía suministrada y no facturada**</t>
  </si>
  <si>
    <t>La Compañía registra una estimación de aquellos servicios suministrados que se encontraban pendientes de facturación al 31 de diciembre de 2025, los cuales ascienden a B/.10,123,276 (2024: B/.11,643,580).</t>
  </si>
  <si>
    <t>page-114</t>
  </si>
  <si>
    <t>9</t>
  </si>
  <si>
    <t>9. Efectivo</t>
  </si>
  <si>
    <t>Working capital</t>
  </si>
  <si>
    <t>El efectivo se detalla a continuación:</t>
  </si>
  <si>
    <t>tbl-94.html</t>
  </si>
  <si>
    <t>[tbl-94.html](tbl-94.html)(tbl-93.html)(tbl-93.html)</t>
  </si>
  <si>
    <t>Durante el 2025, la Compañía mantuvo excedentes de efectivo, por la utilización de su mayor capacidad de las líneas de crédito disponibles, los cuales fueron depositados en cuentas de overnight con vencimientos diarios y un rendimiento de aproximadamente entre 3% y 3.25% (2024: 0.40%).</t>
  </si>
  <si>
    <t>Al 31 de diciembre de 2025 y 2024 no existían restricciones de uso sobre los saldos de efectivo y equivalentes de efectivo.</t>
  </si>
  <si>
    <t>10</t>
  </si>
  <si>
    <t>10. Patrimonio</t>
  </si>
  <si>
    <t>Capital / patrimonio / dividendos</t>
  </si>
  <si>
    <t>La composición del patrimonio se resume así:</t>
  </si>
  <si>
    <t>[tbl-94.html](tbl-94.html)</t>
  </si>
  <si>
    <t>El capital social autorizado, emitido y pagado de la Compañía es de cincuenta millones (50,000,000) de acciones comunes sin valor nominal, las que se encuentran emitidas en su totalidad.</t>
  </si>
  <si>
    <t>page-115</t>
  </si>
  <si>
    <t>10. Patrimonio, continuación</t>
  </si>
  <si>
    <t>Hasta el 2009, la Compañía readquirió 198,229 acciones por la suma de B/.188,193. El bloque del 51% de las acciones de la Compañía fue adquirido mediante la Licitación Pública Internacional No.COMVA-001-98 por Distribuidora Eléctrica del Caribe, S. A., que mantiene 25,500,000 acciones; el 49% de las acciones fue retenido por el Estado, de lo cual se reservó el 10% de las acciones para ofrecerlas en venta a los trabajadores permanentes de la Compañía. Un resumen de las disposiciones establecidas por la Comisión de Venta de Acciones (COMVA), relacionadas con las acciones de la Compañía es el siguiente:</t>
  </si>
  <si>
    <t>- El comprador del bloque de acciones no podrá vender parcialmente dichas acciones mientras se encuentre vigente el contrato de concesión para la distribución de energía eléctrica, el cual tiene un término de 15 años. - El comprador del bloque del 51% de las acciones de la Compañía, renunció al derecho preferente de compra de las acciones remanentes. Igualmente, existen restricciones aplicables a los compradores de las acciones remanentes.</t>
  </si>
  <si>
    <t>El Estado reservó el diez por ciento (10%) del total de las acciones de la Compañía con el propósito de ofrecerlas en venta a los trabajadores permanentes de la Compañía. Dichos trabajadores tenían el derecho de adquirir acciones utilizando el monto equivalente a sus prestaciones laborales, incluyendo la indemnización. Estas acciones se reservaron por el término de un año, contado a partir de la firma del contrato de compra-venta del bloque de acciones y se vendieron en un seis por ciento (6%) de descuento con respecto al precio unitario pagado en la adquisición de ese bloque de acciones. Vencido el término de un año, cesó el derecho de los trabajadores a comprar estas acciones con descuento y el Órgano Ejecutivo podrá venderlas a través de los procedimientos de bolsa de valores o subasta pública con un límite de 5% de estas acciones por comprador.</t>
  </si>
  <si>
    <t>La Compañía mantiene una reserva voluntaria de B/.1,599,335 (2024: B/.1,599,335) producto de la compensación de cierre del contrato de compra-venta de las acciones en 1998.</t>
  </si>
  <si>
    <t>Las otras reservas corresponden exclusivamente al efecto de las remediaciones de las obligaciones por beneficios post-empleo.</t>
  </si>
  <si>
    <t>Los dividendos decretados y pagados se detallan a continuación:</t>
  </si>
  <si>
    <t>tbl-95.html</t>
  </si>
  <si>
    <t>[tbl-95.html](tbl-95.html)(tbl-95.html)</t>
  </si>
  <si>
    <t>Los dividendos decretados en el año 2025 estuvieron sujetos a impuesto de dividendos por un monto de B/.1,222,238. El dividendo bruto por acción fue de B/.0.2447530.</t>
  </si>
  <si>
    <t>page-116</t>
  </si>
  <si>
    <t>**Impuesto complementario**</t>
  </si>
  <si>
    <t>El impuesto complementario constituye un anticipo del impuesto de dividendos que la Compañía está obligada a pagar cuando no distribuye utilidades, o bien cuando la distribución realizada es inferior a los porcentajes mínimos exigidos por la legislación vigente. Este impuesto es compensable con el impuesto de dividendos que se devenga en el momento en que se efectúe la distribución de utilidades. El mismo se genera al final del año fiscal sobre las utilidades netas del contribuyente (menos el impuesto sobre la renta pagado) en los siguientes escenarios:</t>
  </si>
  <si>
    <t>- Sin distribución de utilidades: Cuando se reconoce utilidades, pero no se distribuyen. - Distribución insuficiente: Cuando se decretan dividendos por una suma inferior al 40% (tasa general) o al 20% (en casos específicos, como rentas de fuente extranjera o exportaciones) de las utilidades netas.</t>
  </si>
  <si>
    <t>La tasa aplicable es del 10% sobre la diferencia necesaria para alcanzar el mínimo legal requerido (sea el 40% o el 20%, según corresponda).</t>
  </si>
  <si>
    <t>El monto abonado por este concepto se reconoce como un crédito fiscal, lo que implica que, al momento de la distribución efectiva de dividendos, la Compañía podrá deducir lo previamente pagado del impuesto definitivo sobre dividendos</t>
  </si>
  <si>
    <t>11</t>
  </si>
  <si>
    <t>11. Deuda Financiera</t>
  </si>
  <si>
    <t>Deuda / bonos / préstamos / leases</t>
  </si>
  <si>
    <t>A continuación, se presenta la composición de la deuda financiera:</t>
  </si>
  <si>
    <t>tbl-96.html</t>
  </si>
  <si>
    <t>[tbl-96.html](tbl-96.html)(tbl-96.html)</t>
  </si>
  <si>
    <t>page-117</t>
  </si>
  <si>
    <t>11. Deuda Financiera, continuación</t>
  </si>
  <si>
    <t>A continuación, el movimiento del año de la deuda financiera:</t>
  </si>
  <si>
    <t>tbl-98.html</t>
  </si>
  <si>
    <t>[tbl-98.html](tbl-98.html)(tbl-97.html)(tbl-97.html)</t>
  </si>
  <si>
    <t># **Deuda financiera a largo plazo**</t>
  </si>
  <si>
    <t>El saldo de la deuda financiera es como sigue:</t>
  </si>
  <si>
    <t>[tbl-98.html](tbl-98.html)</t>
  </si>
  <si>
    <t>page-118</t>
  </si>
  <si>
    <t>La deuda financiera ha incurrido en intereses a una tasa de interés promedio efectiva de 6.49% (2024: 7.42%).</t>
  </si>
  <si>
    <t>Los préstamos incluyen cláusulas según las cuales la Compañía se compromete con lo siguiente:</t>
  </si>
  <si>
    <t>- No podrá fusionarse, disolverse, o liquidar sus haberes, sin previa notificación por escrito a los bancos con treinta (30) días de antelación. - No podrá cambiar en forma material su estructura accionaria. - No podrá efectuar cambios materiales en la naturaleza de sus operaciones. - No podrá hipotecar, pignorar, dar en fideicomiso, ceder en garantía o de cualquier otra forma gravar o afectar cualquiera de sus activos a favor de cualquier tercero, a menos que dichas operaciones no sean materiales y que, a criterio de los bancos, no afecten la capacidad de los deudores solidarios de cumplir sus obligaciones bajo el presente contrato. - No podrá vender o en cualquier forma enajenar o disponer de activos sin el consentimiento previo de los bancos el cual no será negado o demorado irrazonablemente, salvo que sean dentro del curso normal de los negocios de los deudores, se trate de ventas con contraprestación a valor de mercado, o que no afecten la devolución de este préstamo, en cuyo caso no se requerirá de consentimiento previo. - Cuando se vaya a producir un cambio accionario en las partes deudoras por el que el último controlador accionista actual (Naturgy Energy Group, S. A.), deje de mantener el cincuenta y un por ciento (51%) del capital social emitido y en circulación, ya sea mediante titularidad directa o indirecta de dicha participación, las partes deudoras deberán previamente poner el hecho en conocimiento de los bancos. - Notificar a los bancos de inmediato y por escr</t>
  </si>
  <si>
    <t>A continuación, se presentan las cláusulas de los contratos de préstamos con respecto a información financiera:</t>
  </si>
  <si>
    <t>- Hacer lo necesario para que sus obligaciones de pago en virtud de los documentos del financiamiento tengan en todo momento un estatus por lo menos *pari passu* con todas sus otras obligaciones de pagos no garantizadas, presentes y futuras, excepto por aquellas obligaciones obligatoriamente preferidas por ley. - Mantener debidamente asegurados los elementos patrimoniales de su activo, de conformidad con las prácticas usuales en el sector. - La Compañía presentó al cierre del año un indicador Deuda Financiera Neta/EBIDTA del 4.29x (2024: 3.92x) cifra que está dentro del compromiso pactado con las entidades financieras, el cual era de 4.50x como ratio máximo permitido al cierre del año 2025 (2024: igual).</t>
  </si>
  <si>
    <t>page-119</t>
  </si>
  <si>
    <t>- Producto de la situación COVID-19 durante el año 2020 la Compañía solicitó un incremento del Covenant Deuda / EBITDA, sumado a una modificación en su base de cálculo, considerando la deuda neta, esto es, restando a la deuda bruta los recursos en la caja que mantiene la Compañía. - En el caso del Banco Nacional de Panamá se debe mantener una razón del pasivo total /activo total inferior a 0.85, para el 2025 este indicador presentó un cierre de 0.82 (2024: 0.81).</t>
  </si>
  <si>
    <t>Durante el mes de diciembre de 2025, la Compañía contrató un préstamo a largo plazo con el Banco Europeo de Inversión, el cual incluye, entre otras cláusulas, los siguientes ratios financieros que la Compañía se compromete a mantener durante toda la vigencia del financiamiento</t>
  </si>
  <si>
    <t>- La deuda neta total combinada (considerando el monto de la Compañía más el de Empresa de Distribución Eléctrica Metro Oeste, S. A. quien actúa como fiador) a EBITDA no exceda 4.50x. Al 31 de diciembre de 2025 este ratio fue de 4.29x, el cual está dentro del compromiso autorizado. - Cumplir con un nivel de liquidez por un importe mínimo, (i) de ochenta millones de dólares (80,000,000 USD) hasta el 29 de junio de 2026 inclusive; y (ii) de cien millones de dólares (100,000,000 USD) desde el 30 de junio de 2026 en adelante. Se entenderá por liquidez el importe disponible para ser utilizado bajo líneas de crédito comprometidas, y/o en efectivo o equivalentes de efectivo. Al 31 de diciembre de 2025 el ratio de liquidez fue de 334,363,606 USD.</t>
  </si>
  <si>
    <t>millones</t>
  </si>
  <si>
    <t>A continuación, se presentan los importes de la deuda financiera según su vencimiento:</t>
  </si>
  <si>
    <t>tbl-99.html</t>
  </si>
  <si>
    <t>[tbl-99.html](tbl-99.html)(tbl-99.html)</t>
  </si>
  <si>
    <t>Los préstamos fueron contratados a tasas de interés variables, exponiendo a la Compañía a riesgo de interés en los flujos de efectivo.</t>
  </si>
  <si>
    <t>page-120</t>
  </si>
  <si>
    <t># **Deuda financiera a corto plazo**</t>
  </si>
  <si>
    <t>El saldo de la deuda financiera a corto plazo es como sigue:</t>
  </si>
  <si>
    <t>tbl-100.html</t>
  </si>
  <si>
    <t>[tbl-100.html](tbl-100.html)(tbl-100.html)</t>
  </si>
  <si>
    <t>Al 31 de diciembre de 2025, la Compañía tenía saldo utilizado de B/.63,304,195 (2024: B/.65,100,410) en líneas de crédito. La Compañía mantiene líneas de crédito contratadas por B/.100,000,000 (2024: B/.100,000,000), el monto no utilizado de estas líneas de crédito era B/.36,695,805 (2024: B/.34,899,590).</t>
  </si>
  <si>
    <t>La deuda financiera a corto plazo está garantizada con fianza cruzada de Empresa de Distribución Eléctrica Metro-Oeste, S. A. (EDEMET).</t>
  </si>
  <si>
    <t>La administración considera que el valor en libros de la deuda financiera corriente se aproxima a su valor razonable, debido a su naturaleza de corto plazo.</t>
  </si>
  <si>
    <t>page-121</t>
  </si>
  <si>
    <t>12</t>
  </si>
  <si>
    <t>12. Conciliación de movimiento de pasivo por actividades de financiamiento</t>
  </si>
  <si>
    <t>A continuación, presentamos la conciliación de movimiento de pasivo por actividades de financiamiento:</t>
  </si>
  <si>
    <t>tbl-101.html</t>
  </si>
  <si>
    <t>[tbl-101.html](tbl-101.html)(tbl-101.html)</t>
  </si>
  <si>
    <t>page-122</t>
  </si>
  <si>
    <t>tbl-102.html</t>
  </si>
  <si>
    <t>12. Conciliación de movimiento de pasivo por actividades de financiamiento, continuación</t>
  </si>
  <si>
    <t>[tbl-102.html](tbl-102.html)(tbl-102.html)</t>
  </si>
  <si>
    <t>page-123</t>
  </si>
  <si>
    <t>13</t>
  </si>
  <si>
    <t>13. Otros Pasivos</t>
  </si>
  <si>
    <t># **Otros pasivos no corrientes**</t>
  </si>
  <si>
    <t>A continuación, detalle de otros pasivos no corrientes:</t>
  </si>
  <si>
    <t>tbl-104.html</t>
  </si>
  <si>
    <t>[tbl-104.html](tbl-104.html)(tbl-103.html)(tbl-103.html)</t>
  </si>
  <si>
    <t># (a) Convenio reembolsable</t>
  </si>
  <si>
    <t>La Compañía mantiene contratos con terceros donde se compromete a distribuir energía para la construcción de infraestructura eléctrica o bien a aportar en efectivo para la construcción de la misma, y paralelamente ambas partes convienen reembolsar la totalidad del aporte efectuado o el importe de la infraestructura establecido en el contrato, siempre que el tercero cumpla con las proyecciones de consumo anuales y demandas mínimas estipuladas en el período de tiempo pactado entre las partes.</t>
  </si>
  <si>
    <t># (b) Fianzas y depósitos recibidos</t>
  </si>
  <si>
    <t>De conformidad con los contratos de suministro de energía eléctrica, la Compañía exige un depósito al cliente (consumidor) como garantía por el pago de la energía consumida, el cual debe ser devuelto a la terminación del contrato, previo descuento de la suma adeudada por el cliente.</t>
  </si>
  <si>
    <t>Con respecto a los depósitos recibidos con posterioridad a la vigencia del pliego tarifario, la ASEP emitió las Resoluciones No.JD-219 de 31 de marzo de 1998 y No.JD-761 de 8 de junio de 1998, las cuales establecen que en aquellos casos que el cliente haya mantenido buen historial de pago, los depósitos deberán devolverse, a más tardar, un año después de la firma del contrato y mientras la Compañía mantenga el depósito, deberá pagar intereses en forma semestral</t>
  </si>
  <si>
    <t>A continuación, se presenta el movimiento del año de las fianzas y depósitos recibidos:</t>
  </si>
  <si>
    <t>[tbl-104.html](tbl-104.html)</t>
  </si>
  <si>
    <t>page-124</t>
  </si>
  <si>
    <t>13. Otros Pasivos, continuación</t>
  </si>
  <si>
    <t># (c) Subvenciones de capital</t>
  </si>
  <si>
    <t>Las subvenciones de capital corresponden a donaciones recibidas de terceros, y aportes en efectivo recibidos de entidades oficiales, principalmente de la Dirección de Asistencia Social, cuyo destino ha sido mejorar las instalaciones de distribución de energía eléctrica de la Compañía y desarrollo de proyectos de electrificación rural. El pasivo asociado a estos conceptos es amortizado como ingreso a medida que se van ejecutando los proyectos correspondientes.</t>
  </si>
  <si>
    <t>A continuación, se presenta el siguiente detalle de las subvenciones de capital:</t>
  </si>
  <si>
    <t>tbl-106.html</t>
  </si>
  <si>
    <t>[tbl-106.html](tbl-106.html)(tbl-105.html)(tbl-105.html)[tbl-106.html](tbl-106.html)</t>
  </si>
  <si>
    <t>Las adiciones corresponden principalmente a aportes de la Oficina de Electrificación Rural – Ministerio de la Presidencia antes Fondo de Inversión Social para la construcción de líneas de distribución y otros aportes de terceros.</t>
  </si>
  <si>
    <t># (d) Provisión para prima de antigüedad</t>
  </si>
  <si>
    <t>El Código de Trabajo establece que el empleador pagará a los empleados el reconocimiento de una prima de antigüedad por servicios que es pagadero cualquiera que sea la razón de la terminación del empleado. La Compañía ha establecido una provisión, la cual se calcula sobre la base de una semana de indemnización por cada año de trabajo, o lo que es igual al 1.92% sobre los salarios pagados durante el año.</t>
  </si>
  <si>
    <t>La Ley No.44 de 12 de agosto de 1995 establece la obligación de los empleadores a constituir un fondo de cesantía para pagar a los empleados la prima de antigüedad y la indemnización por despido injustificado.</t>
  </si>
  <si>
    <t>Al 31 de diciembre de 2025, la Compañía mantenía un Fondo de Cesantía con un agente fiduciario por la suma de B/.519,730 (2024: B/.478,243), el cual se presenta en el rubro de otros activos no corrientes del estado de situación financiera (véase Nota 7).</t>
  </si>
  <si>
    <t>page-125</t>
  </si>
  <si>
    <t># **Otros pasivos corrientes**</t>
  </si>
  <si>
    <t>A continuación, el detalle de otros pasivos corrientes:</t>
  </si>
  <si>
    <t>tbl-108.html</t>
  </si>
  <si>
    <t>[tbl-108.html](tbl-108.html)(tbl-107.html)(tbl-107.html)</t>
  </si>
  <si>
    <t>(*) Con base en el comportamiento histórico de las devoluciones de fianzas y depósitos recibidos, la Compañía presenta como corrientes estos importes.</t>
  </si>
  <si>
    <t>14</t>
  </si>
  <si>
    <t>14. Acreedores Comerciales y Otras Cuentas por Pagar</t>
  </si>
  <si>
    <t>Cuentas por pagar</t>
  </si>
  <si>
    <t>A continuación, un detalle de los acreedores comerciales y otras cuentas por pagar:</t>
  </si>
  <si>
    <t>[tbl-108.html](tbl-108.html)</t>
  </si>
  <si>
    <t>Las cuentas por pagar a proveedores mantienen un plazo máximo de 30 días, excepto por los casos en que se han realizado operaciones de factoraje a proveedores, según lo detallado a continuación.</t>
  </si>
  <si>
    <t>Al 31 de diciembre de 2025, las cuentas por pagar por generación y transmisión incluyen B/.4,177,244 (2024: B/.4,114,819) de cuentas por pagar a entidades de Gobierno y Entidades Autónomas (ver Nota 5).</t>
  </si>
  <si>
    <t>Al 31 de diciembre de 2025 las cuentas por pagar otros proveedores, bienes y servicios incluyen operaciones de factoraje a proveedores por B/.2,819,740 (2024: B/. 0), mecanismo mediante el cual la Compañía extiende el término de pago por compra de energía al extender el período de pago en 90 días previa la cancelación por parte de un banco al proveedor de los bienes o servicios en forma oportuna al vencimiento, cumplido el plazo de extensión la Compañía paga al banco los valores correspondientes. Dichas transacciones, que se incorporan como parte del flujo de operaciones, son garantizadas con fianzas cruzadas entre la Compañía y Empresa de Distribución Eléctrica Metro-Oeste, S. A. (EDEMET) a una tasa de interés del 7%.</t>
  </si>
  <si>
    <t>page-126</t>
  </si>
  <si>
    <t>15</t>
  </si>
  <si>
    <t>15. Ingresos por Actividades Ordinarias</t>
  </si>
  <si>
    <t>Ingresos</t>
  </si>
  <si>
    <t>A continuación, se presenta el detalle de los ingresos por actividades ordinarias:</t>
  </si>
  <si>
    <t>tbl-109.html</t>
  </si>
  <si>
    <t>[tbl-109.html](tbl-109.html)(tbl-109.html)</t>
  </si>
  <si>
    <t>16</t>
  </si>
  <si>
    <t>16. Aprovisionamientos</t>
  </si>
  <si>
    <t>La Ley No.6 de 3 de febrero de 1997 estableció la obligación de suscribir contratos de compra-venta de energía, previa aprobación de la ASEP. En cumplimiento de esta Ley, la Compañía ha suscrito diversos contratos (expresados en dólares de los Estados Unidos de América) que le otorgan el derecho de uso de la "Potencia Firme Contratada", medida en el Punto de Interconexión, cuyo suministro garantiza la Compañía de Generación bajo los términos y condiciones pactados en el Contrato y la prioridad de uso ante una condición de racionamiento de la Energía Asociada, definida como el compromiso de suministro horario de energía del vendedor (Empresa de Generación) al comprador (Empresa de Distribución).</t>
  </si>
  <si>
    <t>Un resumen de las cláusulas más importantes de estos contratos se presenta a continuación:</t>
  </si>
  <si>
    <t>- Las partes se rigen por las reglas para el mercado mayorista establecidas en la Resolución de Junta Directiva No.605 de la ASEP de 24 de abril de 1998 y modificaciones. Las reglas del mercado tendrán prelación sobre los documentos de contrato para resolver cualquier discrepancia, contradicción o conflicto entre ambos. - La Compañía debe mantener un depósito de garantía por un monto igual a un mes de la facturación media anual de la potencia y energía. La Compañía ha contratado las respectivas fianzas de cumplimiento a favor de las empresas de generación eléctrica. - Los contratos establecen que el vendedor debe presentar la cuenta mensual dentro de los primeros cinco días calendarios del mes siguiente del mes vencido. La cuenta mensual debe ser pagada por el comprador dentro de los treinta días calendario de presentada la cuenta mensual; sin embargo, la Compañía tiene hasta cinco días para rechazar o aceptar la factura.</t>
  </si>
  <si>
    <t>page-127</t>
  </si>
  <si>
    <t>16. Aprovisionamientos, continuación</t>
  </si>
  <si>
    <t>- En caso de incumplimiento por parte de la Compañía, el vendedor podrá dar aviso de terminación del Contrato ante cualquier incumplimiento material del Contrato que no sea remediada dentro de treinta días, y que haya sido notificada por escrito, indicando la violación en cuestión, en detalle y exigiendo el remedio de ella, por el no pago de la cuenta mensual por servicios prestados y por cualquier alteración o modificación fraudulenta en el sistema de medición; en ambos casos, la Compañía dispondrá de cuarenta y ocho horas para remediar el incumplimiento. - Según lo requerido por la Ley, las empresas que suscriban el Contrato deben pagar individualmente a las autoridades correspondientes, todos los impuestos nacionales, provinciales, municipales y otros impuestos legales, derechos de aduana, cánones u otras imposiciones presentes y futuras que sean aplicables a sus respectivas instalaciones, otros activos y actividad comercial o industrial.</t>
  </si>
  <si>
    <t>La Compañía paga un monto por pérdida de energía de transmisión trasladado a la tarifa, el mismo es calculado por el Centro Nacional de Despacho, con base en la energía mensual en MWh adquirida a través de la red, el porcentaje asignado de pérdidas según el nodo donde recibe la energía y el precio de la energía en el mercado mayorista. El valor de estas pérdidas se determina de acuerdo con las Reglas del Mercado Mayorista. De igual modo se pagan al mercado mayorista los costos por los servicios auxiliares y sobrecosto por generación obligada.</t>
  </si>
  <si>
    <t>El detalle de los aprovisionamientos es el siguiente:</t>
  </si>
  <si>
    <t>tbl-111.html</t>
  </si>
  <si>
    <t>[tbl-111.html](tbl-111.html)(tbl-110.html)(tbl-110.html)</t>
  </si>
  <si>
    <t>17</t>
  </si>
  <si>
    <t>17. Gastos</t>
  </si>
  <si>
    <t>Costos / gastos</t>
  </si>
  <si>
    <t>Los gastos se detallan a continuación:</t>
  </si>
  <si>
    <t>[tbl-111.html](tbl-111.html)</t>
  </si>
  <si>
    <t>page-128</t>
  </si>
  <si>
    <t>17. Gastos, continuación</t>
  </si>
  <si>
    <t>El número medio de empleados se detalla así:</t>
  </si>
  <si>
    <t>tbl-114.html</t>
  </si>
  <si>
    <t>[tbl-114.html](tbl-114.html)(tbl-113.html)(tbl-112.html)(tbl-112.html)</t>
  </si>
  <si>
    <t>Los otros gastos se detallan a continuación:</t>
  </si>
  <si>
    <t>tbl-113.html</t>
  </si>
  <si>
    <t>[tbl-113.html](tbl-113.html)</t>
  </si>
  <si>
    <t>Los gastos financieros se detallan a continuación:</t>
  </si>
  <si>
    <t>[tbl-114.html](tbl-114.html)</t>
  </si>
  <si>
    <t>Los otros gastos financieros corresponden a gastos por las operaciones de factoraje a proveedores y comisiones bancarias.</t>
  </si>
  <si>
    <t>page-129</t>
  </si>
  <si>
    <t>18</t>
  </si>
  <si>
    <t>18. Compromisos y Contingencias</t>
  </si>
  <si>
    <t>Contingencias</t>
  </si>
  <si>
    <t># **Litigios Pendientes**</t>
  </si>
  <si>
    <t>La Compañía está sujeta a litigios y reclamos originados en el curso normal de sus operaciones. La administración, después de consultar a sus asesores legales y evaluar la evidencia disponible a la fecha del estado de situación financiera sobre probabilidades y montos de pérdida, ha concluido que no se requiere provisión para posible pérdida.</t>
  </si>
  <si>
    <t>La Compañía mantiene fianzas solidarias sobre las obligaciones que mantienen compañías relacionadas con entidades financieras por B/.1,265,128,962 (2024: B/.851,128,962).</t>
  </si>
  <si>
    <t>La Compañía mantiene contratos al 31 de diciembre de 2025 para el suministro de la potencia firme y la energía asociada requerida y los términos de compra de capacidad a largo plazo. El total de la potencia contratada es 24,962 MW (2024: 23,575.94) y abarcan períodos con vencimientos hasta el 31 de diciembre de 2044.</t>
  </si>
  <si>
    <t>Producto de los contratos de energía a largo plazo antes señalados, la Compañía mantiene compromisos contractuales, que se resumen a continuación:</t>
  </si>
  <si>
    <t>tbl-115.html</t>
  </si>
  <si>
    <t>[tbl-115.html](tbl-115.html)(tbl-115.html)</t>
  </si>
  <si>
    <t># **Cargos por Transmisión**</t>
  </si>
  <si>
    <t>La Compañía paga una tarifa regulada a Empresa de Transmisión Eléctrica, S. A. (ETESA), una compañía propiedad del Gobierno de Panamá, por conexión y uso del sistema de transmisión. En abril de 2023, entró en vigor el nuevo régimen tarifario el cual se mantiene vigente a la fecha. La empresa ETESA, además es la encargada de la operación del mercado mayorista a través del Centro Nacional de Despacho. La Compañía tiene avales por B/.2,161,880 con vencimientos hasta el 30 de junio de 2026 a favor de ETESA, como garantía del pago de los costos de transmisión y transacciones realizadas en el mercado ocasional.</t>
  </si>
  <si>
    <t>19</t>
  </si>
  <si>
    <t>19. Impuesto sobre la Renta</t>
  </si>
  <si>
    <t>Impuestos</t>
  </si>
  <si>
    <t>De acuerdo con las disposiciones fiscales vigentes en la República de Panamá, las ganancias obtenidas por la Compañía por operaciones locales están sujetas al pago del impuesto sobre la renta, excepto las obtenidas por depósitos a plazo las cuales están exentas del pago del impuesto sobre la renta.</t>
  </si>
  <si>
    <t>Según regulaciones vigentes, las declaraciones del impuesto sobre la renta de la Compañía están sujetas a revisión por las autoridades fiscales para los tres últimos períodos fiscales, inclusive la del año terminado el 31 de diciembre de 2025.</t>
  </si>
  <si>
    <t>Mediante la Gaceta Oficial No. 26489-A, se publicó la Ley No. 8 de 15 de marzo de 2010, mediante la cual se modifican las tarifas generales del Impuesto sobre la Renta (ISR), aplicable a las personas jurídicas es una tasa de 25%. Sin embargo, dicha ley establece que las empresas en las cuales el Gobierno tenga una participación accionaria de más del 40%, permanecerán con la tasa de impuesto sobre la renta del 30%.</t>
  </si>
  <si>
    <t>page-130</t>
  </si>
  <si>
    <t>19. Impuesto sobre la Renta, continuación</t>
  </si>
  <si>
    <t>Debido a las posibles diferentes interpretaciones que pueden darse a las normas fiscales, los resultados de las inspecciones que en el futuro pudieran llevar a cabo las autoridades fiscales para los años sujetos a verificación pueden dar lugar a pasivos fiscales, cuyo importe no es posible cuantificar en la actualidad de una manera objetiva.</t>
  </si>
  <si>
    <t>El gasto de impuesto sobre la renta es el siguiente:</t>
  </si>
  <si>
    <t>tbl-117.html</t>
  </si>
  <si>
    <t>[tbl-117.html](tbl-117.html)(tbl-116.html)(tbl-116.html)</t>
  </si>
  <si>
    <t>A continuación, se presenta conciliación del impuesto sobre la renta calculado, aplicando la tasa reglamentaria a la utilidad según el estado de resultado integral, con la provisión para impuesto sobre la renta mostrado en dicho estado:</t>
  </si>
  <si>
    <t>[tbl-117.html](tbl-117.html)</t>
  </si>
  <si>
    <t>page-131</t>
  </si>
  <si>
    <t>Los rubros significativos con efectos impositivos que componen los activos y los pasivos de impuesto sobre la renta diferido al 31 de diciembre se detallan a continuación:</t>
  </si>
  <si>
    <t>tbl-119.html</t>
  </si>
  <si>
    <t>[tbl-119.html](tbl-119.html)(tbl-118.html)(tbl-118.html)</t>
  </si>
  <si>
    <t>A continuación, se presenta un análisis de los activos y pasivos diferido para propósito de presentación del estado de situación financiera:</t>
  </si>
  <si>
    <t>[tbl-119.html](tbl-119.html)</t>
  </si>
  <si>
    <t>El impuesto sobre la renta diferido se reconoce con base a las diferencias fiscales deducibles considerando sus operaciones pasadas y las utilidades gravables proyectadas, las cuales se espera sean por el método tradicional, que consideran la aplican de las diferencias temporarias deducibles. Los activos diferidos y pasivos diferidos se compensan y presentan netos en el estado de situación financiera porque se esperan liquidar de forma neta a través de la declaración de renta, cuando las diferencias temporales cesen.</t>
  </si>
  <si>
    <t># **Precios de transferencias**</t>
  </si>
  <si>
    <t>La Ley No.52 del 28 de agosto de 2012, estableció el régimen de precios de transferencias orientado a regular con fines tributarios las transacciones que se realizan entre partes relacionadas, y aplicables a operaciones que el contribuyente realice con partes relacionadas que sean residentes fiscales de otras jurisdicciones. Los aspectos más relevantes de esta regulación incluyen:</t>
  </si>
  <si>
    <t>- Los contribuyentes deberán presentar, anualmente, una declaración informativa de las operaciones relacionadas con partes relacionadas, dentro de los seis (6) meses siguientes del cierre del período fiscal correspondiente. Esta obligación es exigible para transacciones realizadas a partir del período fiscal 2012. - La falta de presentación del informe anterior será sancionada con multa equivalente al 1% del monto total de las operaciones con partes relacionadas.</t>
  </si>
  <si>
    <t>page-132</t>
  </si>
  <si>
    <t>- Las personas obligadas a presentar el informe a que se refiere el punto anterior deberán mantener un estudio de precios de transferencia, el cual deberá contener la información y el análisis que permita valorar y documentar sus operaciones con partes relacionadas, de acuerdo con las disposiciones establecidas en la Ley. El contribuyente solo deberá presentar este estudio a requerimiento de la Dirección General de Ingresos dentro del plazo de 45 días posteriores a su solicitud.</t>
  </si>
  <si>
    <t>20</t>
  </si>
  <si>
    <t>20. Administración de Riesgos Financieros</t>
  </si>
  <si>
    <t>Riesgo financiero</t>
  </si>
  <si>
    <t># **Objetivos de la administración de riesgos financieros**</t>
  </si>
  <si>
    <t>Las políticas de administración de riesgo de la Compañía son diseñadas para identificar y analizar estos riesgos, para establecer límites y controles apropiados para el riesgo, y para monitorear los riesgos y el cumplimiento de los límites por medio de sistemas de información fiables y actualizados. La Compañía regularmente revisa sus políticas y sistemas de administración de riesgo para reflejar los cambios en el mercado, los productos y las mejores prácticas. La administración del riesgo es realizada por la Compañía bajo las políticas, aprobadas por Grupo Naturgy. La Compañía identifica, evalúa, monitorea y administra los riesgos financieros relacionados a las operaciones de la Compañía a través de reportes internos de riesgos con exposición de riesgo por grado y magnitud de los mismos.</t>
  </si>
  <si>
    <t>Los principales riesgos monitoreados por la Compañía son el riesgo de capital, riesgo tasa de interés, riesgo de crédito y riesgo de liquidez.</t>
  </si>
  <si>
    <t>La Compañía administra su capital para asegurarse de poder:</t>
  </si>
  <si>
    <t>- Continuar como negocio en marcha mientras maximiza los retornos a los accionistas a través de la optimización del saldo de deuda y capital. - Mantener un capital base lo suficientemente fuerte para soportar el desempeño de su negocio. - Cumplir con las exigencias de capital exigidas por las instituciones financieras que les han otorgado créditos.</t>
  </si>
  <si>
    <t>La estructura de capital de la Compañía consiste en deuda financiera, que incluye los préstamos revelados en la Nota 11, neto de efectivo y el patrimonio atribuible a los accionistas de Naturgy Group, que comprende capital emitido, las reservas y las utilidades no distribuidas según se indica en la Nota 10.</t>
  </si>
  <si>
    <t>La Compañía revisa la estructura de capital sobre una base trimestral. Como parte de esta revisión, la administración considera el costo de capital y los riesgos asociados a cada clase de capital.</t>
  </si>
  <si>
    <t>page-133</t>
  </si>
  <si>
    <t>20. Administración de Riesgos Financieros, continuación</t>
  </si>
  <si>
    <t>La razón de endeudamiento fue como sigue:</t>
  </si>
  <si>
    <t>tbl-121.html</t>
  </si>
  <si>
    <t>[tbl-121.html](tbl-121.html)(tbl-120.html)(tbl-120.html)</t>
  </si>
  <si>
    <t># **Riesgo de Tasa de Interés**</t>
  </si>
  <si>
    <t>La Compañía no ha adquirido hasta el presente derivados financieros para protegerse del riesgo de pérdidas por variaciones en las tasas de interés de los préstamos bancarios. La Compañía adquiere su financiamiento principalmente de bancos locales y expresados en US dólares de los Estados Unidos de América a tasa de interés variable.</t>
  </si>
  <si>
    <t>Para controlar el impacto potencial de las tasas de interés, la Compañía determina la sensibilidad del margen financiero debido a cambios en las tasas de interés. El análisis base consiste en determinar el impacto de aumentos o disminuciones en 50 puntos básicos (pbs) en las tasas de interés, considerando como premisa, la tasa mínima del 0.005% en casos donde el resultado genere valores negativos cuando se sensibilizan valores actuales.</t>
  </si>
  <si>
    <t>A continuación, se muestra un resumen del impacto en el ingreso neto de intereses que tendría un aumento/disminución de 50 pbs:</t>
  </si>
  <si>
    <t>[tbl-121.html](tbl-121.html)</t>
  </si>
  <si>
    <t>La deuda a tipo de interés variable está referenciada a las tasas de interés SOFR; y los préstamos están en dólares de Estados Unidos de América.</t>
  </si>
  <si>
    <t>Es el riesgo de que el deudor o emisor de un activo financiero propiedad de la Compañía no cumpla, completamente y a tiempo, con cualquier pago que debía hacer a la Compañía de conformidad con los términos y condiciones pactados al momento en que la Compañía adquirió el respectivo activo financiero.</t>
  </si>
  <si>
    <t>El riesgo de crédito de la Compañía es atribuible principalmente a sus deudas comerciales. Los importes se reflejan en el estado de situación financiera netos de provisiones para insolvencias, estimadas por la administración de la Compañía en función de la experiencia de ejercicios anteriores y de su valorización del entorno económico actual.</t>
  </si>
  <si>
    <t>page-134</t>
  </si>
  <si>
    <t>El riesgo de crédito de fondos líquidos es limitado porque las contrapartes son entidades bancarias.</t>
  </si>
  <si>
    <t>La Compañía no tiene una concentración significativa de riesgo de crédito, estando la exposición distribuida entre un gran número de contrapartes y clientes. La máxima exposición al riesgo de crédito está representada por el monto en libros de cada activo financiero.</t>
  </si>
  <si>
    <t>No existe una exposición importante al riesgo de liquidez, ya sea originado por la posibilidad de que los clientes no puedan cumplir con sus obligaciones con la Compañía dentro de los términos normales establecidos, o bien, porque la Compañía tenga dificultades para obtener fondos para cumplir con sus compromisos asociados con activos y pasivos financieros.</t>
  </si>
  <si>
    <t>La siguiente tabla analiza los pasivos financieros de la Compañía por fecha de vencimiento. Dicho análisis se muestra según la fecha de vencimiento contractual y son flujos de efectivo sin descontar al valor presente del estado de situación financiera. Los saldos con vencimiento de menos de un año son iguales a su valor en libros, debido a que el efecto del descuento no es significativo.</t>
  </si>
  <si>
    <t>tbl-122.html</t>
  </si>
  <si>
    <t>[tbl-122.html](tbl-122.html)(tbl-122.html)</t>
  </si>
  <si>
    <t>21</t>
  </si>
  <si>
    <t>21. Medición del Valor Razonable</t>
  </si>
  <si>
    <t>Instrumentos financieros</t>
  </si>
  <si>
    <t>Todos los activos y pasivos de la Compañía son medidos al costo histórico; sin embargo, la base de preparación de estos estados financieros requiere revelar el valor razonable de los activos financieros y pasivos financieros.</t>
  </si>
  <si>
    <t>Los valores razonables se clasifican en niveles distintos dentro de una jerarquía de valor razonable que se basa en los datos de entrada usados en las técnicas de valoración, como sigue:</t>
  </si>
  <si>
    <t>- Nivel 1: Con base en precios cotizados en mercados activos para activos o pasivos idénticos a los que la Compañía puede acceder en la fecha de la medición.</t>
  </si>
  <si>
    <t>page-135</t>
  </si>
  <si>
    <t>21. Medición del Valor Razonable, continuación</t>
  </si>
  <si>
    <t>- Nivel 2: Con base en técnicas de valuación comúnmente usadas por los participantes del mercado que utilizan variables distintas de los precios cotizados que son observables para los activos o pasivos, directa o indirectamente. - Nivel 3: Con base en técnicas de valuación internas de descuento de flujos de efectivo u otros modelos de valoración, utilizando variables estimadas por la Compañía no observables para el activo o pasivo, en ausencia de variables observadas en el mercado.</t>
  </si>
  <si>
    <t>El valor razonable ha sido determinado aplicando las siguientes técnicas de valoración:</t>
  </si>
  <si>
    <t>- Instrumentos de deuda a largo plazo con tasa de interés fija: ha sido determinado con datos de entrada de nivel 1 que utiliza precios cotizados en mercados activos para pasivos idénticos a los que la Compañía puede acceder en la fecha de medición. - Instrumentos de deuda a largo plazo con tasa de interés variable: ha sido determinado con datos de entrada de nivel 3, utilizando una metodología de flujos de efectivo descontados con base a la información disponible del mercado. - Cuentas por cobrar comerciales, acreedores comerciales y otras cuentas por pagar, y deuda financiera a corto plazo: el importe en libros de estos activos financieros y pasivos financieros se aproxima al valor razonable debido al corto vencimiento de estos instrumentos.</t>
  </si>
  <si>
    <t>La siguiente tabla muestra el valor razonable de la deuda financiera a largo plazo, incluyendo su jerarquía de valor razonable. La tabla no incluye el resto de los activos y pasivos financieros debido a que su importe en libros se aproxima a su valor razonable.</t>
  </si>
  <si>
    <t>tbl-123.html</t>
  </si>
  <si>
    <t>[tbl-123.html](tbl-123.html)(tbl-123.html)</t>
  </si>
  <si>
    <t>El valor razonable de la deuda financiera al 31 de diciembre de 2025 y 2024, se ha determinado en base a flujos descontados de caja utilizando una tasa de 8.80%.</t>
  </si>
  <si>
    <t>Las técnicas de valoración utilizadas en el período actual no han cambiado con respecto a las utilizadas el período anterior. No han ocurrido transferencias entre los niveles de jerarquía del valor razonable.</t>
  </si>
  <si>
    <t>page-136</t>
  </si>
  <si>
    <t>13 de mayo de 2025</t>
  </si>
  <si>
    <t>CALIFICACIONES ACTUALES (*)</t>
  </si>
  <si>
    <t>tbl-124.html</t>
  </si>
  <si>
    <t>[tbl-124.html](tbl-124.html)(tbl-124.html)</t>
  </si>
  <si>
    <t>(*) La nomenclatura 'pa' refleja riesgos solo comparables en Panamá. Para mayor detalle sobre las calificaciones asignadas ver la sección de información complementaria, al final de este reporte.</t>
  </si>
  <si>
    <t>Pilar Olaechea +511.616.0409 Associate Director Credit Analyst Pilar.Olaechea@moodys.com</t>
  </si>
  <si>
    <t>Juan Carlos Alcalde +511.616.0410 Director Credit Analyst Juancarlos.Alcalde@moodys.com</t>
  </si>
  <si>
    <t>Jaime Tarazona +511.616.0417 Ratings Manager Jaime.Tarazona@moodys.com</t>
  </si>
  <si>
    <t>Panamá +507.214.3790</t>
  </si>
  <si>
    <t># Empresa de Distribución Eléctrica Metro-Oeste S.A. – EDEMET</t>
  </si>
  <si>
    <t>Moody's Local PA Calificadora de Riesgo S.A. (en adelante, Moody's Local Panamá) asigna la categoría AA-.pa al Programa Rotativo de Bonos Corporativos de Empresa de Distribución Eléctrica Metro-Oeste S.A. – EDEMET (en adelante, EDEMET, la Empresa o la Compañía), por hasta US$350 millones. La perspectiva asignada es Estable.</t>
  </si>
  <si>
    <t>La calificación se sustenta en la estabilidad y predictibilidad de los ingresos del negocio de distribución de energía, al tratarse de un negocio regulado con tarifas basadas principalmente en la retribución de las inversiones realizadas, aplicando una tasa de retorno regulatoria de 8.90%. Las tarifas son revisadas cada cuatro años y actualizadas cada seis meses por el IPC.</t>
  </si>
  <si>
    <t>Adicionalmente, se pondera favorablemente que la Empresa cuente con un Contrato de Concesión que le otorga el derecho de exclusividad para ofrecer el servicio de distribución en su zona de concesión, que además establece el nivel de inversiones que debe ejecutar durante cada periodo tarifario (cuatro años), con el fin de lograr la expansión de la concesión.</t>
  </si>
  <si>
    <t>Se considera positivo el hecho de que la Empresa atiende a casi la mitad del mercado de distribución en cuanto a clientes, y es líder en la venta de energía con el 51% de las ventas del 2024 a nivel nacional. Además, la Empresa posee aproximadamente la mitad de la infraestructura de distribución de electricidad de Panamá, lo que la convierte en una operación muy importante y estratégica para el país.</t>
  </si>
  <si>
    <t>Es importante destacar que EDEMET es propiedad de Naturgy, empresa que mantiene el 51% de las acciones y que lleva 27 años en el negocio de distribución eléctrica en Panamá. Además, cuenta con participación en los negocios de generación de energía eléctrica en Panamá. Naturgy cuenta con una calificación de riesgo de Baa2 con Perspectiva Estable otorgada por Moody's Ratings. La propiedad de Naturgy se estima se mantendría al menos hasta 2028, según los términos contractuales actualmente establecidos en el contrato de Concesión.</t>
  </si>
  <si>
    <t>El programa de Bonos Rotativos contempla una garantía ante situaciones de incumplimiento a través de una fianza solidaria otorgada por Empresa de Distribución de Chiriquí S.A. (EDECHI), la cual es la segunda empresa distribuidora de energía más importante del mercado panameño y al igual que EDEMET, es subsidiaria de Naturgy en la misma proporción.</t>
  </si>
  <si>
    <t>Una limitante a la calificación es el descalce entre el vencimiento de dos series de bonos corporativos (2030-2032) y el del Contrato de Concesión (2028), lo que genera incertidumbre respecto al flujo de caja destinado a cubrir</t>
  </si>
  <si>
    <t>page-137</t>
  </si>
  <si>
    <t>los pagos de servicio de deuda y respecto al manejo operativo de la Compañía. Suma a lo anterior, que la amortización de dichas series es de tipo *bullet*, lo que añade riesgo de refinanciamiento a la transacción y podría generar presiones adicionales en los niveles de flujo de caja de EDEMET.</t>
  </si>
  <si>
    <t>Finalmente, pondera negativamente en la clasificación el riesgo de liquidez que presenta la Empresa, derivado de los importantes niveles de atraso en la cobranza de las cuentas por cobrar. A la fecha de corte de evaluación el déficit de capital de trabajo aumentó significativamente. Lo anterior es mitigado parcialmente con actividades de *factoring*, así como con la disponibilidad de líneas y facilidades bancarias con las que cuenta la Empresa. Sin embargo, esto último propicia altos niveles de apalancamiento para la Empresa.</t>
  </si>
  <si>
    <t>**Fortalezas crediticias**</t>
  </si>
  <si>
    <t>- Estabilidad y predictibilidad en los ingresos al tratarse de una empresa de distribución de electricidad. - Respaldo patrimonial de Naturgy, empresa con 27 años de experiencia en el mercado, la cual posee el 51% de las acciones de EDEMET y EDECHI, y que contribuye con directrices y *know how* para las operaciones en Panamá a través de la plana gerencial. - Contrato de Concesión que le otorga derecho exclusivo para ofrecer el servicio de distribución de energía eléctrica en el área de concesión. - Importante posicionamiento en el mercado de energía panameño, que atiende a casi la mitad de los clientes, realiza ventas equivalentes al 51% del total de ventas a nivel nacional y opera el 49% de la red de distribución nacional. - Contrato de Fianza solidaria de parte de EDECHI, que fortalece la estructura en caso EDEMET no haga frente a sus obligaciones con los bonistas.</t>
  </si>
  <si>
    <t>**Debilidades crediticias**</t>
  </si>
  <si>
    <t>- Descalce en fechas de vencimiento, ya que los bonos tienen una fecha de vencimiento posterior al vencimiento del Contrato de Concesión de la Empresa, lo que genera incertidumbre respecto al flujo de caja destinado a cubrir el servicio de deuda. - Riesgo de refinanciamiento debido al esquema de amortización *bullet* de los Bonos Corporativos. - Riesgo de liquidez y elevados niveles de apalancamiento derivados del importante nivel de cuentas por cobrar al comerciales que presentan un importante nivel de atraso en el pago.</t>
  </si>
  <si>
    <t>**Factores que pueden generar una mejora de la calificación**</t>
  </si>
  <si>
    <t>- Cobro puntual de las cuentas por cobrar comerciales de manera sostenible, lo que podría mejorar el nivel de liquidez de la Compañía y reducir los niveles de apalancamiento. - Estructura donde los bonos presenten una fecha de vencimiento calzada con la fecha de vencimiento del Contrato de Concesión.</t>
  </si>
  <si>
    <t>**Factores que pueden generar un deterioro de la calificación**</t>
  </si>
  <si>
    <t>- Ajuste del flujo de caja utilizado para cubrir el pago del servicio de la deuda producto de presiones en niveles de liquidez por mayor atraso en pago de cuentas por cobrar. - Ajuste en capacidad de pago de la deuda producto de que una empresa distinta a Naturgy, con un perfil crediticio más riesgoso sea adjudicataria del paquete mayoritario de acciones de EDEMET. - Ajuste en capacidad de pago de la deuda como Fiador, producto de que una empresa distinta a Naturgy, con un perfil crediticio más riesgoso sea adjudicataria del paquete mayoritario de acciones de EDECHI.List Bullet</t>
  </si>
  <si>
    <t>page-138</t>
  </si>
  <si>
    <t>Empresa de Distribución Eléctrica Metro-Oeste S.A. – EDEMET, es una sociedad anónima debidamente organizada y existente de acuerdo a las leyes de la República de Panamá. Fue constituida en enero de 1998 luego de la privatización del Instituto de Recursos Hídricos y Electrificación (IRHE) y su división en ocho empresas, tres de ellas distribuidoras: Empresa de Distribución de Electricidad Metro-Oeste S.A. – EDEMET, Empresa de Distribución de Chiriquí S.A. – EDECHI y Elektra Noreste S.A. (ENSA).</t>
  </si>
  <si>
    <t>La actividad principal de la Empresa es la distribución de energía eléctrica y servicios complementarios; además, la instalación, operación y mantenimiento del alumbrado público en el área de concesión. La Empresa cuenta con la siguiente estructura accionaria: Grupo Naturgy$^{1}$ que tiene el 51% de las acciones; el gobierno panameño que tiene el 48.05%; y, los empleados que tienen el 0.95% de las acciones.</t>
  </si>
  <si>
    <t>La Empresa cuenta con un Contrato de Concesión que establece la actividad principal de la Compañía y otorga la exclusividad para ofrecer servicios de distribución eléctrica a clientes ubicados en su zona de concesión: provincias de Veraguas, Coclé, Herrera, Los Santos y área oeste de provincia de Panamá. Además, el Contrato detalla una serie de obligaciones y derechos en materia de prestación del servicio, indivisibilidad del paquete mayoritario de acciones, envío de información técnica y financiera al regulador, cumplimiento de estándares técnicos de calidad, entre otros. El Contrato de Concesión tiene una vigencia de 15 años, que van desde octubre de 2013 hasta octubre de 2028, momento en el cual se realizará la venta del paquete mayoritario de acciones (el 51% de propiedad de Naturgy), donde Naturgy puede participar nuevamente. Dicho paquete se adjudica al postor que ofrezca el mayor precio, y en este proceso puede volver a participar Naturgy.</t>
  </si>
  <si>
    <t># **Operaciones productivas**</t>
  </si>
  <si>
    <t>Las operaciones de la Compañía comprenden el servicio de distribución de electricidad y servicios complementarios. Para eso, EDEMET cuenta con objetivos estratégicos determinados por su matriz, los cuales son los siguientes: i) garantizar la calidad del servicio; ii) mantener adecuada gestión siguiendo la regulación establecida; iii) generar eficiencia operativa y reducción de pérdidas; y, iv) mantener disciplina financiera.</t>
  </si>
  <si>
    <t>EDEMET participa en el mercado panameño junto con EDECHI y ENSA. EDEMET y EDECHI son propiedad del Grupo Naturgy en la misma proporción. EDEMET mantiene propiedad del 49% del total de líneas de red, mientras que EDECHI mantiene propiedad del 21% de ésta. En cuanto a la distribución de mercado, EDEMET atiende el 44% de los clientes totales al cierre del 2024, mientras que EDECHI atiende al 42%, y ENSA al 14%. En cuanto a las ventas de energía, EDEMET vendió 4,817 GWh, que representa el 51% de las ventas a nivel nacional al cierre del 2024; mientras que EDECHI vendió 1,085 GWh, que representa el 12% de las ventas totales. Las ventas de EDEMET muestran un crecimiento anual promedio de 5.2% entre los años 2021 y 2024 y se encuentran concentradas en el segmento comercial y residencial con el 41.6% y 40.4%, respectivamente.</t>
  </si>
  <si>
    <t>La Empresa ha venido realizando inversiones de *capex* destinadas al crecimiento de la red y a su mantenimiento en los últimos años, en una proporción de 51.6% y 48.4%, en promedio, respectivamente. Estas son las inversiones comprometidas que se encuentran detalladas en el Contrato de Concesión, que le permite a la Empresa expandir su zona de concesión en 1,000 metros cada año desde el año 3 de operación, hasta alcanzar los 5,000 metros de distancia desde la ubicación de las líneas existentes al inicio de la concesión. Además, EDEMET mantiene compromisos de realizar la conexión eléctrica a sistemas aislados dentro de la concesión (siempre y cuando se determine la necesidad de suministro), así como de realizar inversiones de electrificación rural, mediante un plan de electrificación que deberá presentar en cada periodo tarifario.</t>
  </si>
  <si>
    <t>Las tarifas son revisadas cada cuatro años y son fijadas por la Autoridad Nacional de Servicios Públicos (ASEP) basándose en un modelo de Ingreso Máximo Permitido (*Price Cap*), donde se remunera, principalmente, las inversiones realizadas y se aplica una tasa de retorno regulatoria del 8.90%. Además, un componente de la tarifa activa el incentivo de generar ahorros basados en eficiencias, donde se permite que la Empresa registre como utilidad adicional parte de dichos ahorros generados. Según la metodología regulatoria, existe un mecanismo de compensación llamado Desvío</t>
  </si>
  <si>
    <t>page-139</t>
  </si>
  <si>
    <t>Tarifario, que representa la diferencia contable del precio de la energía estimado por la tarifa y lo efectivamente pagado a los generadores. Esa diferencia se debe compensar en el mismo periodo del siguiente año.</t>
  </si>
  <si>
    <t>### Principales aspectos crediticios</t>
  </si>
  <si>
    <t>**Estimamos que continuará el crecimiento constante de los activos liderado por el alto nivel de inversiones regulatorias en activo fijo. La alta participación de cuentas por cobrar continuaría debilitando la posición contable de liquidez.**</t>
  </si>
  <si>
    <t>Los activos totales muestran un crecimiento promedio de 3.70% entre los años 2020 y 2024, donde la cuenta más importante es la de activo fijo, representando el 74.90% del total de activos a diciembre de 2024. Esto es resultado de las inversiones que ha venido realizando EDEMET como parte de las inversiones acordadas de cada periodo tarifario. Así, entre los años 2020 y 2024, la Compañía ha invertido en promedio US$100 millones que han sido destinados tanto a la ampliación del sistema de distribución como al mantenimiento de la misma, en una proporción promedio correspondiente a 48% y 52%, respectivamente. Para los próximos años (2025-2028), se estima realizar inversiones por US$110 millones de manera anual, en promedio, llevando a que el total de activos ascienda a US$1,683.6 millones al cierre del 2028.</t>
  </si>
  <si>
    <t>Por su parte, otra cuenta que es de relevancia para la Compañía es la de Cuentas por Cobrar, representando el 20.08% del total de activos en el 2024. La importancia de esta cuenta se centra en que un alto porcentaje de estas se encuentran vencidas, lo cual tiene un impacto en el requerimiento de capital de trabajo de la Compañía, que es negativo. Estas cuentas por cobrar comerciales recogen tres elementos que generan dicho impacto: i) el Desvío Tarifario, el cual es cobrado$^{2}$ un año después de ser generado; ii) los subsidios que otorga el Gobierno a ciertos clientes particulares y que debe compensar directamente a los distribuidores, son pagados con un atraso de seis meses adicionales al plazo establecido de 90 días desde cada cierre semestral; y, iii) consumo de energía por parte del Gobierno, el cual presenta un atraso en los pagos de hasta 12 meses.</t>
  </si>
  <si>
    <t>De esta manera, dichos factores afectan los indicadores de liquidez corriente, que se mantienen en 0.78x en promedio para el periodo analizado. Para mitigar este riesgo, EDEMET cuenta con diversas líneas bancarias de corto plazo y facilidades crediticias de largo plazo con los principales bancos de Panamá, y también realiza operaciones de *factoring* con el fin de obtener liquidez inmediata para hacer frente a sus gastos operativos y financieros.</t>
  </si>
  <si>
    <t>**GRÁFICO 1** Evolución de la estructura de activos</t>
  </si>
  <si>
    <t>Fuente: EDEMET / Elaboración: Moody's Local Panamá</t>
  </si>
  <si>
    <t>**GRÁFICO 2** Evolución de indicadores de liquidez</t>
  </si>
  <si>
    <t>page-140</t>
  </si>
  <si>
    <t># **El crecimiento de activos ha sido financiado en su mayor parte por deuda financiera. Para próximas inversiones, la estructura de fondeo se diversificará mediante la emisión de Bonos Corporativos**</t>
  </si>
  <si>
    <t>Los pasivos de EDEMET han mostrado un crecimiento promedio de 3.15% entre 2020 y 2024, y estos ascendieron a US$1,246.7 millones. En cuanto a su composición, la deuda financiera es el pasivo más importante con 63.44% del total de las fuentes de fondeo, seguido por las cuentas por pagar comerciales con 10.72%. La deuda financiera ascendió a un total de US$933.7 millones, lo que incluye un saldo de US$172.3 millones de líneas de crédito para hacer frente a las necesidades de corto plazo de la Empresa derivadas de lo explicado anteriormente. Para los próximos periodos, se espera reducir la concentración de la deuda financiera proveniente de bancos para incrementar la participación de financiamiento mediante mercado de capitales. Para esto, existe la expectativa de que la Compañía registre un programa rotativo de Bonos Corporativos Rotativos hasta por US$350 millones.</t>
  </si>
  <si>
    <t>El patrimonio ascendió a US$225.1 millones, desde US$171.4 millones en el 2020. Durante este tiempo, el capital social se ha mantenido estable en US$82.6 millones, por lo que el crecimiento del patrimonio ha sido derivado de las utilidades generadas en cada periodo, neto del reparto de dividendos. En este sentido, el patrimonio ha representado en promedio el 15% de la estructura de fondeo en los últimos años.</t>
  </si>
  <si>
    <t>Moody's Local Panamá espera que EDEMET mantenga esta proporción en cuanto a fuentes de fondeo en los próximos años; sin embargo, se espera observar una mayor diversificación dentro de los pasivos con la entrada del programa de Bonos Corporativos Rotativos.</t>
  </si>
  <si>
    <t>**GRÁFICO 3** Evolución de la estructura de fondeo</t>
  </si>
  <si>
    <t># **Se espera que continúe la mejora en las principales métricas de rentabilidad de la Compañía, aunque la utilidad neta podría continuar presentando cierto grado de variabilidad por el incremento de los gastos financieros**</t>
  </si>
  <si>
    <t>EDEMET presenta un resultado bruto de operación bastante sólido, reflejando la estabilidad y predictibilidad que presentan los ingresos de las empresas pertenecientes al sector de distribución de energía. Este sector se encuentra regulado por la autoridad (ASEP), específicamente en cuanto a las tarifas máximas que pueden cargar a los clientes. Las tarifas son definidas a través de un esquema de Ingreso Máximo Permitido (*Price Cap*), lo que garantiza estabilidad financiera y eficiencia operativa. Además, la tarifa incluye un componente que retribuye las inversiones realizadas por la Compañía aplicando una tasa de retorno y, por otro lado, un componente de eficiencia, donde en caso la Compañía genere eficiencias sin reducir la calidad de servicio, se le permite retener parte de dichos ahorros como ganancia adicional.</t>
  </si>
  <si>
    <t>En línea con lo indicado en el párrafo previo, el resultado bruto de EDEMET presenta un crecimiento promedio anual de 14.69% entre 2020 y 2024, lo que la llevó a presentar márgenes brutos promedio de 19.92% en 2020-2022 y de 23.47% y 26.94% en 2023 y 2024, respectivamente. El crecimiento observado en el 2023 se explica por un rezago en la aplicación de la tarifa revisada, mientras que el registrado en el 2024 se explica por una actualización de la tarifa al alza.</t>
  </si>
  <si>
    <t>page-141</t>
  </si>
  <si>
    <t>En esa misma línea, el EBITDA ajustado$^{3}$ muestra un crecimiento promedio relevante de 26.42% entre 2020 y 2024, ascendiendo a US$193.7 millones y registrando un margen EBITDA ajustado de 22.20% en el 2024, superior al registrado en años previos. Por otro lado, al tratarse de una empresa intensiva en capital, los gastos de depreciación representan alrededor de 5.60% del total de ingresos y se encuentran en el orden de US$48.3 millones en el 2024, lo que impacta al resultado operativo.</t>
  </si>
  <si>
    <t>Adicionalmente, la Compañía muestra un nivel importante de gastos financieros especialmente en el 2022, 2023 y 2024, lo que se debe al mayor nivel de deuda financiera asumido, como respuesta al mayor nivel de *capex*, así como a la menor liquidez de la Compañía producto de los factores explicados anteriormente. Considerando todo lo anterior, la utilidad neta ha mostrado variabilidad en los últimos cinco años, aunque muestra un crecimiento significativo en el 2024 ascendiendo a US$39.8 millones, desde US$8.3 millones en el 2023.</t>
  </si>
  <si>
    <t>Se espera que para el 2025-2028 el EBITDA ajustado se ubique en US$221.9 millones, producto de un crecimiento promedio de 2.3% en los ingresos y un menor gasto de energía (relativo a los ingresos) por el menor costo de ésta. Adicionalmente, los menores gastos financieros por el menor saldo de deuda promedio, permitiría alcanzar un mayor nivel de utilidad neta.</t>
  </si>
  <si>
    <t>**GRÁFICO 4** Evolución del EBITDA aj. y margen EBITDA aj.</t>
  </si>
  <si>
    <t>**GRÁFICO 5** Evolución de los márgenes</t>
  </si>
  <si>
    <t># **Los indicadores de cobertura ajustados e indicadores de apalancamiento elevados han sido característica de los últimos ejercicios; sin embargo, esperamos una recuperación progresiva en el futuro**</t>
  </si>
  <si>
    <t>Los indicadores de cobertura medidos con el EBITDA ajustado y flujo de caja operativo cubren con holgura el pago de intereses financieros para el periodo en análisis. Sin embargo, considerando el servicio de deuda en cada periodo, estos indicadores muestran que la Compañía no es capaz de cubrir dichas necesidades únicamente con los flujos de operación, por lo que recurre a deuda financiera con bancos. Lo anterior se explica en gran parte por la situación de cobranza que se explicó anteriormente. Como mitigante, EDEMET cuenta con líneas bancarias y facilidades crediticias con diversas entidades financieras de Panamá y del exterior, realiza actividades de *factoring* y contará con la opción de poder emitir bonos corporativos en el mercado de capitales panameño. En línea con lo anterior, las necesidades de liquidez han llevado a contraer mayores niveles de deuda, lo que llevó a mantener indicadores de apalancamiento elevados.</t>
  </si>
  <si>
    <t>Sin embargo, producto del mayor EBITDA ajustado esperado y el menor saldo de deuda promedio, se espera que para los próximos años (2025-2028) los indicadores de EBITDA ajustado / servicio de deuda se ubiquen por encima de 1.17x; mientras que para el caso del flujo de caja operativo / servicio de deuda, estos valores se ubicarían por encima de 1.13x, con excepción del año 2025 año que presenta amortización significativa de deuda. En el caso de los indicadores de apalancamiento, se espera observar indicadores máximos de 4.15x.</t>
  </si>
  <si>
    <t>page-142</t>
  </si>
  <si>
    <t>**GRÁFICO 5** Evolución de indicadores de cobertura</t>
  </si>
  <si>
    <t>**GRÁFICO 6** Evolución de los márgenes</t>
  </si>
  <si>
    <t>La transacción presenta como garantía una Fianza Solidaria por parte de EDECHI, donde esta garantiza lo siguiente: i) el pago puntual y completo de los intereses y del capital adeudados por EDEMET de conformidad con los términos y condiciones en los documentos de la emisión de bonos; ii) los intereses moratorios que se generen por el no pago de intereses o capital por parte de EDEMET; y, los gastos y costas en que incurra cualquier tenedor de los bonos en caso de ejecución de la fianza.</t>
  </si>
  <si>
    <t>Desde hace 10 años, los auditores externos de EDEMET y EDECHI emiten su opinión con salvedad. Esta salvedad se refiere al reconocimiento del activo regulatorio que hacen las empresas y que se deriva del cálculo del Desvío Tarifario. Dicho desvío es reconocido como activo o pasivo de las compañías debido a que tal como se establece en la regulación, la empresa debería recibir o pagar dicho diferencial en el mismo periodo del año siguiente.</t>
  </si>
  <si>
    <t>Moody's Local Panamá no considera que este asunto tendría un impacto relevante en los estados financieros ya que, a pesar de contar con algunos retrasos en el pago, el mecanismo de compensación explicado se ha venido cumpliendo en cada periodo, tal como lo establece la regulación.</t>
  </si>
  <si>
    <t>No se contó con la documentación final relacionada al Programa Rotativo de Bonos Corporativos, por lo que cualquier cambio reflejado en la documentación final respecto a la información considerada podría afectar la calificación de riesgo.</t>
  </si>
  <si>
    <t>EDEMET se beneficia de las sinergias operativas que obtiene de su principal accionista, Naturgy (con el 51% de sus acciones), empresa pionera en la introducción del gas natural en España. Actualmente, Naturgy cuenta con presencia en más de 20 países, con un activo consolidado de US$42,469 millones. Desarrolla su actividad en los negocios de generación, distribución y comercialización de energía (gas y electricidad) y servicios asociados.</t>
  </si>
  <si>
    <t>Al cierre de 2024, presentó ventas netas por US$20,037 millones, un EBITDA de US$5,580 millones, un flujo de caja de US$4,152 millones y una deuda neta por US$12,689 millones. Además, durante el año realizó inversiones por US$2,371 millones.</t>
  </si>
  <si>
    <t>Naturgy cuenta con una experiencia de 27 años en el sector de energía de Panamá a través de las distribuidoras EDEMET y EDECHI (propietaria del 51% de las acciones de cada una) y la generadora Energía y Servicios de Panamá,</t>
  </si>
  <si>
    <t>page-143</t>
  </si>
  <si>
    <t>S.A. (ESEPSA). Naturgy cuenta con una calificación de riesgo de Baa2 con Perspectiva Estable, otorgados por *Moody's Ratings*.</t>
  </si>
  <si>
    <t>### Calificación de Deuda</t>
  </si>
  <si>
    <t>Moody's Local Panamá califica el Programa Rotativo de Bonos Corporativos de EDEMET hasta por US$350 millones. Las características principales se detallan a continuación:</t>
  </si>
  <si>
    <t>tbl-126.html</t>
  </si>
  <si>
    <t>[tbl-126.html](tbl-126.html)(tbl-125.html)(tbl-125.html)</t>
  </si>
  <si>
    <t>**TABLA 1** Indicadores Clave</t>
  </si>
  <si>
    <t>[tbl-126.html](tbl-126.html)</t>
  </si>
  <si>
    <t>page-144</t>
  </si>
  <si>
    <t># **Información Complementaria**</t>
  </si>
  <si>
    <t>tbl-127.html</t>
  </si>
  <si>
    <t>[tbl-127.html](tbl-127.html)(tbl-127.html)</t>
  </si>
  <si>
    <t># **Información considerada para la calificación.**</t>
  </si>
  <si>
    <t>La información utilizada en este informe comprende los Estados Financieros Auditados al 31 de diciembre de 2020, 2021, 2022, 2023 y 2024 de Empresa de Distribución de Electricidad Metro-Oeste S.A. – EDEMET. Moody's Local Panamá comunica al mercado que la información ha sido obtenida principalmente de la Entidad calificada y de fuentes que se conocen confiables, por lo que no se han realizado las actividades de auditoría sobre la misma. Moody's Local Panamá no garantiza su exactitud o integridad y no asume responsabilidad por cualquier error u omisión en ella.</t>
  </si>
  <si>
    <t># **Definición de las calificaciones asignadas.**</t>
  </si>
  <si>
    <t>Consulte el documento Escalas de Calificaciones de Panamá, disponible en https://www.moodyslocal.com.pa/, para obtener más información sobre las definiciones de las calificaciones asignadas.</t>
  </si>
  <si>
    <t>*Moody's Local Panamá agrega los modificadores "+" y "-" a cada categoría de calificación genérica que va de AA.pa a CCC.pa y de ML A-1.pa a ML A-3.pa. El modificador "+" indica que la obligación se ubica en el extremo superior de su categoría de calificación genérica, ningún modificador indica una calificación media, y el modificador "-" indica una calificación en el extremo inferior de la categoría de calificación genérica.*</t>
  </si>
  <si>
    <t># **Metodología Utilizada.**</t>
  </si>
  <si>
    <t>→ Metodología de calificación de empresas no financieras- (14/Mar/2023), disponible en https://moodyslocal.com.pa/reportes/metodologias-y-marcos-analiticos/</t>
  </si>
  <si>
    <t># **Declaración de importancia.**</t>
  </si>
  <si>
    <t>La calificación de riesgo de la entidad constituye únicamente una opinión profesional e independiente sobre la capacidad de la entidad calificada de administrar sus riesgos.</t>
  </si>
  <si>
    <t>El presente informe no debe considerarse una publicidad, propaganda, difusión o recomendación para adquirir, vender o negociar los instrumentos objeto de calificación.</t>
  </si>
  <si>
    <t>page-145</t>
  </si>
  <si>
    <t>© 2025 Moody's Corporation, Moody's Investors Service, Inc., Moody's Analytics, Inc. y/o sus licenciadores y filiales (conjuntamente 'MOODY'S'). Todos los derechos reservados.</t>
  </si>
  <si>
    <t xml:space="preserve">LAS CALIFICACIONES CREDITICIAS EMITIDAS POR LAS FILIALES DE CALIFICACIÓN CREDITICIA DE MOODY'S CONSTITUYEN SUS OPINIONES ACTUALES RESPECTO AL RIESGO CREDITICIO FUTURO RELATIVO DE ENTIDADES, COMPROMISOS CREDITICIOS, O INSTRUMENTOS DE DEUDA O SIMILARES, Y LOS MATERIALES, PRODUCTOS, SERVICIOS E INFORMACIÓN PUBLICADA O DE CUALQUIER OTRA MANERA PUESTA A DISPOSICIÓN POR MOODY'S (COLECTIVAMENTE LOS 'MATERIALES') PUEDEN INCLUIR DICHAS OPINIONES ACTUALES. MOODY'S DEFINE EL RIESGO CREDITICIO COMO EL RIESGO DERIVADO DE LA IMPOSIBILIDAD POR PARTE DE UNA ENTIDAD DE CUMPLIR CON SUS OBLIGACIONES FINANCIERAS CONTRACTUALES A SU VENCIMIENTO Y LAS PERDIDAS ECONÓMICAS ESTIMADAS EN CASO DE INCUMPLIMIENTO O INCAPACIDAD. CONSULTE LOS SÍMBOLOS Y LAS DEFINICIONES DE CALIFICACIÓN DE MOODY'S PARA OBTENER INFORMACIÓN SOBRE LOS TIPOS DE OBLIGACIONES FINANCIERAS CONTRACTUALES ENUNCIADAS POR LAS CALIFICACIONES CREDITICIAS DE MOODY'S. LAS CALIFICACIONES CREDITICIAS NO HACEN REFERENCIA A NINGÚN OTRO RIESGO, INCLUIDOS A MODO ENUNCIATIVO Y NO LIMITATIVO RIESGO DE LIQUIDEZ, RIESGO RELATIVO AL VALOR DE MERCADO O VOLATILIDAD DE PRECIOS. LAS CALIFICACIONES CREDITICIAS, EVALUACIONES NO CREDITICIAS ('EVALUACIONES') Y OTRAS OPINIONES INCLUIDAS EN LOS MATERIALES DE MOODY'S NO SON DECLARACIONES DE HECHOS ACTUALES O HISTÓRICOS. LOS MATERIALES DE MOODY'S PODRÁN INCLUIR ASIMISMO PREVISIONES BASADAS EN UN MODELO CUANTITATIVO DE RIESGO CREDITICIO Y OPINIONES O COMENTARIOS RELACIONADOS PUBLICADOS POR MOODY'S ANALYTICS, INC. </t>
  </si>
  <si>
    <t>LAS CALIFICACIONES CREDITICIAS, EVALUACIONES, OTRAS OPINIONES Y MATERIALES NO ESTÁN DESTINADAS PARA EL USO DE INVERSORES MINORISTAS Y SERÍA TEMERARIO E INAPROPIADO POR PARTE DE LOS INVERSORES MINORISTAS TENER EN CUENTA LAS CALIFICACIONES CREDITICIAS, EVALUACIONES, OTRAS OPINIONES O LOS MATERIALES DE MOODY'S AL TOMAR CUALQUIER DECISIÓN EN MATERIA DE INVERSIÓN. EN CASO DE DUDA, DEBERÍA PONERSE EN CONTACTO CON SU ASESOR FINANCIERO U OTRO ASESOR PROFESIONAL.</t>
  </si>
  <si>
    <t>TODA LA INFORMACIÓN CONTENIDA EN EL PRESENTE DOCUMENTO ESTÁ PROTEGIDA POR LEY, INCLUIDA PERO NO LIMITADA A LA LEY DE DERECHOS DE AUTOR (COPYRIGHT), NO PUDIENDO PARTE ALGUNA DE DICHA INFORMACIÓN SER COPIADA O EN MODO ALGUNO REPRODUCIDA, RECOPIADA, TRANSMITIDA, TRANSFERIDA, DIFUNDIDA, REDISTRIBUIDA O REVENDIDA, NI ARCHIVADA PARA SU USO POSTERIOR CON ALGUNO DE DICHOS FINES, EN TODO O EN PARTE, EN FORMATO, MANERA O MEDIO ALGUNO POR NINGUNA PERSONA SIN EL PREVIO CONSENTIMIENTO ESCRITO DE MOODY'S. PARA MAYOR CLARIDAD, NINGUNA INFORMACIÓN CONTENIDA AQUÍ PUEDE SER UTILIZADA PARA DESARROLLO, MEJORAR, ENTRENAR O REENTRENAR CUALQUIER PROGRAMA DE SOFTWARE O BASE DE DATOS, INCLUYENDO, PERO SIN LIMITARSE A, CUALQUIER SOFTWARE DE INTELIGENCIA ARTIFICIAL, APRENDIZAJE AUTOMÁTICO O PROCESAMIENTO DEL LENGUAJE NATURAL, ALGORITMO, METODOLOGÍA Y/O MODELO.</t>
  </si>
  <si>
    <t>LAS CALIFICACIONES CREDITICIAS, EVALUACIONES, OTRAS OPINIONES Y LOS MATERIALES DE MOODY'S NO ESTÁN DESTINADOS PARA SER UTILIZADOS POR NINGUNA PERSONA COMO UN REFERENTE. SEGÚN SE DEFINE DICHO TÉRMINO A EFECTOS REGULATORIOS, Y NO DEBEN SER UTILIZADOS EN MODO ALGUNO QUE PUDIERA DAR LUGAR A QUE SE LOS CONSIDERAR COMO UN REFERENTE.</t>
  </si>
  <si>
    <t>Toda la información incluida en el presente documento ha sido obtenida por MOODY'S a partir de fuentes que estima correctas y fiables. No obstante, debido a la posibilidad de error humano o mecánico, así como de otros factores, toda la información aquí contenida se proporciona 'TAL Y COMO ESTÁ', sin garantía de ningún tipo. MOODY'S adopta todas las medidas necesarias para que la información que utiliza al asignar una calificación crediticia sea de suficiente calidad y de fuentes que Moody's considera fiables, incluidos, en su caso, terceros independientes. Sin embargo, Moody's no es una firma de auditoría y no puede en todos los casos verificar o validar de manera independiente la información recibida en el proceso de calificación crediticia o en la elaboración de los Materiales.</t>
  </si>
  <si>
    <t>En la medida en que las leyes así lo permitan, MOODY'S y sus directores, oficiales, empleados, agentes, representantes, licenciadores y proveedores declinan toda responsabilidad frente a cualesquier persona o entidad con relación a pérdidas o daños indirectos, especiales, derivados o accidentales de cualquier naturaleza, derivados de o relacionados con la información aquí contenida o el uso o imposibilidad de uso de dicha información, incluso cuando MOODY'S o cualquiera de sus directores, oficiales, empleados, agentes, representantes, licenciadores o proveedores fuera advertido previamente de la posibilidad de dichas pérdidas o daños, incluido pero no limitado a (a) lucro cesante presente o futuro o (b) cualquier pérdida o daño que surja cuando el instrumento financiero en cuestión no sea objeto de una calificación crediticia concreta otorgada por MOODY'S.</t>
  </si>
  <si>
    <t>MOODY'S NO OTORGA NI OFRECE GARANTÍA ALGUNA, EXPRESA O IMPLÍCITA, CON RESPECTO A LA PRECISIÓN, OPORTUNIDAD, EXHAUSTIVIDAD, COMERCIABILIDAD O IDONEIDAD PARA UN FIN DETERMINADO SOBRE CALIFICACIONES CREDITICIAS, EVALUACIONES Y DEMÁS OPINIONES O INFORMACIÓN.</t>
  </si>
  <si>
    <t>Moody's Investors Service, Inc., agencia de calificación crediticia, subsidiaria de propiedad total de Moody's Corporation ('MCO'), informa por la presente que la mayoría de los emisores de títulos de deuda (incluidos bonos corporativos y municipales, obligaciones, notas y pagarés) y acciones preferentes calificados por Moody's Investors Service, Inc. han acordado, con anterioridad a la asignación de cualquier calificación, abonar a Moody's Investors Service, Inc. por sus servicios de opinión y calificación. MCO y todas las entidades de MCO que emiten calificaciones bajo la marca 'Moody's Ratings' ('Moody's Ratings') también mantienen políticas y procedimientos para garantizar la independencia de las calificaciones y los procesos de asignación de calificaciones crediticias de Moody's Ratings. La información relativa a ciertas afiliaciones que pudieran existir entre directores de MCO y entidades calificadas, y entre entidades que tienen asignadas calificaciones crediticias de Moody's Investors Service y asimismo han notificado públicamente a la SEC que poseen una participación en MCO superior al 5%, se publica anualmente en ir.moody's.com bajo el capítulo de 'Investor Relations – Corporate Governance – Charter Documents – Director and Shareholder Affiliation Policy' ('Relaciones con Inversores – Gestión Corporativa – Documentos Constitutivos – Política sobre Relaciones entre Directores y Accionistas').</t>
  </si>
  <si>
    <t>Moody's SF Japan K.K., Moody's Local AR Agente de Calificación de Riesgo S.A., Moody's Local BR Agência de Classificação de Risco LTDA, Moody's Local MX S.A. de C.V. I.C.V., Moody's Local PE Clasificadora de Riesgo S.A., y Moody's Local PA Calificadora de Riesgo S.A. (conjuntamente, las 'Moody's Non-NRSRO CRAs', por sus siglas en inglés) son subsidiarias de agencias de calificación crediticia de propiedad total indirecta de MCO. Ninguna de las Moody's Non-NRSRO CRAs es una Organización Reconocida Nacionalmente como Organización Estadística de Calificación Crediticia.</t>
  </si>
  <si>
    <t>Términos adicionales solo para Australia: Cualquier publicación en Australia de este documento se realiza conforme a la Licencia de Servicios Financieros en Australia de la filial de MOODY'S, Moody's Investors Service Pty Limited ABN 61 003 399 657AFSL 336969 y/o Moody's Analytics Australia Pty Ltd ABN 94 105 136 972 AFSL 383569 (según corresponda). Este documento está destinado únicamente a 'clientes mayoristas' según lo dispuesto en el artículo 761G de la Ley de Sociedades de 2001. Al acceder a este documento desde cualquier lugar dentro de Australia, usted declara ante MOODY'S ser un 'cliente mayorista' o estar accediendo al mismo como un representante de aquél, así como que ni usted ni la entidad a la que representa divulgación, directa o indirectamente, este documento ni su contenido a 'clientes minoristas' según se desprende del artículo 761G de la Ley de Sociedades de 2001. Las calificaciones crediticias de MOODY'S son opiniones sobre la calidad crediticia de una obligación de deuda del emisor y no sobre los valores de capital del emisor ni ninguna otra forma de instrumento que se encuentre a disposición de clientes minoristas.</t>
  </si>
  <si>
    <t>Términos adicionales solo para India: Las calificaciones crediticias, Evaluaciones, otras opiniones y Materiales de Moody's no están destinados a ser utilizados ni deben ser confiados por usuarios ubicados en India en relación con valores cotizados o propuestos para su cotización en bolsas de valores de la India.</t>
  </si>
  <si>
    <t>Términos adicionales con respecto a las Opiniones de Segunda Parte y las Evaluaciones de Cero Emisiones Netas (según se definen en los Símbolos y Definiciones de Calificaciones de Moody's Ratings). Por favor notar que ni una Opinión de Segunda Parte ('OSP') ni una Evaluación de Cero Emisiones Netas ('NZA') son 'calificaciones crediticias'. La emisión de OSP y NZA no es una actividad regulada en muchas jurisdicciones, incluida Singapur, JAPON. En Japón, el desarrollo y la provisión de OSP y NZA se clasifican como 'Negocios Secundarios', no como 'Negocios de Calificación Crediticia', y no están sujetos a las regulaciones aplicables a los 'Negocios de Calificación Crediticia' según la Ley de Instrumentos Financieros y la Ley de Intercambio de Japón y su regulación relevante. RPC: Cualquier OSP: (1) no constituye una Evaluación de Bonos Verdes de la RPC según se define en las leyes o regulaciones pertinentes de la RPC; (2) no puede incluirse en ninguna declaración de registro, circular de oferta, prospecto ni en ningún otro documento presentado a las autoridades regulatorias de la RPC ni utilizarse para cumplir con ningún requisito de divulgación regulatoria de la RPC; y (3) no puede utilizarse en la RPC para ningún propósito regulatorio ni para ningún otro propósito que no esté permitido por las leyes o regulaciones pertinentes de la RPC. Para los fines de este descargo de responsabilidad, 'RPC' se refiere a la parte continental de la República Popular China, excluyendo Hong Kon</t>
  </si>
  <si>
    <t>page-146</t>
  </si>
  <si>
    <t># DECLARACIÓN NOTARIAL JURADA</t>
  </si>
  <si>
    <t>En la Ciudad de Panamá, Capital de la República y Cabecera del Circuito Notarial del mismo nombre a los treinta y un (31) días del mes de marzo de dos mil veintiséis (2026), ante mí, SOUHAIL MUSBAH HALWANY CIGARRUISTA, Notario Público Duodécimo del Circuito de Panamá, con cédula de identidad personal número ocho- setecientos veintidós- dos mil ciento veinticinco (8-722-2125), compareció personalmente CINTHYA CAMARGO SAAVEDRA, mujer, panameña, abogada de profesión, con cédula de identidad personal No. ocho-cuatrocientos cuarenta y dos-setecientos quince (8-442-715) en mi calidad de Representante Legal, en ausencia del titular, de la EMPRESA DE DISTRIBUCIÓN ELÉCTRICA METRO OESTE, S.A. (EDEMET), sociedad anónima constituida de acuerdo a las Leyes de la República de Panamá y debidamente inscrita al Folio Real número trescientos cuarenta mil cuatrocientos treinta y seis (340436) de la Sección de Micropelículas (Mercantil) del Registro Público, a fin de dar cumplimiento a las disposiciones contenidas en el Acuerdo siete – cero dos (7-02) de catorce (14) de octubre de dos mil dos (2002) de la Comisión Nacional de Valores de la República de Panamá, declaro bajo gravedad de juramento, lo siguiente:</t>
  </si>
  <si>
    <t>a. Que cada uno de los firmantes ha revisado el Estado Financiero Anual correspondiente-- b. Que a sus juicios, los Estados Financieros no contienen información o declaraciones falsas sobre hechos de importancia, ni omiten información sobre hechos de importancia que deben ser divulgados en virtud del Decreto Ley uno (1) de mil novecientos noventa y nueve (1999) y sus reglamentos, o que deban ser divulgados para que las declaraciones hechas en dicho informe no sean tendenciosas o engañosas a la luz de las circunstancias en las que fueron hechas. c. Que a sus juicios los Estados Financieros Anuales y cualesquier otra información financiera incluida en los mismos, representan razonablemente en todos sus aspectos la condición financiera y los resultados de las operaciones de EMPRESA DE DISTRIBUCIÓN ELÉCTRICA METRO OESTE, S.A., para el periodo correspondiente del uno (1) de enero de dos mil veinticinco (2025) al treinta y uno (31) de diciembre de dos mil veinticinco (2025). d. Que los firmantes:</t>
  </si>
  <si>
    <t>page-147</t>
  </si>
  <si>
    <t>1 2 3 4 5 6 7 8 9 10 11 12 13 14 15 16 17 18 19 20 21 22 23 24 25 26 27 28 29 30</t>
  </si>
  <si>
    <t>a. Son responsables del establishimiento y mantenimiento controles internos en la Empresa b. Han dictado los mecanismos de control interno que garantien que toda la informacion de importancia sobre EMPRESA DE DISTRIBUCION ELECTRICA METRO OESTE, S.A. y sus subsidiaries consolidadas, Sean hechas de su conocimiento, particulamente durante el periodo en que los reportes han sido preparados. c. Han evaluado la efectividad de los controlles internos de EMPRESA DE DISTRIBUCION ELECTRICA METRO OESTE, S.A. bajo el 90 días previos a la emisión de los Estados Financieros d. Han presentado los Estados Financieros sus conclusiones sobre la efectividad de los controlles internos con base en las evaluaciones efectuadas a esta Fecha. e. Que cada uno de los firmantes ha relevado a los auditores de EMPRESA DE DISTRIBUCION ELECTRICA METRO OESTE, S.A., lo suiviente:</t>
  </si>
  <si>
    <t>i. Todas las deficiencias significativas que surjan en el marco del diseño y operación de los controles internos que pueden afectar negativamente la capacidad de EMPRESA DE DISTRIBUCIÓN ELÉCTRICA METRO OESTE, S.A. para registrar, procesar y reportar información financiera e indicando a los auditores cualquier debilidad existente en los controles internos.</t>
  </si>
  <si>
    <t>ii. Cualquier fraude, de importancia o no, que involucre a la administración u otros empleados que ejerzan un rol significativo en la ejecución de los controles internos de EMPRESA DE DISTRIBUCIÓN ELÉCTRICA METRO OESTE, S.A.</t>
  </si>
  <si>
    <t>f. Que cada uno de los firmantes ha relevado a los auditores externos la existencia o no de cambios significativos en los controles internos de EMPRESA DE DISTRIBUCIÓN ELÉCTRICA METRO OESTE, S.A. o cualesquiera otros factores que puedan afectar en forma importante tales controles con posterioridad a la fecha de su evaluación incluyendo la formulación de acciones correctivas con respecto a la deficiencia o debilidades de importancia dentro de la empresa.</t>
  </si>
  <si>
    <t>Esta declaración la hacemos para ser presentada ante la Comisión Nacional de Valores.</t>
  </si>
  <si>
    <t>Leída como le fue a la compareciente en presencia de los TESTIGOS DESIRETH PÉREZ GONZALEZ, mujer, panameña, mayor de edad, con</t>
  </si>
  <si>
    <t>page-148</t>
  </si>
  <si>
    <t>cédula de identidad personal número dos-setecientos cinco-ciento treinta y cuatro (2-705-134) y LILIBETH QUIROS, mujer, panameña, mayor de edad, con cédula de identidad personal número ocho-setecientos seis-ciento dieciséis (8-706-116), ambos vecinos de esta ciudad, a quienes conozco y son hábiles para el cargo, la encontraron conforme, le impartieron su aprobación y para constancia firmamos todos ante mí, el Notario, que doy fe.</t>
  </si>
  <si>
    <t>En mi calidad de Representante Legal, en ausencia del titular, de la EMPRESA DE DISTRIBUCIÓN ELÉCTRICA METRO OESTE, S.A. (EDEMET)</t>
  </si>
  <si>
    <t>Cédula N° 2-705-134</t>
  </si>
  <si>
    <t>Cédula N° 8-706-116</t>
  </si>
  <si>
    <t>Lic. Soubal M. Galway Cigarrubia Notario Público Duodécimo</t>
  </si>
  <si>
    <t>page-150</t>
  </si>
  <si>
    <t>Cinthya Elizabeth Camargo Saavedra</t>
  </si>
  <si>
    <t>FEDERAL DE SACRAMENTO 25-ago-1973</t>
  </si>
  <si>
    <t>SISTEMA DE SACRAMENTO PANAMÁ</t>
  </si>
  <si>
    <t>SITUADO P. 1000-000 CAMARGO, A.A.</t>
  </si>
  <si>
    <t>EXPEDIENCIA 14-ene-2023 EMPRESA 14-ene-2024</t>
  </si>
  <si>
    <t>8-442-715</t>
  </si>
  <si>
    <t>page-152</t>
  </si>
  <si>
    <t># **VIII:** **Divulgación**</t>
  </si>
  <si>
    <t>Empresa de Distribución Eléctrica Metro Oeste, S.A. divulgará el informe de Actualización Anual a través de internet en la página web de la Superintendencia del Mercado de Valores de Panamá (www.supervalores.gob.pa) y la Bolsa Latinoamericana de Valores (LATINEX) (www.latinexbolsa.com) a partir del 31 de marzo de 2026.</t>
  </si>
  <si>
    <t>Sebastián Pérez Country Manager</t>
  </si>
  <si>
    <t>COLOR KEY: Input (azul) · Fórmula (negro) · Link inter-hoja (verde)</t>
  </si>
  <si>
    <t>Escenario (1=Base, 2=Bull, 3=Bear)</t>
  </si>
  <si>
    <t xml:space="preserve">  Selector escenario</t>
  </si>
  <si>
    <t>caso</t>
  </si>
  <si>
    <t>NOT_DISCLOSED</t>
  </si>
  <si>
    <t>Input de escenario desde fuente citada o NOT_DISCLOSED.</t>
  </si>
  <si>
    <t xml:space="preserve">  Escenario activo</t>
  </si>
  <si>
    <t>moneda del modelo</t>
  </si>
  <si>
    <t>Selector de caso activo C5: Base/Bull/Bear.</t>
  </si>
  <si>
    <t>Unidad</t>
  </si>
  <si>
    <t>Fuente / nota</t>
  </si>
  <si>
    <t>Rationale</t>
  </si>
  <si>
    <t>A. INGRESOS — CRECIMIENTO (% YoY)</t>
  </si>
  <si>
    <t xml:space="preserve">  Ingresos por actividades ordinarias — driver activo</t>
  </si>
  <si>
    <t>%</t>
  </si>
  <si>
    <t>EEFF:Ingresos por actividades ordinarias</t>
  </si>
  <si>
    <t xml:space="preserve">    Bear</t>
  </si>
  <si>
    <t>Escenario driver citado; NOT_DISCLOSED si no hay fuente explícita.</t>
  </si>
  <si>
    <t xml:space="preserve">    Base</t>
  </si>
  <si>
    <t xml:space="preserve">    Bull</t>
  </si>
  <si>
    <t xml:space="preserve">  Ingresos por actividades ordinarias (hist, ref EEFF)</t>
  </si>
  <si>
    <t>Mirror histórico desde fuente citada.</t>
  </si>
  <si>
    <t xml:space="preserve">  Ingresos por actividades ordinarias YoY histórico (ref EEFF)</t>
  </si>
  <si>
    <t>Fórmula viva: año actual / año previo - 1.</t>
  </si>
  <si>
    <t>B. APROVISIONAMIENTOS (% de ingresos)</t>
  </si>
  <si>
    <t xml:space="preserve">  Aprovisionamientos — driver activo</t>
  </si>
  <si>
    <t>EEFF:Aprovisionamientos</t>
  </si>
  <si>
    <t xml:space="preserve">  Aprovisionamientos ÷ Ingresos por actividades ordinarias (hist, ref EEFF)</t>
  </si>
  <si>
    <t>EEFF:Aprovisionamientos / EEFF:Ingresos por actividades ordinarias</t>
  </si>
  <si>
    <t>C. REPARACIONES Y CONSERVACIÓN (% de ingresos)</t>
  </si>
  <si>
    <t xml:space="preserve">  Reparaciones y conservación — driver activo</t>
  </si>
  <si>
    <t>EEFF:Reparaciones y conservación</t>
  </si>
  <si>
    <t xml:space="preserve">  Reparaciones y conservación ÷ Ingresos por actividades ordinarias (hist, ref EEFF)</t>
  </si>
  <si>
    <t>EEFF:Reparaciones y conservación / EEFF:Ingresos por actividades ordinarias</t>
  </si>
  <si>
    <t>D. GASTOS DE PERSONAL (% de ingresos)</t>
  </si>
  <si>
    <t xml:space="preserve">  Gastos de personal — driver activo</t>
  </si>
  <si>
    <t>EEFF:Gastos de personal</t>
  </si>
  <si>
    <t xml:space="preserve">  Gastos de personal ÷ Ingresos por actividades ordinarias (hist, ref EEFF)</t>
  </si>
  <si>
    <t>EEFF:Gastos de personal / EEFF:Ingresos por actividades ordinarias</t>
  </si>
  <si>
    <t>E. OTROS GASTOS (% de ingresos)</t>
  </si>
  <si>
    <t xml:space="preserve">  Otros gastos — driver activo</t>
  </si>
  <si>
    <t>EEFF:Otros gastos</t>
  </si>
  <si>
    <t xml:space="preserve">  Otros gastos ÷ Ingresos por actividades ordinarias (hist, ref EEFF)</t>
  </si>
  <si>
    <t>EEFF:Otros gastos / EEFF:Ingresos por actividades ordinarias</t>
  </si>
  <si>
    <t>F. TASA EFECTIVA DE IMPUESTO (% de UAI)</t>
  </si>
  <si>
    <t xml:space="preserve">  Impuesto sobre la renta — driver activo</t>
  </si>
  <si>
    <t>EEFF:Impuesto sobre la renta</t>
  </si>
  <si>
    <t xml:space="preserve">  Impuesto sobre la renta ÷ Utilidad antes del impuesto sobre la renta (hist, ref EEFF)</t>
  </si>
  <si>
    <t>EEFF:Impuesto sobre la renta / EEFF:Utilidad antes del impuesto sobre la renta</t>
  </si>
  <si>
    <t>PP&amp;E_Schedule — propiedad, planta y equipo (saldo + capex − depreciación ± bajas, tie EEFF)</t>
  </si>
  <si>
    <t>Balance: EEFF/ModeloFinanciero (PP&amp;E neto). Movimientos: Estado de Flujos de Efectivo, líneas explícitamente identificadas — sin desglose de notas (nota de PP&amp;E no extraída aún) las líneas no reveladas se marcan NOT_DISCLOSED, nunca se estiman.</t>
  </si>
  <si>
    <t>A. SALDO PP&amp;E, NETO (balance)</t>
  </si>
  <si>
    <t xml:space="preserve">  PP&amp;E, neto (referencia EEFF/ModeloFinanciero)</t>
  </si>
  <si>
    <t>B. MOVIMIENTOS (Estado de Flujos de Efectivo)</t>
  </si>
  <si>
    <t xml:space="preserve">  Saldo inicial (PP&amp;E neto EOP año anterior)</t>
  </si>
  <si>
    <t xml:space="preserve">  (+) Capex / adquisición de PP&amp;E</t>
  </si>
  <si>
    <t xml:space="preserve">  (−) Depreciación de PP&amp;E</t>
  </si>
  <si>
    <t xml:space="preserve">  BAJAS_A_VALOR_EN_LIBROS_NOT_DISCLOSED: el filing no divulga el valor en libros de los activos dados de baja (solo producto de venta / pérdida P&amp;L); el roll-forward no resta bajas — el residual, si existe, absorbe ese componente no divulgado.</t>
  </si>
  <si>
    <t xml:space="preserve">  Saldo final computado (inicial + capex − depreciación; N/A en el primer año, sin saldo inicial)</t>
  </si>
  <si>
    <t>C. TIE-OUT</t>
  </si>
  <si>
    <t xml:space="preserve">  CHECK Δ saldo final computado − PP&amp;E balance (residual = capex/depreciación/bajas no desglosadas)</t>
  </si>
  <si>
    <t>Intangibles — activos intangibles amortizables + plusvalía (memo)</t>
  </si>
  <si>
    <t>Balance: EEFF/ModeloFinanciero (intangibles neto). Movimientos: Flujo de Efectivo. Plusvalía (si existe) se presenta aparte — no amortiza bajo NIIF, solo deterioro (no computado sin nota).</t>
  </si>
  <si>
    <t>A. INTANGIBLES AMORTIZABLES</t>
  </si>
  <si>
    <t xml:space="preserve">  Intangibles, neto (referencia EEFF/ModeloFinanciero)</t>
  </si>
  <si>
    <t xml:space="preserve">  Saldo inicial (intangibles neto EOP año anterior)</t>
  </si>
  <si>
    <t xml:space="preserve">  (+) Adquisición de activos intangibles</t>
  </si>
  <si>
    <t xml:space="preserve">  (−) Amortización de intangibles</t>
  </si>
  <si>
    <t xml:space="preserve">  Saldo final computado (inicial + adiciones − amortización; N/A en el primer año)</t>
  </si>
  <si>
    <t>B. TIE-OUT</t>
  </si>
  <si>
    <t xml:space="preserve">  CHECK Δ saldo final computado − intangibles balance (residual = bajas/otros no desglosados)</t>
  </si>
  <si>
    <t>ROU_Lease_Schedule — activo por derecho de uso + pasivo por arrendamiento (NIIF 16)</t>
  </si>
  <si>
    <t>Balance: EEFF/ModeloFinanciero. Movimientos: Flujo de Efectivo. Nuevos arrendamientos reconocidos (no-cash) NOT_DISCLOSED salvo nota específica — no se estiman.</t>
  </si>
  <si>
    <t>A. ACTIVO POR DERECHO DE USO</t>
  </si>
  <si>
    <t xml:space="preserve">  Activo por derecho de uso, neto (referencia EEFF/ModeloFinanciero)</t>
  </si>
  <si>
    <t xml:space="preserve">  Saldo inicial (ROU neto EOP año anterior)</t>
  </si>
  <si>
    <t xml:space="preserve">  NOT_DISCLOSED: nuevos arrendamientos reconocidos (adición no-cash) no identificables en el Flujo de Efectivo.</t>
  </si>
  <si>
    <t xml:space="preserve">  (−) Depreciación/amortización del activo por derecho de uso</t>
  </si>
  <si>
    <t xml:space="preserve">  Saldo final computado (inicial − depreciación − disposiciones; sin adiciones no divulgadas; N/A en el primer año)</t>
  </si>
  <si>
    <t xml:space="preserve">  CHECK Δ ROU computado − ROU balance (residual = adiciones no divulgadas)</t>
  </si>
  <si>
    <t>B. PASIVO POR ARRENDAMIENTO</t>
  </si>
  <si>
    <t xml:space="preserve">  Pasivo por arrendamiento — no corriente</t>
  </si>
  <si>
    <t xml:space="preserve">  Pasivo por arrendamiento — corriente</t>
  </si>
  <si>
    <t xml:space="preserve">  Total pasivo por arrendamiento</t>
  </si>
  <si>
    <t xml:space="preserve">  Saldo inicial (pasivo total EOP año anterior)</t>
  </si>
  <si>
    <t xml:space="preserve">  NOT_DISCLOSED: nuevos arrendamientos reconocidos (adición de pasivo no-cash) no identificables en el Flujo de Efectivo.</t>
  </si>
  <si>
    <t xml:space="preserve">  NOT_DISCLOSED: sin línea de pago de arrendamientos identificable en el Flujo de Efectivo.</t>
  </si>
  <si>
    <t xml:space="preserve">  Saldo final computado (inicial − pagos de principal; sin adiciones no divulgadas; N/A en el primer año)</t>
  </si>
  <si>
    <t xml:space="preserve">  CHECK Δ pasivo computado − pasivo balance (residual = adiciones no divulgadas)</t>
  </si>
  <si>
    <t>C. MEMO (informativo, no es un CHECK)</t>
  </si>
  <si>
    <t xml:space="preserve">  Activo ROU − Pasivo por arrendamiento (delta esperado por incentivos/prepagos; no es un error)</t>
  </si>
  <si>
    <t>Debt_Schedule — deuda financiera (saldo + draws − amortización; tie balance e intereses P&amp;L)</t>
  </si>
  <si>
    <t>Balance: EEFF/ModeloFinanciero (deuda corriente + no corriente, excl. arrendamientos → ver ROU_Lease_Schedule). Movimientos e intereses: Flujo de Efectivo / Estado de Resultados.</t>
  </si>
  <si>
    <t>A. SALDO DE DEUDA (balance)</t>
  </si>
  <si>
    <t xml:space="preserve">  Deuda financiera — no corriente</t>
  </si>
  <si>
    <t xml:space="preserve">  Deuda financiera — corriente</t>
  </si>
  <si>
    <t xml:space="preserve">  Total deuda financiera</t>
  </si>
  <si>
    <t xml:space="preserve">  Saldo inicial (deuda total EOP año anterior)</t>
  </si>
  <si>
    <t xml:space="preserve">  (+) Desembolsos / producto de nueva deuda</t>
  </si>
  <si>
    <t xml:space="preserve">  (−) Abonos / cancelaciones de deuda</t>
  </si>
  <si>
    <t xml:space="preserve">  Saldo final computado (inicial + desembolsos − abonos; N/A en el primer año)</t>
  </si>
  <si>
    <t>C. TIE-OUT E INTERESES (P&amp;L)</t>
  </si>
  <si>
    <t xml:space="preserve">  CHECK Δ deuda computada − deuda balance (residual = costos de emisión/FX/reclasificaciones no desglosadas)</t>
  </si>
  <si>
    <t xml:space="preserve">  Intereses financieros del período (ABS, Estado de Resultados)</t>
  </si>
  <si>
    <t xml:space="preserve">  Tasa de interés efectiva (memo: intereses ÷ deuda promedio BOP/EOP; N/A en el primer año)</t>
  </si>
  <si>
    <t>_CHECKS panel — utility template, live formulas, known residuals signed visible</t>
  </si>
  <si>
    <t>Status semantics: PASS = zero undocumented hard failures; KNOWN_RESIDUAL = signed G7 residual; SOURCE_GAP = unresolved semantic anchor/schedule.</t>
  </si>
  <si>
    <t>MASTER_STATUS</t>
  </si>
  <si>
    <t>MODEL STATUS</t>
  </si>
  <si>
    <t>Master PASS counts only FAIL rows; KNOWN_RESIDUAL/SOURCE_GAP remain visible but non-blocking.</t>
  </si>
  <si>
    <t>check_id</t>
  </si>
  <si>
    <t>description</t>
  </si>
  <si>
    <t>status</t>
  </si>
  <si>
    <t>hardness</t>
  </si>
  <si>
    <t>tolerance</t>
  </si>
  <si>
    <t>expected</t>
  </si>
  <si>
    <t>note</t>
  </si>
  <si>
    <t>UNIVERSAL CHECKS</t>
  </si>
  <si>
    <t>BS_BALANCE</t>
  </si>
  <si>
    <t>UNIVERSAL | expected 0; hard fail if ABS(value) &gt; hard_tie_tolerance. Observed: UEPII critical gate &lt;10 for BS/cash; BG hard reconciliation &gt;=1000 because full USD. | source applies_to: all 16 archetypes</t>
  </si>
  <si>
    <t>hard</t>
  </si>
  <si>
    <t>1000 USD</t>
  </si>
  <si>
    <t>expected 0; hard fail if ABS(value) &gt; hard_tie_tolerance. Observed: UEPII critical gate &lt;10 for BS/cash; BG hard reconciliation &gt;=1000 because full USD. Default full-USD hard tie threshold is $1,000 unless the workbook declares a tighter scale-aware tolerance.</t>
  </si>
  <si>
    <t>CASH_TIE</t>
  </si>
  <si>
    <t>UNIVERSAL | expected 0; use hard_tie_tolerance; if cash includes restricted cash/time deposits, define cash_component role explicitly. | source applies_to: all 16 archetypes</t>
  </si>
  <si>
    <t>Observed hard tie threshold for model-to-model cash residuals; define cash-component role when restricted cash/time deposits exist.</t>
  </si>
  <si>
    <t>CF_ROLLFORWARD</t>
  </si>
  <si>
    <t>UNIVERSAL | expected 0; hard_tie_tolerance; historical rows may be WARN if source CF transcript is incomplete. | source applies_to: all 16 where CF is modeled</t>
  </si>
  <si>
    <t>expected 0; hard_tie_tolerance; historical rows may be WARN if source CF transcript is incomplete. Default full-USD hard tie threshold is $1,000 unless the workbook declares a tighter scale-aware tolerance.</t>
  </si>
  <si>
    <t>NI_TIE_TO_EQUITY</t>
  </si>
  <si>
    <t>UNIVERSAL | expected 0; hard_tie_tolerance. | source applies_to: all 16</t>
  </si>
  <si>
    <t>expected 0; hard_tie_tolerance. Default full-USD hard tie threshold is $1,000 unless the workbook declares a tighter scale-aware tolerance.</t>
  </si>
  <si>
    <t>NI_SIGN_SANITY</t>
  </si>
  <si>
    <t>UNIVERSAL | expected 0; sign convention must be stated in row description. | source applies_to: all 16</t>
  </si>
  <si>
    <t>SOURCE_GAP</t>
  </si>
  <si>
    <t>Sign convention diagnostic remains visible; tax-sign taxonomy is not a signed hard-control anchor.</t>
  </si>
  <si>
    <t>RE_ROLLFORWARD</t>
  </si>
  <si>
    <t>UNIVERSAL | expected 0; hard_tie_tolerance. | source applies_to: all 16 with RE row</t>
  </si>
  <si>
    <t>No semantic anchors resolved for RE_ROLLFORWARD.</t>
  </si>
  <si>
    <t>EQUITY_TOTAL_TIE</t>
  </si>
  <si>
    <t>No semantic anchors resolved for EQUITY_TOTAL_TIE.</t>
  </si>
  <si>
    <t>BS_LINEITEM_SUM_ASSETS</t>
  </si>
  <si>
    <t>BS_LINEITEM_SUM_LIAB_EQUITY</t>
  </si>
  <si>
    <t>No semantic anchors resolved for BS_LINEITEM_SUM_LIAB_EQUITY.</t>
  </si>
  <si>
    <t>SOURCE_TIE_HISTORICAL</t>
  </si>
  <si>
    <t>UNIVERSAL | expected 0 for audited rows; SOURCE_GAP/WARN allowed only with explicit source-gap note. | source applies_to: all 16</t>
  </si>
  <si>
    <t>100000 USD</t>
  </si>
  <si>
    <t>Audited rows tie to 0; only bank ending-cash-vs-EEFF cash rows may use the observed $100,000 hard threshold; SOURCE_GAP/WARN requires explicit source-gap note.</t>
  </si>
  <si>
    <t>NO_FORMULA_ERRORS</t>
  </si>
  <si>
    <t>UNIVERSAL | expected PASS/0; no masking. | source applies_to: all 16</t>
  </si>
  <si>
    <t>PASS</t>
  </si>
  <si>
    <t>expected PASS/0; no masking.</t>
  </si>
  <si>
    <t>NO_CHECKS_MASTER_FAIL</t>
  </si>
  <si>
    <t>UNIVERSAL | expected PASS; status row should cite included/excluded rows. | source applies_to: all 16</t>
  </si>
  <si>
    <t>expected PASS; status row should cite included/excluded rows.</t>
  </si>
  <si>
    <t>CONDITIONAL CHECKS</t>
  </si>
  <si>
    <t>PPE_SCHEDULE_TIE</t>
  </si>
  <si>
    <t>ARCHETYPE/conditional | expected 0; hard_tie_tolerance. | source applies_to: operating-EBITDA, power, utility, downstream fuel, other non-financials</t>
  </si>
  <si>
    <t>Roll-forward residual is live from PP&amp;E_Schedule; components marked NOT_DISCLOSED keep this report-only until a hard-control policy is signed.</t>
  </si>
  <si>
    <t>LEASE_SCHEDULE_TIE</t>
  </si>
  <si>
    <t>ARCHETYPE/conditional | expected 0; hard_tie_tolerance. | source applies_to: IFRS-16 issuers</t>
  </si>
  <si>
    <t>Roll-forward residual is live from ROU_Lease_Schedule; components marked NOT_DISCLOSED keep this report-only until a hard-control policy is signed.</t>
  </si>
  <si>
    <t>DEBT_SCHEDULE_TIE</t>
  </si>
  <si>
    <t>ARCHETYPE/conditional | expected 0; hard_tie_tolerance; project-finance debt can include accrued interest/unamortized cost roles. | source applies_to: non-bank-lender, power, utility, operating-EBITDA with debt</t>
  </si>
  <si>
    <t>Roll-forward residual is live from Debt_Schedule; components marked NOT_DISCLOSED keep this report-only until a hard-control policy is signed.</t>
  </si>
  <si>
    <t>UTILITY CHECKS</t>
  </si>
  <si>
    <t>POWER_REVENUE_BUILD_TIE</t>
  </si>
  <si>
    <t>ARCHETYPE | expected 0; hard_tie_tolerance. | source applies_to: power, utility</t>
  </si>
  <si>
    <t>No semantic anchors resolved for POWER_REVENUE_BUILD_TIE.</t>
  </si>
  <si>
    <t>POWER_CHANNEL_VOLUME_TIE</t>
  </si>
  <si>
    <t>ARCHETYPE | expected 0; observed UEPII uses N/A for years without channel split. | source applies_to: power, utility</t>
  </si>
  <si>
    <t>volume_tolerance</t>
  </si>
  <si>
    <t>No semantic anchors resolved for POWER_CHANNEL_VOLUME_TIE.</t>
  </si>
  <si>
    <t>POWER_CAPACITY_CEILING</t>
  </si>
  <si>
    <t>ARCHETYPE | PASS/FAIL or 0/1; threshold from hours-per-year parameter. | source applies_to: power, utility</t>
  </si>
  <si>
    <t>Installed-capacity ceiling needs an addressable capacity-driver row before the live check can be rendered without hardcoded formula constants.</t>
  </si>
  <si>
    <t>POWER_DSRA_COVERAGE</t>
  </si>
  <si>
    <t>ARCHETYPE | expected 0; UEPII tail uses &lt;=1 tolerance in U2 rows. | source applies_to: project-finance power/utility</t>
  </si>
  <si>
    <t>1 model currency or ratio residual</t>
  </si>
  <si>
    <t>No semantic anchors resolved for POWER_DSRA_COVERAGE.</t>
  </si>
  <si>
    <t>POWER_DSCR_COVENANT</t>
  </si>
  <si>
    <t>ARCHETYPE | must be &gt;=0 or explicit business-warning text; not always a mechanical blocker. | source applies_to: project-finance power/utility</t>
  </si>
  <si>
    <t>soft</t>
  </si>
  <si>
    <t>0 cushion</t>
  </si>
  <si>
    <t>&gt;=0</t>
  </si>
  <si>
    <t>No semantic anchors resolved for POWER_DSCR_COVENANT.</t>
  </si>
  <si>
    <t>OPERATING_GP_OR_EBITDA_TIE</t>
  </si>
  <si>
    <t>ARCHETYPE | expected 0; hard_tie_tolerance. | source applies_to: operating-EBITDA, downstream fuel, power when EBITDA is used</t>
  </si>
  <si>
    <t>No semantic anchors resolved for OPERATING_GP_OR_EBITDA_TIE.</t>
  </si>
  <si>
    <t>Source_Register — utility archetype. Every row traces to a published filing (OCR text) or to a working file kept by the maintainer.</t>
  </si>
  <si>
    <t>Status semantics: OK = citation resolved to an existing artifact. SOURCE_GAP = traceability missing (visible, not hidden). NOT_DISCLOSED = no registration/manifest found for this issuer.</t>
  </si>
  <si>
    <t>source_id</t>
  </si>
  <si>
    <t>kind</t>
  </si>
  <si>
    <t>ticker</t>
  </si>
  <si>
    <t>filing</t>
  </si>
  <si>
    <t>year</t>
  </si>
  <si>
    <t>nota</t>
  </si>
  <si>
    <t>tabla_ocr</t>
  </si>
  <si>
    <t>feeds_sheet</t>
  </si>
  <si>
    <t>feeds_anchor</t>
  </si>
  <si>
    <t>date</t>
  </si>
  <si>
    <t>evidence_count</t>
  </si>
  <si>
    <t>OCR_ROOT:edemet</t>
  </si>
  <si>
    <t>OCR_ROOT</t>
  </si>
  <si>
    <t>EDEMET</t>
  </si>
  <si>
    <t>EEFF; Notas_EEFF</t>
  </si>
  <si>
    <t>OCR of the published filings</t>
  </si>
  <si>
    <t>1</t>
  </si>
  <si>
    <t>Annual reports (INA) of edemet</t>
  </si>
  <si>
    <t>EEFF_FILING:ina_edemet_2025_0</t>
  </si>
  <si>
    <t>EEFF_FILING</t>
  </si>
  <si>
    <t>EEFF; Notas_EEFF; MD&amp;A</t>
  </si>
  <si>
    <t>00-index.md; 01-eeff.md; 02-notas.md; 03-mda.md; 09-otros.md</t>
  </si>
  <si>
    <t>FY25 (A)</t>
  </si>
  <si>
    <t>152</t>
  </si>
  <si>
    <t>markdown.md sha256=ffddf1fad93a54f2...</t>
  </si>
  <si>
    <t>EEFF_FILING:prospecto_definitivo_programa_rotativo_de_bonos_corporativos_hasta_us_350mm_res_215_25</t>
  </si>
  <si>
    <t>PROSPECTO_DEFINITIVO_PROGRAMA_ROTATIVO_DE_BONOS_CORPORATIVOS_HASTA_US_350MM__RES.215-25_.pdf</t>
  </si>
  <si>
    <t>190</t>
  </si>
  <si>
    <t>markdown.md sha256=0b7fbedec37a2407...</t>
  </si>
  <si>
    <t>EEFF_FILING:350mm_edemet_prospecto_preliminar</t>
  </si>
  <si>
    <t>_350MM_EDEMET_-_Prospecto__Preliminar_.pdf</t>
  </si>
  <si>
    <t>298</t>
  </si>
  <si>
    <t>markdown.md sha256=6589e64ef2f5ff3e...</t>
  </si>
  <si>
    <t>NOTA:INA_EDEMET_2025_0.pdf#10</t>
  </si>
  <si>
    <t>NOTA</t>
  </si>
  <si>
    <t>markdown.md; tbl-94.html; tbl-95.html</t>
  </si>
  <si>
    <t>Notas_EEFF</t>
  </si>
  <si>
    <t>NOTA:INA_EDEMET_2025_0.pdf#11</t>
  </si>
  <si>
    <t>markdown.md; tbl-100.html; tbl-96.html; +2 more</t>
  </si>
  <si>
    <t>27</t>
  </si>
  <si>
    <t>NOTA:INA_EDEMET_2025_0.pdf#12</t>
  </si>
  <si>
    <t>markdown.md; tbl-101.html; tbl-102.html</t>
  </si>
  <si>
    <t>NOTA:INA_EDEMET_2025_0.pdf#13</t>
  </si>
  <si>
    <t>markdown.md; tbl-104.html; tbl-106.html; +1 more</t>
  </si>
  <si>
    <t>25</t>
  </si>
  <si>
    <t>NOTA:INA_EDEMET_2025_0.pdf#14</t>
  </si>
  <si>
    <t>markdown.md; tbl-108.html</t>
  </si>
  <si>
    <t>NOTA:INA_EDEMET_2025_0.pdf#15</t>
  </si>
  <si>
    <t>markdown.md; tbl-109.html</t>
  </si>
  <si>
    <t>2</t>
  </si>
  <si>
    <t>NOTA:INA_EDEMET_2025_0.pdf#16</t>
  </si>
  <si>
    <t>markdown.md; tbl-111.html</t>
  </si>
  <si>
    <t>NOTA:INA_EDEMET_2025_0.pdf#17</t>
  </si>
  <si>
    <t>markdown.md; tbl-111.html; tbl-113.html; +1 more</t>
  </si>
  <si>
    <t>NOTA:INA_EDEMET_2025_0.pdf#18</t>
  </si>
  <si>
    <t>markdown.md; tbl-115.html</t>
  </si>
  <si>
    <t>NOTA:INA_EDEMET_2025_0.pdf#19</t>
  </si>
  <si>
    <t>markdown.md; tbl-117.html; tbl-119.html</t>
  </si>
  <si>
    <t>NOTA:INA_EDEMET_2025_0.pdf#20</t>
  </si>
  <si>
    <t>markdown.md; tbl-121.html; tbl-122.html</t>
  </si>
  <si>
    <t>24</t>
  </si>
  <si>
    <t>NOTA:INA_EDEMET_2025_0.pdf#21</t>
  </si>
  <si>
    <t>markdown.md; tbl-123.html; tbl-124.html; +2 more</t>
  </si>
  <si>
    <t>135</t>
  </si>
  <si>
    <t>NOTA:INA_EDEMET_2025_0.pdf#5</t>
  </si>
  <si>
    <t>markdown.md; tbl-83.html</t>
  </si>
  <si>
    <t>NOTA:INA_EDEMET_2025_0.pdf#6</t>
  </si>
  <si>
    <t>markdown.md; tbl-83.html; tbl-84.html; +1 more</t>
  </si>
  <si>
    <t>NOTA:INA_EDEMET_2025_0.pdf#7</t>
  </si>
  <si>
    <t>markdown.md; tbl-88.html</t>
  </si>
  <si>
    <t>NOTA:INA_EDEMET_2025_0.pdf#8</t>
  </si>
  <si>
    <t>markdown.md; tbl-88.html; tbl-89.html; +2 more</t>
  </si>
  <si>
    <t>28</t>
  </si>
  <si>
    <t>NOTA:INA_EDEMET_2025_0.pdf#9</t>
  </si>
  <si>
    <t>markdown.md; tbl-94.html</t>
  </si>
  <si>
    <t>4</t>
  </si>
  <si>
    <t>DRIVER:EEFF:Aprovisionamientos</t>
  </si>
  <si>
    <t>DRIVER_EEFF</t>
  </si>
  <si>
    <t>Supuestos</t>
  </si>
  <si>
    <t>Aprovisionamientos — driver activo</t>
  </si>
  <si>
    <t>DRIVER:EEFF:Aprovisionamientos / EEFF:Ingresos por actividades ordinarias</t>
  </si>
  <si>
    <t>Aprovisionamientos ÷ Ingresos por actividades ordinarias (hist, ref EEFF)</t>
  </si>
  <si>
    <t>Aprovisionamientos / EEFF:Ingresos por actividades ordinarias</t>
  </si>
  <si>
    <t>DRIVER:EEFF:Gastos de personal</t>
  </si>
  <si>
    <t>Gastos de personal — driver activo</t>
  </si>
  <si>
    <t>DRIVER:EEFF:Gastos de personal / EEFF:Ingresos por actividades ordinarias</t>
  </si>
  <si>
    <t>Gastos de personal ÷ Ingresos por actividades ordinarias (hist, ref EEFF)</t>
  </si>
  <si>
    <t>Gastos de personal / EEFF:Ingresos por actividades ordinarias</t>
  </si>
  <si>
    <t>DRIVER:EEFF:Impuesto sobre la renta</t>
  </si>
  <si>
    <t>Impuesto sobre la renta — driver activo</t>
  </si>
  <si>
    <t>DRIVER:EEFF:Impuesto sobre la renta / EEFF:Utilidad antes del impuesto sobre la renta</t>
  </si>
  <si>
    <t>Impuesto sobre la renta ÷ Utilidad antes del impuesto sobre la renta (hist, ref EEFF)</t>
  </si>
  <si>
    <t>Impuesto sobre la renta / EEFF:Utilidad antes del impuesto sobre la renta</t>
  </si>
  <si>
    <t>DRIVER:EEFF:Ingresos por actividades ordinarias</t>
  </si>
  <si>
    <t>Ingresos por actividades ordinarias — driver activo</t>
  </si>
  <si>
    <t>DRIVER:EEFF:Otros gastos</t>
  </si>
  <si>
    <t>Otros gastos — driver activo</t>
  </si>
  <si>
    <t>DRIVER:EEFF:Otros gastos / EEFF:Ingresos por actividades ordinarias</t>
  </si>
  <si>
    <t>Otros gastos ÷ Ingresos por actividades ordinarias (hist, ref EEFF)</t>
  </si>
  <si>
    <t>Otros gastos / EEFF:Ingresos por actividades ordinarias</t>
  </si>
  <si>
    <t>DRIVER:EEFF:Reparaciones y conservación</t>
  </si>
  <si>
    <t>Reparaciones y conservación — driver activo</t>
  </si>
  <si>
    <t>DRIVER:EEFF:Reparaciones y conservación / EEFF:Ingresos por actividades ordinarias</t>
  </si>
  <si>
    <t>Reparaciones y conservación ÷ Ingresos por actividades ordinarias (hist, ref EEFF)</t>
  </si>
  <si>
    <t>Reparaciones y conservación / EEFF:Ingresos por actividades ordinarias</t>
  </si>
  <si>
    <t>_CHANGELOG — generation record for edemet.</t>
  </si>
  <si>
    <t>Internal build history omitted from the public export. Record public changes below.</t>
  </si>
  <si>
    <t>Turn #</t>
  </si>
  <si>
    <t>Date</t>
  </si>
  <si>
    <t>User Request</t>
  </si>
  <si>
    <t>Action Taken</t>
  </si>
  <si>
    <t>Details</t>
  </si>
  <si>
    <t>Outcome</t>
  </si>
  <si>
    <t>Prepare a public model copy</t>
  </si>
  <si>
    <t>Remove local paths and private build references; preserve financial formulas and inputs</t>
  </si>
  <si>
    <t>Agent run with MOG as the tool, checked by guard v1. The guard measured every sheet before and after the run.
Changed: Notas_EEFF: 1 cell written, at A3; _CHECKS: 1 cell written, at G12; Source_Register: 3 cells written, at A2, I5, M5; _CHANGELOG: data A1:H19 -&gt; A1:A3 (rows 19 -&gt; 3, columns 8 -&gt; 1), 106 cells written, at A2, A3, B3, C3, D3, E3, F3, G3, H3, A4, B4, C4, D4, E4, H4 and 91 more.
Other actions: clear x1.
Agent: OpenFinmods export</t>
  </si>
  <si>
    <t>Compare against source and review public copy</t>
  </si>
</sst>
</file>

<file path=xl/styles.xml><?xml version="1.0" encoding="utf-8"?>
<styleSheet xmlns="http://schemas.openxmlformats.org/spreadsheetml/2006/main">
  <numFmts count="9">
    <numFmt numFmtId="164" formatCode="#,##0;(#,##0);-"/>
    <numFmt numFmtId="165" formatCode="General"/>
    <numFmt numFmtId="166" formatCode="@"/>
    <numFmt numFmtId="167" formatCode="#,##0;[Red](#,##0);-"/>
    <numFmt numFmtId="168" formatCode="0.0%"/>
    <numFmt numFmtId="169" formatCode="0"/>
    <numFmt numFmtId="170" formatCode="0.00%;(0.00%);-"/>
    <numFmt numFmtId="171" formatCode="yyyy-mm-dd"/>
    <numFmt numFmtId="172" formatCode="yyyy\-mm\-dd hh:mm"/>
  </numFmts>
  <fonts count="12">
    <font>
      <sz val="11"/>
      <color theme="1"/>
      <name val="Calibri"/>
      <family val="2"/>
      <scheme val="minor"/>
    </font>
    <font>
      <sz val="11"/>
      <color rgb="FF000000"/>
      <name val="Calibri"/>
      <family val="2"/>
      <scheme val="minor"/>
    </font>
    <font>
      <b val="0"/>
      <i val="0"/>
      <strike val="0"/>
      <sz val="10"/>
      <color rgb="FF0432FF"/>
      <name val="Arial"/>
    </font>
    <font>
      <b val="0"/>
      <i val="0"/>
      <strike val="0"/>
      <sz val="10"/>
      <color rgb="FF000000"/>
      <name val="Arial"/>
    </font>
    <font>
      <b/>
      <i val="0"/>
      <strike val="0"/>
      <sz val="10"/>
      <color rgb="FF0432FF"/>
      <name val="Arial"/>
    </font>
    <font>
      <b val="0"/>
      <i val="0"/>
      <strike val="0"/>
      <sz val="10"/>
      <name val="Arial"/>
    </font>
    <font>
      <b/>
      <i val="0"/>
      <strike val="0"/>
      <sz val="10"/>
      <color rgb="FF000000"/>
      <name val="Arial"/>
    </font>
    <font>
      <b val="0"/>
      <i val="0"/>
      <strike val="0"/>
      <sz val="10"/>
      <color rgb="FF00703C"/>
      <name val="Arial"/>
    </font>
    <font>
      <b val="0"/>
      <i/>
      <strike val="0"/>
      <sz val="10"/>
      <color rgb="FF000000"/>
      <name val="Arial"/>
    </font>
    <font>
      <b/>
      <i val="0"/>
      <strike val="0"/>
      <sz val="10"/>
      <color rgb="FF00703C"/>
      <name val="Arial"/>
    </font>
    <font>
      <b val="0"/>
      <i val="0"/>
      <strike val="0"/>
      <sz val="10"/>
      <color rgb="FF000000"/>
      <name val="Arial"/>
      <family val="2"/>
      <scheme val="minor"/>
    </font>
    <font>
      <b/>
      <i val="0"/>
      <strike val="0"/>
      <sz val="10"/>
      <color rgb="FF000000"/>
      <name val="Arial"/>
      <family val="2"/>
      <scheme val="minor"/>
    </font>
  </fonts>
  <fills count="5">
    <fill>
      <patternFill patternType="none"/>
    </fill>
    <fill>
      <patternFill patternType="gray125"/>
    </fill>
    <fill>
      <patternFill patternType="solid">
        <fgColor rgb="FFDCE6F1"/>
        <bgColor rgb="FFDCE6F1"/>
      </patternFill>
    </fill>
    <fill>
      <patternFill patternType="solid">
        <fgColor rgb="FFF2F2F2"/>
        <bgColor rgb="FFF2F2F2"/>
      </patternFill>
    </fill>
    <fill>
      <patternFill patternType="solid">
        <fgColor rgb="FFFFF2CC"/>
        <bgColor rgb="FFFFF2CC"/>
      </patternFill>
    </fill>
  </fills>
  <borders count="4">
    <border/>
    <border>
      <left style="thin">
        <color rgb="FF000000"/>
      </left>
    </border>
    <border>
      <top style="thin">
        <color rgb="FF000000"/>
      </top>
    </border>
    <border>
      <left style="thin">
        <color rgb="FF000000"/>
      </left>
      <top style="thin">
        <color rgb="FF000000"/>
      </top>
    </border>
  </borders>
  <cellStyleXfs count="1">
    <xf numFmtId="0" fontId="1" fillId="0" borderId="0"/>
  </cellStyleXfs>
  <cellXfs count="268">
    <xf numFmtId="0" fontId="1" fillId="0" borderId="0" xfId="0" applyFont="1"/>
    <xf numFmtId="164" fontId="2" fillId="0" borderId="0" xfId="0" applyNumberFormat="1" applyFont="1" applyAlignment="1">
      <alignment horizontal="right" vertical="bottom" textRotation="0" indent="0" readingOrder="0"/>
    </xf>
    <xf numFmtId="164" fontId="2" fillId="0" borderId="1" xfId="0" applyNumberFormat="1" applyFont="1" applyBorder="1" applyAlignment="1">
      <alignment horizontal="right" vertical="bottom" textRotation="0" indent="0" readingOrder="0"/>
    </xf>
    <xf numFmtId="165" fontId="3" fillId="0" borderId="0" xfId="0" applyNumberFormat="1" applyFont="1" applyAlignment="1">
      <alignment horizontal="left" vertical="bottom" textRotation="0" indent="0" readingOrder="0"/>
    </xf>
    <xf numFmtId="164" fontId="4" fillId="0" borderId="2" xfId="0" applyNumberFormat="1" applyFont="1" applyBorder="1" applyAlignment="1">
      <alignment horizontal="right" vertical="bottom" textRotation="0" indent="0" readingOrder="0"/>
    </xf>
    <xf numFmtId="165" fontId="5" fillId="0" borderId="0" xfId="0" applyNumberFormat="1" applyFont="1"/>
    <xf numFmtId="165" fontId="6" fillId="2" borderId="1" xfId="0" applyNumberFormat="1" applyFont="1" applyFill="1" applyBorder="1" applyAlignment="1">
      <alignment horizontal="center" vertical="bottom" textRotation="0" indent="0" readingOrder="0"/>
    </xf>
    <xf numFmtId="164" fontId="4" fillId="0" borderId="3" xfId="0" applyNumberFormat="1" applyFont="1" applyBorder="1" applyAlignment="1">
      <alignment horizontal="right" vertical="bottom" textRotation="0" indent="0" readingOrder="0"/>
    </xf>
    <xf numFmtId="165" fontId="6" fillId="3" borderId="0" xfId="0" applyNumberFormat="1" applyFont="1" applyFill="1" applyAlignment="1">
      <alignment horizontal="center" vertical="bottom" textRotation="0" indent="0" readingOrder="0"/>
    </xf>
    <xf numFmtId="165" fontId="6" fillId="2" borderId="0" xfId="0" applyNumberFormat="1" applyFont="1" applyFill="1" applyAlignment="1">
      <alignment horizontal="center" vertical="bottom" textRotation="0" indent="0" readingOrder="0"/>
    </xf>
    <xf numFmtId="165" fontId="6" fillId="0" borderId="2" xfId="0" applyNumberFormat="1" applyFont="1" applyBorder="1" applyAlignment="1">
      <alignment horizontal="left" vertical="bottom" textRotation="0" indent="0" readingOrder="0"/>
    </xf>
    <xf numFmtId="165" fontId="5" fillId="0" borderId="1" xfId="0" applyNumberFormat="1" applyFont="1" applyBorder="1"/>
    <xf numFmtId="165" fontId="6" fillId="3" borderId="0" xfId="0" applyNumberFormat="1" applyFont="1" applyFill="1" applyAlignment="1">
      <alignment horizontal="left" vertical="bottom" textRotation="0" indent="0" readingOrder="0"/>
    </xf>
    <xf numFmtId="166" fontId="3" fillId="0" borderId="0" xfId="0" applyNumberFormat="1" applyFont="1" applyAlignment="1">
      <alignment horizontal="left" vertical="top" textRotation="0" wrapText="1" indent="0" readingOrder="0"/>
    </xf>
    <xf numFmtId="166" fontId="7" fillId="0" borderId="0" xfId="0" applyNumberFormat="1" applyFont="1" applyAlignment="1">
      <alignment horizontal="left" vertical="top" textRotation="0" indent="0" readingOrder="0"/>
    </xf>
    <xf numFmtId="166" fontId="3" fillId="0" borderId="0" xfId="0" applyNumberFormat="1" applyFont="1" applyAlignment="1">
      <alignment horizontal="left" vertical="top" textRotation="0" indent="0" readingOrder="0"/>
    </xf>
    <xf numFmtId="167" fontId="2" fillId="0" borderId="0" xfId="0" applyNumberFormat="1" applyFont="1" applyAlignment="1">
      <alignment horizontal="right" vertical="top" textRotation="0" indent="0" readingOrder="0"/>
    </xf>
    <xf numFmtId="165" fontId="6" fillId="3" borderId="0" xfId="0" applyNumberFormat="1" applyFont="1" applyFill="1" applyAlignment="1">
      <alignment horizontal="left" vertical="top" textRotation="0" wrapText="1" indent="0" readingOrder="0"/>
    </xf>
    <xf numFmtId="165" fontId="6" fillId="2" borderId="0" xfId="0" applyNumberFormat="1" applyFont="1" applyFill="1" applyAlignment="1">
      <alignment horizontal="left" vertical="top" textRotation="0" wrapText="1" indent="0" readingOrder="0"/>
    </xf>
    <xf numFmtId="165" fontId="3" fillId="0" borderId="0" xfId="0" applyNumberFormat="1" applyFont="1"/>
    <xf numFmtId="165" fontId="6" fillId="0" borderId="0" xfId="0" applyNumberFormat="1" applyFont="1"/>
    <xf numFmtId="165" fontId="6" fillId="2" borderId="1" xfId="0" applyNumberFormat="1" applyFont="1" applyFill="1" applyBorder="1" applyAlignment="1">
      <alignment horizontal="center" vertical="bottom" textRotation="0" indent="0" readingOrder="0"/>
    </xf>
    <xf numFmtId="164" fontId="3" fillId="0" borderId="0" xfId="0" applyNumberFormat="1" applyFont="1" applyAlignment="1">
      <alignment horizontal="right" vertical="bottom" textRotation="0" indent="0" readingOrder="0"/>
    </xf>
    <xf numFmtId="168" fontId="3" fillId="0" borderId="0" xfId="0" applyNumberFormat="1" applyFont="1" applyAlignment="1">
      <alignment horizontal="right" vertical="bottom" textRotation="0" indent="0" readingOrder="0"/>
    </xf>
    <xf numFmtId="165" fontId="8" fillId="0" borderId="0" xfId="0" applyNumberFormat="1" applyFont="1" applyAlignment="1">
      <alignment horizontal="left" vertical="bottom" textRotation="0" indent="0" readingOrder="0"/>
    </xf>
    <xf numFmtId="165" fontId="5" fillId="0" borderId="0" xfId="0" applyNumberFormat="1" applyFont="1"/>
    <xf numFmtId="165" fontId="3" fillId="0" borderId="0" xfId="0" applyNumberFormat="1" applyFont="1" applyAlignment="1">
      <alignment horizontal="left" vertical="bottom" textRotation="0" indent="0" readingOrder="0"/>
    </xf>
    <xf numFmtId="168" fontId="2" fillId="4" borderId="0" xfId="0" applyNumberFormat="1" applyFont="1" applyFill="1" applyAlignment="1">
      <alignment horizontal="right" vertical="bottom" textRotation="0" indent="0" readingOrder="0"/>
    </xf>
    <xf numFmtId="165" fontId="6" fillId="3" borderId="0" xfId="0" applyNumberFormat="1" applyFont="1" applyFill="1" applyAlignment="1">
      <alignment horizontal="center" vertical="bottom" textRotation="0" indent="0" readingOrder="0"/>
    </xf>
    <xf numFmtId="169" fontId="2" fillId="4" borderId="0" xfId="0" applyNumberFormat="1" applyFont="1" applyFill="1" applyAlignment="1">
      <alignment horizontal="right" vertical="bottom" textRotation="0" indent="0" readingOrder="0"/>
    </xf>
    <xf numFmtId="168" fontId="2" fillId="4" borderId="1" xfId="0" applyNumberFormat="1" applyFont="1" applyFill="1" applyBorder="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5" fontId="3" fillId="0" borderId="0" xfId="0" applyNumberFormat="1" applyFont="1" applyAlignment="1">
      <alignment horizontal="left" vertical="bottom" textRotation="0" indent="0" readingOrder="0"/>
    </xf>
    <xf numFmtId="168" fontId="3" fillId="0" borderId="1" xfId="0" applyNumberFormat="1" applyFont="1" applyBorder="1" applyAlignment="1">
      <alignment horizontal="right" vertical="bottom" textRotation="0" indent="0" readingOrder="0"/>
    </xf>
    <xf numFmtId="169" fontId="3" fillId="0" borderId="0" xfId="0" applyNumberFormat="1" applyFont="1" applyAlignment="1">
      <alignment horizontal="right" vertical="bottom" textRotation="0" indent="0" readingOrder="0"/>
    </xf>
    <xf numFmtId="165" fontId="5" fillId="2" borderId="0" xfId="0" applyNumberFormat="1" applyFont="1" applyFill="1"/>
    <xf numFmtId="165" fontId="6" fillId="2" borderId="0" xfId="0" applyNumberFormat="1" applyFont="1" applyFill="1" applyAlignment="1">
      <alignment horizontal="center" vertical="bottom" textRotation="0" indent="0" readingOrder="0"/>
    </xf>
    <xf numFmtId="165" fontId="6" fillId="3" borderId="0" xfId="0" applyNumberFormat="1" applyFont="1" applyFill="1" applyAlignment="1">
      <alignment horizontal="left" vertical="bottom" textRotation="0" indent="0" readingOrder="0"/>
    </xf>
    <xf numFmtId="165" fontId="5" fillId="0" borderId="1" xfId="0" applyNumberFormat="1" applyFont="1" applyBorder="1"/>
    <xf numFmtId="165" fontId="6" fillId="0" borderId="0" xfId="0" applyNumberFormat="1" applyFont="1" applyAlignment="1">
      <alignment horizontal="left" vertical="bottom" textRotation="0" indent="0" readingOrder="0"/>
    </xf>
    <xf numFmtId="169" fontId="3" fillId="0" borderId="1" xfId="0" applyNumberFormat="1" applyFont="1" applyBorder="1" applyAlignment="1">
      <alignment horizontal="right" vertical="bottom" textRotation="0" indent="0" readingOrder="0"/>
    </xf>
    <xf numFmtId="165" fontId="5" fillId="3" borderId="0" xfId="0" applyNumberFormat="1" applyFont="1" applyFill="1"/>
    <xf numFmtId="168" fontId="7" fillId="0" borderId="0" xfId="0" applyNumberFormat="1" applyFont="1" applyAlignment="1">
      <alignment horizontal="right" vertical="bottom" textRotation="0" indent="0" readingOrder="0"/>
    </xf>
    <xf numFmtId="164" fontId="3" fillId="0" borderId="1" xfId="0" applyNumberFormat="1" applyFont="1" applyBorder="1" applyAlignment="1">
      <alignment horizontal="right" vertical="bottom" textRotation="0" indent="0" readingOrder="0"/>
    </xf>
    <xf numFmtId="165" fontId="5" fillId="2" borderId="1" xfId="0" applyNumberFormat="1" applyFont="1" applyFill="1" applyBorder="1"/>
    <xf numFmtId="164" fontId="7" fillId="0" borderId="0" xfId="0" applyNumberFormat="1" applyFont="1" applyAlignment="1">
      <alignment horizontal="right" vertical="bottom" textRotation="0" indent="0" readingOrder="0"/>
    </xf>
    <xf numFmtId="165" fontId="3" fillId="0" borderId="0" xfId="0" applyNumberFormat="1" applyFont="1" applyAlignment="1">
      <alignment horizontal="left" vertical="bottom" textRotation="0" indent="0" readingOrder="0"/>
    </xf>
    <xf numFmtId="164" fontId="9" fillId="0" borderId="2" xfId="0" applyNumberFormat="1" applyFont="1" applyBorder="1" applyAlignment="1">
      <alignment horizontal="right" vertical="bottom" textRotation="0" indent="0" readingOrder="0"/>
    </xf>
    <xf numFmtId="164" fontId="3" fillId="0" borderId="0" xfId="0" applyNumberFormat="1" applyFont="1" applyAlignment="1">
      <alignment horizontal="right" vertical="bottom" textRotation="0" indent="0" readingOrder="0"/>
    </xf>
    <xf numFmtId="165" fontId="5" fillId="3" borderId="0" xfId="0" applyNumberFormat="1" applyFont="1" applyFill="1"/>
    <xf numFmtId="164" fontId="3" fillId="0" borderId="1" xfId="0" applyNumberFormat="1" applyFont="1" applyBorder="1" applyAlignment="1">
      <alignment horizontal="right" vertical="bottom" textRotation="0" indent="0" readingOrder="0"/>
    </xf>
    <xf numFmtId="165" fontId="6" fillId="3" borderId="0" xfId="0" applyNumberFormat="1" applyFont="1" applyFill="1" applyAlignment="1">
      <alignment horizontal="center" vertical="bottom" textRotation="0" indent="0" readingOrder="0"/>
    </xf>
    <xf numFmtId="165" fontId="6" fillId="0" borderId="2" xfId="0" applyNumberFormat="1" applyFont="1" applyBorder="1" applyAlignment="1">
      <alignment horizontal="left" vertical="bottom" textRotation="0" indent="0" readingOrder="0"/>
    </xf>
    <xf numFmtId="164" fontId="6" fillId="0" borderId="2" xfId="0" applyNumberFormat="1" applyFont="1" applyBorder="1" applyAlignment="1">
      <alignment horizontal="right" vertical="bottom" textRotation="0" indent="0" readingOrder="0"/>
    </xf>
    <xf numFmtId="165" fontId="5" fillId="0" borderId="0" xfId="0" applyNumberFormat="1" applyFont="1"/>
    <xf numFmtId="165" fontId="5" fillId="0" borderId="1" xfId="0" applyNumberFormat="1" applyFont="1" applyBorder="1"/>
    <xf numFmtId="165" fontId="6" fillId="2" borderId="0" xfId="0" applyNumberFormat="1" applyFont="1" applyFill="1" applyAlignment="1">
      <alignment horizontal="center" vertical="bottom" textRotation="0" indent="0" readingOrder="0"/>
    </xf>
    <xf numFmtId="164" fontId="6" fillId="0" borderId="3" xfId="0" applyNumberFormat="1" applyFont="1" applyBorder="1" applyAlignment="1">
      <alignment horizontal="right" vertical="bottom" textRotation="0" indent="0" readingOrder="0"/>
    </xf>
    <xf numFmtId="165" fontId="6" fillId="3" borderId="0" xfId="0" applyNumberFormat="1" applyFont="1" applyFill="1" applyAlignment="1">
      <alignment horizontal="left" vertical="bottom" textRotation="0" indent="0" readingOrder="0"/>
    </xf>
    <xf numFmtId="165" fontId="5" fillId="2" borderId="0" xfId="0" applyNumberFormat="1" applyFont="1" applyFill="1"/>
    <xf numFmtId="165" fontId="6" fillId="2" borderId="1" xfId="0" applyNumberFormat="1" applyFont="1" applyFill="1" applyBorder="1" applyAlignment="1">
      <alignment horizontal="center" vertical="bottom" textRotation="0" indent="0" readingOrder="0"/>
    </xf>
    <xf numFmtId="165" fontId="5" fillId="2" borderId="1" xfId="0" applyNumberFormat="1" applyFont="1" applyFill="1" applyBorder="1"/>
    <xf numFmtId="164" fontId="7" fillId="0" borderId="1" xfId="0" applyNumberFormat="1" applyFont="1" applyBorder="1" applyAlignment="1">
      <alignment horizontal="right" vertical="bottom" textRotation="0" indent="0" readingOrder="0"/>
    </xf>
    <xf numFmtId="165" fontId="5" fillId="3" borderId="0" xfId="0" applyNumberFormat="1" applyFont="1" applyFill="1"/>
    <xf numFmtId="165" fontId="3" fillId="0" borderId="0" xfId="0" applyNumberFormat="1" applyFont="1" applyAlignment="1">
      <alignment horizontal="left" vertical="bottom" textRotation="0" indent="0" readingOrder="0"/>
    </xf>
    <xf numFmtId="164" fontId="7" fillId="0" borderId="0" xfId="0" applyNumberFormat="1" applyFont="1" applyAlignment="1">
      <alignment horizontal="right" vertical="bottom" textRotation="0" indent="0" readingOrder="0"/>
    </xf>
    <xf numFmtId="165" fontId="5" fillId="0" borderId="1" xfId="0" applyNumberFormat="1" applyFont="1" applyBorder="1"/>
    <xf numFmtId="165" fontId="6" fillId="3" borderId="0" xfId="0" applyNumberFormat="1" applyFont="1" applyFill="1" applyAlignment="1">
      <alignment horizontal="left" vertical="bottom" textRotation="0" indent="0" readingOrder="0"/>
    </xf>
    <xf numFmtId="165" fontId="5" fillId="2" borderId="0" xfId="0" applyNumberFormat="1" applyFont="1" applyFill="1"/>
    <xf numFmtId="164" fontId="3" fillId="0" borderId="0" xfId="0" applyNumberFormat="1" applyFont="1" applyAlignment="1">
      <alignment horizontal="right" vertical="bottom" textRotation="0" indent="0" readingOrder="0"/>
    </xf>
    <xf numFmtId="165" fontId="6" fillId="3" borderId="0" xfId="0" applyNumberFormat="1" applyFont="1" applyFill="1" applyAlignment="1">
      <alignment horizontal="center" vertical="bottom" textRotation="0" indent="0" readingOrder="0"/>
    </xf>
    <xf numFmtId="165" fontId="5" fillId="0" borderId="0" xfId="0" applyNumberFormat="1" applyFont="1"/>
    <xf numFmtId="164" fontId="6" fillId="0" borderId="2" xfId="0" applyNumberFormat="1" applyFont="1" applyBorder="1" applyAlignment="1">
      <alignment horizontal="right" vertical="bottom" textRotation="0" indent="0" readingOrder="0"/>
    </xf>
    <xf numFmtId="164" fontId="7" fillId="0" borderId="1" xfId="0" applyNumberFormat="1" applyFont="1" applyBorder="1" applyAlignment="1">
      <alignment horizontal="right" vertical="bottom" textRotation="0" indent="0" readingOrder="0"/>
    </xf>
    <xf numFmtId="165" fontId="6" fillId="2" borderId="0" xfId="0" applyNumberFormat="1" applyFont="1" applyFill="1" applyAlignment="1">
      <alignment horizontal="center" vertical="bottom" textRotation="0" indent="0" readingOrder="0"/>
    </xf>
    <xf numFmtId="165" fontId="5" fillId="2" borderId="1" xfId="0" applyNumberFormat="1" applyFont="1" applyFill="1" applyBorder="1"/>
    <xf numFmtId="164" fontId="6" fillId="0" borderId="3" xfId="0" applyNumberFormat="1" applyFont="1" applyBorder="1" applyAlignment="1">
      <alignment horizontal="right" vertical="bottom" textRotation="0" indent="0" readingOrder="0"/>
    </xf>
    <xf numFmtId="165" fontId="6" fillId="2" borderId="1" xfId="0" applyNumberFormat="1" applyFont="1" applyFill="1" applyBorder="1" applyAlignment="1">
      <alignment horizontal="center" vertical="bottom" textRotation="0" indent="0" readingOrder="0"/>
    </xf>
    <xf numFmtId="164" fontId="3" fillId="0" borderId="1" xfId="0" applyNumberFormat="1" applyFont="1" applyBorder="1" applyAlignment="1">
      <alignment horizontal="right" vertical="bottom" textRotation="0" indent="0" readingOrder="0"/>
    </xf>
    <xf numFmtId="165" fontId="6" fillId="0" borderId="2" xfId="0" applyNumberFormat="1" applyFont="1" applyBorder="1" applyAlignment="1">
      <alignment horizontal="left" vertical="bottom" textRotation="0" indent="0" readingOrder="0"/>
    </xf>
    <xf numFmtId="170" fontId="3" fillId="0" borderId="0" xfId="0" applyNumberFormat="1" applyFont="1" applyAlignment="1">
      <alignment horizontal="right" vertical="bottom" textRotation="0" indent="0" readingOrder="0"/>
    </xf>
    <xf numFmtId="170" fontId="3" fillId="0" borderId="1" xfId="0" applyNumberFormat="1" applyFont="1" applyBorder="1" applyAlignment="1">
      <alignment horizontal="right" vertical="bottom" textRotation="0" indent="0" readingOrder="0"/>
    </xf>
    <xf numFmtId="164" fontId="3" fillId="0" borderId="0" xfId="0" applyNumberFormat="1" applyFont="1" applyAlignment="1">
      <alignment horizontal="right" vertical="bottom" textRotation="0" indent="0" readingOrder="0"/>
    </xf>
    <xf numFmtId="165" fontId="3" fillId="0" borderId="0" xfId="0" applyNumberFormat="1" applyFont="1" applyAlignment="1">
      <alignment horizontal="left" vertical="bottom" textRotation="0" indent="0" readingOrder="0"/>
    </xf>
    <xf numFmtId="164" fontId="7" fillId="0" borderId="0" xfId="0" applyNumberFormat="1" applyFont="1" applyAlignment="1">
      <alignment horizontal="right" vertical="bottom" textRotation="0" indent="0" readingOrder="0"/>
    </xf>
    <xf numFmtId="165" fontId="3" fillId="0" borderId="0" xfId="0" applyNumberFormat="1" applyFont="1"/>
    <xf numFmtId="165" fontId="3" fillId="0" borderId="0" xfId="0" applyNumberFormat="1" applyFont="1" applyAlignment="1">
      <alignment horizontal="center" vertical="bottom" textRotation="0" indent="0" readingOrder="0"/>
    </xf>
    <xf numFmtId="165" fontId="6" fillId="3" borderId="0" xfId="0" applyNumberFormat="1" applyFont="1" applyFill="1" applyAlignment="1">
      <alignment horizontal="left" vertical="bottom" textRotation="0" indent="0" readingOrder="0"/>
    </xf>
    <xf numFmtId="165" fontId="6" fillId="2" borderId="1" xfId="0" applyNumberFormat="1" applyFont="1" applyFill="1" applyBorder="1" applyAlignment="1">
      <alignment horizontal="left" vertical="bottom" textRotation="0" indent="0" readingOrder="0"/>
    </xf>
    <xf numFmtId="165" fontId="6" fillId="2" borderId="1" xfId="0" applyNumberFormat="1" applyFont="1" applyFill="1" applyBorder="1" applyAlignment="1">
      <alignment horizontal="center" vertical="bottom" textRotation="0" indent="0" readingOrder="0"/>
    </xf>
    <xf numFmtId="165" fontId="6" fillId="0" borderId="0" xfId="0" applyNumberFormat="1" applyFont="1" applyAlignment="1">
      <alignment horizontal="center" vertical="bottom" textRotation="0" indent="0" readingOrder="0"/>
    </xf>
    <xf numFmtId="164" fontId="7" fillId="0" borderId="1" xfId="0" applyNumberFormat="1" applyFont="1" applyBorder="1" applyAlignment="1">
      <alignment horizontal="right" vertical="bottom" textRotation="0" indent="0" readingOrder="0"/>
    </xf>
    <xf numFmtId="164" fontId="3" fillId="0" borderId="1" xfId="0" applyNumberFormat="1" applyFont="1" applyBorder="1" applyAlignment="1">
      <alignment horizontal="right" vertical="bottom" textRotation="0" indent="0" readingOrder="0"/>
    </xf>
    <xf numFmtId="165" fontId="6" fillId="0" borderId="0" xfId="0" applyNumberFormat="1" applyFont="1" applyAlignment="1">
      <alignment horizontal="left" vertical="bottom" textRotation="0" indent="0" readingOrder="0"/>
    </xf>
    <xf numFmtId="165" fontId="3" fillId="0" borderId="0" xfId="0" applyNumberFormat="1" applyFont="1"/>
    <xf numFmtId="165" fontId="9" fillId="0" borderId="0" xfId="0" applyNumberFormat="1" applyFont="1" applyAlignment="1">
      <alignment horizontal="center" vertical="bottom" textRotation="0" indent="0" readingOrder="0"/>
    </xf>
    <xf numFmtId="165" fontId="6" fillId="0" borderId="0" xfId="0" applyNumberFormat="1" applyFont="1" applyAlignment="1">
      <alignment horizontal="center" vertical="bottom" textRotation="0" indent="0" readingOrder="0"/>
    </xf>
    <xf numFmtId="171" fontId="3" fillId="0" borderId="0" xfId="0" applyNumberFormat="1" applyFont="1"/>
    <xf numFmtId="165" fontId="6" fillId="0" borderId="0" xfId="0" applyNumberFormat="1" applyFont="1"/>
    <xf numFmtId="164" fontId="6" fillId="0" borderId="2" xfId="0" applyNumberFormat="1" applyFont="1" applyBorder="1" applyAlignment="1">
      <alignment horizontal="right" vertical="bottom" textRotation="0" indent="0" readingOrder="0"/>
    </xf>
    <xf numFmtId="165" fontId="5" fillId="2" borderId="0" xfId="0" applyNumberFormat="1" applyFont="1" applyFill="1"/>
    <xf numFmtId="165" fontId="3" fillId="0" borderId="0" xfId="0" applyNumberFormat="1" applyFont="1" applyAlignment="1">
      <alignment horizontal="left" vertical="bottom" textRotation="0" indent="0" readingOrder="0"/>
    </xf>
    <xf numFmtId="165" fontId="6" fillId="3" borderId="0" xfId="0" applyNumberFormat="1" applyFont="1" applyFill="1" applyAlignment="1">
      <alignment horizontal="center" vertical="bottom" textRotation="0" indent="0" readingOrder="0"/>
    </xf>
    <xf numFmtId="165" fontId="5" fillId="0" borderId="0" xfId="0" applyNumberFormat="1" applyFont="1"/>
    <xf numFmtId="164" fontId="7" fillId="0" borderId="0" xfId="0" applyNumberFormat="1" applyFont="1" applyAlignment="1">
      <alignment horizontal="right" vertical="bottom" textRotation="0" indent="0" readingOrder="0"/>
    </xf>
    <xf numFmtId="165" fontId="6" fillId="2" borderId="0" xfId="0" applyNumberFormat="1" applyFont="1" applyFill="1" applyAlignment="1">
      <alignment horizontal="center" vertical="bottom" textRotation="0" indent="0" readingOrder="0"/>
    </xf>
    <xf numFmtId="165" fontId="5" fillId="2" borderId="1" xfId="0" applyNumberFormat="1" applyFont="1" applyFill="1" applyBorder="1"/>
    <xf numFmtId="164" fontId="3" fillId="0" borderId="0" xfId="0" applyNumberFormat="1" applyFont="1" applyAlignment="1">
      <alignment horizontal="right" vertical="bottom" textRotation="0" indent="0" readingOrder="0"/>
    </xf>
    <xf numFmtId="165" fontId="5" fillId="3" borderId="0" xfId="0" applyNumberFormat="1" applyFont="1" applyFill="1"/>
    <xf numFmtId="165" fontId="5" fillId="0" borderId="1" xfId="0" applyNumberFormat="1" applyFont="1" applyBorder="1"/>
    <xf numFmtId="164" fontId="6" fillId="0" borderId="3" xfId="0" applyNumberFormat="1" applyFont="1" applyBorder="1" applyAlignment="1">
      <alignment horizontal="right" vertical="bottom" textRotation="0" indent="0" readingOrder="0"/>
    </xf>
    <xf numFmtId="165" fontId="6" fillId="2" borderId="1" xfId="0" applyNumberFormat="1" applyFont="1" applyFill="1" applyBorder="1" applyAlignment="1">
      <alignment horizontal="center" vertical="bottom" textRotation="0" indent="0" readingOrder="0"/>
    </xf>
    <xf numFmtId="164" fontId="7" fillId="0" borderId="1" xfId="0" applyNumberFormat="1" applyFont="1" applyBorder="1" applyAlignment="1">
      <alignment horizontal="right" vertical="bottom" textRotation="0" indent="0" readingOrder="0"/>
    </xf>
    <xf numFmtId="164" fontId="3" fillId="0" borderId="1" xfId="0" applyNumberFormat="1" applyFont="1" applyBorder="1" applyAlignment="1">
      <alignment horizontal="right" vertical="bottom" textRotation="0" indent="0" readingOrder="0"/>
    </xf>
    <xf numFmtId="165" fontId="6" fillId="0" borderId="2" xfId="0" applyNumberFormat="1" applyFont="1" applyBorder="1" applyAlignment="1">
      <alignment horizontal="left" vertical="bottom" textRotation="0" indent="0" readingOrder="0"/>
    </xf>
    <xf numFmtId="165" fontId="6" fillId="3" borderId="0" xfId="0" applyNumberFormat="1" applyFont="1" applyFill="1" applyAlignment="1">
      <alignment horizontal="left" vertical="bottom" textRotation="0" indent="0" readingOrder="0"/>
    </xf>
    <xf numFmtId="170" fontId="3" fillId="0" borderId="1" xfId="0" applyNumberFormat="1" applyFont="1" applyBorder="1" applyAlignment="1">
      <alignment horizontal="right" vertical="bottom" textRotation="0" indent="0" readingOrder="0"/>
    </xf>
    <xf numFmtId="170" fontId="3" fillId="0" borderId="0" xfId="0" applyNumberFormat="1" applyFont="1" applyAlignment="1">
      <alignment horizontal="right" vertical="bottom" textRotation="0" indent="0" readingOrder="0"/>
    </xf>
    <xf numFmtId="168" fontId="2" fillId="4" borderId="0" xfId="0" applyNumberFormat="1" applyFont="1" applyFill="1" applyAlignment="1">
      <alignment horizontal="right" vertical="bottom" textRotation="0" indent="0" readingOrder="0"/>
    </xf>
    <xf numFmtId="168" fontId="3" fillId="0" borderId="0" xfId="0" applyNumberFormat="1" applyFont="1" applyAlignment="1">
      <alignment horizontal="right" vertical="bottom" textRotation="0" indent="0" readingOrder="0"/>
    </xf>
    <xf numFmtId="165" fontId="8" fillId="0" borderId="0" xfId="0" applyNumberFormat="1" applyFont="1" applyAlignment="1">
      <alignment horizontal="left" vertical="bottom" textRotation="0" indent="0" readingOrder="0"/>
    </xf>
    <xf numFmtId="165" fontId="3" fillId="0" borderId="0" xfId="0" applyNumberFormat="1" applyFont="1" applyAlignment="1">
      <alignment horizontal="left" vertical="bottom" textRotation="0" indent="0" readingOrder="0"/>
    </xf>
    <xf numFmtId="165" fontId="5" fillId="0" borderId="0" xfId="0" applyNumberFormat="1" applyFont="1"/>
    <xf numFmtId="165" fontId="5" fillId="3" borderId="0" xfId="0" applyNumberFormat="1" applyFont="1" applyFill="1"/>
    <xf numFmtId="165" fontId="6" fillId="3" borderId="0" xfId="0" applyNumberFormat="1" applyFont="1" applyFill="1" applyAlignment="1">
      <alignment horizontal="left" vertical="bottom" textRotation="0" indent="0" readingOrder="0"/>
    </xf>
    <xf numFmtId="165" fontId="3" fillId="0" borderId="0" xfId="0" applyNumberFormat="1" applyFont="1" applyAlignment="1">
      <alignment horizontal="left" vertical="bottom" textRotation="0" indent="0" readingOrder="0"/>
    </xf>
    <xf numFmtId="165" fontId="5" fillId="2" borderId="0" xfId="0" applyNumberFormat="1" applyFont="1" applyFill="1"/>
    <xf numFmtId="165" fontId="5" fillId="0" borderId="1" xfId="0" applyNumberFormat="1" applyFont="1" applyBorder="1"/>
    <xf numFmtId="168" fontId="3" fillId="0" borderId="1" xfId="0" applyNumberFormat="1" applyFont="1" applyBorder="1" applyAlignment="1">
      <alignment horizontal="right" vertical="bottom" textRotation="0" indent="0" readingOrder="0"/>
    </xf>
    <xf numFmtId="164" fontId="3" fillId="0" borderId="1" xfId="0" applyNumberFormat="1" applyFont="1" applyBorder="1" applyAlignment="1">
      <alignment horizontal="right" vertical="bottom" textRotation="0" indent="0" readingOrder="0"/>
    </xf>
    <xf numFmtId="165" fontId="5" fillId="2" borderId="1" xfId="0" applyNumberFormat="1" applyFont="1" applyFill="1" applyBorder="1"/>
    <xf numFmtId="168" fontId="2" fillId="4" borderId="1" xfId="0" applyNumberFormat="1" applyFont="1" applyFill="1" applyBorder="1" applyAlignment="1">
      <alignment horizontal="right" vertical="bottom" textRotation="0" indent="0" readingOrder="0"/>
    </xf>
    <xf numFmtId="165" fontId="6" fillId="3" borderId="0" xfId="0" applyNumberFormat="1" applyFont="1" applyFill="1" applyAlignment="1">
      <alignment horizontal="center" vertical="bottom" textRotation="0" indent="0" readingOrder="0"/>
    </xf>
    <xf numFmtId="168" fontId="7" fillId="0" borderId="0" xfId="0" applyNumberFormat="1" applyFont="1" applyAlignment="1">
      <alignment horizontal="right" vertical="bottom" textRotation="0" indent="0" readingOrder="0"/>
    </xf>
    <xf numFmtId="164" fontId="3" fillId="0" borderId="0" xfId="0" applyNumberFormat="1" applyFont="1" applyAlignment="1">
      <alignment horizontal="right" vertical="bottom" textRotation="0" indent="0" readingOrder="0"/>
    </xf>
    <xf numFmtId="165" fontId="6" fillId="2" borderId="0" xfId="0" applyNumberFormat="1" applyFont="1" applyFill="1" applyAlignment="1">
      <alignment horizontal="center" vertical="bottom" textRotation="0" indent="0" readingOrder="0"/>
    </xf>
    <xf numFmtId="169" fontId="3" fillId="0" borderId="0" xfId="0" applyNumberFormat="1" applyFont="1" applyAlignment="1">
      <alignment horizontal="right" vertical="bottom" textRotation="0" indent="0" readingOrder="0"/>
    </xf>
    <xf numFmtId="169" fontId="3" fillId="0" borderId="1" xfId="0" applyNumberFormat="1" applyFont="1" applyBorder="1" applyAlignment="1">
      <alignment horizontal="right" vertical="bottom" textRotation="0" indent="0" readingOrder="0"/>
    </xf>
    <xf numFmtId="165" fontId="6" fillId="2" borderId="1" xfId="0" applyNumberFormat="1" applyFont="1" applyFill="1" applyBorder="1" applyAlignment="1">
      <alignment horizontal="center" vertical="bottom" textRotation="0" indent="0" readingOrder="0"/>
    </xf>
    <xf numFmtId="164" fontId="6" fillId="0" borderId="2" xfId="0" applyNumberFormat="1" applyFont="1" applyBorder="1" applyAlignment="1">
      <alignment horizontal="right" vertical="bottom" textRotation="0" indent="0" readingOrder="0"/>
    </xf>
    <xf numFmtId="164" fontId="6" fillId="0" borderId="3" xfId="0" applyNumberFormat="1" applyFont="1" applyBorder="1" applyAlignment="1">
      <alignment horizontal="right" vertical="bottom" textRotation="0" indent="0" readingOrder="0"/>
    </xf>
    <xf numFmtId="165" fontId="6" fillId="0" borderId="2" xfId="0" applyNumberFormat="1" applyFont="1" applyBorder="1" applyAlignment="1">
      <alignment horizontal="left" vertical="bottom" textRotation="0" indent="0" readingOrder="0"/>
    </xf>
    <xf numFmtId="164" fontId="7" fillId="0" borderId="0" xfId="0" applyNumberFormat="1" applyFont="1" applyAlignment="1">
      <alignment horizontal="right" vertical="bottom" textRotation="0" indent="0" readingOrder="0"/>
    </xf>
    <xf numFmtId="164" fontId="3" fillId="0" borderId="0" xfId="0" applyNumberFormat="1" applyFont="1" applyAlignment="1">
      <alignment horizontal="right" vertical="bottom" textRotation="0" indent="0" readingOrder="0"/>
    </xf>
    <xf numFmtId="165" fontId="5" fillId="2" borderId="1" xfId="0" applyNumberFormat="1" applyFont="1" applyFill="1" applyBorder="1"/>
    <xf numFmtId="164" fontId="3" fillId="0" borderId="1" xfId="0" applyNumberFormat="1" applyFont="1" applyBorder="1" applyAlignment="1">
      <alignment horizontal="right" vertical="bottom" textRotation="0" indent="0" readingOrder="0"/>
    </xf>
    <xf numFmtId="165" fontId="5" fillId="0" borderId="0" xfId="0" applyNumberFormat="1" applyFont="1"/>
    <xf numFmtId="165" fontId="5" fillId="0" borderId="1" xfId="0" applyNumberFormat="1" applyFont="1" applyBorder="1"/>
    <xf numFmtId="164" fontId="9" fillId="0" borderId="2" xfId="0" applyNumberFormat="1" applyFont="1" applyBorder="1" applyAlignment="1">
      <alignment horizontal="right" vertical="bottom" textRotation="0" indent="0" readingOrder="0"/>
    </xf>
    <xf numFmtId="165" fontId="6" fillId="2" borderId="0" xfId="0" applyNumberFormat="1" applyFont="1" applyFill="1" applyAlignment="1">
      <alignment horizontal="center" vertical="bottom" textRotation="0" indent="0" readingOrder="0"/>
    </xf>
    <xf numFmtId="165" fontId="6" fillId="3" borderId="0" xfId="0" applyNumberFormat="1" applyFont="1" applyFill="1" applyAlignment="1">
      <alignment horizontal="center" vertical="bottom" textRotation="0" indent="0" readingOrder="0"/>
    </xf>
    <xf numFmtId="165" fontId="3" fillId="0" borderId="0" xfId="0" applyNumberFormat="1" applyFont="1" applyAlignment="1">
      <alignment horizontal="left" vertical="bottom" textRotation="0" indent="0" readingOrder="0"/>
    </xf>
    <xf numFmtId="165" fontId="6" fillId="2" borderId="1" xfId="0" applyNumberFormat="1" applyFont="1" applyFill="1" applyBorder="1" applyAlignment="1">
      <alignment horizontal="center" vertical="bottom" textRotation="0" indent="0" readingOrder="0"/>
    </xf>
    <xf numFmtId="165" fontId="6" fillId="3" borderId="0" xfId="0" applyNumberFormat="1" applyFont="1" applyFill="1" applyAlignment="1">
      <alignment horizontal="left" vertical="bottom" textRotation="0" indent="0" readingOrder="0"/>
    </xf>
    <xf numFmtId="164" fontId="7" fillId="0" borderId="1" xfId="0" applyNumberFormat="1" applyFont="1" applyBorder="1" applyAlignment="1">
      <alignment horizontal="right" vertical="bottom" textRotation="0" indent="0" readingOrder="0"/>
    </xf>
    <xf numFmtId="165" fontId="5" fillId="3" borderId="0" xfId="0" applyNumberFormat="1" applyFont="1" applyFill="1"/>
    <xf numFmtId="165" fontId="5" fillId="2" borderId="0" xfId="0" applyNumberFormat="1" applyFont="1" applyFill="1"/>
    <xf numFmtId="165" fontId="5" fillId="0" borderId="0" xfId="0" applyNumberFormat="1" applyFont="1"/>
    <xf numFmtId="164" fontId="7" fillId="0" borderId="0" xfId="0" applyNumberFormat="1" applyFont="1" applyAlignment="1">
      <alignment horizontal="right" vertical="bottom" textRotation="0" indent="0" readingOrder="0"/>
    </xf>
    <xf numFmtId="165" fontId="6" fillId="3" borderId="0" xfId="0" applyNumberFormat="1" applyFont="1" applyFill="1" applyAlignment="1">
      <alignment horizontal="left" vertical="bottom" textRotation="0" indent="0" readingOrder="0"/>
    </xf>
    <xf numFmtId="164" fontId="7" fillId="0" borderId="1" xfId="0" applyNumberFormat="1" applyFont="1" applyBorder="1" applyAlignment="1">
      <alignment horizontal="right" vertical="bottom" textRotation="0" indent="0" readingOrder="0"/>
    </xf>
    <xf numFmtId="165" fontId="6" fillId="2" borderId="0" xfId="0" applyNumberFormat="1" applyFont="1" applyFill="1" applyAlignment="1">
      <alignment horizontal="center" vertical="bottom" textRotation="0" indent="0" readingOrder="0"/>
    </xf>
    <xf numFmtId="164" fontId="6" fillId="0" borderId="2" xfId="0" applyNumberFormat="1" applyFont="1" applyBorder="1" applyAlignment="1">
      <alignment horizontal="right" vertical="bottom" textRotation="0" indent="0" readingOrder="0"/>
    </xf>
    <xf numFmtId="165" fontId="5" fillId="2" borderId="0" xfId="0" applyNumberFormat="1" applyFont="1" applyFill="1"/>
    <xf numFmtId="165" fontId="3" fillId="0" borderId="0" xfId="0" applyNumberFormat="1" applyFont="1" applyAlignment="1">
      <alignment horizontal="left" vertical="bottom" textRotation="0" indent="0" readingOrder="0"/>
    </xf>
    <xf numFmtId="165" fontId="6" fillId="3" borderId="0" xfId="0" applyNumberFormat="1" applyFont="1" applyFill="1" applyAlignment="1">
      <alignment horizontal="center" vertical="bottom" textRotation="0" indent="0" readingOrder="0"/>
    </xf>
    <xf numFmtId="165" fontId="5" fillId="2" borderId="1" xfId="0" applyNumberFormat="1" applyFont="1" applyFill="1" applyBorder="1"/>
    <xf numFmtId="164" fontId="3" fillId="0" borderId="0" xfId="0" applyNumberFormat="1" applyFont="1" applyAlignment="1">
      <alignment horizontal="right" vertical="bottom" textRotation="0" indent="0" readingOrder="0"/>
    </xf>
    <xf numFmtId="165" fontId="5" fillId="3" borderId="0" xfId="0" applyNumberFormat="1" applyFont="1" applyFill="1"/>
    <xf numFmtId="165" fontId="5" fillId="0" borderId="1" xfId="0" applyNumberFormat="1" applyFont="1" applyBorder="1"/>
    <xf numFmtId="164" fontId="6" fillId="0" borderId="3" xfId="0" applyNumberFormat="1" applyFont="1" applyBorder="1" applyAlignment="1">
      <alignment horizontal="right" vertical="bottom" textRotation="0" indent="0" readingOrder="0"/>
    </xf>
    <xf numFmtId="165" fontId="6" fillId="2" borderId="1" xfId="0" applyNumberFormat="1" applyFont="1" applyFill="1" applyBorder="1" applyAlignment="1">
      <alignment horizontal="center" vertical="bottom" textRotation="0" indent="0" readingOrder="0"/>
    </xf>
    <xf numFmtId="164" fontId="3" fillId="0" borderId="1" xfId="0" applyNumberFormat="1" applyFont="1" applyBorder="1" applyAlignment="1">
      <alignment horizontal="right" vertical="bottom" textRotation="0" indent="0" readingOrder="0"/>
    </xf>
    <xf numFmtId="165" fontId="6" fillId="0" borderId="2" xfId="0" applyNumberFormat="1" applyFont="1" applyBorder="1" applyAlignment="1">
      <alignment horizontal="left" vertical="bottom" textRotation="0" indent="0" readingOrder="0"/>
    </xf>
    <xf numFmtId="170" fontId="3" fillId="0" borderId="0" xfId="0" applyNumberFormat="1" applyFont="1" applyAlignment="1">
      <alignment horizontal="right" vertical="bottom" textRotation="0" indent="0" readingOrder="0"/>
    </xf>
    <xf numFmtId="170" fontId="3" fillId="0" borderId="1" xfId="0" applyNumberFormat="1" applyFont="1" applyBorder="1" applyAlignment="1">
      <alignment horizontal="right" vertical="bottom" textRotation="0" indent="0" readingOrder="0"/>
    </xf>
    <xf numFmtId="165" fontId="3" fillId="0" borderId="0" xfId="0" applyNumberFormat="1" applyFont="1" applyAlignment="1">
      <alignment horizontal="left" vertical="bottom" textRotation="0" indent="0" readingOrder="0"/>
    </xf>
    <xf numFmtId="165" fontId="3" fillId="0" borderId="0" xfId="0" applyNumberFormat="1" applyFont="1"/>
    <xf numFmtId="164" fontId="3" fillId="0" borderId="0" xfId="0" applyNumberFormat="1" applyFont="1" applyAlignment="1">
      <alignment horizontal="right" vertical="bottom" textRotation="0" indent="0" readingOrder="0"/>
    </xf>
    <xf numFmtId="165" fontId="6" fillId="3" borderId="0" xfId="0" applyNumberFormat="1" applyFont="1" applyFill="1" applyAlignment="1">
      <alignment horizontal="left" vertical="bottom" textRotation="0" indent="0" readingOrder="0"/>
    </xf>
    <xf numFmtId="165" fontId="6" fillId="2" borderId="1" xfId="0" applyNumberFormat="1" applyFont="1" applyFill="1" applyBorder="1" applyAlignment="1">
      <alignment horizontal="center" vertical="bottom" textRotation="0" indent="0" readingOrder="0"/>
    </xf>
    <xf numFmtId="165" fontId="6" fillId="2" borderId="1" xfId="0" applyNumberFormat="1" applyFont="1" applyFill="1" applyBorder="1" applyAlignment="1">
      <alignment horizontal="left" vertical="bottom" textRotation="0" indent="0" readingOrder="0"/>
    </xf>
    <xf numFmtId="164" fontId="7" fillId="0" borderId="0" xfId="0" applyNumberFormat="1" applyFont="1" applyAlignment="1">
      <alignment horizontal="right" vertical="bottom" textRotation="0" indent="0" readingOrder="0"/>
    </xf>
    <xf numFmtId="165" fontId="3" fillId="0" borderId="0" xfId="0" applyNumberFormat="1" applyFont="1" applyAlignment="1">
      <alignment horizontal="center" vertical="bottom" textRotation="0" indent="0" readingOrder="0"/>
    </xf>
    <xf numFmtId="164" fontId="3" fillId="0" borderId="1" xfId="0" applyNumberFormat="1" applyFont="1" applyBorder="1" applyAlignment="1">
      <alignment horizontal="right" vertical="bottom" textRotation="0" indent="0" readingOrder="0"/>
    </xf>
    <xf numFmtId="164" fontId="7" fillId="0" borderId="1" xfId="0" applyNumberFormat="1" applyFont="1" applyBorder="1" applyAlignment="1">
      <alignment horizontal="right" vertical="bottom" textRotation="0" indent="0" readingOrder="0"/>
    </xf>
    <xf numFmtId="165" fontId="6" fillId="0" borderId="0" xfId="0" applyNumberFormat="1" applyFont="1" applyAlignment="1">
      <alignment horizontal="center" vertical="bottom" textRotation="0" indent="0" readingOrder="0"/>
    </xf>
    <xf numFmtId="165" fontId="6" fillId="0" borderId="0" xfId="0" applyNumberFormat="1" applyFont="1" applyAlignment="1">
      <alignment horizontal="left" vertical="bottom" textRotation="0" indent="0" readingOrder="0"/>
    </xf>
    <xf numFmtId="165" fontId="3" fillId="0" borderId="0" xfId="0" applyNumberFormat="1" applyFont="1"/>
    <xf numFmtId="171" fontId="3" fillId="0" borderId="0" xfId="0" applyNumberFormat="1" applyFont="1"/>
    <xf numFmtId="165" fontId="6" fillId="0" borderId="0" xfId="0" applyNumberFormat="1" applyFont="1" applyAlignment="1">
      <alignment horizontal="center" vertical="bottom" textRotation="0" indent="0" readingOrder="0"/>
    </xf>
    <xf numFmtId="165" fontId="6" fillId="0" borderId="0" xfId="0" applyNumberFormat="1" applyFont="1"/>
    <xf numFmtId="165" fontId="9" fillId="0" borderId="0" xfId="0" applyNumberFormat="1" applyFont="1" applyAlignment="1">
      <alignment horizontal="center" vertical="bottom" textRotation="0" indent="0" readingOrder="0"/>
    </xf>
    <xf numFmtId="165" fontId="5" fillId="0" borderId="0" xfId="0" applyNumberFormat="1" applyFont="1"/>
    <xf numFmtId="164" fontId="7" fillId="0" borderId="0" xfId="0" applyNumberFormat="1" applyFont="1" applyAlignment="1">
      <alignment horizontal="right" vertical="bottom" textRotation="0" indent="0" readingOrder="0"/>
    </xf>
    <xf numFmtId="164" fontId="3" fillId="0" borderId="0" xfId="0" applyNumberFormat="1" applyFont="1" applyAlignment="1">
      <alignment horizontal="right" vertical="bottom" textRotation="0" indent="0" readingOrder="0"/>
    </xf>
    <xf numFmtId="165" fontId="5" fillId="2" borderId="0" xfId="0" applyNumberFormat="1" applyFont="1" applyFill="1"/>
    <xf numFmtId="165" fontId="3" fillId="0" borderId="0" xfId="0" applyNumberFormat="1" applyFont="1" applyAlignment="1">
      <alignment horizontal="left" vertical="bottom" textRotation="0" indent="0" readingOrder="0"/>
    </xf>
    <xf numFmtId="165" fontId="6" fillId="3" borderId="0" xfId="0" applyNumberFormat="1" applyFont="1" applyFill="1" applyAlignment="1">
      <alignment horizontal="center" vertical="bottom" textRotation="0" indent="0" readingOrder="0"/>
    </xf>
    <xf numFmtId="165" fontId="6" fillId="2" borderId="1" xfId="0" applyNumberFormat="1" applyFont="1" applyFill="1" applyBorder="1" applyAlignment="1">
      <alignment horizontal="center" vertical="bottom" textRotation="0" indent="0" readingOrder="0"/>
    </xf>
    <xf numFmtId="164" fontId="6" fillId="0" borderId="2" xfId="0" applyNumberFormat="1" applyFont="1" applyBorder="1" applyAlignment="1">
      <alignment horizontal="right" vertical="bottom" textRotation="0" indent="0" readingOrder="0"/>
    </xf>
    <xf numFmtId="164" fontId="7" fillId="0" borderId="1" xfId="0" applyNumberFormat="1" applyFont="1" applyBorder="1" applyAlignment="1">
      <alignment horizontal="right" vertical="bottom" textRotation="0" indent="0" readingOrder="0"/>
    </xf>
    <xf numFmtId="164" fontId="3" fillId="0" borderId="1" xfId="0" applyNumberFormat="1" applyFont="1" applyBorder="1" applyAlignment="1">
      <alignment horizontal="right" vertical="bottom" textRotation="0" indent="0" readingOrder="0"/>
    </xf>
    <xf numFmtId="165" fontId="5" fillId="2" borderId="1" xfId="0" applyNumberFormat="1" applyFont="1" applyFill="1" applyBorder="1"/>
    <xf numFmtId="165" fontId="5" fillId="3" borderId="0" xfId="0" applyNumberFormat="1" applyFont="1" applyFill="1"/>
    <xf numFmtId="165" fontId="5" fillId="0" borderId="1" xfId="0" applyNumberFormat="1" applyFont="1" applyBorder="1"/>
    <xf numFmtId="165" fontId="6" fillId="0" borderId="2" xfId="0" applyNumberFormat="1" applyFont="1" applyBorder="1" applyAlignment="1">
      <alignment horizontal="left" vertical="bottom" textRotation="0" indent="0" readingOrder="0"/>
    </xf>
    <xf numFmtId="165" fontId="6" fillId="2" borderId="0" xfId="0" applyNumberFormat="1" applyFont="1" applyFill="1" applyAlignment="1">
      <alignment horizontal="center" vertical="bottom" textRotation="0" indent="0" readingOrder="0"/>
    </xf>
    <xf numFmtId="165" fontId="6" fillId="3" borderId="0" xfId="0" applyNumberFormat="1" applyFont="1" applyFill="1" applyAlignment="1">
      <alignment horizontal="left" vertical="bottom" textRotation="0" indent="0" readingOrder="0"/>
    </xf>
    <xf numFmtId="164" fontId="6" fillId="0" borderId="3" xfId="0" applyNumberFormat="1" applyFont="1" applyBorder="1" applyAlignment="1">
      <alignment horizontal="right" vertical="bottom" textRotation="0" indent="0" readingOrder="0"/>
    </xf>
    <xf numFmtId="170" fontId="3" fillId="0" borderId="0" xfId="0" applyNumberFormat="1" applyFont="1" applyAlignment="1">
      <alignment horizontal="right" vertical="bottom" textRotation="0" indent="0" readingOrder="0"/>
    </xf>
    <xf numFmtId="170" fontId="3" fillId="0" borderId="1" xfId="0" applyNumberFormat="1" applyFont="1" applyBorder="1" applyAlignment="1">
      <alignment horizontal="right" vertical="bottom" textRotation="0" indent="0" readingOrder="0"/>
    </xf>
    <xf numFmtId="165" fontId="3" fillId="0" borderId="0" xfId="0" applyNumberFormat="1" applyFont="1"/>
    <xf numFmtId="165" fontId="6" fillId="3" borderId="0" xfId="0" applyNumberFormat="1" applyFont="1" applyFill="1" applyAlignment="1">
      <alignment horizontal="left" vertical="bottom" textRotation="0" indent="0" readingOrder="0"/>
    </xf>
    <xf numFmtId="164" fontId="3" fillId="0" borderId="1" xfId="0" applyNumberFormat="1" applyFont="1" applyBorder="1" applyAlignment="1">
      <alignment horizontal="right" vertical="bottom" textRotation="0" indent="0" readingOrder="0"/>
    </xf>
    <xf numFmtId="165" fontId="3" fillId="0" borderId="0" xfId="0" applyNumberFormat="1" applyFont="1" applyAlignment="1">
      <alignment horizontal="left" vertical="bottom" textRotation="0" indent="0" readingOrder="0"/>
    </xf>
    <xf numFmtId="164" fontId="3" fillId="0" borderId="0" xfId="0" applyNumberFormat="1" applyFont="1" applyAlignment="1">
      <alignment horizontal="right" vertical="bottom" textRotation="0" indent="0" readingOrder="0"/>
    </xf>
    <xf numFmtId="165" fontId="6" fillId="2" borderId="1" xfId="0" applyNumberFormat="1" applyFont="1" applyFill="1" applyBorder="1" applyAlignment="1">
      <alignment horizontal="left" vertical="bottom" textRotation="0" indent="0" readingOrder="0"/>
    </xf>
    <xf numFmtId="164" fontId="7" fillId="0" borderId="0" xfId="0" applyNumberFormat="1" applyFont="1" applyAlignment="1">
      <alignment horizontal="right" vertical="bottom" textRotation="0" indent="0" readingOrder="0"/>
    </xf>
    <xf numFmtId="165" fontId="3" fillId="0" borderId="0" xfId="0" applyNumberFormat="1" applyFont="1" applyAlignment="1">
      <alignment horizontal="center" vertical="bottom" textRotation="0" indent="0" readingOrder="0"/>
    </xf>
    <xf numFmtId="165" fontId="6" fillId="2" borderId="1" xfId="0" applyNumberFormat="1" applyFont="1" applyFill="1" applyBorder="1" applyAlignment="1">
      <alignment horizontal="center" vertical="bottom" textRotation="0" indent="0" readingOrder="0"/>
    </xf>
    <xf numFmtId="165" fontId="6" fillId="0" borderId="0" xfId="0" applyNumberFormat="1" applyFont="1" applyAlignment="1">
      <alignment horizontal="left" vertical="bottom" textRotation="0" indent="0" readingOrder="0"/>
    </xf>
    <xf numFmtId="164" fontId="7" fillId="0" borderId="1" xfId="0" applyNumberFormat="1" applyFont="1" applyBorder="1" applyAlignment="1">
      <alignment horizontal="right" vertical="bottom" textRotation="0" indent="0" readingOrder="0"/>
    </xf>
    <xf numFmtId="165" fontId="6" fillId="0" borderId="0" xfId="0" applyNumberFormat="1" applyFont="1" applyAlignment="1">
      <alignment horizontal="center" vertical="bottom" textRotation="0" indent="0" readingOrder="0"/>
    </xf>
    <xf numFmtId="165" fontId="3" fillId="0" borderId="0" xfId="0" applyNumberFormat="1" applyFont="1"/>
    <xf numFmtId="165" fontId="6" fillId="0" borderId="0" xfId="0" applyNumberFormat="1" applyFont="1" applyAlignment="1">
      <alignment horizontal="center" vertical="bottom" textRotation="0" indent="0" readingOrder="0"/>
    </xf>
    <xf numFmtId="171" fontId="3" fillId="0" borderId="0" xfId="0" applyNumberFormat="1" applyFont="1"/>
    <xf numFmtId="165" fontId="6" fillId="0" borderId="0" xfId="0" applyNumberFormat="1" applyFont="1"/>
    <xf numFmtId="165" fontId="9" fillId="0" borderId="0" xfId="0" applyNumberFormat="1" applyFont="1" applyAlignment="1">
      <alignment horizontal="center" vertical="bottom" textRotation="0" indent="0" readingOrder="0"/>
    </xf>
    <xf numFmtId="165" fontId="5" fillId="0" borderId="0" xfId="0" applyNumberFormat="1" applyFont="1"/>
    <xf numFmtId="165" fontId="6" fillId="2" borderId="0" xfId="0" applyNumberFormat="1" applyFont="1" applyFill="1" applyAlignment="1">
      <alignment horizontal="center" vertical="bottom" textRotation="0" indent="0" readingOrder="0"/>
    </xf>
    <xf numFmtId="164" fontId="6" fillId="0" borderId="2" xfId="0" applyNumberFormat="1" applyFont="1" applyBorder="1" applyAlignment="1">
      <alignment horizontal="right" vertical="bottom" textRotation="0" indent="0" readingOrder="0"/>
    </xf>
    <xf numFmtId="165" fontId="5" fillId="2" borderId="0" xfId="0" applyNumberFormat="1" applyFont="1" applyFill="1"/>
    <xf numFmtId="165" fontId="3" fillId="0" borderId="0" xfId="0" applyNumberFormat="1" applyFont="1" applyAlignment="1">
      <alignment horizontal="left" vertical="bottom" textRotation="0" indent="0" readingOrder="0"/>
    </xf>
    <xf numFmtId="165" fontId="6" fillId="3" borderId="0" xfId="0" applyNumberFormat="1" applyFont="1" applyFill="1" applyAlignment="1">
      <alignment horizontal="center" vertical="bottom" textRotation="0" indent="0" readingOrder="0"/>
    </xf>
    <xf numFmtId="164" fontId="7" fillId="0" borderId="0" xfId="0" applyNumberFormat="1" applyFont="1" applyAlignment="1">
      <alignment horizontal="right" vertical="bottom" textRotation="0" indent="0" readingOrder="0"/>
    </xf>
    <xf numFmtId="165" fontId="5" fillId="2" borderId="1" xfId="0" applyNumberFormat="1" applyFont="1" applyFill="1" applyBorder="1"/>
    <xf numFmtId="164" fontId="3" fillId="0" borderId="0" xfId="0" applyNumberFormat="1" applyFont="1" applyAlignment="1">
      <alignment horizontal="right" vertical="bottom" textRotation="0" indent="0" readingOrder="0"/>
    </xf>
    <xf numFmtId="164" fontId="7" fillId="0" borderId="1" xfId="0" applyNumberFormat="1" applyFont="1" applyBorder="1" applyAlignment="1">
      <alignment horizontal="right" vertical="bottom" textRotation="0" indent="0" readingOrder="0"/>
    </xf>
    <xf numFmtId="165" fontId="5" fillId="3" borderId="0" xfId="0" applyNumberFormat="1" applyFont="1" applyFill="1"/>
    <xf numFmtId="165" fontId="5" fillId="0" borderId="1" xfId="0" applyNumberFormat="1" applyFont="1" applyBorder="1"/>
    <xf numFmtId="165" fontId="6" fillId="0" borderId="2" xfId="0" applyNumberFormat="1" applyFont="1" applyBorder="1" applyAlignment="1">
      <alignment horizontal="left" vertical="bottom" textRotation="0" indent="0" readingOrder="0"/>
    </xf>
    <xf numFmtId="165" fontId="6" fillId="2" borderId="1" xfId="0" applyNumberFormat="1" applyFont="1" applyFill="1" applyBorder="1" applyAlignment="1">
      <alignment horizontal="center" vertical="bottom" textRotation="0" indent="0" readingOrder="0"/>
    </xf>
    <xf numFmtId="164" fontId="3" fillId="0" borderId="1" xfId="0" applyNumberFormat="1" applyFont="1" applyBorder="1" applyAlignment="1">
      <alignment horizontal="right" vertical="bottom" textRotation="0" indent="0" readingOrder="0"/>
    </xf>
    <xf numFmtId="165" fontId="6" fillId="3" borderId="0" xfId="0" applyNumberFormat="1" applyFont="1" applyFill="1" applyAlignment="1">
      <alignment horizontal="left" vertical="bottom" textRotation="0" indent="0" readingOrder="0"/>
    </xf>
    <xf numFmtId="164" fontId="6" fillId="0" borderId="3" xfId="0" applyNumberFormat="1" applyFont="1" applyBorder="1" applyAlignment="1">
      <alignment horizontal="right" vertical="bottom" textRotation="0" indent="0" readingOrder="0"/>
    </xf>
    <xf numFmtId="170" fontId="3" fillId="0" borderId="0" xfId="0" applyNumberFormat="1" applyFont="1" applyAlignment="1">
      <alignment horizontal="right" vertical="bottom" textRotation="0" indent="0" readingOrder="0"/>
    </xf>
    <xf numFmtId="170" fontId="3" fillId="0" borderId="1" xfId="0" applyNumberFormat="1" applyFont="1" applyBorder="1" applyAlignment="1">
      <alignment horizontal="right" vertical="bottom" textRotation="0" indent="0" readingOrder="0"/>
    </xf>
    <xf numFmtId="165" fontId="3" fillId="0" borderId="0" xfId="0" applyNumberFormat="1" applyFont="1"/>
    <xf numFmtId="165" fontId="6" fillId="3" borderId="0" xfId="0" applyNumberFormat="1" applyFont="1" applyFill="1" applyAlignment="1">
      <alignment horizontal="left" vertical="bottom" textRotation="0" indent="0" readingOrder="0"/>
    </xf>
    <xf numFmtId="164" fontId="3" fillId="0" borderId="1" xfId="0" applyNumberFormat="1" applyFont="1" applyBorder="1" applyAlignment="1">
      <alignment horizontal="right" vertical="bottom" textRotation="0" indent="0" readingOrder="0"/>
    </xf>
    <xf numFmtId="165" fontId="3" fillId="0" borderId="0" xfId="0" applyNumberFormat="1" applyFont="1" applyAlignment="1">
      <alignment horizontal="left" vertical="bottom" textRotation="0" indent="0" readingOrder="0"/>
    </xf>
    <xf numFmtId="164" fontId="3" fillId="0" borderId="0" xfId="0" applyNumberFormat="1" applyFont="1" applyAlignment="1">
      <alignment horizontal="right" vertical="bottom" textRotation="0" indent="0" readingOrder="0"/>
    </xf>
    <xf numFmtId="165" fontId="6" fillId="2" borderId="1" xfId="0" applyNumberFormat="1" applyFont="1" applyFill="1" applyBorder="1" applyAlignment="1">
      <alignment horizontal="left" vertical="bottom" textRotation="0" indent="0" readingOrder="0"/>
    </xf>
    <xf numFmtId="164" fontId="7" fillId="0" borderId="0" xfId="0" applyNumberFormat="1" applyFont="1" applyAlignment="1">
      <alignment horizontal="right" vertical="bottom" textRotation="0" indent="0" readingOrder="0"/>
    </xf>
    <xf numFmtId="165" fontId="3" fillId="0" borderId="0" xfId="0" applyNumberFormat="1" applyFont="1" applyAlignment="1">
      <alignment horizontal="center" vertical="bottom" textRotation="0" indent="0" readingOrder="0"/>
    </xf>
    <xf numFmtId="165" fontId="6" fillId="2" borderId="1" xfId="0" applyNumberFormat="1" applyFont="1" applyFill="1" applyBorder="1" applyAlignment="1">
      <alignment horizontal="center" vertical="bottom" textRotation="0" indent="0" readingOrder="0"/>
    </xf>
    <xf numFmtId="165" fontId="6" fillId="0" borderId="0" xfId="0" applyNumberFormat="1" applyFont="1" applyAlignment="1">
      <alignment horizontal="left" vertical="bottom" textRotation="0" indent="0" readingOrder="0"/>
    </xf>
    <xf numFmtId="164" fontId="7" fillId="0" borderId="1" xfId="0" applyNumberFormat="1" applyFont="1" applyBorder="1" applyAlignment="1">
      <alignment horizontal="right" vertical="bottom" textRotation="0" indent="0" readingOrder="0"/>
    </xf>
    <xf numFmtId="165" fontId="6" fillId="0" borderId="0" xfId="0" applyNumberFormat="1" applyFont="1" applyAlignment="1">
      <alignment horizontal="center" vertical="bottom" textRotation="0" indent="0" readingOrder="0"/>
    </xf>
    <xf numFmtId="165" fontId="3" fillId="0" borderId="0" xfId="0" applyNumberFormat="1" applyFont="1"/>
    <xf numFmtId="165" fontId="6" fillId="0" borderId="0" xfId="0" applyNumberFormat="1" applyFont="1" applyAlignment="1">
      <alignment horizontal="center" vertical="bottom" textRotation="0" indent="0" readingOrder="0"/>
    </xf>
    <xf numFmtId="171" fontId="3" fillId="0" borderId="0" xfId="0" applyNumberFormat="1" applyFont="1"/>
    <xf numFmtId="165" fontId="6" fillId="0" borderId="0" xfId="0" applyNumberFormat="1" applyFont="1"/>
    <xf numFmtId="165" fontId="9" fillId="0" borderId="0" xfId="0" applyNumberFormat="1" applyFont="1" applyAlignment="1">
      <alignment horizontal="center" vertical="bottom" textRotation="0" indent="0" readingOrder="0"/>
    </xf>
    <xf numFmtId="0" fontId="10" fillId="0" borderId="0" xfId="0" applyFont="1" applyFill="1" applyAlignment="1" applyProtection="1">
      <alignment vertical="top"/>
      <protection locked="1" hidden="0"/>
    </xf>
    <xf numFmtId="0" fontId="11" fillId="0" borderId="0" xfId="0" applyFont="1" applyFill="1" applyProtection="1">
      <protection locked="1" hidden="0"/>
    </xf>
    <xf numFmtId="172" fontId="10" fillId="0" borderId="0" xfId="0" applyNumberFormat="1" applyFont="1" applyFill="1" applyAlignment="1" applyProtection="1">
      <alignment vertical="top"/>
      <protection locked="1" hidden="0"/>
    </xf>
  </cellXfs>
  <cellStyles count="1">
    <cellStyle name="Normal" xfId="0" builtinId="0"/>
  </cellStyles>
  <dxfs count="0"/>
  <tableStyles count="0" defaultTableStyle="TableStyleMedium2"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sharedStrings" Target="sharedStrings.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Malgun Gothic"/>
        <a:font script="Hans" typeface="DengXian Light"/>
        <a:font script="Hant" typeface="Microsoft JhengHei Light"/>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majorFont>
      <a:minorFont>
        <a:latin typeface="Calibri" panose="020F0502020204030204"/>
        <a:ea typeface=""/>
        <a:cs typeface=""/>
        <a:font script="Jpan" typeface="Yu Gothic"/>
        <a:font script="Hang" typeface="Malgun Gothic"/>
        <a:font script="Hans" typeface="DengXian"/>
        <a:font script="Hant" typeface="Microsoft JhengHei"/>
        <a:font script="Arab" typeface="Arial"/>
        <a:font script="Hebr" typeface="Arial"/>
        <a:font script="Thai" typeface="Cordia New"/>
        <a:font script="Ethi" typeface="Nyala"/>
        <a:font script="Beng" typeface="Vrinda"/>
        <a:font script="Gujr" typeface="Shruti"/>
        <a:font script="Khmr" typeface="DaunPenh"/>
        <a:font script="Knda" typeface="Tunga"/>
      </a:minorFont>
    </a:fontScheme>
    <a:fmtScheme name="Office">
      <a:fillStyleLst>
        <a:solidFill>
          <a:schemeClr val="phClr"/>
        </a:solidFill>
        <a:solidFill>
          <a:schemeClr val="phClr"/>
        </a:solidFill>
        <a:solidFill>
          <a:schemeClr val="phClr"/>
        </a:solidFill>
      </a:fillStyleLst>
      <a:lnStyleLst>
        <a:ln w="6350">
          <a:solidFill>
            <a:schemeClr val="phClr"/>
          </a:solidFill>
        </a:ln>
        <a:ln w="12700">
          <a:solidFill>
            <a:schemeClr val="phClr"/>
          </a:solidFill>
        </a:ln>
        <a:ln w="19050">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92"/>
  <sheetViews>
    <sheetView showGridLines="0" tabSelected="1" workbookViewId="0"/>
  </sheetViews>
  <sheetFormatPr defaultColWidth="8.375" defaultRowHeight="15"/>
  <cols>
    <col min="1" max="1" width="43.125" customWidth="1"/>
    <col min="2" max="11" width="12.5" customWidth="1"/>
  </cols>
  <sheetData>
    <row r="1">
      <c r="A1" s="249" t="s">
        <v>0</v>
      </c>
      <c r="B1" s="8"/>
      <c r="C1" s="8"/>
      <c r="D1" s="8"/>
      <c r="E1" s="8"/>
      <c r="F1" s="8"/>
      <c r="G1" s="6"/>
      <c r="H1" s="9"/>
      <c r="I1" s="9"/>
      <c r="J1" s="9"/>
      <c r="K1" s="9"/>
    </row>
    <row r="2">
      <c r="A2" s="251" t="s">
        <v>1</v>
      </c>
      <c r="G2" s="11"/>
    </row>
    <row r="3">
      <c r="A3" s="251" t="s">
        <v>2</v>
      </c>
      <c r="G3" s="11"/>
    </row>
    <row r="4">
      <c r="A4" s="5"/>
      <c r="B4" s="5"/>
      <c r="C4" s="5"/>
      <c r="D4" s="5"/>
      <c r="E4" s="5"/>
      <c r="F4" s="5"/>
      <c r="G4" s="11"/>
      <c r="H4" s="5"/>
      <c r="I4" s="5"/>
      <c r="J4" s="5"/>
      <c r="K4" s="5"/>
    </row>
    <row r="5">
      <c r="A5" s="249" t="s">
        <v>3</v>
      </c>
      <c r="B5" s="234" t="s">
        <v>4</v>
      </c>
      <c r="C5" s="234" t="s">
        <v>5</v>
      </c>
      <c r="D5" s="234" t="s">
        <v>6</v>
      </c>
      <c r="E5" s="234" t="s">
        <v>7</v>
      </c>
      <c r="F5" s="234" t="s">
        <v>8</v>
      </c>
      <c r="G5" s="256" t="s">
        <v>9</v>
      </c>
      <c r="H5" s="230" t="s">
        <v>10</v>
      </c>
      <c r="I5" s="230" t="s">
        <v>11</v>
      </c>
      <c r="J5" s="230" t="s">
        <v>12</v>
      </c>
      <c r="K5" s="230" t="s">
        <v>13</v>
      </c>
    </row>
    <row r="6">
      <c r="A6" s="249" t="s">
        <v>14</v>
      </c>
      <c r="B6" s="8"/>
      <c r="C6" s="8"/>
      <c r="D6" s="8"/>
      <c r="E6" s="8"/>
      <c r="F6" s="8"/>
      <c r="G6" s="6"/>
      <c r="H6" s="9"/>
      <c r="I6" s="9"/>
      <c r="J6" s="9"/>
      <c r="K6" s="9"/>
    </row>
    <row r="7">
      <c r="A7" s="251" t="s">
        <v>15</v>
      </c>
      <c r="B7" s="1"/>
      <c r="C7" s="1"/>
      <c r="D7" s="1"/>
      <c r="E7" s="1">
        <v>872479782</v>
      </c>
      <c r="F7" s="1">
        <v>910833173</v>
      </c>
      <c r="G7" s="2"/>
      <c r="H7" s="1"/>
      <c r="I7" s="1"/>
      <c r="J7" s="1"/>
      <c r="K7" s="1"/>
    </row>
    <row r="8">
      <c r="A8" s="251" t="s">
        <v>16</v>
      </c>
      <c r="B8" s="1"/>
      <c r="C8" s="1"/>
      <c r="D8" s="1"/>
      <c r="E8" s="1">
        <v>-615692748</v>
      </c>
      <c r="F8" s="1">
        <v>-661106024</v>
      </c>
      <c r="G8" s="2"/>
      <c r="H8" s="1"/>
      <c r="I8" s="1"/>
      <c r="J8" s="1"/>
      <c r="K8" s="1"/>
    </row>
    <row r="9">
      <c r="A9" s="251" t="s">
        <v>17</v>
      </c>
      <c r="B9" s="1"/>
      <c r="C9" s="1"/>
      <c r="D9" s="1"/>
      <c r="E9" s="1">
        <v>-21731420</v>
      </c>
      <c r="F9" s="1">
        <v>-19594455</v>
      </c>
      <c r="G9" s="2"/>
      <c r="H9" s="1"/>
      <c r="I9" s="1"/>
      <c r="J9" s="1"/>
      <c r="K9" s="1"/>
    </row>
    <row r="10">
      <c r="A10" s="251" t="s">
        <v>18</v>
      </c>
      <c r="B10" s="1"/>
      <c r="C10" s="1"/>
      <c r="D10" s="1"/>
      <c r="E10" s="1">
        <v>-48347878</v>
      </c>
      <c r="F10" s="1">
        <v>-53346452</v>
      </c>
      <c r="G10" s="2"/>
      <c r="H10" s="1"/>
      <c r="I10" s="1"/>
      <c r="J10" s="1"/>
      <c r="K10" s="1"/>
    </row>
    <row r="11">
      <c r="A11" s="241" t="s">
        <v>19</v>
      </c>
      <c r="B11" s="4"/>
      <c r="C11" s="4"/>
      <c r="D11" s="4"/>
      <c r="E11" s="4">
        <v>186707736</v>
      </c>
      <c r="F11" s="4">
        <v>176786242</v>
      </c>
      <c r="G11" s="7"/>
      <c r="H11" s="4"/>
      <c r="I11" s="4"/>
      <c r="J11" s="4"/>
      <c r="K11" s="4"/>
    </row>
    <row r="12">
      <c r="A12" s="251" t="s">
        <v>20</v>
      </c>
      <c r="B12" s="1"/>
      <c r="C12" s="1"/>
      <c r="D12" s="1"/>
      <c r="E12" s="1">
        <v>-9105171</v>
      </c>
      <c r="F12" s="1">
        <v>-10322383</v>
      </c>
      <c r="G12" s="2"/>
      <c r="H12" s="1"/>
      <c r="I12" s="1"/>
      <c r="J12" s="1"/>
      <c r="K12" s="1"/>
    </row>
    <row r="13">
      <c r="A13" s="251" t="s">
        <v>21</v>
      </c>
      <c r="B13" s="1"/>
      <c r="C13" s="1"/>
      <c r="D13" s="1"/>
      <c r="E13" s="1">
        <v>-45818642</v>
      </c>
      <c r="F13" s="1">
        <v>-43618338</v>
      </c>
      <c r="G13" s="2"/>
      <c r="H13" s="1"/>
      <c r="I13" s="1"/>
      <c r="J13" s="1"/>
      <c r="K13" s="1"/>
    </row>
    <row r="14">
      <c r="A14" s="251" t="s">
        <v>22</v>
      </c>
      <c r="B14" s="1"/>
      <c r="C14" s="1"/>
      <c r="D14" s="1"/>
      <c r="E14" s="1">
        <v>131783923</v>
      </c>
      <c r="F14" s="1">
        <v>122845521</v>
      </c>
      <c r="G14" s="2"/>
      <c r="H14" s="1"/>
      <c r="I14" s="1"/>
      <c r="J14" s="1"/>
      <c r="K14" s="1"/>
    </row>
    <row r="15">
      <c r="A15" s="251" t="s">
        <v>23</v>
      </c>
      <c r="B15" s="1"/>
      <c r="C15" s="1"/>
      <c r="D15" s="1"/>
      <c r="E15" s="1">
        <v>-76941269</v>
      </c>
      <c r="F15" s="1">
        <v>-73951611</v>
      </c>
      <c r="G15" s="2"/>
      <c r="H15" s="1"/>
      <c r="I15" s="1"/>
      <c r="J15" s="1"/>
      <c r="K15" s="1"/>
    </row>
    <row r="16">
      <c r="A16" s="251" t="s">
        <v>24</v>
      </c>
      <c r="B16" s="1"/>
      <c r="C16" s="1"/>
      <c r="D16" s="1"/>
      <c r="E16" s="1">
        <v>4648031</v>
      </c>
      <c r="F16" s="1">
        <v>6411378</v>
      </c>
      <c r="G16" s="2"/>
      <c r="H16" s="1"/>
      <c r="I16" s="1"/>
      <c r="J16" s="1"/>
      <c r="K16" s="1"/>
    </row>
    <row r="17">
      <c r="A17" s="241" t="s">
        <v>25</v>
      </c>
      <c r="B17" s="4"/>
      <c r="C17" s="4"/>
      <c r="D17" s="4"/>
      <c r="E17" s="4">
        <v>-318727</v>
      </c>
      <c r="F17" s="4">
        <v>-995436</v>
      </c>
      <c r="G17" s="7"/>
      <c r="H17" s="4"/>
      <c r="I17" s="4"/>
      <c r="J17" s="4"/>
      <c r="K17" s="4"/>
    </row>
    <row r="18">
      <c r="A18" s="241" t="s">
        <v>26</v>
      </c>
      <c r="B18" s="4"/>
      <c r="C18" s="4"/>
      <c r="D18" s="4"/>
      <c r="E18" s="4">
        <v>59171958</v>
      </c>
      <c r="F18" s="4">
        <v>54309852</v>
      </c>
      <c r="G18" s="7"/>
      <c r="H18" s="4"/>
      <c r="I18" s="4"/>
      <c r="J18" s="4"/>
      <c r="K18" s="4"/>
    </row>
    <row r="19">
      <c r="A19" s="251" t="s">
        <v>27</v>
      </c>
      <c r="B19" s="1"/>
      <c r="C19" s="1"/>
      <c r="D19" s="1"/>
      <c r="E19" s="1">
        <v>-19371019</v>
      </c>
      <c r="F19" s="1">
        <v>-17136520</v>
      </c>
      <c r="G19" s="2"/>
      <c r="H19" s="1"/>
      <c r="I19" s="1"/>
      <c r="J19" s="1"/>
      <c r="K19" s="1"/>
    </row>
    <row r="20">
      <c r="A20" s="251" t="s">
        <v>28</v>
      </c>
      <c r="B20" s="1"/>
      <c r="C20" s="1"/>
      <c r="D20" s="1"/>
      <c r="E20" s="1">
        <v>39800939</v>
      </c>
      <c r="F20" s="1">
        <v>37173332</v>
      </c>
      <c r="G20" s="2"/>
      <c r="H20" s="1"/>
      <c r="I20" s="1"/>
      <c r="J20" s="1"/>
      <c r="K20" s="1"/>
    </row>
    <row r="21">
      <c r="A21" s="251" t="s">
        <v>29</v>
      </c>
      <c r="B21" s="1"/>
      <c r="C21" s="1"/>
      <c r="D21" s="1"/>
      <c r="E21" s="1">
        <v>6119</v>
      </c>
      <c r="F21" s="1">
        <v>-230361</v>
      </c>
      <c r="G21" s="2"/>
      <c r="H21" s="1"/>
      <c r="I21" s="1"/>
      <c r="J21" s="1"/>
      <c r="K21" s="1"/>
    </row>
    <row r="22">
      <c r="A22" s="251" t="s">
        <v>30</v>
      </c>
      <c r="B22" s="1"/>
      <c r="C22" s="1"/>
      <c r="D22" s="1"/>
      <c r="E22" s="1">
        <v>39807058</v>
      </c>
      <c r="F22" s="1">
        <v>36942971</v>
      </c>
      <c r="G22" s="2"/>
      <c r="H22" s="1"/>
      <c r="I22" s="1"/>
      <c r="J22" s="1"/>
      <c r="K22" s="1"/>
    </row>
    <row r="23">
      <c r="A23" s="5"/>
      <c r="B23" s="5"/>
      <c r="C23" s="5"/>
      <c r="D23" s="5"/>
      <c r="E23" s="5"/>
      <c r="F23" s="5"/>
      <c r="G23" s="11"/>
      <c r="H23" s="5"/>
      <c r="I23" s="5"/>
      <c r="J23" s="5"/>
      <c r="K23" s="5"/>
    </row>
    <row r="24">
      <c r="A24" s="249" t="s">
        <v>3</v>
      </c>
      <c r="B24" s="234" t="s">
        <v>4</v>
      </c>
      <c r="C24" s="234" t="s">
        <v>5</v>
      </c>
      <c r="D24" s="234" t="s">
        <v>6</v>
      </c>
      <c r="E24" s="234" t="s">
        <v>7</v>
      </c>
      <c r="F24" s="234" t="s">
        <v>8</v>
      </c>
      <c r="G24" s="256" t="s">
        <v>9</v>
      </c>
      <c r="H24" s="230" t="s">
        <v>10</v>
      </c>
      <c r="I24" s="230" t="s">
        <v>11</v>
      </c>
      <c r="J24" s="230" t="s">
        <v>12</v>
      </c>
      <c r="K24" s="230" t="s">
        <v>13</v>
      </c>
    </row>
    <row r="25">
      <c r="A25" s="249" t="s">
        <v>31</v>
      </c>
      <c r="B25" s="8"/>
      <c r="C25" s="8"/>
      <c r="D25" s="8"/>
      <c r="E25" s="8"/>
      <c r="F25" s="8"/>
      <c r="G25" s="6"/>
      <c r="H25" s="9"/>
      <c r="I25" s="9"/>
      <c r="J25" s="9"/>
      <c r="K25" s="9"/>
    </row>
    <row r="26">
      <c r="A26" s="251" t="s">
        <v>32</v>
      </c>
      <c r="B26" s="1"/>
      <c r="C26" s="1"/>
      <c r="D26" s="1"/>
      <c r="E26" s="1">
        <v>1102383248</v>
      </c>
      <c r="F26" s="1">
        <v>1229864857</v>
      </c>
      <c r="G26" s="2"/>
      <c r="H26" s="1"/>
      <c r="I26" s="1"/>
      <c r="J26" s="1"/>
      <c r="K26" s="1"/>
    </row>
    <row r="27">
      <c r="A27" s="251" t="s">
        <v>33</v>
      </c>
      <c r="B27" s="1"/>
      <c r="C27" s="1"/>
      <c r="D27" s="1"/>
      <c r="E27" s="1">
        <v>6636716</v>
      </c>
      <c r="F27" s="1">
        <v>7488557</v>
      </c>
      <c r="G27" s="2"/>
      <c r="H27" s="1"/>
      <c r="I27" s="1"/>
      <c r="J27" s="1"/>
      <c r="K27" s="1"/>
    </row>
    <row r="28">
      <c r="A28" s="251" t="s">
        <v>34</v>
      </c>
      <c r="B28" s="1"/>
      <c r="C28" s="1"/>
      <c r="D28" s="1"/>
      <c r="E28" s="1">
        <v>1435537</v>
      </c>
      <c r="F28" s="1">
        <v>1231687</v>
      </c>
      <c r="G28" s="2"/>
      <c r="H28" s="1"/>
      <c r="I28" s="1"/>
      <c r="J28" s="1"/>
      <c r="K28" s="1"/>
    </row>
    <row r="29">
      <c r="A29" s="251" t="s">
        <v>35</v>
      </c>
      <c r="B29" s="1"/>
      <c r="C29" s="1"/>
      <c r="D29" s="1"/>
      <c r="E29" s="1">
        <v>310903</v>
      </c>
      <c r="F29" s="1">
        <v>5557215</v>
      </c>
      <c r="G29" s="2"/>
      <c r="H29" s="1"/>
      <c r="I29" s="1"/>
      <c r="J29" s="1"/>
      <c r="K29" s="1"/>
    </row>
    <row r="30">
      <c r="A30" s="241" t="s">
        <v>36</v>
      </c>
      <c r="B30" s="4"/>
      <c r="C30" s="4"/>
      <c r="D30" s="4"/>
      <c r="E30" s="4">
        <v>1110766404</v>
      </c>
      <c r="F30" s="4">
        <v>1244142316</v>
      </c>
      <c r="G30" s="7"/>
      <c r="H30" s="4"/>
      <c r="I30" s="4"/>
      <c r="J30" s="4"/>
      <c r="K30" s="4"/>
    </row>
    <row r="31">
      <c r="A31" s="251" t="s">
        <v>37</v>
      </c>
      <c r="B31" s="1"/>
      <c r="C31" s="1"/>
      <c r="D31" s="1"/>
      <c r="E31" s="1">
        <v>295555709</v>
      </c>
      <c r="F31" s="1">
        <v>247443512</v>
      </c>
      <c r="G31" s="2"/>
      <c r="H31" s="1"/>
      <c r="I31" s="1"/>
      <c r="J31" s="1"/>
      <c r="K31" s="1"/>
    </row>
    <row r="32">
      <c r="A32" s="251" t="s">
        <v>38</v>
      </c>
      <c r="B32" s="1"/>
      <c r="C32" s="1"/>
      <c r="D32" s="1"/>
      <c r="E32" s="1">
        <v>62979274</v>
      </c>
      <c r="F32" s="1">
        <v>207018868</v>
      </c>
      <c r="G32" s="2"/>
      <c r="H32" s="1"/>
      <c r="I32" s="1"/>
      <c r="J32" s="1"/>
      <c r="K32" s="1"/>
    </row>
    <row r="33">
      <c r="A33" s="251" t="s">
        <v>39</v>
      </c>
      <c r="B33" s="1"/>
      <c r="C33" s="1"/>
      <c r="D33" s="1"/>
      <c r="E33" s="1">
        <v>2493427</v>
      </c>
      <c r="F33" s="1">
        <v>4814532</v>
      </c>
      <c r="G33" s="2"/>
      <c r="H33" s="1"/>
      <c r="I33" s="1"/>
      <c r="J33" s="1"/>
      <c r="K33" s="1"/>
    </row>
    <row r="34">
      <c r="A34" s="241" t="s">
        <v>40</v>
      </c>
      <c r="B34" s="4"/>
      <c r="C34" s="4"/>
      <c r="D34" s="4"/>
      <c r="E34" s="4">
        <v>361028410</v>
      </c>
      <c r="F34" s="4">
        <v>459276912</v>
      </c>
      <c r="G34" s="7"/>
      <c r="H34" s="4"/>
      <c r="I34" s="4"/>
      <c r="J34" s="4"/>
      <c r="K34" s="4"/>
    </row>
    <row r="35">
      <c r="A35" s="251" t="s">
        <v>41</v>
      </c>
      <c r="B35" s="1"/>
      <c r="C35" s="1"/>
      <c r="D35" s="1"/>
      <c r="E35" s="1">
        <v>1471794814</v>
      </c>
      <c r="F35" s="1">
        <v>1703419228</v>
      </c>
      <c r="G35" s="2"/>
      <c r="H35" s="1"/>
      <c r="I35" s="1"/>
      <c r="J35" s="1"/>
      <c r="K35" s="1"/>
    </row>
    <row r="36">
      <c r="A36" s="251" t="s">
        <v>42</v>
      </c>
      <c r="B36" s="1"/>
      <c r="C36" s="1"/>
      <c r="D36" s="1"/>
      <c r="E36" s="1">
        <v>504216550</v>
      </c>
      <c r="F36" s="1">
        <v>827072790</v>
      </c>
      <c r="G36" s="2"/>
      <c r="H36" s="1"/>
      <c r="I36" s="1"/>
      <c r="J36" s="1"/>
      <c r="K36" s="1"/>
    </row>
    <row r="37">
      <c r="A37" s="251" t="s">
        <v>43</v>
      </c>
      <c r="B37" s="1"/>
      <c r="C37" s="1"/>
      <c r="D37" s="1"/>
      <c r="E37" s="1">
        <v>0</v>
      </c>
      <c r="F37" s="1">
        <v>123843760</v>
      </c>
      <c r="G37" s="2"/>
      <c r="H37" s="1"/>
      <c r="I37" s="1"/>
      <c r="J37" s="1"/>
      <c r="K37" s="1"/>
    </row>
    <row r="38">
      <c r="A38" s="251" t="s">
        <v>44</v>
      </c>
      <c r="B38" s="1"/>
      <c r="C38" s="1"/>
      <c r="D38" s="1"/>
      <c r="E38" s="1">
        <v>120912500</v>
      </c>
      <c r="F38" s="1">
        <v>118003559</v>
      </c>
      <c r="G38" s="2"/>
      <c r="H38" s="1"/>
      <c r="I38" s="1"/>
      <c r="J38" s="1"/>
      <c r="K38" s="1"/>
    </row>
    <row r="39">
      <c r="A39" s="251" t="s">
        <v>45</v>
      </c>
      <c r="B39" s="1"/>
      <c r="C39" s="1"/>
      <c r="D39" s="1"/>
      <c r="E39" s="1">
        <v>24525903</v>
      </c>
      <c r="F39" s="1">
        <v>17630265</v>
      </c>
      <c r="G39" s="2"/>
      <c r="H39" s="1"/>
      <c r="I39" s="1"/>
      <c r="J39" s="1"/>
      <c r="K39" s="1"/>
    </row>
    <row r="40">
      <c r="A40" s="251" t="s">
        <v>46</v>
      </c>
      <c r="B40" s="1"/>
      <c r="C40" s="1"/>
      <c r="D40" s="1"/>
      <c r="E40" s="1">
        <v>153995</v>
      </c>
      <c r="F40" s="1">
        <v>5038023</v>
      </c>
      <c r="G40" s="2"/>
      <c r="H40" s="1"/>
      <c r="I40" s="1"/>
      <c r="J40" s="1"/>
      <c r="K40" s="1"/>
    </row>
    <row r="41">
      <c r="A41" s="241" t="s">
        <v>47</v>
      </c>
      <c r="B41" s="4"/>
      <c r="C41" s="4"/>
      <c r="D41" s="4"/>
      <c r="E41" s="4">
        <v>649808948</v>
      </c>
      <c r="F41" s="4">
        <v>1091588397</v>
      </c>
      <c r="G41" s="7"/>
      <c r="H41" s="4"/>
      <c r="I41" s="4"/>
      <c r="J41" s="4"/>
      <c r="K41" s="4"/>
    </row>
    <row r="42">
      <c r="A42" s="251" t="s">
        <v>48</v>
      </c>
      <c r="B42" s="1"/>
      <c r="C42" s="1"/>
      <c r="D42" s="1"/>
      <c r="E42" s="1">
        <v>429069814</v>
      </c>
      <c r="F42" s="1">
        <v>145337657</v>
      </c>
      <c r="G42" s="2"/>
      <c r="H42" s="1"/>
      <c r="I42" s="1"/>
      <c r="J42" s="1"/>
      <c r="K42" s="1"/>
    </row>
    <row r="43">
      <c r="A43" s="251" t="s">
        <v>49</v>
      </c>
      <c r="B43" s="1"/>
      <c r="C43" s="1"/>
      <c r="D43" s="1"/>
      <c r="E43" s="1">
        <v>0</v>
      </c>
      <c r="F43" s="1">
        <v>424046</v>
      </c>
      <c r="G43" s="2"/>
      <c r="H43" s="1"/>
      <c r="I43" s="1"/>
      <c r="J43" s="1"/>
      <c r="K43" s="1"/>
    </row>
    <row r="44">
      <c r="A44" s="251" t="s">
        <v>50</v>
      </c>
      <c r="B44" s="1"/>
      <c r="C44" s="1"/>
      <c r="D44" s="1"/>
      <c r="E44" s="1">
        <v>157765544</v>
      </c>
      <c r="F44" s="1">
        <v>190098673</v>
      </c>
      <c r="G44" s="2"/>
      <c r="H44" s="1"/>
      <c r="I44" s="1"/>
      <c r="J44" s="1"/>
      <c r="K44" s="1"/>
    </row>
    <row r="45">
      <c r="A45" s="251" t="s">
        <v>51</v>
      </c>
      <c r="B45" s="1"/>
      <c r="C45" s="1"/>
      <c r="D45" s="1"/>
      <c r="E45" s="1">
        <v>8359174</v>
      </c>
      <c r="F45" s="1">
        <v>8271084</v>
      </c>
      <c r="G45" s="2"/>
      <c r="H45" s="1"/>
      <c r="I45" s="1"/>
      <c r="J45" s="1"/>
      <c r="K45" s="1"/>
    </row>
    <row r="46">
      <c r="A46" s="251" t="s">
        <v>52</v>
      </c>
      <c r="B46" s="1"/>
      <c r="C46" s="1"/>
      <c r="D46" s="1"/>
      <c r="E46" s="1">
        <v>750000</v>
      </c>
      <c r="F46" s="1">
        <v>750000</v>
      </c>
      <c r="G46" s="2"/>
      <c r="H46" s="1"/>
      <c r="I46" s="1"/>
      <c r="J46" s="1"/>
      <c r="K46" s="1"/>
    </row>
    <row r="47">
      <c r="A47" s="251" t="s">
        <v>53</v>
      </c>
      <c r="B47" s="1"/>
      <c r="C47" s="1"/>
      <c r="D47" s="1"/>
      <c r="E47" s="1">
        <v>670347</v>
      </c>
      <c r="F47" s="1">
        <v>14942617</v>
      </c>
      <c r="G47" s="2"/>
      <c r="H47" s="1"/>
      <c r="I47" s="1"/>
      <c r="J47" s="1"/>
      <c r="K47" s="1"/>
    </row>
    <row r="48">
      <c r="A48" s="251" t="s">
        <v>46</v>
      </c>
      <c r="B48" s="1"/>
      <c r="C48" s="1"/>
      <c r="D48" s="1"/>
      <c r="E48" s="1">
        <v>254137</v>
      </c>
      <c r="F48" s="1">
        <v>698172</v>
      </c>
      <c r="G48" s="2"/>
      <c r="H48" s="1"/>
      <c r="I48" s="1"/>
      <c r="J48" s="1"/>
      <c r="K48" s="1"/>
    </row>
    <row r="49">
      <c r="A49" s="241" t="s">
        <v>54</v>
      </c>
      <c r="B49" s="4"/>
      <c r="C49" s="4"/>
      <c r="D49" s="4"/>
      <c r="E49" s="4">
        <v>596869016</v>
      </c>
      <c r="F49" s="4">
        <v>360522249</v>
      </c>
      <c r="G49" s="7"/>
      <c r="H49" s="4"/>
      <c r="I49" s="4"/>
      <c r="J49" s="4"/>
      <c r="K49" s="4"/>
    </row>
    <row r="50">
      <c r="A50" s="251" t="s">
        <v>55</v>
      </c>
      <c r="B50" s="1"/>
      <c r="C50" s="1"/>
      <c r="D50" s="1"/>
      <c r="E50" s="1">
        <v>1246677964</v>
      </c>
      <c r="F50" s="1">
        <v>1452110646</v>
      </c>
      <c r="G50" s="2"/>
      <c r="H50" s="1"/>
      <c r="I50" s="1"/>
      <c r="J50" s="1"/>
      <c r="K50" s="1"/>
    </row>
    <row r="51">
      <c r="A51" s="251" t="s">
        <v>56</v>
      </c>
      <c r="B51" s="1"/>
      <c r="C51" s="1"/>
      <c r="D51" s="1"/>
      <c r="E51" s="1">
        <v>225116850</v>
      </c>
      <c r="F51" s="1">
        <v>251308582</v>
      </c>
      <c r="G51" s="2"/>
      <c r="H51" s="1"/>
      <c r="I51" s="1"/>
      <c r="J51" s="1"/>
      <c r="K51" s="1"/>
    </row>
    <row r="52">
      <c r="A52" s="251" t="s">
        <v>57</v>
      </c>
      <c r="B52" s="1"/>
      <c r="C52" s="1"/>
      <c r="D52" s="1"/>
      <c r="E52" s="1">
        <v>1471794814</v>
      </c>
      <c r="F52" s="1">
        <v>1703419228</v>
      </c>
      <c r="G52" s="2"/>
      <c r="H52" s="1"/>
      <c r="I52" s="1"/>
      <c r="J52" s="1"/>
      <c r="K52" s="1"/>
    </row>
    <row r="53">
      <c r="A53" s="5"/>
      <c r="B53" s="5"/>
      <c r="C53" s="5"/>
      <c r="D53" s="5"/>
      <c r="E53" s="5"/>
      <c r="F53" s="5"/>
      <c r="G53" s="11"/>
      <c r="H53" s="5"/>
      <c r="I53" s="5"/>
      <c r="J53" s="5"/>
      <c r="K53" s="5"/>
    </row>
    <row r="54">
      <c r="A54" s="249" t="s">
        <v>3</v>
      </c>
      <c r="B54" s="234" t="s">
        <v>4</v>
      </c>
      <c r="C54" s="234" t="s">
        <v>5</v>
      </c>
      <c r="D54" s="234" t="s">
        <v>6</v>
      </c>
      <c r="E54" s="234" t="s">
        <v>7</v>
      </c>
      <c r="F54" s="234" t="s">
        <v>8</v>
      </c>
      <c r="G54" s="256" t="s">
        <v>9</v>
      </c>
      <c r="H54" s="230" t="s">
        <v>10</v>
      </c>
      <c r="I54" s="230" t="s">
        <v>11</v>
      </c>
      <c r="J54" s="230" t="s">
        <v>12</v>
      </c>
      <c r="K54" s="230" t="s">
        <v>13</v>
      </c>
    </row>
    <row r="55">
      <c r="A55" s="249" t="s">
        <v>58</v>
      </c>
      <c r="B55" s="8"/>
      <c r="C55" s="8"/>
      <c r="D55" s="8"/>
      <c r="E55" s="8"/>
      <c r="F55" s="8"/>
      <c r="G55" s="6"/>
      <c r="H55" s="9"/>
      <c r="I55" s="9"/>
      <c r="J55" s="9"/>
      <c r="K55" s="9"/>
    </row>
    <row r="56">
      <c r="A56" s="251" t="s">
        <v>28</v>
      </c>
      <c r="B56" s="1"/>
      <c r="C56" s="1"/>
      <c r="D56" s="1"/>
      <c r="E56" s="1">
        <v>39800939</v>
      </c>
      <c r="F56" s="1">
        <v>37173332</v>
      </c>
      <c r="G56" s="2"/>
      <c r="H56" s="1"/>
      <c r="I56" s="1"/>
      <c r="J56" s="1"/>
      <c r="K56" s="1"/>
    </row>
    <row r="57">
      <c r="A57" s="251" t="s">
        <v>23</v>
      </c>
      <c r="B57" s="1"/>
      <c r="C57" s="1"/>
      <c r="D57" s="1"/>
      <c r="E57" s="1">
        <v>76941269</v>
      </c>
      <c r="F57" s="1">
        <v>73951611</v>
      </c>
      <c r="G57" s="2"/>
      <c r="H57" s="1"/>
      <c r="I57" s="1"/>
      <c r="J57" s="1"/>
      <c r="K57" s="1"/>
    </row>
    <row r="58">
      <c r="A58" s="251" t="s">
        <v>24</v>
      </c>
      <c r="B58" s="1"/>
      <c r="C58" s="1"/>
      <c r="D58" s="1"/>
      <c r="E58" s="1">
        <v>-4648031</v>
      </c>
      <c r="F58" s="1">
        <v>-6411378</v>
      </c>
      <c r="G58" s="2"/>
      <c r="H58" s="1"/>
      <c r="I58" s="1"/>
      <c r="J58" s="1"/>
      <c r="K58" s="1"/>
    </row>
    <row r="59">
      <c r="A59" s="251" t="s">
        <v>59</v>
      </c>
      <c r="B59" s="1"/>
      <c r="C59" s="1"/>
      <c r="D59" s="1"/>
      <c r="E59" s="1">
        <v>-1778843</v>
      </c>
      <c r="F59" s="1">
        <v>-2663029</v>
      </c>
      <c r="G59" s="2"/>
      <c r="H59" s="1"/>
      <c r="I59" s="1"/>
      <c r="J59" s="1"/>
      <c r="K59" s="1"/>
    </row>
    <row r="60">
      <c r="A60" s="251" t="s">
        <v>60</v>
      </c>
      <c r="B60" s="1"/>
      <c r="C60" s="1"/>
      <c r="D60" s="1"/>
      <c r="E60" s="1">
        <v>46727986</v>
      </c>
      <c r="F60" s="1">
        <v>51526696</v>
      </c>
      <c r="G60" s="2"/>
      <c r="H60" s="1"/>
      <c r="I60" s="1"/>
      <c r="J60" s="1"/>
      <c r="K60" s="1"/>
    </row>
    <row r="61">
      <c r="A61" s="251" t="s">
        <v>61</v>
      </c>
      <c r="B61" s="1"/>
      <c r="C61" s="1"/>
      <c r="D61" s="1"/>
      <c r="E61" s="1">
        <v>428415</v>
      </c>
      <c r="F61" s="1">
        <v>1007377</v>
      </c>
      <c r="G61" s="2"/>
      <c r="H61" s="1"/>
      <c r="I61" s="1"/>
      <c r="J61" s="1"/>
      <c r="K61" s="1"/>
    </row>
    <row r="62">
      <c r="A62" s="251" t="s">
        <v>62</v>
      </c>
      <c r="B62" s="1"/>
      <c r="C62" s="1"/>
      <c r="D62" s="1"/>
      <c r="E62" s="1">
        <v>1191479</v>
      </c>
      <c r="F62" s="1">
        <v>812379</v>
      </c>
      <c r="G62" s="2"/>
      <c r="H62" s="1"/>
      <c r="I62" s="1"/>
      <c r="J62" s="1"/>
      <c r="K62" s="1"/>
    </row>
    <row r="63">
      <c r="A63" s="251" t="s">
        <v>63</v>
      </c>
      <c r="B63" s="1"/>
      <c r="C63" s="1"/>
      <c r="D63" s="1"/>
      <c r="E63" s="1">
        <v>62157</v>
      </c>
      <c r="F63" s="1">
        <v>141306</v>
      </c>
      <c r="G63" s="2"/>
      <c r="H63" s="1"/>
      <c r="I63" s="1"/>
      <c r="J63" s="1"/>
      <c r="K63" s="1"/>
    </row>
    <row r="64">
      <c r="A64" s="251" t="s">
        <v>64</v>
      </c>
      <c r="B64" s="1"/>
      <c r="C64" s="1"/>
      <c r="D64" s="1"/>
      <c r="E64" s="1">
        <v>13535038</v>
      </c>
      <c r="F64" s="1">
        <v>8461227</v>
      </c>
      <c r="G64" s="2"/>
      <c r="H64" s="1"/>
      <c r="I64" s="1"/>
      <c r="J64" s="1"/>
      <c r="K64" s="1"/>
    </row>
    <row r="65">
      <c r="A65" s="251" t="s">
        <v>65</v>
      </c>
      <c r="B65" s="1"/>
      <c r="C65" s="1"/>
      <c r="D65" s="1"/>
      <c r="E65" s="1">
        <v>2100335</v>
      </c>
      <c r="F65" s="1">
        <v>121860</v>
      </c>
      <c r="G65" s="2"/>
      <c r="H65" s="1"/>
      <c r="I65" s="1"/>
      <c r="J65" s="1"/>
      <c r="K65" s="1"/>
    </row>
    <row r="66">
      <c r="A66" s="251" t="s">
        <v>27</v>
      </c>
      <c r="B66" s="1"/>
      <c r="C66" s="1"/>
      <c r="D66" s="1"/>
      <c r="E66" s="1">
        <v>19371019</v>
      </c>
      <c r="F66" s="1">
        <v>17136520</v>
      </c>
      <c r="G66" s="2"/>
      <c r="H66" s="1"/>
      <c r="I66" s="1"/>
      <c r="J66" s="1"/>
      <c r="K66" s="1"/>
    </row>
    <row r="67">
      <c r="A67" s="241" t="s">
        <v>25</v>
      </c>
      <c r="B67" s="4"/>
      <c r="C67" s="4"/>
      <c r="D67" s="4"/>
      <c r="E67" s="4">
        <v>-318727</v>
      </c>
      <c r="F67" s="4">
        <v>-995436</v>
      </c>
      <c r="G67" s="7"/>
      <c r="H67" s="4"/>
      <c r="I67" s="4"/>
      <c r="J67" s="4"/>
      <c r="K67" s="4"/>
    </row>
    <row r="68">
      <c r="A68" s="251" t="s">
        <v>37</v>
      </c>
      <c r="B68" s="1"/>
      <c r="C68" s="1"/>
      <c r="D68" s="1"/>
      <c r="E68" s="1">
        <v>-64604860</v>
      </c>
      <c r="F68" s="1">
        <v>39650970</v>
      </c>
      <c r="G68" s="2"/>
      <c r="H68" s="1"/>
      <c r="I68" s="1"/>
      <c r="J68" s="1"/>
      <c r="K68" s="1"/>
    </row>
    <row r="69">
      <c r="A69" s="251" t="s">
        <v>66</v>
      </c>
      <c r="B69" s="1"/>
      <c r="C69" s="1"/>
      <c r="D69" s="1"/>
      <c r="E69" s="1">
        <v>-720992</v>
      </c>
      <c r="F69" s="1">
        <v>-2628464</v>
      </c>
      <c r="G69" s="2"/>
      <c r="H69" s="1"/>
      <c r="I69" s="1"/>
      <c r="J69" s="1"/>
      <c r="K69" s="1"/>
    </row>
    <row r="70">
      <c r="A70" s="251" t="s">
        <v>50</v>
      </c>
      <c r="B70" s="1"/>
      <c r="C70" s="1"/>
      <c r="D70" s="1"/>
      <c r="E70" s="1">
        <v>19210166</v>
      </c>
      <c r="F70" s="1">
        <v>28827833</v>
      </c>
      <c r="G70" s="2"/>
      <c r="H70" s="1"/>
      <c r="I70" s="1"/>
      <c r="J70" s="1"/>
      <c r="K70" s="1"/>
    </row>
    <row r="71">
      <c r="A71" s="251" t="s">
        <v>67</v>
      </c>
      <c r="B71" s="1"/>
      <c r="C71" s="1"/>
      <c r="D71" s="1"/>
      <c r="E71" s="1">
        <v>709807</v>
      </c>
      <c r="F71" s="1">
        <v>292724</v>
      </c>
      <c r="G71" s="2"/>
      <c r="H71" s="1"/>
      <c r="I71" s="1"/>
      <c r="J71" s="1"/>
      <c r="K71" s="1"/>
    </row>
    <row r="72">
      <c r="A72" s="251" t="s">
        <v>68</v>
      </c>
      <c r="B72" s="1"/>
      <c r="C72" s="1"/>
      <c r="D72" s="1"/>
      <c r="E72" s="1">
        <v>148007157</v>
      </c>
      <c r="F72" s="1">
        <v>246405528</v>
      </c>
      <c r="G72" s="2"/>
      <c r="H72" s="1"/>
      <c r="I72" s="1"/>
      <c r="J72" s="1"/>
      <c r="K72" s="1"/>
    </row>
    <row r="73">
      <c r="A73" s="251" t="s">
        <v>69</v>
      </c>
      <c r="B73" s="1"/>
      <c r="C73" s="1"/>
      <c r="D73" s="1"/>
      <c r="E73" s="1">
        <v>4648034</v>
      </c>
      <c r="F73" s="1">
        <v>6411378</v>
      </c>
      <c r="G73" s="2"/>
      <c r="H73" s="1"/>
      <c r="I73" s="1"/>
      <c r="J73" s="1"/>
      <c r="K73" s="1"/>
    </row>
    <row r="74">
      <c r="A74" s="251" t="s">
        <v>70</v>
      </c>
      <c r="B74" s="1"/>
      <c r="C74" s="1"/>
      <c r="D74" s="1"/>
      <c r="E74" s="1">
        <v>-6697482</v>
      </c>
      <c r="F74" s="1">
        <v>-9759888</v>
      </c>
      <c r="G74" s="2"/>
      <c r="H74" s="1"/>
      <c r="I74" s="1"/>
      <c r="J74" s="1"/>
      <c r="K74" s="1"/>
    </row>
    <row r="75">
      <c r="A75" s="251" t="s">
        <v>71</v>
      </c>
      <c r="B75" s="1"/>
      <c r="C75" s="1"/>
      <c r="D75" s="1"/>
      <c r="E75" s="1">
        <v>145957709</v>
      </c>
      <c r="F75" s="1">
        <v>243057018</v>
      </c>
      <c r="G75" s="2"/>
      <c r="H75" s="1"/>
      <c r="I75" s="1"/>
      <c r="J75" s="1"/>
      <c r="K75" s="1"/>
    </row>
    <row r="76">
      <c r="A76" s="251" t="s">
        <v>72</v>
      </c>
      <c r="B76" s="1"/>
      <c r="C76" s="1"/>
      <c r="D76" s="1"/>
      <c r="E76" s="1">
        <v>-121066785</v>
      </c>
      <c r="F76" s="1">
        <v>-179149611</v>
      </c>
      <c r="G76" s="2"/>
      <c r="H76" s="1"/>
      <c r="I76" s="1"/>
      <c r="J76" s="1"/>
      <c r="K76" s="1"/>
    </row>
    <row r="77">
      <c r="A77" s="251" t="s">
        <v>73</v>
      </c>
      <c r="B77" s="1"/>
      <c r="C77" s="1"/>
      <c r="D77" s="1"/>
      <c r="E77" s="1">
        <v>-604998</v>
      </c>
      <c r="F77" s="1">
        <v>-608529</v>
      </c>
      <c r="G77" s="2"/>
      <c r="H77" s="1"/>
      <c r="I77" s="1"/>
      <c r="J77" s="1"/>
      <c r="K77" s="1"/>
    </row>
    <row r="78">
      <c r="A78" s="241" t="s">
        <v>74</v>
      </c>
      <c r="B78" s="4"/>
      <c r="C78" s="4"/>
      <c r="D78" s="4"/>
      <c r="E78" s="4">
        <v>146504</v>
      </c>
      <c r="F78" s="4">
        <v>-544482</v>
      </c>
      <c r="G78" s="7"/>
      <c r="H78" s="4"/>
      <c r="I78" s="4"/>
      <c r="J78" s="4"/>
      <c r="K78" s="4"/>
    </row>
    <row r="79">
      <c r="A79" s="251" t="s">
        <v>75</v>
      </c>
      <c r="B79" s="1"/>
      <c r="C79" s="1"/>
      <c r="D79" s="1"/>
      <c r="E79" s="1">
        <v>-121525279</v>
      </c>
      <c r="F79" s="1">
        <v>-180302622</v>
      </c>
      <c r="G79" s="2"/>
      <c r="H79" s="1"/>
      <c r="I79" s="1"/>
      <c r="J79" s="1"/>
      <c r="K79" s="1"/>
    </row>
    <row r="80">
      <c r="A80" s="251" t="s">
        <v>76</v>
      </c>
      <c r="B80" s="1"/>
      <c r="C80" s="1"/>
      <c r="D80" s="1"/>
      <c r="E80" s="1">
        <v>-469071611</v>
      </c>
      <c r="F80" s="1">
        <v>-495046445</v>
      </c>
      <c r="G80" s="2"/>
      <c r="H80" s="1"/>
      <c r="I80" s="1"/>
      <c r="J80" s="1"/>
      <c r="K80" s="1"/>
    </row>
    <row r="81">
      <c r="A81" s="251" t="s">
        <v>77</v>
      </c>
      <c r="B81" s="1"/>
      <c r="C81" s="1"/>
      <c r="D81" s="1"/>
      <c r="E81" s="1">
        <v>589173940</v>
      </c>
      <c r="F81" s="1">
        <v>535436240</v>
      </c>
      <c r="G81" s="2"/>
      <c r="H81" s="1"/>
      <c r="I81" s="1"/>
      <c r="J81" s="1"/>
      <c r="K81" s="1"/>
    </row>
    <row r="82">
      <c r="A82" s="251" t="s">
        <v>78</v>
      </c>
      <c r="B82" s="1"/>
      <c r="C82" s="1"/>
      <c r="D82" s="1"/>
      <c r="E82" s="1">
        <v>0</v>
      </c>
      <c r="F82" s="1">
        <v>125000000</v>
      </c>
      <c r="G82" s="2"/>
      <c r="H82" s="1"/>
      <c r="I82" s="1"/>
      <c r="J82" s="1"/>
      <c r="K82" s="1"/>
    </row>
    <row r="83">
      <c r="A83" s="251" t="s">
        <v>79</v>
      </c>
      <c r="B83" s="1"/>
      <c r="C83" s="1"/>
      <c r="D83" s="1"/>
      <c r="E83" s="1">
        <v>0</v>
      </c>
      <c r="F83" s="1">
        <v>-1156240</v>
      </c>
      <c r="G83" s="2"/>
      <c r="H83" s="1"/>
      <c r="I83" s="1"/>
      <c r="J83" s="1"/>
      <c r="K83" s="1"/>
    </row>
    <row r="84">
      <c r="A84" s="251" t="s">
        <v>80</v>
      </c>
      <c r="B84" s="1"/>
      <c r="C84" s="1"/>
      <c r="D84" s="1"/>
      <c r="E84" s="1">
        <v>-72488290</v>
      </c>
      <c r="F84" s="1">
        <v>-71287981</v>
      </c>
      <c r="G84" s="2"/>
      <c r="H84" s="1"/>
      <c r="I84" s="1"/>
      <c r="J84" s="1"/>
      <c r="K84" s="1"/>
    </row>
    <row r="85">
      <c r="A85" s="251" t="s">
        <v>81</v>
      </c>
      <c r="B85" s="1"/>
      <c r="C85" s="1"/>
      <c r="D85" s="1"/>
      <c r="E85" s="1">
        <v>-443586</v>
      </c>
      <c r="F85" s="1">
        <v>-925626</v>
      </c>
      <c r="G85" s="2"/>
      <c r="H85" s="1"/>
      <c r="I85" s="1"/>
      <c r="J85" s="1"/>
      <c r="K85" s="1"/>
    </row>
    <row r="86">
      <c r="A86" s="251" t="s">
        <v>82</v>
      </c>
      <c r="B86" s="1"/>
      <c r="C86" s="1"/>
      <c r="D86" s="1"/>
      <c r="E86" s="1">
        <v>-773167</v>
      </c>
      <c r="F86" s="1">
        <v>-436764</v>
      </c>
      <c r="G86" s="2"/>
      <c r="H86" s="1"/>
      <c r="I86" s="1"/>
      <c r="J86" s="1"/>
      <c r="K86" s="1"/>
    </row>
    <row r="87">
      <c r="A87" s="251" t="s">
        <v>83</v>
      </c>
      <c r="B87" s="1"/>
      <c r="C87" s="1"/>
      <c r="D87" s="1"/>
      <c r="E87" s="1">
        <v>-22078082</v>
      </c>
      <c r="F87" s="1">
        <v>-10297986</v>
      </c>
      <c r="G87" s="2"/>
      <c r="H87" s="1"/>
      <c r="I87" s="1"/>
      <c r="J87" s="1"/>
      <c r="K87" s="1"/>
    </row>
    <row r="88">
      <c r="A88" s="241" t="s">
        <v>84</v>
      </c>
      <c r="B88" s="4"/>
      <c r="C88" s="4"/>
      <c r="D88" s="4"/>
      <c r="E88" s="4">
        <v>24319204</v>
      </c>
      <c r="F88" s="4">
        <v>81285198</v>
      </c>
      <c r="G88" s="7"/>
      <c r="H88" s="4"/>
      <c r="I88" s="4"/>
      <c r="J88" s="4"/>
      <c r="K88" s="4"/>
    </row>
    <row r="89">
      <c r="A89" s="241" t="s">
        <v>85</v>
      </c>
      <c r="B89" s="4"/>
      <c r="C89" s="4"/>
      <c r="D89" s="4"/>
      <c r="E89" s="4">
        <v>48751634</v>
      </c>
      <c r="F89" s="4">
        <v>144039594</v>
      </c>
      <c r="G89" s="7"/>
      <c r="H89" s="4"/>
      <c r="I89" s="4"/>
      <c r="J89" s="4"/>
      <c r="K89" s="4"/>
    </row>
    <row r="90">
      <c r="A90" s="251" t="s">
        <v>86</v>
      </c>
      <c r="B90" s="1"/>
      <c r="C90" s="1"/>
      <c r="D90" s="1"/>
      <c r="E90" s="1">
        <v>14227640</v>
      </c>
      <c r="F90" s="1">
        <v>62979274</v>
      </c>
      <c r="G90" s="2"/>
      <c r="H90" s="1"/>
      <c r="I90" s="1"/>
      <c r="J90" s="1"/>
      <c r="K90" s="1"/>
    </row>
    <row r="91">
      <c r="A91" s="251" t="s">
        <v>87</v>
      </c>
      <c r="B91" s="1"/>
      <c r="C91" s="1"/>
      <c r="D91" s="1"/>
      <c r="E91" s="1">
        <v>62979274</v>
      </c>
      <c r="F91" s="1">
        <v>207018868</v>
      </c>
      <c r="G91" s="2"/>
      <c r="H91" s="1"/>
      <c r="I91" s="1"/>
      <c r="J91" s="1"/>
      <c r="K91" s="1"/>
    </row>
    <row r="92">
      <c r="A92" s="5"/>
      <c r="B92" s="5"/>
      <c r="C92" s="5"/>
      <c r="D92" s="5"/>
      <c r="E92" s="5"/>
      <c r="F92" s="5"/>
      <c r="G92" s="11"/>
      <c r="H92" s="5"/>
      <c r="I92" s="5"/>
      <c r="J92" s="5"/>
      <c r="K92" s="5"/>
    </row>
  </sheetData>
</worksheet>
</file>

<file path=xl/worksheets/sheet2.xml><?xml version="1.0" encoding="utf-8"?>
<worksheet xmlns="http://schemas.openxmlformats.org/spreadsheetml/2006/main" xmlns:r="http://schemas.openxmlformats.org/officeDocument/2006/relationships">
  <dimension ref="A1:T348"/>
  <sheetViews>
    <sheetView showGridLines="0" workbookViewId="0"/>
  </sheetViews>
  <sheetFormatPr defaultColWidth="8.375" defaultRowHeight="15"/>
  <cols>
    <col min="1" max="1" width="6.125" customWidth="1"/>
    <col min="2" max="2" width="18.125" customWidth="1"/>
    <col min="4" max="4" width="14.375" customWidth="1"/>
    <col min="5" max="5" width="6.375" customWidth="1"/>
    <col min="6" max="6" width="30.625" customWidth="1"/>
    <col min="7" max="7" width="18.125" customWidth="1"/>
    <col min="8" max="9" width="24.375" customWidth="1"/>
    <col min="10" max="10" width="44.375" customWidth="1"/>
    <col min="11" max="11" width="14.375" customWidth="1"/>
    <col min="12" max="12" width="7.125" customWidth="1"/>
    <col min="13" max="13" width="11.25" customWidth="1"/>
    <col min="14" max="14" width="19.375" customWidth="1"/>
    <col min="15" max="15" width="22.5" customWidth="1"/>
    <col min="16" max="17" width="26.875" customWidth="1"/>
    <col min="18" max="18" width="14.375" customWidth="1"/>
    <col min="19" max="19" width="25.625" customWidth="1"/>
    <col min="20" max="20" width="14.375" customWidth="1"/>
  </cols>
  <sheetData>
    <row r="1">
      <c r="A1" s="263" t="s">
        <v>0</v>
      </c>
    </row>
    <row r="2">
      <c r="A2" s="260" t="s">
        <v>88</v>
      </c>
    </row>
    <row r="3">
      <c r="A3" s="260" t="s">
        <v>89</v>
      </c>
    </row>
    <row r="5">
      <c r="A5" s="17" t="s">
        <v>90</v>
      </c>
      <c r="B5" s="17" t="s">
        <v>91</v>
      </c>
      <c r="C5" s="17" t="s">
        <v>92</v>
      </c>
      <c r="D5" s="17" t="s">
        <v>93</v>
      </c>
      <c r="E5" s="17" t="s">
        <v>94</v>
      </c>
      <c r="F5" s="17" t="s">
        <v>95</v>
      </c>
      <c r="G5" s="17" t="s">
        <v>96</v>
      </c>
      <c r="H5" s="17" t="s">
        <v>97</v>
      </c>
      <c r="I5" s="17" t="s">
        <v>98</v>
      </c>
      <c r="J5" s="17" t="s">
        <v>99</v>
      </c>
      <c r="K5" s="17" t="s">
        <v>100</v>
      </c>
      <c r="L5" s="17" t="s">
        <v>101</v>
      </c>
      <c r="M5" s="17" t="s">
        <v>102</v>
      </c>
      <c r="N5" s="17" t="s">
        <v>103</v>
      </c>
      <c r="O5" s="17" t="s">
        <v>104</v>
      </c>
      <c r="P5" s="18" t="s">
        <v>105</v>
      </c>
      <c r="Q5" s="18" t="s">
        <v>106</v>
      </c>
      <c r="R5" s="17" t="s">
        <v>107</v>
      </c>
      <c r="S5" s="17" t="s">
        <v>108</v>
      </c>
      <c r="T5" s="17" t="s">
        <v>109</v>
      </c>
    </row>
    <row r="6">
      <c r="A6" s="15" t="s">
        <v>110</v>
      </c>
      <c r="B6" s="15" t="s">
        <v>111</v>
      </c>
      <c r="C6" s="15" t="s">
        <v>112</v>
      </c>
      <c r="D6" s="15" t="s">
        <v>113</v>
      </c>
      <c r="E6" s="15" t="s">
        <v>114</v>
      </c>
      <c r="F6" s="13" t="s">
        <v>115</v>
      </c>
      <c r="G6" s="15" t="s">
        <v>116</v>
      </c>
      <c r="H6" s="13"/>
      <c r="I6" s="13"/>
      <c r="J6" s="13" t="s">
        <v>117</v>
      </c>
      <c r="K6" s="16"/>
      <c r="L6" s="15"/>
      <c r="M6" s="15"/>
      <c r="N6" s="13"/>
      <c r="O6" s="13"/>
      <c r="P6" s="13"/>
      <c r="Q6" s="13"/>
      <c r="R6" s="14"/>
      <c r="S6" s="13"/>
      <c r="T6" s="15" t="s">
        <v>118</v>
      </c>
    </row>
    <row r="7" ht="34.5">
      <c r="A7" s="15" t="s">
        <v>110</v>
      </c>
      <c r="B7" s="15" t="s">
        <v>111</v>
      </c>
      <c r="C7" s="15" t="s">
        <v>112</v>
      </c>
      <c r="D7" s="15" t="s">
        <v>119</v>
      </c>
      <c r="E7" s="15" t="s">
        <v>114</v>
      </c>
      <c r="F7" s="13" t="s">
        <v>115</v>
      </c>
      <c r="G7" s="15" t="s">
        <v>116</v>
      </c>
      <c r="H7" s="13"/>
      <c r="I7" s="13"/>
      <c r="J7" s="13" t="s">
        <v>120</v>
      </c>
      <c r="K7" s="16"/>
      <c r="L7" s="15"/>
      <c r="M7" s="15"/>
      <c r="N7" s="13"/>
      <c r="O7" s="13"/>
      <c r="P7" s="13"/>
      <c r="Q7" s="13"/>
      <c r="R7" s="14"/>
      <c r="S7" s="13"/>
      <c r="T7" s="15" t="s">
        <v>118</v>
      </c>
    </row>
    <row r="8" ht="34.5">
      <c r="A8" s="15" t="s">
        <v>110</v>
      </c>
      <c r="B8" s="15" t="s">
        <v>111</v>
      </c>
      <c r="C8" s="15" t="s">
        <v>112</v>
      </c>
      <c r="D8" s="15" t="s">
        <v>119</v>
      </c>
      <c r="E8" s="15" t="s">
        <v>121</v>
      </c>
      <c r="F8" s="13" t="s">
        <v>122</v>
      </c>
      <c r="G8" s="15" t="s">
        <v>123</v>
      </c>
      <c r="H8" s="13"/>
      <c r="I8" s="13"/>
      <c r="J8" s="13" t="s">
        <v>124</v>
      </c>
      <c r="K8" s="16"/>
      <c r="L8" s="15"/>
      <c r="M8" s="15"/>
      <c r="N8" s="13"/>
      <c r="O8" s="13"/>
      <c r="P8" s="13"/>
      <c r="Q8" s="13"/>
      <c r="R8" s="14"/>
      <c r="S8" s="13"/>
      <c r="T8" s="15" t="s">
        <v>118</v>
      </c>
    </row>
    <row r="9" ht="34.5">
      <c r="A9" s="15" t="s">
        <v>110</v>
      </c>
      <c r="B9" s="15" t="s">
        <v>111</v>
      </c>
      <c r="C9" s="15" t="s">
        <v>112</v>
      </c>
      <c r="D9" s="15" t="s">
        <v>113</v>
      </c>
      <c r="E9" s="15" t="s">
        <v>121</v>
      </c>
      <c r="F9" s="13" t="s">
        <v>122</v>
      </c>
      <c r="G9" s="15" t="s">
        <v>123</v>
      </c>
      <c r="H9" s="13"/>
      <c r="I9" s="13"/>
      <c r="J9" s="13" t="s">
        <v>125</v>
      </c>
      <c r="K9" s="16"/>
      <c r="L9" s="15"/>
      <c r="M9" s="15"/>
      <c r="N9" s="13"/>
      <c r="O9" s="13"/>
      <c r="P9" s="13"/>
      <c r="Q9" s="13"/>
      <c r="R9" s="14"/>
      <c r="S9" s="13"/>
      <c r="T9" s="15" t="s">
        <v>118</v>
      </c>
    </row>
    <row r="10" ht="34.5">
      <c r="A10" s="15" t="s">
        <v>110</v>
      </c>
      <c r="B10" s="15" t="s">
        <v>111</v>
      </c>
      <c r="C10" s="15" t="s">
        <v>126</v>
      </c>
      <c r="D10" s="15" t="s">
        <v>119</v>
      </c>
      <c r="E10" s="15" t="s">
        <v>121</v>
      </c>
      <c r="F10" s="13" t="s">
        <v>122</v>
      </c>
      <c r="G10" s="15" t="s">
        <v>123</v>
      </c>
      <c r="H10" s="13"/>
      <c r="I10" s="13"/>
      <c r="J10" s="13" t="s">
        <v>127</v>
      </c>
      <c r="K10" s="16"/>
      <c r="L10" s="15"/>
      <c r="M10" s="15"/>
      <c r="N10" s="13"/>
      <c r="O10" s="13"/>
      <c r="P10" s="13"/>
      <c r="Q10" s="13"/>
      <c r="R10" s="14"/>
      <c r="S10" s="13"/>
      <c r="T10" s="15" t="s">
        <v>118</v>
      </c>
    </row>
    <row r="11" ht="34.5">
      <c r="A11" s="15" t="s">
        <v>110</v>
      </c>
      <c r="B11" s="15" t="s">
        <v>111</v>
      </c>
      <c r="C11" s="15" t="s">
        <v>126</v>
      </c>
      <c r="D11" s="15" t="s">
        <v>119</v>
      </c>
      <c r="E11" s="15" t="s">
        <v>121</v>
      </c>
      <c r="F11" s="13" t="s">
        <v>122</v>
      </c>
      <c r="G11" s="15" t="s">
        <v>123</v>
      </c>
      <c r="H11" s="13"/>
      <c r="I11" s="13"/>
      <c r="J11" s="13" t="s">
        <v>128</v>
      </c>
      <c r="K11" s="16"/>
      <c r="L11" s="15"/>
      <c r="M11" s="15"/>
      <c r="N11" s="13"/>
      <c r="O11" s="13"/>
      <c r="P11" s="13"/>
      <c r="Q11" s="13"/>
      <c r="R11" s="14"/>
      <c r="S11" s="13"/>
      <c r="T11" s="15" t="s">
        <v>118</v>
      </c>
    </row>
    <row r="12" ht="34.5">
      <c r="A12" s="15" t="s">
        <v>110</v>
      </c>
      <c r="B12" s="15" t="s">
        <v>111</v>
      </c>
      <c r="C12" s="15" t="s">
        <v>126</v>
      </c>
      <c r="D12" s="15" t="s">
        <v>119</v>
      </c>
      <c r="E12" s="15" t="s">
        <v>121</v>
      </c>
      <c r="F12" s="13" t="s">
        <v>129</v>
      </c>
      <c r="G12" s="15" t="s">
        <v>123</v>
      </c>
      <c r="H12" s="13"/>
      <c r="I12" s="13"/>
      <c r="J12" s="13" t="s">
        <v>130</v>
      </c>
      <c r="K12" s="16"/>
      <c r="L12" s="15"/>
      <c r="M12" s="15"/>
      <c r="N12" s="13"/>
      <c r="O12" s="13"/>
      <c r="P12" s="13"/>
      <c r="Q12" s="13"/>
      <c r="R12" s="14"/>
      <c r="S12" s="13"/>
      <c r="T12" s="15" t="s">
        <v>118</v>
      </c>
    </row>
    <row r="13" ht="34.5">
      <c r="A13" s="15" t="s">
        <v>110</v>
      </c>
      <c r="B13" s="15" t="s">
        <v>111</v>
      </c>
      <c r="C13" s="15" t="s">
        <v>126</v>
      </c>
      <c r="D13" s="15" t="s">
        <v>131</v>
      </c>
      <c r="E13" s="15" t="s">
        <v>121</v>
      </c>
      <c r="F13" s="13" t="s">
        <v>129</v>
      </c>
      <c r="G13" s="15" t="s">
        <v>123</v>
      </c>
      <c r="H13" s="13"/>
      <c r="I13" s="13"/>
      <c r="J13" s="13" t="s">
        <v>132</v>
      </c>
      <c r="K13" s="16"/>
      <c r="L13" s="15"/>
      <c r="M13" s="15"/>
      <c r="N13" s="13"/>
      <c r="O13" s="13"/>
      <c r="P13" s="13"/>
      <c r="Q13" s="13"/>
      <c r="R13" s="14"/>
      <c r="S13" s="13"/>
      <c r="T13" s="15" t="s">
        <v>118</v>
      </c>
    </row>
    <row r="14" ht="34.5">
      <c r="A14" s="15" t="s">
        <v>110</v>
      </c>
      <c r="B14" s="15" t="s">
        <v>111</v>
      </c>
      <c r="C14" s="15" t="s">
        <v>133</v>
      </c>
      <c r="D14" s="15" t="s">
        <v>119</v>
      </c>
      <c r="E14" s="15" t="s">
        <v>121</v>
      </c>
      <c r="F14" s="13" t="s">
        <v>129</v>
      </c>
      <c r="G14" s="15" t="s">
        <v>123</v>
      </c>
      <c r="H14" s="13"/>
      <c r="I14" s="13"/>
      <c r="J14" s="13" t="s">
        <v>134</v>
      </c>
      <c r="K14" s="16"/>
      <c r="L14" s="15"/>
      <c r="M14" s="15"/>
      <c r="N14" s="13"/>
      <c r="O14" s="13"/>
      <c r="P14" s="13"/>
      <c r="Q14" s="13"/>
      <c r="R14" s="14"/>
      <c r="S14" s="13"/>
      <c r="T14" s="15" t="s">
        <v>118</v>
      </c>
    </row>
    <row r="15" ht="34.5">
      <c r="A15" s="15" t="s">
        <v>110</v>
      </c>
      <c r="B15" s="15" t="s">
        <v>111</v>
      </c>
      <c r="C15" s="15" t="s">
        <v>133</v>
      </c>
      <c r="D15" s="15" t="s">
        <v>119</v>
      </c>
      <c r="E15" s="15" t="s">
        <v>121</v>
      </c>
      <c r="F15" s="13" t="s">
        <v>129</v>
      </c>
      <c r="G15" s="15" t="s">
        <v>123</v>
      </c>
      <c r="H15" s="13"/>
      <c r="I15" s="13"/>
      <c r="J15" s="13" t="s">
        <v>135</v>
      </c>
      <c r="K15" s="16"/>
      <c r="L15" s="15"/>
      <c r="M15" s="15"/>
      <c r="N15" s="13"/>
      <c r="O15" s="13"/>
      <c r="P15" s="13"/>
      <c r="Q15" s="13"/>
      <c r="R15" s="14"/>
      <c r="S15" s="13"/>
      <c r="T15" s="15" t="s">
        <v>118</v>
      </c>
    </row>
    <row r="16" ht="34.5">
      <c r="A16" s="15" t="s">
        <v>110</v>
      </c>
      <c r="B16" s="15" t="s">
        <v>111</v>
      </c>
      <c r="C16" s="15" t="s">
        <v>133</v>
      </c>
      <c r="D16" s="15" t="s">
        <v>119</v>
      </c>
      <c r="E16" s="15" t="s">
        <v>121</v>
      </c>
      <c r="F16" s="13" t="s">
        <v>129</v>
      </c>
      <c r="G16" s="15" t="s">
        <v>123</v>
      </c>
      <c r="H16" s="13"/>
      <c r="I16" s="13"/>
      <c r="J16" s="13" t="s">
        <v>136</v>
      </c>
      <c r="K16" s="16"/>
      <c r="L16" s="15"/>
      <c r="M16" s="15"/>
      <c r="N16" s="13"/>
      <c r="O16" s="13"/>
      <c r="P16" s="13"/>
      <c r="Q16" s="13"/>
      <c r="R16" s="14"/>
      <c r="S16" s="13"/>
      <c r="T16" s="15" t="s">
        <v>118</v>
      </c>
    </row>
    <row r="17" ht="34.5">
      <c r="A17" s="15" t="s">
        <v>110</v>
      </c>
      <c r="B17" s="15" t="s">
        <v>111</v>
      </c>
      <c r="C17" s="15" t="s">
        <v>133</v>
      </c>
      <c r="D17" s="15" t="s">
        <v>137</v>
      </c>
      <c r="E17" s="15" t="s">
        <v>121</v>
      </c>
      <c r="F17" s="13" t="s">
        <v>129</v>
      </c>
      <c r="G17" s="15" t="s">
        <v>123</v>
      </c>
      <c r="H17" s="13"/>
      <c r="I17" s="13"/>
      <c r="J17" s="13" t="s">
        <v>138</v>
      </c>
      <c r="K17" s="16"/>
      <c r="L17" s="15"/>
      <c r="M17" s="15"/>
      <c r="N17" s="13"/>
      <c r="O17" s="13"/>
      <c r="P17" s="13"/>
      <c r="Q17" s="13"/>
      <c r="R17" s="14"/>
      <c r="S17" s="13"/>
      <c r="T17" s="15" t="s">
        <v>118</v>
      </c>
    </row>
    <row r="18" ht="34.5">
      <c r="A18" s="15" t="s">
        <v>110</v>
      </c>
      <c r="B18" s="15" t="s">
        <v>111</v>
      </c>
      <c r="C18" s="15" t="s">
        <v>133</v>
      </c>
      <c r="D18" s="15" t="s">
        <v>119</v>
      </c>
      <c r="E18" s="15" t="s">
        <v>121</v>
      </c>
      <c r="F18" s="13" t="s">
        <v>129</v>
      </c>
      <c r="G18" s="15" t="s">
        <v>123</v>
      </c>
      <c r="H18" s="13"/>
      <c r="I18" s="13"/>
      <c r="J18" s="13" t="s">
        <v>139</v>
      </c>
      <c r="K18" s="16"/>
      <c r="L18" s="15"/>
      <c r="M18" s="15"/>
      <c r="N18" s="13"/>
      <c r="O18" s="13"/>
      <c r="P18" s="13"/>
      <c r="Q18" s="13"/>
      <c r="R18" s="14"/>
      <c r="S18" s="13"/>
      <c r="T18" s="15" t="s">
        <v>118</v>
      </c>
    </row>
    <row r="19" ht="34.5">
      <c r="A19" s="15" t="s">
        <v>110</v>
      </c>
      <c r="B19" s="15" t="s">
        <v>111</v>
      </c>
      <c r="C19" s="15" t="s">
        <v>133</v>
      </c>
      <c r="D19" s="15" t="s">
        <v>119</v>
      </c>
      <c r="E19" s="15" t="s">
        <v>121</v>
      </c>
      <c r="F19" s="13" t="s">
        <v>129</v>
      </c>
      <c r="G19" s="15" t="s">
        <v>123</v>
      </c>
      <c r="H19" s="13"/>
      <c r="I19" s="13"/>
      <c r="J19" s="13" t="s">
        <v>140</v>
      </c>
      <c r="K19" s="16"/>
      <c r="L19" s="15"/>
      <c r="M19" s="15"/>
      <c r="N19" s="13"/>
      <c r="O19" s="13"/>
      <c r="P19" s="13"/>
      <c r="Q19" s="13"/>
      <c r="R19" s="14"/>
      <c r="S19" s="13"/>
      <c r="T19" s="15" t="s">
        <v>118</v>
      </c>
    </row>
    <row r="20" ht="34.5">
      <c r="A20" s="15" t="s">
        <v>110</v>
      </c>
      <c r="B20" s="15" t="s">
        <v>111</v>
      </c>
      <c r="C20" s="15" t="s">
        <v>133</v>
      </c>
      <c r="D20" s="15" t="s">
        <v>119</v>
      </c>
      <c r="E20" s="15" t="s">
        <v>121</v>
      </c>
      <c r="F20" s="13" t="s">
        <v>129</v>
      </c>
      <c r="G20" s="15" t="s">
        <v>123</v>
      </c>
      <c r="H20" s="13"/>
      <c r="I20" s="13"/>
      <c r="J20" s="13" t="s">
        <v>141</v>
      </c>
      <c r="K20" s="16">
        <v>1166699</v>
      </c>
      <c r="L20" s="15" t="s">
        <v>142</v>
      </c>
      <c r="M20" s="15"/>
      <c r="N20" s="13"/>
      <c r="O20" s="13"/>
      <c r="P20" s="13"/>
      <c r="Q20" s="13"/>
      <c r="R20" s="14"/>
      <c r="S20" s="13"/>
      <c r="T20" s="15" t="s">
        <v>118</v>
      </c>
    </row>
    <row r="21" ht="34.5">
      <c r="A21" s="15" t="s">
        <v>110</v>
      </c>
      <c r="B21" s="15" t="s">
        <v>111</v>
      </c>
      <c r="C21" s="15" t="s">
        <v>133</v>
      </c>
      <c r="D21" s="15" t="s">
        <v>119</v>
      </c>
      <c r="E21" s="15" t="s">
        <v>121</v>
      </c>
      <c r="F21" s="13" t="s">
        <v>129</v>
      </c>
      <c r="G21" s="15" t="s">
        <v>123</v>
      </c>
      <c r="H21" s="13"/>
      <c r="I21" s="13"/>
      <c r="J21" s="13" t="s">
        <v>143</v>
      </c>
      <c r="K21" s="16"/>
      <c r="L21" s="15"/>
      <c r="M21" s="15"/>
      <c r="N21" s="13"/>
      <c r="O21" s="13"/>
      <c r="P21" s="13"/>
      <c r="Q21" s="13"/>
      <c r="R21" s="14"/>
      <c r="S21" s="13"/>
      <c r="T21" s="15" t="s">
        <v>118</v>
      </c>
    </row>
    <row r="22" ht="34.5">
      <c r="A22" s="15" t="s">
        <v>110</v>
      </c>
      <c r="B22" s="15" t="s">
        <v>111</v>
      </c>
      <c r="C22" s="15" t="s">
        <v>133</v>
      </c>
      <c r="D22" s="15" t="s">
        <v>137</v>
      </c>
      <c r="E22" s="15" t="s">
        <v>121</v>
      </c>
      <c r="F22" s="13" t="s">
        <v>129</v>
      </c>
      <c r="G22" s="15" t="s">
        <v>123</v>
      </c>
      <c r="H22" s="13"/>
      <c r="I22" s="13"/>
      <c r="J22" s="13" t="s">
        <v>144</v>
      </c>
      <c r="K22" s="16"/>
      <c r="L22" s="15"/>
      <c r="M22" s="15"/>
      <c r="N22" s="13"/>
      <c r="O22" s="13"/>
      <c r="P22" s="13"/>
      <c r="Q22" s="13"/>
      <c r="R22" s="14"/>
      <c r="S22" s="13"/>
      <c r="T22" s="15" t="s">
        <v>118</v>
      </c>
    </row>
    <row r="23" ht="34.5">
      <c r="A23" s="15" t="s">
        <v>110</v>
      </c>
      <c r="B23" s="15" t="s">
        <v>111</v>
      </c>
      <c r="C23" s="15" t="s">
        <v>133</v>
      </c>
      <c r="D23" s="15" t="s">
        <v>119</v>
      </c>
      <c r="E23" s="15" t="s">
        <v>121</v>
      </c>
      <c r="F23" s="13" t="s">
        <v>129</v>
      </c>
      <c r="G23" s="15" t="s">
        <v>123</v>
      </c>
      <c r="H23" s="13"/>
      <c r="I23" s="13"/>
      <c r="J23" s="13" t="s">
        <v>145</v>
      </c>
      <c r="K23" s="16">
        <v>17537249</v>
      </c>
      <c r="L23" s="15" t="s">
        <v>142</v>
      </c>
      <c r="M23" s="15"/>
      <c r="N23" s="13"/>
      <c r="O23" s="13"/>
      <c r="P23" s="13"/>
      <c r="Q23" s="13"/>
      <c r="R23" s="14"/>
      <c r="S23" s="13"/>
      <c r="T23" s="15" t="s">
        <v>118</v>
      </c>
    </row>
    <row r="24" ht="34.5">
      <c r="A24" s="15" t="s">
        <v>110</v>
      </c>
      <c r="B24" s="15" t="s">
        <v>111</v>
      </c>
      <c r="C24" s="15" t="s">
        <v>146</v>
      </c>
      <c r="D24" s="15" t="s">
        <v>119</v>
      </c>
      <c r="E24" s="15" t="s">
        <v>147</v>
      </c>
      <c r="F24" s="13" t="s">
        <v>148</v>
      </c>
      <c r="G24" s="15" t="s">
        <v>123</v>
      </c>
      <c r="H24" s="13"/>
      <c r="I24" s="13"/>
      <c r="J24" s="13" t="s">
        <v>149</v>
      </c>
      <c r="K24" s="16"/>
      <c r="L24" s="15"/>
      <c r="M24" s="15"/>
      <c r="N24" s="13"/>
      <c r="O24" s="13"/>
      <c r="P24" s="13"/>
      <c r="Q24" s="13"/>
      <c r="R24" s="14"/>
      <c r="S24" s="13"/>
      <c r="T24" s="15" t="s">
        <v>118</v>
      </c>
    </row>
    <row r="25" ht="34.5">
      <c r="A25" s="15" t="s">
        <v>110</v>
      </c>
      <c r="B25" s="15" t="s">
        <v>111</v>
      </c>
      <c r="C25" s="15" t="s">
        <v>146</v>
      </c>
      <c r="D25" s="15" t="s">
        <v>150</v>
      </c>
      <c r="E25" s="15" t="s">
        <v>147</v>
      </c>
      <c r="F25" s="13" t="s">
        <v>148</v>
      </c>
      <c r="G25" s="15" t="s">
        <v>123</v>
      </c>
      <c r="H25" s="13"/>
      <c r="I25" s="13"/>
      <c r="J25" s="13" t="s">
        <v>151</v>
      </c>
      <c r="K25" s="16"/>
      <c r="L25" s="15"/>
      <c r="M25" s="15"/>
      <c r="N25" s="13"/>
      <c r="O25" s="13"/>
      <c r="P25" s="13"/>
      <c r="Q25" s="13"/>
      <c r="R25" s="14"/>
      <c r="S25" s="13"/>
      <c r="T25" s="15" t="s">
        <v>118</v>
      </c>
    </row>
    <row r="26" ht="34.5">
      <c r="A26" s="15" t="s">
        <v>110</v>
      </c>
      <c r="B26" s="15" t="s">
        <v>111</v>
      </c>
      <c r="C26" s="15" t="s">
        <v>146</v>
      </c>
      <c r="D26" s="15" t="s">
        <v>119</v>
      </c>
      <c r="E26" s="15" t="s">
        <v>152</v>
      </c>
      <c r="F26" s="13" t="s">
        <v>153</v>
      </c>
      <c r="G26" s="15" t="s">
        <v>154</v>
      </c>
      <c r="H26" s="13"/>
      <c r="I26" s="13"/>
      <c r="J26" s="13" t="s">
        <v>155</v>
      </c>
      <c r="K26" s="16"/>
      <c r="L26" s="15"/>
      <c r="M26" s="15"/>
      <c r="N26" s="13"/>
      <c r="O26" s="13"/>
      <c r="P26" s="13"/>
      <c r="Q26" s="13"/>
      <c r="R26" s="14"/>
      <c r="S26" s="13"/>
      <c r="T26" s="15" t="s">
        <v>118</v>
      </c>
    </row>
    <row r="27" ht="34.5">
      <c r="A27" s="15" t="s">
        <v>110</v>
      </c>
      <c r="B27" s="15" t="s">
        <v>111</v>
      </c>
      <c r="C27" s="15" t="s">
        <v>146</v>
      </c>
      <c r="D27" s="15" t="s">
        <v>150</v>
      </c>
      <c r="E27" s="15" t="s">
        <v>152</v>
      </c>
      <c r="F27" s="13" t="s">
        <v>153</v>
      </c>
      <c r="G27" s="15" t="s">
        <v>154</v>
      </c>
      <c r="H27" s="13"/>
      <c r="I27" s="13"/>
      <c r="J27" s="13" t="s">
        <v>156</v>
      </c>
      <c r="K27" s="16"/>
      <c r="L27" s="15"/>
      <c r="M27" s="15"/>
      <c r="N27" s="13"/>
      <c r="O27" s="13"/>
      <c r="P27" s="13"/>
      <c r="Q27" s="13"/>
      <c r="R27" s="14"/>
      <c r="S27" s="13"/>
      <c r="T27" s="15" t="s">
        <v>118</v>
      </c>
    </row>
    <row r="28" ht="34.5">
      <c r="A28" s="15" t="s">
        <v>110</v>
      </c>
      <c r="B28" s="15" t="s">
        <v>111</v>
      </c>
      <c r="C28" s="15" t="s">
        <v>146</v>
      </c>
      <c r="D28" s="15" t="s">
        <v>119</v>
      </c>
      <c r="E28" s="15" t="s">
        <v>152</v>
      </c>
      <c r="F28" s="13" t="s">
        <v>153</v>
      </c>
      <c r="G28" s="15" t="s">
        <v>154</v>
      </c>
      <c r="H28" s="13"/>
      <c r="I28" s="13"/>
      <c r="J28" s="13" t="s">
        <v>157</v>
      </c>
      <c r="K28" s="16"/>
      <c r="L28" s="15"/>
      <c r="M28" s="15"/>
      <c r="N28" s="13"/>
      <c r="O28" s="13"/>
      <c r="P28" s="13"/>
      <c r="Q28" s="13"/>
      <c r="R28" s="14"/>
      <c r="S28" s="13"/>
      <c r="T28" s="15" t="s">
        <v>118</v>
      </c>
    </row>
    <row r="29" ht="34.5">
      <c r="A29" s="15" t="s">
        <v>110</v>
      </c>
      <c r="B29" s="15" t="s">
        <v>111</v>
      </c>
      <c r="C29" s="15" t="s">
        <v>146</v>
      </c>
      <c r="D29" s="15" t="s">
        <v>119</v>
      </c>
      <c r="E29" s="15" t="s">
        <v>152</v>
      </c>
      <c r="F29" s="13" t="s">
        <v>153</v>
      </c>
      <c r="G29" s="15" t="s">
        <v>154</v>
      </c>
      <c r="H29" s="13"/>
      <c r="I29" s="13"/>
      <c r="J29" s="13" t="s">
        <v>158</v>
      </c>
      <c r="K29" s="16"/>
      <c r="L29" s="15"/>
      <c r="M29" s="15"/>
      <c r="N29" s="13"/>
      <c r="O29" s="13"/>
      <c r="P29" s="13"/>
      <c r="Q29" s="13"/>
      <c r="R29" s="14"/>
      <c r="S29" s="13"/>
      <c r="T29" s="15" t="s">
        <v>118</v>
      </c>
    </row>
    <row r="30" ht="34.5">
      <c r="A30" s="15" t="s">
        <v>110</v>
      </c>
      <c r="B30" s="15" t="s">
        <v>111</v>
      </c>
      <c r="C30" s="15" t="s">
        <v>146</v>
      </c>
      <c r="D30" s="15" t="s">
        <v>119</v>
      </c>
      <c r="E30" s="15" t="s">
        <v>152</v>
      </c>
      <c r="F30" s="13" t="s">
        <v>153</v>
      </c>
      <c r="G30" s="15" t="s">
        <v>154</v>
      </c>
      <c r="H30" s="13"/>
      <c r="I30" s="13"/>
      <c r="J30" s="13" t="s">
        <v>159</v>
      </c>
      <c r="K30" s="16"/>
      <c r="L30" s="15"/>
      <c r="M30" s="15"/>
      <c r="N30" s="13"/>
      <c r="O30" s="13"/>
      <c r="P30" s="13"/>
      <c r="Q30" s="13"/>
      <c r="R30" s="14"/>
      <c r="S30" s="13"/>
      <c r="T30" s="15" t="s">
        <v>118</v>
      </c>
    </row>
    <row r="31" ht="34.5">
      <c r="A31" s="15" t="s">
        <v>110</v>
      </c>
      <c r="B31" s="15" t="s">
        <v>111</v>
      </c>
      <c r="C31" s="15" t="s">
        <v>160</v>
      </c>
      <c r="D31" s="15" t="s">
        <v>119</v>
      </c>
      <c r="E31" s="15" t="s">
        <v>152</v>
      </c>
      <c r="F31" s="13" t="s">
        <v>153</v>
      </c>
      <c r="G31" s="15" t="s">
        <v>154</v>
      </c>
      <c r="H31" s="13"/>
      <c r="I31" s="13"/>
      <c r="J31" s="13" t="s">
        <v>127</v>
      </c>
      <c r="K31" s="16"/>
      <c r="L31" s="15"/>
      <c r="M31" s="15"/>
      <c r="N31" s="13"/>
      <c r="O31" s="13"/>
      <c r="P31" s="13"/>
      <c r="Q31" s="13"/>
      <c r="R31" s="14"/>
      <c r="S31" s="13"/>
      <c r="T31" s="15" t="s">
        <v>118</v>
      </c>
    </row>
    <row r="32" ht="34.5">
      <c r="A32" s="15" t="s">
        <v>110</v>
      </c>
      <c r="B32" s="15" t="s">
        <v>111</v>
      </c>
      <c r="C32" s="15" t="s">
        <v>160</v>
      </c>
      <c r="D32" s="15" t="s">
        <v>119</v>
      </c>
      <c r="E32" s="15" t="s">
        <v>152</v>
      </c>
      <c r="F32" s="13" t="s">
        <v>153</v>
      </c>
      <c r="G32" s="15" t="s">
        <v>154</v>
      </c>
      <c r="H32" s="13"/>
      <c r="I32" s="13"/>
      <c r="J32" s="13" t="s">
        <v>128</v>
      </c>
      <c r="K32" s="16"/>
      <c r="L32" s="15"/>
      <c r="M32" s="15"/>
      <c r="N32" s="13"/>
      <c r="O32" s="13"/>
      <c r="P32" s="13"/>
      <c r="Q32" s="13"/>
      <c r="R32" s="14"/>
      <c r="S32" s="13"/>
      <c r="T32" s="15" t="s">
        <v>118</v>
      </c>
    </row>
    <row r="33" ht="34.5">
      <c r="A33" s="15" t="s">
        <v>110</v>
      </c>
      <c r="B33" s="15" t="s">
        <v>111</v>
      </c>
      <c r="C33" s="15" t="s">
        <v>160</v>
      </c>
      <c r="D33" s="15" t="s">
        <v>119</v>
      </c>
      <c r="E33" s="15" t="s">
        <v>152</v>
      </c>
      <c r="F33" s="13" t="s">
        <v>161</v>
      </c>
      <c r="G33" s="15" t="s">
        <v>154</v>
      </c>
      <c r="H33" s="13"/>
      <c r="I33" s="13"/>
      <c r="J33" s="13" t="s">
        <v>162</v>
      </c>
      <c r="K33" s="16"/>
      <c r="L33" s="15"/>
      <c r="M33" s="15"/>
      <c r="N33" s="13"/>
      <c r="O33" s="13"/>
      <c r="P33" s="13"/>
      <c r="Q33" s="13"/>
      <c r="R33" s="14"/>
      <c r="S33" s="13"/>
      <c r="T33" s="15" t="s">
        <v>118</v>
      </c>
    </row>
    <row r="34" ht="34.5">
      <c r="A34" s="15" t="s">
        <v>110</v>
      </c>
      <c r="B34" s="15" t="s">
        <v>111</v>
      </c>
      <c r="C34" s="15" t="s">
        <v>160</v>
      </c>
      <c r="D34" s="15" t="s">
        <v>119</v>
      </c>
      <c r="E34" s="15" t="s">
        <v>152</v>
      </c>
      <c r="F34" s="13" t="s">
        <v>161</v>
      </c>
      <c r="G34" s="15" t="s">
        <v>154</v>
      </c>
      <c r="H34" s="13"/>
      <c r="I34" s="13"/>
      <c r="J34" s="13" t="s">
        <v>163</v>
      </c>
      <c r="K34" s="16"/>
      <c r="L34" s="15"/>
      <c r="M34" s="15"/>
      <c r="N34" s="13"/>
      <c r="O34" s="13"/>
      <c r="P34" s="13"/>
      <c r="Q34" s="13"/>
      <c r="R34" s="14"/>
      <c r="S34" s="13"/>
      <c r="T34" s="15" t="s">
        <v>118</v>
      </c>
    </row>
    <row r="35" ht="34.5">
      <c r="A35" s="15" t="s">
        <v>110</v>
      </c>
      <c r="B35" s="15" t="s">
        <v>111</v>
      </c>
      <c r="C35" s="15" t="s">
        <v>160</v>
      </c>
      <c r="D35" s="15" t="s">
        <v>119</v>
      </c>
      <c r="E35" s="15" t="s">
        <v>152</v>
      </c>
      <c r="F35" s="13" t="s">
        <v>161</v>
      </c>
      <c r="G35" s="15" t="s">
        <v>154</v>
      </c>
      <c r="H35" s="13"/>
      <c r="I35" s="13"/>
      <c r="J35" s="13" t="s">
        <v>164</v>
      </c>
      <c r="K35" s="16"/>
      <c r="L35" s="15"/>
      <c r="M35" s="15"/>
      <c r="N35" s="13"/>
      <c r="O35" s="13"/>
      <c r="P35" s="13"/>
      <c r="Q35" s="13"/>
      <c r="R35" s="14"/>
      <c r="S35" s="13"/>
      <c r="T35" s="15" t="s">
        <v>118</v>
      </c>
    </row>
    <row r="36" ht="34.5">
      <c r="A36" s="15" t="s">
        <v>110</v>
      </c>
      <c r="B36" s="15" t="s">
        <v>111</v>
      </c>
      <c r="C36" s="15" t="s">
        <v>160</v>
      </c>
      <c r="D36" s="15" t="s">
        <v>165</v>
      </c>
      <c r="E36" s="15" t="s">
        <v>152</v>
      </c>
      <c r="F36" s="13" t="s">
        <v>161</v>
      </c>
      <c r="G36" s="15" t="s">
        <v>154</v>
      </c>
      <c r="H36" s="13"/>
      <c r="I36" s="13"/>
      <c r="J36" s="13" t="s">
        <v>166</v>
      </c>
      <c r="K36" s="16"/>
      <c r="L36" s="15"/>
      <c r="M36" s="15"/>
      <c r="N36" s="13"/>
      <c r="O36" s="13"/>
      <c r="P36" s="13"/>
      <c r="Q36" s="13"/>
      <c r="R36" s="14"/>
      <c r="S36" s="13"/>
      <c r="T36" s="15" t="s">
        <v>118</v>
      </c>
    </row>
    <row r="37" ht="34.5">
      <c r="A37" s="15" t="s">
        <v>110</v>
      </c>
      <c r="B37" s="15" t="s">
        <v>111</v>
      </c>
      <c r="C37" s="15" t="s">
        <v>160</v>
      </c>
      <c r="D37" s="15" t="s">
        <v>119</v>
      </c>
      <c r="E37" s="15" t="s">
        <v>152</v>
      </c>
      <c r="F37" s="13" t="s">
        <v>161</v>
      </c>
      <c r="G37" s="15" t="s">
        <v>154</v>
      </c>
      <c r="H37" s="13"/>
      <c r="I37" s="13"/>
      <c r="J37" s="13" t="s">
        <v>167</v>
      </c>
      <c r="K37" s="16"/>
      <c r="L37" s="15"/>
      <c r="M37" s="15"/>
      <c r="N37" s="13"/>
      <c r="O37" s="13"/>
      <c r="P37" s="13"/>
      <c r="Q37" s="13"/>
      <c r="R37" s="14"/>
      <c r="S37" s="13"/>
      <c r="T37" s="15" t="s">
        <v>118</v>
      </c>
    </row>
    <row r="38" ht="34.5">
      <c r="A38" s="15" t="s">
        <v>110</v>
      </c>
      <c r="B38" s="15" t="s">
        <v>111</v>
      </c>
      <c r="C38" s="15" t="s">
        <v>160</v>
      </c>
      <c r="D38" s="15" t="s">
        <v>119</v>
      </c>
      <c r="E38" s="15" t="s">
        <v>152</v>
      </c>
      <c r="F38" s="13" t="s">
        <v>161</v>
      </c>
      <c r="G38" s="15" t="s">
        <v>154</v>
      </c>
      <c r="H38" s="13"/>
      <c r="I38" s="13"/>
      <c r="J38" s="13" t="s">
        <v>168</v>
      </c>
      <c r="K38" s="16"/>
      <c r="L38" s="15"/>
      <c r="M38" s="15"/>
      <c r="N38" s="13"/>
      <c r="O38" s="13"/>
      <c r="P38" s="13"/>
      <c r="Q38" s="13"/>
      <c r="R38" s="14"/>
      <c r="S38" s="13"/>
      <c r="T38" s="15" t="s">
        <v>118</v>
      </c>
    </row>
    <row r="39" ht="34.5">
      <c r="A39" s="15" t="s">
        <v>110</v>
      </c>
      <c r="B39" s="15" t="s">
        <v>111</v>
      </c>
      <c r="C39" s="15" t="s">
        <v>160</v>
      </c>
      <c r="D39" s="15" t="s">
        <v>119</v>
      </c>
      <c r="E39" s="15" t="s">
        <v>152</v>
      </c>
      <c r="F39" s="13" t="s">
        <v>161</v>
      </c>
      <c r="G39" s="15" t="s">
        <v>154</v>
      </c>
      <c r="H39" s="13"/>
      <c r="I39" s="13"/>
      <c r="J39" s="13" t="s">
        <v>169</v>
      </c>
      <c r="K39" s="16"/>
      <c r="L39" s="15"/>
      <c r="M39" s="15"/>
      <c r="N39" s="13"/>
      <c r="O39" s="13"/>
      <c r="P39" s="13"/>
      <c r="Q39" s="13"/>
      <c r="R39" s="14"/>
      <c r="S39" s="13"/>
      <c r="T39" s="15" t="s">
        <v>118</v>
      </c>
    </row>
    <row r="40" ht="34.5">
      <c r="A40" s="15" t="s">
        <v>110</v>
      </c>
      <c r="B40" s="15" t="s">
        <v>111</v>
      </c>
      <c r="C40" s="15" t="s">
        <v>170</v>
      </c>
      <c r="D40" s="15" t="s">
        <v>119</v>
      </c>
      <c r="E40" s="15" t="s">
        <v>152</v>
      </c>
      <c r="F40" s="13" t="s">
        <v>161</v>
      </c>
      <c r="G40" s="15" t="s">
        <v>154</v>
      </c>
      <c r="H40" s="13"/>
      <c r="I40" s="13"/>
      <c r="J40" s="13" t="s">
        <v>171</v>
      </c>
      <c r="K40" s="16"/>
      <c r="L40" s="15"/>
      <c r="M40" s="15"/>
      <c r="N40" s="13"/>
      <c r="O40" s="13"/>
      <c r="P40" s="13"/>
      <c r="Q40" s="13"/>
      <c r="R40" s="14"/>
      <c r="S40" s="13"/>
      <c r="T40" s="15" t="s">
        <v>118</v>
      </c>
    </row>
    <row r="41" ht="34.5">
      <c r="A41" s="15" t="s">
        <v>110</v>
      </c>
      <c r="B41" s="15" t="s">
        <v>111</v>
      </c>
      <c r="C41" s="15" t="s">
        <v>170</v>
      </c>
      <c r="D41" s="15" t="s">
        <v>172</v>
      </c>
      <c r="E41" s="15" t="s">
        <v>152</v>
      </c>
      <c r="F41" s="13" t="s">
        <v>161</v>
      </c>
      <c r="G41" s="15" t="s">
        <v>154</v>
      </c>
      <c r="H41" s="13"/>
      <c r="I41" s="13"/>
      <c r="J41" s="13" t="s">
        <v>173</v>
      </c>
      <c r="K41" s="16"/>
      <c r="L41" s="15"/>
      <c r="M41" s="15"/>
      <c r="N41" s="13"/>
      <c r="O41" s="13"/>
      <c r="P41" s="13"/>
      <c r="Q41" s="13"/>
      <c r="R41" s="14"/>
      <c r="S41" s="13"/>
      <c r="T41" s="15" t="s">
        <v>118</v>
      </c>
    </row>
    <row r="42" ht="34.5">
      <c r="A42" s="15" t="s">
        <v>110</v>
      </c>
      <c r="B42" s="15" t="s">
        <v>111</v>
      </c>
      <c r="C42" s="15" t="s">
        <v>170</v>
      </c>
      <c r="D42" s="15" t="s">
        <v>119</v>
      </c>
      <c r="E42" s="15" t="s">
        <v>152</v>
      </c>
      <c r="F42" s="13" t="s">
        <v>161</v>
      </c>
      <c r="G42" s="15" t="s">
        <v>154</v>
      </c>
      <c r="H42" s="13"/>
      <c r="I42" s="13"/>
      <c r="J42" s="13" t="s">
        <v>174</v>
      </c>
      <c r="K42" s="16"/>
      <c r="L42" s="15"/>
      <c r="M42" s="15"/>
      <c r="N42" s="13"/>
      <c r="O42" s="13"/>
      <c r="P42" s="13"/>
      <c r="Q42" s="13"/>
      <c r="R42" s="14"/>
      <c r="S42" s="13"/>
      <c r="T42" s="15" t="s">
        <v>118</v>
      </c>
    </row>
    <row r="43" ht="34.5">
      <c r="A43" s="15" t="s">
        <v>110</v>
      </c>
      <c r="B43" s="15" t="s">
        <v>111</v>
      </c>
      <c r="C43" s="15" t="s">
        <v>170</v>
      </c>
      <c r="D43" s="15" t="s">
        <v>172</v>
      </c>
      <c r="E43" s="15" t="s">
        <v>152</v>
      </c>
      <c r="F43" s="13" t="s">
        <v>161</v>
      </c>
      <c r="G43" s="15" t="s">
        <v>154</v>
      </c>
      <c r="H43" s="13"/>
      <c r="I43" s="13"/>
      <c r="J43" s="13" t="s">
        <v>175</v>
      </c>
      <c r="K43" s="16"/>
      <c r="L43" s="15"/>
      <c r="M43" s="15"/>
      <c r="N43" s="13"/>
      <c r="O43" s="13"/>
      <c r="P43" s="13"/>
      <c r="Q43" s="13"/>
      <c r="R43" s="14"/>
      <c r="S43" s="13"/>
      <c r="T43" s="15" t="s">
        <v>118</v>
      </c>
    </row>
    <row r="44" ht="34.5">
      <c r="A44" s="15" t="s">
        <v>110</v>
      </c>
      <c r="B44" s="15" t="s">
        <v>111</v>
      </c>
      <c r="C44" s="15" t="s">
        <v>176</v>
      </c>
      <c r="D44" s="15" t="s">
        <v>119</v>
      </c>
      <c r="E44" s="15" t="s">
        <v>152</v>
      </c>
      <c r="F44" s="13" t="s">
        <v>161</v>
      </c>
      <c r="G44" s="15" t="s">
        <v>154</v>
      </c>
      <c r="H44" s="13"/>
      <c r="I44" s="13"/>
      <c r="J44" s="13" t="s">
        <v>134</v>
      </c>
      <c r="K44" s="16"/>
      <c r="L44" s="15"/>
      <c r="M44" s="15"/>
      <c r="N44" s="13"/>
      <c r="O44" s="13"/>
      <c r="P44" s="13"/>
      <c r="Q44" s="13"/>
      <c r="R44" s="14"/>
      <c r="S44" s="13"/>
      <c r="T44" s="15" t="s">
        <v>118</v>
      </c>
    </row>
    <row r="45" ht="34.5">
      <c r="A45" s="15" t="s">
        <v>110</v>
      </c>
      <c r="B45" s="15" t="s">
        <v>111</v>
      </c>
      <c r="C45" s="15" t="s">
        <v>176</v>
      </c>
      <c r="D45" s="15" t="s">
        <v>119</v>
      </c>
      <c r="E45" s="15" t="s">
        <v>152</v>
      </c>
      <c r="F45" s="13" t="s">
        <v>161</v>
      </c>
      <c r="G45" s="15" t="s">
        <v>154</v>
      </c>
      <c r="H45" s="13"/>
      <c r="I45" s="13"/>
      <c r="J45" s="13" t="s">
        <v>177</v>
      </c>
      <c r="K45" s="16"/>
      <c r="L45" s="15"/>
      <c r="M45" s="15"/>
      <c r="N45" s="13"/>
      <c r="O45" s="13"/>
      <c r="P45" s="13"/>
      <c r="Q45" s="13"/>
      <c r="R45" s="14"/>
      <c r="S45" s="13"/>
      <c r="T45" s="15" t="s">
        <v>118</v>
      </c>
    </row>
    <row r="46" ht="34.5">
      <c r="A46" s="15" t="s">
        <v>110</v>
      </c>
      <c r="B46" s="15" t="s">
        <v>111</v>
      </c>
      <c r="C46" s="15" t="s">
        <v>176</v>
      </c>
      <c r="D46" s="15" t="s">
        <v>119</v>
      </c>
      <c r="E46" s="15" t="s">
        <v>152</v>
      </c>
      <c r="F46" s="13" t="s">
        <v>161</v>
      </c>
      <c r="G46" s="15" t="s">
        <v>154</v>
      </c>
      <c r="H46" s="13"/>
      <c r="I46" s="13"/>
      <c r="J46" s="13" t="s">
        <v>178</v>
      </c>
      <c r="K46" s="16">
        <v>83095239</v>
      </c>
      <c r="L46" s="15" t="s">
        <v>142</v>
      </c>
      <c r="M46" s="15"/>
      <c r="N46" s="13"/>
      <c r="O46" s="13"/>
      <c r="P46" s="13"/>
      <c r="Q46" s="13"/>
      <c r="R46" s="14"/>
      <c r="S46" s="13"/>
      <c r="T46" s="15" t="s">
        <v>118</v>
      </c>
    </row>
    <row r="47" ht="34.5">
      <c r="A47" s="15" t="s">
        <v>110</v>
      </c>
      <c r="B47" s="15" t="s">
        <v>111</v>
      </c>
      <c r="C47" s="15" t="s">
        <v>176</v>
      </c>
      <c r="D47" s="15" t="s">
        <v>119</v>
      </c>
      <c r="E47" s="15" t="s">
        <v>152</v>
      </c>
      <c r="F47" s="13" t="s">
        <v>161</v>
      </c>
      <c r="G47" s="15" t="s">
        <v>154</v>
      </c>
      <c r="H47" s="13"/>
      <c r="I47" s="13"/>
      <c r="J47" s="13" t="s">
        <v>179</v>
      </c>
      <c r="K47" s="16"/>
      <c r="L47" s="15"/>
      <c r="M47" s="15"/>
      <c r="N47" s="13"/>
      <c r="O47" s="13"/>
      <c r="P47" s="13"/>
      <c r="Q47" s="13"/>
      <c r="R47" s="14"/>
      <c r="S47" s="13"/>
      <c r="T47" s="15" t="s">
        <v>118</v>
      </c>
    </row>
    <row r="48" ht="34.5">
      <c r="A48" s="15" t="s">
        <v>110</v>
      </c>
      <c r="B48" s="15" t="s">
        <v>111</v>
      </c>
      <c r="C48" s="15" t="s">
        <v>176</v>
      </c>
      <c r="D48" s="15" t="s">
        <v>119</v>
      </c>
      <c r="E48" s="15" t="s">
        <v>152</v>
      </c>
      <c r="F48" s="13" t="s">
        <v>161</v>
      </c>
      <c r="G48" s="15" t="s">
        <v>154</v>
      </c>
      <c r="H48" s="13"/>
      <c r="I48" s="13"/>
      <c r="J48" s="13" t="s">
        <v>180</v>
      </c>
      <c r="K48" s="16"/>
      <c r="L48" s="15"/>
      <c r="M48" s="15"/>
      <c r="N48" s="13"/>
      <c r="O48" s="13"/>
      <c r="P48" s="13"/>
      <c r="Q48" s="13"/>
      <c r="R48" s="14"/>
      <c r="S48" s="13"/>
      <c r="T48" s="15" t="s">
        <v>118</v>
      </c>
    </row>
    <row r="49" ht="34.5">
      <c r="A49" s="15" t="s">
        <v>110</v>
      </c>
      <c r="B49" s="15" t="s">
        <v>111</v>
      </c>
      <c r="C49" s="15" t="s">
        <v>176</v>
      </c>
      <c r="D49" s="15" t="s">
        <v>119</v>
      </c>
      <c r="E49" s="15" t="s">
        <v>152</v>
      </c>
      <c r="F49" s="13" t="s">
        <v>161</v>
      </c>
      <c r="G49" s="15" t="s">
        <v>154</v>
      </c>
      <c r="H49" s="13"/>
      <c r="I49" s="13"/>
      <c r="J49" s="13" t="s">
        <v>181</v>
      </c>
      <c r="K49" s="16">
        <v>10797318</v>
      </c>
      <c r="L49" s="15" t="s">
        <v>142</v>
      </c>
      <c r="M49" s="15"/>
      <c r="N49" s="13"/>
      <c r="O49" s="13"/>
      <c r="P49" s="13"/>
      <c r="Q49" s="13"/>
      <c r="R49" s="14"/>
      <c r="S49" s="13"/>
      <c r="T49" s="15" t="s">
        <v>118</v>
      </c>
    </row>
    <row r="50" ht="34.5">
      <c r="A50" s="15" t="s">
        <v>110</v>
      </c>
      <c r="B50" s="15" t="s">
        <v>111</v>
      </c>
      <c r="C50" s="15" t="s">
        <v>176</v>
      </c>
      <c r="D50" s="15" t="s">
        <v>119</v>
      </c>
      <c r="E50" s="15" t="s">
        <v>152</v>
      </c>
      <c r="F50" s="13" t="s">
        <v>161</v>
      </c>
      <c r="G50" s="15" t="s">
        <v>154</v>
      </c>
      <c r="H50" s="13"/>
      <c r="I50" s="13"/>
      <c r="J50" s="13" t="s">
        <v>182</v>
      </c>
      <c r="K50" s="16"/>
      <c r="L50" s="15"/>
      <c r="M50" s="15"/>
      <c r="N50" s="13"/>
      <c r="O50" s="13"/>
      <c r="P50" s="13"/>
      <c r="Q50" s="13"/>
      <c r="R50" s="14"/>
      <c r="S50" s="13"/>
      <c r="T50" s="15" t="s">
        <v>118</v>
      </c>
    </row>
    <row r="51" ht="34.5">
      <c r="A51" s="15" t="s">
        <v>110</v>
      </c>
      <c r="B51" s="15" t="s">
        <v>111</v>
      </c>
      <c r="C51" s="15" t="s">
        <v>176</v>
      </c>
      <c r="D51" s="15" t="s">
        <v>183</v>
      </c>
      <c r="E51" s="15" t="s">
        <v>152</v>
      </c>
      <c r="F51" s="13" t="s">
        <v>161</v>
      </c>
      <c r="G51" s="15" t="s">
        <v>154</v>
      </c>
      <c r="H51" s="13"/>
      <c r="I51" s="13"/>
      <c r="J51" s="13" t="s">
        <v>184</v>
      </c>
      <c r="K51" s="16"/>
      <c r="L51" s="15"/>
      <c r="M51" s="15"/>
      <c r="N51" s="13"/>
      <c r="O51" s="13"/>
      <c r="P51" s="13"/>
      <c r="Q51" s="13"/>
      <c r="R51" s="14"/>
      <c r="S51" s="13"/>
      <c r="T51" s="15" t="s">
        <v>118</v>
      </c>
    </row>
    <row r="52" ht="34.5">
      <c r="A52" s="15" t="s">
        <v>110</v>
      </c>
      <c r="B52" s="15" t="s">
        <v>111</v>
      </c>
      <c r="C52" s="15" t="s">
        <v>176</v>
      </c>
      <c r="D52" s="15" t="s">
        <v>119</v>
      </c>
      <c r="E52" s="15" t="s">
        <v>152</v>
      </c>
      <c r="F52" s="13" t="s">
        <v>161</v>
      </c>
      <c r="G52" s="15" t="s">
        <v>154</v>
      </c>
      <c r="H52" s="13"/>
      <c r="I52" s="13"/>
      <c r="J52" s="13" t="s">
        <v>185</v>
      </c>
      <c r="K52" s="16"/>
      <c r="L52" s="15"/>
      <c r="M52" s="15"/>
      <c r="N52" s="13"/>
      <c r="O52" s="13"/>
      <c r="P52" s="13"/>
      <c r="Q52" s="13"/>
      <c r="R52" s="14"/>
      <c r="S52" s="13"/>
      <c r="T52" s="15" t="s">
        <v>118</v>
      </c>
    </row>
    <row r="53" ht="34.5">
      <c r="A53" s="15" t="s">
        <v>110</v>
      </c>
      <c r="B53" s="15" t="s">
        <v>111</v>
      </c>
      <c r="C53" s="15" t="s">
        <v>176</v>
      </c>
      <c r="D53" s="15" t="s">
        <v>119</v>
      </c>
      <c r="E53" s="15" t="s">
        <v>152</v>
      </c>
      <c r="F53" s="13" t="s">
        <v>161</v>
      </c>
      <c r="G53" s="15" t="s">
        <v>154</v>
      </c>
      <c r="H53" s="13"/>
      <c r="I53" s="13"/>
      <c r="J53" s="13" t="s">
        <v>186</v>
      </c>
      <c r="K53" s="16">
        <v>10123276</v>
      </c>
      <c r="L53" s="15" t="s">
        <v>142</v>
      </c>
      <c r="M53" s="15"/>
      <c r="N53" s="13"/>
      <c r="O53" s="13"/>
      <c r="P53" s="13"/>
      <c r="Q53" s="13"/>
      <c r="R53" s="14"/>
      <c r="S53" s="13"/>
      <c r="T53" s="15" t="s">
        <v>118</v>
      </c>
    </row>
    <row r="54" ht="34.5">
      <c r="A54" s="15" t="s">
        <v>110</v>
      </c>
      <c r="B54" s="15" t="s">
        <v>111</v>
      </c>
      <c r="C54" s="15" t="s">
        <v>187</v>
      </c>
      <c r="D54" s="15" t="s">
        <v>119</v>
      </c>
      <c r="E54" s="15" t="s">
        <v>188</v>
      </c>
      <c r="F54" s="13" t="s">
        <v>189</v>
      </c>
      <c r="G54" s="15" t="s">
        <v>190</v>
      </c>
      <c r="H54" s="13"/>
      <c r="I54" s="13"/>
      <c r="J54" s="13" t="s">
        <v>191</v>
      </c>
      <c r="K54" s="16"/>
      <c r="L54" s="15"/>
      <c r="M54" s="15"/>
      <c r="N54" s="13"/>
      <c r="O54" s="13"/>
      <c r="P54" s="13"/>
      <c r="Q54" s="13"/>
      <c r="R54" s="14"/>
      <c r="S54" s="13"/>
      <c r="T54" s="15" t="s">
        <v>118</v>
      </c>
    </row>
    <row r="55" ht="34.5">
      <c r="A55" s="15" t="s">
        <v>110</v>
      </c>
      <c r="B55" s="15" t="s">
        <v>111</v>
      </c>
      <c r="C55" s="15" t="s">
        <v>187</v>
      </c>
      <c r="D55" s="15" t="s">
        <v>192</v>
      </c>
      <c r="E55" s="15" t="s">
        <v>188</v>
      </c>
      <c r="F55" s="13" t="s">
        <v>189</v>
      </c>
      <c r="G55" s="15" t="s">
        <v>190</v>
      </c>
      <c r="H55" s="13"/>
      <c r="I55" s="13"/>
      <c r="J55" s="13" t="s">
        <v>193</v>
      </c>
      <c r="K55" s="16"/>
      <c r="L55" s="15"/>
      <c r="M55" s="15"/>
      <c r="N55" s="13"/>
      <c r="O55" s="13"/>
      <c r="P55" s="13"/>
      <c r="Q55" s="13"/>
      <c r="R55" s="14"/>
      <c r="S55" s="13"/>
      <c r="T55" s="15" t="s">
        <v>118</v>
      </c>
    </row>
    <row r="56" ht="34.5">
      <c r="A56" s="15" t="s">
        <v>110</v>
      </c>
      <c r="B56" s="15" t="s">
        <v>111</v>
      </c>
      <c r="C56" s="15" t="s">
        <v>187</v>
      </c>
      <c r="D56" s="15" t="s">
        <v>119</v>
      </c>
      <c r="E56" s="15" t="s">
        <v>188</v>
      </c>
      <c r="F56" s="13" t="s">
        <v>189</v>
      </c>
      <c r="G56" s="15" t="s">
        <v>190</v>
      </c>
      <c r="H56" s="13"/>
      <c r="I56" s="13"/>
      <c r="J56" s="13" t="s">
        <v>194</v>
      </c>
      <c r="K56" s="16"/>
      <c r="L56" s="15"/>
      <c r="M56" s="15"/>
      <c r="N56" s="13"/>
      <c r="O56" s="13"/>
      <c r="P56" s="13"/>
      <c r="Q56" s="13"/>
      <c r="R56" s="14"/>
      <c r="S56" s="13"/>
      <c r="T56" s="15" t="s">
        <v>118</v>
      </c>
    </row>
    <row r="57" ht="34.5">
      <c r="A57" s="15" t="s">
        <v>110</v>
      </c>
      <c r="B57" s="15" t="s">
        <v>111</v>
      </c>
      <c r="C57" s="15" t="s">
        <v>187</v>
      </c>
      <c r="D57" s="15" t="s">
        <v>119</v>
      </c>
      <c r="E57" s="15" t="s">
        <v>188</v>
      </c>
      <c r="F57" s="13" t="s">
        <v>189</v>
      </c>
      <c r="G57" s="15" t="s">
        <v>190</v>
      </c>
      <c r="H57" s="13"/>
      <c r="I57" s="13"/>
      <c r="J57" s="13" t="s">
        <v>195</v>
      </c>
      <c r="K57" s="16"/>
      <c r="L57" s="15"/>
      <c r="M57" s="15"/>
      <c r="N57" s="13"/>
      <c r="O57" s="13"/>
      <c r="P57" s="13"/>
      <c r="Q57" s="13"/>
      <c r="R57" s="14"/>
      <c r="S57" s="13"/>
      <c r="T57" s="15" t="s">
        <v>118</v>
      </c>
    </row>
    <row r="58" ht="34.5">
      <c r="A58" s="15" t="s">
        <v>110</v>
      </c>
      <c r="B58" s="15" t="s">
        <v>111</v>
      </c>
      <c r="C58" s="15" t="s">
        <v>187</v>
      </c>
      <c r="D58" s="15" t="s">
        <v>119</v>
      </c>
      <c r="E58" s="15" t="s">
        <v>196</v>
      </c>
      <c r="F58" s="13" t="s">
        <v>197</v>
      </c>
      <c r="G58" s="15" t="s">
        <v>198</v>
      </c>
      <c r="H58" s="13"/>
      <c r="I58" s="13"/>
      <c r="J58" s="13" t="s">
        <v>199</v>
      </c>
      <c r="K58" s="16"/>
      <c r="L58" s="15"/>
      <c r="M58" s="15"/>
      <c r="N58" s="13"/>
      <c r="O58" s="13"/>
      <c r="P58" s="13"/>
      <c r="Q58" s="13"/>
      <c r="R58" s="14"/>
      <c r="S58" s="13"/>
      <c r="T58" s="15" t="s">
        <v>118</v>
      </c>
    </row>
    <row r="59" ht="34.5">
      <c r="A59" s="15" t="s">
        <v>110</v>
      </c>
      <c r="B59" s="15" t="s">
        <v>111</v>
      </c>
      <c r="C59" s="15" t="s">
        <v>187</v>
      </c>
      <c r="D59" s="15" t="s">
        <v>192</v>
      </c>
      <c r="E59" s="15" t="s">
        <v>196</v>
      </c>
      <c r="F59" s="13" t="s">
        <v>197</v>
      </c>
      <c r="G59" s="15" t="s">
        <v>198</v>
      </c>
      <c r="H59" s="13"/>
      <c r="I59" s="13"/>
      <c r="J59" s="13" t="s">
        <v>200</v>
      </c>
      <c r="K59" s="16"/>
      <c r="L59" s="15"/>
      <c r="M59" s="15"/>
      <c r="N59" s="13"/>
      <c r="O59" s="13"/>
      <c r="P59" s="13"/>
      <c r="Q59" s="13"/>
      <c r="R59" s="14"/>
      <c r="S59" s="13"/>
      <c r="T59" s="15" t="s">
        <v>118</v>
      </c>
    </row>
    <row r="60" ht="34.5">
      <c r="A60" s="15" t="s">
        <v>110</v>
      </c>
      <c r="B60" s="15" t="s">
        <v>111</v>
      </c>
      <c r="C60" s="15" t="s">
        <v>187</v>
      </c>
      <c r="D60" s="15" t="s">
        <v>119</v>
      </c>
      <c r="E60" s="15" t="s">
        <v>196</v>
      </c>
      <c r="F60" s="13" t="s">
        <v>197</v>
      </c>
      <c r="G60" s="15" t="s">
        <v>198</v>
      </c>
      <c r="H60" s="13"/>
      <c r="I60" s="13"/>
      <c r="J60" s="13" t="s">
        <v>201</v>
      </c>
      <c r="K60" s="16">
        <v>-50000000</v>
      </c>
      <c r="L60" s="15" t="s">
        <v>142</v>
      </c>
      <c r="M60" s="15"/>
      <c r="N60" s="13"/>
      <c r="O60" s="13"/>
      <c r="P60" s="13"/>
      <c r="Q60" s="13"/>
      <c r="R60" s="14"/>
      <c r="S60" s="13"/>
      <c r="T60" s="15" t="s">
        <v>118</v>
      </c>
    </row>
    <row r="61" ht="34.5">
      <c r="A61" s="15" t="s">
        <v>110</v>
      </c>
      <c r="B61" s="15" t="s">
        <v>111</v>
      </c>
      <c r="C61" s="15" t="s">
        <v>202</v>
      </c>
      <c r="D61" s="15" t="s">
        <v>119</v>
      </c>
      <c r="E61" s="15" t="s">
        <v>196</v>
      </c>
      <c r="F61" s="13" t="s">
        <v>197</v>
      </c>
      <c r="G61" s="15" t="s">
        <v>198</v>
      </c>
      <c r="H61" s="13"/>
      <c r="I61" s="13"/>
      <c r="J61" s="13" t="s">
        <v>127</v>
      </c>
      <c r="K61" s="16"/>
      <c r="L61" s="15"/>
      <c r="M61" s="15"/>
      <c r="N61" s="13"/>
      <c r="O61" s="13"/>
      <c r="P61" s="13"/>
      <c r="Q61" s="13"/>
      <c r="R61" s="14"/>
      <c r="S61" s="13"/>
      <c r="T61" s="15" t="s">
        <v>118</v>
      </c>
    </row>
    <row r="62" ht="34.5">
      <c r="A62" s="15" t="s">
        <v>110</v>
      </c>
      <c r="B62" s="15" t="s">
        <v>111</v>
      </c>
      <c r="C62" s="15" t="s">
        <v>202</v>
      </c>
      <c r="D62" s="15" t="s">
        <v>119</v>
      </c>
      <c r="E62" s="15" t="s">
        <v>196</v>
      </c>
      <c r="F62" s="13" t="s">
        <v>197</v>
      </c>
      <c r="G62" s="15" t="s">
        <v>198</v>
      </c>
      <c r="H62" s="13"/>
      <c r="I62" s="13"/>
      <c r="J62" s="13" t="s">
        <v>128</v>
      </c>
      <c r="K62" s="16"/>
      <c r="L62" s="15"/>
      <c r="M62" s="15"/>
      <c r="N62" s="13"/>
      <c r="O62" s="13"/>
      <c r="P62" s="13"/>
      <c r="Q62" s="13"/>
      <c r="R62" s="14"/>
      <c r="S62" s="13"/>
      <c r="T62" s="15" t="s">
        <v>118</v>
      </c>
    </row>
    <row r="63" ht="34.5">
      <c r="A63" s="15" t="s">
        <v>110</v>
      </c>
      <c r="B63" s="15" t="s">
        <v>111</v>
      </c>
      <c r="C63" s="15" t="s">
        <v>202</v>
      </c>
      <c r="D63" s="15" t="s">
        <v>119</v>
      </c>
      <c r="E63" s="15" t="s">
        <v>196</v>
      </c>
      <c r="F63" s="13" t="s">
        <v>203</v>
      </c>
      <c r="G63" s="15" t="s">
        <v>198</v>
      </c>
      <c r="H63" s="13"/>
      <c r="I63" s="13"/>
      <c r="J63" s="13" t="s">
        <v>204</v>
      </c>
      <c r="K63" s="16">
        <v>198229</v>
      </c>
      <c r="L63" s="15" t="s">
        <v>142</v>
      </c>
      <c r="M63" s="15"/>
      <c r="N63" s="13"/>
      <c r="O63" s="13"/>
      <c r="P63" s="13"/>
      <c r="Q63" s="13"/>
      <c r="R63" s="14"/>
      <c r="S63" s="13"/>
      <c r="T63" s="15" t="s">
        <v>118</v>
      </c>
    </row>
    <row r="64" ht="34.5">
      <c r="A64" s="15" t="s">
        <v>110</v>
      </c>
      <c r="B64" s="15" t="s">
        <v>111</v>
      </c>
      <c r="C64" s="15" t="s">
        <v>202</v>
      </c>
      <c r="D64" s="15" t="s">
        <v>119</v>
      </c>
      <c r="E64" s="15" t="s">
        <v>196</v>
      </c>
      <c r="F64" s="13" t="s">
        <v>203</v>
      </c>
      <c r="G64" s="15" t="s">
        <v>198</v>
      </c>
      <c r="H64" s="13"/>
      <c r="I64" s="13"/>
      <c r="J64" s="13" t="s">
        <v>205</v>
      </c>
      <c r="K64" s="16"/>
      <c r="L64" s="15"/>
      <c r="M64" s="15"/>
      <c r="N64" s="13"/>
      <c r="O64" s="13"/>
      <c r="P64" s="13"/>
      <c r="Q64" s="13"/>
      <c r="R64" s="14"/>
      <c r="S64" s="13"/>
      <c r="T64" s="15" t="s">
        <v>118</v>
      </c>
    </row>
    <row r="65" ht="34.5">
      <c r="A65" s="15" t="s">
        <v>110</v>
      </c>
      <c r="B65" s="15" t="s">
        <v>111</v>
      </c>
      <c r="C65" s="15" t="s">
        <v>202</v>
      </c>
      <c r="D65" s="15" t="s">
        <v>119</v>
      </c>
      <c r="E65" s="15" t="s">
        <v>196</v>
      </c>
      <c r="F65" s="13" t="s">
        <v>203</v>
      </c>
      <c r="G65" s="15" t="s">
        <v>198</v>
      </c>
      <c r="H65" s="13"/>
      <c r="I65" s="13"/>
      <c r="J65" s="13" t="s">
        <v>206</v>
      </c>
      <c r="K65" s="16"/>
      <c r="L65" s="15"/>
      <c r="M65" s="15"/>
      <c r="N65" s="13"/>
      <c r="O65" s="13"/>
      <c r="P65" s="13"/>
      <c r="Q65" s="13"/>
      <c r="R65" s="14"/>
      <c r="S65" s="13"/>
      <c r="T65" s="15" t="s">
        <v>118</v>
      </c>
    </row>
    <row r="66" ht="34.5">
      <c r="A66" s="15" t="s">
        <v>110</v>
      </c>
      <c r="B66" s="15" t="s">
        <v>111</v>
      </c>
      <c r="C66" s="15" t="s">
        <v>202</v>
      </c>
      <c r="D66" s="15" t="s">
        <v>119</v>
      </c>
      <c r="E66" s="15" t="s">
        <v>196</v>
      </c>
      <c r="F66" s="13" t="s">
        <v>203</v>
      </c>
      <c r="G66" s="15" t="s">
        <v>198</v>
      </c>
      <c r="H66" s="13"/>
      <c r="I66" s="13"/>
      <c r="J66" s="13" t="s">
        <v>207</v>
      </c>
      <c r="K66" s="16">
        <v>1599335</v>
      </c>
      <c r="L66" s="15" t="s">
        <v>142</v>
      </c>
      <c r="M66" s="15"/>
      <c r="N66" s="13"/>
      <c r="O66" s="13"/>
      <c r="P66" s="13"/>
      <c r="Q66" s="13"/>
      <c r="R66" s="14"/>
      <c r="S66" s="13"/>
      <c r="T66" s="15" t="s">
        <v>118</v>
      </c>
    </row>
    <row r="67" ht="34.5">
      <c r="A67" s="15" t="s">
        <v>110</v>
      </c>
      <c r="B67" s="15" t="s">
        <v>111</v>
      </c>
      <c r="C67" s="15" t="s">
        <v>202</v>
      </c>
      <c r="D67" s="15" t="s">
        <v>119</v>
      </c>
      <c r="E67" s="15" t="s">
        <v>196</v>
      </c>
      <c r="F67" s="13" t="s">
        <v>203</v>
      </c>
      <c r="G67" s="15" t="s">
        <v>198</v>
      </c>
      <c r="H67" s="13"/>
      <c r="I67" s="13"/>
      <c r="J67" s="13" t="s">
        <v>208</v>
      </c>
      <c r="K67" s="16"/>
      <c r="L67" s="15"/>
      <c r="M67" s="15"/>
      <c r="N67" s="13"/>
      <c r="O67" s="13"/>
      <c r="P67" s="13"/>
      <c r="Q67" s="13"/>
      <c r="R67" s="14"/>
      <c r="S67" s="13"/>
      <c r="T67" s="15" t="s">
        <v>118</v>
      </c>
    </row>
    <row r="68" ht="34.5">
      <c r="A68" s="15" t="s">
        <v>110</v>
      </c>
      <c r="B68" s="15" t="s">
        <v>111</v>
      </c>
      <c r="C68" s="15" t="s">
        <v>202</v>
      </c>
      <c r="D68" s="15" t="s">
        <v>119</v>
      </c>
      <c r="E68" s="15" t="s">
        <v>196</v>
      </c>
      <c r="F68" s="13" t="s">
        <v>203</v>
      </c>
      <c r="G68" s="15" t="s">
        <v>198</v>
      </c>
      <c r="H68" s="13"/>
      <c r="I68" s="13"/>
      <c r="J68" s="13" t="s">
        <v>209</v>
      </c>
      <c r="K68" s="16"/>
      <c r="L68" s="15"/>
      <c r="M68" s="15"/>
      <c r="N68" s="13"/>
      <c r="O68" s="13"/>
      <c r="P68" s="13"/>
      <c r="Q68" s="13"/>
      <c r="R68" s="14"/>
      <c r="S68" s="13"/>
      <c r="T68" s="15" t="s">
        <v>118</v>
      </c>
    </row>
    <row r="69" ht="34.5">
      <c r="A69" s="15" t="s">
        <v>110</v>
      </c>
      <c r="B69" s="15" t="s">
        <v>111</v>
      </c>
      <c r="C69" s="15" t="s">
        <v>202</v>
      </c>
      <c r="D69" s="15" t="s">
        <v>210</v>
      </c>
      <c r="E69" s="15" t="s">
        <v>196</v>
      </c>
      <c r="F69" s="13" t="s">
        <v>203</v>
      </c>
      <c r="G69" s="15" t="s">
        <v>198</v>
      </c>
      <c r="H69" s="13"/>
      <c r="I69" s="13"/>
      <c r="J69" s="13" t="s">
        <v>211</v>
      </c>
      <c r="K69" s="16"/>
      <c r="L69" s="15"/>
      <c r="M69" s="15"/>
      <c r="N69" s="13"/>
      <c r="O69" s="13"/>
      <c r="P69" s="13"/>
      <c r="Q69" s="13"/>
      <c r="R69" s="14"/>
      <c r="S69" s="13"/>
      <c r="T69" s="15" t="s">
        <v>118</v>
      </c>
    </row>
    <row r="70" ht="34.5">
      <c r="A70" s="15" t="s">
        <v>110</v>
      </c>
      <c r="B70" s="15" t="s">
        <v>111</v>
      </c>
      <c r="C70" s="15" t="s">
        <v>202</v>
      </c>
      <c r="D70" s="15" t="s">
        <v>119</v>
      </c>
      <c r="E70" s="15" t="s">
        <v>196</v>
      </c>
      <c r="F70" s="13" t="s">
        <v>203</v>
      </c>
      <c r="G70" s="15" t="s">
        <v>198</v>
      </c>
      <c r="H70" s="13"/>
      <c r="I70" s="13"/>
      <c r="J70" s="13" t="s">
        <v>212</v>
      </c>
      <c r="K70" s="16">
        <v>1222238</v>
      </c>
      <c r="L70" s="15" t="s">
        <v>142</v>
      </c>
      <c r="M70" s="15"/>
      <c r="N70" s="13"/>
      <c r="O70" s="13"/>
      <c r="P70" s="13"/>
      <c r="Q70" s="13"/>
      <c r="R70" s="14"/>
      <c r="S70" s="13"/>
      <c r="T70" s="15" t="s">
        <v>118</v>
      </c>
    </row>
    <row r="71" ht="34.5">
      <c r="A71" s="15" t="s">
        <v>110</v>
      </c>
      <c r="B71" s="15" t="s">
        <v>111</v>
      </c>
      <c r="C71" s="15" t="s">
        <v>213</v>
      </c>
      <c r="D71" s="15" t="s">
        <v>119</v>
      </c>
      <c r="E71" s="15" t="s">
        <v>196</v>
      </c>
      <c r="F71" s="13" t="s">
        <v>203</v>
      </c>
      <c r="G71" s="15" t="s">
        <v>198</v>
      </c>
      <c r="H71" s="13"/>
      <c r="I71" s="13"/>
      <c r="J71" s="13" t="s">
        <v>214</v>
      </c>
      <c r="K71" s="16"/>
      <c r="L71" s="15"/>
      <c r="M71" s="15"/>
      <c r="N71" s="13"/>
      <c r="O71" s="13"/>
      <c r="P71" s="13"/>
      <c r="Q71" s="13"/>
      <c r="R71" s="14"/>
      <c r="S71" s="13"/>
      <c r="T71" s="15" t="s">
        <v>118</v>
      </c>
    </row>
    <row r="72" ht="34.5">
      <c r="A72" s="15" t="s">
        <v>110</v>
      </c>
      <c r="B72" s="15" t="s">
        <v>111</v>
      </c>
      <c r="C72" s="15" t="s">
        <v>213</v>
      </c>
      <c r="D72" s="15" t="s">
        <v>119</v>
      </c>
      <c r="E72" s="15" t="s">
        <v>196</v>
      </c>
      <c r="F72" s="13" t="s">
        <v>203</v>
      </c>
      <c r="G72" s="15" t="s">
        <v>198</v>
      </c>
      <c r="H72" s="13"/>
      <c r="I72" s="13"/>
      <c r="J72" s="13" t="s">
        <v>215</v>
      </c>
      <c r="K72" s="16"/>
      <c r="L72" s="15"/>
      <c r="M72" s="15"/>
      <c r="N72" s="13"/>
      <c r="O72" s="13"/>
      <c r="P72" s="13"/>
      <c r="Q72" s="13"/>
      <c r="R72" s="14"/>
      <c r="S72" s="13"/>
      <c r="T72" s="15" t="s">
        <v>118</v>
      </c>
    </row>
    <row r="73" ht="34.5">
      <c r="A73" s="15" t="s">
        <v>110</v>
      </c>
      <c r="B73" s="15" t="s">
        <v>111</v>
      </c>
      <c r="C73" s="15" t="s">
        <v>213</v>
      </c>
      <c r="D73" s="15" t="s">
        <v>119</v>
      </c>
      <c r="E73" s="15" t="s">
        <v>196</v>
      </c>
      <c r="F73" s="13" t="s">
        <v>203</v>
      </c>
      <c r="G73" s="15" t="s">
        <v>198</v>
      </c>
      <c r="H73" s="13"/>
      <c r="I73" s="13"/>
      <c r="J73" s="13" t="s">
        <v>216</v>
      </c>
      <c r="K73" s="16"/>
      <c r="L73" s="15"/>
      <c r="M73" s="15"/>
      <c r="N73" s="13"/>
      <c r="O73" s="13"/>
      <c r="P73" s="13"/>
      <c r="Q73" s="13"/>
      <c r="R73" s="14"/>
      <c r="S73" s="13"/>
      <c r="T73" s="15" t="s">
        <v>118</v>
      </c>
    </row>
    <row r="74" ht="34.5">
      <c r="A74" s="15" t="s">
        <v>110</v>
      </c>
      <c r="B74" s="15" t="s">
        <v>111</v>
      </c>
      <c r="C74" s="15" t="s">
        <v>213</v>
      </c>
      <c r="D74" s="15" t="s">
        <v>119</v>
      </c>
      <c r="E74" s="15" t="s">
        <v>196</v>
      </c>
      <c r="F74" s="13" t="s">
        <v>203</v>
      </c>
      <c r="G74" s="15" t="s">
        <v>198</v>
      </c>
      <c r="H74" s="13"/>
      <c r="I74" s="13"/>
      <c r="J74" s="13" t="s">
        <v>217</v>
      </c>
      <c r="K74" s="16"/>
      <c r="L74" s="15"/>
      <c r="M74" s="15"/>
      <c r="N74" s="13"/>
      <c r="O74" s="13"/>
      <c r="P74" s="13"/>
      <c r="Q74" s="13"/>
      <c r="R74" s="14"/>
      <c r="S74" s="13"/>
      <c r="T74" s="15" t="s">
        <v>118</v>
      </c>
    </row>
    <row r="75" ht="34.5">
      <c r="A75" s="15" t="s">
        <v>110</v>
      </c>
      <c r="B75" s="15" t="s">
        <v>111</v>
      </c>
      <c r="C75" s="15" t="s">
        <v>213</v>
      </c>
      <c r="D75" s="15" t="s">
        <v>119</v>
      </c>
      <c r="E75" s="15" t="s">
        <v>196</v>
      </c>
      <c r="F75" s="13" t="s">
        <v>203</v>
      </c>
      <c r="G75" s="15" t="s">
        <v>198</v>
      </c>
      <c r="H75" s="13"/>
      <c r="I75" s="13"/>
      <c r="J75" s="13" t="s">
        <v>218</v>
      </c>
      <c r="K75" s="16"/>
      <c r="L75" s="15"/>
      <c r="M75" s="15"/>
      <c r="N75" s="13"/>
      <c r="O75" s="13"/>
      <c r="P75" s="13"/>
      <c r="Q75" s="13"/>
      <c r="R75" s="14"/>
      <c r="S75" s="13"/>
      <c r="T75" s="15" t="s">
        <v>118</v>
      </c>
    </row>
    <row r="76" ht="34.5">
      <c r="A76" s="15" t="s">
        <v>110</v>
      </c>
      <c r="B76" s="15" t="s">
        <v>111</v>
      </c>
      <c r="C76" s="15" t="s">
        <v>213</v>
      </c>
      <c r="D76" s="15" t="s">
        <v>119</v>
      </c>
      <c r="E76" s="15" t="s">
        <v>219</v>
      </c>
      <c r="F76" s="13" t="s">
        <v>220</v>
      </c>
      <c r="G76" s="15" t="s">
        <v>221</v>
      </c>
      <c r="H76" s="13"/>
      <c r="I76" s="13"/>
      <c r="J76" s="13" t="s">
        <v>222</v>
      </c>
      <c r="K76" s="16"/>
      <c r="L76" s="15"/>
      <c r="M76" s="15"/>
      <c r="N76" s="13"/>
      <c r="O76" s="13"/>
      <c r="P76" s="13"/>
      <c r="Q76" s="13"/>
      <c r="R76" s="14"/>
      <c r="S76" s="13"/>
      <c r="T76" s="15" t="s">
        <v>118</v>
      </c>
    </row>
    <row r="77" ht="34.5">
      <c r="A77" s="15" t="s">
        <v>110</v>
      </c>
      <c r="B77" s="15" t="s">
        <v>111</v>
      </c>
      <c r="C77" s="15" t="s">
        <v>213</v>
      </c>
      <c r="D77" s="15" t="s">
        <v>223</v>
      </c>
      <c r="E77" s="15" t="s">
        <v>219</v>
      </c>
      <c r="F77" s="13" t="s">
        <v>220</v>
      </c>
      <c r="G77" s="15" t="s">
        <v>221</v>
      </c>
      <c r="H77" s="13"/>
      <c r="I77" s="13"/>
      <c r="J77" s="13" t="s">
        <v>224</v>
      </c>
      <c r="K77" s="16"/>
      <c r="L77" s="15"/>
      <c r="M77" s="15"/>
      <c r="N77" s="13"/>
      <c r="O77" s="13"/>
      <c r="P77" s="13"/>
      <c r="Q77" s="13"/>
      <c r="R77" s="14"/>
      <c r="S77" s="13"/>
      <c r="T77" s="15" t="s">
        <v>118</v>
      </c>
    </row>
    <row r="78" ht="34.5">
      <c r="A78" s="15" t="s">
        <v>110</v>
      </c>
      <c r="B78" s="15" t="s">
        <v>111</v>
      </c>
      <c r="C78" s="15" t="s">
        <v>225</v>
      </c>
      <c r="D78" s="15" t="s">
        <v>119</v>
      </c>
      <c r="E78" s="15" t="s">
        <v>219</v>
      </c>
      <c r="F78" s="13" t="s">
        <v>220</v>
      </c>
      <c r="G78" s="15" t="s">
        <v>221</v>
      </c>
      <c r="H78" s="13"/>
      <c r="I78" s="13"/>
      <c r="J78" s="13" t="s">
        <v>127</v>
      </c>
      <c r="K78" s="16"/>
      <c r="L78" s="15"/>
      <c r="M78" s="15"/>
      <c r="N78" s="13"/>
      <c r="O78" s="13"/>
      <c r="P78" s="13"/>
      <c r="Q78" s="13"/>
      <c r="R78" s="14"/>
      <c r="S78" s="13"/>
      <c r="T78" s="15" t="s">
        <v>118</v>
      </c>
    </row>
    <row r="79" ht="34.5">
      <c r="A79" s="15" t="s">
        <v>110</v>
      </c>
      <c r="B79" s="15" t="s">
        <v>111</v>
      </c>
      <c r="C79" s="15" t="s">
        <v>225</v>
      </c>
      <c r="D79" s="15" t="s">
        <v>119</v>
      </c>
      <c r="E79" s="15" t="s">
        <v>219</v>
      </c>
      <c r="F79" s="13" t="s">
        <v>220</v>
      </c>
      <c r="G79" s="15" t="s">
        <v>221</v>
      </c>
      <c r="H79" s="13"/>
      <c r="I79" s="13"/>
      <c r="J79" s="13" t="s">
        <v>128</v>
      </c>
      <c r="K79" s="16"/>
      <c r="L79" s="15"/>
      <c r="M79" s="15"/>
      <c r="N79" s="13"/>
      <c r="O79" s="13"/>
      <c r="P79" s="13"/>
      <c r="Q79" s="13"/>
      <c r="R79" s="14"/>
      <c r="S79" s="13"/>
      <c r="T79" s="15" t="s">
        <v>118</v>
      </c>
    </row>
    <row r="80" ht="34.5">
      <c r="A80" s="15" t="s">
        <v>110</v>
      </c>
      <c r="B80" s="15" t="s">
        <v>111</v>
      </c>
      <c r="C80" s="15" t="s">
        <v>225</v>
      </c>
      <c r="D80" s="15" t="s">
        <v>119</v>
      </c>
      <c r="E80" s="15" t="s">
        <v>219</v>
      </c>
      <c r="F80" s="13" t="s">
        <v>226</v>
      </c>
      <c r="G80" s="15" t="s">
        <v>221</v>
      </c>
      <c r="H80" s="13"/>
      <c r="I80" s="13"/>
      <c r="J80" s="13" t="s">
        <v>227</v>
      </c>
      <c r="K80" s="16"/>
      <c r="L80" s="15"/>
      <c r="M80" s="15"/>
      <c r="N80" s="13"/>
      <c r="O80" s="13"/>
      <c r="P80" s="13"/>
      <c r="Q80" s="13"/>
      <c r="R80" s="14"/>
      <c r="S80" s="13"/>
      <c r="T80" s="15" t="s">
        <v>118</v>
      </c>
    </row>
    <row r="81" ht="34.5">
      <c r="A81" s="15" t="s">
        <v>110</v>
      </c>
      <c r="B81" s="15" t="s">
        <v>111</v>
      </c>
      <c r="C81" s="15" t="s">
        <v>225</v>
      </c>
      <c r="D81" s="15" t="s">
        <v>228</v>
      </c>
      <c r="E81" s="15" t="s">
        <v>219</v>
      </c>
      <c r="F81" s="13" t="s">
        <v>226</v>
      </c>
      <c r="G81" s="15" t="s">
        <v>221</v>
      </c>
      <c r="H81" s="13"/>
      <c r="I81" s="13"/>
      <c r="J81" s="13" t="s">
        <v>229</v>
      </c>
      <c r="K81" s="16"/>
      <c r="L81" s="15"/>
      <c r="M81" s="15"/>
      <c r="N81" s="13"/>
      <c r="O81" s="13"/>
      <c r="P81" s="13"/>
      <c r="Q81" s="13"/>
      <c r="R81" s="14"/>
      <c r="S81" s="13"/>
      <c r="T81" s="15" t="s">
        <v>118</v>
      </c>
    </row>
    <row r="82" ht="34.5">
      <c r="A82" s="15" t="s">
        <v>110</v>
      </c>
      <c r="B82" s="15" t="s">
        <v>111</v>
      </c>
      <c r="C82" s="15" t="s">
        <v>225</v>
      </c>
      <c r="D82" s="15" t="s">
        <v>119</v>
      </c>
      <c r="E82" s="15" t="s">
        <v>219</v>
      </c>
      <c r="F82" s="13" t="s">
        <v>226</v>
      </c>
      <c r="G82" s="15" t="s">
        <v>221</v>
      </c>
      <c r="H82" s="13"/>
      <c r="I82" s="13"/>
      <c r="J82" s="13" t="s">
        <v>230</v>
      </c>
      <c r="K82" s="16"/>
      <c r="L82" s="15"/>
      <c r="M82" s="15"/>
      <c r="N82" s="13"/>
      <c r="O82" s="13"/>
      <c r="P82" s="13"/>
      <c r="Q82" s="13"/>
      <c r="R82" s="14"/>
      <c r="S82" s="13"/>
      <c r="T82" s="15" t="s">
        <v>118</v>
      </c>
    </row>
    <row r="83" ht="34.5">
      <c r="A83" s="15" t="s">
        <v>110</v>
      </c>
      <c r="B83" s="15" t="s">
        <v>111</v>
      </c>
      <c r="C83" s="15" t="s">
        <v>225</v>
      </c>
      <c r="D83" s="15" t="s">
        <v>119</v>
      </c>
      <c r="E83" s="15" t="s">
        <v>219</v>
      </c>
      <c r="F83" s="13" t="s">
        <v>226</v>
      </c>
      <c r="G83" s="15" t="s">
        <v>221</v>
      </c>
      <c r="H83" s="13"/>
      <c r="I83" s="13"/>
      <c r="J83" s="13" t="s">
        <v>231</v>
      </c>
      <c r="K83" s="16"/>
      <c r="L83" s="15"/>
      <c r="M83" s="15"/>
      <c r="N83" s="13"/>
      <c r="O83" s="13"/>
      <c r="P83" s="13"/>
      <c r="Q83" s="13"/>
      <c r="R83" s="14"/>
      <c r="S83" s="13"/>
      <c r="T83" s="15" t="s">
        <v>118</v>
      </c>
    </row>
    <row r="84" ht="34.5">
      <c r="A84" s="15" t="s">
        <v>110</v>
      </c>
      <c r="B84" s="15" t="s">
        <v>111</v>
      </c>
      <c r="C84" s="15" t="s">
        <v>225</v>
      </c>
      <c r="D84" s="15" t="s">
        <v>228</v>
      </c>
      <c r="E84" s="15" t="s">
        <v>219</v>
      </c>
      <c r="F84" s="13" t="s">
        <v>226</v>
      </c>
      <c r="G84" s="15" t="s">
        <v>221</v>
      </c>
      <c r="H84" s="13"/>
      <c r="I84" s="13"/>
      <c r="J84" s="13" t="s">
        <v>232</v>
      </c>
      <c r="K84" s="16"/>
      <c r="L84" s="15"/>
      <c r="M84" s="15"/>
      <c r="N84" s="13"/>
      <c r="O84" s="13"/>
      <c r="P84" s="13"/>
      <c r="Q84" s="13"/>
      <c r="R84" s="14"/>
      <c r="S84" s="13"/>
      <c r="T84" s="15" t="s">
        <v>118</v>
      </c>
    </row>
    <row r="85" ht="34.5">
      <c r="A85" s="15" t="s">
        <v>110</v>
      </c>
      <c r="B85" s="15" t="s">
        <v>111</v>
      </c>
      <c r="C85" s="15" t="s">
        <v>233</v>
      </c>
      <c r="D85" s="15" t="s">
        <v>119</v>
      </c>
      <c r="E85" s="15" t="s">
        <v>219</v>
      </c>
      <c r="F85" s="13" t="s">
        <v>226</v>
      </c>
      <c r="G85" s="15" t="s">
        <v>221</v>
      </c>
      <c r="H85" s="13"/>
      <c r="I85" s="13"/>
      <c r="J85" s="13" t="s">
        <v>234</v>
      </c>
      <c r="K85" s="16"/>
      <c r="L85" s="15"/>
      <c r="M85" s="15"/>
      <c r="N85" s="13"/>
      <c r="O85" s="13"/>
      <c r="P85" s="13"/>
      <c r="Q85" s="13"/>
      <c r="R85" s="14"/>
      <c r="S85" s="13"/>
      <c r="T85" s="15" t="s">
        <v>118</v>
      </c>
    </row>
    <row r="86" ht="34.5">
      <c r="A86" s="15" t="s">
        <v>110</v>
      </c>
      <c r="B86" s="15" t="s">
        <v>111</v>
      </c>
      <c r="C86" s="15" t="s">
        <v>233</v>
      </c>
      <c r="D86" s="15" t="s">
        <v>119</v>
      </c>
      <c r="E86" s="15" t="s">
        <v>219</v>
      </c>
      <c r="F86" s="13" t="s">
        <v>226</v>
      </c>
      <c r="G86" s="15" t="s">
        <v>221</v>
      </c>
      <c r="H86" s="13"/>
      <c r="I86" s="13"/>
      <c r="J86" s="13" t="s">
        <v>235</v>
      </c>
      <c r="K86" s="16"/>
      <c r="L86" s="15"/>
      <c r="M86" s="15"/>
      <c r="N86" s="13"/>
      <c r="O86" s="13"/>
      <c r="P86" s="13"/>
      <c r="Q86" s="13"/>
      <c r="R86" s="14"/>
      <c r="S86" s="13"/>
      <c r="T86" s="15" t="s">
        <v>118</v>
      </c>
    </row>
    <row r="87" ht="34.5">
      <c r="A87" s="15" t="s">
        <v>110</v>
      </c>
      <c r="B87" s="15" t="s">
        <v>111</v>
      </c>
      <c r="C87" s="15" t="s">
        <v>233</v>
      </c>
      <c r="D87" s="15" t="s">
        <v>119</v>
      </c>
      <c r="E87" s="15" t="s">
        <v>219</v>
      </c>
      <c r="F87" s="13" t="s">
        <v>226</v>
      </c>
      <c r="G87" s="15" t="s">
        <v>221</v>
      </c>
      <c r="H87" s="13"/>
      <c r="I87" s="13"/>
      <c r="J87" s="13" t="s">
        <v>236</v>
      </c>
      <c r="K87" s="16"/>
      <c r="L87" s="15"/>
      <c r="M87" s="15"/>
      <c r="N87" s="13"/>
      <c r="O87" s="13"/>
      <c r="P87" s="13"/>
      <c r="Q87" s="13"/>
      <c r="R87" s="14"/>
      <c r="S87" s="13"/>
      <c r="T87" s="15" t="s">
        <v>118</v>
      </c>
    </row>
    <row r="88" ht="34.5">
      <c r="A88" s="15" t="s">
        <v>110</v>
      </c>
      <c r="B88" s="15" t="s">
        <v>111</v>
      </c>
      <c r="C88" s="15" t="s">
        <v>233</v>
      </c>
      <c r="D88" s="15" t="s">
        <v>119</v>
      </c>
      <c r="E88" s="15" t="s">
        <v>219</v>
      </c>
      <c r="F88" s="13" t="s">
        <v>226</v>
      </c>
      <c r="G88" s="15" t="s">
        <v>221</v>
      </c>
      <c r="H88" s="13"/>
      <c r="I88" s="13"/>
      <c r="J88" s="13" t="s">
        <v>237</v>
      </c>
      <c r="K88" s="16"/>
      <c r="L88" s="15"/>
      <c r="M88" s="15"/>
      <c r="N88" s="13"/>
      <c r="O88" s="13"/>
      <c r="P88" s="13"/>
      <c r="Q88" s="13"/>
      <c r="R88" s="14"/>
      <c r="S88" s="13"/>
      <c r="T88" s="15" t="s">
        <v>118</v>
      </c>
    </row>
    <row r="89" ht="34.5">
      <c r="A89" s="15" t="s">
        <v>110</v>
      </c>
      <c r="B89" s="15" t="s">
        <v>111</v>
      </c>
      <c r="C89" s="15" t="s">
        <v>233</v>
      </c>
      <c r="D89" s="15" t="s">
        <v>119</v>
      </c>
      <c r="E89" s="15" t="s">
        <v>219</v>
      </c>
      <c r="F89" s="13" t="s">
        <v>226</v>
      </c>
      <c r="G89" s="15" t="s">
        <v>221</v>
      </c>
      <c r="H89" s="13"/>
      <c r="I89" s="13"/>
      <c r="J89" s="13" t="s">
        <v>238</v>
      </c>
      <c r="K89" s="16"/>
      <c r="L89" s="15"/>
      <c r="M89" s="15"/>
      <c r="N89" s="13"/>
      <c r="O89" s="13"/>
      <c r="P89" s="13"/>
      <c r="Q89" s="13"/>
      <c r="R89" s="14"/>
      <c r="S89" s="13"/>
      <c r="T89" s="15" t="s">
        <v>118</v>
      </c>
    </row>
    <row r="90" ht="34.5">
      <c r="A90" s="15" t="s">
        <v>110</v>
      </c>
      <c r="B90" s="15" t="s">
        <v>111</v>
      </c>
      <c r="C90" s="15" t="s">
        <v>239</v>
      </c>
      <c r="D90" s="15" t="s">
        <v>119</v>
      </c>
      <c r="E90" s="15" t="s">
        <v>219</v>
      </c>
      <c r="F90" s="13" t="s">
        <v>226</v>
      </c>
      <c r="G90" s="15" t="s">
        <v>221</v>
      </c>
      <c r="H90" s="13"/>
      <c r="I90" s="13"/>
      <c r="J90" s="13" t="s">
        <v>240</v>
      </c>
      <c r="K90" s="16"/>
      <c r="L90" s="15"/>
      <c r="M90" s="15"/>
      <c r="N90" s="13"/>
      <c r="O90" s="13"/>
      <c r="P90" s="13"/>
      <c r="Q90" s="13"/>
      <c r="R90" s="14"/>
      <c r="S90" s="13"/>
      <c r="T90" s="15" t="s">
        <v>118</v>
      </c>
    </row>
    <row r="91" ht="34.5">
      <c r="A91" s="15" t="s">
        <v>110</v>
      </c>
      <c r="B91" s="15" t="s">
        <v>111</v>
      </c>
      <c r="C91" s="15" t="s">
        <v>239</v>
      </c>
      <c r="D91" s="15" t="s">
        <v>119</v>
      </c>
      <c r="E91" s="15" t="s">
        <v>219</v>
      </c>
      <c r="F91" s="13" t="s">
        <v>226</v>
      </c>
      <c r="G91" s="15" t="s">
        <v>221</v>
      </c>
      <c r="H91" s="13"/>
      <c r="I91" s="13"/>
      <c r="J91" s="13" t="s">
        <v>241</v>
      </c>
      <c r="K91" s="16"/>
      <c r="L91" s="15"/>
      <c r="M91" s="15"/>
      <c r="N91" s="13"/>
      <c r="O91" s="13"/>
      <c r="P91" s="13"/>
      <c r="Q91" s="13"/>
      <c r="R91" s="14"/>
      <c r="S91" s="13"/>
      <c r="T91" s="15" t="s">
        <v>118</v>
      </c>
    </row>
    <row r="92" ht="34.5">
      <c r="A92" s="15" t="s">
        <v>110</v>
      </c>
      <c r="B92" s="15" t="s">
        <v>111</v>
      </c>
      <c r="C92" s="15" t="s">
        <v>239</v>
      </c>
      <c r="D92" s="15" t="s">
        <v>119</v>
      </c>
      <c r="E92" s="15" t="s">
        <v>219</v>
      </c>
      <c r="F92" s="13" t="s">
        <v>226</v>
      </c>
      <c r="G92" s="15" t="s">
        <v>221</v>
      </c>
      <c r="H92" s="13"/>
      <c r="I92" s="13"/>
      <c r="J92" s="13" t="s">
        <v>242</v>
      </c>
      <c r="K92" s="16">
        <v>80000000</v>
      </c>
      <c r="L92" s="15" t="s">
        <v>142</v>
      </c>
      <c r="M92" s="15" t="s">
        <v>243</v>
      </c>
      <c r="N92" s="13"/>
      <c r="O92" s="13"/>
      <c r="P92" s="13"/>
      <c r="Q92" s="13"/>
      <c r="R92" s="14"/>
      <c r="S92" s="13"/>
      <c r="T92" s="15" t="s">
        <v>118</v>
      </c>
    </row>
    <row r="93" ht="34.5">
      <c r="A93" s="15" t="s">
        <v>110</v>
      </c>
      <c r="B93" s="15" t="s">
        <v>111</v>
      </c>
      <c r="C93" s="15" t="s">
        <v>239</v>
      </c>
      <c r="D93" s="15" t="s">
        <v>119</v>
      </c>
      <c r="E93" s="15" t="s">
        <v>219</v>
      </c>
      <c r="F93" s="13" t="s">
        <v>226</v>
      </c>
      <c r="G93" s="15" t="s">
        <v>221</v>
      </c>
      <c r="H93" s="13"/>
      <c r="I93" s="13"/>
      <c r="J93" s="13" t="s">
        <v>244</v>
      </c>
      <c r="K93" s="16"/>
      <c r="L93" s="15"/>
      <c r="M93" s="15"/>
      <c r="N93" s="13"/>
      <c r="O93" s="13"/>
      <c r="P93" s="13"/>
      <c r="Q93" s="13"/>
      <c r="R93" s="14"/>
      <c r="S93" s="13"/>
      <c r="T93" s="15" t="s">
        <v>118</v>
      </c>
    </row>
    <row r="94" ht="34.5">
      <c r="A94" s="15" t="s">
        <v>110</v>
      </c>
      <c r="B94" s="15" t="s">
        <v>111</v>
      </c>
      <c r="C94" s="15" t="s">
        <v>239</v>
      </c>
      <c r="D94" s="15" t="s">
        <v>245</v>
      </c>
      <c r="E94" s="15" t="s">
        <v>219</v>
      </c>
      <c r="F94" s="13" t="s">
        <v>226</v>
      </c>
      <c r="G94" s="15" t="s">
        <v>221</v>
      </c>
      <c r="H94" s="13"/>
      <c r="I94" s="13"/>
      <c r="J94" s="13" t="s">
        <v>246</v>
      </c>
      <c r="K94" s="16"/>
      <c r="L94" s="15"/>
      <c r="M94" s="15"/>
      <c r="N94" s="13"/>
      <c r="O94" s="13"/>
      <c r="P94" s="13"/>
      <c r="Q94" s="13"/>
      <c r="R94" s="14"/>
      <c r="S94" s="13"/>
      <c r="T94" s="15" t="s">
        <v>118</v>
      </c>
    </row>
    <row r="95" ht="34.5">
      <c r="A95" s="15" t="s">
        <v>110</v>
      </c>
      <c r="B95" s="15" t="s">
        <v>111</v>
      </c>
      <c r="C95" s="15" t="s">
        <v>239</v>
      </c>
      <c r="D95" s="15" t="s">
        <v>119</v>
      </c>
      <c r="E95" s="15" t="s">
        <v>219</v>
      </c>
      <c r="F95" s="13" t="s">
        <v>226</v>
      </c>
      <c r="G95" s="15" t="s">
        <v>221</v>
      </c>
      <c r="H95" s="13"/>
      <c r="I95" s="13"/>
      <c r="J95" s="13" t="s">
        <v>247</v>
      </c>
      <c r="K95" s="16"/>
      <c r="L95" s="15"/>
      <c r="M95" s="15"/>
      <c r="N95" s="13"/>
      <c r="O95" s="13"/>
      <c r="P95" s="13"/>
      <c r="Q95" s="13"/>
      <c r="R95" s="14"/>
      <c r="S95" s="13"/>
      <c r="T95" s="15" t="s">
        <v>118</v>
      </c>
    </row>
    <row r="96" ht="34.5">
      <c r="A96" s="15" t="s">
        <v>110</v>
      </c>
      <c r="B96" s="15" t="s">
        <v>111</v>
      </c>
      <c r="C96" s="15" t="s">
        <v>248</v>
      </c>
      <c r="D96" s="15" t="s">
        <v>119</v>
      </c>
      <c r="E96" s="15" t="s">
        <v>219</v>
      </c>
      <c r="F96" s="13" t="s">
        <v>226</v>
      </c>
      <c r="G96" s="15" t="s">
        <v>221</v>
      </c>
      <c r="H96" s="13"/>
      <c r="I96" s="13"/>
      <c r="J96" s="13" t="s">
        <v>134</v>
      </c>
      <c r="K96" s="16"/>
      <c r="L96" s="15"/>
      <c r="M96" s="15"/>
      <c r="N96" s="13"/>
      <c r="O96" s="13"/>
      <c r="P96" s="13"/>
      <c r="Q96" s="13"/>
      <c r="R96" s="14"/>
      <c r="S96" s="13"/>
      <c r="T96" s="15" t="s">
        <v>118</v>
      </c>
    </row>
    <row r="97" ht="34.5">
      <c r="A97" s="15" t="s">
        <v>110</v>
      </c>
      <c r="B97" s="15" t="s">
        <v>111</v>
      </c>
      <c r="C97" s="15" t="s">
        <v>248</v>
      </c>
      <c r="D97" s="15" t="s">
        <v>119</v>
      </c>
      <c r="E97" s="15" t="s">
        <v>219</v>
      </c>
      <c r="F97" s="13" t="s">
        <v>226</v>
      </c>
      <c r="G97" s="15" t="s">
        <v>221</v>
      </c>
      <c r="H97" s="13"/>
      <c r="I97" s="13"/>
      <c r="J97" s="13" t="s">
        <v>249</v>
      </c>
      <c r="K97" s="16"/>
      <c r="L97" s="15"/>
      <c r="M97" s="15"/>
      <c r="N97" s="13"/>
      <c r="O97" s="13"/>
      <c r="P97" s="13"/>
      <c r="Q97" s="13"/>
      <c r="R97" s="14"/>
      <c r="S97" s="13"/>
      <c r="T97" s="15" t="s">
        <v>118</v>
      </c>
    </row>
    <row r="98" ht="34.5">
      <c r="A98" s="15" t="s">
        <v>110</v>
      </c>
      <c r="B98" s="15" t="s">
        <v>111</v>
      </c>
      <c r="C98" s="15" t="s">
        <v>248</v>
      </c>
      <c r="D98" s="15" t="s">
        <v>119</v>
      </c>
      <c r="E98" s="15" t="s">
        <v>219</v>
      </c>
      <c r="F98" s="13" t="s">
        <v>226</v>
      </c>
      <c r="G98" s="15" t="s">
        <v>221</v>
      </c>
      <c r="H98" s="13"/>
      <c r="I98" s="13"/>
      <c r="J98" s="13" t="s">
        <v>250</v>
      </c>
      <c r="K98" s="16"/>
      <c r="L98" s="15"/>
      <c r="M98" s="15"/>
      <c r="N98" s="13"/>
      <c r="O98" s="13"/>
      <c r="P98" s="13"/>
      <c r="Q98" s="13"/>
      <c r="R98" s="14"/>
      <c r="S98" s="13"/>
      <c r="T98" s="15" t="s">
        <v>118</v>
      </c>
    </row>
    <row r="99" ht="34.5">
      <c r="A99" s="15" t="s">
        <v>110</v>
      </c>
      <c r="B99" s="15" t="s">
        <v>111</v>
      </c>
      <c r="C99" s="15" t="s">
        <v>248</v>
      </c>
      <c r="D99" s="15" t="s">
        <v>251</v>
      </c>
      <c r="E99" s="15" t="s">
        <v>219</v>
      </c>
      <c r="F99" s="13" t="s">
        <v>226</v>
      </c>
      <c r="G99" s="15" t="s">
        <v>221</v>
      </c>
      <c r="H99" s="13"/>
      <c r="I99" s="13"/>
      <c r="J99" s="13" t="s">
        <v>252</v>
      </c>
      <c r="K99" s="16"/>
      <c r="L99" s="15"/>
      <c r="M99" s="15"/>
      <c r="N99" s="13"/>
      <c r="O99" s="13"/>
      <c r="P99" s="13"/>
      <c r="Q99" s="13"/>
      <c r="R99" s="14"/>
      <c r="S99" s="13"/>
      <c r="T99" s="15" t="s">
        <v>118</v>
      </c>
    </row>
    <row r="100" ht="34.5">
      <c r="A100" s="15" t="s">
        <v>110</v>
      </c>
      <c r="B100" s="15" t="s">
        <v>111</v>
      </c>
      <c r="C100" s="15" t="s">
        <v>248</v>
      </c>
      <c r="D100" s="15" t="s">
        <v>119</v>
      </c>
      <c r="E100" s="15" t="s">
        <v>219</v>
      </c>
      <c r="F100" s="13" t="s">
        <v>226</v>
      </c>
      <c r="G100" s="15" t="s">
        <v>221</v>
      </c>
      <c r="H100" s="13"/>
      <c r="I100" s="13"/>
      <c r="J100" s="13" t="s">
        <v>253</v>
      </c>
      <c r="K100" s="16">
        <v>63304195</v>
      </c>
      <c r="L100" s="15" t="s">
        <v>142</v>
      </c>
      <c r="M100" s="15"/>
      <c r="N100" s="13"/>
      <c r="O100" s="13"/>
      <c r="P100" s="13"/>
      <c r="Q100" s="13"/>
      <c r="R100" s="14"/>
      <c r="S100" s="13"/>
      <c r="T100" s="15" t="s">
        <v>118</v>
      </c>
    </row>
    <row r="101" ht="34.5">
      <c r="A101" s="15" t="s">
        <v>110</v>
      </c>
      <c r="B101" s="15" t="s">
        <v>111</v>
      </c>
      <c r="C101" s="15" t="s">
        <v>248</v>
      </c>
      <c r="D101" s="15" t="s">
        <v>119</v>
      </c>
      <c r="E101" s="15" t="s">
        <v>219</v>
      </c>
      <c r="F101" s="13" t="s">
        <v>226</v>
      </c>
      <c r="G101" s="15" t="s">
        <v>221</v>
      </c>
      <c r="H101" s="13"/>
      <c r="I101" s="13"/>
      <c r="J101" s="13" t="s">
        <v>254</v>
      </c>
      <c r="K101" s="16"/>
      <c r="L101" s="15"/>
      <c r="M101" s="15"/>
      <c r="N101" s="13"/>
      <c r="O101" s="13"/>
      <c r="P101" s="13"/>
      <c r="Q101" s="13"/>
      <c r="R101" s="14"/>
      <c r="S101" s="13"/>
      <c r="T101" s="15" t="s">
        <v>118</v>
      </c>
    </row>
    <row r="102" ht="34.5">
      <c r="A102" s="15" t="s">
        <v>110</v>
      </c>
      <c r="B102" s="15" t="s">
        <v>111</v>
      </c>
      <c r="C102" s="15" t="s">
        <v>248</v>
      </c>
      <c r="D102" s="15" t="s">
        <v>119</v>
      </c>
      <c r="E102" s="15" t="s">
        <v>219</v>
      </c>
      <c r="F102" s="13" t="s">
        <v>226</v>
      </c>
      <c r="G102" s="15" t="s">
        <v>221</v>
      </c>
      <c r="H102" s="13"/>
      <c r="I102" s="13"/>
      <c r="J102" s="13" t="s">
        <v>255</v>
      </c>
      <c r="K102" s="16"/>
      <c r="L102" s="15"/>
      <c r="M102" s="15"/>
      <c r="N102" s="13"/>
      <c r="O102" s="13"/>
      <c r="P102" s="13"/>
      <c r="Q102" s="13"/>
      <c r="R102" s="14"/>
      <c r="S102" s="13"/>
      <c r="T102" s="15" t="s">
        <v>118</v>
      </c>
    </row>
    <row r="103" ht="34.5">
      <c r="A103" s="15" t="s">
        <v>110</v>
      </c>
      <c r="B103" s="15" t="s">
        <v>111</v>
      </c>
      <c r="C103" s="15" t="s">
        <v>256</v>
      </c>
      <c r="D103" s="15" t="s">
        <v>119</v>
      </c>
      <c r="E103" s="15" t="s">
        <v>257</v>
      </c>
      <c r="F103" s="13" t="s">
        <v>258</v>
      </c>
      <c r="G103" s="15" t="s">
        <v>221</v>
      </c>
      <c r="H103" s="13"/>
      <c r="I103" s="13"/>
      <c r="J103" s="13" t="s">
        <v>259</v>
      </c>
      <c r="K103" s="16"/>
      <c r="L103" s="15"/>
      <c r="M103" s="15"/>
      <c r="N103" s="13"/>
      <c r="O103" s="13"/>
      <c r="P103" s="13"/>
      <c r="Q103" s="13"/>
      <c r="R103" s="14"/>
      <c r="S103" s="13"/>
      <c r="T103" s="15" t="s">
        <v>118</v>
      </c>
    </row>
    <row r="104" ht="34.5">
      <c r="A104" s="15" t="s">
        <v>110</v>
      </c>
      <c r="B104" s="15" t="s">
        <v>111</v>
      </c>
      <c r="C104" s="15" t="s">
        <v>256</v>
      </c>
      <c r="D104" s="15" t="s">
        <v>260</v>
      </c>
      <c r="E104" s="15" t="s">
        <v>257</v>
      </c>
      <c r="F104" s="13" t="s">
        <v>258</v>
      </c>
      <c r="G104" s="15" t="s">
        <v>221</v>
      </c>
      <c r="H104" s="13"/>
      <c r="I104" s="13"/>
      <c r="J104" s="13" t="s">
        <v>261</v>
      </c>
      <c r="K104" s="16"/>
      <c r="L104" s="15"/>
      <c r="M104" s="15"/>
      <c r="N104" s="13"/>
      <c r="O104" s="13"/>
      <c r="P104" s="13"/>
      <c r="Q104" s="13"/>
      <c r="R104" s="14"/>
      <c r="S104" s="13"/>
      <c r="T104" s="15" t="s">
        <v>118</v>
      </c>
    </row>
    <row r="105" ht="34.5">
      <c r="A105" s="15" t="s">
        <v>110</v>
      </c>
      <c r="B105" s="15" t="s">
        <v>111</v>
      </c>
      <c r="C105" s="15" t="s">
        <v>262</v>
      </c>
      <c r="D105" s="15" t="s">
        <v>119</v>
      </c>
      <c r="E105" s="15" t="s">
        <v>257</v>
      </c>
      <c r="F105" s="13" t="s">
        <v>258</v>
      </c>
      <c r="G105" s="15" t="s">
        <v>221</v>
      </c>
      <c r="H105" s="13"/>
      <c r="I105" s="13"/>
      <c r="J105" s="13" t="s">
        <v>127</v>
      </c>
      <c r="K105" s="16"/>
      <c r="L105" s="15"/>
      <c r="M105" s="15"/>
      <c r="N105" s="13"/>
      <c r="O105" s="13"/>
      <c r="P105" s="13"/>
      <c r="Q105" s="13"/>
      <c r="R105" s="14"/>
      <c r="S105" s="13"/>
      <c r="T105" s="15" t="s">
        <v>118</v>
      </c>
    </row>
    <row r="106" ht="34.5">
      <c r="A106" s="15" t="s">
        <v>110</v>
      </c>
      <c r="B106" s="15" t="s">
        <v>111</v>
      </c>
      <c r="C106" s="15" t="s">
        <v>262</v>
      </c>
      <c r="D106" s="15" t="s">
        <v>119</v>
      </c>
      <c r="E106" s="15" t="s">
        <v>257</v>
      </c>
      <c r="F106" s="13" t="s">
        <v>258</v>
      </c>
      <c r="G106" s="15" t="s">
        <v>221</v>
      </c>
      <c r="H106" s="13"/>
      <c r="I106" s="13"/>
      <c r="J106" s="13" t="s">
        <v>128</v>
      </c>
      <c r="K106" s="16"/>
      <c r="L106" s="15"/>
      <c r="M106" s="15"/>
      <c r="N106" s="13"/>
      <c r="O106" s="13"/>
      <c r="P106" s="13"/>
      <c r="Q106" s="13"/>
      <c r="R106" s="14"/>
      <c r="S106" s="13"/>
      <c r="T106" s="15" t="s">
        <v>118</v>
      </c>
    </row>
    <row r="107" ht="34.5">
      <c r="A107" s="15" t="s">
        <v>110</v>
      </c>
      <c r="B107" s="15" t="s">
        <v>111</v>
      </c>
      <c r="C107" s="15" t="s">
        <v>262</v>
      </c>
      <c r="D107" s="15" t="s">
        <v>263</v>
      </c>
      <c r="E107" s="15" t="s">
        <v>257</v>
      </c>
      <c r="F107" s="13" t="s">
        <v>264</v>
      </c>
      <c r="G107" s="15" t="s">
        <v>221</v>
      </c>
      <c r="H107" s="13"/>
      <c r="I107" s="13"/>
      <c r="J107" s="13" t="s">
        <v>265</v>
      </c>
      <c r="K107" s="16"/>
      <c r="L107" s="15"/>
      <c r="M107" s="15"/>
      <c r="N107" s="13"/>
      <c r="O107" s="13"/>
      <c r="P107" s="13"/>
      <c r="Q107" s="13"/>
      <c r="R107" s="14"/>
      <c r="S107" s="13"/>
      <c r="T107" s="15" t="s">
        <v>118</v>
      </c>
    </row>
    <row r="108" ht="34.5">
      <c r="A108" s="15" t="s">
        <v>110</v>
      </c>
      <c r="B108" s="15" t="s">
        <v>111</v>
      </c>
      <c r="C108" s="15" t="s">
        <v>266</v>
      </c>
      <c r="D108" s="15" t="s">
        <v>119</v>
      </c>
      <c r="E108" s="15" t="s">
        <v>267</v>
      </c>
      <c r="F108" s="13" t="s">
        <v>268</v>
      </c>
      <c r="G108" s="15" t="s">
        <v>123</v>
      </c>
      <c r="H108" s="13"/>
      <c r="I108" s="13"/>
      <c r="J108" s="13" t="s">
        <v>269</v>
      </c>
      <c r="K108" s="16"/>
      <c r="L108" s="15"/>
      <c r="M108" s="15"/>
      <c r="N108" s="13"/>
      <c r="O108" s="13"/>
      <c r="P108" s="13"/>
      <c r="Q108" s="13"/>
      <c r="R108" s="14"/>
      <c r="S108" s="13"/>
      <c r="T108" s="15" t="s">
        <v>118</v>
      </c>
    </row>
    <row r="109" ht="34.5">
      <c r="A109" s="15" t="s">
        <v>110</v>
      </c>
      <c r="B109" s="15" t="s">
        <v>111</v>
      </c>
      <c r="C109" s="15" t="s">
        <v>266</v>
      </c>
      <c r="D109" s="15" t="s">
        <v>119</v>
      </c>
      <c r="E109" s="15" t="s">
        <v>267</v>
      </c>
      <c r="F109" s="13" t="s">
        <v>268</v>
      </c>
      <c r="G109" s="15" t="s">
        <v>123</v>
      </c>
      <c r="H109" s="13"/>
      <c r="I109" s="13"/>
      <c r="J109" s="13" t="s">
        <v>270</v>
      </c>
      <c r="K109" s="16"/>
      <c r="L109" s="15"/>
      <c r="M109" s="15"/>
      <c r="N109" s="13"/>
      <c r="O109" s="13"/>
      <c r="P109" s="13"/>
      <c r="Q109" s="13"/>
      <c r="R109" s="14"/>
      <c r="S109" s="13"/>
      <c r="T109" s="15" t="s">
        <v>118</v>
      </c>
    </row>
    <row r="110" ht="34.5">
      <c r="A110" s="15" t="s">
        <v>110</v>
      </c>
      <c r="B110" s="15" t="s">
        <v>111</v>
      </c>
      <c r="C110" s="15" t="s">
        <v>266</v>
      </c>
      <c r="D110" s="15" t="s">
        <v>271</v>
      </c>
      <c r="E110" s="15" t="s">
        <v>267</v>
      </c>
      <c r="F110" s="13" t="s">
        <v>268</v>
      </c>
      <c r="G110" s="15" t="s">
        <v>123</v>
      </c>
      <c r="H110" s="13"/>
      <c r="I110" s="13"/>
      <c r="J110" s="13" t="s">
        <v>272</v>
      </c>
      <c r="K110" s="16"/>
      <c r="L110" s="15"/>
      <c r="M110" s="15"/>
      <c r="N110" s="13"/>
      <c r="O110" s="13"/>
      <c r="P110" s="13"/>
      <c r="Q110" s="13"/>
      <c r="R110" s="14"/>
      <c r="S110" s="13"/>
      <c r="T110" s="15" t="s">
        <v>118</v>
      </c>
    </row>
    <row r="111" ht="34.5">
      <c r="A111" s="15" t="s">
        <v>110</v>
      </c>
      <c r="B111" s="15" t="s">
        <v>111</v>
      </c>
      <c r="C111" s="15" t="s">
        <v>266</v>
      </c>
      <c r="D111" s="15" t="s">
        <v>119</v>
      </c>
      <c r="E111" s="15" t="s">
        <v>267</v>
      </c>
      <c r="F111" s="13" t="s">
        <v>268</v>
      </c>
      <c r="G111" s="15" t="s">
        <v>123</v>
      </c>
      <c r="H111" s="13"/>
      <c r="I111" s="13"/>
      <c r="J111" s="13" t="s">
        <v>273</v>
      </c>
      <c r="K111" s="16"/>
      <c r="L111" s="15"/>
      <c r="M111" s="15"/>
      <c r="N111" s="13"/>
      <c r="O111" s="13"/>
      <c r="P111" s="13"/>
      <c r="Q111" s="13"/>
      <c r="R111" s="14"/>
      <c r="S111" s="13"/>
      <c r="T111" s="15" t="s">
        <v>118</v>
      </c>
    </row>
    <row r="112" ht="34.5">
      <c r="A112" s="15" t="s">
        <v>110</v>
      </c>
      <c r="B112" s="15" t="s">
        <v>111</v>
      </c>
      <c r="C112" s="15" t="s">
        <v>266</v>
      </c>
      <c r="D112" s="15" t="s">
        <v>119</v>
      </c>
      <c r="E112" s="15" t="s">
        <v>267</v>
      </c>
      <c r="F112" s="13" t="s">
        <v>268</v>
      </c>
      <c r="G112" s="15" t="s">
        <v>123</v>
      </c>
      <c r="H112" s="13"/>
      <c r="I112" s="13"/>
      <c r="J112" s="13" t="s">
        <v>274</v>
      </c>
      <c r="K112" s="16"/>
      <c r="L112" s="15"/>
      <c r="M112" s="15"/>
      <c r="N112" s="13"/>
      <c r="O112" s="13"/>
      <c r="P112" s="13"/>
      <c r="Q112" s="13"/>
      <c r="R112" s="14"/>
      <c r="S112" s="13"/>
      <c r="T112" s="15" t="s">
        <v>118</v>
      </c>
    </row>
    <row r="113" ht="34.5">
      <c r="A113" s="15" t="s">
        <v>110</v>
      </c>
      <c r="B113" s="15" t="s">
        <v>111</v>
      </c>
      <c r="C113" s="15" t="s">
        <v>266</v>
      </c>
      <c r="D113" s="15" t="s">
        <v>119</v>
      </c>
      <c r="E113" s="15" t="s">
        <v>267</v>
      </c>
      <c r="F113" s="13" t="s">
        <v>268</v>
      </c>
      <c r="G113" s="15" t="s">
        <v>123</v>
      </c>
      <c r="H113" s="13"/>
      <c r="I113" s="13"/>
      <c r="J113" s="13" t="s">
        <v>275</v>
      </c>
      <c r="K113" s="16"/>
      <c r="L113" s="15"/>
      <c r="M113" s="15"/>
      <c r="N113" s="13"/>
      <c r="O113" s="13"/>
      <c r="P113" s="13"/>
      <c r="Q113" s="13"/>
      <c r="R113" s="14"/>
      <c r="S113" s="13"/>
      <c r="T113" s="15" t="s">
        <v>118</v>
      </c>
    </row>
    <row r="114" ht="34.5">
      <c r="A114" s="15" t="s">
        <v>110</v>
      </c>
      <c r="B114" s="15" t="s">
        <v>111</v>
      </c>
      <c r="C114" s="15" t="s">
        <v>266</v>
      </c>
      <c r="D114" s="15" t="s">
        <v>119</v>
      </c>
      <c r="E114" s="15" t="s">
        <v>267</v>
      </c>
      <c r="F114" s="13" t="s">
        <v>268</v>
      </c>
      <c r="G114" s="15" t="s">
        <v>123</v>
      </c>
      <c r="H114" s="13"/>
      <c r="I114" s="13"/>
      <c r="J114" s="13" t="s">
        <v>276</v>
      </c>
      <c r="K114" s="16"/>
      <c r="L114" s="15"/>
      <c r="M114" s="15"/>
      <c r="N114" s="13"/>
      <c r="O114" s="13"/>
      <c r="P114" s="13"/>
      <c r="Q114" s="13"/>
      <c r="R114" s="14"/>
      <c r="S114" s="13"/>
      <c r="T114" s="15" t="s">
        <v>118</v>
      </c>
    </row>
    <row r="115" ht="34.5">
      <c r="A115" s="15" t="s">
        <v>110</v>
      </c>
      <c r="B115" s="15" t="s">
        <v>111</v>
      </c>
      <c r="C115" s="15" t="s">
        <v>266</v>
      </c>
      <c r="D115" s="15" t="s">
        <v>119</v>
      </c>
      <c r="E115" s="15" t="s">
        <v>267</v>
      </c>
      <c r="F115" s="13" t="s">
        <v>268</v>
      </c>
      <c r="G115" s="15" t="s">
        <v>123</v>
      </c>
      <c r="H115" s="13"/>
      <c r="I115" s="13"/>
      <c r="J115" s="13" t="s">
        <v>277</v>
      </c>
      <c r="K115" s="16"/>
      <c r="L115" s="15"/>
      <c r="M115" s="15"/>
      <c r="N115" s="13"/>
      <c r="O115" s="13"/>
      <c r="P115" s="13"/>
      <c r="Q115" s="13"/>
      <c r="R115" s="14"/>
      <c r="S115" s="13"/>
      <c r="T115" s="15" t="s">
        <v>118</v>
      </c>
    </row>
    <row r="116" ht="34.5">
      <c r="A116" s="15" t="s">
        <v>110</v>
      </c>
      <c r="B116" s="15" t="s">
        <v>111</v>
      </c>
      <c r="C116" s="15" t="s">
        <v>266</v>
      </c>
      <c r="D116" s="15" t="s">
        <v>119</v>
      </c>
      <c r="E116" s="15" t="s">
        <v>267</v>
      </c>
      <c r="F116" s="13" t="s">
        <v>268</v>
      </c>
      <c r="G116" s="15" t="s">
        <v>123</v>
      </c>
      <c r="H116" s="13"/>
      <c r="I116" s="13"/>
      <c r="J116" s="13" t="s">
        <v>278</v>
      </c>
      <c r="K116" s="16"/>
      <c r="L116" s="15"/>
      <c r="M116" s="15"/>
      <c r="N116" s="13"/>
      <c r="O116" s="13"/>
      <c r="P116" s="13"/>
      <c r="Q116" s="13"/>
      <c r="R116" s="14"/>
      <c r="S116" s="13"/>
      <c r="T116" s="15" t="s">
        <v>118</v>
      </c>
    </row>
    <row r="117" ht="34.5">
      <c r="A117" s="15" t="s">
        <v>110</v>
      </c>
      <c r="B117" s="15" t="s">
        <v>111</v>
      </c>
      <c r="C117" s="15" t="s">
        <v>266</v>
      </c>
      <c r="D117" s="15" t="s">
        <v>271</v>
      </c>
      <c r="E117" s="15" t="s">
        <v>267</v>
      </c>
      <c r="F117" s="13" t="s">
        <v>268</v>
      </c>
      <c r="G117" s="15" t="s">
        <v>123</v>
      </c>
      <c r="H117" s="13"/>
      <c r="I117" s="13"/>
      <c r="J117" s="13" t="s">
        <v>279</v>
      </c>
      <c r="K117" s="16"/>
      <c r="L117" s="15"/>
      <c r="M117" s="15"/>
      <c r="N117" s="13"/>
      <c r="O117" s="13"/>
      <c r="P117" s="13"/>
      <c r="Q117" s="13"/>
      <c r="R117" s="14"/>
      <c r="S117" s="13"/>
      <c r="T117" s="15" t="s">
        <v>118</v>
      </c>
    </row>
    <row r="118" ht="34.5">
      <c r="A118" s="15" t="s">
        <v>110</v>
      </c>
      <c r="B118" s="15" t="s">
        <v>111</v>
      </c>
      <c r="C118" s="15" t="s">
        <v>280</v>
      </c>
      <c r="D118" s="15" t="s">
        <v>119</v>
      </c>
      <c r="E118" s="15" t="s">
        <v>267</v>
      </c>
      <c r="F118" s="13" t="s">
        <v>268</v>
      </c>
      <c r="G118" s="15" t="s">
        <v>123</v>
      </c>
      <c r="H118" s="13"/>
      <c r="I118" s="13"/>
      <c r="J118" s="13" t="s">
        <v>127</v>
      </c>
      <c r="K118" s="16"/>
      <c r="L118" s="15"/>
      <c r="M118" s="15"/>
      <c r="N118" s="13"/>
      <c r="O118" s="13"/>
      <c r="P118" s="13"/>
      <c r="Q118" s="13"/>
      <c r="R118" s="14"/>
      <c r="S118" s="13"/>
      <c r="T118" s="15" t="s">
        <v>118</v>
      </c>
    </row>
    <row r="119" ht="34.5">
      <c r="A119" s="15" t="s">
        <v>110</v>
      </c>
      <c r="B119" s="15" t="s">
        <v>111</v>
      </c>
      <c r="C119" s="15" t="s">
        <v>280</v>
      </c>
      <c r="D119" s="15" t="s">
        <v>119</v>
      </c>
      <c r="E119" s="15" t="s">
        <v>267</v>
      </c>
      <c r="F119" s="13" t="s">
        <v>268</v>
      </c>
      <c r="G119" s="15" t="s">
        <v>123</v>
      </c>
      <c r="H119" s="13"/>
      <c r="I119" s="13"/>
      <c r="J119" s="13" t="s">
        <v>128</v>
      </c>
      <c r="K119" s="16"/>
      <c r="L119" s="15"/>
      <c r="M119" s="15"/>
      <c r="N119" s="13"/>
      <c r="O119" s="13"/>
      <c r="P119" s="13"/>
      <c r="Q119" s="13"/>
      <c r="R119" s="14"/>
      <c r="S119" s="13"/>
      <c r="T119" s="15" t="s">
        <v>118</v>
      </c>
    </row>
    <row r="120" ht="34.5">
      <c r="A120" s="15" t="s">
        <v>110</v>
      </c>
      <c r="B120" s="15" t="s">
        <v>111</v>
      </c>
      <c r="C120" s="15" t="s">
        <v>280</v>
      </c>
      <c r="D120" s="15" t="s">
        <v>119</v>
      </c>
      <c r="E120" s="15" t="s">
        <v>267</v>
      </c>
      <c r="F120" s="13" t="s">
        <v>281</v>
      </c>
      <c r="G120" s="15" t="s">
        <v>123</v>
      </c>
      <c r="H120" s="13"/>
      <c r="I120" s="13"/>
      <c r="J120" s="13" t="s">
        <v>282</v>
      </c>
      <c r="K120" s="16"/>
      <c r="L120" s="15"/>
      <c r="M120" s="15"/>
      <c r="N120" s="13"/>
      <c r="O120" s="13"/>
      <c r="P120" s="13"/>
      <c r="Q120" s="13"/>
      <c r="R120" s="14"/>
      <c r="S120" s="13"/>
      <c r="T120" s="15" t="s">
        <v>118</v>
      </c>
    </row>
    <row r="121" ht="34.5">
      <c r="A121" s="15" t="s">
        <v>110</v>
      </c>
      <c r="B121" s="15" t="s">
        <v>111</v>
      </c>
      <c r="C121" s="15" t="s">
        <v>280</v>
      </c>
      <c r="D121" s="15" t="s">
        <v>119</v>
      </c>
      <c r="E121" s="15" t="s">
        <v>267</v>
      </c>
      <c r="F121" s="13" t="s">
        <v>281</v>
      </c>
      <c r="G121" s="15" t="s">
        <v>123</v>
      </c>
      <c r="H121" s="13"/>
      <c r="I121" s="13"/>
      <c r="J121" s="13" t="s">
        <v>283</v>
      </c>
      <c r="K121" s="16"/>
      <c r="L121" s="15"/>
      <c r="M121" s="15"/>
      <c r="N121" s="13"/>
      <c r="O121" s="13"/>
      <c r="P121" s="13"/>
      <c r="Q121" s="13"/>
      <c r="R121" s="14"/>
      <c r="S121" s="13"/>
      <c r="T121" s="15" t="s">
        <v>118</v>
      </c>
    </row>
    <row r="122" ht="34.5">
      <c r="A122" s="15" t="s">
        <v>110</v>
      </c>
      <c r="B122" s="15" t="s">
        <v>111</v>
      </c>
      <c r="C122" s="15" t="s">
        <v>280</v>
      </c>
      <c r="D122" s="15" t="s">
        <v>119</v>
      </c>
      <c r="E122" s="15" t="s">
        <v>267</v>
      </c>
      <c r="F122" s="13" t="s">
        <v>281</v>
      </c>
      <c r="G122" s="15" t="s">
        <v>123</v>
      </c>
      <c r="H122" s="13"/>
      <c r="I122" s="13"/>
      <c r="J122" s="13" t="s">
        <v>284</v>
      </c>
      <c r="K122" s="16"/>
      <c r="L122" s="15"/>
      <c r="M122" s="15"/>
      <c r="N122" s="13"/>
      <c r="O122" s="13"/>
      <c r="P122" s="13"/>
      <c r="Q122" s="13"/>
      <c r="R122" s="14"/>
      <c r="S122" s="13"/>
      <c r="T122" s="15" t="s">
        <v>118</v>
      </c>
    </row>
    <row r="123" ht="34.5">
      <c r="A123" s="15" t="s">
        <v>110</v>
      </c>
      <c r="B123" s="15" t="s">
        <v>111</v>
      </c>
      <c r="C123" s="15" t="s">
        <v>280</v>
      </c>
      <c r="D123" s="15" t="s">
        <v>285</v>
      </c>
      <c r="E123" s="15" t="s">
        <v>267</v>
      </c>
      <c r="F123" s="13" t="s">
        <v>281</v>
      </c>
      <c r="G123" s="15" t="s">
        <v>123</v>
      </c>
      <c r="H123" s="13"/>
      <c r="I123" s="13"/>
      <c r="J123" s="13" t="s">
        <v>286</v>
      </c>
      <c r="K123" s="16"/>
      <c r="L123" s="15"/>
      <c r="M123" s="15"/>
      <c r="N123" s="13"/>
      <c r="O123" s="13"/>
      <c r="P123" s="13"/>
      <c r="Q123" s="13"/>
      <c r="R123" s="14"/>
      <c r="S123" s="13"/>
      <c r="T123" s="15" t="s">
        <v>118</v>
      </c>
    </row>
    <row r="124" ht="34.5">
      <c r="A124" s="15" t="s">
        <v>110</v>
      </c>
      <c r="B124" s="15" t="s">
        <v>111</v>
      </c>
      <c r="C124" s="15" t="s">
        <v>280</v>
      </c>
      <c r="D124" s="15" t="s">
        <v>119</v>
      </c>
      <c r="E124" s="15" t="s">
        <v>267</v>
      </c>
      <c r="F124" s="13" t="s">
        <v>281</v>
      </c>
      <c r="G124" s="15" t="s">
        <v>123</v>
      </c>
      <c r="H124" s="13"/>
      <c r="I124" s="13"/>
      <c r="J124" s="13" t="s">
        <v>287</v>
      </c>
      <c r="K124" s="16"/>
      <c r="L124" s="15"/>
      <c r="M124" s="15"/>
      <c r="N124" s="13"/>
      <c r="O124" s="13"/>
      <c r="P124" s="13"/>
      <c r="Q124" s="13"/>
      <c r="R124" s="14"/>
      <c r="S124" s="13"/>
      <c r="T124" s="15" t="s">
        <v>118</v>
      </c>
    </row>
    <row r="125" ht="34.5">
      <c r="A125" s="15" t="s">
        <v>110</v>
      </c>
      <c r="B125" s="15" t="s">
        <v>111</v>
      </c>
      <c r="C125" s="15" t="s">
        <v>280</v>
      </c>
      <c r="D125" s="15" t="s">
        <v>119</v>
      </c>
      <c r="E125" s="15" t="s">
        <v>267</v>
      </c>
      <c r="F125" s="13" t="s">
        <v>281</v>
      </c>
      <c r="G125" s="15" t="s">
        <v>123</v>
      </c>
      <c r="H125" s="13"/>
      <c r="I125" s="13"/>
      <c r="J125" s="13" t="s">
        <v>288</v>
      </c>
      <c r="K125" s="16"/>
      <c r="L125" s="15"/>
      <c r="M125" s="15"/>
      <c r="N125" s="13"/>
      <c r="O125" s="13"/>
      <c r="P125" s="13"/>
      <c r="Q125" s="13"/>
      <c r="R125" s="14"/>
      <c r="S125" s="13"/>
      <c r="T125" s="15" t="s">
        <v>118</v>
      </c>
    </row>
    <row r="126" ht="34.5">
      <c r="A126" s="15" t="s">
        <v>110</v>
      </c>
      <c r="B126" s="15" t="s">
        <v>111</v>
      </c>
      <c r="C126" s="15" t="s">
        <v>280</v>
      </c>
      <c r="D126" s="15" t="s">
        <v>119</v>
      </c>
      <c r="E126" s="15" t="s">
        <v>267</v>
      </c>
      <c r="F126" s="13" t="s">
        <v>281</v>
      </c>
      <c r="G126" s="15" t="s">
        <v>123</v>
      </c>
      <c r="H126" s="13"/>
      <c r="I126" s="13"/>
      <c r="J126" s="13" t="s">
        <v>289</v>
      </c>
      <c r="K126" s="16"/>
      <c r="L126" s="15"/>
      <c r="M126" s="15"/>
      <c r="N126" s="13"/>
      <c r="O126" s="13"/>
      <c r="P126" s="13"/>
      <c r="Q126" s="13"/>
      <c r="R126" s="14"/>
      <c r="S126" s="13"/>
      <c r="T126" s="15" t="s">
        <v>118</v>
      </c>
    </row>
    <row r="127" ht="34.5">
      <c r="A127" s="15" t="s">
        <v>110</v>
      </c>
      <c r="B127" s="15" t="s">
        <v>111</v>
      </c>
      <c r="C127" s="15" t="s">
        <v>280</v>
      </c>
      <c r="D127" s="15" t="s">
        <v>119</v>
      </c>
      <c r="E127" s="15" t="s">
        <v>267</v>
      </c>
      <c r="F127" s="13" t="s">
        <v>281</v>
      </c>
      <c r="G127" s="15" t="s">
        <v>123</v>
      </c>
      <c r="H127" s="13"/>
      <c r="I127" s="13"/>
      <c r="J127" s="13" t="s">
        <v>290</v>
      </c>
      <c r="K127" s="16"/>
      <c r="L127" s="15"/>
      <c r="M127" s="15"/>
      <c r="N127" s="13"/>
      <c r="O127" s="13"/>
      <c r="P127" s="13"/>
      <c r="Q127" s="13"/>
      <c r="R127" s="14"/>
      <c r="S127" s="13"/>
      <c r="T127" s="15" t="s">
        <v>118</v>
      </c>
    </row>
    <row r="128" ht="34.5">
      <c r="A128" s="15" t="s">
        <v>110</v>
      </c>
      <c r="B128" s="15" t="s">
        <v>111</v>
      </c>
      <c r="C128" s="15" t="s">
        <v>280</v>
      </c>
      <c r="D128" s="15" t="s">
        <v>119</v>
      </c>
      <c r="E128" s="15" t="s">
        <v>267</v>
      </c>
      <c r="F128" s="13" t="s">
        <v>281</v>
      </c>
      <c r="G128" s="15" t="s">
        <v>123</v>
      </c>
      <c r="H128" s="13"/>
      <c r="I128" s="13"/>
      <c r="J128" s="13" t="s">
        <v>291</v>
      </c>
      <c r="K128" s="16">
        <v>519730</v>
      </c>
      <c r="L128" s="15" t="s">
        <v>142</v>
      </c>
      <c r="M128" s="15"/>
      <c r="N128" s="13"/>
      <c r="O128" s="13"/>
      <c r="P128" s="13"/>
      <c r="Q128" s="13"/>
      <c r="R128" s="14"/>
      <c r="S128" s="13"/>
      <c r="T128" s="15" t="s">
        <v>118</v>
      </c>
    </row>
    <row r="129" ht="34.5">
      <c r="A129" s="15" t="s">
        <v>110</v>
      </c>
      <c r="B129" s="15" t="s">
        <v>111</v>
      </c>
      <c r="C129" s="15" t="s">
        <v>292</v>
      </c>
      <c r="D129" s="15" t="s">
        <v>119</v>
      </c>
      <c r="E129" s="15" t="s">
        <v>267</v>
      </c>
      <c r="F129" s="13" t="s">
        <v>281</v>
      </c>
      <c r="G129" s="15" t="s">
        <v>123</v>
      </c>
      <c r="H129" s="13"/>
      <c r="I129" s="13"/>
      <c r="J129" s="13" t="s">
        <v>293</v>
      </c>
      <c r="K129" s="16"/>
      <c r="L129" s="15"/>
      <c r="M129" s="15"/>
      <c r="N129" s="13"/>
      <c r="O129" s="13"/>
      <c r="P129" s="13"/>
      <c r="Q129" s="13"/>
      <c r="R129" s="14"/>
      <c r="S129" s="13"/>
      <c r="T129" s="15" t="s">
        <v>118</v>
      </c>
    </row>
    <row r="130" ht="34.5">
      <c r="A130" s="15" t="s">
        <v>110</v>
      </c>
      <c r="B130" s="15" t="s">
        <v>111</v>
      </c>
      <c r="C130" s="15" t="s">
        <v>292</v>
      </c>
      <c r="D130" s="15" t="s">
        <v>119</v>
      </c>
      <c r="E130" s="15" t="s">
        <v>267</v>
      </c>
      <c r="F130" s="13" t="s">
        <v>281</v>
      </c>
      <c r="G130" s="15" t="s">
        <v>123</v>
      </c>
      <c r="H130" s="13"/>
      <c r="I130" s="13"/>
      <c r="J130" s="13" t="s">
        <v>294</v>
      </c>
      <c r="K130" s="16"/>
      <c r="L130" s="15"/>
      <c r="M130" s="15"/>
      <c r="N130" s="13"/>
      <c r="O130" s="13"/>
      <c r="P130" s="13"/>
      <c r="Q130" s="13"/>
      <c r="R130" s="14"/>
      <c r="S130" s="13"/>
      <c r="T130" s="15" t="s">
        <v>118</v>
      </c>
    </row>
    <row r="131" ht="34.5">
      <c r="A131" s="15" t="s">
        <v>110</v>
      </c>
      <c r="B131" s="15" t="s">
        <v>111</v>
      </c>
      <c r="C131" s="15" t="s">
        <v>292</v>
      </c>
      <c r="D131" s="15" t="s">
        <v>295</v>
      </c>
      <c r="E131" s="15" t="s">
        <v>267</v>
      </c>
      <c r="F131" s="13" t="s">
        <v>281</v>
      </c>
      <c r="G131" s="15" t="s">
        <v>123</v>
      </c>
      <c r="H131" s="13"/>
      <c r="I131" s="13"/>
      <c r="J131" s="13" t="s">
        <v>296</v>
      </c>
      <c r="K131" s="16"/>
      <c r="L131" s="15"/>
      <c r="M131" s="15"/>
      <c r="N131" s="13"/>
      <c r="O131" s="13"/>
      <c r="P131" s="13"/>
      <c r="Q131" s="13"/>
      <c r="R131" s="14"/>
      <c r="S131" s="13"/>
      <c r="T131" s="15" t="s">
        <v>118</v>
      </c>
    </row>
    <row r="132" ht="34.5">
      <c r="A132" s="15" t="s">
        <v>110</v>
      </c>
      <c r="B132" s="15" t="s">
        <v>111</v>
      </c>
      <c r="C132" s="15" t="s">
        <v>292</v>
      </c>
      <c r="D132" s="15" t="s">
        <v>119</v>
      </c>
      <c r="E132" s="15" t="s">
        <v>267</v>
      </c>
      <c r="F132" s="13" t="s">
        <v>281</v>
      </c>
      <c r="G132" s="15" t="s">
        <v>123</v>
      </c>
      <c r="H132" s="13"/>
      <c r="I132" s="13"/>
      <c r="J132" s="13" t="s">
        <v>297</v>
      </c>
      <c r="K132" s="16"/>
      <c r="L132" s="15"/>
      <c r="M132" s="15"/>
      <c r="N132" s="13"/>
      <c r="O132" s="13"/>
      <c r="P132" s="13"/>
      <c r="Q132" s="13"/>
      <c r="R132" s="14"/>
      <c r="S132" s="13"/>
      <c r="T132" s="15" t="s">
        <v>118</v>
      </c>
    </row>
    <row r="133" ht="34.5">
      <c r="A133" s="15" t="s">
        <v>110</v>
      </c>
      <c r="B133" s="15" t="s">
        <v>111</v>
      </c>
      <c r="C133" s="15" t="s">
        <v>292</v>
      </c>
      <c r="D133" s="15" t="s">
        <v>119</v>
      </c>
      <c r="E133" s="15" t="s">
        <v>298</v>
      </c>
      <c r="F133" s="13" t="s">
        <v>299</v>
      </c>
      <c r="G133" s="15" t="s">
        <v>300</v>
      </c>
      <c r="H133" s="13"/>
      <c r="I133" s="13"/>
      <c r="J133" s="13" t="s">
        <v>301</v>
      </c>
      <c r="K133" s="16"/>
      <c r="L133" s="15"/>
      <c r="M133" s="15"/>
      <c r="N133" s="13"/>
      <c r="O133" s="13"/>
      <c r="P133" s="13"/>
      <c r="Q133" s="13"/>
      <c r="R133" s="14"/>
      <c r="S133" s="13"/>
      <c r="T133" s="15" t="s">
        <v>118</v>
      </c>
    </row>
    <row r="134" ht="34.5">
      <c r="A134" s="15" t="s">
        <v>110</v>
      </c>
      <c r="B134" s="15" t="s">
        <v>111</v>
      </c>
      <c r="C134" s="15" t="s">
        <v>292</v>
      </c>
      <c r="D134" s="15" t="s">
        <v>295</v>
      </c>
      <c r="E134" s="15" t="s">
        <v>298</v>
      </c>
      <c r="F134" s="13" t="s">
        <v>299</v>
      </c>
      <c r="G134" s="15" t="s">
        <v>300</v>
      </c>
      <c r="H134" s="13"/>
      <c r="I134" s="13"/>
      <c r="J134" s="13" t="s">
        <v>302</v>
      </c>
      <c r="K134" s="16"/>
      <c r="L134" s="15"/>
      <c r="M134" s="15"/>
      <c r="N134" s="13"/>
      <c r="O134" s="13"/>
      <c r="P134" s="13"/>
      <c r="Q134" s="13"/>
      <c r="R134" s="14"/>
      <c r="S134" s="13"/>
      <c r="T134" s="15" t="s">
        <v>118</v>
      </c>
    </row>
    <row r="135" ht="34.5">
      <c r="A135" s="15" t="s">
        <v>110</v>
      </c>
      <c r="B135" s="15" t="s">
        <v>111</v>
      </c>
      <c r="C135" s="15" t="s">
        <v>292</v>
      </c>
      <c r="D135" s="15" t="s">
        <v>119</v>
      </c>
      <c r="E135" s="15" t="s">
        <v>298</v>
      </c>
      <c r="F135" s="13" t="s">
        <v>299</v>
      </c>
      <c r="G135" s="15" t="s">
        <v>300</v>
      </c>
      <c r="H135" s="13"/>
      <c r="I135" s="13"/>
      <c r="J135" s="13" t="s">
        <v>303</v>
      </c>
      <c r="K135" s="16"/>
      <c r="L135" s="15"/>
      <c r="M135" s="15"/>
      <c r="N135" s="13"/>
      <c r="O135" s="13"/>
      <c r="P135" s="13"/>
      <c r="Q135" s="13"/>
      <c r="R135" s="14"/>
      <c r="S135" s="13"/>
      <c r="T135" s="15" t="s">
        <v>118</v>
      </c>
    </row>
    <row r="136" ht="34.5">
      <c r="A136" s="15" t="s">
        <v>110</v>
      </c>
      <c r="B136" s="15" t="s">
        <v>111</v>
      </c>
      <c r="C136" s="15" t="s">
        <v>292</v>
      </c>
      <c r="D136" s="15" t="s">
        <v>119</v>
      </c>
      <c r="E136" s="15" t="s">
        <v>298</v>
      </c>
      <c r="F136" s="13" t="s">
        <v>299</v>
      </c>
      <c r="G136" s="15" t="s">
        <v>300</v>
      </c>
      <c r="H136" s="13"/>
      <c r="I136" s="13"/>
      <c r="J136" s="13" t="s">
        <v>304</v>
      </c>
      <c r="K136" s="16">
        <v>4177244</v>
      </c>
      <c r="L136" s="15" t="s">
        <v>142</v>
      </c>
      <c r="M136" s="15"/>
      <c r="N136" s="13"/>
      <c r="O136" s="13"/>
      <c r="P136" s="13"/>
      <c r="Q136" s="13"/>
      <c r="R136" s="14"/>
      <c r="S136" s="13"/>
      <c r="T136" s="15" t="s">
        <v>118</v>
      </c>
    </row>
    <row r="137" ht="34.5">
      <c r="A137" s="15" t="s">
        <v>110</v>
      </c>
      <c r="B137" s="15" t="s">
        <v>111</v>
      </c>
      <c r="C137" s="15" t="s">
        <v>292</v>
      </c>
      <c r="D137" s="15" t="s">
        <v>119</v>
      </c>
      <c r="E137" s="15" t="s">
        <v>298</v>
      </c>
      <c r="F137" s="13" t="s">
        <v>299</v>
      </c>
      <c r="G137" s="15" t="s">
        <v>300</v>
      </c>
      <c r="H137" s="13"/>
      <c r="I137" s="13"/>
      <c r="J137" s="13" t="s">
        <v>305</v>
      </c>
      <c r="K137" s="16">
        <v>2819740</v>
      </c>
      <c r="L137" s="15" t="s">
        <v>142</v>
      </c>
      <c r="M137" s="15"/>
      <c r="N137" s="13"/>
      <c r="O137" s="13"/>
      <c r="P137" s="13"/>
      <c r="Q137" s="13"/>
      <c r="R137" s="14"/>
      <c r="S137" s="13"/>
      <c r="T137" s="15" t="s">
        <v>118</v>
      </c>
    </row>
    <row r="138" ht="34.5">
      <c r="A138" s="15" t="s">
        <v>110</v>
      </c>
      <c r="B138" s="15" t="s">
        <v>111</v>
      </c>
      <c r="C138" s="15" t="s">
        <v>306</v>
      </c>
      <c r="D138" s="15" t="s">
        <v>119</v>
      </c>
      <c r="E138" s="15" t="s">
        <v>298</v>
      </c>
      <c r="F138" s="13" t="s">
        <v>299</v>
      </c>
      <c r="G138" s="15" t="s">
        <v>300</v>
      </c>
      <c r="H138" s="13"/>
      <c r="I138" s="13"/>
      <c r="J138" s="13" t="s">
        <v>127</v>
      </c>
      <c r="K138" s="16"/>
      <c r="L138" s="15"/>
      <c r="M138" s="15"/>
      <c r="N138" s="13"/>
      <c r="O138" s="13"/>
      <c r="P138" s="13"/>
      <c r="Q138" s="13"/>
      <c r="R138" s="14"/>
      <c r="S138" s="13"/>
      <c r="T138" s="15" t="s">
        <v>118</v>
      </c>
    </row>
    <row r="139" ht="34.5">
      <c r="A139" s="15" t="s">
        <v>110</v>
      </c>
      <c r="B139" s="15" t="s">
        <v>111</v>
      </c>
      <c r="C139" s="15" t="s">
        <v>306</v>
      </c>
      <c r="D139" s="15" t="s">
        <v>119</v>
      </c>
      <c r="E139" s="15" t="s">
        <v>298</v>
      </c>
      <c r="F139" s="13" t="s">
        <v>299</v>
      </c>
      <c r="G139" s="15" t="s">
        <v>300</v>
      </c>
      <c r="H139" s="13"/>
      <c r="I139" s="13"/>
      <c r="J139" s="13" t="s">
        <v>128</v>
      </c>
      <c r="K139" s="16"/>
      <c r="L139" s="15"/>
      <c r="M139" s="15"/>
      <c r="N139" s="13"/>
      <c r="O139" s="13"/>
      <c r="P139" s="13"/>
      <c r="Q139" s="13"/>
      <c r="R139" s="14"/>
      <c r="S139" s="13"/>
      <c r="T139" s="15" t="s">
        <v>118</v>
      </c>
    </row>
    <row r="140" ht="34.5">
      <c r="A140" s="15" t="s">
        <v>110</v>
      </c>
      <c r="B140" s="15" t="s">
        <v>111</v>
      </c>
      <c r="C140" s="15" t="s">
        <v>306</v>
      </c>
      <c r="D140" s="15" t="s">
        <v>119</v>
      </c>
      <c r="E140" s="15" t="s">
        <v>307</v>
      </c>
      <c r="F140" s="13" t="s">
        <v>308</v>
      </c>
      <c r="G140" s="15" t="s">
        <v>309</v>
      </c>
      <c r="H140" s="13"/>
      <c r="I140" s="13"/>
      <c r="J140" s="13" t="s">
        <v>310</v>
      </c>
      <c r="K140" s="16"/>
      <c r="L140" s="15"/>
      <c r="M140" s="15"/>
      <c r="N140" s="13"/>
      <c r="O140" s="13"/>
      <c r="P140" s="13"/>
      <c r="Q140" s="13"/>
      <c r="R140" s="14"/>
      <c r="S140" s="13"/>
      <c r="T140" s="15" t="s">
        <v>118</v>
      </c>
    </row>
    <row r="141" ht="34.5">
      <c r="A141" s="15" t="s">
        <v>110</v>
      </c>
      <c r="B141" s="15" t="s">
        <v>111</v>
      </c>
      <c r="C141" s="15" t="s">
        <v>306</v>
      </c>
      <c r="D141" s="15" t="s">
        <v>311</v>
      </c>
      <c r="E141" s="15" t="s">
        <v>307</v>
      </c>
      <c r="F141" s="13" t="s">
        <v>308</v>
      </c>
      <c r="G141" s="15" t="s">
        <v>309</v>
      </c>
      <c r="H141" s="13"/>
      <c r="I141" s="13"/>
      <c r="J141" s="13" t="s">
        <v>312</v>
      </c>
      <c r="K141" s="16"/>
      <c r="L141" s="15"/>
      <c r="M141" s="15"/>
      <c r="N141" s="13"/>
      <c r="O141" s="13"/>
      <c r="P141" s="13"/>
      <c r="Q141" s="13"/>
      <c r="R141" s="14"/>
      <c r="S141" s="13"/>
      <c r="T141" s="15" t="s">
        <v>118</v>
      </c>
    </row>
    <row r="142" ht="34.5">
      <c r="A142" s="15" t="s">
        <v>110</v>
      </c>
      <c r="B142" s="15" t="s">
        <v>111</v>
      </c>
      <c r="C142" s="15" t="s">
        <v>306</v>
      </c>
      <c r="D142" s="15" t="s">
        <v>119</v>
      </c>
      <c r="E142" s="15" t="s">
        <v>313</v>
      </c>
      <c r="F142" s="13" t="s">
        <v>314</v>
      </c>
      <c r="G142" s="15" t="s">
        <v>123</v>
      </c>
      <c r="H142" s="13"/>
      <c r="I142" s="13"/>
      <c r="J142" s="13" t="s">
        <v>315</v>
      </c>
      <c r="K142" s="16"/>
      <c r="L142" s="15"/>
      <c r="M142" s="15"/>
      <c r="N142" s="13"/>
      <c r="O142" s="13"/>
      <c r="P142" s="13"/>
      <c r="Q142" s="13"/>
      <c r="R142" s="14"/>
      <c r="S142" s="13"/>
      <c r="T142" s="15" t="s">
        <v>118</v>
      </c>
    </row>
    <row r="143" ht="34.5">
      <c r="A143" s="15" t="s">
        <v>110</v>
      </c>
      <c r="B143" s="15" t="s">
        <v>111</v>
      </c>
      <c r="C143" s="15" t="s">
        <v>306</v>
      </c>
      <c r="D143" s="15" t="s">
        <v>119</v>
      </c>
      <c r="E143" s="15" t="s">
        <v>313</v>
      </c>
      <c r="F143" s="13" t="s">
        <v>314</v>
      </c>
      <c r="G143" s="15" t="s">
        <v>123</v>
      </c>
      <c r="H143" s="13"/>
      <c r="I143" s="13"/>
      <c r="J143" s="13" t="s">
        <v>316</v>
      </c>
      <c r="K143" s="16"/>
      <c r="L143" s="15"/>
      <c r="M143" s="15"/>
      <c r="N143" s="13"/>
      <c r="O143" s="13"/>
      <c r="P143" s="13"/>
      <c r="Q143" s="13"/>
      <c r="R143" s="14"/>
      <c r="S143" s="13"/>
      <c r="T143" s="15" t="s">
        <v>118</v>
      </c>
    </row>
    <row r="144" ht="34.5">
      <c r="A144" s="15" t="s">
        <v>110</v>
      </c>
      <c r="B144" s="15" t="s">
        <v>111</v>
      </c>
      <c r="C144" s="15" t="s">
        <v>306</v>
      </c>
      <c r="D144" s="15" t="s">
        <v>119</v>
      </c>
      <c r="E144" s="15" t="s">
        <v>313</v>
      </c>
      <c r="F144" s="13" t="s">
        <v>314</v>
      </c>
      <c r="G144" s="15" t="s">
        <v>123</v>
      </c>
      <c r="H144" s="13"/>
      <c r="I144" s="13"/>
      <c r="J144" s="13" t="s">
        <v>317</v>
      </c>
      <c r="K144" s="16"/>
      <c r="L144" s="15"/>
      <c r="M144" s="15"/>
      <c r="N144" s="13"/>
      <c r="O144" s="13"/>
      <c r="P144" s="13"/>
      <c r="Q144" s="13"/>
      <c r="R144" s="14"/>
      <c r="S144" s="13"/>
      <c r="T144" s="15" t="s">
        <v>118</v>
      </c>
    </row>
    <row r="145" ht="34.5">
      <c r="A145" s="15" t="s">
        <v>110</v>
      </c>
      <c r="B145" s="15" t="s">
        <v>111</v>
      </c>
      <c r="C145" s="15" t="s">
        <v>318</v>
      </c>
      <c r="D145" s="15" t="s">
        <v>119</v>
      </c>
      <c r="E145" s="15" t="s">
        <v>313</v>
      </c>
      <c r="F145" s="13" t="s">
        <v>314</v>
      </c>
      <c r="G145" s="15" t="s">
        <v>123</v>
      </c>
      <c r="H145" s="13"/>
      <c r="I145" s="13"/>
      <c r="J145" s="13" t="s">
        <v>127</v>
      </c>
      <c r="K145" s="16"/>
      <c r="L145" s="15"/>
      <c r="M145" s="15"/>
      <c r="N145" s="13"/>
      <c r="O145" s="13"/>
      <c r="P145" s="13"/>
      <c r="Q145" s="13"/>
      <c r="R145" s="14"/>
      <c r="S145" s="13"/>
      <c r="T145" s="15" t="s">
        <v>118</v>
      </c>
    </row>
    <row r="146" ht="34.5">
      <c r="A146" s="15" t="s">
        <v>110</v>
      </c>
      <c r="B146" s="15" t="s">
        <v>111</v>
      </c>
      <c r="C146" s="15" t="s">
        <v>318</v>
      </c>
      <c r="D146" s="15" t="s">
        <v>119</v>
      </c>
      <c r="E146" s="15" t="s">
        <v>313</v>
      </c>
      <c r="F146" s="13" t="s">
        <v>314</v>
      </c>
      <c r="G146" s="15" t="s">
        <v>123</v>
      </c>
      <c r="H146" s="13"/>
      <c r="I146" s="13"/>
      <c r="J146" s="13" t="s">
        <v>128</v>
      </c>
      <c r="K146" s="16"/>
      <c r="L146" s="15"/>
      <c r="M146" s="15"/>
      <c r="N146" s="13"/>
      <c r="O146" s="13"/>
      <c r="P146" s="13"/>
      <c r="Q146" s="13"/>
      <c r="R146" s="14"/>
      <c r="S146" s="13"/>
      <c r="T146" s="15" t="s">
        <v>118</v>
      </c>
    </row>
    <row r="147" ht="34.5">
      <c r="A147" s="15" t="s">
        <v>110</v>
      </c>
      <c r="B147" s="15" t="s">
        <v>111</v>
      </c>
      <c r="C147" s="15" t="s">
        <v>318</v>
      </c>
      <c r="D147" s="15" t="s">
        <v>119</v>
      </c>
      <c r="E147" s="15" t="s">
        <v>313</v>
      </c>
      <c r="F147" s="13" t="s">
        <v>319</v>
      </c>
      <c r="G147" s="15" t="s">
        <v>123</v>
      </c>
      <c r="H147" s="13"/>
      <c r="I147" s="13"/>
      <c r="J147" s="13" t="s">
        <v>320</v>
      </c>
      <c r="K147" s="16"/>
      <c r="L147" s="15"/>
      <c r="M147" s="15"/>
      <c r="N147" s="13"/>
      <c r="O147" s="13"/>
      <c r="P147" s="13"/>
      <c r="Q147" s="13"/>
      <c r="R147" s="14"/>
      <c r="S147" s="13"/>
      <c r="T147" s="15" t="s">
        <v>118</v>
      </c>
    </row>
    <row r="148" ht="34.5">
      <c r="A148" s="15" t="s">
        <v>110</v>
      </c>
      <c r="B148" s="15" t="s">
        <v>111</v>
      </c>
      <c r="C148" s="15" t="s">
        <v>318</v>
      </c>
      <c r="D148" s="15" t="s">
        <v>119</v>
      </c>
      <c r="E148" s="15" t="s">
        <v>313</v>
      </c>
      <c r="F148" s="13" t="s">
        <v>319</v>
      </c>
      <c r="G148" s="15" t="s">
        <v>123</v>
      </c>
      <c r="H148" s="13"/>
      <c r="I148" s="13"/>
      <c r="J148" s="13" t="s">
        <v>321</v>
      </c>
      <c r="K148" s="16"/>
      <c r="L148" s="15"/>
      <c r="M148" s="15"/>
      <c r="N148" s="13"/>
      <c r="O148" s="13"/>
      <c r="P148" s="13"/>
      <c r="Q148" s="13"/>
      <c r="R148" s="14"/>
      <c r="S148" s="13"/>
      <c r="T148" s="15" t="s">
        <v>118</v>
      </c>
    </row>
    <row r="149" ht="34.5">
      <c r="A149" s="15" t="s">
        <v>110</v>
      </c>
      <c r="B149" s="15" t="s">
        <v>111</v>
      </c>
      <c r="C149" s="15" t="s">
        <v>318</v>
      </c>
      <c r="D149" s="15" t="s">
        <v>119</v>
      </c>
      <c r="E149" s="15" t="s">
        <v>313</v>
      </c>
      <c r="F149" s="13" t="s">
        <v>319</v>
      </c>
      <c r="G149" s="15" t="s">
        <v>123</v>
      </c>
      <c r="H149" s="13"/>
      <c r="I149" s="13"/>
      <c r="J149" s="13" t="s">
        <v>322</v>
      </c>
      <c r="K149" s="16"/>
      <c r="L149" s="15"/>
      <c r="M149" s="15"/>
      <c r="N149" s="13"/>
      <c r="O149" s="13"/>
      <c r="P149" s="13"/>
      <c r="Q149" s="13"/>
      <c r="R149" s="14"/>
      <c r="S149" s="13"/>
      <c r="T149" s="15" t="s">
        <v>118</v>
      </c>
    </row>
    <row r="150" ht="34.5">
      <c r="A150" s="15" t="s">
        <v>110</v>
      </c>
      <c r="B150" s="15" t="s">
        <v>111</v>
      </c>
      <c r="C150" s="15" t="s">
        <v>318</v>
      </c>
      <c r="D150" s="15" t="s">
        <v>323</v>
      </c>
      <c r="E150" s="15" t="s">
        <v>313</v>
      </c>
      <c r="F150" s="13" t="s">
        <v>319</v>
      </c>
      <c r="G150" s="15" t="s">
        <v>123</v>
      </c>
      <c r="H150" s="13"/>
      <c r="I150" s="13"/>
      <c r="J150" s="13" t="s">
        <v>324</v>
      </c>
      <c r="K150" s="16"/>
      <c r="L150" s="15"/>
      <c r="M150" s="15"/>
      <c r="N150" s="13"/>
      <c r="O150" s="13"/>
      <c r="P150" s="13"/>
      <c r="Q150" s="13"/>
      <c r="R150" s="14"/>
      <c r="S150" s="13"/>
      <c r="T150" s="15" t="s">
        <v>118</v>
      </c>
    </row>
    <row r="151" ht="34.5">
      <c r="A151" s="15" t="s">
        <v>110</v>
      </c>
      <c r="B151" s="15" t="s">
        <v>111</v>
      </c>
      <c r="C151" s="15" t="s">
        <v>318</v>
      </c>
      <c r="D151" s="15" t="s">
        <v>119</v>
      </c>
      <c r="E151" s="15" t="s">
        <v>325</v>
      </c>
      <c r="F151" s="13" t="s">
        <v>326</v>
      </c>
      <c r="G151" s="15" t="s">
        <v>327</v>
      </c>
      <c r="H151" s="13"/>
      <c r="I151" s="13"/>
      <c r="J151" s="13" t="s">
        <v>328</v>
      </c>
      <c r="K151" s="16"/>
      <c r="L151" s="15"/>
      <c r="M151" s="15"/>
      <c r="N151" s="13"/>
      <c r="O151" s="13"/>
      <c r="P151" s="13"/>
      <c r="Q151" s="13"/>
      <c r="R151" s="14"/>
      <c r="S151" s="13"/>
      <c r="T151" s="15" t="s">
        <v>118</v>
      </c>
    </row>
    <row r="152" ht="34.5">
      <c r="A152" s="15" t="s">
        <v>110</v>
      </c>
      <c r="B152" s="15" t="s">
        <v>111</v>
      </c>
      <c r="C152" s="15" t="s">
        <v>318</v>
      </c>
      <c r="D152" s="15" t="s">
        <v>323</v>
      </c>
      <c r="E152" s="15" t="s">
        <v>325</v>
      </c>
      <c r="F152" s="13" t="s">
        <v>326</v>
      </c>
      <c r="G152" s="15" t="s">
        <v>327</v>
      </c>
      <c r="H152" s="13"/>
      <c r="I152" s="13"/>
      <c r="J152" s="13" t="s">
        <v>329</v>
      </c>
      <c r="K152" s="16"/>
      <c r="L152" s="15"/>
      <c r="M152" s="15"/>
      <c r="N152" s="13"/>
      <c r="O152" s="13"/>
      <c r="P152" s="13"/>
      <c r="Q152" s="13"/>
      <c r="R152" s="14"/>
      <c r="S152" s="13"/>
      <c r="T152" s="15" t="s">
        <v>118</v>
      </c>
    </row>
    <row r="153" ht="34.5">
      <c r="A153" s="15" t="s">
        <v>110</v>
      </c>
      <c r="B153" s="15" t="s">
        <v>111</v>
      </c>
      <c r="C153" s="15" t="s">
        <v>330</v>
      </c>
      <c r="D153" s="15" t="s">
        <v>119</v>
      </c>
      <c r="E153" s="15" t="s">
        <v>325</v>
      </c>
      <c r="F153" s="13" t="s">
        <v>326</v>
      </c>
      <c r="G153" s="15" t="s">
        <v>327</v>
      </c>
      <c r="H153" s="13"/>
      <c r="I153" s="13"/>
      <c r="J153" s="13" t="s">
        <v>127</v>
      </c>
      <c r="K153" s="16"/>
      <c r="L153" s="15"/>
      <c r="M153" s="15"/>
      <c r="N153" s="13"/>
      <c r="O153" s="13"/>
      <c r="P153" s="13"/>
      <c r="Q153" s="13"/>
      <c r="R153" s="14"/>
      <c r="S153" s="13"/>
      <c r="T153" s="15" t="s">
        <v>118</v>
      </c>
    </row>
    <row r="154" ht="34.5">
      <c r="A154" s="15" t="s">
        <v>110</v>
      </c>
      <c r="B154" s="15" t="s">
        <v>111</v>
      </c>
      <c r="C154" s="15" t="s">
        <v>330</v>
      </c>
      <c r="D154" s="15" t="s">
        <v>119</v>
      </c>
      <c r="E154" s="15" t="s">
        <v>325</v>
      </c>
      <c r="F154" s="13" t="s">
        <v>326</v>
      </c>
      <c r="G154" s="15" t="s">
        <v>327</v>
      </c>
      <c r="H154" s="13"/>
      <c r="I154" s="13"/>
      <c r="J154" s="13" t="s">
        <v>128</v>
      </c>
      <c r="K154" s="16"/>
      <c r="L154" s="15"/>
      <c r="M154" s="15"/>
      <c r="N154" s="13"/>
      <c r="O154" s="13"/>
      <c r="P154" s="13"/>
      <c r="Q154" s="13"/>
      <c r="R154" s="14"/>
      <c r="S154" s="13"/>
      <c r="T154" s="15" t="s">
        <v>118</v>
      </c>
    </row>
    <row r="155" ht="34.5">
      <c r="A155" s="15" t="s">
        <v>110</v>
      </c>
      <c r="B155" s="15" t="s">
        <v>111</v>
      </c>
      <c r="C155" s="15" t="s">
        <v>330</v>
      </c>
      <c r="D155" s="15" t="s">
        <v>119</v>
      </c>
      <c r="E155" s="15" t="s">
        <v>325</v>
      </c>
      <c r="F155" s="13" t="s">
        <v>331</v>
      </c>
      <c r="G155" s="15" t="s">
        <v>327</v>
      </c>
      <c r="H155" s="13"/>
      <c r="I155" s="13"/>
      <c r="J155" s="13" t="s">
        <v>332</v>
      </c>
      <c r="K155" s="16"/>
      <c r="L155" s="15"/>
      <c r="M155" s="15"/>
      <c r="N155" s="13"/>
      <c r="O155" s="13"/>
      <c r="P155" s="13"/>
      <c r="Q155" s="13"/>
      <c r="R155" s="14"/>
      <c r="S155" s="13"/>
      <c r="T155" s="15" t="s">
        <v>118</v>
      </c>
    </row>
    <row r="156" ht="34.5">
      <c r="A156" s="15" t="s">
        <v>110</v>
      </c>
      <c r="B156" s="15" t="s">
        <v>111</v>
      </c>
      <c r="C156" s="15" t="s">
        <v>330</v>
      </c>
      <c r="D156" s="15" t="s">
        <v>333</v>
      </c>
      <c r="E156" s="15" t="s">
        <v>325</v>
      </c>
      <c r="F156" s="13" t="s">
        <v>331</v>
      </c>
      <c r="G156" s="15" t="s">
        <v>327</v>
      </c>
      <c r="H156" s="13"/>
      <c r="I156" s="13"/>
      <c r="J156" s="13" t="s">
        <v>334</v>
      </c>
      <c r="K156" s="16"/>
      <c r="L156" s="15"/>
      <c r="M156" s="15"/>
      <c r="N156" s="13"/>
      <c r="O156" s="13"/>
      <c r="P156" s="13"/>
      <c r="Q156" s="13"/>
      <c r="R156" s="14"/>
      <c r="S156" s="13"/>
      <c r="T156" s="15" t="s">
        <v>118</v>
      </c>
    </row>
    <row r="157" ht="34.5">
      <c r="A157" s="15" t="s">
        <v>110</v>
      </c>
      <c r="B157" s="15" t="s">
        <v>111</v>
      </c>
      <c r="C157" s="15" t="s">
        <v>330</v>
      </c>
      <c r="D157" s="15" t="s">
        <v>119</v>
      </c>
      <c r="E157" s="15" t="s">
        <v>325</v>
      </c>
      <c r="F157" s="13" t="s">
        <v>331</v>
      </c>
      <c r="G157" s="15" t="s">
        <v>327</v>
      </c>
      <c r="H157" s="13"/>
      <c r="I157" s="13"/>
      <c r="J157" s="13" t="s">
        <v>335</v>
      </c>
      <c r="K157" s="16"/>
      <c r="L157" s="15"/>
      <c r="M157" s="15"/>
      <c r="N157" s="13"/>
      <c r="O157" s="13"/>
      <c r="P157" s="13"/>
      <c r="Q157" s="13"/>
      <c r="R157" s="14"/>
      <c r="S157" s="13"/>
      <c r="T157" s="15" t="s">
        <v>118</v>
      </c>
    </row>
    <row r="158" ht="34.5">
      <c r="A158" s="15" t="s">
        <v>110</v>
      </c>
      <c r="B158" s="15" t="s">
        <v>111</v>
      </c>
      <c r="C158" s="15" t="s">
        <v>330</v>
      </c>
      <c r="D158" s="15" t="s">
        <v>336</v>
      </c>
      <c r="E158" s="15" t="s">
        <v>325</v>
      </c>
      <c r="F158" s="13" t="s">
        <v>331</v>
      </c>
      <c r="G158" s="15" t="s">
        <v>327</v>
      </c>
      <c r="H158" s="13"/>
      <c r="I158" s="13"/>
      <c r="J158" s="13" t="s">
        <v>337</v>
      </c>
      <c r="K158" s="16"/>
      <c r="L158" s="15"/>
      <c r="M158" s="15"/>
      <c r="N158" s="13"/>
      <c r="O158" s="13"/>
      <c r="P158" s="13"/>
      <c r="Q158" s="13"/>
      <c r="R158" s="14"/>
      <c r="S158" s="13"/>
      <c r="T158" s="15" t="s">
        <v>118</v>
      </c>
    </row>
    <row r="159" ht="34.5">
      <c r="A159" s="15" t="s">
        <v>110</v>
      </c>
      <c r="B159" s="15" t="s">
        <v>111</v>
      </c>
      <c r="C159" s="15" t="s">
        <v>330</v>
      </c>
      <c r="D159" s="15" t="s">
        <v>119</v>
      </c>
      <c r="E159" s="15" t="s">
        <v>325</v>
      </c>
      <c r="F159" s="13" t="s">
        <v>331</v>
      </c>
      <c r="G159" s="15" t="s">
        <v>327</v>
      </c>
      <c r="H159" s="13"/>
      <c r="I159" s="13"/>
      <c r="J159" s="13" t="s">
        <v>338</v>
      </c>
      <c r="K159" s="16"/>
      <c r="L159" s="15"/>
      <c r="M159" s="15"/>
      <c r="N159" s="13"/>
      <c r="O159" s="13"/>
      <c r="P159" s="13"/>
      <c r="Q159" s="13"/>
      <c r="R159" s="14"/>
      <c r="S159" s="13"/>
      <c r="T159" s="15" t="s">
        <v>118</v>
      </c>
    </row>
    <row r="160" ht="34.5">
      <c r="A160" s="15" t="s">
        <v>110</v>
      </c>
      <c r="B160" s="15" t="s">
        <v>111</v>
      </c>
      <c r="C160" s="15" t="s">
        <v>330</v>
      </c>
      <c r="D160" s="15" t="s">
        <v>333</v>
      </c>
      <c r="E160" s="15" t="s">
        <v>325</v>
      </c>
      <c r="F160" s="13" t="s">
        <v>331</v>
      </c>
      <c r="G160" s="15" t="s">
        <v>327</v>
      </c>
      <c r="H160" s="13"/>
      <c r="I160" s="13"/>
      <c r="J160" s="13" t="s">
        <v>339</v>
      </c>
      <c r="K160" s="16"/>
      <c r="L160" s="15"/>
      <c r="M160" s="15"/>
      <c r="N160" s="13"/>
      <c r="O160" s="13"/>
      <c r="P160" s="13"/>
      <c r="Q160" s="13"/>
      <c r="R160" s="14"/>
      <c r="S160" s="13"/>
      <c r="T160" s="15" t="s">
        <v>118</v>
      </c>
    </row>
    <row r="161" ht="34.5">
      <c r="A161" s="15" t="s">
        <v>110</v>
      </c>
      <c r="B161" s="15" t="s">
        <v>111</v>
      </c>
      <c r="C161" s="15" t="s">
        <v>330</v>
      </c>
      <c r="D161" s="15" t="s">
        <v>119</v>
      </c>
      <c r="E161" s="15" t="s">
        <v>325</v>
      </c>
      <c r="F161" s="13" t="s">
        <v>331</v>
      </c>
      <c r="G161" s="15" t="s">
        <v>327</v>
      </c>
      <c r="H161" s="13"/>
      <c r="I161" s="13"/>
      <c r="J161" s="13" t="s">
        <v>340</v>
      </c>
      <c r="K161" s="16"/>
      <c r="L161" s="15"/>
      <c r="M161" s="15"/>
      <c r="N161" s="13"/>
      <c r="O161" s="13"/>
      <c r="P161" s="13"/>
      <c r="Q161" s="13"/>
      <c r="R161" s="14"/>
      <c r="S161" s="13"/>
      <c r="T161" s="15" t="s">
        <v>118</v>
      </c>
    </row>
    <row r="162" ht="34.5">
      <c r="A162" s="15" t="s">
        <v>110</v>
      </c>
      <c r="B162" s="15" t="s">
        <v>111</v>
      </c>
      <c r="C162" s="15" t="s">
        <v>341</v>
      </c>
      <c r="D162" s="15" t="s">
        <v>119</v>
      </c>
      <c r="E162" s="15" t="s">
        <v>325</v>
      </c>
      <c r="F162" s="13" t="s">
        <v>331</v>
      </c>
      <c r="G162" s="15" t="s">
        <v>327</v>
      </c>
      <c r="H162" s="13"/>
      <c r="I162" s="13"/>
      <c r="J162" s="13" t="s">
        <v>134</v>
      </c>
      <c r="K162" s="16"/>
      <c r="L162" s="15"/>
      <c r="M162" s="15"/>
      <c r="N162" s="13"/>
      <c r="O162" s="13"/>
      <c r="P162" s="13"/>
      <c r="Q162" s="13"/>
      <c r="R162" s="14"/>
      <c r="S162" s="13"/>
      <c r="T162" s="15" t="s">
        <v>118</v>
      </c>
    </row>
    <row r="163" ht="34.5">
      <c r="A163" s="15" t="s">
        <v>110</v>
      </c>
      <c r="B163" s="15" t="s">
        <v>111</v>
      </c>
      <c r="C163" s="15" t="s">
        <v>341</v>
      </c>
      <c r="D163" s="15" t="s">
        <v>119</v>
      </c>
      <c r="E163" s="15" t="s">
        <v>342</v>
      </c>
      <c r="F163" s="13" t="s">
        <v>343</v>
      </c>
      <c r="G163" s="15" t="s">
        <v>344</v>
      </c>
      <c r="H163" s="13"/>
      <c r="I163" s="13"/>
      <c r="J163" s="13" t="s">
        <v>345</v>
      </c>
      <c r="K163" s="16"/>
      <c r="L163" s="15"/>
      <c r="M163" s="15"/>
      <c r="N163" s="13"/>
      <c r="O163" s="13"/>
      <c r="P163" s="13"/>
      <c r="Q163" s="13"/>
      <c r="R163" s="14"/>
      <c r="S163" s="13"/>
      <c r="T163" s="15" t="s">
        <v>118</v>
      </c>
    </row>
    <row r="164" ht="34.5">
      <c r="A164" s="15" t="s">
        <v>110</v>
      </c>
      <c r="B164" s="15" t="s">
        <v>111</v>
      </c>
      <c r="C164" s="15" t="s">
        <v>341</v>
      </c>
      <c r="D164" s="15" t="s">
        <v>119</v>
      </c>
      <c r="E164" s="15" t="s">
        <v>342</v>
      </c>
      <c r="F164" s="13" t="s">
        <v>343</v>
      </c>
      <c r="G164" s="15" t="s">
        <v>344</v>
      </c>
      <c r="H164" s="13"/>
      <c r="I164" s="13"/>
      <c r="J164" s="13" t="s">
        <v>346</v>
      </c>
      <c r="K164" s="16"/>
      <c r="L164" s="15"/>
      <c r="M164" s="15"/>
      <c r="N164" s="13"/>
      <c r="O164" s="13"/>
      <c r="P164" s="13"/>
      <c r="Q164" s="13"/>
      <c r="R164" s="14"/>
      <c r="S164" s="13"/>
      <c r="T164" s="15" t="s">
        <v>118</v>
      </c>
    </row>
    <row r="165" ht="34.5">
      <c r="A165" s="15" t="s">
        <v>110</v>
      </c>
      <c r="B165" s="15" t="s">
        <v>111</v>
      </c>
      <c r="C165" s="15" t="s">
        <v>341</v>
      </c>
      <c r="D165" s="15" t="s">
        <v>119</v>
      </c>
      <c r="E165" s="15" t="s">
        <v>342</v>
      </c>
      <c r="F165" s="13" t="s">
        <v>343</v>
      </c>
      <c r="G165" s="15" t="s">
        <v>344</v>
      </c>
      <c r="H165" s="13"/>
      <c r="I165" s="13"/>
      <c r="J165" s="13" t="s">
        <v>347</v>
      </c>
      <c r="K165" s="16">
        <v>1265128962</v>
      </c>
      <c r="L165" s="15" t="s">
        <v>142</v>
      </c>
      <c r="M165" s="15"/>
      <c r="N165" s="13"/>
      <c r="O165" s="13"/>
      <c r="P165" s="13"/>
      <c r="Q165" s="13"/>
      <c r="R165" s="14"/>
      <c r="S165" s="13"/>
      <c r="T165" s="15" t="s">
        <v>118</v>
      </c>
    </row>
    <row r="166" ht="34.5">
      <c r="A166" s="15" t="s">
        <v>110</v>
      </c>
      <c r="B166" s="15" t="s">
        <v>111</v>
      </c>
      <c r="C166" s="15" t="s">
        <v>341</v>
      </c>
      <c r="D166" s="15" t="s">
        <v>119</v>
      </c>
      <c r="E166" s="15" t="s">
        <v>342</v>
      </c>
      <c r="F166" s="13" t="s">
        <v>343</v>
      </c>
      <c r="G166" s="15" t="s">
        <v>344</v>
      </c>
      <c r="H166" s="13"/>
      <c r="I166" s="13"/>
      <c r="J166" s="13" t="s">
        <v>348</v>
      </c>
      <c r="K166" s="16">
        <v>24962</v>
      </c>
      <c r="L166" s="15" t="s">
        <v>142</v>
      </c>
      <c r="M166" s="15"/>
      <c r="N166" s="13"/>
      <c r="O166" s="13"/>
      <c r="P166" s="13"/>
      <c r="Q166" s="13"/>
      <c r="R166" s="14"/>
      <c r="S166" s="13"/>
      <c r="T166" s="15" t="s">
        <v>118</v>
      </c>
    </row>
    <row r="167" ht="34.5">
      <c r="A167" s="15" t="s">
        <v>110</v>
      </c>
      <c r="B167" s="15" t="s">
        <v>111</v>
      </c>
      <c r="C167" s="15" t="s">
        <v>341</v>
      </c>
      <c r="D167" s="15" t="s">
        <v>119</v>
      </c>
      <c r="E167" s="15" t="s">
        <v>342</v>
      </c>
      <c r="F167" s="13" t="s">
        <v>343</v>
      </c>
      <c r="G167" s="15" t="s">
        <v>344</v>
      </c>
      <c r="H167" s="13"/>
      <c r="I167" s="13"/>
      <c r="J167" s="13" t="s">
        <v>349</v>
      </c>
      <c r="K167" s="16"/>
      <c r="L167" s="15"/>
      <c r="M167" s="15"/>
      <c r="N167" s="13"/>
      <c r="O167" s="13"/>
      <c r="P167" s="13"/>
      <c r="Q167" s="13"/>
      <c r="R167" s="14"/>
      <c r="S167" s="13"/>
      <c r="T167" s="15" t="s">
        <v>118</v>
      </c>
    </row>
    <row r="168" ht="34.5">
      <c r="A168" s="15" t="s">
        <v>110</v>
      </c>
      <c r="B168" s="15" t="s">
        <v>111</v>
      </c>
      <c r="C168" s="15" t="s">
        <v>341</v>
      </c>
      <c r="D168" s="15" t="s">
        <v>350</v>
      </c>
      <c r="E168" s="15" t="s">
        <v>342</v>
      </c>
      <c r="F168" s="13" t="s">
        <v>343</v>
      </c>
      <c r="G168" s="15" t="s">
        <v>344</v>
      </c>
      <c r="H168" s="13"/>
      <c r="I168" s="13"/>
      <c r="J168" s="13" t="s">
        <v>351</v>
      </c>
      <c r="K168" s="16"/>
      <c r="L168" s="15"/>
      <c r="M168" s="15"/>
      <c r="N168" s="13"/>
      <c r="O168" s="13"/>
      <c r="P168" s="13"/>
      <c r="Q168" s="13"/>
      <c r="R168" s="14"/>
      <c r="S168" s="13"/>
      <c r="T168" s="15" t="s">
        <v>118</v>
      </c>
    </row>
    <row r="169" ht="34.5">
      <c r="A169" s="15" t="s">
        <v>110</v>
      </c>
      <c r="B169" s="15" t="s">
        <v>111</v>
      </c>
      <c r="C169" s="15" t="s">
        <v>341</v>
      </c>
      <c r="D169" s="15" t="s">
        <v>119</v>
      </c>
      <c r="E169" s="15" t="s">
        <v>342</v>
      </c>
      <c r="F169" s="13" t="s">
        <v>343</v>
      </c>
      <c r="G169" s="15" t="s">
        <v>344</v>
      </c>
      <c r="H169" s="13"/>
      <c r="I169" s="13"/>
      <c r="J169" s="13" t="s">
        <v>352</v>
      </c>
      <c r="K169" s="16"/>
      <c r="L169" s="15"/>
      <c r="M169" s="15"/>
      <c r="N169" s="13"/>
      <c r="O169" s="13"/>
      <c r="P169" s="13"/>
      <c r="Q169" s="13"/>
      <c r="R169" s="14"/>
      <c r="S169" s="13"/>
      <c r="T169" s="15" t="s">
        <v>118</v>
      </c>
    </row>
    <row r="170" ht="34.5">
      <c r="A170" s="15" t="s">
        <v>110</v>
      </c>
      <c r="B170" s="15" t="s">
        <v>111</v>
      </c>
      <c r="C170" s="15" t="s">
        <v>341</v>
      </c>
      <c r="D170" s="15" t="s">
        <v>119</v>
      </c>
      <c r="E170" s="15" t="s">
        <v>342</v>
      </c>
      <c r="F170" s="13" t="s">
        <v>343</v>
      </c>
      <c r="G170" s="15" t="s">
        <v>344</v>
      </c>
      <c r="H170" s="13"/>
      <c r="I170" s="13"/>
      <c r="J170" s="13" t="s">
        <v>353</v>
      </c>
      <c r="K170" s="16">
        <v>2161880</v>
      </c>
      <c r="L170" s="15" t="s">
        <v>142</v>
      </c>
      <c r="M170" s="15"/>
      <c r="N170" s="13"/>
      <c r="O170" s="13"/>
      <c r="P170" s="13"/>
      <c r="Q170" s="13"/>
      <c r="R170" s="14"/>
      <c r="S170" s="13"/>
      <c r="T170" s="15" t="s">
        <v>118</v>
      </c>
    </row>
    <row r="171" ht="34.5">
      <c r="A171" s="15" t="s">
        <v>110</v>
      </c>
      <c r="B171" s="15" t="s">
        <v>111</v>
      </c>
      <c r="C171" s="15" t="s">
        <v>341</v>
      </c>
      <c r="D171" s="15" t="s">
        <v>119</v>
      </c>
      <c r="E171" s="15" t="s">
        <v>354</v>
      </c>
      <c r="F171" s="13" t="s">
        <v>355</v>
      </c>
      <c r="G171" s="15" t="s">
        <v>356</v>
      </c>
      <c r="H171" s="13"/>
      <c r="I171" s="13"/>
      <c r="J171" s="13" t="s">
        <v>357</v>
      </c>
      <c r="K171" s="16"/>
      <c r="L171" s="15"/>
      <c r="M171" s="15"/>
      <c r="N171" s="13"/>
      <c r="O171" s="13"/>
      <c r="P171" s="13"/>
      <c r="Q171" s="13"/>
      <c r="R171" s="14"/>
      <c r="S171" s="13"/>
      <c r="T171" s="15" t="s">
        <v>118</v>
      </c>
    </row>
    <row r="172" ht="34.5">
      <c r="A172" s="15" t="s">
        <v>110</v>
      </c>
      <c r="B172" s="15" t="s">
        <v>111</v>
      </c>
      <c r="C172" s="15" t="s">
        <v>341</v>
      </c>
      <c r="D172" s="15" t="s">
        <v>119</v>
      </c>
      <c r="E172" s="15" t="s">
        <v>354</v>
      </c>
      <c r="F172" s="13" t="s">
        <v>355</v>
      </c>
      <c r="G172" s="15" t="s">
        <v>356</v>
      </c>
      <c r="H172" s="13"/>
      <c r="I172" s="13"/>
      <c r="J172" s="13" t="s">
        <v>358</v>
      </c>
      <c r="K172" s="16"/>
      <c r="L172" s="15"/>
      <c r="M172" s="15"/>
      <c r="N172" s="13"/>
      <c r="O172" s="13"/>
      <c r="P172" s="13"/>
      <c r="Q172" s="13"/>
      <c r="R172" s="14"/>
      <c r="S172" s="13"/>
      <c r="T172" s="15" t="s">
        <v>118</v>
      </c>
    </row>
    <row r="173" ht="34.5">
      <c r="A173" s="15" t="s">
        <v>110</v>
      </c>
      <c r="B173" s="15" t="s">
        <v>111</v>
      </c>
      <c r="C173" s="15" t="s">
        <v>341</v>
      </c>
      <c r="D173" s="15" t="s">
        <v>119</v>
      </c>
      <c r="E173" s="15" t="s">
        <v>354</v>
      </c>
      <c r="F173" s="13" t="s">
        <v>355</v>
      </c>
      <c r="G173" s="15" t="s">
        <v>356</v>
      </c>
      <c r="H173" s="13"/>
      <c r="I173" s="13"/>
      <c r="J173" s="13" t="s">
        <v>359</v>
      </c>
      <c r="K173" s="16"/>
      <c r="L173" s="15"/>
      <c r="M173" s="15"/>
      <c r="N173" s="13"/>
      <c r="O173" s="13"/>
      <c r="P173" s="13"/>
      <c r="Q173" s="13"/>
      <c r="R173" s="14"/>
      <c r="S173" s="13"/>
      <c r="T173" s="15" t="s">
        <v>118</v>
      </c>
    </row>
    <row r="174" ht="34.5">
      <c r="A174" s="15" t="s">
        <v>110</v>
      </c>
      <c r="B174" s="15" t="s">
        <v>111</v>
      </c>
      <c r="C174" s="15" t="s">
        <v>360</v>
      </c>
      <c r="D174" s="15" t="s">
        <v>119</v>
      </c>
      <c r="E174" s="15" t="s">
        <v>354</v>
      </c>
      <c r="F174" s="13" t="s">
        <v>355</v>
      </c>
      <c r="G174" s="15" t="s">
        <v>356</v>
      </c>
      <c r="H174" s="13"/>
      <c r="I174" s="13"/>
      <c r="J174" s="13" t="s">
        <v>127</v>
      </c>
      <c r="K174" s="16"/>
      <c r="L174" s="15"/>
      <c r="M174" s="15"/>
      <c r="N174" s="13"/>
      <c r="O174" s="13"/>
      <c r="P174" s="13"/>
      <c r="Q174" s="13"/>
      <c r="R174" s="14"/>
      <c r="S174" s="13"/>
      <c r="T174" s="15" t="s">
        <v>118</v>
      </c>
    </row>
    <row r="175" ht="34.5">
      <c r="A175" s="15" t="s">
        <v>110</v>
      </c>
      <c r="B175" s="15" t="s">
        <v>111</v>
      </c>
      <c r="C175" s="15" t="s">
        <v>360</v>
      </c>
      <c r="D175" s="15" t="s">
        <v>119</v>
      </c>
      <c r="E175" s="15" t="s">
        <v>354</v>
      </c>
      <c r="F175" s="13" t="s">
        <v>355</v>
      </c>
      <c r="G175" s="15" t="s">
        <v>356</v>
      </c>
      <c r="H175" s="13"/>
      <c r="I175" s="13"/>
      <c r="J175" s="13" t="s">
        <v>128</v>
      </c>
      <c r="K175" s="16"/>
      <c r="L175" s="15"/>
      <c r="M175" s="15"/>
      <c r="N175" s="13"/>
      <c r="O175" s="13"/>
      <c r="P175" s="13"/>
      <c r="Q175" s="13"/>
      <c r="R175" s="14"/>
      <c r="S175" s="13"/>
      <c r="T175" s="15" t="s">
        <v>118</v>
      </c>
    </row>
    <row r="176" ht="34.5">
      <c r="A176" s="15" t="s">
        <v>110</v>
      </c>
      <c r="B176" s="15" t="s">
        <v>111</v>
      </c>
      <c r="C176" s="15" t="s">
        <v>360</v>
      </c>
      <c r="D176" s="15" t="s">
        <v>119</v>
      </c>
      <c r="E176" s="15" t="s">
        <v>354</v>
      </c>
      <c r="F176" s="13" t="s">
        <v>361</v>
      </c>
      <c r="G176" s="15" t="s">
        <v>356</v>
      </c>
      <c r="H176" s="13"/>
      <c r="I176" s="13"/>
      <c r="J176" s="13" t="s">
        <v>362</v>
      </c>
      <c r="K176" s="16"/>
      <c r="L176" s="15"/>
      <c r="M176" s="15"/>
      <c r="N176" s="13"/>
      <c r="O176" s="13"/>
      <c r="P176" s="13"/>
      <c r="Q176" s="13"/>
      <c r="R176" s="14"/>
      <c r="S176" s="13"/>
      <c r="T176" s="15" t="s">
        <v>118</v>
      </c>
    </row>
    <row r="177" ht="34.5">
      <c r="A177" s="15" t="s">
        <v>110</v>
      </c>
      <c r="B177" s="15" t="s">
        <v>111</v>
      </c>
      <c r="C177" s="15" t="s">
        <v>360</v>
      </c>
      <c r="D177" s="15" t="s">
        <v>119</v>
      </c>
      <c r="E177" s="15" t="s">
        <v>354</v>
      </c>
      <c r="F177" s="13" t="s">
        <v>361</v>
      </c>
      <c r="G177" s="15" t="s">
        <v>356</v>
      </c>
      <c r="H177" s="13"/>
      <c r="I177" s="13"/>
      <c r="J177" s="13" t="s">
        <v>363</v>
      </c>
      <c r="K177" s="16"/>
      <c r="L177" s="15"/>
      <c r="M177" s="15"/>
      <c r="N177" s="13"/>
      <c r="O177" s="13"/>
      <c r="P177" s="13"/>
      <c r="Q177" s="13"/>
      <c r="R177" s="14"/>
      <c r="S177" s="13"/>
      <c r="T177" s="15" t="s">
        <v>118</v>
      </c>
    </row>
    <row r="178" ht="34.5">
      <c r="A178" s="15" t="s">
        <v>110</v>
      </c>
      <c r="B178" s="15" t="s">
        <v>111</v>
      </c>
      <c r="C178" s="15" t="s">
        <v>360</v>
      </c>
      <c r="D178" s="15" t="s">
        <v>364</v>
      </c>
      <c r="E178" s="15" t="s">
        <v>354</v>
      </c>
      <c r="F178" s="13" t="s">
        <v>361</v>
      </c>
      <c r="G178" s="15" t="s">
        <v>356</v>
      </c>
      <c r="H178" s="13"/>
      <c r="I178" s="13"/>
      <c r="J178" s="13" t="s">
        <v>365</v>
      </c>
      <c r="K178" s="16"/>
      <c r="L178" s="15"/>
      <c r="M178" s="15"/>
      <c r="N178" s="13"/>
      <c r="O178" s="13"/>
      <c r="P178" s="13"/>
      <c r="Q178" s="13"/>
      <c r="R178" s="14"/>
      <c r="S178" s="13"/>
      <c r="T178" s="15" t="s">
        <v>118</v>
      </c>
    </row>
    <row r="179" ht="34.5">
      <c r="A179" s="15" t="s">
        <v>110</v>
      </c>
      <c r="B179" s="15" t="s">
        <v>111</v>
      </c>
      <c r="C179" s="15" t="s">
        <v>360</v>
      </c>
      <c r="D179" s="15" t="s">
        <v>119</v>
      </c>
      <c r="E179" s="15" t="s">
        <v>354</v>
      </c>
      <c r="F179" s="13" t="s">
        <v>361</v>
      </c>
      <c r="G179" s="15" t="s">
        <v>356</v>
      </c>
      <c r="H179" s="13"/>
      <c r="I179" s="13"/>
      <c r="J179" s="13" t="s">
        <v>366</v>
      </c>
      <c r="K179" s="16"/>
      <c r="L179" s="15"/>
      <c r="M179" s="15"/>
      <c r="N179" s="13"/>
      <c r="O179" s="13"/>
      <c r="P179" s="13"/>
      <c r="Q179" s="13"/>
      <c r="R179" s="14"/>
      <c r="S179" s="13"/>
      <c r="T179" s="15" t="s">
        <v>118</v>
      </c>
    </row>
    <row r="180" ht="34.5">
      <c r="A180" s="15" t="s">
        <v>110</v>
      </c>
      <c r="B180" s="15" t="s">
        <v>111</v>
      </c>
      <c r="C180" s="15" t="s">
        <v>360</v>
      </c>
      <c r="D180" s="15" t="s">
        <v>364</v>
      </c>
      <c r="E180" s="15" t="s">
        <v>354</v>
      </c>
      <c r="F180" s="13" t="s">
        <v>361</v>
      </c>
      <c r="G180" s="15" t="s">
        <v>356</v>
      </c>
      <c r="H180" s="13"/>
      <c r="I180" s="13"/>
      <c r="J180" s="13" t="s">
        <v>367</v>
      </c>
      <c r="K180" s="16"/>
      <c r="L180" s="15"/>
      <c r="M180" s="15"/>
      <c r="N180" s="13"/>
      <c r="O180" s="13"/>
      <c r="P180" s="13"/>
      <c r="Q180" s="13"/>
      <c r="R180" s="14"/>
      <c r="S180" s="13"/>
      <c r="T180" s="15" t="s">
        <v>118</v>
      </c>
    </row>
    <row r="181" ht="34.5">
      <c r="A181" s="15" t="s">
        <v>110</v>
      </c>
      <c r="B181" s="15" t="s">
        <v>111</v>
      </c>
      <c r="C181" s="15" t="s">
        <v>368</v>
      </c>
      <c r="D181" s="15" t="s">
        <v>119</v>
      </c>
      <c r="E181" s="15" t="s">
        <v>354</v>
      </c>
      <c r="F181" s="13" t="s">
        <v>361</v>
      </c>
      <c r="G181" s="15" t="s">
        <v>356</v>
      </c>
      <c r="H181" s="13"/>
      <c r="I181" s="13"/>
      <c r="J181" s="13" t="s">
        <v>369</v>
      </c>
      <c r="K181" s="16"/>
      <c r="L181" s="15"/>
      <c r="M181" s="15"/>
      <c r="N181" s="13"/>
      <c r="O181" s="13"/>
      <c r="P181" s="13"/>
      <c r="Q181" s="13"/>
      <c r="R181" s="14"/>
      <c r="S181" s="13"/>
      <c r="T181" s="15" t="s">
        <v>118</v>
      </c>
    </row>
    <row r="182" ht="34.5">
      <c r="A182" s="15" t="s">
        <v>110</v>
      </c>
      <c r="B182" s="15" t="s">
        <v>111</v>
      </c>
      <c r="C182" s="15" t="s">
        <v>368</v>
      </c>
      <c r="D182" s="15" t="s">
        <v>370</v>
      </c>
      <c r="E182" s="15" t="s">
        <v>354</v>
      </c>
      <c r="F182" s="13" t="s">
        <v>361</v>
      </c>
      <c r="G182" s="15" t="s">
        <v>356</v>
      </c>
      <c r="H182" s="13"/>
      <c r="I182" s="13"/>
      <c r="J182" s="13" t="s">
        <v>371</v>
      </c>
      <c r="K182" s="16"/>
      <c r="L182" s="15"/>
      <c r="M182" s="15"/>
      <c r="N182" s="13"/>
      <c r="O182" s="13"/>
      <c r="P182" s="13"/>
      <c r="Q182" s="13"/>
      <c r="R182" s="14"/>
      <c r="S182" s="13"/>
      <c r="T182" s="15" t="s">
        <v>118</v>
      </c>
    </row>
    <row r="183" ht="34.5">
      <c r="A183" s="15" t="s">
        <v>110</v>
      </c>
      <c r="B183" s="15" t="s">
        <v>111</v>
      </c>
      <c r="C183" s="15" t="s">
        <v>368</v>
      </c>
      <c r="D183" s="15" t="s">
        <v>119</v>
      </c>
      <c r="E183" s="15" t="s">
        <v>354</v>
      </c>
      <c r="F183" s="13" t="s">
        <v>361</v>
      </c>
      <c r="G183" s="15" t="s">
        <v>356</v>
      </c>
      <c r="H183" s="13"/>
      <c r="I183" s="13"/>
      <c r="J183" s="13" t="s">
        <v>372</v>
      </c>
      <c r="K183" s="16"/>
      <c r="L183" s="15"/>
      <c r="M183" s="15"/>
      <c r="N183" s="13"/>
      <c r="O183" s="13"/>
      <c r="P183" s="13"/>
      <c r="Q183" s="13"/>
      <c r="R183" s="14"/>
      <c r="S183" s="13"/>
      <c r="T183" s="15" t="s">
        <v>118</v>
      </c>
    </row>
    <row r="184" ht="34.5">
      <c r="A184" s="15" t="s">
        <v>110</v>
      </c>
      <c r="B184" s="15" t="s">
        <v>111</v>
      </c>
      <c r="C184" s="15" t="s">
        <v>368</v>
      </c>
      <c r="D184" s="15" t="s">
        <v>370</v>
      </c>
      <c r="E184" s="15" t="s">
        <v>354</v>
      </c>
      <c r="F184" s="13" t="s">
        <v>361</v>
      </c>
      <c r="G184" s="15" t="s">
        <v>356</v>
      </c>
      <c r="H184" s="13"/>
      <c r="I184" s="13"/>
      <c r="J184" s="13" t="s">
        <v>373</v>
      </c>
      <c r="K184" s="16"/>
      <c r="L184" s="15"/>
      <c r="M184" s="15"/>
      <c r="N184" s="13"/>
      <c r="O184" s="13"/>
      <c r="P184" s="13"/>
      <c r="Q184" s="13"/>
      <c r="R184" s="14"/>
      <c r="S184" s="13"/>
      <c r="T184" s="15" t="s">
        <v>118</v>
      </c>
    </row>
    <row r="185" ht="34.5">
      <c r="A185" s="15" t="s">
        <v>110</v>
      </c>
      <c r="B185" s="15" t="s">
        <v>111</v>
      </c>
      <c r="C185" s="15" t="s">
        <v>368</v>
      </c>
      <c r="D185" s="15" t="s">
        <v>119</v>
      </c>
      <c r="E185" s="15" t="s">
        <v>354</v>
      </c>
      <c r="F185" s="13" t="s">
        <v>361</v>
      </c>
      <c r="G185" s="15" t="s">
        <v>356</v>
      </c>
      <c r="H185" s="13"/>
      <c r="I185" s="13"/>
      <c r="J185" s="13" t="s">
        <v>374</v>
      </c>
      <c r="K185" s="16"/>
      <c r="L185" s="15"/>
      <c r="M185" s="15"/>
      <c r="N185" s="13"/>
      <c r="O185" s="13"/>
      <c r="P185" s="13"/>
      <c r="Q185" s="13"/>
      <c r="R185" s="14"/>
      <c r="S185" s="13"/>
      <c r="T185" s="15" t="s">
        <v>118</v>
      </c>
    </row>
    <row r="186" ht="34.5">
      <c r="A186" s="15" t="s">
        <v>110</v>
      </c>
      <c r="B186" s="15" t="s">
        <v>111</v>
      </c>
      <c r="C186" s="15" t="s">
        <v>368</v>
      </c>
      <c r="D186" s="15" t="s">
        <v>119</v>
      </c>
      <c r="E186" s="15" t="s">
        <v>354</v>
      </c>
      <c r="F186" s="13" t="s">
        <v>361</v>
      </c>
      <c r="G186" s="15" t="s">
        <v>356</v>
      </c>
      <c r="H186" s="13"/>
      <c r="I186" s="13"/>
      <c r="J186" s="13" t="s">
        <v>375</v>
      </c>
      <c r="K186" s="16"/>
      <c r="L186" s="15"/>
      <c r="M186" s="15"/>
      <c r="N186" s="13"/>
      <c r="O186" s="13"/>
      <c r="P186" s="13"/>
      <c r="Q186" s="13"/>
      <c r="R186" s="14"/>
      <c r="S186" s="13"/>
      <c r="T186" s="15" t="s">
        <v>118</v>
      </c>
    </row>
    <row r="187" ht="34.5">
      <c r="A187" s="15" t="s">
        <v>110</v>
      </c>
      <c r="B187" s="15" t="s">
        <v>111</v>
      </c>
      <c r="C187" s="15" t="s">
        <v>368</v>
      </c>
      <c r="D187" s="15" t="s">
        <v>119</v>
      </c>
      <c r="E187" s="15" t="s">
        <v>354</v>
      </c>
      <c r="F187" s="13" t="s">
        <v>361</v>
      </c>
      <c r="G187" s="15" t="s">
        <v>356</v>
      </c>
      <c r="H187" s="13"/>
      <c r="I187" s="13"/>
      <c r="J187" s="13" t="s">
        <v>376</v>
      </c>
      <c r="K187" s="16"/>
      <c r="L187" s="15"/>
      <c r="M187" s="15"/>
      <c r="N187" s="13"/>
      <c r="O187" s="13"/>
      <c r="P187" s="13"/>
      <c r="Q187" s="13"/>
      <c r="R187" s="14"/>
      <c r="S187" s="13"/>
      <c r="T187" s="15" t="s">
        <v>118</v>
      </c>
    </row>
    <row r="188" ht="34.5">
      <c r="A188" s="15" t="s">
        <v>110</v>
      </c>
      <c r="B188" s="15" t="s">
        <v>111</v>
      </c>
      <c r="C188" s="15" t="s">
        <v>368</v>
      </c>
      <c r="D188" s="15" t="s">
        <v>119</v>
      </c>
      <c r="E188" s="15" t="s">
        <v>354</v>
      </c>
      <c r="F188" s="13" t="s">
        <v>361</v>
      </c>
      <c r="G188" s="15" t="s">
        <v>356</v>
      </c>
      <c r="H188" s="13"/>
      <c r="I188" s="13"/>
      <c r="J188" s="13" t="s">
        <v>377</v>
      </c>
      <c r="K188" s="16"/>
      <c r="L188" s="15"/>
      <c r="M188" s="15"/>
      <c r="N188" s="13"/>
      <c r="O188" s="13"/>
      <c r="P188" s="13"/>
      <c r="Q188" s="13"/>
      <c r="R188" s="14"/>
      <c r="S188" s="13"/>
      <c r="T188" s="15" t="s">
        <v>118</v>
      </c>
    </row>
    <row r="189" ht="34.5">
      <c r="A189" s="15" t="s">
        <v>110</v>
      </c>
      <c r="B189" s="15" t="s">
        <v>111</v>
      </c>
      <c r="C189" s="15" t="s">
        <v>378</v>
      </c>
      <c r="D189" s="15" t="s">
        <v>119</v>
      </c>
      <c r="E189" s="15" t="s">
        <v>354</v>
      </c>
      <c r="F189" s="13" t="s">
        <v>361</v>
      </c>
      <c r="G189" s="15" t="s">
        <v>356</v>
      </c>
      <c r="H189" s="13"/>
      <c r="I189" s="13"/>
      <c r="J189" s="13" t="s">
        <v>379</v>
      </c>
      <c r="K189" s="16"/>
      <c r="L189" s="15"/>
      <c r="M189" s="15"/>
      <c r="N189" s="13"/>
      <c r="O189" s="13"/>
      <c r="P189" s="13"/>
      <c r="Q189" s="13"/>
      <c r="R189" s="14"/>
      <c r="S189" s="13"/>
      <c r="T189" s="15" t="s">
        <v>118</v>
      </c>
    </row>
    <row r="190" ht="34.5">
      <c r="A190" s="15" t="s">
        <v>110</v>
      </c>
      <c r="B190" s="15" t="s">
        <v>111</v>
      </c>
      <c r="C190" s="15" t="s">
        <v>378</v>
      </c>
      <c r="D190" s="15" t="s">
        <v>119</v>
      </c>
      <c r="E190" s="15" t="s">
        <v>380</v>
      </c>
      <c r="F190" s="13" t="s">
        <v>381</v>
      </c>
      <c r="G190" s="15" t="s">
        <v>382</v>
      </c>
      <c r="H190" s="13"/>
      <c r="I190" s="13"/>
      <c r="J190" s="13" t="s">
        <v>383</v>
      </c>
      <c r="K190" s="16"/>
      <c r="L190" s="15"/>
      <c r="M190" s="15"/>
      <c r="N190" s="13"/>
      <c r="O190" s="13"/>
      <c r="P190" s="13"/>
      <c r="Q190" s="13"/>
      <c r="R190" s="14"/>
      <c r="S190" s="13"/>
      <c r="T190" s="15" t="s">
        <v>118</v>
      </c>
    </row>
    <row r="191" ht="34.5">
      <c r="A191" s="15" t="s">
        <v>110</v>
      </c>
      <c r="B191" s="15" t="s">
        <v>111</v>
      </c>
      <c r="C191" s="15" t="s">
        <v>378</v>
      </c>
      <c r="D191" s="15" t="s">
        <v>119</v>
      </c>
      <c r="E191" s="15" t="s">
        <v>380</v>
      </c>
      <c r="F191" s="13" t="s">
        <v>381</v>
      </c>
      <c r="G191" s="15" t="s">
        <v>382</v>
      </c>
      <c r="H191" s="13"/>
      <c r="I191" s="13"/>
      <c r="J191" s="13" t="s">
        <v>384</v>
      </c>
      <c r="K191" s="16"/>
      <c r="L191" s="15"/>
      <c r="M191" s="15"/>
      <c r="N191" s="13"/>
      <c r="O191" s="13"/>
      <c r="P191" s="13"/>
      <c r="Q191" s="13"/>
      <c r="R191" s="14"/>
      <c r="S191" s="13"/>
      <c r="T191" s="15" t="s">
        <v>118</v>
      </c>
    </row>
    <row r="192" ht="34.5">
      <c r="A192" s="15" t="s">
        <v>110</v>
      </c>
      <c r="B192" s="15" t="s">
        <v>111</v>
      </c>
      <c r="C192" s="15" t="s">
        <v>378</v>
      </c>
      <c r="D192" s="15" t="s">
        <v>119</v>
      </c>
      <c r="E192" s="15" t="s">
        <v>380</v>
      </c>
      <c r="F192" s="13" t="s">
        <v>381</v>
      </c>
      <c r="G192" s="15" t="s">
        <v>382</v>
      </c>
      <c r="H192" s="13"/>
      <c r="I192" s="13"/>
      <c r="J192" s="13" t="s">
        <v>385</v>
      </c>
      <c r="K192" s="16"/>
      <c r="L192" s="15"/>
      <c r="M192" s="15"/>
      <c r="N192" s="13"/>
      <c r="O192" s="13"/>
      <c r="P192" s="13"/>
      <c r="Q192" s="13"/>
      <c r="R192" s="14"/>
      <c r="S192" s="13"/>
      <c r="T192" s="15" t="s">
        <v>118</v>
      </c>
    </row>
    <row r="193" ht="34.5">
      <c r="A193" s="15" t="s">
        <v>110</v>
      </c>
      <c r="B193" s="15" t="s">
        <v>111</v>
      </c>
      <c r="C193" s="15" t="s">
        <v>378</v>
      </c>
      <c r="D193" s="15" t="s">
        <v>119</v>
      </c>
      <c r="E193" s="15" t="s">
        <v>380</v>
      </c>
      <c r="F193" s="13" t="s">
        <v>381</v>
      </c>
      <c r="G193" s="15" t="s">
        <v>382</v>
      </c>
      <c r="H193" s="13"/>
      <c r="I193" s="13"/>
      <c r="J193" s="13" t="s">
        <v>386</v>
      </c>
      <c r="K193" s="16"/>
      <c r="L193" s="15"/>
      <c r="M193" s="15"/>
      <c r="N193" s="13"/>
      <c r="O193" s="13"/>
      <c r="P193" s="13"/>
      <c r="Q193" s="13"/>
      <c r="R193" s="14"/>
      <c r="S193" s="13"/>
      <c r="T193" s="15" t="s">
        <v>118</v>
      </c>
    </row>
    <row r="194" ht="34.5">
      <c r="A194" s="15" t="s">
        <v>110</v>
      </c>
      <c r="B194" s="15" t="s">
        <v>111</v>
      </c>
      <c r="C194" s="15" t="s">
        <v>378</v>
      </c>
      <c r="D194" s="15" t="s">
        <v>119</v>
      </c>
      <c r="E194" s="15" t="s">
        <v>380</v>
      </c>
      <c r="F194" s="13" t="s">
        <v>381</v>
      </c>
      <c r="G194" s="15" t="s">
        <v>382</v>
      </c>
      <c r="H194" s="13"/>
      <c r="I194" s="13"/>
      <c r="J194" s="13" t="s">
        <v>387</v>
      </c>
      <c r="K194" s="16"/>
      <c r="L194" s="15"/>
      <c r="M194" s="15"/>
      <c r="N194" s="13"/>
      <c r="O194" s="13"/>
      <c r="P194" s="13"/>
      <c r="Q194" s="13"/>
      <c r="R194" s="14"/>
      <c r="S194" s="13"/>
      <c r="T194" s="15" t="s">
        <v>118</v>
      </c>
    </row>
    <row r="195" ht="34.5">
      <c r="A195" s="15" t="s">
        <v>110</v>
      </c>
      <c r="B195" s="15" t="s">
        <v>111</v>
      </c>
      <c r="C195" s="15" t="s">
        <v>378</v>
      </c>
      <c r="D195" s="15" t="s">
        <v>119</v>
      </c>
      <c r="E195" s="15" t="s">
        <v>380</v>
      </c>
      <c r="F195" s="13" t="s">
        <v>381</v>
      </c>
      <c r="G195" s="15" t="s">
        <v>382</v>
      </c>
      <c r="H195" s="13"/>
      <c r="I195" s="13"/>
      <c r="J195" s="13" t="s">
        <v>388</v>
      </c>
      <c r="K195" s="16"/>
      <c r="L195" s="15"/>
      <c r="M195" s="15"/>
      <c r="N195" s="13"/>
      <c r="O195" s="13"/>
      <c r="P195" s="13"/>
      <c r="Q195" s="13"/>
      <c r="R195" s="14"/>
      <c r="S195" s="13"/>
      <c r="T195" s="15" t="s">
        <v>118</v>
      </c>
    </row>
    <row r="196" ht="34.5">
      <c r="A196" s="15" t="s">
        <v>110</v>
      </c>
      <c r="B196" s="15" t="s">
        <v>111</v>
      </c>
      <c r="C196" s="15" t="s">
        <v>378</v>
      </c>
      <c r="D196" s="15" t="s">
        <v>119</v>
      </c>
      <c r="E196" s="15" t="s">
        <v>380</v>
      </c>
      <c r="F196" s="13" t="s">
        <v>381</v>
      </c>
      <c r="G196" s="15" t="s">
        <v>382</v>
      </c>
      <c r="H196" s="13"/>
      <c r="I196" s="13"/>
      <c r="J196" s="13" t="s">
        <v>389</v>
      </c>
      <c r="K196" s="16"/>
      <c r="L196" s="15"/>
      <c r="M196" s="15"/>
      <c r="N196" s="13"/>
      <c r="O196" s="13"/>
      <c r="P196" s="13"/>
      <c r="Q196" s="13"/>
      <c r="R196" s="14"/>
      <c r="S196" s="13"/>
      <c r="T196" s="15" t="s">
        <v>118</v>
      </c>
    </row>
    <row r="197" ht="34.5">
      <c r="A197" s="15" t="s">
        <v>110</v>
      </c>
      <c r="B197" s="15" t="s">
        <v>111</v>
      </c>
      <c r="C197" s="15" t="s">
        <v>390</v>
      </c>
      <c r="D197" s="15" t="s">
        <v>119</v>
      </c>
      <c r="E197" s="15" t="s">
        <v>380</v>
      </c>
      <c r="F197" s="13" t="s">
        <v>381</v>
      </c>
      <c r="G197" s="15" t="s">
        <v>382</v>
      </c>
      <c r="H197" s="13"/>
      <c r="I197" s="13"/>
      <c r="J197" s="13" t="s">
        <v>127</v>
      </c>
      <c r="K197" s="16"/>
      <c r="L197" s="15"/>
      <c r="M197" s="15"/>
      <c r="N197" s="13"/>
      <c r="O197" s="13"/>
      <c r="P197" s="13"/>
      <c r="Q197" s="13"/>
      <c r="R197" s="14"/>
      <c r="S197" s="13"/>
      <c r="T197" s="15" t="s">
        <v>118</v>
      </c>
    </row>
    <row r="198" ht="34.5">
      <c r="A198" s="15" t="s">
        <v>110</v>
      </c>
      <c r="B198" s="15" t="s">
        <v>111</v>
      </c>
      <c r="C198" s="15" t="s">
        <v>390</v>
      </c>
      <c r="D198" s="15" t="s">
        <v>119</v>
      </c>
      <c r="E198" s="15" t="s">
        <v>380</v>
      </c>
      <c r="F198" s="13" t="s">
        <v>381</v>
      </c>
      <c r="G198" s="15" t="s">
        <v>382</v>
      </c>
      <c r="H198" s="13"/>
      <c r="I198" s="13"/>
      <c r="J198" s="13" t="s">
        <v>134</v>
      </c>
      <c r="K198" s="16"/>
      <c r="L198" s="15"/>
      <c r="M198" s="15"/>
      <c r="N198" s="13"/>
      <c r="O198" s="13"/>
      <c r="P198" s="13"/>
      <c r="Q198" s="13"/>
      <c r="R198" s="14"/>
      <c r="S198" s="13"/>
      <c r="T198" s="15" t="s">
        <v>118</v>
      </c>
    </row>
    <row r="199" ht="34.5">
      <c r="A199" s="15" t="s">
        <v>110</v>
      </c>
      <c r="B199" s="15" t="s">
        <v>111</v>
      </c>
      <c r="C199" s="15" t="s">
        <v>390</v>
      </c>
      <c r="D199" s="15" t="s">
        <v>119</v>
      </c>
      <c r="E199" s="15" t="s">
        <v>380</v>
      </c>
      <c r="F199" s="13" t="s">
        <v>391</v>
      </c>
      <c r="G199" s="15" t="s">
        <v>382</v>
      </c>
      <c r="H199" s="13"/>
      <c r="I199" s="13"/>
      <c r="J199" s="13" t="s">
        <v>392</v>
      </c>
      <c r="K199" s="16"/>
      <c r="L199" s="15"/>
      <c r="M199" s="15"/>
      <c r="N199" s="13"/>
      <c r="O199" s="13"/>
      <c r="P199" s="13"/>
      <c r="Q199" s="13"/>
      <c r="R199" s="14"/>
      <c r="S199" s="13"/>
      <c r="T199" s="15" t="s">
        <v>118</v>
      </c>
    </row>
    <row r="200" ht="34.5">
      <c r="A200" s="15" t="s">
        <v>110</v>
      </c>
      <c r="B200" s="15" t="s">
        <v>111</v>
      </c>
      <c r="C200" s="15" t="s">
        <v>390</v>
      </c>
      <c r="D200" s="15" t="s">
        <v>393</v>
      </c>
      <c r="E200" s="15" t="s">
        <v>380</v>
      </c>
      <c r="F200" s="13" t="s">
        <v>391</v>
      </c>
      <c r="G200" s="15" t="s">
        <v>382</v>
      </c>
      <c r="H200" s="13"/>
      <c r="I200" s="13"/>
      <c r="J200" s="13" t="s">
        <v>394</v>
      </c>
      <c r="K200" s="16"/>
      <c r="L200" s="15"/>
      <c r="M200" s="15"/>
      <c r="N200" s="13"/>
      <c r="O200" s="13"/>
      <c r="P200" s="13"/>
      <c r="Q200" s="13"/>
      <c r="R200" s="14"/>
      <c r="S200" s="13"/>
      <c r="T200" s="15" t="s">
        <v>118</v>
      </c>
    </row>
    <row r="201" ht="34.5">
      <c r="A201" s="15" t="s">
        <v>110</v>
      </c>
      <c r="B201" s="15" t="s">
        <v>111</v>
      </c>
      <c r="C201" s="15" t="s">
        <v>390</v>
      </c>
      <c r="D201" s="15" t="s">
        <v>119</v>
      </c>
      <c r="E201" s="15" t="s">
        <v>380</v>
      </c>
      <c r="F201" s="13" t="s">
        <v>391</v>
      </c>
      <c r="G201" s="15" t="s">
        <v>382</v>
      </c>
      <c r="H201" s="13"/>
      <c r="I201" s="13"/>
      <c r="J201" s="13" t="s">
        <v>395</v>
      </c>
      <c r="K201" s="16"/>
      <c r="L201" s="15"/>
      <c r="M201" s="15"/>
      <c r="N201" s="13"/>
      <c r="O201" s="13"/>
      <c r="P201" s="13"/>
      <c r="Q201" s="13"/>
      <c r="R201" s="14"/>
      <c r="S201" s="13"/>
      <c r="T201" s="15" t="s">
        <v>118</v>
      </c>
    </row>
    <row r="202" ht="34.5">
      <c r="A202" s="15" t="s">
        <v>110</v>
      </c>
      <c r="B202" s="15" t="s">
        <v>111</v>
      </c>
      <c r="C202" s="15" t="s">
        <v>390</v>
      </c>
      <c r="D202" s="15" t="s">
        <v>119</v>
      </c>
      <c r="E202" s="15" t="s">
        <v>380</v>
      </c>
      <c r="F202" s="13" t="s">
        <v>391</v>
      </c>
      <c r="G202" s="15" t="s">
        <v>382</v>
      </c>
      <c r="H202" s="13"/>
      <c r="I202" s="13"/>
      <c r="J202" s="13" t="s">
        <v>396</v>
      </c>
      <c r="K202" s="16"/>
      <c r="L202" s="15"/>
      <c r="M202" s="15"/>
      <c r="N202" s="13"/>
      <c r="O202" s="13"/>
      <c r="P202" s="13"/>
      <c r="Q202" s="13"/>
      <c r="R202" s="14"/>
      <c r="S202" s="13"/>
      <c r="T202" s="15" t="s">
        <v>118</v>
      </c>
    </row>
    <row r="203" ht="34.5">
      <c r="A203" s="15" t="s">
        <v>110</v>
      </c>
      <c r="B203" s="15" t="s">
        <v>111</v>
      </c>
      <c r="C203" s="15" t="s">
        <v>390</v>
      </c>
      <c r="D203" s="15" t="s">
        <v>119</v>
      </c>
      <c r="E203" s="15" t="s">
        <v>380</v>
      </c>
      <c r="F203" s="13" t="s">
        <v>391</v>
      </c>
      <c r="G203" s="15" t="s">
        <v>382</v>
      </c>
      <c r="H203" s="13"/>
      <c r="I203" s="13"/>
      <c r="J203" s="13" t="s">
        <v>397</v>
      </c>
      <c r="K203" s="16"/>
      <c r="L203" s="15"/>
      <c r="M203" s="15"/>
      <c r="N203" s="13"/>
      <c r="O203" s="13"/>
      <c r="P203" s="13"/>
      <c r="Q203" s="13"/>
      <c r="R203" s="14"/>
      <c r="S203" s="13"/>
      <c r="T203" s="15" t="s">
        <v>118</v>
      </c>
    </row>
    <row r="204" ht="34.5">
      <c r="A204" s="15" t="s">
        <v>110</v>
      </c>
      <c r="B204" s="15" t="s">
        <v>111</v>
      </c>
      <c r="C204" s="15" t="s">
        <v>390</v>
      </c>
      <c r="D204" s="15" t="s">
        <v>119</v>
      </c>
      <c r="E204" s="15" t="s">
        <v>380</v>
      </c>
      <c r="F204" s="13" t="s">
        <v>391</v>
      </c>
      <c r="G204" s="15" t="s">
        <v>382</v>
      </c>
      <c r="H204" s="13"/>
      <c r="I204" s="13"/>
      <c r="J204" s="13" t="s">
        <v>398</v>
      </c>
      <c r="K204" s="16"/>
      <c r="L204" s="15"/>
      <c r="M204" s="15"/>
      <c r="N204" s="13"/>
      <c r="O204" s="13"/>
      <c r="P204" s="13"/>
      <c r="Q204" s="13"/>
      <c r="R204" s="14"/>
      <c r="S204" s="13"/>
      <c r="T204" s="15" t="s">
        <v>118</v>
      </c>
    </row>
    <row r="205" ht="34.5">
      <c r="A205" s="15" t="s">
        <v>110</v>
      </c>
      <c r="B205" s="15" t="s">
        <v>111</v>
      </c>
      <c r="C205" s="15" t="s">
        <v>390</v>
      </c>
      <c r="D205" s="15" t="s">
        <v>393</v>
      </c>
      <c r="E205" s="15" t="s">
        <v>380</v>
      </c>
      <c r="F205" s="13" t="s">
        <v>391</v>
      </c>
      <c r="G205" s="15" t="s">
        <v>382</v>
      </c>
      <c r="H205" s="13"/>
      <c r="I205" s="13"/>
      <c r="J205" s="13" t="s">
        <v>399</v>
      </c>
      <c r="K205" s="16"/>
      <c r="L205" s="15"/>
      <c r="M205" s="15"/>
      <c r="N205" s="13"/>
      <c r="O205" s="13"/>
      <c r="P205" s="13"/>
      <c r="Q205" s="13"/>
      <c r="R205" s="14"/>
      <c r="S205" s="13"/>
      <c r="T205" s="15" t="s">
        <v>118</v>
      </c>
    </row>
    <row r="206" ht="34.5">
      <c r="A206" s="15" t="s">
        <v>110</v>
      </c>
      <c r="B206" s="15" t="s">
        <v>111</v>
      </c>
      <c r="C206" s="15" t="s">
        <v>390</v>
      </c>
      <c r="D206" s="15" t="s">
        <v>119</v>
      </c>
      <c r="E206" s="15" t="s">
        <v>380</v>
      </c>
      <c r="F206" s="13" t="s">
        <v>391</v>
      </c>
      <c r="G206" s="15" t="s">
        <v>382</v>
      </c>
      <c r="H206" s="13"/>
      <c r="I206" s="13"/>
      <c r="J206" s="13" t="s">
        <v>400</v>
      </c>
      <c r="K206" s="16"/>
      <c r="L206" s="15"/>
      <c r="M206" s="15"/>
      <c r="N206" s="13"/>
      <c r="O206" s="13"/>
      <c r="P206" s="13"/>
      <c r="Q206" s="13"/>
      <c r="R206" s="14"/>
      <c r="S206" s="13"/>
      <c r="T206" s="15" t="s">
        <v>118</v>
      </c>
    </row>
    <row r="207" ht="34.5">
      <c r="A207" s="15" t="s">
        <v>110</v>
      </c>
      <c r="B207" s="15" t="s">
        <v>111</v>
      </c>
      <c r="C207" s="15" t="s">
        <v>390</v>
      </c>
      <c r="D207" s="15" t="s">
        <v>119</v>
      </c>
      <c r="E207" s="15" t="s">
        <v>380</v>
      </c>
      <c r="F207" s="13" t="s">
        <v>391</v>
      </c>
      <c r="G207" s="15" t="s">
        <v>382</v>
      </c>
      <c r="H207" s="13"/>
      <c r="I207" s="13"/>
      <c r="J207" s="13" t="s">
        <v>401</v>
      </c>
      <c r="K207" s="16"/>
      <c r="L207" s="15"/>
      <c r="M207" s="15"/>
      <c r="N207" s="13"/>
      <c r="O207" s="13"/>
      <c r="P207" s="13"/>
      <c r="Q207" s="13"/>
      <c r="R207" s="14"/>
      <c r="S207" s="13"/>
      <c r="T207" s="15" t="s">
        <v>118</v>
      </c>
    </row>
    <row r="208" ht="34.5">
      <c r="A208" s="15" t="s">
        <v>110</v>
      </c>
      <c r="B208" s="15" t="s">
        <v>111</v>
      </c>
      <c r="C208" s="15" t="s">
        <v>390</v>
      </c>
      <c r="D208" s="15" t="s">
        <v>119</v>
      </c>
      <c r="E208" s="15" t="s">
        <v>380</v>
      </c>
      <c r="F208" s="13" t="s">
        <v>391</v>
      </c>
      <c r="G208" s="15" t="s">
        <v>382</v>
      </c>
      <c r="H208" s="13"/>
      <c r="I208" s="13"/>
      <c r="J208" s="13" t="s">
        <v>402</v>
      </c>
      <c r="K208" s="16"/>
      <c r="L208" s="15"/>
      <c r="M208" s="15"/>
      <c r="N208" s="13"/>
      <c r="O208" s="13"/>
      <c r="P208" s="13"/>
      <c r="Q208" s="13"/>
      <c r="R208" s="14"/>
      <c r="S208" s="13"/>
      <c r="T208" s="15" t="s">
        <v>118</v>
      </c>
    </row>
    <row r="209" ht="34.5">
      <c r="A209" s="15" t="s">
        <v>110</v>
      </c>
      <c r="B209" s="15" t="s">
        <v>111</v>
      </c>
      <c r="C209" s="15" t="s">
        <v>403</v>
      </c>
      <c r="D209" s="15" t="s">
        <v>119</v>
      </c>
      <c r="E209" s="15" t="s">
        <v>380</v>
      </c>
      <c r="F209" s="13" t="s">
        <v>391</v>
      </c>
      <c r="G209" s="15" t="s">
        <v>382</v>
      </c>
      <c r="H209" s="13"/>
      <c r="I209" s="13"/>
      <c r="J209" s="13" t="s">
        <v>404</v>
      </c>
      <c r="K209" s="16"/>
      <c r="L209" s="15"/>
      <c r="M209" s="15"/>
      <c r="N209" s="13"/>
      <c r="O209" s="13"/>
      <c r="P209" s="13"/>
      <c r="Q209" s="13"/>
      <c r="R209" s="14"/>
      <c r="S209" s="13"/>
      <c r="T209" s="15" t="s">
        <v>118</v>
      </c>
    </row>
    <row r="210" ht="34.5">
      <c r="A210" s="15" t="s">
        <v>110</v>
      </c>
      <c r="B210" s="15" t="s">
        <v>111</v>
      </c>
      <c r="C210" s="15" t="s">
        <v>403</v>
      </c>
      <c r="D210" s="15" t="s">
        <v>119</v>
      </c>
      <c r="E210" s="15" t="s">
        <v>380</v>
      </c>
      <c r="F210" s="13" t="s">
        <v>391</v>
      </c>
      <c r="G210" s="15" t="s">
        <v>382</v>
      </c>
      <c r="H210" s="13"/>
      <c r="I210" s="13"/>
      <c r="J210" s="13" t="s">
        <v>405</v>
      </c>
      <c r="K210" s="16"/>
      <c r="L210" s="15"/>
      <c r="M210" s="15"/>
      <c r="N210" s="13"/>
      <c r="O210" s="13"/>
      <c r="P210" s="13"/>
      <c r="Q210" s="13"/>
      <c r="R210" s="14"/>
      <c r="S210" s="13"/>
      <c r="T210" s="15" t="s">
        <v>118</v>
      </c>
    </row>
    <row r="211" ht="34.5">
      <c r="A211" s="15" t="s">
        <v>110</v>
      </c>
      <c r="B211" s="15" t="s">
        <v>111</v>
      </c>
      <c r="C211" s="15" t="s">
        <v>403</v>
      </c>
      <c r="D211" s="15" t="s">
        <v>119</v>
      </c>
      <c r="E211" s="15" t="s">
        <v>380</v>
      </c>
      <c r="F211" s="13" t="s">
        <v>391</v>
      </c>
      <c r="G211" s="15" t="s">
        <v>382</v>
      </c>
      <c r="H211" s="13"/>
      <c r="I211" s="13"/>
      <c r="J211" s="13" t="s">
        <v>406</v>
      </c>
      <c r="K211" s="16"/>
      <c r="L211" s="15"/>
      <c r="M211" s="15"/>
      <c r="N211" s="13"/>
      <c r="O211" s="13"/>
      <c r="P211" s="13"/>
      <c r="Q211" s="13"/>
      <c r="R211" s="14"/>
      <c r="S211" s="13"/>
      <c r="T211" s="15" t="s">
        <v>118</v>
      </c>
    </row>
    <row r="212" ht="34.5">
      <c r="A212" s="15" t="s">
        <v>110</v>
      </c>
      <c r="B212" s="15" t="s">
        <v>111</v>
      </c>
      <c r="C212" s="15" t="s">
        <v>403</v>
      </c>
      <c r="D212" s="15" t="s">
        <v>119</v>
      </c>
      <c r="E212" s="15" t="s">
        <v>380</v>
      </c>
      <c r="F212" s="13" t="s">
        <v>391</v>
      </c>
      <c r="G212" s="15" t="s">
        <v>382</v>
      </c>
      <c r="H212" s="13"/>
      <c r="I212" s="13"/>
      <c r="J212" s="13" t="s">
        <v>407</v>
      </c>
      <c r="K212" s="16"/>
      <c r="L212" s="15"/>
      <c r="M212" s="15"/>
      <c r="N212" s="13"/>
      <c r="O212" s="13"/>
      <c r="P212" s="13"/>
      <c r="Q212" s="13"/>
      <c r="R212" s="14"/>
      <c r="S212" s="13"/>
      <c r="T212" s="15" t="s">
        <v>118</v>
      </c>
    </row>
    <row r="213" ht="34.5">
      <c r="A213" s="15" t="s">
        <v>110</v>
      </c>
      <c r="B213" s="15" t="s">
        <v>111</v>
      </c>
      <c r="C213" s="15" t="s">
        <v>403</v>
      </c>
      <c r="D213" s="15" t="s">
        <v>408</v>
      </c>
      <c r="E213" s="15" t="s">
        <v>380</v>
      </c>
      <c r="F213" s="13" t="s">
        <v>391</v>
      </c>
      <c r="G213" s="15" t="s">
        <v>382</v>
      </c>
      <c r="H213" s="13"/>
      <c r="I213" s="13"/>
      <c r="J213" s="13" t="s">
        <v>409</v>
      </c>
      <c r="K213" s="16"/>
      <c r="L213" s="15"/>
      <c r="M213" s="15"/>
      <c r="N213" s="13"/>
      <c r="O213" s="13"/>
      <c r="P213" s="13"/>
      <c r="Q213" s="13"/>
      <c r="R213" s="14"/>
      <c r="S213" s="13"/>
      <c r="T213" s="15" t="s">
        <v>118</v>
      </c>
    </row>
    <row r="214" ht="34.5">
      <c r="A214" s="15" t="s">
        <v>110</v>
      </c>
      <c r="B214" s="15" t="s">
        <v>111</v>
      </c>
      <c r="C214" s="15" t="s">
        <v>403</v>
      </c>
      <c r="D214" s="15" t="s">
        <v>119</v>
      </c>
      <c r="E214" s="15" t="s">
        <v>410</v>
      </c>
      <c r="F214" s="13" t="s">
        <v>411</v>
      </c>
      <c r="G214" s="15" t="s">
        <v>412</v>
      </c>
      <c r="H214" s="13"/>
      <c r="I214" s="13"/>
      <c r="J214" s="13" t="s">
        <v>413</v>
      </c>
      <c r="K214" s="16"/>
      <c r="L214" s="15"/>
      <c r="M214" s="15"/>
      <c r="N214" s="13"/>
      <c r="O214" s="13"/>
      <c r="P214" s="13"/>
      <c r="Q214" s="13"/>
      <c r="R214" s="14"/>
      <c r="S214" s="13"/>
      <c r="T214" s="15" t="s">
        <v>118</v>
      </c>
    </row>
    <row r="215" ht="34.5">
      <c r="A215" s="15" t="s">
        <v>110</v>
      </c>
      <c r="B215" s="15" t="s">
        <v>111</v>
      </c>
      <c r="C215" s="15" t="s">
        <v>403</v>
      </c>
      <c r="D215" s="15" t="s">
        <v>119</v>
      </c>
      <c r="E215" s="15" t="s">
        <v>410</v>
      </c>
      <c r="F215" s="13" t="s">
        <v>411</v>
      </c>
      <c r="G215" s="15" t="s">
        <v>412</v>
      </c>
      <c r="H215" s="13"/>
      <c r="I215" s="13"/>
      <c r="J215" s="13" t="s">
        <v>414</v>
      </c>
      <c r="K215" s="16"/>
      <c r="L215" s="15"/>
      <c r="M215" s="15"/>
      <c r="N215" s="13"/>
      <c r="O215" s="13"/>
      <c r="P215" s="13"/>
      <c r="Q215" s="13"/>
      <c r="R215" s="14"/>
      <c r="S215" s="13"/>
      <c r="T215" s="15" t="s">
        <v>118</v>
      </c>
    </row>
    <row r="216" ht="34.5">
      <c r="A216" s="15" t="s">
        <v>110</v>
      </c>
      <c r="B216" s="15" t="s">
        <v>111</v>
      </c>
      <c r="C216" s="15" t="s">
        <v>403</v>
      </c>
      <c r="D216" s="15" t="s">
        <v>119</v>
      </c>
      <c r="E216" s="15" t="s">
        <v>410</v>
      </c>
      <c r="F216" s="13" t="s">
        <v>411</v>
      </c>
      <c r="G216" s="15" t="s">
        <v>412</v>
      </c>
      <c r="H216" s="13"/>
      <c r="I216" s="13"/>
      <c r="J216" s="13" t="s">
        <v>415</v>
      </c>
      <c r="K216" s="16"/>
      <c r="L216" s="15"/>
      <c r="M216" s="15"/>
      <c r="N216" s="13"/>
      <c r="O216" s="13"/>
      <c r="P216" s="13"/>
      <c r="Q216" s="13"/>
      <c r="R216" s="14"/>
      <c r="S216" s="13"/>
      <c r="T216" s="15" t="s">
        <v>118</v>
      </c>
    </row>
    <row r="217" ht="34.5">
      <c r="A217" s="15" t="s">
        <v>110</v>
      </c>
      <c r="B217" s="15" t="s">
        <v>111</v>
      </c>
      <c r="C217" s="15" t="s">
        <v>416</v>
      </c>
      <c r="D217" s="15" t="s">
        <v>119</v>
      </c>
      <c r="E217" s="15" t="s">
        <v>410</v>
      </c>
      <c r="F217" s="13" t="s">
        <v>411</v>
      </c>
      <c r="G217" s="15" t="s">
        <v>412</v>
      </c>
      <c r="H217" s="13"/>
      <c r="I217" s="13"/>
      <c r="J217" s="13" t="s">
        <v>127</v>
      </c>
      <c r="K217" s="16"/>
      <c r="L217" s="15"/>
      <c r="M217" s="15"/>
      <c r="N217" s="13"/>
      <c r="O217" s="13"/>
      <c r="P217" s="13"/>
      <c r="Q217" s="13"/>
      <c r="R217" s="14"/>
      <c r="S217" s="13"/>
      <c r="T217" s="15" t="s">
        <v>118</v>
      </c>
    </row>
    <row r="218" ht="34.5">
      <c r="A218" s="15" t="s">
        <v>110</v>
      </c>
      <c r="B218" s="15" t="s">
        <v>111</v>
      </c>
      <c r="C218" s="15" t="s">
        <v>416</v>
      </c>
      <c r="D218" s="15" t="s">
        <v>119</v>
      </c>
      <c r="E218" s="15" t="s">
        <v>410</v>
      </c>
      <c r="F218" s="13" t="s">
        <v>411</v>
      </c>
      <c r="G218" s="15" t="s">
        <v>412</v>
      </c>
      <c r="H218" s="13"/>
      <c r="I218" s="13"/>
      <c r="J218" s="13" t="s">
        <v>128</v>
      </c>
      <c r="K218" s="16"/>
      <c r="L218" s="15"/>
      <c r="M218" s="15"/>
      <c r="N218" s="13"/>
      <c r="O218" s="13"/>
      <c r="P218" s="13"/>
      <c r="Q218" s="13"/>
      <c r="R218" s="14"/>
      <c r="S218" s="13"/>
      <c r="T218" s="15" t="s">
        <v>118</v>
      </c>
    </row>
    <row r="219" ht="34.5">
      <c r="A219" s="15" t="s">
        <v>110</v>
      </c>
      <c r="B219" s="15" t="s">
        <v>111</v>
      </c>
      <c r="C219" s="15" t="s">
        <v>416</v>
      </c>
      <c r="D219" s="15" t="s">
        <v>119</v>
      </c>
      <c r="E219" s="15" t="s">
        <v>410</v>
      </c>
      <c r="F219" s="13" t="s">
        <v>417</v>
      </c>
      <c r="G219" s="15" t="s">
        <v>412</v>
      </c>
      <c r="H219" s="13"/>
      <c r="I219" s="13"/>
      <c r="J219" s="13" t="s">
        <v>418</v>
      </c>
      <c r="K219" s="16"/>
      <c r="L219" s="15"/>
      <c r="M219" s="15"/>
      <c r="N219" s="13"/>
      <c r="O219" s="13"/>
      <c r="P219" s="13"/>
      <c r="Q219" s="13"/>
      <c r="R219" s="14"/>
      <c r="S219" s="13"/>
      <c r="T219" s="15" t="s">
        <v>118</v>
      </c>
    </row>
    <row r="220" ht="34.5">
      <c r="A220" s="15" t="s">
        <v>110</v>
      </c>
      <c r="B220" s="15" t="s">
        <v>111</v>
      </c>
      <c r="C220" s="15" t="s">
        <v>416</v>
      </c>
      <c r="D220" s="15" t="s">
        <v>119</v>
      </c>
      <c r="E220" s="15" t="s">
        <v>410</v>
      </c>
      <c r="F220" s="13" t="s">
        <v>417</v>
      </c>
      <c r="G220" s="15" t="s">
        <v>412</v>
      </c>
      <c r="H220" s="13"/>
      <c r="I220" s="13"/>
      <c r="J220" s="13" t="s">
        <v>419</v>
      </c>
      <c r="K220" s="16"/>
      <c r="L220" s="15"/>
      <c r="M220" s="15"/>
      <c r="N220" s="13"/>
      <c r="O220" s="13"/>
      <c r="P220" s="13"/>
      <c r="Q220" s="13"/>
      <c r="R220" s="14"/>
      <c r="S220" s="13"/>
      <c r="T220" s="15" t="s">
        <v>118</v>
      </c>
    </row>
    <row r="221" ht="34.5">
      <c r="A221" s="15" t="s">
        <v>110</v>
      </c>
      <c r="B221" s="15" t="s">
        <v>111</v>
      </c>
      <c r="C221" s="15" t="s">
        <v>416</v>
      </c>
      <c r="D221" s="15" t="s">
        <v>119</v>
      </c>
      <c r="E221" s="15" t="s">
        <v>410</v>
      </c>
      <c r="F221" s="13" t="s">
        <v>417</v>
      </c>
      <c r="G221" s="15" t="s">
        <v>412</v>
      </c>
      <c r="H221" s="13"/>
      <c r="I221" s="13"/>
      <c r="J221" s="13" t="s">
        <v>420</v>
      </c>
      <c r="K221" s="16"/>
      <c r="L221" s="15"/>
      <c r="M221" s="15"/>
      <c r="N221" s="13"/>
      <c r="O221" s="13"/>
      <c r="P221" s="13"/>
      <c r="Q221" s="13"/>
      <c r="R221" s="14"/>
      <c r="S221" s="13"/>
      <c r="T221" s="15" t="s">
        <v>118</v>
      </c>
    </row>
    <row r="222" ht="34.5">
      <c r="A222" s="15" t="s">
        <v>110</v>
      </c>
      <c r="B222" s="15" t="s">
        <v>111</v>
      </c>
      <c r="C222" s="15" t="s">
        <v>416</v>
      </c>
      <c r="D222" s="15" t="s">
        <v>119</v>
      </c>
      <c r="E222" s="15" t="s">
        <v>410</v>
      </c>
      <c r="F222" s="13" t="s">
        <v>417</v>
      </c>
      <c r="G222" s="15" t="s">
        <v>412</v>
      </c>
      <c r="H222" s="13"/>
      <c r="I222" s="13"/>
      <c r="J222" s="13" t="s">
        <v>421</v>
      </c>
      <c r="K222" s="16"/>
      <c r="L222" s="15"/>
      <c r="M222" s="15"/>
      <c r="N222" s="13"/>
      <c r="O222" s="13"/>
      <c r="P222" s="13"/>
      <c r="Q222" s="13"/>
      <c r="R222" s="14"/>
      <c r="S222" s="13"/>
      <c r="T222" s="15" t="s">
        <v>118</v>
      </c>
    </row>
    <row r="223" ht="34.5">
      <c r="A223" s="15" t="s">
        <v>110</v>
      </c>
      <c r="B223" s="15" t="s">
        <v>111</v>
      </c>
      <c r="C223" s="15" t="s">
        <v>416</v>
      </c>
      <c r="D223" s="15" t="s">
        <v>422</v>
      </c>
      <c r="E223" s="15" t="s">
        <v>410</v>
      </c>
      <c r="F223" s="13" t="s">
        <v>417</v>
      </c>
      <c r="G223" s="15" t="s">
        <v>412</v>
      </c>
      <c r="H223" s="13"/>
      <c r="I223" s="13"/>
      <c r="J223" s="13" t="s">
        <v>423</v>
      </c>
      <c r="K223" s="16"/>
      <c r="L223" s="15"/>
      <c r="M223" s="15"/>
      <c r="N223" s="13"/>
      <c r="O223" s="13"/>
      <c r="P223" s="13"/>
      <c r="Q223" s="13"/>
      <c r="R223" s="14"/>
      <c r="S223" s="13"/>
      <c r="T223" s="15" t="s">
        <v>118</v>
      </c>
    </row>
    <row r="224" ht="34.5">
      <c r="A224" s="15" t="s">
        <v>110</v>
      </c>
      <c r="B224" s="15" t="s">
        <v>111</v>
      </c>
      <c r="C224" s="15" t="s">
        <v>416</v>
      </c>
      <c r="D224" s="15" t="s">
        <v>119</v>
      </c>
      <c r="E224" s="15" t="s">
        <v>410</v>
      </c>
      <c r="F224" s="13" t="s">
        <v>417</v>
      </c>
      <c r="G224" s="15" t="s">
        <v>412</v>
      </c>
      <c r="H224" s="13"/>
      <c r="I224" s="13"/>
      <c r="J224" s="13" t="s">
        <v>424</v>
      </c>
      <c r="K224" s="16"/>
      <c r="L224" s="15"/>
      <c r="M224" s="15"/>
      <c r="N224" s="13"/>
      <c r="O224" s="13"/>
      <c r="P224" s="13"/>
      <c r="Q224" s="13"/>
      <c r="R224" s="14"/>
      <c r="S224" s="13"/>
      <c r="T224" s="15" t="s">
        <v>118</v>
      </c>
    </row>
    <row r="225" ht="34.5">
      <c r="A225" s="15" t="s">
        <v>110</v>
      </c>
      <c r="B225" s="15" t="s">
        <v>111</v>
      </c>
      <c r="C225" s="15" t="s">
        <v>416</v>
      </c>
      <c r="D225" s="15" t="s">
        <v>119</v>
      </c>
      <c r="E225" s="15" t="s">
        <v>410</v>
      </c>
      <c r="F225" s="13" t="s">
        <v>417</v>
      </c>
      <c r="G225" s="15" t="s">
        <v>412</v>
      </c>
      <c r="H225" s="13"/>
      <c r="I225" s="13"/>
      <c r="J225" s="13" t="s">
        <v>425</v>
      </c>
      <c r="K225" s="16"/>
      <c r="L225" s="15"/>
      <c r="M225" s="15"/>
      <c r="N225" s="13"/>
      <c r="O225" s="13"/>
      <c r="P225" s="13"/>
      <c r="Q225" s="13"/>
      <c r="R225" s="14"/>
      <c r="S225" s="13"/>
      <c r="T225" s="15" t="s">
        <v>118</v>
      </c>
    </row>
    <row r="226" ht="34.5">
      <c r="A226" s="15" t="s">
        <v>110</v>
      </c>
      <c r="B226" s="15" t="s">
        <v>111</v>
      </c>
      <c r="C226" s="15" t="s">
        <v>426</v>
      </c>
      <c r="D226" s="15" t="s">
        <v>119</v>
      </c>
      <c r="E226" s="15" t="s">
        <v>410</v>
      </c>
      <c r="F226" s="13" t="s">
        <v>417</v>
      </c>
      <c r="G226" s="15" t="s">
        <v>412</v>
      </c>
      <c r="H226" s="13"/>
      <c r="I226" s="13"/>
      <c r="J226" s="13" t="s">
        <v>427</v>
      </c>
      <c r="K226" s="16"/>
      <c r="L226" s="15"/>
      <c r="M226" s="15"/>
      <c r="N226" s="13"/>
      <c r="O226" s="13"/>
      <c r="P226" s="13"/>
      <c r="Q226" s="13"/>
      <c r="R226" s="14"/>
      <c r="S226" s="13"/>
      <c r="T226" s="15" t="s">
        <v>118</v>
      </c>
    </row>
    <row r="227" ht="34.5">
      <c r="A227" s="15" t="s">
        <v>110</v>
      </c>
      <c r="B227" s="15" t="s">
        <v>111</v>
      </c>
      <c r="C227" s="15" t="s">
        <v>426</v>
      </c>
      <c r="D227" s="15" t="s">
        <v>119</v>
      </c>
      <c r="E227" s="15" t="s">
        <v>410</v>
      </c>
      <c r="F227" s="13" t="s">
        <v>417</v>
      </c>
      <c r="G227" s="15" t="s">
        <v>412</v>
      </c>
      <c r="H227" s="13"/>
      <c r="I227" s="13"/>
      <c r="J227" s="13" t="s">
        <v>428</v>
      </c>
      <c r="K227" s="16"/>
      <c r="L227" s="15"/>
      <c r="M227" s="15"/>
      <c r="N227" s="13"/>
      <c r="O227" s="13"/>
      <c r="P227" s="13"/>
      <c r="Q227" s="13"/>
      <c r="R227" s="14"/>
      <c r="S227" s="13"/>
      <c r="T227" s="15" t="s">
        <v>118</v>
      </c>
    </row>
    <row r="228" ht="34.5">
      <c r="A228" s="15" t="s">
        <v>110</v>
      </c>
      <c r="B228" s="15" t="s">
        <v>111</v>
      </c>
      <c r="C228" s="15" t="s">
        <v>426</v>
      </c>
      <c r="D228" s="15" t="s">
        <v>429</v>
      </c>
      <c r="E228" s="15" t="s">
        <v>410</v>
      </c>
      <c r="F228" s="13" t="s">
        <v>417</v>
      </c>
      <c r="G228" s="15" t="s">
        <v>412</v>
      </c>
      <c r="H228" s="13"/>
      <c r="I228" s="13"/>
      <c r="J228" s="13" t="s">
        <v>430</v>
      </c>
      <c r="K228" s="16"/>
      <c r="L228" s="15"/>
      <c r="M228" s="15"/>
      <c r="N228" s="13"/>
      <c r="O228" s="13"/>
      <c r="P228" s="13"/>
      <c r="Q228" s="13"/>
      <c r="R228" s="14"/>
      <c r="S228" s="13"/>
      <c r="T228" s="15" t="s">
        <v>118</v>
      </c>
    </row>
    <row r="229" ht="34.5">
      <c r="A229" s="15" t="s">
        <v>110</v>
      </c>
      <c r="B229" s="15" t="s">
        <v>111</v>
      </c>
      <c r="C229" s="15" t="s">
        <v>426</v>
      </c>
      <c r="D229" s="15" t="s">
        <v>119</v>
      </c>
      <c r="E229" s="15" t="s">
        <v>410</v>
      </c>
      <c r="F229" s="13" t="s">
        <v>417</v>
      </c>
      <c r="G229" s="15" t="s">
        <v>412</v>
      </c>
      <c r="H229" s="13"/>
      <c r="I229" s="13"/>
      <c r="J229" s="13" t="s">
        <v>431</v>
      </c>
      <c r="K229" s="16"/>
      <c r="L229" s="15"/>
      <c r="M229" s="15"/>
      <c r="N229" s="13"/>
      <c r="O229" s="13"/>
      <c r="P229" s="13"/>
      <c r="Q229" s="13"/>
      <c r="R229" s="14"/>
      <c r="S229" s="13"/>
      <c r="T229" s="15" t="s">
        <v>118</v>
      </c>
    </row>
    <row r="230" ht="34.5">
      <c r="A230" s="15" t="s">
        <v>110</v>
      </c>
      <c r="B230" s="15" t="s">
        <v>111</v>
      </c>
      <c r="C230" s="15" t="s">
        <v>426</v>
      </c>
      <c r="D230" s="15" t="s">
        <v>119</v>
      </c>
      <c r="E230" s="15" t="s">
        <v>410</v>
      </c>
      <c r="F230" s="13" t="s">
        <v>417</v>
      </c>
      <c r="G230" s="15" t="s">
        <v>412</v>
      </c>
      <c r="H230" s="13"/>
      <c r="I230" s="13"/>
      <c r="J230" s="13" t="s">
        <v>432</v>
      </c>
      <c r="K230" s="16"/>
      <c r="L230" s="15"/>
      <c r="M230" s="15"/>
      <c r="N230" s="13"/>
      <c r="O230" s="13"/>
      <c r="P230" s="13"/>
      <c r="Q230" s="13"/>
      <c r="R230" s="14"/>
      <c r="S230" s="13"/>
      <c r="T230" s="15" t="s">
        <v>118</v>
      </c>
    </row>
    <row r="231" ht="34.5">
      <c r="A231" s="15" t="s">
        <v>110</v>
      </c>
      <c r="B231" s="15" t="s">
        <v>111</v>
      </c>
      <c r="C231" s="15" t="s">
        <v>426</v>
      </c>
      <c r="D231" s="15" t="s">
        <v>119</v>
      </c>
      <c r="E231" s="15" t="s">
        <v>410</v>
      </c>
      <c r="F231" s="13" t="s">
        <v>417</v>
      </c>
      <c r="G231" s="15" t="s">
        <v>412</v>
      </c>
      <c r="H231" s="13"/>
      <c r="I231" s="13"/>
      <c r="J231" s="13" t="s">
        <v>433</v>
      </c>
      <c r="K231" s="16"/>
      <c r="L231" s="15"/>
      <c r="M231" s="15"/>
      <c r="N231" s="13"/>
      <c r="O231" s="13"/>
      <c r="P231" s="13"/>
      <c r="Q231" s="13"/>
      <c r="R231" s="14"/>
      <c r="S231" s="13"/>
      <c r="T231" s="15" t="s">
        <v>118</v>
      </c>
    </row>
    <row r="232" ht="34.5">
      <c r="A232" s="15" t="s">
        <v>110</v>
      </c>
      <c r="B232" s="15" t="s">
        <v>111</v>
      </c>
      <c r="C232" s="15" t="s">
        <v>426</v>
      </c>
      <c r="D232" s="15" t="s">
        <v>119</v>
      </c>
      <c r="E232" s="15" t="s">
        <v>410</v>
      </c>
      <c r="F232" s="13" t="s">
        <v>417</v>
      </c>
      <c r="G232" s="15" t="s">
        <v>412</v>
      </c>
      <c r="H232" s="13"/>
      <c r="I232" s="13"/>
      <c r="J232" s="13" t="s">
        <v>434</v>
      </c>
      <c r="K232" s="16"/>
      <c r="L232" s="15"/>
      <c r="M232" s="15"/>
      <c r="N232" s="13"/>
      <c r="O232" s="13"/>
      <c r="P232" s="13"/>
      <c r="Q232" s="13"/>
      <c r="R232" s="14"/>
      <c r="S232" s="13"/>
      <c r="T232" s="15" t="s">
        <v>118</v>
      </c>
    </row>
    <row r="233" ht="34.5">
      <c r="A233" s="15" t="s">
        <v>110</v>
      </c>
      <c r="B233" s="15" t="s">
        <v>111</v>
      </c>
      <c r="C233" s="15" t="s">
        <v>426</v>
      </c>
      <c r="D233" s="15" t="s">
        <v>119</v>
      </c>
      <c r="E233" s="15" t="s">
        <v>410</v>
      </c>
      <c r="F233" s="13" t="s">
        <v>417</v>
      </c>
      <c r="G233" s="15" t="s">
        <v>412</v>
      </c>
      <c r="H233" s="13"/>
      <c r="I233" s="13"/>
      <c r="J233" s="13" t="s">
        <v>435</v>
      </c>
      <c r="K233" s="16"/>
      <c r="L233" s="15"/>
      <c r="M233" s="15"/>
      <c r="N233" s="13"/>
      <c r="O233" s="13"/>
      <c r="P233" s="13"/>
      <c r="Q233" s="13"/>
      <c r="R233" s="14"/>
      <c r="S233" s="13"/>
      <c r="T233" s="15" t="s">
        <v>118</v>
      </c>
    </row>
    <row r="234" ht="34.5">
      <c r="A234" s="15" t="s">
        <v>110</v>
      </c>
      <c r="B234" s="15" t="s">
        <v>111</v>
      </c>
      <c r="C234" s="15" t="s">
        <v>426</v>
      </c>
      <c r="D234" s="15" t="s">
        <v>119</v>
      </c>
      <c r="E234" s="15" t="s">
        <v>410</v>
      </c>
      <c r="F234" s="13" t="s">
        <v>417</v>
      </c>
      <c r="G234" s="15" t="s">
        <v>412</v>
      </c>
      <c r="H234" s="13"/>
      <c r="I234" s="13"/>
      <c r="J234" s="13" t="s">
        <v>436</v>
      </c>
      <c r="K234" s="16"/>
      <c r="L234" s="15"/>
      <c r="M234" s="15"/>
      <c r="N234" s="13"/>
      <c r="O234" s="13"/>
      <c r="P234" s="13"/>
      <c r="Q234" s="13"/>
      <c r="R234" s="14"/>
      <c r="S234" s="13"/>
      <c r="T234" s="15" t="s">
        <v>118</v>
      </c>
    </row>
    <row r="235" ht="34.5">
      <c r="A235" s="15" t="s">
        <v>110</v>
      </c>
      <c r="B235" s="15" t="s">
        <v>111</v>
      </c>
      <c r="C235" s="15" t="s">
        <v>426</v>
      </c>
      <c r="D235" s="15" t="s">
        <v>119</v>
      </c>
      <c r="E235" s="15" t="s">
        <v>410</v>
      </c>
      <c r="F235" s="13" t="s">
        <v>417</v>
      </c>
      <c r="G235" s="15" t="s">
        <v>412</v>
      </c>
      <c r="H235" s="13"/>
      <c r="I235" s="13"/>
      <c r="J235" s="13" t="s">
        <v>437</v>
      </c>
      <c r="K235" s="16"/>
      <c r="L235" s="15"/>
      <c r="M235" s="15"/>
      <c r="N235" s="13"/>
      <c r="O235" s="13"/>
      <c r="P235" s="13"/>
      <c r="Q235" s="13"/>
      <c r="R235" s="14"/>
      <c r="S235" s="13"/>
      <c r="T235" s="15" t="s">
        <v>118</v>
      </c>
    </row>
    <row r="236" ht="34.5">
      <c r="A236" s="15" t="s">
        <v>110</v>
      </c>
      <c r="B236" s="15" t="s">
        <v>111</v>
      </c>
      <c r="C236" s="15" t="s">
        <v>426</v>
      </c>
      <c r="D236" s="15" t="s">
        <v>119</v>
      </c>
      <c r="E236" s="15" t="s">
        <v>410</v>
      </c>
      <c r="F236" s="13" t="s">
        <v>417</v>
      </c>
      <c r="G236" s="15" t="s">
        <v>412</v>
      </c>
      <c r="H236" s="13"/>
      <c r="I236" s="13"/>
      <c r="J236" s="13" t="s">
        <v>438</v>
      </c>
      <c r="K236" s="16"/>
      <c r="L236" s="15"/>
      <c r="M236" s="15"/>
      <c r="N236" s="13"/>
      <c r="O236" s="13"/>
      <c r="P236" s="13"/>
      <c r="Q236" s="13"/>
      <c r="R236" s="14"/>
      <c r="S236" s="13"/>
      <c r="T236" s="15" t="s">
        <v>118</v>
      </c>
    </row>
    <row r="237" ht="34.5">
      <c r="A237" s="15" t="s">
        <v>110</v>
      </c>
      <c r="B237" s="15" t="s">
        <v>111</v>
      </c>
      <c r="C237" s="15" t="s">
        <v>426</v>
      </c>
      <c r="D237" s="15" t="s">
        <v>119</v>
      </c>
      <c r="E237" s="15" t="s">
        <v>410</v>
      </c>
      <c r="F237" s="13" t="s">
        <v>417</v>
      </c>
      <c r="G237" s="15" t="s">
        <v>412</v>
      </c>
      <c r="H237" s="13"/>
      <c r="I237" s="13"/>
      <c r="J237" s="13" t="s">
        <v>439</v>
      </c>
      <c r="K237" s="16"/>
      <c r="L237" s="15"/>
      <c r="M237" s="15"/>
      <c r="N237" s="13"/>
      <c r="O237" s="13"/>
      <c r="P237" s="13"/>
      <c r="Q237" s="13"/>
      <c r="R237" s="14"/>
      <c r="S237" s="13"/>
      <c r="T237" s="15" t="s">
        <v>118</v>
      </c>
    </row>
    <row r="238" ht="34.5">
      <c r="A238" s="15" t="s">
        <v>110</v>
      </c>
      <c r="B238" s="15" t="s">
        <v>111</v>
      </c>
      <c r="C238" s="15" t="s">
        <v>426</v>
      </c>
      <c r="D238" s="15" t="s">
        <v>119</v>
      </c>
      <c r="E238" s="15" t="s">
        <v>410</v>
      </c>
      <c r="F238" s="13" t="s">
        <v>417</v>
      </c>
      <c r="G238" s="15" t="s">
        <v>412</v>
      </c>
      <c r="H238" s="13"/>
      <c r="I238" s="13"/>
      <c r="J238" s="13" t="s">
        <v>440</v>
      </c>
      <c r="K238" s="16"/>
      <c r="L238" s="15"/>
      <c r="M238" s="15"/>
      <c r="N238" s="13"/>
      <c r="O238" s="13"/>
      <c r="P238" s="13"/>
      <c r="Q238" s="13"/>
      <c r="R238" s="14"/>
      <c r="S238" s="13"/>
      <c r="T238" s="15" t="s">
        <v>118</v>
      </c>
    </row>
    <row r="239" ht="34.5">
      <c r="A239" s="15" t="s">
        <v>110</v>
      </c>
      <c r="B239" s="15" t="s">
        <v>111</v>
      </c>
      <c r="C239" s="15" t="s">
        <v>426</v>
      </c>
      <c r="D239" s="15" t="s">
        <v>119</v>
      </c>
      <c r="E239" s="15" t="s">
        <v>410</v>
      </c>
      <c r="F239" s="13" t="s">
        <v>417</v>
      </c>
      <c r="G239" s="15" t="s">
        <v>412</v>
      </c>
      <c r="H239" s="13"/>
      <c r="I239" s="13"/>
      <c r="J239" s="13" t="s">
        <v>441</v>
      </c>
      <c r="K239" s="16"/>
      <c r="L239" s="15"/>
      <c r="M239" s="15"/>
      <c r="N239" s="13"/>
      <c r="O239" s="13"/>
      <c r="P239" s="13"/>
      <c r="Q239" s="13"/>
      <c r="R239" s="14"/>
      <c r="S239" s="13"/>
      <c r="T239" s="15" t="s">
        <v>118</v>
      </c>
    </row>
    <row r="240" ht="34.5">
      <c r="A240" s="15" t="s">
        <v>110</v>
      </c>
      <c r="B240" s="15" t="s">
        <v>111</v>
      </c>
      <c r="C240" s="15" t="s">
        <v>426</v>
      </c>
      <c r="D240" s="15" t="s">
        <v>119</v>
      </c>
      <c r="E240" s="15" t="s">
        <v>410</v>
      </c>
      <c r="F240" s="13" t="s">
        <v>417</v>
      </c>
      <c r="G240" s="15" t="s">
        <v>412</v>
      </c>
      <c r="H240" s="13"/>
      <c r="I240" s="13"/>
      <c r="J240" s="13" t="s">
        <v>442</v>
      </c>
      <c r="K240" s="16"/>
      <c r="L240" s="15"/>
      <c r="M240" s="15"/>
      <c r="N240" s="13"/>
      <c r="O240" s="13"/>
      <c r="P240" s="13"/>
      <c r="Q240" s="13"/>
      <c r="R240" s="14"/>
      <c r="S240" s="13"/>
      <c r="T240" s="15" t="s">
        <v>118</v>
      </c>
    </row>
    <row r="241" ht="34.5">
      <c r="A241" s="15" t="s">
        <v>110</v>
      </c>
      <c r="B241" s="15" t="s">
        <v>111</v>
      </c>
      <c r="C241" s="15" t="s">
        <v>426</v>
      </c>
      <c r="D241" s="15" t="s">
        <v>119</v>
      </c>
      <c r="E241" s="15" t="s">
        <v>410</v>
      </c>
      <c r="F241" s="13" t="s">
        <v>417</v>
      </c>
      <c r="G241" s="15" t="s">
        <v>412</v>
      </c>
      <c r="H241" s="13"/>
      <c r="I241" s="13"/>
      <c r="J241" s="13" t="s">
        <v>443</v>
      </c>
      <c r="K241" s="16"/>
      <c r="L241" s="15"/>
      <c r="M241" s="15"/>
      <c r="N241" s="13"/>
      <c r="O241" s="13"/>
      <c r="P241" s="13"/>
      <c r="Q241" s="13"/>
      <c r="R241" s="14"/>
      <c r="S241" s="13"/>
      <c r="T241" s="15" t="s">
        <v>118</v>
      </c>
    </row>
    <row r="242" ht="34.5">
      <c r="A242" s="15" t="s">
        <v>110</v>
      </c>
      <c r="B242" s="15" t="s">
        <v>111</v>
      </c>
      <c r="C242" s="15" t="s">
        <v>444</v>
      </c>
      <c r="D242" s="15" t="s">
        <v>119</v>
      </c>
      <c r="E242" s="15" t="s">
        <v>410</v>
      </c>
      <c r="F242" s="13" t="s">
        <v>417</v>
      </c>
      <c r="G242" s="15" t="s">
        <v>412</v>
      </c>
      <c r="H242" s="13"/>
      <c r="I242" s="13"/>
      <c r="J242" s="13" t="s">
        <v>445</v>
      </c>
      <c r="K242" s="16"/>
      <c r="L242" s="15"/>
      <c r="M242" s="15"/>
      <c r="N242" s="13"/>
      <c r="O242" s="13"/>
      <c r="P242" s="13"/>
      <c r="Q242" s="13"/>
      <c r="R242" s="14"/>
      <c r="S242" s="13"/>
      <c r="T242" s="15" t="s">
        <v>118</v>
      </c>
    </row>
    <row r="243" ht="34.5">
      <c r="A243" s="15" t="s">
        <v>110</v>
      </c>
      <c r="B243" s="15" t="s">
        <v>111</v>
      </c>
      <c r="C243" s="15" t="s">
        <v>444</v>
      </c>
      <c r="D243" s="15" t="s">
        <v>119</v>
      </c>
      <c r="E243" s="15" t="s">
        <v>410</v>
      </c>
      <c r="F243" s="13" t="s">
        <v>417</v>
      </c>
      <c r="G243" s="15" t="s">
        <v>412</v>
      </c>
      <c r="H243" s="13"/>
      <c r="I243" s="13"/>
      <c r="J243" s="13" t="s">
        <v>446</v>
      </c>
      <c r="K243" s="16"/>
      <c r="L243" s="15"/>
      <c r="M243" s="15"/>
      <c r="N243" s="13"/>
      <c r="O243" s="13"/>
      <c r="P243" s="13"/>
      <c r="Q243" s="13"/>
      <c r="R243" s="14"/>
      <c r="S243" s="13"/>
      <c r="T243" s="15" t="s">
        <v>118</v>
      </c>
    </row>
    <row r="244" ht="34.5">
      <c r="A244" s="15" t="s">
        <v>110</v>
      </c>
      <c r="B244" s="15" t="s">
        <v>111</v>
      </c>
      <c r="C244" s="15" t="s">
        <v>444</v>
      </c>
      <c r="D244" s="15" t="s">
        <v>119</v>
      </c>
      <c r="E244" s="15" t="s">
        <v>410</v>
      </c>
      <c r="F244" s="13" t="s">
        <v>417</v>
      </c>
      <c r="G244" s="15" t="s">
        <v>412</v>
      </c>
      <c r="H244" s="13"/>
      <c r="I244" s="13"/>
      <c r="J244" s="13" t="s">
        <v>447</v>
      </c>
      <c r="K244" s="16"/>
      <c r="L244" s="15"/>
      <c r="M244" s="15"/>
      <c r="N244" s="13"/>
      <c r="O244" s="13"/>
      <c r="P244" s="13"/>
      <c r="Q244" s="13"/>
      <c r="R244" s="14"/>
      <c r="S244" s="13"/>
      <c r="T244" s="15" t="s">
        <v>118</v>
      </c>
    </row>
    <row r="245" ht="34.5">
      <c r="A245" s="15" t="s">
        <v>110</v>
      </c>
      <c r="B245" s="15" t="s">
        <v>111</v>
      </c>
      <c r="C245" s="15" t="s">
        <v>444</v>
      </c>
      <c r="D245" s="15" t="s">
        <v>119</v>
      </c>
      <c r="E245" s="15" t="s">
        <v>410</v>
      </c>
      <c r="F245" s="13" t="s">
        <v>417</v>
      </c>
      <c r="G245" s="15" t="s">
        <v>412</v>
      </c>
      <c r="H245" s="13"/>
      <c r="I245" s="13"/>
      <c r="J245" s="13" t="s">
        <v>448</v>
      </c>
      <c r="K245" s="16"/>
      <c r="L245" s="15"/>
      <c r="M245" s="15"/>
      <c r="N245" s="13"/>
      <c r="O245" s="13"/>
      <c r="P245" s="13"/>
      <c r="Q245" s="13"/>
      <c r="R245" s="14"/>
      <c r="S245" s="13"/>
      <c r="T245" s="15" t="s">
        <v>118</v>
      </c>
    </row>
    <row r="246" ht="34.5">
      <c r="A246" s="15" t="s">
        <v>110</v>
      </c>
      <c r="B246" s="15" t="s">
        <v>111</v>
      </c>
      <c r="C246" s="15" t="s">
        <v>444</v>
      </c>
      <c r="D246" s="15" t="s">
        <v>119</v>
      </c>
      <c r="E246" s="15" t="s">
        <v>410</v>
      </c>
      <c r="F246" s="13" t="s">
        <v>417</v>
      </c>
      <c r="G246" s="15" t="s">
        <v>412</v>
      </c>
      <c r="H246" s="13"/>
      <c r="I246" s="13"/>
      <c r="J246" s="13" t="s">
        <v>449</v>
      </c>
      <c r="K246" s="16"/>
      <c r="L246" s="15"/>
      <c r="M246" s="15"/>
      <c r="N246" s="13"/>
      <c r="O246" s="13"/>
      <c r="P246" s="13"/>
      <c r="Q246" s="13"/>
      <c r="R246" s="14"/>
      <c r="S246" s="13"/>
      <c r="T246" s="15" t="s">
        <v>118</v>
      </c>
    </row>
    <row r="247" ht="34.5">
      <c r="A247" s="15" t="s">
        <v>110</v>
      </c>
      <c r="B247" s="15" t="s">
        <v>111</v>
      </c>
      <c r="C247" s="15" t="s">
        <v>444</v>
      </c>
      <c r="D247" s="15" t="s">
        <v>119</v>
      </c>
      <c r="E247" s="15" t="s">
        <v>410</v>
      </c>
      <c r="F247" s="13" t="s">
        <v>417</v>
      </c>
      <c r="G247" s="15" t="s">
        <v>412</v>
      </c>
      <c r="H247" s="13"/>
      <c r="I247" s="13"/>
      <c r="J247" s="13" t="s">
        <v>450</v>
      </c>
      <c r="K247" s="16"/>
      <c r="L247" s="15"/>
      <c r="M247" s="15"/>
      <c r="N247" s="13"/>
      <c r="O247" s="13"/>
      <c r="P247" s="13"/>
      <c r="Q247" s="13"/>
      <c r="R247" s="14"/>
      <c r="S247" s="13"/>
      <c r="T247" s="15" t="s">
        <v>118</v>
      </c>
    </row>
    <row r="248" ht="34.5">
      <c r="A248" s="15" t="s">
        <v>110</v>
      </c>
      <c r="B248" s="15" t="s">
        <v>111</v>
      </c>
      <c r="C248" s="15" t="s">
        <v>444</v>
      </c>
      <c r="D248" s="15" t="s">
        <v>119</v>
      </c>
      <c r="E248" s="15" t="s">
        <v>410</v>
      </c>
      <c r="F248" s="13" t="s">
        <v>417</v>
      </c>
      <c r="G248" s="15" t="s">
        <v>412</v>
      </c>
      <c r="H248" s="13"/>
      <c r="I248" s="13"/>
      <c r="J248" s="13" t="s">
        <v>451</v>
      </c>
      <c r="K248" s="16"/>
      <c r="L248" s="15"/>
      <c r="M248" s="15"/>
      <c r="N248" s="13"/>
      <c r="O248" s="13"/>
      <c r="P248" s="13"/>
      <c r="Q248" s="13"/>
      <c r="R248" s="14"/>
      <c r="S248" s="13"/>
      <c r="T248" s="15" t="s">
        <v>118</v>
      </c>
    </row>
    <row r="249" ht="34.5">
      <c r="A249" s="15" t="s">
        <v>110</v>
      </c>
      <c r="B249" s="15" t="s">
        <v>111</v>
      </c>
      <c r="C249" s="15" t="s">
        <v>444</v>
      </c>
      <c r="D249" s="15" t="s">
        <v>119</v>
      </c>
      <c r="E249" s="15" t="s">
        <v>410</v>
      </c>
      <c r="F249" s="13" t="s">
        <v>417</v>
      </c>
      <c r="G249" s="15" t="s">
        <v>412</v>
      </c>
      <c r="H249" s="13"/>
      <c r="I249" s="13"/>
      <c r="J249" s="13" t="s">
        <v>452</v>
      </c>
      <c r="K249" s="16"/>
      <c r="L249" s="15"/>
      <c r="M249" s="15"/>
      <c r="N249" s="13"/>
      <c r="O249" s="13"/>
      <c r="P249" s="13"/>
      <c r="Q249" s="13"/>
      <c r="R249" s="14"/>
      <c r="S249" s="13"/>
      <c r="T249" s="15" t="s">
        <v>118</v>
      </c>
    </row>
    <row r="250" ht="34.5">
      <c r="A250" s="15" t="s">
        <v>110</v>
      </c>
      <c r="B250" s="15" t="s">
        <v>111</v>
      </c>
      <c r="C250" s="15" t="s">
        <v>444</v>
      </c>
      <c r="D250" s="15" t="s">
        <v>119</v>
      </c>
      <c r="E250" s="15" t="s">
        <v>410</v>
      </c>
      <c r="F250" s="13" t="s">
        <v>417</v>
      </c>
      <c r="G250" s="15" t="s">
        <v>412</v>
      </c>
      <c r="H250" s="13"/>
      <c r="I250" s="13"/>
      <c r="J250" s="13" t="s">
        <v>453</v>
      </c>
      <c r="K250" s="16"/>
      <c r="L250" s="15"/>
      <c r="M250" s="15"/>
      <c r="N250" s="13"/>
      <c r="O250" s="13"/>
      <c r="P250" s="13"/>
      <c r="Q250" s="13"/>
      <c r="R250" s="14"/>
      <c r="S250" s="13"/>
      <c r="T250" s="15" t="s">
        <v>118</v>
      </c>
    </row>
    <row r="251" ht="34.5">
      <c r="A251" s="15" t="s">
        <v>110</v>
      </c>
      <c r="B251" s="15" t="s">
        <v>111</v>
      </c>
      <c r="C251" s="15" t="s">
        <v>444</v>
      </c>
      <c r="D251" s="15" t="s">
        <v>119</v>
      </c>
      <c r="E251" s="15" t="s">
        <v>410</v>
      </c>
      <c r="F251" s="13" t="s">
        <v>417</v>
      </c>
      <c r="G251" s="15" t="s">
        <v>412</v>
      </c>
      <c r="H251" s="13"/>
      <c r="I251" s="13"/>
      <c r="J251" s="13" t="s">
        <v>454</v>
      </c>
      <c r="K251" s="16"/>
      <c r="L251" s="15"/>
      <c r="M251" s="15"/>
      <c r="N251" s="13"/>
      <c r="O251" s="13"/>
      <c r="P251" s="13"/>
      <c r="Q251" s="13"/>
      <c r="R251" s="14"/>
      <c r="S251" s="13"/>
      <c r="T251" s="15" t="s">
        <v>118</v>
      </c>
    </row>
    <row r="252" ht="34.5">
      <c r="A252" s="15" t="s">
        <v>110</v>
      </c>
      <c r="B252" s="15" t="s">
        <v>111</v>
      </c>
      <c r="C252" s="15" t="s">
        <v>455</v>
      </c>
      <c r="D252" s="15" t="s">
        <v>119</v>
      </c>
      <c r="E252" s="15" t="s">
        <v>410</v>
      </c>
      <c r="F252" s="13" t="s">
        <v>417</v>
      </c>
      <c r="G252" s="15" t="s">
        <v>412</v>
      </c>
      <c r="H252" s="13"/>
      <c r="I252" s="13"/>
      <c r="J252" s="13" t="s">
        <v>456</v>
      </c>
      <c r="K252" s="16"/>
      <c r="L252" s="15"/>
      <c r="M252" s="15"/>
      <c r="N252" s="13"/>
      <c r="O252" s="13"/>
      <c r="P252" s="13"/>
      <c r="Q252" s="13"/>
      <c r="R252" s="14"/>
      <c r="S252" s="13"/>
      <c r="T252" s="15" t="s">
        <v>118</v>
      </c>
    </row>
    <row r="253" ht="34.5">
      <c r="A253" s="15" t="s">
        <v>110</v>
      </c>
      <c r="B253" s="15" t="s">
        <v>111</v>
      </c>
      <c r="C253" s="15" t="s">
        <v>455</v>
      </c>
      <c r="D253" s="15" t="s">
        <v>119</v>
      </c>
      <c r="E253" s="15" t="s">
        <v>410</v>
      </c>
      <c r="F253" s="13" t="s">
        <v>417</v>
      </c>
      <c r="G253" s="15" t="s">
        <v>412</v>
      </c>
      <c r="H253" s="13"/>
      <c r="I253" s="13"/>
      <c r="J253" s="13" t="s">
        <v>457</v>
      </c>
      <c r="K253" s="16"/>
      <c r="L253" s="15"/>
      <c r="M253" s="15"/>
      <c r="N253" s="13"/>
      <c r="O253" s="13"/>
      <c r="P253" s="13"/>
      <c r="Q253" s="13"/>
      <c r="R253" s="14"/>
      <c r="S253" s="13"/>
      <c r="T253" s="15" t="s">
        <v>118</v>
      </c>
    </row>
    <row r="254" ht="34.5">
      <c r="A254" s="15" t="s">
        <v>110</v>
      </c>
      <c r="B254" s="15" t="s">
        <v>111</v>
      </c>
      <c r="C254" s="15" t="s">
        <v>455</v>
      </c>
      <c r="D254" s="15" t="s">
        <v>119</v>
      </c>
      <c r="E254" s="15" t="s">
        <v>410</v>
      </c>
      <c r="F254" s="13" t="s">
        <v>417</v>
      </c>
      <c r="G254" s="15" t="s">
        <v>412</v>
      </c>
      <c r="H254" s="13"/>
      <c r="I254" s="13"/>
      <c r="J254" s="13" t="s">
        <v>458</v>
      </c>
      <c r="K254" s="16"/>
      <c r="L254" s="15"/>
      <c r="M254" s="15"/>
      <c r="N254" s="13"/>
      <c r="O254" s="13"/>
      <c r="P254" s="13"/>
      <c r="Q254" s="13"/>
      <c r="R254" s="14"/>
      <c r="S254" s="13"/>
      <c r="T254" s="15" t="s">
        <v>118</v>
      </c>
    </row>
    <row r="255" ht="34.5">
      <c r="A255" s="15" t="s">
        <v>110</v>
      </c>
      <c r="B255" s="15" t="s">
        <v>111</v>
      </c>
      <c r="C255" s="15" t="s">
        <v>455</v>
      </c>
      <c r="D255" s="15" t="s">
        <v>119</v>
      </c>
      <c r="E255" s="15" t="s">
        <v>410</v>
      </c>
      <c r="F255" s="13" t="s">
        <v>417</v>
      </c>
      <c r="G255" s="15" t="s">
        <v>412</v>
      </c>
      <c r="H255" s="13"/>
      <c r="I255" s="13"/>
      <c r="J255" s="13" t="s">
        <v>459</v>
      </c>
      <c r="K255" s="16"/>
      <c r="L255" s="15"/>
      <c r="M255" s="15"/>
      <c r="N255" s="13"/>
      <c r="O255" s="13"/>
      <c r="P255" s="13"/>
      <c r="Q255" s="13"/>
      <c r="R255" s="14"/>
      <c r="S255" s="13"/>
      <c r="T255" s="15" t="s">
        <v>118</v>
      </c>
    </row>
    <row r="256" ht="34.5">
      <c r="A256" s="15" t="s">
        <v>110</v>
      </c>
      <c r="B256" s="15" t="s">
        <v>111</v>
      </c>
      <c r="C256" s="15" t="s">
        <v>455</v>
      </c>
      <c r="D256" s="15" t="s">
        <v>119</v>
      </c>
      <c r="E256" s="15" t="s">
        <v>410</v>
      </c>
      <c r="F256" s="13" t="s">
        <v>417</v>
      </c>
      <c r="G256" s="15" t="s">
        <v>412</v>
      </c>
      <c r="H256" s="13"/>
      <c r="I256" s="13"/>
      <c r="J256" s="13" t="s">
        <v>460</v>
      </c>
      <c r="K256" s="16"/>
      <c r="L256" s="15"/>
      <c r="M256" s="15"/>
      <c r="N256" s="13"/>
      <c r="O256" s="13"/>
      <c r="P256" s="13"/>
      <c r="Q256" s="13"/>
      <c r="R256" s="14"/>
      <c r="S256" s="13"/>
      <c r="T256" s="15" t="s">
        <v>118</v>
      </c>
    </row>
    <row r="257" ht="34.5">
      <c r="A257" s="15" t="s">
        <v>110</v>
      </c>
      <c r="B257" s="15" t="s">
        <v>111</v>
      </c>
      <c r="C257" s="15" t="s">
        <v>455</v>
      </c>
      <c r="D257" s="15" t="s">
        <v>119</v>
      </c>
      <c r="E257" s="15" t="s">
        <v>410</v>
      </c>
      <c r="F257" s="13" t="s">
        <v>417</v>
      </c>
      <c r="G257" s="15" t="s">
        <v>412</v>
      </c>
      <c r="H257" s="13"/>
      <c r="I257" s="13"/>
      <c r="J257" s="13" t="s">
        <v>461</v>
      </c>
      <c r="K257" s="16">
        <v>4817</v>
      </c>
      <c r="L257" s="15" t="s">
        <v>142</v>
      </c>
      <c r="M257" s="15"/>
      <c r="N257" s="13"/>
      <c r="O257" s="13"/>
      <c r="P257" s="13"/>
      <c r="Q257" s="13"/>
      <c r="R257" s="14"/>
      <c r="S257" s="13"/>
      <c r="T257" s="15" t="s">
        <v>118</v>
      </c>
    </row>
    <row r="258" ht="34.5">
      <c r="A258" s="15" t="s">
        <v>110</v>
      </c>
      <c r="B258" s="15" t="s">
        <v>111</v>
      </c>
      <c r="C258" s="15" t="s">
        <v>455</v>
      </c>
      <c r="D258" s="15" t="s">
        <v>119</v>
      </c>
      <c r="E258" s="15" t="s">
        <v>410</v>
      </c>
      <c r="F258" s="13" t="s">
        <v>417</v>
      </c>
      <c r="G258" s="15" t="s">
        <v>412</v>
      </c>
      <c r="H258" s="13"/>
      <c r="I258" s="13"/>
      <c r="J258" s="13" t="s">
        <v>462</v>
      </c>
      <c r="K258" s="16">
        <v>1000</v>
      </c>
      <c r="L258" s="15" t="s">
        <v>142</v>
      </c>
      <c r="M258" s="15"/>
      <c r="N258" s="13"/>
      <c r="O258" s="13"/>
      <c r="P258" s="13"/>
      <c r="Q258" s="13"/>
      <c r="R258" s="14"/>
      <c r="S258" s="13"/>
      <c r="T258" s="15" t="s">
        <v>118</v>
      </c>
    </row>
    <row r="259" ht="34.5">
      <c r="A259" s="15" t="s">
        <v>110</v>
      </c>
      <c r="B259" s="15" t="s">
        <v>111</v>
      </c>
      <c r="C259" s="15" t="s">
        <v>455</v>
      </c>
      <c r="D259" s="15" t="s">
        <v>119</v>
      </c>
      <c r="E259" s="15" t="s">
        <v>410</v>
      </c>
      <c r="F259" s="13" t="s">
        <v>417</v>
      </c>
      <c r="G259" s="15" t="s">
        <v>412</v>
      </c>
      <c r="H259" s="13"/>
      <c r="I259" s="13"/>
      <c r="J259" s="13" t="s">
        <v>463</v>
      </c>
      <c r="K259" s="16"/>
      <c r="L259" s="15"/>
      <c r="M259" s="15"/>
      <c r="N259" s="13"/>
      <c r="O259" s="13"/>
      <c r="P259" s="13"/>
      <c r="Q259" s="13"/>
      <c r="R259" s="14"/>
      <c r="S259" s="13"/>
      <c r="T259" s="15" t="s">
        <v>118</v>
      </c>
    </row>
    <row r="260" ht="34.5">
      <c r="A260" s="15" t="s">
        <v>110</v>
      </c>
      <c r="B260" s="15" t="s">
        <v>111</v>
      </c>
      <c r="C260" s="15" t="s">
        <v>464</v>
      </c>
      <c r="D260" s="15" t="s">
        <v>119</v>
      </c>
      <c r="E260" s="15" t="s">
        <v>410</v>
      </c>
      <c r="F260" s="13" t="s">
        <v>417</v>
      </c>
      <c r="G260" s="15" t="s">
        <v>412</v>
      </c>
      <c r="H260" s="13"/>
      <c r="I260" s="13"/>
      <c r="J260" s="13" t="s">
        <v>465</v>
      </c>
      <c r="K260" s="16"/>
      <c r="L260" s="15"/>
      <c r="M260" s="15"/>
      <c r="N260" s="13"/>
      <c r="O260" s="13"/>
      <c r="P260" s="13"/>
      <c r="Q260" s="13"/>
      <c r="R260" s="14"/>
      <c r="S260" s="13"/>
      <c r="T260" s="15" t="s">
        <v>118</v>
      </c>
    </row>
    <row r="261" ht="34.5">
      <c r="A261" s="15" t="s">
        <v>110</v>
      </c>
      <c r="B261" s="15" t="s">
        <v>111</v>
      </c>
      <c r="C261" s="15" t="s">
        <v>464</v>
      </c>
      <c r="D261" s="15" t="s">
        <v>119</v>
      </c>
      <c r="E261" s="15" t="s">
        <v>410</v>
      </c>
      <c r="F261" s="13" t="s">
        <v>417</v>
      </c>
      <c r="G261" s="15" t="s">
        <v>412</v>
      </c>
      <c r="H261" s="13"/>
      <c r="I261" s="13"/>
      <c r="J261" s="13" t="s">
        <v>466</v>
      </c>
      <c r="K261" s="16"/>
      <c r="L261" s="15"/>
      <c r="M261" s="15"/>
      <c r="N261" s="13"/>
      <c r="O261" s="13"/>
      <c r="P261" s="13"/>
      <c r="Q261" s="13"/>
      <c r="R261" s="14"/>
      <c r="S261" s="13"/>
      <c r="T261" s="15" t="s">
        <v>118</v>
      </c>
    </row>
    <row r="262" ht="34.5">
      <c r="A262" s="15" t="s">
        <v>110</v>
      </c>
      <c r="B262" s="15" t="s">
        <v>111</v>
      </c>
      <c r="C262" s="15" t="s">
        <v>464</v>
      </c>
      <c r="D262" s="15" t="s">
        <v>119</v>
      </c>
      <c r="E262" s="15" t="s">
        <v>410</v>
      </c>
      <c r="F262" s="13" t="s">
        <v>417</v>
      </c>
      <c r="G262" s="15" t="s">
        <v>412</v>
      </c>
      <c r="H262" s="13"/>
      <c r="I262" s="13"/>
      <c r="J262" s="13" t="s">
        <v>467</v>
      </c>
      <c r="K262" s="16"/>
      <c r="L262" s="15"/>
      <c r="M262" s="15"/>
      <c r="N262" s="13"/>
      <c r="O262" s="13"/>
      <c r="P262" s="13"/>
      <c r="Q262" s="13"/>
      <c r="R262" s="14"/>
      <c r="S262" s="13"/>
      <c r="T262" s="15" t="s">
        <v>118</v>
      </c>
    </row>
    <row r="263" ht="34.5">
      <c r="A263" s="15" t="s">
        <v>110</v>
      </c>
      <c r="B263" s="15" t="s">
        <v>111</v>
      </c>
      <c r="C263" s="15" t="s">
        <v>464</v>
      </c>
      <c r="D263" s="15" t="s">
        <v>119</v>
      </c>
      <c r="E263" s="15" t="s">
        <v>410</v>
      </c>
      <c r="F263" s="13" t="s">
        <v>417</v>
      </c>
      <c r="G263" s="15" t="s">
        <v>412</v>
      </c>
      <c r="H263" s="13"/>
      <c r="I263" s="13"/>
      <c r="J263" s="13" t="s">
        <v>468</v>
      </c>
      <c r="K263" s="16">
        <v>1683.6</v>
      </c>
      <c r="L263" s="15" t="s">
        <v>142</v>
      </c>
      <c r="M263" s="15"/>
      <c r="N263" s="13"/>
      <c r="O263" s="13"/>
      <c r="P263" s="13"/>
      <c r="Q263" s="13"/>
      <c r="R263" s="14"/>
      <c r="S263" s="13"/>
      <c r="T263" s="15" t="s">
        <v>118</v>
      </c>
    </row>
    <row r="264" ht="34.5">
      <c r="A264" s="15" t="s">
        <v>110</v>
      </c>
      <c r="B264" s="15" t="s">
        <v>111</v>
      </c>
      <c r="C264" s="15" t="s">
        <v>464</v>
      </c>
      <c r="D264" s="15" t="s">
        <v>119</v>
      </c>
      <c r="E264" s="15" t="s">
        <v>410</v>
      </c>
      <c r="F264" s="13" t="s">
        <v>417</v>
      </c>
      <c r="G264" s="15" t="s">
        <v>412</v>
      </c>
      <c r="H264" s="13"/>
      <c r="I264" s="13"/>
      <c r="J264" s="13" t="s">
        <v>469</v>
      </c>
      <c r="K264" s="16"/>
      <c r="L264" s="15"/>
      <c r="M264" s="15"/>
      <c r="N264" s="13"/>
      <c r="O264" s="13"/>
      <c r="P264" s="13"/>
      <c r="Q264" s="13"/>
      <c r="R264" s="14"/>
      <c r="S264" s="13"/>
      <c r="T264" s="15" t="s">
        <v>118</v>
      </c>
    </row>
    <row r="265" ht="34.5">
      <c r="A265" s="15" t="s">
        <v>110</v>
      </c>
      <c r="B265" s="15" t="s">
        <v>111</v>
      </c>
      <c r="C265" s="15" t="s">
        <v>464</v>
      </c>
      <c r="D265" s="15" t="s">
        <v>119</v>
      </c>
      <c r="E265" s="15" t="s">
        <v>410</v>
      </c>
      <c r="F265" s="13" t="s">
        <v>417</v>
      </c>
      <c r="G265" s="15" t="s">
        <v>412</v>
      </c>
      <c r="H265" s="13"/>
      <c r="I265" s="13"/>
      <c r="J265" s="13" t="s">
        <v>470</v>
      </c>
      <c r="K265" s="16"/>
      <c r="L265" s="15"/>
      <c r="M265" s="15"/>
      <c r="N265" s="13"/>
      <c r="O265" s="13"/>
      <c r="P265" s="13"/>
      <c r="Q265" s="13"/>
      <c r="R265" s="14"/>
      <c r="S265" s="13"/>
      <c r="T265" s="15" t="s">
        <v>118</v>
      </c>
    </row>
    <row r="266" ht="34.5">
      <c r="A266" s="15" t="s">
        <v>110</v>
      </c>
      <c r="B266" s="15" t="s">
        <v>111</v>
      </c>
      <c r="C266" s="15" t="s">
        <v>464</v>
      </c>
      <c r="D266" s="15" t="s">
        <v>119</v>
      </c>
      <c r="E266" s="15" t="s">
        <v>410</v>
      </c>
      <c r="F266" s="13" t="s">
        <v>417</v>
      </c>
      <c r="G266" s="15" t="s">
        <v>412</v>
      </c>
      <c r="H266" s="13"/>
      <c r="I266" s="13"/>
      <c r="J266" s="13" t="s">
        <v>471</v>
      </c>
      <c r="K266" s="16"/>
      <c r="L266" s="15"/>
      <c r="M266" s="15"/>
      <c r="N266" s="13"/>
      <c r="O266" s="13"/>
      <c r="P266" s="13"/>
      <c r="Q266" s="13"/>
      <c r="R266" s="14"/>
      <c r="S266" s="13"/>
      <c r="T266" s="15" t="s">
        <v>118</v>
      </c>
    </row>
    <row r="267" ht="34.5">
      <c r="A267" s="15" t="s">
        <v>110</v>
      </c>
      <c r="B267" s="15" t="s">
        <v>111</v>
      </c>
      <c r="C267" s="15" t="s">
        <v>464</v>
      </c>
      <c r="D267" s="15" t="s">
        <v>119</v>
      </c>
      <c r="E267" s="15" t="s">
        <v>410</v>
      </c>
      <c r="F267" s="13" t="s">
        <v>417</v>
      </c>
      <c r="G267" s="15" t="s">
        <v>412</v>
      </c>
      <c r="H267" s="13"/>
      <c r="I267" s="13"/>
      <c r="J267" s="13" t="s">
        <v>472</v>
      </c>
      <c r="K267" s="16"/>
      <c r="L267" s="15"/>
      <c r="M267" s="15"/>
      <c r="N267" s="13"/>
      <c r="O267" s="13"/>
      <c r="P267" s="13"/>
      <c r="Q267" s="13"/>
      <c r="R267" s="14"/>
      <c r="S267" s="13"/>
      <c r="T267" s="15" t="s">
        <v>118</v>
      </c>
    </row>
    <row r="268" ht="34.5">
      <c r="A268" s="15" t="s">
        <v>110</v>
      </c>
      <c r="B268" s="15" t="s">
        <v>111</v>
      </c>
      <c r="C268" s="15" t="s">
        <v>464</v>
      </c>
      <c r="D268" s="15" t="s">
        <v>119</v>
      </c>
      <c r="E268" s="15" t="s">
        <v>410</v>
      </c>
      <c r="F268" s="13" t="s">
        <v>417</v>
      </c>
      <c r="G268" s="15" t="s">
        <v>412</v>
      </c>
      <c r="H268" s="13"/>
      <c r="I268" s="13"/>
      <c r="J268" s="13" t="s">
        <v>473</v>
      </c>
      <c r="K268" s="16"/>
      <c r="L268" s="15"/>
      <c r="M268" s="15"/>
      <c r="N268" s="13"/>
      <c r="O268" s="13"/>
      <c r="P268" s="13"/>
      <c r="Q268" s="13"/>
      <c r="R268" s="14"/>
      <c r="S268" s="13"/>
      <c r="T268" s="15" t="s">
        <v>118</v>
      </c>
    </row>
    <row r="269" ht="34.5">
      <c r="A269" s="15" t="s">
        <v>110</v>
      </c>
      <c r="B269" s="15" t="s">
        <v>111</v>
      </c>
      <c r="C269" s="15" t="s">
        <v>474</v>
      </c>
      <c r="D269" s="15" t="s">
        <v>119</v>
      </c>
      <c r="E269" s="15" t="s">
        <v>410</v>
      </c>
      <c r="F269" s="13" t="s">
        <v>417</v>
      </c>
      <c r="G269" s="15" t="s">
        <v>412</v>
      </c>
      <c r="H269" s="13"/>
      <c r="I269" s="13"/>
      <c r="J269" s="13" t="s">
        <v>475</v>
      </c>
      <c r="K269" s="16"/>
      <c r="L269" s="15"/>
      <c r="M269" s="15"/>
      <c r="N269" s="13"/>
      <c r="O269" s="13"/>
      <c r="P269" s="13"/>
      <c r="Q269" s="13"/>
      <c r="R269" s="14"/>
      <c r="S269" s="13"/>
      <c r="T269" s="15" t="s">
        <v>118</v>
      </c>
    </row>
    <row r="270" ht="34.5">
      <c r="A270" s="15" t="s">
        <v>110</v>
      </c>
      <c r="B270" s="15" t="s">
        <v>111</v>
      </c>
      <c r="C270" s="15" t="s">
        <v>474</v>
      </c>
      <c r="D270" s="15" t="s">
        <v>119</v>
      </c>
      <c r="E270" s="15" t="s">
        <v>410</v>
      </c>
      <c r="F270" s="13" t="s">
        <v>417</v>
      </c>
      <c r="G270" s="15" t="s">
        <v>412</v>
      </c>
      <c r="H270" s="13"/>
      <c r="I270" s="13"/>
      <c r="J270" s="13" t="s">
        <v>476</v>
      </c>
      <c r="K270" s="16">
        <v>1246.7</v>
      </c>
      <c r="L270" s="15" t="s">
        <v>142</v>
      </c>
      <c r="M270" s="15"/>
      <c r="N270" s="13"/>
      <c r="O270" s="13"/>
      <c r="P270" s="13"/>
      <c r="Q270" s="13"/>
      <c r="R270" s="14"/>
      <c r="S270" s="13"/>
      <c r="T270" s="15" t="s">
        <v>118</v>
      </c>
    </row>
    <row r="271" ht="34.5">
      <c r="A271" s="15" t="s">
        <v>110</v>
      </c>
      <c r="B271" s="15" t="s">
        <v>111</v>
      </c>
      <c r="C271" s="15" t="s">
        <v>474</v>
      </c>
      <c r="D271" s="15" t="s">
        <v>119</v>
      </c>
      <c r="E271" s="15" t="s">
        <v>410</v>
      </c>
      <c r="F271" s="13" t="s">
        <v>417</v>
      </c>
      <c r="G271" s="15" t="s">
        <v>412</v>
      </c>
      <c r="H271" s="13"/>
      <c r="I271" s="13"/>
      <c r="J271" s="13" t="s">
        <v>477</v>
      </c>
      <c r="K271" s="16"/>
      <c r="L271" s="15"/>
      <c r="M271" s="15"/>
      <c r="N271" s="13"/>
      <c r="O271" s="13"/>
      <c r="P271" s="13"/>
      <c r="Q271" s="13"/>
      <c r="R271" s="14"/>
      <c r="S271" s="13"/>
      <c r="T271" s="15" t="s">
        <v>118</v>
      </c>
    </row>
    <row r="272" ht="34.5">
      <c r="A272" s="15" t="s">
        <v>110</v>
      </c>
      <c r="B272" s="15" t="s">
        <v>111</v>
      </c>
      <c r="C272" s="15" t="s">
        <v>474</v>
      </c>
      <c r="D272" s="15" t="s">
        <v>119</v>
      </c>
      <c r="E272" s="15" t="s">
        <v>410</v>
      </c>
      <c r="F272" s="13" t="s">
        <v>417</v>
      </c>
      <c r="G272" s="15" t="s">
        <v>412</v>
      </c>
      <c r="H272" s="13"/>
      <c r="I272" s="13"/>
      <c r="J272" s="13" t="s">
        <v>478</v>
      </c>
      <c r="K272" s="16"/>
      <c r="L272" s="15"/>
      <c r="M272" s="15"/>
      <c r="N272" s="13"/>
      <c r="O272" s="13"/>
      <c r="P272" s="13"/>
      <c r="Q272" s="13"/>
      <c r="R272" s="14"/>
      <c r="S272" s="13"/>
      <c r="T272" s="15" t="s">
        <v>118</v>
      </c>
    </row>
    <row r="273" ht="34.5">
      <c r="A273" s="15" t="s">
        <v>110</v>
      </c>
      <c r="B273" s="15" t="s">
        <v>111</v>
      </c>
      <c r="C273" s="15" t="s">
        <v>474</v>
      </c>
      <c r="D273" s="15" t="s">
        <v>119</v>
      </c>
      <c r="E273" s="15" t="s">
        <v>410</v>
      </c>
      <c r="F273" s="13" t="s">
        <v>417</v>
      </c>
      <c r="G273" s="15" t="s">
        <v>412</v>
      </c>
      <c r="H273" s="13"/>
      <c r="I273" s="13"/>
      <c r="J273" s="13" t="s">
        <v>479</v>
      </c>
      <c r="K273" s="16"/>
      <c r="L273" s="15"/>
      <c r="M273" s="15"/>
      <c r="N273" s="13"/>
      <c r="O273" s="13"/>
      <c r="P273" s="13"/>
      <c r="Q273" s="13"/>
      <c r="R273" s="14"/>
      <c r="S273" s="13"/>
      <c r="T273" s="15" t="s">
        <v>118</v>
      </c>
    </row>
    <row r="274" ht="34.5">
      <c r="A274" s="15" t="s">
        <v>110</v>
      </c>
      <c r="B274" s="15" t="s">
        <v>111</v>
      </c>
      <c r="C274" s="15" t="s">
        <v>474</v>
      </c>
      <c r="D274" s="15" t="s">
        <v>119</v>
      </c>
      <c r="E274" s="15" t="s">
        <v>410</v>
      </c>
      <c r="F274" s="13" t="s">
        <v>417</v>
      </c>
      <c r="G274" s="15" t="s">
        <v>412</v>
      </c>
      <c r="H274" s="13"/>
      <c r="I274" s="13"/>
      <c r="J274" s="13" t="s">
        <v>480</v>
      </c>
      <c r="K274" s="16"/>
      <c r="L274" s="15"/>
      <c r="M274" s="15"/>
      <c r="N274" s="13"/>
      <c r="O274" s="13"/>
      <c r="P274" s="13"/>
      <c r="Q274" s="13"/>
      <c r="R274" s="14"/>
      <c r="S274" s="13"/>
      <c r="T274" s="15" t="s">
        <v>118</v>
      </c>
    </row>
    <row r="275" ht="34.5">
      <c r="A275" s="15" t="s">
        <v>110</v>
      </c>
      <c r="B275" s="15" t="s">
        <v>111</v>
      </c>
      <c r="C275" s="15" t="s">
        <v>474</v>
      </c>
      <c r="D275" s="15" t="s">
        <v>119</v>
      </c>
      <c r="E275" s="15" t="s">
        <v>410</v>
      </c>
      <c r="F275" s="13" t="s">
        <v>417</v>
      </c>
      <c r="G275" s="15" t="s">
        <v>412</v>
      </c>
      <c r="H275" s="13"/>
      <c r="I275" s="13"/>
      <c r="J275" s="13" t="s">
        <v>481</v>
      </c>
      <c r="K275" s="16"/>
      <c r="L275" s="15"/>
      <c r="M275" s="15"/>
      <c r="N275" s="13"/>
      <c r="O275" s="13"/>
      <c r="P275" s="13"/>
      <c r="Q275" s="13"/>
      <c r="R275" s="14"/>
      <c r="S275" s="13"/>
      <c r="T275" s="15" t="s">
        <v>118</v>
      </c>
    </row>
    <row r="276" ht="34.5">
      <c r="A276" s="15" t="s">
        <v>110</v>
      </c>
      <c r="B276" s="15" t="s">
        <v>111</v>
      </c>
      <c r="C276" s="15" t="s">
        <v>474</v>
      </c>
      <c r="D276" s="15" t="s">
        <v>119</v>
      </c>
      <c r="E276" s="15" t="s">
        <v>410</v>
      </c>
      <c r="F276" s="13" t="s">
        <v>417</v>
      </c>
      <c r="G276" s="15" t="s">
        <v>412</v>
      </c>
      <c r="H276" s="13"/>
      <c r="I276" s="13"/>
      <c r="J276" s="13" t="s">
        <v>482</v>
      </c>
      <c r="K276" s="16"/>
      <c r="L276" s="15"/>
      <c r="M276" s="15"/>
      <c r="N276" s="13"/>
      <c r="O276" s="13"/>
      <c r="P276" s="13"/>
      <c r="Q276" s="13"/>
      <c r="R276" s="14"/>
      <c r="S276" s="13"/>
      <c r="T276" s="15" t="s">
        <v>118</v>
      </c>
    </row>
    <row r="277" ht="34.5">
      <c r="A277" s="15" t="s">
        <v>110</v>
      </c>
      <c r="B277" s="15" t="s">
        <v>111</v>
      </c>
      <c r="C277" s="15" t="s">
        <v>483</v>
      </c>
      <c r="D277" s="15" t="s">
        <v>119</v>
      </c>
      <c r="E277" s="15" t="s">
        <v>410</v>
      </c>
      <c r="F277" s="13" t="s">
        <v>417</v>
      </c>
      <c r="G277" s="15" t="s">
        <v>412</v>
      </c>
      <c r="H277" s="13"/>
      <c r="I277" s="13"/>
      <c r="J277" s="13" t="s">
        <v>484</v>
      </c>
      <c r="K277" s="16"/>
      <c r="L277" s="15"/>
      <c r="M277" s="15"/>
      <c r="N277" s="13"/>
      <c r="O277" s="13"/>
      <c r="P277" s="13"/>
      <c r="Q277" s="13"/>
      <c r="R277" s="14"/>
      <c r="S277" s="13"/>
      <c r="T277" s="15" t="s">
        <v>118</v>
      </c>
    </row>
    <row r="278" ht="34.5">
      <c r="A278" s="15" t="s">
        <v>110</v>
      </c>
      <c r="B278" s="15" t="s">
        <v>111</v>
      </c>
      <c r="C278" s="15" t="s">
        <v>483</v>
      </c>
      <c r="D278" s="15" t="s">
        <v>119</v>
      </c>
      <c r="E278" s="15" t="s">
        <v>410</v>
      </c>
      <c r="F278" s="13" t="s">
        <v>417</v>
      </c>
      <c r="G278" s="15" t="s">
        <v>412</v>
      </c>
      <c r="H278" s="13"/>
      <c r="I278" s="13"/>
      <c r="J278" s="13" t="s">
        <v>485</v>
      </c>
      <c r="K278" s="16"/>
      <c r="L278" s="15"/>
      <c r="M278" s="15"/>
      <c r="N278" s="13"/>
      <c r="O278" s="13"/>
      <c r="P278" s="13"/>
      <c r="Q278" s="13"/>
      <c r="R278" s="14"/>
      <c r="S278" s="13"/>
      <c r="T278" s="15" t="s">
        <v>118</v>
      </c>
    </row>
    <row r="279" ht="34.5">
      <c r="A279" s="15" t="s">
        <v>110</v>
      </c>
      <c r="B279" s="15" t="s">
        <v>111</v>
      </c>
      <c r="C279" s="15" t="s">
        <v>483</v>
      </c>
      <c r="D279" s="15" t="s">
        <v>119</v>
      </c>
      <c r="E279" s="15" t="s">
        <v>410</v>
      </c>
      <c r="F279" s="13" t="s">
        <v>417</v>
      </c>
      <c r="G279" s="15" t="s">
        <v>412</v>
      </c>
      <c r="H279" s="13"/>
      <c r="I279" s="13"/>
      <c r="J279" s="13" t="s">
        <v>486</v>
      </c>
      <c r="K279" s="16"/>
      <c r="L279" s="15"/>
      <c r="M279" s="15"/>
      <c r="N279" s="13"/>
      <c r="O279" s="13"/>
      <c r="P279" s="13"/>
      <c r="Q279" s="13"/>
      <c r="R279" s="14"/>
      <c r="S279" s="13"/>
      <c r="T279" s="15" t="s">
        <v>118</v>
      </c>
    </row>
    <row r="280" ht="34.5">
      <c r="A280" s="15" t="s">
        <v>110</v>
      </c>
      <c r="B280" s="15" t="s">
        <v>111</v>
      </c>
      <c r="C280" s="15" t="s">
        <v>483</v>
      </c>
      <c r="D280" s="15" t="s">
        <v>119</v>
      </c>
      <c r="E280" s="15" t="s">
        <v>410</v>
      </c>
      <c r="F280" s="13" t="s">
        <v>417</v>
      </c>
      <c r="G280" s="15" t="s">
        <v>412</v>
      </c>
      <c r="H280" s="13"/>
      <c r="I280" s="13"/>
      <c r="J280" s="13" t="s">
        <v>487</v>
      </c>
      <c r="K280" s="16"/>
      <c r="L280" s="15"/>
      <c r="M280" s="15"/>
      <c r="N280" s="13"/>
      <c r="O280" s="13"/>
      <c r="P280" s="13"/>
      <c r="Q280" s="13"/>
      <c r="R280" s="14"/>
      <c r="S280" s="13"/>
      <c r="T280" s="15" t="s">
        <v>118</v>
      </c>
    </row>
    <row r="281" ht="34.5">
      <c r="A281" s="15" t="s">
        <v>110</v>
      </c>
      <c r="B281" s="15" t="s">
        <v>111</v>
      </c>
      <c r="C281" s="15" t="s">
        <v>483</v>
      </c>
      <c r="D281" s="15" t="s">
        <v>119</v>
      </c>
      <c r="E281" s="15" t="s">
        <v>410</v>
      </c>
      <c r="F281" s="13" t="s">
        <v>417</v>
      </c>
      <c r="G281" s="15" t="s">
        <v>412</v>
      </c>
      <c r="H281" s="13"/>
      <c r="I281" s="13"/>
      <c r="J281" s="13" t="s">
        <v>488</v>
      </c>
      <c r="K281" s="16"/>
      <c r="L281" s="15"/>
      <c r="M281" s="15"/>
      <c r="N281" s="13"/>
      <c r="O281" s="13"/>
      <c r="P281" s="13"/>
      <c r="Q281" s="13"/>
      <c r="R281" s="14"/>
      <c r="S281" s="13"/>
      <c r="T281" s="15" t="s">
        <v>118</v>
      </c>
    </row>
    <row r="282" ht="34.5">
      <c r="A282" s="15" t="s">
        <v>110</v>
      </c>
      <c r="B282" s="15" t="s">
        <v>111</v>
      </c>
      <c r="C282" s="15" t="s">
        <v>483</v>
      </c>
      <c r="D282" s="15" t="s">
        <v>119</v>
      </c>
      <c r="E282" s="15" t="s">
        <v>410</v>
      </c>
      <c r="F282" s="13" t="s">
        <v>417</v>
      </c>
      <c r="G282" s="15" t="s">
        <v>412</v>
      </c>
      <c r="H282" s="13"/>
      <c r="I282" s="13"/>
      <c r="J282" s="13" t="s">
        <v>489</v>
      </c>
      <c r="K282" s="16"/>
      <c r="L282" s="15"/>
      <c r="M282" s="15"/>
      <c r="N282" s="13"/>
      <c r="O282" s="13"/>
      <c r="P282" s="13"/>
      <c r="Q282" s="13"/>
      <c r="R282" s="14"/>
      <c r="S282" s="13"/>
      <c r="T282" s="15" t="s">
        <v>118</v>
      </c>
    </row>
    <row r="283" ht="34.5">
      <c r="A283" s="15" t="s">
        <v>110</v>
      </c>
      <c r="B283" s="15" t="s">
        <v>111</v>
      </c>
      <c r="C283" s="15" t="s">
        <v>483</v>
      </c>
      <c r="D283" s="15" t="s">
        <v>119</v>
      </c>
      <c r="E283" s="15" t="s">
        <v>410</v>
      </c>
      <c r="F283" s="13" t="s">
        <v>417</v>
      </c>
      <c r="G283" s="15" t="s">
        <v>412</v>
      </c>
      <c r="H283" s="13"/>
      <c r="I283" s="13"/>
      <c r="J283" s="13" t="s">
        <v>490</v>
      </c>
      <c r="K283" s="16"/>
      <c r="L283" s="15"/>
      <c r="M283" s="15"/>
      <c r="N283" s="13"/>
      <c r="O283" s="13"/>
      <c r="P283" s="13"/>
      <c r="Q283" s="13"/>
      <c r="R283" s="14"/>
      <c r="S283" s="13"/>
      <c r="T283" s="15" t="s">
        <v>118</v>
      </c>
    </row>
    <row r="284" ht="34.5">
      <c r="A284" s="15" t="s">
        <v>110</v>
      </c>
      <c r="B284" s="15" t="s">
        <v>111</v>
      </c>
      <c r="C284" s="15" t="s">
        <v>483</v>
      </c>
      <c r="D284" s="15" t="s">
        <v>119</v>
      </c>
      <c r="E284" s="15" t="s">
        <v>410</v>
      </c>
      <c r="F284" s="13" t="s">
        <v>417</v>
      </c>
      <c r="G284" s="15" t="s">
        <v>412</v>
      </c>
      <c r="H284" s="13"/>
      <c r="I284" s="13"/>
      <c r="J284" s="13" t="s">
        <v>491</v>
      </c>
      <c r="K284" s="16"/>
      <c r="L284" s="15"/>
      <c r="M284" s="15"/>
      <c r="N284" s="13"/>
      <c r="O284" s="13"/>
      <c r="P284" s="13"/>
      <c r="Q284" s="13"/>
      <c r="R284" s="14"/>
      <c r="S284" s="13"/>
      <c r="T284" s="15" t="s">
        <v>118</v>
      </c>
    </row>
    <row r="285" ht="34.5">
      <c r="A285" s="15" t="s">
        <v>110</v>
      </c>
      <c r="B285" s="15" t="s">
        <v>111</v>
      </c>
      <c r="C285" s="15" t="s">
        <v>492</v>
      </c>
      <c r="D285" s="15" t="s">
        <v>119</v>
      </c>
      <c r="E285" s="15" t="s">
        <v>410</v>
      </c>
      <c r="F285" s="13" t="s">
        <v>417</v>
      </c>
      <c r="G285" s="15" t="s">
        <v>412</v>
      </c>
      <c r="H285" s="13"/>
      <c r="I285" s="13"/>
      <c r="J285" s="13" t="s">
        <v>493</v>
      </c>
      <c r="K285" s="16"/>
      <c r="L285" s="15"/>
      <c r="M285" s="15"/>
      <c r="N285" s="13"/>
      <c r="O285" s="13"/>
      <c r="P285" s="13"/>
      <c r="Q285" s="13"/>
      <c r="R285" s="14"/>
      <c r="S285" s="13"/>
      <c r="T285" s="15" t="s">
        <v>118</v>
      </c>
    </row>
    <row r="286" ht="34.5">
      <c r="A286" s="15" t="s">
        <v>110</v>
      </c>
      <c r="B286" s="15" t="s">
        <v>111</v>
      </c>
      <c r="C286" s="15" t="s">
        <v>492</v>
      </c>
      <c r="D286" s="15" t="s">
        <v>119</v>
      </c>
      <c r="E286" s="15" t="s">
        <v>410</v>
      </c>
      <c r="F286" s="13" t="s">
        <v>417</v>
      </c>
      <c r="G286" s="15" t="s">
        <v>412</v>
      </c>
      <c r="H286" s="13"/>
      <c r="I286" s="13"/>
      <c r="J286" s="13" t="s">
        <v>494</v>
      </c>
      <c r="K286" s="16"/>
      <c r="L286" s="15"/>
      <c r="M286" s="15"/>
      <c r="N286" s="13"/>
      <c r="O286" s="13"/>
      <c r="P286" s="13"/>
      <c r="Q286" s="13"/>
      <c r="R286" s="14"/>
      <c r="S286" s="13"/>
      <c r="T286" s="15" t="s">
        <v>118</v>
      </c>
    </row>
    <row r="287" ht="34.5">
      <c r="A287" s="15" t="s">
        <v>110</v>
      </c>
      <c r="B287" s="15" t="s">
        <v>111</v>
      </c>
      <c r="C287" s="15" t="s">
        <v>492</v>
      </c>
      <c r="D287" s="15" t="s">
        <v>119</v>
      </c>
      <c r="E287" s="15" t="s">
        <v>410</v>
      </c>
      <c r="F287" s="13" t="s">
        <v>417</v>
      </c>
      <c r="G287" s="15" t="s">
        <v>412</v>
      </c>
      <c r="H287" s="13"/>
      <c r="I287" s="13"/>
      <c r="J287" s="13" t="s">
        <v>495</v>
      </c>
      <c r="K287" s="16"/>
      <c r="L287" s="15"/>
      <c r="M287" s="15"/>
      <c r="N287" s="13"/>
      <c r="O287" s="13"/>
      <c r="P287" s="13"/>
      <c r="Q287" s="13"/>
      <c r="R287" s="14"/>
      <c r="S287" s="13"/>
      <c r="T287" s="15" t="s">
        <v>118</v>
      </c>
    </row>
    <row r="288" ht="34.5">
      <c r="A288" s="15" t="s">
        <v>110</v>
      </c>
      <c r="B288" s="15" t="s">
        <v>111</v>
      </c>
      <c r="C288" s="15" t="s">
        <v>492</v>
      </c>
      <c r="D288" s="15" t="s">
        <v>119</v>
      </c>
      <c r="E288" s="15" t="s">
        <v>410</v>
      </c>
      <c r="F288" s="13" t="s">
        <v>417</v>
      </c>
      <c r="G288" s="15" t="s">
        <v>412</v>
      </c>
      <c r="H288" s="13"/>
      <c r="I288" s="13"/>
      <c r="J288" s="13" t="s">
        <v>496</v>
      </c>
      <c r="K288" s="16"/>
      <c r="L288" s="15"/>
      <c r="M288" s="15"/>
      <c r="N288" s="13"/>
      <c r="O288" s="13"/>
      <c r="P288" s="13"/>
      <c r="Q288" s="13"/>
      <c r="R288" s="14"/>
      <c r="S288" s="13"/>
      <c r="T288" s="15" t="s">
        <v>118</v>
      </c>
    </row>
    <row r="289" ht="34.5">
      <c r="A289" s="15" t="s">
        <v>110</v>
      </c>
      <c r="B289" s="15" t="s">
        <v>111</v>
      </c>
      <c r="C289" s="15" t="s">
        <v>492</v>
      </c>
      <c r="D289" s="15" t="s">
        <v>119</v>
      </c>
      <c r="E289" s="15" t="s">
        <v>410</v>
      </c>
      <c r="F289" s="13" t="s">
        <v>417</v>
      </c>
      <c r="G289" s="15" t="s">
        <v>412</v>
      </c>
      <c r="H289" s="13"/>
      <c r="I289" s="13"/>
      <c r="J289" s="13" t="s">
        <v>497</v>
      </c>
      <c r="K289" s="16"/>
      <c r="L289" s="15"/>
      <c r="M289" s="15"/>
      <c r="N289" s="13"/>
      <c r="O289" s="13"/>
      <c r="P289" s="13"/>
      <c r="Q289" s="13"/>
      <c r="R289" s="14"/>
      <c r="S289" s="13"/>
      <c r="T289" s="15" t="s">
        <v>118</v>
      </c>
    </row>
    <row r="290" ht="34.5">
      <c r="A290" s="15" t="s">
        <v>110</v>
      </c>
      <c r="B290" s="15" t="s">
        <v>111</v>
      </c>
      <c r="C290" s="15" t="s">
        <v>492</v>
      </c>
      <c r="D290" s="15" t="s">
        <v>119</v>
      </c>
      <c r="E290" s="15" t="s">
        <v>410</v>
      </c>
      <c r="F290" s="13" t="s">
        <v>417</v>
      </c>
      <c r="G290" s="15" t="s">
        <v>412</v>
      </c>
      <c r="H290" s="13"/>
      <c r="I290" s="13"/>
      <c r="J290" s="13" t="s">
        <v>498</v>
      </c>
      <c r="K290" s="16"/>
      <c r="L290" s="15"/>
      <c r="M290" s="15"/>
      <c r="N290" s="13"/>
      <c r="O290" s="13"/>
      <c r="P290" s="13"/>
      <c r="Q290" s="13"/>
      <c r="R290" s="14"/>
      <c r="S290" s="13"/>
      <c r="T290" s="15" t="s">
        <v>118</v>
      </c>
    </row>
    <row r="291" ht="34.5">
      <c r="A291" s="15" t="s">
        <v>110</v>
      </c>
      <c r="B291" s="15" t="s">
        <v>111</v>
      </c>
      <c r="C291" s="15" t="s">
        <v>492</v>
      </c>
      <c r="D291" s="15" t="s">
        <v>119</v>
      </c>
      <c r="E291" s="15" t="s">
        <v>410</v>
      </c>
      <c r="F291" s="13" t="s">
        <v>417</v>
      </c>
      <c r="G291" s="15" t="s">
        <v>412</v>
      </c>
      <c r="H291" s="13"/>
      <c r="I291" s="13"/>
      <c r="J291" s="13" t="s">
        <v>499</v>
      </c>
      <c r="K291" s="16">
        <v>42469</v>
      </c>
      <c r="L291" s="15" t="s">
        <v>142</v>
      </c>
      <c r="M291" s="15"/>
      <c r="N291" s="13"/>
      <c r="O291" s="13"/>
      <c r="P291" s="13"/>
      <c r="Q291" s="13"/>
      <c r="R291" s="14"/>
      <c r="S291" s="13"/>
      <c r="T291" s="15" t="s">
        <v>118</v>
      </c>
    </row>
    <row r="292" ht="34.5">
      <c r="A292" s="15" t="s">
        <v>110</v>
      </c>
      <c r="B292" s="15" t="s">
        <v>111</v>
      </c>
      <c r="C292" s="15" t="s">
        <v>492</v>
      </c>
      <c r="D292" s="15" t="s">
        <v>119</v>
      </c>
      <c r="E292" s="15" t="s">
        <v>410</v>
      </c>
      <c r="F292" s="13" t="s">
        <v>417</v>
      </c>
      <c r="G292" s="15" t="s">
        <v>412</v>
      </c>
      <c r="H292" s="13"/>
      <c r="I292" s="13"/>
      <c r="J292" s="13" t="s">
        <v>500</v>
      </c>
      <c r="K292" s="16">
        <v>20037</v>
      </c>
      <c r="L292" s="15" t="s">
        <v>142</v>
      </c>
      <c r="M292" s="15"/>
      <c r="N292" s="13"/>
      <c r="O292" s="13"/>
      <c r="P292" s="13"/>
      <c r="Q292" s="13"/>
      <c r="R292" s="14"/>
      <c r="S292" s="13"/>
      <c r="T292" s="15" t="s">
        <v>118</v>
      </c>
    </row>
    <row r="293" ht="34.5">
      <c r="A293" s="15" t="s">
        <v>110</v>
      </c>
      <c r="B293" s="15" t="s">
        <v>111</v>
      </c>
      <c r="C293" s="15" t="s">
        <v>492</v>
      </c>
      <c r="D293" s="15" t="s">
        <v>119</v>
      </c>
      <c r="E293" s="15" t="s">
        <v>410</v>
      </c>
      <c r="F293" s="13" t="s">
        <v>417</v>
      </c>
      <c r="G293" s="15" t="s">
        <v>412</v>
      </c>
      <c r="H293" s="13"/>
      <c r="I293" s="13"/>
      <c r="J293" s="13" t="s">
        <v>501</v>
      </c>
      <c r="K293" s="16"/>
      <c r="L293" s="15"/>
      <c r="M293" s="15"/>
      <c r="N293" s="13"/>
      <c r="O293" s="13"/>
      <c r="P293" s="13"/>
      <c r="Q293" s="13"/>
      <c r="R293" s="14"/>
      <c r="S293" s="13"/>
      <c r="T293" s="15" t="s">
        <v>118</v>
      </c>
    </row>
    <row r="294" ht="34.5">
      <c r="A294" s="15" t="s">
        <v>110</v>
      </c>
      <c r="B294" s="15" t="s">
        <v>111</v>
      </c>
      <c r="C294" s="15" t="s">
        <v>502</v>
      </c>
      <c r="D294" s="15" t="s">
        <v>119</v>
      </c>
      <c r="E294" s="15" t="s">
        <v>410</v>
      </c>
      <c r="F294" s="13" t="s">
        <v>417</v>
      </c>
      <c r="G294" s="15" t="s">
        <v>412</v>
      </c>
      <c r="H294" s="13"/>
      <c r="I294" s="13"/>
      <c r="J294" s="13" t="s">
        <v>503</v>
      </c>
      <c r="K294" s="16"/>
      <c r="L294" s="15"/>
      <c r="M294" s="15"/>
      <c r="N294" s="13"/>
      <c r="O294" s="13"/>
      <c r="P294" s="13"/>
      <c r="Q294" s="13"/>
      <c r="R294" s="14"/>
      <c r="S294" s="13"/>
      <c r="T294" s="15" t="s">
        <v>118</v>
      </c>
    </row>
    <row r="295" ht="34.5">
      <c r="A295" s="15" t="s">
        <v>110</v>
      </c>
      <c r="B295" s="15" t="s">
        <v>111</v>
      </c>
      <c r="C295" s="15" t="s">
        <v>502</v>
      </c>
      <c r="D295" s="15" t="s">
        <v>119</v>
      </c>
      <c r="E295" s="15" t="s">
        <v>410</v>
      </c>
      <c r="F295" s="13" t="s">
        <v>417</v>
      </c>
      <c r="G295" s="15" t="s">
        <v>412</v>
      </c>
      <c r="H295" s="13"/>
      <c r="I295" s="13"/>
      <c r="J295" s="13" t="s">
        <v>504</v>
      </c>
      <c r="K295" s="16"/>
      <c r="L295" s="15"/>
      <c r="M295" s="15"/>
      <c r="N295" s="13"/>
      <c r="O295" s="13"/>
      <c r="P295" s="13"/>
      <c r="Q295" s="13"/>
      <c r="R295" s="14"/>
      <c r="S295" s="13"/>
      <c r="T295" s="15" t="s">
        <v>118</v>
      </c>
    </row>
    <row r="296" ht="34.5">
      <c r="A296" s="15" t="s">
        <v>110</v>
      </c>
      <c r="B296" s="15" t="s">
        <v>111</v>
      </c>
      <c r="C296" s="15" t="s">
        <v>502</v>
      </c>
      <c r="D296" s="15" t="s">
        <v>119</v>
      </c>
      <c r="E296" s="15" t="s">
        <v>410</v>
      </c>
      <c r="F296" s="13" t="s">
        <v>417</v>
      </c>
      <c r="G296" s="15" t="s">
        <v>412</v>
      </c>
      <c r="H296" s="13"/>
      <c r="I296" s="13"/>
      <c r="J296" s="13" t="s">
        <v>505</v>
      </c>
      <c r="K296" s="16"/>
      <c r="L296" s="15"/>
      <c r="M296" s="15"/>
      <c r="N296" s="13"/>
      <c r="O296" s="13"/>
      <c r="P296" s="13"/>
      <c r="Q296" s="13"/>
      <c r="R296" s="14"/>
      <c r="S296" s="13"/>
      <c r="T296" s="15" t="s">
        <v>118</v>
      </c>
    </row>
    <row r="297" ht="34.5">
      <c r="A297" s="15" t="s">
        <v>110</v>
      </c>
      <c r="B297" s="15" t="s">
        <v>111</v>
      </c>
      <c r="C297" s="15" t="s">
        <v>502</v>
      </c>
      <c r="D297" s="15" t="s">
        <v>506</v>
      </c>
      <c r="E297" s="15" t="s">
        <v>410</v>
      </c>
      <c r="F297" s="13" t="s">
        <v>417</v>
      </c>
      <c r="G297" s="15" t="s">
        <v>412</v>
      </c>
      <c r="H297" s="13"/>
      <c r="I297" s="13"/>
      <c r="J297" s="13" t="s">
        <v>507</v>
      </c>
      <c r="K297" s="16"/>
      <c r="L297" s="15"/>
      <c r="M297" s="15"/>
      <c r="N297" s="13"/>
      <c r="O297" s="13"/>
      <c r="P297" s="13"/>
      <c r="Q297" s="13"/>
      <c r="R297" s="14"/>
      <c r="S297" s="13"/>
      <c r="T297" s="15" t="s">
        <v>118</v>
      </c>
    </row>
    <row r="298" ht="34.5">
      <c r="A298" s="15" t="s">
        <v>110</v>
      </c>
      <c r="B298" s="15" t="s">
        <v>111</v>
      </c>
      <c r="C298" s="15" t="s">
        <v>502</v>
      </c>
      <c r="D298" s="15" t="s">
        <v>119</v>
      </c>
      <c r="E298" s="15" t="s">
        <v>410</v>
      </c>
      <c r="F298" s="13" t="s">
        <v>417</v>
      </c>
      <c r="G298" s="15" t="s">
        <v>412</v>
      </c>
      <c r="H298" s="13"/>
      <c r="I298" s="13"/>
      <c r="J298" s="13" t="s">
        <v>508</v>
      </c>
      <c r="K298" s="16"/>
      <c r="L298" s="15"/>
      <c r="M298" s="15"/>
      <c r="N298" s="13"/>
      <c r="O298" s="13"/>
      <c r="P298" s="13"/>
      <c r="Q298" s="13"/>
      <c r="R298" s="14"/>
      <c r="S298" s="13"/>
      <c r="T298" s="15" t="s">
        <v>118</v>
      </c>
    </row>
    <row r="299" ht="34.5">
      <c r="A299" s="15" t="s">
        <v>110</v>
      </c>
      <c r="B299" s="15" t="s">
        <v>111</v>
      </c>
      <c r="C299" s="15" t="s">
        <v>502</v>
      </c>
      <c r="D299" s="15" t="s">
        <v>506</v>
      </c>
      <c r="E299" s="15" t="s">
        <v>410</v>
      </c>
      <c r="F299" s="13" t="s">
        <v>417</v>
      </c>
      <c r="G299" s="15" t="s">
        <v>412</v>
      </c>
      <c r="H299" s="13"/>
      <c r="I299" s="13"/>
      <c r="J299" s="13" t="s">
        <v>509</v>
      </c>
      <c r="K299" s="16"/>
      <c r="L299" s="15"/>
      <c r="M299" s="15"/>
      <c r="N299" s="13"/>
      <c r="O299" s="13"/>
      <c r="P299" s="13"/>
      <c r="Q299" s="13"/>
      <c r="R299" s="14"/>
      <c r="S299" s="13"/>
      <c r="T299" s="15" t="s">
        <v>118</v>
      </c>
    </row>
    <row r="300" ht="34.5">
      <c r="A300" s="15" t="s">
        <v>110</v>
      </c>
      <c r="B300" s="15" t="s">
        <v>111</v>
      </c>
      <c r="C300" s="15" t="s">
        <v>510</v>
      </c>
      <c r="D300" s="15" t="s">
        <v>119</v>
      </c>
      <c r="E300" s="15" t="s">
        <v>410</v>
      </c>
      <c r="F300" s="13" t="s">
        <v>417</v>
      </c>
      <c r="G300" s="15" t="s">
        <v>412</v>
      </c>
      <c r="H300" s="13"/>
      <c r="I300" s="13"/>
      <c r="J300" s="13" t="s">
        <v>511</v>
      </c>
      <c r="K300" s="16"/>
      <c r="L300" s="15"/>
      <c r="M300" s="15"/>
      <c r="N300" s="13"/>
      <c r="O300" s="13"/>
      <c r="P300" s="13"/>
      <c r="Q300" s="13"/>
      <c r="R300" s="14"/>
      <c r="S300" s="13"/>
      <c r="T300" s="15" t="s">
        <v>118</v>
      </c>
    </row>
    <row r="301" ht="34.5">
      <c r="A301" s="15" t="s">
        <v>110</v>
      </c>
      <c r="B301" s="15" t="s">
        <v>111</v>
      </c>
      <c r="C301" s="15" t="s">
        <v>510</v>
      </c>
      <c r="D301" s="15" t="s">
        <v>512</v>
      </c>
      <c r="E301" s="15" t="s">
        <v>410</v>
      </c>
      <c r="F301" s="13" t="s">
        <v>417</v>
      </c>
      <c r="G301" s="15" t="s">
        <v>412</v>
      </c>
      <c r="H301" s="13"/>
      <c r="I301" s="13"/>
      <c r="J301" s="13" t="s">
        <v>513</v>
      </c>
      <c r="K301" s="16"/>
      <c r="L301" s="15"/>
      <c r="M301" s="15"/>
      <c r="N301" s="13"/>
      <c r="O301" s="13"/>
      <c r="P301" s="13"/>
      <c r="Q301" s="13"/>
      <c r="R301" s="14"/>
      <c r="S301" s="13"/>
      <c r="T301" s="15" t="s">
        <v>118</v>
      </c>
    </row>
    <row r="302" ht="34.5">
      <c r="A302" s="15" t="s">
        <v>110</v>
      </c>
      <c r="B302" s="15" t="s">
        <v>111</v>
      </c>
      <c r="C302" s="15" t="s">
        <v>510</v>
      </c>
      <c r="D302" s="15" t="s">
        <v>119</v>
      </c>
      <c r="E302" s="15" t="s">
        <v>410</v>
      </c>
      <c r="F302" s="13" t="s">
        <v>417</v>
      </c>
      <c r="G302" s="15" t="s">
        <v>412</v>
      </c>
      <c r="H302" s="13"/>
      <c r="I302" s="13"/>
      <c r="J302" s="13" t="s">
        <v>514</v>
      </c>
      <c r="K302" s="16"/>
      <c r="L302" s="15"/>
      <c r="M302" s="15"/>
      <c r="N302" s="13"/>
      <c r="O302" s="13"/>
      <c r="P302" s="13"/>
      <c r="Q302" s="13"/>
      <c r="R302" s="14"/>
      <c r="S302" s="13"/>
      <c r="T302" s="15" t="s">
        <v>118</v>
      </c>
    </row>
    <row r="303" ht="34.5">
      <c r="A303" s="15" t="s">
        <v>110</v>
      </c>
      <c r="B303" s="15" t="s">
        <v>111</v>
      </c>
      <c r="C303" s="15" t="s">
        <v>510</v>
      </c>
      <c r="D303" s="15" t="s">
        <v>119</v>
      </c>
      <c r="E303" s="15" t="s">
        <v>410</v>
      </c>
      <c r="F303" s="13" t="s">
        <v>417</v>
      </c>
      <c r="G303" s="15" t="s">
        <v>412</v>
      </c>
      <c r="H303" s="13"/>
      <c r="I303" s="13"/>
      <c r="J303" s="13" t="s">
        <v>515</v>
      </c>
      <c r="K303" s="16"/>
      <c r="L303" s="15"/>
      <c r="M303" s="15"/>
      <c r="N303" s="13"/>
      <c r="O303" s="13"/>
      <c r="P303" s="13"/>
      <c r="Q303" s="13"/>
      <c r="R303" s="14"/>
      <c r="S303" s="13"/>
      <c r="T303" s="15" t="s">
        <v>118</v>
      </c>
    </row>
    <row r="304" ht="34.5">
      <c r="A304" s="15" t="s">
        <v>110</v>
      </c>
      <c r="B304" s="15" t="s">
        <v>111</v>
      </c>
      <c r="C304" s="15" t="s">
        <v>510</v>
      </c>
      <c r="D304" s="15" t="s">
        <v>119</v>
      </c>
      <c r="E304" s="15" t="s">
        <v>410</v>
      </c>
      <c r="F304" s="13" t="s">
        <v>417</v>
      </c>
      <c r="G304" s="15" t="s">
        <v>412</v>
      </c>
      <c r="H304" s="13"/>
      <c r="I304" s="13"/>
      <c r="J304" s="13" t="s">
        <v>516</v>
      </c>
      <c r="K304" s="16"/>
      <c r="L304" s="15"/>
      <c r="M304" s="15"/>
      <c r="N304" s="13"/>
      <c r="O304" s="13"/>
      <c r="P304" s="13"/>
      <c r="Q304" s="13"/>
      <c r="R304" s="14"/>
      <c r="S304" s="13"/>
      <c r="T304" s="15" t="s">
        <v>118</v>
      </c>
    </row>
    <row r="305" ht="34.5">
      <c r="A305" s="15" t="s">
        <v>110</v>
      </c>
      <c r="B305" s="15" t="s">
        <v>111</v>
      </c>
      <c r="C305" s="15" t="s">
        <v>510</v>
      </c>
      <c r="D305" s="15" t="s">
        <v>119</v>
      </c>
      <c r="E305" s="15" t="s">
        <v>410</v>
      </c>
      <c r="F305" s="13" t="s">
        <v>417</v>
      </c>
      <c r="G305" s="15" t="s">
        <v>412</v>
      </c>
      <c r="H305" s="13"/>
      <c r="I305" s="13"/>
      <c r="J305" s="13" t="s">
        <v>517</v>
      </c>
      <c r="K305" s="16"/>
      <c r="L305" s="15"/>
      <c r="M305" s="15"/>
      <c r="N305" s="13"/>
      <c r="O305" s="13"/>
      <c r="P305" s="13"/>
      <c r="Q305" s="13"/>
      <c r="R305" s="14"/>
      <c r="S305" s="13"/>
      <c r="T305" s="15" t="s">
        <v>118</v>
      </c>
    </row>
    <row r="306" ht="34.5">
      <c r="A306" s="15" t="s">
        <v>110</v>
      </c>
      <c r="B306" s="15" t="s">
        <v>111</v>
      </c>
      <c r="C306" s="15" t="s">
        <v>510</v>
      </c>
      <c r="D306" s="15" t="s">
        <v>119</v>
      </c>
      <c r="E306" s="15" t="s">
        <v>410</v>
      </c>
      <c r="F306" s="13" t="s">
        <v>417</v>
      </c>
      <c r="G306" s="15" t="s">
        <v>412</v>
      </c>
      <c r="H306" s="13"/>
      <c r="I306" s="13"/>
      <c r="J306" s="13" t="s">
        <v>518</v>
      </c>
      <c r="K306" s="16"/>
      <c r="L306" s="15"/>
      <c r="M306" s="15"/>
      <c r="N306" s="13"/>
      <c r="O306" s="13"/>
      <c r="P306" s="13"/>
      <c r="Q306" s="13"/>
      <c r="R306" s="14"/>
      <c r="S306" s="13"/>
      <c r="T306" s="15" t="s">
        <v>118</v>
      </c>
    </row>
    <row r="307" ht="34.5">
      <c r="A307" s="15" t="s">
        <v>110</v>
      </c>
      <c r="B307" s="15" t="s">
        <v>111</v>
      </c>
      <c r="C307" s="15" t="s">
        <v>510</v>
      </c>
      <c r="D307" s="15" t="s">
        <v>119</v>
      </c>
      <c r="E307" s="15" t="s">
        <v>410</v>
      </c>
      <c r="F307" s="13" t="s">
        <v>417</v>
      </c>
      <c r="G307" s="15" t="s">
        <v>412</v>
      </c>
      <c r="H307" s="13"/>
      <c r="I307" s="13"/>
      <c r="J307" s="13" t="s">
        <v>519</v>
      </c>
      <c r="K307" s="16"/>
      <c r="L307" s="15"/>
      <c r="M307" s="15"/>
      <c r="N307" s="13"/>
      <c r="O307" s="13"/>
      <c r="P307" s="13"/>
      <c r="Q307" s="13"/>
      <c r="R307" s="14"/>
      <c r="S307" s="13"/>
      <c r="T307" s="15" t="s">
        <v>118</v>
      </c>
    </row>
    <row r="308" ht="34.5">
      <c r="A308" s="15" t="s">
        <v>110</v>
      </c>
      <c r="B308" s="15" t="s">
        <v>111</v>
      </c>
      <c r="C308" s="15" t="s">
        <v>510</v>
      </c>
      <c r="D308" s="15" t="s">
        <v>119</v>
      </c>
      <c r="E308" s="15" t="s">
        <v>410</v>
      </c>
      <c r="F308" s="13" t="s">
        <v>417</v>
      </c>
      <c r="G308" s="15" t="s">
        <v>412</v>
      </c>
      <c r="H308" s="13"/>
      <c r="I308" s="13"/>
      <c r="J308" s="13" t="s">
        <v>520</v>
      </c>
      <c r="K308" s="16"/>
      <c r="L308" s="15"/>
      <c r="M308" s="15"/>
      <c r="N308" s="13"/>
      <c r="O308" s="13"/>
      <c r="P308" s="13"/>
      <c r="Q308" s="13"/>
      <c r="R308" s="14"/>
      <c r="S308" s="13"/>
      <c r="T308" s="15" t="s">
        <v>118</v>
      </c>
    </row>
    <row r="309" ht="34.5">
      <c r="A309" s="15" t="s">
        <v>110</v>
      </c>
      <c r="B309" s="15" t="s">
        <v>111</v>
      </c>
      <c r="C309" s="15" t="s">
        <v>510</v>
      </c>
      <c r="D309" s="15" t="s">
        <v>119</v>
      </c>
      <c r="E309" s="15" t="s">
        <v>410</v>
      </c>
      <c r="F309" s="13" t="s">
        <v>417</v>
      </c>
      <c r="G309" s="15" t="s">
        <v>412</v>
      </c>
      <c r="H309" s="13"/>
      <c r="I309" s="13"/>
      <c r="J309" s="13" t="s">
        <v>521</v>
      </c>
      <c r="K309" s="16"/>
      <c r="L309" s="15"/>
      <c r="M309" s="15"/>
      <c r="N309" s="13"/>
      <c r="O309" s="13"/>
      <c r="P309" s="13"/>
      <c r="Q309" s="13"/>
      <c r="R309" s="14"/>
      <c r="S309" s="13"/>
      <c r="T309" s="15" t="s">
        <v>118</v>
      </c>
    </row>
    <row r="310" ht="34.5">
      <c r="A310" s="15" t="s">
        <v>110</v>
      </c>
      <c r="B310" s="15" t="s">
        <v>111</v>
      </c>
      <c r="C310" s="15" t="s">
        <v>510</v>
      </c>
      <c r="D310" s="15" t="s">
        <v>119</v>
      </c>
      <c r="E310" s="15" t="s">
        <v>410</v>
      </c>
      <c r="F310" s="13" t="s">
        <v>417</v>
      </c>
      <c r="G310" s="15" t="s">
        <v>412</v>
      </c>
      <c r="H310" s="13"/>
      <c r="I310" s="13"/>
      <c r="J310" s="13" t="s">
        <v>522</v>
      </c>
      <c r="K310" s="16"/>
      <c r="L310" s="15"/>
      <c r="M310" s="15"/>
      <c r="N310" s="13"/>
      <c r="O310" s="13"/>
      <c r="P310" s="13"/>
      <c r="Q310" s="13"/>
      <c r="R310" s="14"/>
      <c r="S310" s="13"/>
      <c r="T310" s="15" t="s">
        <v>118</v>
      </c>
    </row>
    <row r="311" ht="34.5">
      <c r="A311" s="15" t="s">
        <v>110</v>
      </c>
      <c r="B311" s="15" t="s">
        <v>111</v>
      </c>
      <c r="C311" s="15" t="s">
        <v>510</v>
      </c>
      <c r="D311" s="15" t="s">
        <v>119</v>
      </c>
      <c r="E311" s="15" t="s">
        <v>410</v>
      </c>
      <c r="F311" s="13" t="s">
        <v>417</v>
      </c>
      <c r="G311" s="15" t="s">
        <v>412</v>
      </c>
      <c r="H311" s="13"/>
      <c r="I311" s="13"/>
      <c r="J311" s="13" t="s">
        <v>523</v>
      </c>
      <c r="K311" s="16"/>
      <c r="L311" s="15"/>
      <c r="M311" s="15"/>
      <c r="N311" s="13"/>
      <c r="O311" s="13"/>
      <c r="P311" s="13"/>
      <c r="Q311" s="13"/>
      <c r="R311" s="14"/>
      <c r="S311" s="13"/>
      <c r="T311" s="15" t="s">
        <v>118</v>
      </c>
    </row>
    <row r="312" ht="34.5">
      <c r="A312" s="15" t="s">
        <v>110</v>
      </c>
      <c r="B312" s="15" t="s">
        <v>111</v>
      </c>
      <c r="C312" s="15" t="s">
        <v>524</v>
      </c>
      <c r="D312" s="15" t="s">
        <v>119</v>
      </c>
      <c r="E312" s="15" t="s">
        <v>410</v>
      </c>
      <c r="F312" s="13" t="s">
        <v>417</v>
      </c>
      <c r="G312" s="15" t="s">
        <v>412</v>
      </c>
      <c r="H312" s="13"/>
      <c r="I312" s="13"/>
      <c r="J312" s="13" t="s">
        <v>525</v>
      </c>
      <c r="K312" s="16"/>
      <c r="L312" s="15"/>
      <c r="M312" s="15"/>
      <c r="N312" s="13"/>
      <c r="O312" s="13"/>
      <c r="P312" s="13"/>
      <c r="Q312" s="13"/>
      <c r="R312" s="14"/>
      <c r="S312" s="13"/>
      <c r="T312" s="15" t="s">
        <v>118</v>
      </c>
    </row>
    <row r="313" ht="34.5">
      <c r="A313" s="15" t="s">
        <v>110</v>
      </c>
      <c r="B313" s="15" t="s">
        <v>111</v>
      </c>
      <c r="C313" s="15" t="s">
        <v>524</v>
      </c>
      <c r="D313" s="15" t="s">
        <v>119</v>
      </c>
      <c r="E313" s="15" t="s">
        <v>410</v>
      </c>
      <c r="F313" s="13" t="s">
        <v>417</v>
      </c>
      <c r="G313" s="15" t="s">
        <v>412</v>
      </c>
      <c r="H313" s="13"/>
      <c r="I313" s="13"/>
      <c r="J313" s="13" t="s">
        <v>526</v>
      </c>
      <c r="K313" s="16"/>
      <c r="L313" s="15"/>
      <c r="M313" s="15"/>
      <c r="N313" s="13"/>
      <c r="O313" s="13"/>
      <c r="P313" s="13"/>
      <c r="Q313" s="13"/>
      <c r="R313" s="14"/>
      <c r="S313" s="13"/>
      <c r="T313" s="15" t="s">
        <v>118</v>
      </c>
    </row>
    <row r="314" ht="34.5">
      <c r="A314" s="15" t="s">
        <v>110</v>
      </c>
      <c r="B314" s="15" t="s">
        <v>111</v>
      </c>
      <c r="C314" s="15" t="s">
        <v>524</v>
      </c>
      <c r="D314" s="15" t="s">
        <v>119</v>
      </c>
      <c r="E314" s="15" t="s">
        <v>410</v>
      </c>
      <c r="F314" s="13" t="s">
        <v>417</v>
      </c>
      <c r="G314" s="15" t="s">
        <v>412</v>
      </c>
      <c r="H314" s="13"/>
      <c r="I314" s="13"/>
      <c r="J314" s="13" t="s">
        <v>527</v>
      </c>
      <c r="K314" s="16"/>
      <c r="L314" s="15"/>
      <c r="M314" s="15"/>
      <c r="N314" s="13"/>
      <c r="O314" s="13"/>
      <c r="P314" s="13"/>
      <c r="Q314" s="13"/>
      <c r="R314" s="14"/>
      <c r="S314" s="13"/>
      <c r="T314" s="15" t="s">
        <v>118</v>
      </c>
    </row>
    <row r="315" ht="34.5">
      <c r="A315" s="15" t="s">
        <v>110</v>
      </c>
      <c r="B315" s="15" t="s">
        <v>111</v>
      </c>
      <c r="C315" s="15" t="s">
        <v>524</v>
      </c>
      <c r="D315" s="15" t="s">
        <v>119</v>
      </c>
      <c r="E315" s="15" t="s">
        <v>410</v>
      </c>
      <c r="F315" s="13" t="s">
        <v>417</v>
      </c>
      <c r="G315" s="15" t="s">
        <v>412</v>
      </c>
      <c r="H315" s="13"/>
      <c r="I315" s="13"/>
      <c r="J315" s="13" t="s">
        <v>528</v>
      </c>
      <c r="K315" s="16"/>
      <c r="L315" s="15"/>
      <c r="M315" s="15"/>
      <c r="N315" s="13"/>
      <c r="O315" s="13"/>
      <c r="P315" s="13"/>
      <c r="Q315" s="13"/>
      <c r="R315" s="14"/>
      <c r="S315" s="13"/>
      <c r="T315" s="15" t="s">
        <v>118</v>
      </c>
    </row>
    <row r="316" ht="34.5">
      <c r="A316" s="15" t="s">
        <v>110</v>
      </c>
      <c r="B316" s="15" t="s">
        <v>111</v>
      </c>
      <c r="C316" s="15" t="s">
        <v>524</v>
      </c>
      <c r="D316" s="15" t="s">
        <v>119</v>
      </c>
      <c r="E316" s="15" t="s">
        <v>410</v>
      </c>
      <c r="F316" s="13" t="s">
        <v>417</v>
      </c>
      <c r="G316" s="15" t="s">
        <v>412</v>
      </c>
      <c r="H316" s="13"/>
      <c r="I316" s="13"/>
      <c r="J316" s="13" t="s">
        <v>529</v>
      </c>
      <c r="K316" s="16"/>
      <c r="L316" s="15"/>
      <c r="M316" s="15"/>
      <c r="N316" s="13"/>
      <c r="O316" s="13"/>
      <c r="P316" s="13"/>
      <c r="Q316" s="13"/>
      <c r="R316" s="14"/>
      <c r="S316" s="13"/>
      <c r="T316" s="15" t="s">
        <v>118</v>
      </c>
    </row>
    <row r="317" ht="34.5">
      <c r="A317" s="15" t="s">
        <v>110</v>
      </c>
      <c r="B317" s="15" t="s">
        <v>111</v>
      </c>
      <c r="C317" s="15" t="s">
        <v>524</v>
      </c>
      <c r="D317" s="15" t="s">
        <v>119</v>
      </c>
      <c r="E317" s="15" t="s">
        <v>410</v>
      </c>
      <c r="F317" s="13" t="s">
        <v>417</v>
      </c>
      <c r="G317" s="15" t="s">
        <v>412</v>
      </c>
      <c r="H317" s="13"/>
      <c r="I317" s="13"/>
      <c r="J317" s="13" t="s">
        <v>530</v>
      </c>
      <c r="K317" s="16"/>
      <c r="L317" s="15"/>
      <c r="M317" s="15"/>
      <c r="N317" s="13"/>
      <c r="O317" s="13"/>
      <c r="P317" s="13"/>
      <c r="Q317" s="13"/>
      <c r="R317" s="14"/>
      <c r="S317" s="13"/>
      <c r="T317" s="15" t="s">
        <v>118</v>
      </c>
    </row>
    <row r="318" ht="34.5">
      <c r="A318" s="15" t="s">
        <v>110</v>
      </c>
      <c r="B318" s="15" t="s">
        <v>111</v>
      </c>
      <c r="C318" s="15" t="s">
        <v>524</v>
      </c>
      <c r="D318" s="15" t="s">
        <v>119</v>
      </c>
      <c r="E318" s="15" t="s">
        <v>410</v>
      </c>
      <c r="F318" s="13" t="s">
        <v>417</v>
      </c>
      <c r="G318" s="15" t="s">
        <v>412</v>
      </c>
      <c r="H318" s="13"/>
      <c r="I318" s="13"/>
      <c r="J318" s="13" t="s">
        <v>531</v>
      </c>
      <c r="K318" s="16"/>
      <c r="L318" s="15"/>
      <c r="M318" s="15"/>
      <c r="N318" s="13"/>
      <c r="O318" s="13"/>
      <c r="P318" s="13"/>
      <c r="Q318" s="13"/>
      <c r="R318" s="14"/>
      <c r="S318" s="13"/>
      <c r="T318" s="15" t="s">
        <v>118</v>
      </c>
    </row>
    <row r="319" ht="34.5">
      <c r="A319" s="15" t="s">
        <v>110</v>
      </c>
      <c r="B319" s="15" t="s">
        <v>111</v>
      </c>
      <c r="C319" s="15" t="s">
        <v>524</v>
      </c>
      <c r="D319" s="15" t="s">
        <v>119</v>
      </c>
      <c r="E319" s="15" t="s">
        <v>410</v>
      </c>
      <c r="F319" s="13" t="s">
        <v>417</v>
      </c>
      <c r="G319" s="15" t="s">
        <v>412</v>
      </c>
      <c r="H319" s="13"/>
      <c r="I319" s="13"/>
      <c r="J319" s="13" t="s">
        <v>532</v>
      </c>
      <c r="K319" s="16"/>
      <c r="L319" s="15"/>
      <c r="M319" s="15"/>
      <c r="N319" s="13"/>
      <c r="O319" s="13"/>
      <c r="P319" s="13"/>
      <c r="Q319" s="13"/>
      <c r="R319" s="14"/>
      <c r="S319" s="13"/>
      <c r="T319" s="15" t="s">
        <v>118</v>
      </c>
    </row>
    <row r="320" ht="34.5">
      <c r="A320" s="15" t="s">
        <v>110</v>
      </c>
      <c r="B320" s="15" t="s">
        <v>111</v>
      </c>
      <c r="C320" s="15" t="s">
        <v>524</v>
      </c>
      <c r="D320" s="15" t="s">
        <v>119</v>
      </c>
      <c r="E320" s="15" t="s">
        <v>410</v>
      </c>
      <c r="F320" s="13" t="s">
        <v>417</v>
      </c>
      <c r="G320" s="15" t="s">
        <v>412</v>
      </c>
      <c r="H320" s="13"/>
      <c r="I320" s="13"/>
      <c r="J320" s="13" t="s">
        <v>533</v>
      </c>
      <c r="K320" s="16"/>
      <c r="L320" s="15"/>
      <c r="M320" s="15"/>
      <c r="N320" s="13"/>
      <c r="O320" s="13"/>
      <c r="P320" s="13"/>
      <c r="Q320" s="13"/>
      <c r="R320" s="14"/>
      <c r="S320" s="13"/>
      <c r="T320" s="15" t="s">
        <v>118</v>
      </c>
    </row>
    <row r="321" ht="34.5">
      <c r="A321" s="15" t="s">
        <v>110</v>
      </c>
      <c r="B321" s="15" t="s">
        <v>111</v>
      </c>
      <c r="C321" s="15" t="s">
        <v>524</v>
      </c>
      <c r="D321" s="15" t="s">
        <v>119</v>
      </c>
      <c r="E321" s="15" t="s">
        <v>410</v>
      </c>
      <c r="F321" s="13" t="s">
        <v>417</v>
      </c>
      <c r="G321" s="15" t="s">
        <v>412</v>
      </c>
      <c r="H321" s="13"/>
      <c r="I321" s="13"/>
      <c r="J321" s="13" t="s">
        <v>534</v>
      </c>
      <c r="K321" s="16"/>
      <c r="L321" s="15"/>
      <c r="M321" s="15"/>
      <c r="N321" s="13"/>
      <c r="O321" s="13"/>
      <c r="P321" s="13"/>
      <c r="Q321" s="13"/>
      <c r="R321" s="14"/>
      <c r="S321" s="13"/>
      <c r="T321" s="15" t="s">
        <v>118</v>
      </c>
    </row>
    <row r="322" ht="34.5">
      <c r="A322" s="15" t="s">
        <v>110</v>
      </c>
      <c r="B322" s="15" t="s">
        <v>111</v>
      </c>
      <c r="C322" s="15" t="s">
        <v>524</v>
      </c>
      <c r="D322" s="15" t="s">
        <v>119</v>
      </c>
      <c r="E322" s="15" t="s">
        <v>410</v>
      </c>
      <c r="F322" s="13" t="s">
        <v>417</v>
      </c>
      <c r="G322" s="15" t="s">
        <v>412</v>
      </c>
      <c r="H322" s="13"/>
      <c r="I322" s="13"/>
      <c r="J322" s="13" t="s">
        <v>535</v>
      </c>
      <c r="K322" s="16"/>
      <c r="L322" s="15"/>
      <c r="M322" s="15"/>
      <c r="N322" s="13"/>
      <c r="O322" s="13"/>
      <c r="P322" s="13"/>
      <c r="Q322" s="13"/>
      <c r="R322" s="14"/>
      <c r="S322" s="13"/>
      <c r="T322" s="15" t="s">
        <v>118</v>
      </c>
    </row>
    <row r="323" ht="34.5">
      <c r="A323" s="15" t="s">
        <v>110</v>
      </c>
      <c r="B323" s="15" t="s">
        <v>111</v>
      </c>
      <c r="C323" s="15" t="s">
        <v>524</v>
      </c>
      <c r="D323" s="15" t="s">
        <v>119</v>
      </c>
      <c r="E323" s="15" t="s">
        <v>410</v>
      </c>
      <c r="F323" s="13" t="s">
        <v>417</v>
      </c>
      <c r="G323" s="15" t="s">
        <v>412</v>
      </c>
      <c r="H323" s="13"/>
      <c r="I323" s="13"/>
      <c r="J323" s="13" t="s">
        <v>536</v>
      </c>
      <c r="K323" s="16"/>
      <c r="L323" s="15"/>
      <c r="M323" s="15"/>
      <c r="N323" s="13"/>
      <c r="O323" s="13"/>
      <c r="P323" s="13"/>
      <c r="Q323" s="13"/>
      <c r="R323" s="14"/>
      <c r="S323" s="13"/>
      <c r="T323" s="15" t="s">
        <v>118</v>
      </c>
    </row>
    <row r="324" ht="34.5">
      <c r="A324" s="15" t="s">
        <v>110</v>
      </c>
      <c r="B324" s="15" t="s">
        <v>111</v>
      </c>
      <c r="C324" s="15" t="s">
        <v>524</v>
      </c>
      <c r="D324" s="15" t="s">
        <v>119</v>
      </c>
      <c r="E324" s="15" t="s">
        <v>410</v>
      </c>
      <c r="F324" s="13" t="s">
        <v>417</v>
      </c>
      <c r="G324" s="15" t="s">
        <v>412</v>
      </c>
      <c r="H324" s="13"/>
      <c r="I324" s="13"/>
      <c r="J324" s="13" t="s">
        <v>537</v>
      </c>
      <c r="K324" s="16"/>
      <c r="L324" s="15"/>
      <c r="M324" s="15"/>
      <c r="N324" s="13"/>
      <c r="O324" s="13"/>
      <c r="P324" s="13"/>
      <c r="Q324" s="13"/>
      <c r="R324" s="14"/>
      <c r="S324" s="13"/>
      <c r="T324" s="15" t="s">
        <v>118</v>
      </c>
    </row>
    <row r="325" ht="34.5">
      <c r="A325" s="15" t="s">
        <v>110</v>
      </c>
      <c r="B325" s="15" t="s">
        <v>111</v>
      </c>
      <c r="C325" s="15" t="s">
        <v>538</v>
      </c>
      <c r="D325" s="15" t="s">
        <v>119</v>
      </c>
      <c r="E325" s="15" t="s">
        <v>410</v>
      </c>
      <c r="F325" s="13" t="s">
        <v>417</v>
      </c>
      <c r="G325" s="15" t="s">
        <v>412</v>
      </c>
      <c r="H325" s="13"/>
      <c r="I325" s="13"/>
      <c r="J325" s="13" t="s">
        <v>539</v>
      </c>
      <c r="K325" s="16"/>
      <c r="L325" s="15"/>
      <c r="M325" s="15"/>
      <c r="N325" s="13"/>
      <c r="O325" s="13"/>
      <c r="P325" s="13"/>
      <c r="Q325" s="13"/>
      <c r="R325" s="14"/>
      <c r="S325" s="13"/>
      <c r="T325" s="15" t="s">
        <v>118</v>
      </c>
    </row>
    <row r="326" ht="34.5">
      <c r="A326" s="15" t="s">
        <v>110</v>
      </c>
      <c r="B326" s="15" t="s">
        <v>111</v>
      </c>
      <c r="C326" s="15" t="s">
        <v>538</v>
      </c>
      <c r="D326" s="15" t="s">
        <v>119</v>
      </c>
      <c r="E326" s="15" t="s">
        <v>410</v>
      </c>
      <c r="F326" s="13" t="s">
        <v>417</v>
      </c>
      <c r="G326" s="15" t="s">
        <v>412</v>
      </c>
      <c r="H326" s="13"/>
      <c r="I326" s="13"/>
      <c r="J326" s="13" t="s">
        <v>540</v>
      </c>
      <c r="K326" s="16"/>
      <c r="L326" s="15"/>
      <c r="M326" s="15"/>
      <c r="N326" s="13"/>
      <c r="O326" s="13"/>
      <c r="P326" s="13"/>
      <c r="Q326" s="13"/>
      <c r="R326" s="14"/>
      <c r="S326" s="13"/>
      <c r="T326" s="15" t="s">
        <v>118</v>
      </c>
    </row>
    <row r="327" ht="34.5">
      <c r="A327" s="15" t="s">
        <v>110</v>
      </c>
      <c r="B327" s="15" t="s">
        <v>111</v>
      </c>
      <c r="C327" s="15" t="s">
        <v>538</v>
      </c>
      <c r="D327" s="15" t="s">
        <v>119</v>
      </c>
      <c r="E327" s="15" t="s">
        <v>410</v>
      </c>
      <c r="F327" s="13" t="s">
        <v>417</v>
      </c>
      <c r="G327" s="15" t="s">
        <v>412</v>
      </c>
      <c r="H327" s="13"/>
      <c r="I327" s="13"/>
      <c r="J327" s="13" t="s">
        <v>541</v>
      </c>
      <c r="K327" s="16"/>
      <c r="L327" s="15"/>
      <c r="M327" s="15"/>
      <c r="N327" s="13"/>
      <c r="O327" s="13"/>
      <c r="P327" s="13"/>
      <c r="Q327" s="13"/>
      <c r="R327" s="14"/>
      <c r="S327" s="13"/>
      <c r="T327" s="15" t="s">
        <v>118</v>
      </c>
    </row>
    <row r="328" ht="34.5">
      <c r="A328" s="15" t="s">
        <v>110</v>
      </c>
      <c r="B328" s="15" t="s">
        <v>111</v>
      </c>
      <c r="C328" s="15" t="s">
        <v>542</v>
      </c>
      <c r="D328" s="15" t="s">
        <v>119</v>
      </c>
      <c r="E328" s="15" t="s">
        <v>410</v>
      </c>
      <c r="F328" s="13" t="s">
        <v>417</v>
      </c>
      <c r="G328" s="15" t="s">
        <v>412</v>
      </c>
      <c r="H328" s="13"/>
      <c r="I328" s="13"/>
      <c r="J328" s="13" t="s">
        <v>543</v>
      </c>
      <c r="K328" s="16"/>
      <c r="L328" s="15"/>
      <c r="M328" s="15"/>
      <c r="N328" s="13"/>
      <c r="O328" s="13"/>
      <c r="P328" s="13"/>
      <c r="Q328" s="13"/>
      <c r="R328" s="14"/>
      <c r="S328" s="13"/>
      <c r="T328" s="15" t="s">
        <v>118</v>
      </c>
    </row>
    <row r="329" ht="34.5">
      <c r="A329" s="15" t="s">
        <v>110</v>
      </c>
      <c r="B329" s="15" t="s">
        <v>111</v>
      </c>
      <c r="C329" s="15" t="s">
        <v>542</v>
      </c>
      <c r="D329" s="15" t="s">
        <v>119</v>
      </c>
      <c r="E329" s="15" t="s">
        <v>410</v>
      </c>
      <c r="F329" s="13" t="s">
        <v>417</v>
      </c>
      <c r="G329" s="15" t="s">
        <v>412</v>
      </c>
      <c r="H329" s="13"/>
      <c r="I329" s="13"/>
      <c r="J329" s="13" t="s">
        <v>544</v>
      </c>
      <c r="K329" s="16"/>
      <c r="L329" s="15"/>
      <c r="M329" s="15"/>
      <c r="N329" s="13"/>
      <c r="O329" s="13"/>
      <c r="P329" s="13"/>
      <c r="Q329" s="13"/>
      <c r="R329" s="14"/>
      <c r="S329" s="13"/>
      <c r="T329" s="15" t="s">
        <v>118</v>
      </c>
    </row>
    <row r="330" ht="34.5">
      <c r="A330" s="15" t="s">
        <v>110</v>
      </c>
      <c r="B330" s="15" t="s">
        <v>111</v>
      </c>
      <c r="C330" s="15" t="s">
        <v>542</v>
      </c>
      <c r="D330" s="15" t="s">
        <v>119</v>
      </c>
      <c r="E330" s="15" t="s">
        <v>410</v>
      </c>
      <c r="F330" s="13" t="s">
        <v>417</v>
      </c>
      <c r="G330" s="15" t="s">
        <v>412</v>
      </c>
      <c r="H330" s="13"/>
      <c r="I330" s="13"/>
      <c r="J330" s="13" t="s">
        <v>545</v>
      </c>
      <c r="K330" s="16"/>
      <c r="L330" s="15"/>
      <c r="M330" s="15"/>
      <c r="N330" s="13"/>
      <c r="O330" s="13"/>
      <c r="P330" s="13"/>
      <c r="Q330" s="13"/>
      <c r="R330" s="14"/>
      <c r="S330" s="13"/>
      <c r="T330" s="15" t="s">
        <v>118</v>
      </c>
    </row>
    <row r="331" ht="34.5">
      <c r="A331" s="15" t="s">
        <v>110</v>
      </c>
      <c r="B331" s="15" t="s">
        <v>111</v>
      </c>
      <c r="C331" s="15" t="s">
        <v>542</v>
      </c>
      <c r="D331" s="15" t="s">
        <v>119</v>
      </c>
      <c r="E331" s="15" t="s">
        <v>410</v>
      </c>
      <c r="F331" s="13" t="s">
        <v>417</v>
      </c>
      <c r="G331" s="15" t="s">
        <v>412</v>
      </c>
      <c r="H331" s="13"/>
      <c r="I331" s="13"/>
      <c r="J331" s="13" t="s">
        <v>546</v>
      </c>
      <c r="K331" s="16"/>
      <c r="L331" s="15"/>
      <c r="M331" s="15"/>
      <c r="N331" s="13"/>
      <c r="O331" s="13"/>
      <c r="P331" s="13"/>
      <c r="Q331" s="13"/>
      <c r="R331" s="14"/>
      <c r="S331" s="13"/>
      <c r="T331" s="15" t="s">
        <v>118</v>
      </c>
    </row>
    <row r="332" ht="34.5">
      <c r="A332" s="15" t="s">
        <v>110</v>
      </c>
      <c r="B332" s="15" t="s">
        <v>111</v>
      </c>
      <c r="C332" s="15" t="s">
        <v>542</v>
      </c>
      <c r="D332" s="15" t="s">
        <v>119</v>
      </c>
      <c r="E332" s="15" t="s">
        <v>410</v>
      </c>
      <c r="F332" s="13" t="s">
        <v>417</v>
      </c>
      <c r="G332" s="15" t="s">
        <v>412</v>
      </c>
      <c r="H332" s="13"/>
      <c r="I332" s="13"/>
      <c r="J332" s="13" t="s">
        <v>547</v>
      </c>
      <c r="K332" s="16"/>
      <c r="L332" s="15"/>
      <c r="M332" s="15"/>
      <c r="N332" s="13"/>
      <c r="O332" s="13"/>
      <c r="P332" s="13"/>
      <c r="Q332" s="13"/>
      <c r="R332" s="14"/>
      <c r="S332" s="13"/>
      <c r="T332" s="15" t="s">
        <v>118</v>
      </c>
    </row>
    <row r="333" ht="34.5">
      <c r="A333" s="15" t="s">
        <v>110</v>
      </c>
      <c r="B333" s="15" t="s">
        <v>111</v>
      </c>
      <c r="C333" s="15" t="s">
        <v>542</v>
      </c>
      <c r="D333" s="15" t="s">
        <v>119</v>
      </c>
      <c r="E333" s="15" t="s">
        <v>410</v>
      </c>
      <c r="F333" s="13" t="s">
        <v>417</v>
      </c>
      <c r="G333" s="15" t="s">
        <v>412</v>
      </c>
      <c r="H333" s="13"/>
      <c r="I333" s="13"/>
      <c r="J333" s="13" t="s">
        <v>548</v>
      </c>
      <c r="K333" s="16"/>
      <c r="L333" s="15"/>
      <c r="M333" s="15"/>
      <c r="N333" s="13"/>
      <c r="O333" s="13"/>
      <c r="P333" s="13"/>
      <c r="Q333" s="13"/>
      <c r="R333" s="14"/>
      <c r="S333" s="13"/>
      <c r="T333" s="15" t="s">
        <v>118</v>
      </c>
    </row>
    <row r="334" ht="34.5">
      <c r="A334" s="15" t="s">
        <v>110</v>
      </c>
      <c r="B334" s="15" t="s">
        <v>111</v>
      </c>
      <c r="C334" s="15" t="s">
        <v>542</v>
      </c>
      <c r="D334" s="15" t="s">
        <v>119</v>
      </c>
      <c r="E334" s="15" t="s">
        <v>410</v>
      </c>
      <c r="F334" s="13" t="s">
        <v>417</v>
      </c>
      <c r="G334" s="15" t="s">
        <v>412</v>
      </c>
      <c r="H334" s="13"/>
      <c r="I334" s="13"/>
      <c r="J334" s="13" t="s">
        <v>549</v>
      </c>
      <c r="K334" s="16"/>
      <c r="L334" s="15"/>
      <c r="M334" s="15"/>
      <c r="N334" s="13"/>
      <c r="O334" s="13"/>
      <c r="P334" s="13"/>
      <c r="Q334" s="13"/>
      <c r="R334" s="14"/>
      <c r="S334" s="13"/>
      <c r="T334" s="15" t="s">
        <v>118</v>
      </c>
    </row>
    <row r="335" ht="34.5">
      <c r="A335" s="15" t="s">
        <v>110</v>
      </c>
      <c r="B335" s="15" t="s">
        <v>111</v>
      </c>
      <c r="C335" s="15" t="s">
        <v>550</v>
      </c>
      <c r="D335" s="15" t="s">
        <v>119</v>
      </c>
      <c r="E335" s="15" t="s">
        <v>410</v>
      </c>
      <c r="F335" s="13" t="s">
        <v>417</v>
      </c>
      <c r="G335" s="15" t="s">
        <v>412</v>
      </c>
      <c r="H335" s="13"/>
      <c r="I335" s="13"/>
      <c r="J335" s="13" t="s">
        <v>551</v>
      </c>
      <c r="K335" s="16"/>
      <c r="L335" s="15"/>
      <c r="M335" s="15"/>
      <c r="N335" s="13"/>
      <c r="O335" s="13"/>
      <c r="P335" s="13"/>
      <c r="Q335" s="13"/>
      <c r="R335" s="14"/>
      <c r="S335" s="13"/>
      <c r="T335" s="15" t="s">
        <v>118</v>
      </c>
    </row>
    <row r="336" ht="34.5">
      <c r="A336" s="15" t="s">
        <v>110</v>
      </c>
      <c r="B336" s="15" t="s">
        <v>111</v>
      </c>
      <c r="C336" s="15" t="s">
        <v>550</v>
      </c>
      <c r="D336" s="15" t="s">
        <v>119</v>
      </c>
      <c r="E336" s="15" t="s">
        <v>410</v>
      </c>
      <c r="F336" s="13" t="s">
        <v>417</v>
      </c>
      <c r="G336" s="15" t="s">
        <v>412</v>
      </c>
      <c r="H336" s="13"/>
      <c r="I336" s="13"/>
      <c r="J336" s="13" t="s">
        <v>552</v>
      </c>
      <c r="K336" s="16"/>
      <c r="L336" s="15"/>
      <c r="M336" s="15"/>
      <c r="N336" s="13"/>
      <c r="O336" s="13"/>
      <c r="P336" s="13"/>
      <c r="Q336" s="13"/>
      <c r="R336" s="14"/>
      <c r="S336" s="13"/>
      <c r="T336" s="15" t="s">
        <v>118</v>
      </c>
    </row>
    <row r="337" ht="34.5">
      <c r="A337" s="15" t="s">
        <v>110</v>
      </c>
      <c r="B337" s="15" t="s">
        <v>111</v>
      </c>
      <c r="C337" s="15" t="s">
        <v>550</v>
      </c>
      <c r="D337" s="15" t="s">
        <v>119</v>
      </c>
      <c r="E337" s="15" t="s">
        <v>410</v>
      </c>
      <c r="F337" s="13" t="s">
        <v>417</v>
      </c>
      <c r="G337" s="15" t="s">
        <v>412</v>
      </c>
      <c r="H337" s="13"/>
      <c r="I337" s="13"/>
      <c r="J337" s="13" t="s">
        <v>553</v>
      </c>
      <c r="K337" s="16"/>
      <c r="L337" s="15"/>
      <c r="M337" s="15"/>
      <c r="N337" s="13"/>
      <c r="O337" s="13"/>
      <c r="P337" s="13"/>
      <c r="Q337" s="13"/>
      <c r="R337" s="14"/>
      <c r="S337" s="13"/>
      <c r="T337" s="15" t="s">
        <v>118</v>
      </c>
    </row>
    <row r="338" ht="34.5">
      <c r="A338" s="15" t="s">
        <v>110</v>
      </c>
      <c r="B338" s="15" t="s">
        <v>111</v>
      </c>
      <c r="C338" s="15" t="s">
        <v>550</v>
      </c>
      <c r="D338" s="15" t="s">
        <v>119</v>
      </c>
      <c r="E338" s="15" t="s">
        <v>410</v>
      </c>
      <c r="F338" s="13" t="s">
        <v>417</v>
      </c>
      <c r="G338" s="15" t="s">
        <v>412</v>
      </c>
      <c r="H338" s="13"/>
      <c r="I338" s="13"/>
      <c r="J338" s="13" t="s">
        <v>554</v>
      </c>
      <c r="K338" s="16"/>
      <c r="L338" s="15"/>
      <c r="M338" s="15"/>
      <c r="N338" s="13"/>
      <c r="O338" s="13"/>
      <c r="P338" s="13"/>
      <c r="Q338" s="13"/>
      <c r="R338" s="14"/>
      <c r="S338" s="13"/>
      <c r="T338" s="15" t="s">
        <v>118</v>
      </c>
    </row>
    <row r="339" ht="34.5">
      <c r="A339" s="15" t="s">
        <v>110</v>
      </c>
      <c r="B339" s="15" t="s">
        <v>111</v>
      </c>
      <c r="C339" s="15" t="s">
        <v>550</v>
      </c>
      <c r="D339" s="15" t="s">
        <v>119</v>
      </c>
      <c r="E339" s="15" t="s">
        <v>410</v>
      </c>
      <c r="F339" s="13" t="s">
        <v>417</v>
      </c>
      <c r="G339" s="15" t="s">
        <v>412</v>
      </c>
      <c r="H339" s="13"/>
      <c r="I339" s="13"/>
      <c r="J339" s="13" t="s">
        <v>555</v>
      </c>
      <c r="K339" s="16"/>
      <c r="L339" s="15"/>
      <c r="M339" s="15"/>
      <c r="N339" s="13"/>
      <c r="O339" s="13"/>
      <c r="P339" s="13"/>
      <c r="Q339" s="13"/>
      <c r="R339" s="14"/>
      <c r="S339" s="13"/>
      <c r="T339" s="15" t="s">
        <v>118</v>
      </c>
    </row>
    <row r="340" ht="34.5">
      <c r="A340" s="15" t="s">
        <v>110</v>
      </c>
      <c r="B340" s="15" t="s">
        <v>111</v>
      </c>
      <c r="C340" s="15" t="s">
        <v>556</v>
      </c>
      <c r="D340" s="15" t="s">
        <v>119</v>
      </c>
      <c r="E340" s="15" t="s">
        <v>410</v>
      </c>
      <c r="F340" s="13" t="s">
        <v>417</v>
      </c>
      <c r="G340" s="15" t="s">
        <v>412</v>
      </c>
      <c r="H340" s="13"/>
      <c r="I340" s="13"/>
      <c r="J340" s="13" t="s">
        <v>557</v>
      </c>
      <c r="K340" s="16"/>
      <c r="L340" s="15"/>
      <c r="M340" s="15"/>
      <c r="N340" s="13"/>
      <c r="O340" s="13"/>
      <c r="P340" s="13"/>
      <c r="Q340" s="13"/>
      <c r="R340" s="14"/>
      <c r="S340" s="13"/>
      <c r="T340" s="15" t="s">
        <v>118</v>
      </c>
    </row>
    <row r="341" ht="34.5">
      <c r="A341" s="15" t="s">
        <v>110</v>
      </c>
      <c r="B341" s="15" t="s">
        <v>111</v>
      </c>
      <c r="C341" s="15" t="s">
        <v>556</v>
      </c>
      <c r="D341" s="15" t="s">
        <v>119</v>
      </c>
      <c r="E341" s="15" t="s">
        <v>410</v>
      </c>
      <c r="F341" s="13" t="s">
        <v>417</v>
      </c>
      <c r="G341" s="15" t="s">
        <v>412</v>
      </c>
      <c r="H341" s="13"/>
      <c r="I341" s="13"/>
      <c r="J341" s="13" t="s">
        <v>558</v>
      </c>
      <c r="K341" s="16"/>
      <c r="L341" s="15"/>
      <c r="M341" s="15"/>
      <c r="N341" s="13"/>
      <c r="O341" s="13"/>
      <c r="P341" s="13"/>
      <c r="Q341" s="13"/>
      <c r="R341" s="14"/>
      <c r="S341" s="13"/>
      <c r="T341" s="15" t="s">
        <v>118</v>
      </c>
    </row>
    <row r="342" ht="34.5">
      <c r="A342" s="15" t="s">
        <v>110</v>
      </c>
      <c r="B342" s="15" t="s">
        <v>111</v>
      </c>
      <c r="C342" s="15" t="s">
        <v>556</v>
      </c>
      <c r="D342" s="15" t="s">
        <v>119</v>
      </c>
      <c r="E342" s="15" t="s">
        <v>410</v>
      </c>
      <c r="F342" s="13" t="s">
        <v>417</v>
      </c>
      <c r="G342" s="15" t="s">
        <v>412</v>
      </c>
      <c r="H342" s="13"/>
      <c r="I342" s="13"/>
      <c r="J342" s="13" t="s">
        <v>559</v>
      </c>
      <c r="K342" s="16"/>
      <c r="L342" s="15"/>
      <c r="M342" s="15"/>
      <c r="N342" s="13"/>
      <c r="O342" s="13"/>
      <c r="P342" s="13"/>
      <c r="Q342" s="13"/>
      <c r="R342" s="14"/>
      <c r="S342" s="13"/>
      <c r="T342" s="15" t="s">
        <v>118</v>
      </c>
    </row>
    <row r="343" ht="34.5">
      <c r="A343" s="15" t="s">
        <v>110</v>
      </c>
      <c r="B343" s="15" t="s">
        <v>111</v>
      </c>
      <c r="C343" s="15" t="s">
        <v>556</v>
      </c>
      <c r="D343" s="15" t="s">
        <v>119</v>
      </c>
      <c r="E343" s="15" t="s">
        <v>410</v>
      </c>
      <c r="F343" s="13" t="s">
        <v>417</v>
      </c>
      <c r="G343" s="15" t="s">
        <v>412</v>
      </c>
      <c r="H343" s="13"/>
      <c r="I343" s="13"/>
      <c r="J343" s="13" t="s">
        <v>560</v>
      </c>
      <c r="K343" s="16"/>
      <c r="L343" s="15"/>
      <c r="M343" s="15"/>
      <c r="N343" s="13"/>
      <c r="O343" s="13"/>
      <c r="P343" s="13"/>
      <c r="Q343" s="13"/>
      <c r="R343" s="14"/>
      <c r="S343" s="13"/>
      <c r="T343" s="15" t="s">
        <v>118</v>
      </c>
    </row>
    <row r="344" ht="34.5">
      <c r="A344" s="15" t="s">
        <v>110</v>
      </c>
      <c r="B344" s="15" t="s">
        <v>111</v>
      </c>
      <c r="C344" s="15" t="s">
        <v>556</v>
      </c>
      <c r="D344" s="15" t="s">
        <v>119</v>
      </c>
      <c r="E344" s="15" t="s">
        <v>410</v>
      </c>
      <c r="F344" s="13" t="s">
        <v>417</v>
      </c>
      <c r="G344" s="15" t="s">
        <v>412</v>
      </c>
      <c r="H344" s="13"/>
      <c r="I344" s="13"/>
      <c r="J344" s="13" t="s">
        <v>561</v>
      </c>
      <c r="K344" s="16"/>
      <c r="L344" s="15"/>
      <c r="M344" s="15"/>
      <c r="N344" s="13"/>
      <c r="O344" s="13"/>
      <c r="P344" s="13"/>
      <c r="Q344" s="13"/>
      <c r="R344" s="14"/>
      <c r="S344" s="13"/>
      <c r="T344" s="15" t="s">
        <v>118</v>
      </c>
    </row>
    <row r="345" ht="34.5">
      <c r="A345" s="15" t="s">
        <v>110</v>
      </c>
      <c r="B345" s="15" t="s">
        <v>111</v>
      </c>
      <c r="C345" s="15" t="s">
        <v>556</v>
      </c>
      <c r="D345" s="15" t="s">
        <v>119</v>
      </c>
      <c r="E345" s="15" t="s">
        <v>410</v>
      </c>
      <c r="F345" s="13" t="s">
        <v>417</v>
      </c>
      <c r="G345" s="15" t="s">
        <v>412</v>
      </c>
      <c r="H345" s="13"/>
      <c r="I345" s="13"/>
      <c r="J345" s="13" t="s">
        <v>562</v>
      </c>
      <c r="K345" s="16"/>
      <c r="L345" s="15"/>
      <c r="M345" s="15"/>
      <c r="N345" s="13"/>
      <c r="O345" s="13"/>
      <c r="P345" s="13"/>
      <c r="Q345" s="13"/>
      <c r="R345" s="14"/>
      <c r="S345" s="13"/>
      <c r="T345" s="15" t="s">
        <v>118</v>
      </c>
    </row>
    <row r="346" ht="34.5">
      <c r="A346" s="15" t="s">
        <v>110</v>
      </c>
      <c r="B346" s="15" t="s">
        <v>111</v>
      </c>
      <c r="C346" s="15" t="s">
        <v>563</v>
      </c>
      <c r="D346" s="15" t="s">
        <v>119</v>
      </c>
      <c r="E346" s="15" t="s">
        <v>410</v>
      </c>
      <c r="F346" s="13" t="s">
        <v>417</v>
      </c>
      <c r="G346" s="15" t="s">
        <v>412</v>
      </c>
      <c r="H346" s="13"/>
      <c r="I346" s="13"/>
      <c r="J346" s="13" t="s">
        <v>564</v>
      </c>
      <c r="K346" s="16"/>
      <c r="L346" s="15"/>
      <c r="M346" s="15"/>
      <c r="N346" s="13"/>
      <c r="O346" s="13"/>
      <c r="P346" s="13"/>
      <c r="Q346" s="13"/>
      <c r="R346" s="14"/>
      <c r="S346" s="13"/>
      <c r="T346" s="15" t="s">
        <v>118</v>
      </c>
    </row>
    <row r="347" ht="34.5">
      <c r="A347" s="15" t="s">
        <v>110</v>
      </c>
      <c r="B347" s="15" t="s">
        <v>111</v>
      </c>
      <c r="C347" s="15" t="s">
        <v>563</v>
      </c>
      <c r="D347" s="15" t="s">
        <v>119</v>
      </c>
      <c r="E347" s="15" t="s">
        <v>410</v>
      </c>
      <c r="F347" s="13" t="s">
        <v>417</v>
      </c>
      <c r="G347" s="15" t="s">
        <v>412</v>
      </c>
      <c r="H347" s="13"/>
      <c r="I347" s="13"/>
      <c r="J347" s="13" t="s">
        <v>565</v>
      </c>
      <c r="K347" s="16"/>
      <c r="L347" s="15"/>
      <c r="M347" s="15"/>
      <c r="N347" s="13"/>
      <c r="O347" s="13"/>
      <c r="P347" s="13"/>
      <c r="Q347" s="13"/>
      <c r="R347" s="14"/>
      <c r="S347" s="13"/>
      <c r="T347" s="15" t="s">
        <v>118</v>
      </c>
    </row>
    <row r="348" ht="34.5">
      <c r="A348" s="15" t="s">
        <v>110</v>
      </c>
      <c r="B348" s="15" t="s">
        <v>111</v>
      </c>
      <c r="C348" s="15" t="s">
        <v>563</v>
      </c>
      <c r="D348" s="15" t="s">
        <v>119</v>
      </c>
      <c r="E348" s="15" t="s">
        <v>410</v>
      </c>
      <c r="F348" s="13" t="s">
        <v>417</v>
      </c>
      <c r="G348" s="15" t="s">
        <v>412</v>
      </c>
      <c r="H348" s="13"/>
      <c r="I348" s="13"/>
      <c r="J348" s="13" t="s">
        <v>566</v>
      </c>
      <c r="K348" s="16"/>
      <c r="L348" s="15"/>
      <c r="M348" s="15"/>
      <c r="N348" s="13"/>
      <c r="O348" s="13"/>
      <c r="P348" s="13"/>
      <c r="Q348" s="13"/>
      <c r="R348" s="14"/>
      <c r="S348" s="13"/>
      <c r="T348" s="15" t="s">
        <v>118</v>
      </c>
    </row>
    <row r="349" ht="34.5"/>
  </sheetData>
  <autoFilter ref="A5:T348"/>
</worksheet>
</file>

<file path=xl/worksheets/sheet3.xml><?xml version="1.0" encoding="utf-8"?>
<worksheet xmlns="http://schemas.openxmlformats.org/spreadsheetml/2006/main" xmlns:r="http://schemas.openxmlformats.org/officeDocument/2006/relationships">
  <dimension ref="A1:Q52"/>
  <sheetViews>
    <sheetView showGridLines="0" workbookViewId="0"/>
  </sheetViews>
  <sheetFormatPr defaultColWidth="8.375" defaultRowHeight="15"/>
  <cols>
    <col min="1" max="1" width="39.375" customWidth="1"/>
    <col min="2" max="11" width="15.625" customWidth="1"/>
    <col min="12" max="12" width="2.875" customWidth="1"/>
    <col min="13" max="13" width="10.625" customWidth="1"/>
    <col min="14" max="14" width="31.875" customWidth="1"/>
    <col min="15" max="16" width="2.875" customWidth="1"/>
    <col min="17" max="17" width="44.375" customWidth="1"/>
  </cols>
  <sheetData>
    <row r="1">
      <c r="A1" s="249" t="s">
        <v>0</v>
      </c>
      <c r="B1" s="132"/>
      <c r="C1" s="132"/>
      <c r="D1" s="132"/>
      <c r="E1" s="132"/>
      <c r="F1" s="132"/>
      <c r="G1" s="138"/>
      <c r="H1" s="135"/>
      <c r="I1" s="135"/>
      <c r="J1" s="135"/>
      <c r="K1" s="135"/>
      <c r="L1" s="121"/>
      <c r="M1" s="121"/>
      <c r="N1" s="120"/>
      <c r="O1" s="121"/>
      <c r="P1" s="121"/>
      <c r="Q1" s="120"/>
    </row>
    <row r="2">
      <c r="A2" s="122"/>
      <c r="B2" s="122"/>
      <c r="C2" s="122"/>
      <c r="D2" s="122"/>
      <c r="E2" s="122"/>
      <c r="F2" s="122"/>
      <c r="G2" s="127"/>
      <c r="H2" s="122"/>
      <c r="I2" s="122"/>
      <c r="J2" s="122"/>
      <c r="K2" s="122"/>
      <c r="L2" s="121"/>
      <c r="M2" s="121"/>
      <c r="N2" s="120"/>
      <c r="O2" s="121"/>
      <c r="P2" s="121"/>
      <c r="Q2" s="120"/>
    </row>
    <row r="3">
      <c r="A3" s="251" t="s">
        <v>567</v>
      </c>
      <c r="G3" s="127"/>
      <c r="L3" s="121"/>
      <c r="M3" s="121"/>
      <c r="N3" s="120"/>
      <c r="O3" s="121"/>
      <c r="P3" s="121"/>
      <c r="Q3" s="120"/>
    </row>
    <row r="4">
      <c r="A4" s="251" t="s">
        <v>568</v>
      </c>
      <c r="G4" s="127"/>
      <c r="L4" s="121"/>
      <c r="M4" s="121"/>
      <c r="N4" s="120"/>
      <c r="O4" s="121"/>
      <c r="P4" s="121"/>
      <c r="Q4" s="120"/>
    </row>
    <row r="5">
      <c r="A5" s="251" t="s">
        <v>569</v>
      </c>
      <c r="B5" s="136"/>
      <c r="C5" s="29">
        <v>1</v>
      </c>
      <c r="D5" s="136"/>
      <c r="E5" s="136"/>
      <c r="F5" s="136"/>
      <c r="G5" s="137"/>
      <c r="H5" s="136"/>
      <c r="I5" s="136"/>
      <c r="J5" s="136"/>
      <c r="K5" s="136"/>
      <c r="L5" s="121"/>
      <c r="M5" s="251" t="s">
        <v>570</v>
      </c>
      <c r="N5" s="120" t="s">
        <v>571</v>
      </c>
      <c r="O5" s="121"/>
      <c r="P5" s="121"/>
      <c r="Q5" s="120" t="s">
        <v>572</v>
      </c>
    </row>
    <row r="6">
      <c r="A6" s="251" t="s">
        <v>573</v>
      </c>
      <c r="B6" s="134"/>
      <c r="C6" s="252" t="str">
        <f>CHOOSE($C$5,"Base","Bull","Bear")</f>
        <v>Base</v>
      </c>
      <c r="D6" s="134"/>
      <c r="E6" s="134"/>
      <c r="F6" s="134"/>
      <c r="G6" s="129"/>
      <c r="H6" s="134"/>
      <c r="I6" s="134"/>
      <c r="J6" s="134"/>
      <c r="K6" s="134"/>
      <c r="L6" s="121"/>
      <c r="M6" s="251" t="s">
        <v>574</v>
      </c>
      <c r="N6" s="120" t="s">
        <v>571</v>
      </c>
      <c r="O6" s="121"/>
      <c r="P6" s="121"/>
      <c r="Q6" s="120" t="s">
        <v>575</v>
      </c>
    </row>
    <row r="7">
      <c r="A7" s="122"/>
      <c r="B7" s="122"/>
      <c r="C7" s="122"/>
      <c r="D7" s="122"/>
      <c r="E7" s="122"/>
      <c r="F7" s="122"/>
      <c r="G7" s="127"/>
      <c r="H7" s="122"/>
      <c r="I7" s="122"/>
      <c r="J7" s="122"/>
      <c r="K7" s="122"/>
      <c r="L7" s="121"/>
      <c r="M7" s="121"/>
      <c r="N7" s="120"/>
      <c r="O7" s="121"/>
      <c r="P7" s="121"/>
      <c r="Q7" s="120"/>
    </row>
    <row r="8">
      <c r="A8" s="249" t="s">
        <v>3</v>
      </c>
      <c r="B8" s="234" t="s">
        <v>4</v>
      </c>
      <c r="C8" s="234" t="s">
        <v>5</v>
      </c>
      <c r="D8" s="234" t="s">
        <v>6</v>
      </c>
      <c r="E8" s="234" t="s">
        <v>7</v>
      </c>
      <c r="F8" s="234" t="s">
        <v>8</v>
      </c>
      <c r="G8" s="256" t="s">
        <v>9</v>
      </c>
      <c r="H8" s="230" t="s">
        <v>10</v>
      </c>
      <c r="I8" s="230" t="s">
        <v>11</v>
      </c>
      <c r="J8" s="230" t="s">
        <v>12</v>
      </c>
      <c r="K8" s="230" t="s">
        <v>13</v>
      </c>
      <c r="L8" s="121"/>
      <c r="M8" s="257" t="s">
        <v>576</v>
      </c>
      <c r="N8" s="257" t="s">
        <v>577</v>
      </c>
      <c r="O8" s="121"/>
      <c r="P8" s="121"/>
      <c r="Q8" s="257" t="s">
        <v>578</v>
      </c>
    </row>
    <row r="9">
      <c r="A9" s="122"/>
      <c r="B9" s="122"/>
      <c r="C9" s="122"/>
      <c r="D9" s="122"/>
      <c r="E9" s="122"/>
      <c r="F9" s="122"/>
      <c r="G9" s="127"/>
      <c r="H9" s="122"/>
      <c r="I9" s="122"/>
      <c r="J9" s="122"/>
      <c r="K9" s="122"/>
      <c r="L9" s="121"/>
      <c r="M9" s="121"/>
      <c r="N9" s="120"/>
      <c r="O9" s="121"/>
      <c r="P9" s="121"/>
      <c r="Q9" s="120"/>
    </row>
    <row r="10">
      <c r="A10" s="249" t="s">
        <v>579</v>
      </c>
      <c r="B10" s="123"/>
      <c r="C10" s="123"/>
      <c r="D10" s="123"/>
      <c r="E10" s="123"/>
      <c r="F10" s="123"/>
      <c r="G10" s="130"/>
      <c r="H10" s="126"/>
      <c r="I10" s="126"/>
      <c r="J10" s="126"/>
      <c r="K10" s="126"/>
      <c r="L10" s="121"/>
      <c r="M10" s="121"/>
      <c r="N10" s="121"/>
      <c r="O10" s="121"/>
      <c r="P10" s="121"/>
      <c r="Q10" s="121"/>
    </row>
    <row r="11">
      <c r="A11" s="251" t="s">
        <v>580</v>
      </c>
      <c r="B11" s="119"/>
      <c r="C11" s="119"/>
      <c r="D11" s="119"/>
      <c r="E11" s="119"/>
      <c r="F11" s="119"/>
      <c r="G11" s="128">
        <f>CHOOSE($C$5,G13,G14,G12)</f>
        <v>0.044</v>
      </c>
      <c r="H11" s="119">
        <f>CHOOSE($C$5,H13,H14,H12)</f>
        <v>0.044</v>
      </c>
      <c r="I11" s="119">
        <f>CHOOSE($C$5,I13,I14,I12)</f>
        <v>0.044</v>
      </c>
      <c r="J11" s="119">
        <f>CHOOSE($C$5,J13,J14,J12)</f>
        <v>0.044</v>
      </c>
      <c r="K11" s="119">
        <f>CHOOSE($C$5,K13,K14,K12)</f>
        <v>0.044</v>
      </c>
      <c r="L11" s="121"/>
      <c r="M11" s="251" t="s">
        <v>581</v>
      </c>
      <c r="N11" s="120" t="s">
        <v>582</v>
      </c>
      <c r="O11" s="121"/>
      <c r="P11" s="121"/>
      <c r="Q11" s="120" t="s">
        <v>575</v>
      </c>
    </row>
    <row r="12">
      <c r="A12" s="251" t="s">
        <v>583</v>
      </c>
      <c r="B12" s="119"/>
      <c r="C12" s="119"/>
      <c r="D12" s="119"/>
      <c r="E12" s="119"/>
      <c r="F12" s="119"/>
      <c r="G12" s="131">
        <v>0.024</v>
      </c>
      <c r="H12" s="118">
        <v>0.024</v>
      </c>
      <c r="I12" s="118">
        <v>0.024</v>
      </c>
      <c r="J12" s="118">
        <v>0.024</v>
      </c>
      <c r="K12" s="118">
        <v>0.024</v>
      </c>
      <c r="L12" s="121"/>
      <c r="M12" s="251" t="s">
        <v>581</v>
      </c>
      <c r="N12" s="120" t="s">
        <v>582</v>
      </c>
      <c r="O12" s="121"/>
      <c r="P12" s="121"/>
      <c r="Q12" s="120" t="s">
        <v>584</v>
      </c>
    </row>
    <row r="13">
      <c r="A13" s="251" t="s">
        <v>585</v>
      </c>
      <c r="B13" s="119"/>
      <c r="C13" s="119"/>
      <c r="D13" s="119"/>
      <c r="E13" s="119"/>
      <c r="F13" s="119"/>
      <c r="G13" s="131">
        <v>0.044</v>
      </c>
      <c r="H13" s="118">
        <v>0.044</v>
      </c>
      <c r="I13" s="118">
        <v>0.044</v>
      </c>
      <c r="J13" s="118">
        <v>0.044</v>
      </c>
      <c r="K13" s="118">
        <v>0.044</v>
      </c>
      <c r="L13" s="121"/>
      <c r="M13" s="251" t="s">
        <v>581</v>
      </c>
      <c r="N13" s="120" t="s">
        <v>582</v>
      </c>
      <c r="O13" s="121"/>
      <c r="P13" s="121"/>
      <c r="Q13" s="120" t="s">
        <v>584</v>
      </c>
    </row>
    <row r="14">
      <c r="A14" s="251" t="s">
        <v>586</v>
      </c>
      <c r="B14" s="119"/>
      <c r="C14" s="119"/>
      <c r="D14" s="119"/>
      <c r="E14" s="119"/>
      <c r="F14" s="119"/>
      <c r="G14" s="131">
        <v>0.064</v>
      </c>
      <c r="H14" s="118">
        <v>0.064</v>
      </c>
      <c r="I14" s="118">
        <v>0.064</v>
      </c>
      <c r="J14" s="118">
        <v>0.064</v>
      </c>
      <c r="K14" s="118">
        <v>0.064</v>
      </c>
      <c r="L14" s="121"/>
      <c r="M14" s="251" t="s">
        <v>581</v>
      </c>
      <c r="N14" s="120" t="s">
        <v>582</v>
      </c>
      <c r="O14" s="121"/>
      <c r="P14" s="121"/>
      <c r="Q14" s="120" t="s">
        <v>584</v>
      </c>
    </row>
    <row r="15">
      <c r="A15" s="251" t="s">
        <v>587</v>
      </c>
      <c r="B15" s="107"/>
      <c r="C15" s="107"/>
      <c r="D15" s="107"/>
      <c r="E15" s="254">
        <f>EEFF!E7</f>
        <v>872479782</v>
      </c>
      <c r="F15" s="254">
        <f>EEFF!F7</f>
        <v>910833173</v>
      </c>
      <c r="G15" s="129"/>
      <c r="H15" s="134"/>
      <c r="I15" s="134"/>
      <c r="J15" s="134"/>
      <c r="K15" s="134"/>
      <c r="L15" s="121"/>
      <c r="M15" s="251" t="s">
        <v>574</v>
      </c>
      <c r="N15" s="120" t="s">
        <v>582</v>
      </c>
      <c r="O15" s="121"/>
      <c r="P15" s="121"/>
      <c r="Q15" s="120" t="s">
        <v>588</v>
      </c>
    </row>
    <row r="16">
      <c r="A16" s="251" t="s">
        <v>589</v>
      </c>
      <c r="B16" s="119"/>
      <c r="C16" s="23"/>
      <c r="D16" s="23"/>
      <c r="E16" s="23"/>
      <c r="F16" s="133">
        <f>EEFF!F7/EEFF!E7-1</f>
        <v>0.043959059901745645</v>
      </c>
      <c r="G16" s="128"/>
      <c r="H16" s="119"/>
      <c r="I16" s="119"/>
      <c r="J16" s="119"/>
      <c r="K16" s="119"/>
      <c r="L16" s="121"/>
      <c r="M16" s="251" t="s">
        <v>581</v>
      </c>
      <c r="N16" s="120" t="s">
        <v>582</v>
      </c>
      <c r="O16" s="121"/>
      <c r="P16" s="121"/>
      <c r="Q16" s="120" t="s">
        <v>590</v>
      </c>
    </row>
    <row r="17">
      <c r="A17" s="122"/>
      <c r="B17" s="122"/>
      <c r="C17" s="122"/>
      <c r="D17" s="122"/>
      <c r="E17" s="122"/>
      <c r="F17" s="122"/>
      <c r="G17" s="127"/>
      <c r="H17" s="122"/>
      <c r="I17" s="122"/>
      <c r="J17" s="122"/>
      <c r="K17" s="122"/>
      <c r="L17" s="121"/>
      <c r="M17" s="121"/>
      <c r="N17" s="120"/>
      <c r="O17" s="121"/>
      <c r="P17" s="121"/>
      <c r="Q17" s="120"/>
    </row>
    <row r="18">
      <c r="A18" s="249" t="s">
        <v>591</v>
      </c>
      <c r="B18" s="123"/>
      <c r="C18" s="123"/>
      <c r="D18" s="123"/>
      <c r="E18" s="123"/>
      <c r="F18" s="123"/>
      <c r="G18" s="130"/>
      <c r="H18" s="126"/>
      <c r="I18" s="126"/>
      <c r="J18" s="126"/>
      <c r="K18" s="126"/>
      <c r="L18" s="121"/>
      <c r="M18" s="121"/>
      <c r="N18" s="121"/>
      <c r="O18" s="121"/>
      <c r="P18" s="121"/>
      <c r="Q18" s="121"/>
    </row>
    <row r="19">
      <c r="A19" s="251" t="s">
        <v>592</v>
      </c>
      <c r="B19" s="119"/>
      <c r="C19" s="119"/>
      <c r="D19" s="119"/>
      <c r="E19" s="119"/>
      <c r="F19" s="119"/>
      <c r="G19" s="128">
        <f>CHOOSE($C$5,G21,G22,G20)</f>
        <v>-0.726</v>
      </c>
      <c r="H19" s="119">
        <f>CHOOSE($C$5,H21,H22,H20)</f>
        <v>-0.726</v>
      </c>
      <c r="I19" s="119">
        <f>CHOOSE($C$5,I21,I22,I20)</f>
        <v>-0.726</v>
      </c>
      <c r="J19" s="119">
        <f>CHOOSE($C$5,J21,J22,J20)</f>
        <v>-0.726</v>
      </c>
      <c r="K19" s="119">
        <f>CHOOSE($C$5,K21,K22,K20)</f>
        <v>-0.726</v>
      </c>
      <c r="L19" s="121"/>
      <c r="M19" s="251" t="s">
        <v>581</v>
      </c>
      <c r="N19" s="120" t="s">
        <v>593</v>
      </c>
      <c r="O19" s="121"/>
      <c r="P19" s="121"/>
      <c r="Q19" s="120" t="s">
        <v>575</v>
      </c>
    </row>
    <row r="20">
      <c r="A20" s="251" t="s">
        <v>583</v>
      </c>
      <c r="B20" s="119"/>
      <c r="C20" s="119"/>
      <c r="D20" s="119"/>
      <c r="E20" s="119"/>
      <c r="F20" s="119"/>
      <c r="G20" s="131">
        <v>-0.746</v>
      </c>
      <c r="H20" s="118">
        <v>-0.746</v>
      </c>
      <c r="I20" s="118">
        <v>-0.746</v>
      </c>
      <c r="J20" s="118">
        <v>-0.746</v>
      </c>
      <c r="K20" s="118">
        <v>-0.746</v>
      </c>
      <c r="L20" s="121"/>
      <c r="M20" s="251" t="s">
        <v>581</v>
      </c>
      <c r="N20" s="120" t="s">
        <v>593</v>
      </c>
      <c r="O20" s="121"/>
      <c r="P20" s="121"/>
      <c r="Q20" s="120" t="s">
        <v>584</v>
      </c>
    </row>
    <row r="21">
      <c r="A21" s="251" t="s">
        <v>585</v>
      </c>
      <c r="B21" s="119"/>
      <c r="C21" s="119"/>
      <c r="D21" s="119"/>
      <c r="E21" s="119"/>
      <c r="F21" s="119"/>
      <c r="G21" s="131">
        <v>-0.726</v>
      </c>
      <c r="H21" s="118">
        <v>-0.726</v>
      </c>
      <c r="I21" s="118">
        <v>-0.726</v>
      </c>
      <c r="J21" s="118">
        <v>-0.726</v>
      </c>
      <c r="K21" s="118">
        <v>-0.726</v>
      </c>
      <c r="L21" s="121"/>
      <c r="M21" s="251" t="s">
        <v>581</v>
      </c>
      <c r="N21" s="120" t="s">
        <v>593</v>
      </c>
      <c r="O21" s="121"/>
      <c r="P21" s="121"/>
      <c r="Q21" s="120" t="s">
        <v>584</v>
      </c>
    </row>
    <row r="22">
      <c r="A22" s="251" t="s">
        <v>586</v>
      </c>
      <c r="B22" s="119"/>
      <c r="C22" s="119"/>
      <c r="D22" s="119"/>
      <c r="E22" s="119"/>
      <c r="F22" s="119"/>
      <c r="G22" s="131">
        <v>-0.706</v>
      </c>
      <c r="H22" s="118">
        <v>-0.706</v>
      </c>
      <c r="I22" s="118">
        <v>-0.706</v>
      </c>
      <c r="J22" s="118">
        <v>-0.706</v>
      </c>
      <c r="K22" s="118">
        <v>-0.706</v>
      </c>
      <c r="L22" s="121"/>
      <c r="M22" s="251" t="s">
        <v>581</v>
      </c>
      <c r="N22" s="120" t="s">
        <v>593</v>
      </c>
      <c r="O22" s="121"/>
      <c r="P22" s="121"/>
      <c r="Q22" s="120" t="s">
        <v>584</v>
      </c>
    </row>
    <row r="23">
      <c r="A23" s="251" t="s">
        <v>594</v>
      </c>
      <c r="B23" s="119"/>
      <c r="C23" s="119"/>
      <c r="D23" s="119"/>
      <c r="E23" s="133">
        <f>IF(EEFF!E7=0,"",EEFF!E8/EEFF!E7)</f>
        <v>-0.7056813930847053</v>
      </c>
      <c r="F23" s="133">
        <f>IF(EEFF!F7=0,"",EEFF!F8/EEFF!F7)</f>
        <v>-0.7258255886997651</v>
      </c>
      <c r="G23" s="128"/>
      <c r="H23" s="119"/>
      <c r="I23" s="119"/>
      <c r="J23" s="119"/>
      <c r="K23" s="119"/>
      <c r="L23" s="121"/>
      <c r="M23" s="251" t="s">
        <v>581</v>
      </c>
      <c r="N23" s="120" t="s">
        <v>595</v>
      </c>
      <c r="O23" s="121"/>
      <c r="P23" s="121"/>
      <c r="Q23" s="120" t="s">
        <v>588</v>
      </c>
    </row>
    <row r="24">
      <c r="A24" s="122"/>
      <c r="B24" s="122"/>
      <c r="C24" s="122"/>
      <c r="D24" s="122"/>
      <c r="E24" s="122"/>
      <c r="F24" s="122"/>
      <c r="G24" s="127"/>
      <c r="H24" s="122"/>
      <c r="I24" s="122"/>
      <c r="J24" s="122"/>
      <c r="K24" s="122"/>
      <c r="L24" s="121"/>
      <c r="M24" s="121"/>
      <c r="N24" s="120"/>
      <c r="O24" s="121"/>
      <c r="P24" s="121"/>
      <c r="Q24" s="120"/>
    </row>
    <row r="25">
      <c r="A25" s="249" t="s">
        <v>596</v>
      </c>
      <c r="B25" s="123"/>
      <c r="C25" s="123"/>
      <c r="D25" s="123"/>
      <c r="E25" s="123"/>
      <c r="F25" s="123"/>
      <c r="G25" s="130"/>
      <c r="H25" s="126"/>
      <c r="I25" s="126"/>
      <c r="J25" s="126"/>
      <c r="K25" s="126"/>
      <c r="L25" s="121"/>
      <c r="M25" s="121"/>
      <c r="N25" s="121"/>
      <c r="O25" s="121"/>
      <c r="P25" s="121"/>
      <c r="Q25" s="121"/>
    </row>
    <row r="26">
      <c r="A26" s="251" t="s">
        <v>597</v>
      </c>
      <c r="B26" s="119"/>
      <c r="C26" s="119"/>
      <c r="D26" s="119"/>
      <c r="E26" s="119"/>
      <c r="F26" s="119"/>
      <c r="G26" s="128">
        <f>CHOOSE($C$5,G28,G29,G27)</f>
        <v>-0.022</v>
      </c>
      <c r="H26" s="119">
        <f>CHOOSE($C$5,H28,H29,H27)</f>
        <v>-0.022</v>
      </c>
      <c r="I26" s="119">
        <f>CHOOSE($C$5,I28,I29,I27)</f>
        <v>-0.022</v>
      </c>
      <c r="J26" s="119">
        <f>CHOOSE($C$5,J28,J29,J27)</f>
        <v>-0.022</v>
      </c>
      <c r="K26" s="119">
        <f>CHOOSE($C$5,K28,K29,K27)</f>
        <v>-0.022</v>
      </c>
      <c r="L26" s="121"/>
      <c r="M26" s="251" t="s">
        <v>581</v>
      </c>
      <c r="N26" s="120" t="s">
        <v>598</v>
      </c>
      <c r="O26" s="121"/>
      <c r="P26" s="121"/>
      <c r="Q26" s="120" t="s">
        <v>575</v>
      </c>
    </row>
    <row r="27">
      <c r="A27" s="251" t="s">
        <v>583</v>
      </c>
      <c r="B27" s="119"/>
      <c r="C27" s="119"/>
      <c r="D27" s="119"/>
      <c r="E27" s="119"/>
      <c r="F27" s="119"/>
      <c r="G27" s="131">
        <v>-0.042</v>
      </c>
      <c r="H27" s="118">
        <v>-0.042</v>
      </c>
      <c r="I27" s="118">
        <v>-0.042</v>
      </c>
      <c r="J27" s="118">
        <v>-0.042</v>
      </c>
      <c r="K27" s="118">
        <v>-0.042</v>
      </c>
      <c r="L27" s="121"/>
      <c r="M27" s="251" t="s">
        <v>581</v>
      </c>
      <c r="N27" s="120" t="s">
        <v>598</v>
      </c>
      <c r="O27" s="121"/>
      <c r="P27" s="121"/>
      <c r="Q27" s="120" t="s">
        <v>584</v>
      </c>
    </row>
    <row r="28">
      <c r="A28" s="251" t="s">
        <v>585</v>
      </c>
      <c r="B28" s="119"/>
      <c r="C28" s="119"/>
      <c r="D28" s="119"/>
      <c r="E28" s="119"/>
      <c r="F28" s="119"/>
      <c r="G28" s="131">
        <v>-0.022</v>
      </c>
      <c r="H28" s="118">
        <v>-0.022</v>
      </c>
      <c r="I28" s="118">
        <v>-0.022</v>
      </c>
      <c r="J28" s="118">
        <v>-0.022</v>
      </c>
      <c r="K28" s="118">
        <v>-0.022</v>
      </c>
      <c r="L28" s="121"/>
      <c r="M28" s="251" t="s">
        <v>581</v>
      </c>
      <c r="N28" s="120" t="s">
        <v>598</v>
      </c>
      <c r="O28" s="121"/>
      <c r="P28" s="121"/>
      <c r="Q28" s="120" t="s">
        <v>584</v>
      </c>
    </row>
    <row r="29">
      <c r="A29" s="251" t="s">
        <v>586</v>
      </c>
      <c r="B29" s="119"/>
      <c r="C29" s="119"/>
      <c r="D29" s="119"/>
      <c r="E29" s="119"/>
      <c r="F29" s="119"/>
      <c r="G29" s="131">
        <v>-0.002</v>
      </c>
      <c r="H29" s="118">
        <v>-0.002</v>
      </c>
      <c r="I29" s="118">
        <v>-0.002</v>
      </c>
      <c r="J29" s="118">
        <v>-0.002</v>
      </c>
      <c r="K29" s="118">
        <v>-0.002</v>
      </c>
      <c r="L29" s="121"/>
      <c r="M29" s="251" t="s">
        <v>581</v>
      </c>
      <c r="N29" s="120" t="s">
        <v>598</v>
      </c>
      <c r="O29" s="121"/>
      <c r="P29" s="121"/>
      <c r="Q29" s="120" t="s">
        <v>584</v>
      </c>
    </row>
    <row r="30">
      <c r="A30" s="251" t="s">
        <v>599</v>
      </c>
      <c r="B30" s="119"/>
      <c r="C30" s="119"/>
      <c r="D30" s="119"/>
      <c r="E30" s="133">
        <f>IF(EEFF!E7=0,"",EEFF!E9/EEFF!E7)</f>
        <v>-0.02490764880555135</v>
      </c>
      <c r="F30" s="133">
        <f>IF(EEFF!F7=0,"",EEFF!F9/EEFF!F7)</f>
        <v>-0.021512671673410824</v>
      </c>
      <c r="G30" s="128"/>
      <c r="H30" s="119"/>
      <c r="I30" s="119"/>
      <c r="J30" s="119"/>
      <c r="K30" s="119"/>
      <c r="L30" s="121"/>
      <c r="M30" s="251" t="s">
        <v>581</v>
      </c>
      <c r="N30" s="120" t="s">
        <v>600</v>
      </c>
      <c r="O30" s="121"/>
      <c r="P30" s="121"/>
      <c r="Q30" s="120" t="s">
        <v>588</v>
      </c>
    </row>
    <row r="31">
      <c r="A31" s="122"/>
      <c r="B31" s="122"/>
      <c r="C31" s="122"/>
      <c r="D31" s="122"/>
      <c r="E31" s="122"/>
      <c r="F31" s="122"/>
      <c r="G31" s="127"/>
      <c r="H31" s="122"/>
      <c r="I31" s="122"/>
      <c r="J31" s="122"/>
      <c r="K31" s="122"/>
      <c r="L31" s="121"/>
      <c r="M31" s="121"/>
      <c r="N31" s="120"/>
      <c r="O31" s="121"/>
      <c r="P31" s="121"/>
      <c r="Q31" s="120"/>
    </row>
    <row r="32">
      <c r="A32" s="249" t="s">
        <v>601</v>
      </c>
      <c r="B32" s="123"/>
      <c r="C32" s="123"/>
      <c r="D32" s="123"/>
      <c r="E32" s="123"/>
      <c r="F32" s="123"/>
      <c r="G32" s="130"/>
      <c r="H32" s="126"/>
      <c r="I32" s="126"/>
      <c r="J32" s="126"/>
      <c r="K32" s="126"/>
      <c r="L32" s="121"/>
      <c r="M32" s="121"/>
      <c r="N32" s="121"/>
      <c r="O32" s="121"/>
      <c r="P32" s="121"/>
      <c r="Q32" s="121"/>
    </row>
    <row r="33">
      <c r="A33" s="251" t="s">
        <v>602</v>
      </c>
      <c r="B33" s="119"/>
      <c r="C33" s="119"/>
      <c r="D33" s="119"/>
      <c r="E33" s="119"/>
      <c r="F33" s="119"/>
      <c r="G33" s="128">
        <f>CHOOSE($C$5,G35,G36,G34)</f>
        <v>-0.011</v>
      </c>
      <c r="H33" s="119">
        <f>CHOOSE($C$5,H35,H36,H34)</f>
        <v>-0.011</v>
      </c>
      <c r="I33" s="119">
        <f>CHOOSE($C$5,I35,I36,I34)</f>
        <v>-0.011</v>
      </c>
      <c r="J33" s="119">
        <f>CHOOSE($C$5,J35,J36,J34)</f>
        <v>-0.011</v>
      </c>
      <c r="K33" s="119">
        <f>CHOOSE($C$5,K35,K36,K34)</f>
        <v>-0.011</v>
      </c>
      <c r="L33" s="121"/>
      <c r="M33" s="251" t="s">
        <v>581</v>
      </c>
      <c r="N33" s="120" t="s">
        <v>603</v>
      </c>
      <c r="O33" s="121"/>
      <c r="P33" s="121"/>
      <c r="Q33" s="120" t="s">
        <v>575</v>
      </c>
    </row>
    <row r="34">
      <c r="A34" s="251" t="s">
        <v>583</v>
      </c>
      <c r="B34" s="119"/>
      <c r="C34" s="119"/>
      <c r="D34" s="119"/>
      <c r="E34" s="119"/>
      <c r="F34" s="119"/>
      <c r="G34" s="131">
        <v>-0.031</v>
      </c>
      <c r="H34" s="118">
        <v>-0.031</v>
      </c>
      <c r="I34" s="118">
        <v>-0.031</v>
      </c>
      <c r="J34" s="118">
        <v>-0.031</v>
      </c>
      <c r="K34" s="118">
        <v>-0.031</v>
      </c>
      <c r="L34" s="121"/>
      <c r="M34" s="251" t="s">
        <v>581</v>
      </c>
      <c r="N34" s="120" t="s">
        <v>603</v>
      </c>
      <c r="O34" s="121"/>
      <c r="P34" s="121"/>
      <c r="Q34" s="120" t="s">
        <v>584</v>
      </c>
    </row>
    <row r="35">
      <c r="A35" s="251" t="s">
        <v>585</v>
      </c>
      <c r="B35" s="119"/>
      <c r="C35" s="119"/>
      <c r="D35" s="119"/>
      <c r="E35" s="119"/>
      <c r="F35" s="119"/>
      <c r="G35" s="131">
        <v>-0.011</v>
      </c>
      <c r="H35" s="118">
        <v>-0.011</v>
      </c>
      <c r="I35" s="118">
        <v>-0.011</v>
      </c>
      <c r="J35" s="118">
        <v>-0.011</v>
      </c>
      <c r="K35" s="118">
        <v>-0.011</v>
      </c>
      <c r="L35" s="121"/>
      <c r="M35" s="251" t="s">
        <v>581</v>
      </c>
      <c r="N35" s="120" t="s">
        <v>603</v>
      </c>
      <c r="O35" s="121"/>
      <c r="P35" s="121"/>
      <c r="Q35" s="120" t="s">
        <v>584</v>
      </c>
    </row>
    <row r="36">
      <c r="A36" s="251" t="s">
        <v>586</v>
      </c>
      <c r="B36" s="119"/>
      <c r="C36" s="119"/>
      <c r="D36" s="119"/>
      <c r="E36" s="119"/>
      <c r="F36" s="119"/>
      <c r="G36" s="131">
        <v>0.009</v>
      </c>
      <c r="H36" s="118">
        <v>0.009</v>
      </c>
      <c r="I36" s="118">
        <v>0.009</v>
      </c>
      <c r="J36" s="118">
        <v>0.009</v>
      </c>
      <c r="K36" s="118">
        <v>0.009</v>
      </c>
      <c r="L36" s="121"/>
      <c r="M36" s="251" t="s">
        <v>581</v>
      </c>
      <c r="N36" s="120" t="s">
        <v>603</v>
      </c>
      <c r="O36" s="121"/>
      <c r="P36" s="121"/>
      <c r="Q36" s="120" t="s">
        <v>584</v>
      </c>
    </row>
    <row r="37">
      <c r="A37" s="251" t="s">
        <v>604</v>
      </c>
      <c r="B37" s="119"/>
      <c r="C37" s="119"/>
      <c r="D37" s="119"/>
      <c r="E37" s="133">
        <f>IF(EEFF!E7=0,"",EEFF!E12/EEFF!E7)</f>
        <v>-0.010435967901890018</v>
      </c>
      <c r="F37" s="133">
        <f>IF(EEFF!F7=0,"",EEFF!F12/EEFF!F7)</f>
        <v>-0.011332901903431223</v>
      </c>
      <c r="G37" s="128"/>
      <c r="H37" s="119"/>
      <c r="I37" s="119"/>
      <c r="J37" s="119"/>
      <c r="K37" s="119"/>
      <c r="L37" s="121"/>
      <c r="M37" s="251" t="s">
        <v>581</v>
      </c>
      <c r="N37" s="120" t="s">
        <v>605</v>
      </c>
      <c r="O37" s="121"/>
      <c r="P37" s="121"/>
      <c r="Q37" s="120" t="s">
        <v>588</v>
      </c>
    </row>
    <row r="38">
      <c r="A38" s="122"/>
      <c r="B38" s="122"/>
      <c r="C38" s="122"/>
      <c r="D38" s="122"/>
      <c r="E38" s="122"/>
      <c r="F38" s="122"/>
      <c r="G38" s="127"/>
      <c r="H38" s="122"/>
      <c r="I38" s="122"/>
      <c r="J38" s="122"/>
      <c r="K38" s="122"/>
      <c r="L38" s="121"/>
      <c r="M38" s="121"/>
      <c r="N38" s="120"/>
      <c r="O38" s="121"/>
      <c r="P38" s="121"/>
      <c r="Q38" s="120"/>
    </row>
    <row r="39">
      <c r="A39" s="249" t="s">
        <v>606</v>
      </c>
      <c r="B39" s="123"/>
      <c r="C39" s="123"/>
      <c r="D39" s="123"/>
      <c r="E39" s="123"/>
      <c r="F39" s="123"/>
      <c r="G39" s="130"/>
      <c r="H39" s="126"/>
      <c r="I39" s="126"/>
      <c r="J39" s="126"/>
      <c r="K39" s="126"/>
      <c r="L39" s="121"/>
      <c r="M39" s="121"/>
      <c r="N39" s="121"/>
      <c r="O39" s="121"/>
      <c r="P39" s="121"/>
      <c r="Q39" s="121"/>
    </row>
    <row r="40">
      <c r="A40" s="251" t="s">
        <v>607</v>
      </c>
      <c r="B40" s="119"/>
      <c r="C40" s="119"/>
      <c r="D40" s="119"/>
      <c r="E40" s="119"/>
      <c r="F40" s="119"/>
      <c r="G40" s="128">
        <f>CHOOSE($C$5,G42,G43,G41)</f>
        <v>-0.048</v>
      </c>
      <c r="H40" s="119">
        <f>CHOOSE($C$5,H42,H43,H41)</f>
        <v>-0.048</v>
      </c>
      <c r="I40" s="119">
        <f>CHOOSE($C$5,I42,I43,I41)</f>
        <v>-0.048</v>
      </c>
      <c r="J40" s="119">
        <f>CHOOSE($C$5,J42,J43,J41)</f>
        <v>-0.048</v>
      </c>
      <c r="K40" s="119">
        <f>CHOOSE($C$5,K42,K43,K41)</f>
        <v>-0.048</v>
      </c>
      <c r="L40" s="121"/>
      <c r="M40" s="251" t="s">
        <v>581</v>
      </c>
      <c r="N40" s="120" t="s">
        <v>608</v>
      </c>
      <c r="O40" s="121"/>
      <c r="P40" s="121"/>
      <c r="Q40" s="120" t="s">
        <v>575</v>
      </c>
    </row>
    <row r="41">
      <c r="A41" s="251" t="s">
        <v>583</v>
      </c>
      <c r="B41" s="119"/>
      <c r="C41" s="119"/>
      <c r="D41" s="119"/>
      <c r="E41" s="119"/>
      <c r="F41" s="119"/>
      <c r="G41" s="131">
        <v>-0.068</v>
      </c>
      <c r="H41" s="118">
        <v>-0.068</v>
      </c>
      <c r="I41" s="118">
        <v>-0.068</v>
      </c>
      <c r="J41" s="118">
        <v>-0.068</v>
      </c>
      <c r="K41" s="118">
        <v>-0.068</v>
      </c>
      <c r="L41" s="121"/>
      <c r="M41" s="251" t="s">
        <v>581</v>
      </c>
      <c r="N41" s="120" t="s">
        <v>608</v>
      </c>
      <c r="O41" s="121"/>
      <c r="P41" s="121"/>
      <c r="Q41" s="120" t="s">
        <v>584</v>
      </c>
    </row>
    <row r="42">
      <c r="A42" s="251" t="s">
        <v>585</v>
      </c>
      <c r="B42" s="119"/>
      <c r="C42" s="119"/>
      <c r="D42" s="119"/>
      <c r="E42" s="119"/>
      <c r="F42" s="119"/>
      <c r="G42" s="131">
        <v>-0.048</v>
      </c>
      <c r="H42" s="118">
        <v>-0.048</v>
      </c>
      <c r="I42" s="118">
        <v>-0.048</v>
      </c>
      <c r="J42" s="118">
        <v>-0.048</v>
      </c>
      <c r="K42" s="118">
        <v>-0.048</v>
      </c>
      <c r="L42" s="121"/>
      <c r="M42" s="251" t="s">
        <v>581</v>
      </c>
      <c r="N42" s="120" t="s">
        <v>608</v>
      </c>
      <c r="O42" s="121"/>
      <c r="P42" s="121"/>
      <c r="Q42" s="120" t="s">
        <v>584</v>
      </c>
    </row>
    <row r="43">
      <c r="A43" s="251" t="s">
        <v>586</v>
      </c>
      <c r="B43" s="119"/>
      <c r="C43" s="119"/>
      <c r="D43" s="119"/>
      <c r="E43" s="119"/>
      <c r="F43" s="119"/>
      <c r="G43" s="131">
        <v>-0.028</v>
      </c>
      <c r="H43" s="118">
        <v>-0.028</v>
      </c>
      <c r="I43" s="118">
        <v>-0.028</v>
      </c>
      <c r="J43" s="118">
        <v>-0.028</v>
      </c>
      <c r="K43" s="118">
        <v>-0.028</v>
      </c>
      <c r="L43" s="121"/>
      <c r="M43" s="251" t="s">
        <v>581</v>
      </c>
      <c r="N43" s="120" t="s">
        <v>608</v>
      </c>
      <c r="O43" s="121"/>
      <c r="P43" s="121"/>
      <c r="Q43" s="120" t="s">
        <v>584</v>
      </c>
    </row>
    <row r="44">
      <c r="A44" s="251" t="s">
        <v>609</v>
      </c>
      <c r="B44" s="119"/>
      <c r="C44" s="119"/>
      <c r="D44" s="119"/>
      <c r="E44" s="133">
        <f>IF(EEFF!E7=0,"",EEFF!E13/EEFF!E7)</f>
        <v>-0.052515419778518146</v>
      </c>
      <c r="F44" s="133">
        <f>IF(EEFF!F7=0,"",EEFF!F13/EEFF!F7)</f>
        <v>-0.047888394157115315</v>
      </c>
      <c r="G44" s="128"/>
      <c r="H44" s="119"/>
      <c r="I44" s="119"/>
      <c r="J44" s="119"/>
      <c r="K44" s="119"/>
      <c r="L44" s="121"/>
      <c r="M44" s="251" t="s">
        <v>581</v>
      </c>
      <c r="N44" s="120" t="s">
        <v>610</v>
      </c>
      <c r="O44" s="121"/>
      <c r="P44" s="121"/>
      <c r="Q44" s="120" t="s">
        <v>588</v>
      </c>
    </row>
    <row r="45">
      <c r="A45" s="122"/>
      <c r="B45" s="122"/>
      <c r="C45" s="122"/>
      <c r="D45" s="122"/>
      <c r="E45" s="122"/>
      <c r="F45" s="122"/>
      <c r="G45" s="127"/>
      <c r="H45" s="122"/>
      <c r="I45" s="122"/>
      <c r="J45" s="122"/>
      <c r="K45" s="122"/>
      <c r="L45" s="121"/>
      <c r="M45" s="121"/>
      <c r="N45" s="120"/>
      <c r="O45" s="121"/>
      <c r="P45" s="121"/>
      <c r="Q45" s="120"/>
    </row>
    <row r="46">
      <c r="A46" s="249" t="s">
        <v>611</v>
      </c>
      <c r="B46" s="123"/>
      <c r="C46" s="123"/>
      <c r="D46" s="123"/>
      <c r="E46" s="123"/>
      <c r="F46" s="123"/>
      <c r="G46" s="130"/>
      <c r="H46" s="126"/>
      <c r="I46" s="126"/>
      <c r="J46" s="126"/>
      <c r="K46" s="126"/>
      <c r="L46" s="121"/>
      <c r="M46" s="121"/>
      <c r="N46" s="121"/>
      <c r="O46" s="121"/>
      <c r="P46" s="121"/>
      <c r="Q46" s="121"/>
    </row>
    <row r="47">
      <c r="A47" s="251" t="s">
        <v>612</v>
      </c>
      <c r="B47" s="119"/>
      <c r="C47" s="119"/>
      <c r="D47" s="119"/>
      <c r="E47" s="119"/>
      <c r="F47" s="119"/>
      <c r="G47" s="128">
        <f>CHOOSE($C$5,G49,G50,G48)</f>
        <v>-0.316</v>
      </c>
      <c r="H47" s="119">
        <f>CHOOSE($C$5,H49,H50,H48)</f>
        <v>-0.316</v>
      </c>
      <c r="I47" s="119">
        <f>CHOOSE($C$5,I49,I50,I48)</f>
        <v>-0.316</v>
      </c>
      <c r="J47" s="119">
        <f>CHOOSE($C$5,J49,J50,J48)</f>
        <v>-0.316</v>
      </c>
      <c r="K47" s="119">
        <f>CHOOSE($C$5,K49,K50,K48)</f>
        <v>-0.316</v>
      </c>
      <c r="L47" s="121"/>
      <c r="M47" s="251" t="s">
        <v>581</v>
      </c>
      <c r="N47" s="120" t="s">
        <v>613</v>
      </c>
      <c r="O47" s="121"/>
      <c r="P47" s="121"/>
      <c r="Q47" s="120" t="s">
        <v>575</v>
      </c>
    </row>
    <row r="48">
      <c r="A48" s="251" t="s">
        <v>583</v>
      </c>
      <c r="B48" s="119"/>
      <c r="C48" s="119"/>
      <c r="D48" s="119"/>
      <c r="E48" s="119"/>
      <c r="F48" s="119"/>
      <c r="G48" s="131">
        <v>-0.316</v>
      </c>
      <c r="H48" s="118">
        <v>-0.316</v>
      </c>
      <c r="I48" s="118">
        <v>-0.316</v>
      </c>
      <c r="J48" s="118">
        <v>-0.316</v>
      </c>
      <c r="K48" s="118">
        <v>-0.316</v>
      </c>
      <c r="L48" s="121"/>
      <c r="M48" s="251" t="s">
        <v>581</v>
      </c>
      <c r="N48" s="120" t="s">
        <v>613</v>
      </c>
      <c r="O48" s="121"/>
      <c r="P48" s="121"/>
      <c r="Q48" s="120" t="s">
        <v>584</v>
      </c>
    </row>
    <row r="49">
      <c r="A49" s="251" t="s">
        <v>585</v>
      </c>
      <c r="B49" s="119"/>
      <c r="C49" s="119"/>
      <c r="D49" s="119"/>
      <c r="E49" s="119"/>
      <c r="F49" s="119"/>
      <c r="G49" s="131">
        <v>-0.316</v>
      </c>
      <c r="H49" s="118">
        <v>-0.316</v>
      </c>
      <c r="I49" s="118">
        <v>-0.316</v>
      </c>
      <c r="J49" s="118">
        <v>-0.316</v>
      </c>
      <c r="K49" s="118">
        <v>-0.316</v>
      </c>
      <c r="L49" s="121"/>
      <c r="M49" s="251" t="s">
        <v>581</v>
      </c>
      <c r="N49" s="120" t="s">
        <v>613</v>
      </c>
      <c r="O49" s="121"/>
      <c r="P49" s="121"/>
      <c r="Q49" s="120" t="s">
        <v>584</v>
      </c>
    </row>
    <row r="50">
      <c r="A50" s="251" t="s">
        <v>586</v>
      </c>
      <c r="B50" s="119"/>
      <c r="C50" s="119"/>
      <c r="D50" s="119"/>
      <c r="E50" s="119"/>
      <c r="F50" s="119"/>
      <c r="G50" s="131">
        <v>-0.316</v>
      </c>
      <c r="H50" s="118">
        <v>-0.316</v>
      </c>
      <c r="I50" s="118">
        <v>-0.316</v>
      </c>
      <c r="J50" s="118">
        <v>-0.316</v>
      </c>
      <c r="K50" s="118">
        <v>-0.316</v>
      </c>
      <c r="L50" s="121"/>
      <c r="M50" s="251" t="s">
        <v>581</v>
      </c>
      <c r="N50" s="120" t="s">
        <v>613</v>
      </c>
      <c r="O50" s="121"/>
      <c r="P50" s="121"/>
      <c r="Q50" s="120" t="s">
        <v>584</v>
      </c>
    </row>
    <row r="51">
      <c r="A51" s="251" t="s">
        <v>614</v>
      </c>
      <c r="B51" s="119"/>
      <c r="C51" s="119"/>
      <c r="D51" s="119"/>
      <c r="E51" s="133">
        <f>IF(EEFF!E18=0,"",EEFF!E19/EEFF!E18)</f>
        <v>-0.3273682273620217</v>
      </c>
      <c r="F51" s="133">
        <f>IF(EEFF!F18=0,"",EEFF!F19/EEFF!F18)</f>
        <v>-0.31553243783466767</v>
      </c>
      <c r="G51" s="128"/>
      <c r="H51" s="119"/>
      <c r="I51" s="119"/>
      <c r="J51" s="119"/>
      <c r="K51" s="119"/>
      <c r="L51" s="121"/>
      <c r="M51" s="251" t="s">
        <v>581</v>
      </c>
      <c r="N51" s="120" t="s">
        <v>615</v>
      </c>
      <c r="O51" s="121"/>
      <c r="P51" s="121"/>
      <c r="Q51" s="120" t="s">
        <v>588</v>
      </c>
    </row>
    <row r="52">
      <c r="A52" s="122"/>
      <c r="B52" s="122"/>
      <c r="C52" s="122"/>
      <c r="D52" s="122"/>
      <c r="E52" s="122"/>
      <c r="F52" s="122"/>
      <c r="G52" s="127"/>
      <c r="H52" s="122"/>
      <c r="I52" s="122"/>
      <c r="J52" s="122"/>
      <c r="K52" s="122"/>
      <c r="L52" s="121"/>
      <c r="M52" s="121"/>
      <c r="N52" s="120"/>
      <c r="O52" s="121"/>
      <c r="P52" s="121"/>
      <c r="Q52" s="120"/>
    </row>
  </sheetData>
</worksheet>
</file>

<file path=xl/worksheets/sheet4.xml><?xml version="1.0" encoding="utf-8"?>
<worksheet xmlns="http://schemas.openxmlformats.org/spreadsheetml/2006/main" xmlns:r="http://schemas.openxmlformats.org/officeDocument/2006/relationships">
  <dimension ref="A1:K92"/>
  <sheetViews>
    <sheetView showGridLines="0" workbookViewId="0"/>
  </sheetViews>
  <sheetFormatPr defaultColWidth="8.375" defaultRowHeight="15"/>
  <cols>
    <col min="1" max="1" width="43.125" customWidth="1"/>
    <col min="2" max="11" width="15.625" customWidth="1"/>
  </cols>
  <sheetData>
    <row r="1">
      <c r="A1" s="249" t="s">
        <v>0</v>
      </c>
      <c r="B1" s="150"/>
      <c r="C1" s="150"/>
      <c r="D1" s="150"/>
      <c r="E1" s="150"/>
      <c r="F1" s="150"/>
      <c r="G1" s="152"/>
      <c r="H1" s="149"/>
      <c r="I1" s="149"/>
      <c r="J1" s="149"/>
      <c r="K1" s="149"/>
    </row>
    <row r="2">
      <c r="A2" s="251" t="s">
        <v>1</v>
      </c>
      <c r="G2" s="147"/>
    </row>
    <row r="3">
      <c r="A3" s="251" t="s">
        <v>2</v>
      </c>
      <c r="G3" s="147"/>
    </row>
    <row r="4">
      <c r="A4" s="146"/>
      <c r="B4" s="146"/>
      <c r="C4" s="146"/>
      <c r="D4" s="146"/>
      <c r="E4" s="146"/>
      <c r="F4" s="146"/>
      <c r="G4" s="147"/>
      <c r="H4" s="146"/>
      <c r="I4" s="146"/>
      <c r="J4" s="146"/>
      <c r="K4" s="146"/>
    </row>
    <row r="5">
      <c r="A5" s="249" t="s">
        <v>3</v>
      </c>
      <c r="B5" s="234" t="s">
        <v>4</v>
      </c>
      <c r="C5" s="234" t="s">
        <v>5</v>
      </c>
      <c r="D5" s="234" t="s">
        <v>6</v>
      </c>
      <c r="E5" s="234" t="s">
        <v>7</v>
      </c>
      <c r="F5" s="234" t="s">
        <v>8</v>
      </c>
      <c r="G5" s="256" t="s">
        <v>9</v>
      </c>
      <c r="H5" s="230" t="s">
        <v>10</v>
      </c>
      <c r="I5" s="230" t="s">
        <v>11</v>
      </c>
      <c r="J5" s="230" t="s">
        <v>12</v>
      </c>
      <c r="K5" s="230" t="s">
        <v>13</v>
      </c>
    </row>
    <row r="6">
      <c r="A6" s="249" t="s">
        <v>14</v>
      </c>
      <c r="B6" s="155"/>
      <c r="C6" s="155"/>
      <c r="D6" s="155"/>
      <c r="E6" s="155"/>
      <c r="F6" s="155"/>
      <c r="G6" s="144"/>
      <c r="H6" s="156"/>
      <c r="I6" s="156"/>
      <c r="J6" s="156"/>
      <c r="K6" s="156"/>
    </row>
    <row r="7">
      <c r="A7" s="251" t="s">
        <v>15</v>
      </c>
      <c r="B7" s="143"/>
      <c r="C7" s="143"/>
      <c r="D7" s="143"/>
      <c r="E7" s="254">
        <f>EEFF!E7</f>
        <v>872479782</v>
      </c>
      <c r="F7" s="254">
        <f>EEFF!F7</f>
        <v>910833173</v>
      </c>
      <c r="G7" s="258">
        <f>F7*(1+Supuestos!G11)</f>
        <v>950909832.612</v>
      </c>
      <c r="H7" s="254">
        <f>G7*(1+Supuestos!H11)</f>
        <v>992749865.246928</v>
      </c>
      <c r="I7" s="254">
        <f>H7*(1+Supuestos!I11)</f>
        <v>1036430859.3177929</v>
      </c>
      <c r="J7" s="254">
        <f>I7*(1+Supuestos!J11)</f>
        <v>1082033817.127776</v>
      </c>
      <c r="K7" s="254">
        <f>J7*(1+Supuestos!K11)</f>
        <v>1129643305.081398</v>
      </c>
    </row>
    <row r="8">
      <c r="A8" s="251" t="s">
        <v>16</v>
      </c>
      <c r="B8" s="143"/>
      <c r="C8" s="143"/>
      <c r="D8" s="143"/>
      <c r="E8" s="254">
        <f>EEFF!E8</f>
        <v>-615692748</v>
      </c>
      <c r="F8" s="254">
        <f>EEFF!F8</f>
        <v>-661106024</v>
      </c>
      <c r="G8" s="258">
        <f>G7*Supuestos!G19</f>
        <v>-690360538.4763119</v>
      </c>
      <c r="H8" s="254">
        <f>H7*Supuestos!H19</f>
        <v>-720736402.1692697</v>
      </c>
      <c r="I8" s="254">
        <f>I7*Supuestos!I19</f>
        <v>-752448803.8647176</v>
      </c>
      <c r="J8" s="254">
        <f>J7*Supuestos!J19</f>
        <v>-785556551.2347653</v>
      </c>
      <c r="K8" s="254">
        <f>K7*Supuestos!K19</f>
        <v>-820121039.489095</v>
      </c>
    </row>
    <row r="9">
      <c r="A9" s="251" t="s">
        <v>17</v>
      </c>
      <c r="B9" s="143"/>
      <c r="C9" s="143"/>
      <c r="D9" s="143"/>
      <c r="E9" s="254">
        <f>EEFF!E9</f>
        <v>-21731420</v>
      </c>
      <c r="F9" s="254">
        <f>EEFF!F9</f>
        <v>-19594455</v>
      </c>
      <c r="G9" s="258">
        <f>G7*Supuestos!G26</f>
        <v>-20920016.317463998</v>
      </c>
      <c r="H9" s="254">
        <f>H7*Supuestos!H26</f>
        <v>-21840497.035432413</v>
      </c>
      <c r="I9" s="254">
        <f>I7*Supuestos!I26</f>
        <v>-22801478.90499144</v>
      </c>
      <c r="J9" s="254">
        <f>J7*Supuestos!J26</f>
        <v>-23804743.97681107</v>
      </c>
      <c r="K9" s="254">
        <f>K7*Supuestos!K26</f>
        <v>-24852152.711790755</v>
      </c>
    </row>
    <row r="10">
      <c r="A10" s="251" t="s">
        <v>18</v>
      </c>
      <c r="B10" s="143"/>
      <c r="C10" s="143"/>
      <c r="D10" s="143"/>
      <c r="E10" s="254">
        <f>EEFF!E10</f>
        <v>-48347878</v>
      </c>
      <c r="F10" s="254">
        <f>EEFF!F10</f>
        <v>-53346452</v>
      </c>
      <c r="G10" s="250">
        <f>-(G60+G61+G62)</f>
        <v>-53346452</v>
      </c>
      <c r="H10" s="252">
        <f>-(H60+H61+H62)</f>
        <v>-53346452</v>
      </c>
      <c r="I10" s="252">
        <f>-(I60+I61+I62)</f>
        <v>-53346452</v>
      </c>
      <c r="J10" s="252">
        <f>-(J60+J61+J62)</f>
        <v>-53346452</v>
      </c>
      <c r="K10" s="252">
        <f>-(K60+K61+K62)</f>
        <v>-53346452</v>
      </c>
    </row>
    <row r="11">
      <c r="A11" s="241" t="s">
        <v>19</v>
      </c>
      <c r="B11" s="139"/>
      <c r="C11" s="139"/>
      <c r="D11" s="139"/>
      <c r="E11" s="148">
        <f>EEFF!E11</f>
        <v>186707736</v>
      </c>
      <c r="F11" s="148">
        <f>EEFF!F11</f>
        <v>176786242</v>
      </c>
      <c r="G11" s="245">
        <f>G7+G8+G9+G10</f>
        <v>186282825.81822407</v>
      </c>
      <c r="H11" s="231">
        <f>H7+H8+H9+H10</f>
        <v>196826514.0422259</v>
      </c>
      <c r="I11" s="231">
        <f>I7+I8+I9+I10</f>
        <v>207834124.54808384</v>
      </c>
      <c r="J11" s="231">
        <f>J7+J8+J9+J10</f>
        <v>219326069.91619956</v>
      </c>
      <c r="K11" s="231">
        <f>K7+K8+K9+K10</f>
        <v>231323660.8805123</v>
      </c>
    </row>
    <row r="12">
      <c r="A12" s="251" t="s">
        <v>20</v>
      </c>
      <c r="B12" s="143"/>
      <c r="C12" s="143"/>
      <c r="D12" s="143"/>
      <c r="E12" s="254">
        <f>EEFF!E12</f>
        <v>-9105171</v>
      </c>
      <c r="F12" s="254">
        <f>EEFF!F12</f>
        <v>-10322383</v>
      </c>
      <c r="G12" s="258">
        <f>G7*Supuestos!G33</f>
        <v>-10460008.158731999</v>
      </c>
      <c r="H12" s="254">
        <f>H7*Supuestos!H33</f>
        <v>-10920248.517716207</v>
      </c>
      <c r="I12" s="254">
        <f>I7*Supuestos!I33</f>
        <v>-11400739.45249572</v>
      </c>
      <c r="J12" s="254">
        <f>J7*Supuestos!J33</f>
        <v>-11902371.988405535</v>
      </c>
      <c r="K12" s="254">
        <f>K7*Supuestos!K33</f>
        <v>-12426076.355895378</v>
      </c>
    </row>
    <row r="13">
      <c r="A13" s="251" t="s">
        <v>21</v>
      </c>
      <c r="B13" s="143"/>
      <c r="C13" s="143"/>
      <c r="D13" s="143"/>
      <c r="E13" s="254">
        <f>EEFF!E13</f>
        <v>-45818642</v>
      </c>
      <c r="F13" s="254">
        <f>EEFF!F13</f>
        <v>-43618338</v>
      </c>
      <c r="G13" s="258">
        <f>G7*Supuestos!G40</f>
        <v>-45643671.965376</v>
      </c>
      <c r="H13" s="254">
        <f>H7*Supuestos!H40</f>
        <v>-47651993.53185254</v>
      </c>
      <c r="I13" s="254">
        <f>I7*Supuestos!I40</f>
        <v>-49748681.24725406</v>
      </c>
      <c r="J13" s="254">
        <f>J7*Supuestos!J40</f>
        <v>-51937623.22213324</v>
      </c>
      <c r="K13" s="254">
        <f>K7*Supuestos!K40</f>
        <v>-54222878.64390711</v>
      </c>
    </row>
    <row r="14">
      <c r="A14" s="251" t="s">
        <v>22</v>
      </c>
      <c r="B14" s="143"/>
      <c r="C14" s="143"/>
      <c r="D14" s="143"/>
      <c r="E14" s="254">
        <f>EEFF!E14</f>
        <v>131783923</v>
      </c>
      <c r="F14" s="254">
        <f>EEFF!F14</f>
        <v>122845521</v>
      </c>
      <c r="G14" s="250">
        <f>G11+G12+G13</f>
        <v>130179145.69411609</v>
      </c>
      <c r="H14" s="252">
        <f>H11+H12+H13</f>
        <v>138254271.99265715</v>
      </c>
      <c r="I14" s="252">
        <f>I11+I12+I13</f>
        <v>146684703.84833407</v>
      </c>
      <c r="J14" s="252">
        <f>J11+J12+J13</f>
        <v>155486074.7056608</v>
      </c>
      <c r="K14" s="252">
        <f>K11+K12+K13</f>
        <v>164674705.88070983</v>
      </c>
    </row>
    <row r="15">
      <c r="A15" s="251" t="s">
        <v>23</v>
      </c>
      <c r="B15" s="143"/>
      <c r="C15" s="143"/>
      <c r="D15" s="143"/>
      <c r="E15" s="254">
        <f>EEFF!E15</f>
        <v>-76941269</v>
      </c>
      <c r="F15" s="254">
        <f>EEFF!F15</f>
        <v>-73951611</v>
      </c>
      <c r="G15" s="250">
        <f>F15</f>
        <v>-73951611</v>
      </c>
      <c r="H15" s="252">
        <f>G15</f>
        <v>-73951611</v>
      </c>
      <c r="I15" s="252">
        <f>H15</f>
        <v>-73951611</v>
      </c>
      <c r="J15" s="252">
        <f>I15</f>
        <v>-73951611</v>
      </c>
      <c r="K15" s="252">
        <f>J15</f>
        <v>-73951611</v>
      </c>
    </row>
    <row r="16">
      <c r="A16" s="251" t="s">
        <v>24</v>
      </c>
      <c r="B16" s="143"/>
      <c r="C16" s="143"/>
      <c r="D16" s="143"/>
      <c r="E16" s="254">
        <f>EEFF!E16</f>
        <v>4648031</v>
      </c>
      <c r="F16" s="254">
        <f>EEFF!F16</f>
        <v>6411378</v>
      </c>
      <c r="G16" s="250">
        <f>F16</f>
        <v>6411378</v>
      </c>
      <c r="H16" s="252">
        <f>G16</f>
        <v>6411378</v>
      </c>
      <c r="I16" s="252">
        <f>H16</f>
        <v>6411378</v>
      </c>
      <c r="J16" s="252">
        <f>I16</f>
        <v>6411378</v>
      </c>
      <c r="K16" s="252">
        <f>J16</f>
        <v>6411378</v>
      </c>
    </row>
    <row r="17">
      <c r="A17" s="241" t="s">
        <v>25</v>
      </c>
      <c r="B17" s="139"/>
      <c r="C17" s="139"/>
      <c r="D17" s="139"/>
      <c r="E17" s="148">
        <f>EEFF!E17</f>
        <v>-318727</v>
      </c>
      <c r="F17" s="148">
        <f>EEFF!F17</f>
        <v>-995436</v>
      </c>
      <c r="G17" s="245">
        <f>F17</f>
        <v>-995436</v>
      </c>
      <c r="H17" s="231">
        <f>G17</f>
        <v>-995436</v>
      </c>
      <c r="I17" s="231">
        <f>H17</f>
        <v>-995436</v>
      </c>
      <c r="J17" s="231">
        <f>I17</f>
        <v>-995436</v>
      </c>
      <c r="K17" s="231">
        <f>J17</f>
        <v>-995436</v>
      </c>
    </row>
    <row r="18">
      <c r="A18" s="241" t="s">
        <v>26</v>
      </c>
      <c r="B18" s="139"/>
      <c r="C18" s="139"/>
      <c r="D18" s="139"/>
      <c r="E18" s="148">
        <f>EEFF!E18</f>
        <v>59171958</v>
      </c>
      <c r="F18" s="148">
        <f>EEFF!F18</f>
        <v>54309852</v>
      </c>
      <c r="G18" s="245">
        <f>G14+G15+G16+G17</f>
        <v>61643476.694116086</v>
      </c>
      <c r="H18" s="231">
        <f>H14+H15+H16+H17</f>
        <v>69718602.99265715</v>
      </c>
      <c r="I18" s="231">
        <f>I14+I15+I16+I17</f>
        <v>78149034.84833407</v>
      </c>
      <c r="J18" s="231">
        <f>J14+J15+J16+J17</f>
        <v>86950405.70566079</v>
      </c>
      <c r="K18" s="231">
        <f>K14+K15+K16+K17</f>
        <v>96139036.88070983</v>
      </c>
    </row>
    <row r="19">
      <c r="A19" s="251" t="s">
        <v>27</v>
      </c>
      <c r="B19" s="143"/>
      <c r="C19" s="143"/>
      <c r="D19" s="143"/>
      <c r="E19" s="254">
        <f>EEFF!E19</f>
        <v>-19371019</v>
      </c>
      <c r="F19" s="254">
        <f>EEFF!F19</f>
        <v>-17136520</v>
      </c>
      <c r="G19" s="258">
        <f>G18*Supuestos!G47</f>
        <v>-19479338.635340683</v>
      </c>
      <c r="H19" s="254">
        <f>H18*Supuestos!H47</f>
        <v>-22031078.545679662</v>
      </c>
      <c r="I19" s="254">
        <f>I18*Supuestos!I47</f>
        <v>-24695095.01207357</v>
      </c>
      <c r="J19" s="254">
        <f>J18*Supuestos!J47</f>
        <v>-27476328.20298881</v>
      </c>
      <c r="K19" s="254">
        <f>K18*Supuestos!K47</f>
        <v>-30379935.654304307</v>
      </c>
    </row>
    <row r="20">
      <c r="A20" s="241" t="s">
        <v>28</v>
      </c>
      <c r="B20" s="139"/>
      <c r="C20" s="139"/>
      <c r="D20" s="139"/>
      <c r="E20" s="148">
        <f>EEFF!E20</f>
        <v>39800939</v>
      </c>
      <c r="F20" s="148">
        <f>EEFF!F20</f>
        <v>37173332</v>
      </c>
      <c r="G20" s="245">
        <f>G18+G19</f>
        <v>42164138.0587754</v>
      </c>
      <c r="H20" s="231">
        <f>H18+H19</f>
        <v>47687524.446977496</v>
      </c>
      <c r="I20" s="231">
        <f>I18+I19</f>
        <v>53453939.836260505</v>
      </c>
      <c r="J20" s="231">
        <f>J18+J19</f>
        <v>59474077.50267198</v>
      </c>
      <c r="K20" s="231">
        <f>K18+K19</f>
        <v>65759101.226405516</v>
      </c>
    </row>
    <row r="21">
      <c r="A21" s="251" t="s">
        <v>29</v>
      </c>
      <c r="B21" s="143"/>
      <c r="C21" s="143"/>
      <c r="D21" s="143"/>
      <c r="E21" s="254">
        <f>EEFF!E21</f>
        <v>6119</v>
      </c>
      <c r="F21" s="254">
        <f>EEFF!F21</f>
        <v>-230361</v>
      </c>
      <c r="G21" s="250">
        <f>F21</f>
        <v>-230361</v>
      </c>
      <c r="H21" s="252">
        <f>G21</f>
        <v>-230361</v>
      </c>
      <c r="I21" s="252">
        <f>H21</f>
        <v>-230361</v>
      </c>
      <c r="J21" s="252">
        <f>I21</f>
        <v>-230361</v>
      </c>
      <c r="K21" s="252">
        <f>J21</f>
        <v>-230361</v>
      </c>
    </row>
    <row r="22">
      <c r="A22" s="251" t="s">
        <v>30</v>
      </c>
      <c r="B22" s="143"/>
      <c r="C22" s="143"/>
      <c r="D22" s="143"/>
      <c r="E22" s="254">
        <f>EEFF!E22</f>
        <v>39807058</v>
      </c>
      <c r="F22" s="254">
        <f>EEFF!F22</f>
        <v>36942971</v>
      </c>
      <c r="G22" s="250">
        <f>G20+G21</f>
        <v>41933777.0587754</v>
      </c>
      <c r="H22" s="252">
        <f>H20+H21</f>
        <v>47457163.446977496</v>
      </c>
      <c r="I22" s="252">
        <f>I20+I21</f>
        <v>53223578.836260505</v>
      </c>
      <c r="J22" s="252">
        <f>J20+J21</f>
        <v>59243716.50267198</v>
      </c>
      <c r="K22" s="252">
        <f>K20+K21</f>
        <v>65528740.226405516</v>
      </c>
    </row>
    <row r="23">
      <c r="A23" s="146"/>
      <c r="B23" s="146"/>
      <c r="C23" s="146"/>
      <c r="D23" s="146"/>
      <c r="E23" s="146"/>
      <c r="F23" s="146"/>
      <c r="G23" s="147"/>
      <c r="H23" s="146"/>
      <c r="I23" s="146"/>
      <c r="J23" s="146"/>
      <c r="K23" s="146"/>
    </row>
    <row r="24">
      <c r="A24" s="249" t="s">
        <v>3</v>
      </c>
      <c r="B24" s="234" t="s">
        <v>4</v>
      </c>
      <c r="C24" s="234" t="s">
        <v>5</v>
      </c>
      <c r="D24" s="234" t="s">
        <v>6</v>
      </c>
      <c r="E24" s="234" t="s">
        <v>7</v>
      </c>
      <c r="F24" s="234" t="s">
        <v>8</v>
      </c>
      <c r="G24" s="256" t="s">
        <v>9</v>
      </c>
      <c r="H24" s="230" t="s">
        <v>10</v>
      </c>
      <c r="I24" s="230" t="s">
        <v>11</v>
      </c>
      <c r="J24" s="230" t="s">
        <v>12</v>
      </c>
      <c r="K24" s="230" t="s">
        <v>13</v>
      </c>
    </row>
    <row r="25">
      <c r="A25" s="249" t="s">
        <v>31</v>
      </c>
      <c r="B25" s="155"/>
      <c r="C25" s="155"/>
      <c r="D25" s="155"/>
      <c r="E25" s="155"/>
      <c r="F25" s="155"/>
      <c r="G25" s="144"/>
      <c r="H25" s="156"/>
      <c r="I25" s="156"/>
      <c r="J25" s="156"/>
      <c r="K25" s="156"/>
    </row>
    <row r="26">
      <c r="A26" s="251" t="s">
        <v>32</v>
      </c>
      <c r="B26" s="143"/>
      <c r="C26" s="143"/>
      <c r="D26" s="143"/>
      <c r="E26" s="254">
        <f>EEFF!E26</f>
        <v>1102383248</v>
      </c>
      <c r="F26" s="254">
        <f>EEFF!F26</f>
        <v>1229864857</v>
      </c>
      <c r="G26" s="250">
        <f>F26</f>
        <v>1229864857</v>
      </c>
      <c r="H26" s="252">
        <f>G26</f>
        <v>1229864857</v>
      </c>
      <c r="I26" s="252">
        <f>H26</f>
        <v>1229864857</v>
      </c>
      <c r="J26" s="252">
        <f>I26</f>
        <v>1229864857</v>
      </c>
      <c r="K26" s="252">
        <f>J26</f>
        <v>1229864857</v>
      </c>
    </row>
    <row r="27">
      <c r="A27" s="251" t="s">
        <v>33</v>
      </c>
      <c r="B27" s="143"/>
      <c r="C27" s="143"/>
      <c r="D27" s="143"/>
      <c r="E27" s="254">
        <f>EEFF!E27</f>
        <v>6636716</v>
      </c>
      <c r="F27" s="254">
        <f>EEFF!F27</f>
        <v>7488557</v>
      </c>
      <c r="G27" s="250">
        <f>F27</f>
        <v>7488557</v>
      </c>
      <c r="H27" s="252">
        <f>G27</f>
        <v>7488557</v>
      </c>
      <c r="I27" s="252">
        <f>H27</f>
        <v>7488557</v>
      </c>
      <c r="J27" s="252">
        <f>I27</f>
        <v>7488557</v>
      </c>
      <c r="K27" s="252">
        <f>J27</f>
        <v>7488557</v>
      </c>
    </row>
    <row r="28">
      <c r="A28" s="251" t="s">
        <v>34</v>
      </c>
      <c r="B28" s="143"/>
      <c r="C28" s="143"/>
      <c r="D28" s="143"/>
      <c r="E28" s="254">
        <f>EEFF!E28</f>
        <v>1435537</v>
      </c>
      <c r="F28" s="254">
        <f>EEFF!F28</f>
        <v>1231687</v>
      </c>
      <c r="G28" s="250">
        <f>F28</f>
        <v>1231687</v>
      </c>
      <c r="H28" s="252">
        <f>G28</f>
        <v>1231687</v>
      </c>
      <c r="I28" s="252">
        <f>H28</f>
        <v>1231687</v>
      </c>
      <c r="J28" s="252">
        <f>I28</f>
        <v>1231687</v>
      </c>
      <c r="K28" s="252">
        <f>J28</f>
        <v>1231687</v>
      </c>
    </row>
    <row r="29">
      <c r="A29" s="251" t="s">
        <v>35</v>
      </c>
      <c r="B29" s="143"/>
      <c r="C29" s="143"/>
      <c r="D29" s="143"/>
      <c r="E29" s="254">
        <f>EEFF!E29</f>
        <v>310903</v>
      </c>
      <c r="F29" s="254">
        <f>EEFF!F29</f>
        <v>5557215</v>
      </c>
      <c r="G29" s="250">
        <f>F29</f>
        <v>5557215</v>
      </c>
      <c r="H29" s="252">
        <f>G29</f>
        <v>5557215</v>
      </c>
      <c r="I29" s="252">
        <f>H29</f>
        <v>5557215</v>
      </c>
      <c r="J29" s="252">
        <f>I29</f>
        <v>5557215</v>
      </c>
      <c r="K29" s="252">
        <f>J29</f>
        <v>5557215</v>
      </c>
    </row>
    <row r="30">
      <c r="A30" s="241" t="s">
        <v>36</v>
      </c>
      <c r="B30" s="139"/>
      <c r="C30" s="139"/>
      <c r="D30" s="139"/>
      <c r="E30" s="148">
        <f>EEFF!E30</f>
        <v>1110766404</v>
      </c>
      <c r="F30" s="148">
        <f>EEFF!F30</f>
        <v>1244142316</v>
      </c>
      <c r="G30" s="245">
        <f>F30</f>
        <v>1244142316</v>
      </c>
      <c r="H30" s="231">
        <f>G30</f>
        <v>1244142316</v>
      </c>
      <c r="I30" s="231">
        <f>H30</f>
        <v>1244142316</v>
      </c>
      <c r="J30" s="231">
        <f>I30</f>
        <v>1244142316</v>
      </c>
      <c r="K30" s="231">
        <f>J30</f>
        <v>1244142316</v>
      </c>
    </row>
    <row r="31">
      <c r="A31" s="251" t="s">
        <v>37</v>
      </c>
      <c r="B31" s="143"/>
      <c r="C31" s="143"/>
      <c r="D31" s="143"/>
      <c r="E31" s="254">
        <f>EEFF!E31</f>
        <v>295555709</v>
      </c>
      <c r="F31" s="254">
        <f>EEFF!F31</f>
        <v>247443512</v>
      </c>
      <c r="G31" s="250">
        <f>F31</f>
        <v>247443512</v>
      </c>
      <c r="H31" s="252">
        <f>G31</f>
        <v>247443512</v>
      </c>
      <c r="I31" s="252">
        <f>H31</f>
        <v>247443512</v>
      </c>
      <c r="J31" s="252">
        <f>I31</f>
        <v>247443512</v>
      </c>
      <c r="K31" s="252">
        <f>J31</f>
        <v>247443512</v>
      </c>
    </row>
    <row r="32">
      <c r="A32" s="251" t="s">
        <v>38</v>
      </c>
      <c r="B32" s="143"/>
      <c r="C32" s="143"/>
      <c r="D32" s="143"/>
      <c r="E32" s="254">
        <f>EEFF!E32</f>
        <v>62979274</v>
      </c>
      <c r="F32" s="254">
        <f>EEFF!F32</f>
        <v>207018868</v>
      </c>
      <c r="G32" s="250">
        <f>F32</f>
        <v>207018868</v>
      </c>
      <c r="H32" s="252">
        <f>G32</f>
        <v>207018868</v>
      </c>
      <c r="I32" s="252">
        <f>H32</f>
        <v>207018868</v>
      </c>
      <c r="J32" s="252">
        <f>I32</f>
        <v>207018868</v>
      </c>
      <c r="K32" s="252">
        <f>J32</f>
        <v>207018868</v>
      </c>
    </row>
    <row r="33">
      <c r="A33" s="251" t="s">
        <v>39</v>
      </c>
      <c r="B33" s="143"/>
      <c r="C33" s="143"/>
      <c r="D33" s="143"/>
      <c r="E33" s="254">
        <f>EEFF!E33</f>
        <v>2493427</v>
      </c>
      <c r="F33" s="254">
        <f>EEFF!F33</f>
        <v>4814532</v>
      </c>
      <c r="G33" s="250">
        <f>F33</f>
        <v>4814532</v>
      </c>
      <c r="H33" s="252">
        <f>G33</f>
        <v>4814532</v>
      </c>
      <c r="I33" s="252">
        <f>H33</f>
        <v>4814532</v>
      </c>
      <c r="J33" s="252">
        <f>I33</f>
        <v>4814532</v>
      </c>
      <c r="K33" s="252">
        <f>J33</f>
        <v>4814532</v>
      </c>
    </row>
    <row r="34">
      <c r="A34" s="241" t="s">
        <v>40</v>
      </c>
      <c r="B34" s="139"/>
      <c r="C34" s="139"/>
      <c r="D34" s="139"/>
      <c r="E34" s="148">
        <f>EEFF!E34</f>
        <v>361028410</v>
      </c>
      <c r="F34" s="148">
        <f>EEFF!F34</f>
        <v>459276912</v>
      </c>
      <c r="G34" s="245">
        <f>F34</f>
        <v>459276912</v>
      </c>
      <c r="H34" s="231">
        <f>G34</f>
        <v>459276912</v>
      </c>
      <c r="I34" s="231">
        <f>H34</f>
        <v>459276912</v>
      </c>
      <c r="J34" s="231">
        <f>I34</f>
        <v>459276912</v>
      </c>
      <c r="K34" s="231">
        <f>J34</f>
        <v>459276912</v>
      </c>
    </row>
    <row r="35">
      <c r="A35" s="241" t="s">
        <v>41</v>
      </c>
      <c r="B35" s="139"/>
      <c r="C35" s="139"/>
      <c r="D35" s="139"/>
      <c r="E35" s="148">
        <f>EEFF!E35</f>
        <v>1471794814</v>
      </c>
      <c r="F35" s="148">
        <f>EEFF!F35</f>
        <v>1703419228</v>
      </c>
      <c r="G35" s="245">
        <f>F35</f>
        <v>1703419228</v>
      </c>
      <c r="H35" s="231">
        <f>G35</f>
        <v>1703419228</v>
      </c>
      <c r="I35" s="231">
        <f>H35</f>
        <v>1703419228</v>
      </c>
      <c r="J35" s="231">
        <f>I35</f>
        <v>1703419228</v>
      </c>
      <c r="K35" s="231">
        <f>J35</f>
        <v>1703419228</v>
      </c>
    </row>
    <row r="36">
      <c r="A36" s="251" t="s">
        <v>42</v>
      </c>
      <c r="B36" s="143"/>
      <c r="C36" s="143"/>
      <c r="D36" s="143"/>
      <c r="E36" s="254">
        <f>EEFF!E36</f>
        <v>504216550</v>
      </c>
      <c r="F36" s="254">
        <f>EEFF!F36</f>
        <v>827072790</v>
      </c>
      <c r="G36" s="250">
        <f>F36</f>
        <v>827072790</v>
      </c>
      <c r="H36" s="252">
        <f>G36</f>
        <v>827072790</v>
      </c>
      <c r="I36" s="252">
        <f>H36</f>
        <v>827072790</v>
      </c>
      <c r="J36" s="252">
        <f>I36</f>
        <v>827072790</v>
      </c>
      <c r="K36" s="252">
        <f>J36</f>
        <v>827072790</v>
      </c>
    </row>
    <row r="37">
      <c r="A37" s="251" t="s">
        <v>43</v>
      </c>
      <c r="B37" s="143"/>
      <c r="C37" s="143"/>
      <c r="D37" s="143"/>
      <c r="E37" s="254">
        <f>EEFF!E37</f>
        <v>0</v>
      </c>
      <c r="F37" s="254">
        <f>EEFF!F37</f>
        <v>123843760</v>
      </c>
      <c r="G37" s="250">
        <f>F37</f>
        <v>123843760</v>
      </c>
      <c r="H37" s="252">
        <f>G37</f>
        <v>123843760</v>
      </c>
      <c r="I37" s="252">
        <f>H37</f>
        <v>123843760</v>
      </c>
      <c r="J37" s="252">
        <f>I37</f>
        <v>123843760</v>
      </c>
      <c r="K37" s="252">
        <f>J37</f>
        <v>123843760</v>
      </c>
    </row>
    <row r="38">
      <c r="A38" s="251" t="s">
        <v>44</v>
      </c>
      <c r="B38" s="143"/>
      <c r="C38" s="143"/>
      <c r="D38" s="143"/>
      <c r="E38" s="254">
        <f>EEFF!E38</f>
        <v>120912500</v>
      </c>
      <c r="F38" s="254">
        <f>EEFF!F38</f>
        <v>118003559</v>
      </c>
      <c r="G38" s="250">
        <f>F38</f>
        <v>118003559</v>
      </c>
      <c r="H38" s="252">
        <f>G38</f>
        <v>118003559</v>
      </c>
      <c r="I38" s="252">
        <f>H38</f>
        <v>118003559</v>
      </c>
      <c r="J38" s="252">
        <f>I38</f>
        <v>118003559</v>
      </c>
      <c r="K38" s="252">
        <f>J38</f>
        <v>118003559</v>
      </c>
    </row>
    <row r="39">
      <c r="A39" s="251" t="s">
        <v>45</v>
      </c>
      <c r="B39" s="143"/>
      <c r="C39" s="143"/>
      <c r="D39" s="143"/>
      <c r="E39" s="254">
        <f>EEFF!E39</f>
        <v>24525903</v>
      </c>
      <c r="F39" s="254">
        <f>EEFF!F39</f>
        <v>17630265</v>
      </c>
      <c r="G39" s="250">
        <f>F39</f>
        <v>17630265</v>
      </c>
      <c r="H39" s="252">
        <f>G39</f>
        <v>17630265</v>
      </c>
      <c r="I39" s="252">
        <f>H39</f>
        <v>17630265</v>
      </c>
      <c r="J39" s="252">
        <f>I39</f>
        <v>17630265</v>
      </c>
      <c r="K39" s="252">
        <f>J39</f>
        <v>17630265</v>
      </c>
    </row>
    <row r="40">
      <c r="A40" s="251" t="s">
        <v>46</v>
      </c>
      <c r="B40" s="143"/>
      <c r="C40" s="143"/>
      <c r="D40" s="143"/>
      <c r="E40" s="254">
        <f>EEFF!E40</f>
        <v>153995</v>
      </c>
      <c r="F40" s="254">
        <f>EEFF!F40</f>
        <v>5038023</v>
      </c>
      <c r="G40" s="250">
        <f>F40</f>
        <v>5038023</v>
      </c>
      <c r="H40" s="252">
        <f>G40</f>
        <v>5038023</v>
      </c>
      <c r="I40" s="252">
        <f>H40</f>
        <v>5038023</v>
      </c>
      <c r="J40" s="252">
        <f>I40</f>
        <v>5038023</v>
      </c>
      <c r="K40" s="252">
        <f>J40</f>
        <v>5038023</v>
      </c>
    </row>
    <row r="41">
      <c r="A41" s="241" t="s">
        <v>47</v>
      </c>
      <c r="B41" s="139"/>
      <c r="C41" s="139"/>
      <c r="D41" s="139"/>
      <c r="E41" s="148">
        <f>EEFF!E41</f>
        <v>649808948</v>
      </c>
      <c r="F41" s="148">
        <f>EEFF!F41</f>
        <v>1091588397</v>
      </c>
      <c r="G41" s="245">
        <f>F41</f>
        <v>1091588397</v>
      </c>
      <c r="H41" s="231">
        <f>G41</f>
        <v>1091588397</v>
      </c>
      <c r="I41" s="231">
        <f>H41</f>
        <v>1091588397</v>
      </c>
      <c r="J41" s="231">
        <f>I41</f>
        <v>1091588397</v>
      </c>
      <c r="K41" s="231">
        <f>J41</f>
        <v>1091588397</v>
      </c>
    </row>
    <row r="42">
      <c r="A42" s="251" t="s">
        <v>48</v>
      </c>
      <c r="B42" s="143"/>
      <c r="C42" s="143"/>
      <c r="D42" s="143"/>
      <c r="E42" s="254">
        <f>EEFF!E42</f>
        <v>429069814</v>
      </c>
      <c r="F42" s="254">
        <f>EEFF!F42</f>
        <v>145337657</v>
      </c>
      <c r="G42" s="250">
        <f>F42</f>
        <v>145337657</v>
      </c>
      <c r="H42" s="252">
        <f>G42</f>
        <v>145337657</v>
      </c>
      <c r="I42" s="252">
        <f>H42</f>
        <v>145337657</v>
      </c>
      <c r="J42" s="252">
        <f>I42</f>
        <v>145337657</v>
      </c>
      <c r="K42" s="252">
        <f>J42</f>
        <v>145337657</v>
      </c>
    </row>
    <row r="43">
      <c r="A43" s="251" t="s">
        <v>49</v>
      </c>
      <c r="B43" s="143"/>
      <c r="C43" s="143"/>
      <c r="D43" s="143"/>
      <c r="E43" s="254">
        <f>EEFF!E43</f>
        <v>0</v>
      </c>
      <c r="F43" s="254">
        <f>EEFF!F43</f>
        <v>424046</v>
      </c>
      <c r="G43" s="250">
        <f>F43</f>
        <v>424046</v>
      </c>
      <c r="H43" s="252">
        <f>G43</f>
        <v>424046</v>
      </c>
      <c r="I43" s="252">
        <f>H43</f>
        <v>424046</v>
      </c>
      <c r="J43" s="252">
        <f>I43</f>
        <v>424046</v>
      </c>
      <c r="K43" s="252">
        <f>J43</f>
        <v>424046</v>
      </c>
    </row>
    <row r="44">
      <c r="A44" s="251" t="s">
        <v>50</v>
      </c>
      <c r="B44" s="143"/>
      <c r="C44" s="143"/>
      <c r="D44" s="143"/>
      <c r="E44" s="254">
        <f>EEFF!E44</f>
        <v>157765544</v>
      </c>
      <c r="F44" s="254">
        <f>EEFF!F44</f>
        <v>190098673</v>
      </c>
      <c r="G44" s="250">
        <f>F44</f>
        <v>190098673</v>
      </c>
      <c r="H44" s="252">
        <f>G44</f>
        <v>190098673</v>
      </c>
      <c r="I44" s="252">
        <f>H44</f>
        <v>190098673</v>
      </c>
      <c r="J44" s="252">
        <f>I44</f>
        <v>190098673</v>
      </c>
      <c r="K44" s="252">
        <f>J44</f>
        <v>190098673</v>
      </c>
    </row>
    <row r="45">
      <c r="A45" s="251" t="s">
        <v>51</v>
      </c>
      <c r="B45" s="143"/>
      <c r="C45" s="143"/>
      <c r="D45" s="143"/>
      <c r="E45" s="254">
        <f>EEFF!E45</f>
        <v>8359174</v>
      </c>
      <c r="F45" s="254">
        <f>EEFF!F45</f>
        <v>8271084</v>
      </c>
      <c r="G45" s="250">
        <f>F45</f>
        <v>8271084</v>
      </c>
      <c r="H45" s="252">
        <f>G45</f>
        <v>8271084</v>
      </c>
      <c r="I45" s="252">
        <f>H45</f>
        <v>8271084</v>
      </c>
      <c r="J45" s="252">
        <f>I45</f>
        <v>8271084</v>
      </c>
      <c r="K45" s="252">
        <f>J45</f>
        <v>8271084</v>
      </c>
    </row>
    <row r="46">
      <c r="A46" s="251" t="s">
        <v>52</v>
      </c>
      <c r="B46" s="143"/>
      <c r="C46" s="143"/>
      <c r="D46" s="143"/>
      <c r="E46" s="254">
        <f>EEFF!E46</f>
        <v>750000</v>
      </c>
      <c r="F46" s="254">
        <f>EEFF!F46</f>
        <v>750000</v>
      </c>
      <c r="G46" s="250">
        <f>F46</f>
        <v>750000</v>
      </c>
      <c r="H46" s="252">
        <f>G46</f>
        <v>750000</v>
      </c>
      <c r="I46" s="252">
        <f>H46</f>
        <v>750000</v>
      </c>
      <c r="J46" s="252">
        <f>I46</f>
        <v>750000</v>
      </c>
      <c r="K46" s="252">
        <f>J46</f>
        <v>750000</v>
      </c>
    </row>
    <row r="47">
      <c r="A47" s="251" t="s">
        <v>53</v>
      </c>
      <c r="B47" s="143"/>
      <c r="C47" s="143"/>
      <c r="D47" s="143"/>
      <c r="E47" s="254">
        <f>EEFF!E47</f>
        <v>670347</v>
      </c>
      <c r="F47" s="254">
        <f>EEFF!F47</f>
        <v>14942617</v>
      </c>
      <c r="G47" s="250">
        <f>F47</f>
        <v>14942617</v>
      </c>
      <c r="H47" s="252">
        <f>G47</f>
        <v>14942617</v>
      </c>
      <c r="I47" s="252">
        <f>H47</f>
        <v>14942617</v>
      </c>
      <c r="J47" s="252">
        <f>I47</f>
        <v>14942617</v>
      </c>
      <c r="K47" s="252">
        <f>J47</f>
        <v>14942617</v>
      </c>
    </row>
    <row r="48">
      <c r="A48" s="251" t="s">
        <v>46</v>
      </c>
      <c r="B48" s="143"/>
      <c r="C48" s="143"/>
      <c r="D48" s="143"/>
      <c r="E48" s="254">
        <f>EEFF!E48</f>
        <v>254137</v>
      </c>
      <c r="F48" s="254">
        <f>EEFF!F48</f>
        <v>698172</v>
      </c>
      <c r="G48" s="250">
        <f>F48</f>
        <v>698172</v>
      </c>
      <c r="H48" s="252">
        <f>G48</f>
        <v>698172</v>
      </c>
      <c r="I48" s="252">
        <f>H48</f>
        <v>698172</v>
      </c>
      <c r="J48" s="252">
        <f>I48</f>
        <v>698172</v>
      </c>
      <c r="K48" s="252">
        <f>J48</f>
        <v>698172</v>
      </c>
    </row>
    <row r="49">
      <c r="A49" s="241" t="s">
        <v>54</v>
      </c>
      <c r="B49" s="139"/>
      <c r="C49" s="139"/>
      <c r="D49" s="139"/>
      <c r="E49" s="148">
        <f>EEFF!E49</f>
        <v>596869016</v>
      </c>
      <c r="F49" s="148">
        <f>EEFF!F49</f>
        <v>360522249</v>
      </c>
      <c r="G49" s="245">
        <f>F49</f>
        <v>360522249</v>
      </c>
      <c r="H49" s="231">
        <f>G49</f>
        <v>360522249</v>
      </c>
      <c r="I49" s="231">
        <f>H49</f>
        <v>360522249</v>
      </c>
      <c r="J49" s="231">
        <f>I49</f>
        <v>360522249</v>
      </c>
      <c r="K49" s="231">
        <f>J49</f>
        <v>360522249</v>
      </c>
    </row>
    <row r="50">
      <c r="A50" s="241" t="s">
        <v>55</v>
      </c>
      <c r="B50" s="139"/>
      <c r="C50" s="139"/>
      <c r="D50" s="139"/>
      <c r="E50" s="148">
        <f>EEFF!E50</f>
        <v>1246677964</v>
      </c>
      <c r="F50" s="148">
        <f>EEFF!F50</f>
        <v>1452110646</v>
      </c>
      <c r="G50" s="245">
        <f>F50</f>
        <v>1452110646</v>
      </c>
      <c r="H50" s="231">
        <f>G50</f>
        <v>1452110646</v>
      </c>
      <c r="I50" s="231">
        <f>H50</f>
        <v>1452110646</v>
      </c>
      <c r="J50" s="231">
        <f>I50</f>
        <v>1452110646</v>
      </c>
      <c r="K50" s="231">
        <f>J50</f>
        <v>1452110646</v>
      </c>
    </row>
    <row r="51">
      <c r="A51" s="251" t="s">
        <v>56</v>
      </c>
      <c r="B51" s="143"/>
      <c r="C51" s="143"/>
      <c r="D51" s="143"/>
      <c r="E51" s="254">
        <f>EEFF!E51</f>
        <v>225116850</v>
      </c>
      <c r="F51" s="254">
        <f>EEFF!F51</f>
        <v>251308582</v>
      </c>
      <c r="G51" s="250">
        <f>F51</f>
        <v>251308582</v>
      </c>
      <c r="H51" s="252">
        <f>G51</f>
        <v>251308582</v>
      </c>
      <c r="I51" s="252">
        <f>H51</f>
        <v>251308582</v>
      </c>
      <c r="J51" s="252">
        <f>I51</f>
        <v>251308582</v>
      </c>
      <c r="K51" s="252">
        <f>J51</f>
        <v>251308582</v>
      </c>
    </row>
    <row r="52">
      <c r="A52" s="241" t="s">
        <v>57</v>
      </c>
      <c r="B52" s="139"/>
      <c r="C52" s="139"/>
      <c r="D52" s="139"/>
      <c r="E52" s="148">
        <f>EEFF!E52</f>
        <v>1471794814</v>
      </c>
      <c r="F52" s="148">
        <f>EEFF!F52</f>
        <v>1703419228</v>
      </c>
      <c r="G52" s="245">
        <f>F52</f>
        <v>1703419228</v>
      </c>
      <c r="H52" s="231">
        <f>G52</f>
        <v>1703419228</v>
      </c>
      <c r="I52" s="231">
        <f>H52</f>
        <v>1703419228</v>
      </c>
      <c r="J52" s="231">
        <f>I52</f>
        <v>1703419228</v>
      </c>
      <c r="K52" s="231">
        <f>J52</f>
        <v>1703419228</v>
      </c>
    </row>
    <row r="53">
      <c r="A53" s="146"/>
      <c r="B53" s="146"/>
      <c r="C53" s="146"/>
      <c r="D53" s="146"/>
      <c r="E53" s="146"/>
      <c r="F53" s="146"/>
      <c r="G53" s="147"/>
      <c r="H53" s="146"/>
      <c r="I53" s="146"/>
      <c r="J53" s="146"/>
      <c r="K53" s="146"/>
    </row>
    <row r="54">
      <c r="A54" s="249" t="s">
        <v>3</v>
      </c>
      <c r="B54" s="234" t="s">
        <v>4</v>
      </c>
      <c r="C54" s="234" t="s">
        <v>5</v>
      </c>
      <c r="D54" s="234" t="s">
        <v>6</v>
      </c>
      <c r="E54" s="234" t="s">
        <v>7</v>
      </c>
      <c r="F54" s="234" t="s">
        <v>8</v>
      </c>
      <c r="G54" s="256" t="s">
        <v>9</v>
      </c>
      <c r="H54" s="230" t="s">
        <v>10</v>
      </c>
      <c r="I54" s="230" t="s">
        <v>11</v>
      </c>
      <c r="J54" s="230" t="s">
        <v>12</v>
      </c>
      <c r="K54" s="230" t="s">
        <v>13</v>
      </c>
    </row>
    <row r="55">
      <c r="A55" s="249" t="s">
        <v>58</v>
      </c>
      <c r="B55" s="155"/>
      <c r="C55" s="155"/>
      <c r="D55" s="155"/>
      <c r="E55" s="155"/>
      <c r="F55" s="155"/>
      <c r="G55" s="144"/>
      <c r="H55" s="156"/>
      <c r="I55" s="156"/>
      <c r="J55" s="156"/>
      <c r="K55" s="156"/>
    </row>
    <row r="56">
      <c r="A56" s="241" t="s">
        <v>28</v>
      </c>
      <c r="B56" s="139"/>
      <c r="C56" s="139"/>
      <c r="D56" s="139"/>
      <c r="E56" s="148">
        <f>EEFF!E56</f>
        <v>39800939</v>
      </c>
      <c r="F56" s="148">
        <f>EEFF!F56</f>
        <v>37173332</v>
      </c>
      <c r="G56" s="245">
        <f>F56</f>
        <v>37173332</v>
      </c>
      <c r="H56" s="231">
        <f>G56</f>
        <v>37173332</v>
      </c>
      <c r="I56" s="231">
        <f>H56</f>
        <v>37173332</v>
      </c>
      <c r="J56" s="231">
        <f>I56</f>
        <v>37173332</v>
      </c>
      <c r="K56" s="231">
        <f>J56</f>
        <v>37173332</v>
      </c>
    </row>
    <row r="57">
      <c r="A57" s="251" t="s">
        <v>23</v>
      </c>
      <c r="B57" s="143"/>
      <c r="C57" s="143"/>
      <c r="D57" s="143"/>
      <c r="E57" s="254">
        <f>EEFF!E57</f>
        <v>76941269</v>
      </c>
      <c r="F57" s="254">
        <f>EEFF!F57</f>
        <v>73951611</v>
      </c>
      <c r="G57" s="250">
        <f>F57</f>
        <v>73951611</v>
      </c>
      <c r="H57" s="252">
        <f>G57</f>
        <v>73951611</v>
      </c>
      <c r="I57" s="252">
        <f>H57</f>
        <v>73951611</v>
      </c>
      <c r="J57" s="252">
        <f>I57</f>
        <v>73951611</v>
      </c>
      <c r="K57" s="252">
        <f>J57</f>
        <v>73951611</v>
      </c>
    </row>
    <row r="58">
      <c r="A58" s="251" t="s">
        <v>24</v>
      </c>
      <c r="B58" s="143"/>
      <c r="C58" s="143"/>
      <c r="D58" s="143"/>
      <c r="E58" s="254">
        <f>EEFF!E58</f>
        <v>-4648031</v>
      </c>
      <c r="F58" s="254">
        <f>EEFF!F58</f>
        <v>-6411378</v>
      </c>
      <c r="G58" s="250">
        <f>F58</f>
        <v>-6411378</v>
      </c>
      <c r="H58" s="252">
        <f>G58</f>
        <v>-6411378</v>
      </c>
      <c r="I58" s="252">
        <f>H58</f>
        <v>-6411378</v>
      </c>
      <c r="J58" s="252">
        <f>I58</f>
        <v>-6411378</v>
      </c>
      <c r="K58" s="252">
        <f>J58</f>
        <v>-6411378</v>
      </c>
    </row>
    <row r="59">
      <c r="A59" s="251" t="s">
        <v>59</v>
      </c>
      <c r="B59" s="143"/>
      <c r="C59" s="143"/>
      <c r="D59" s="143"/>
      <c r="E59" s="254">
        <f>EEFF!E59</f>
        <v>-1778843</v>
      </c>
      <c r="F59" s="254">
        <f>EEFF!F59</f>
        <v>-2663029</v>
      </c>
      <c r="G59" s="250">
        <f>F59</f>
        <v>-2663029</v>
      </c>
      <c r="H59" s="252">
        <f>G59</f>
        <v>-2663029</v>
      </c>
      <c r="I59" s="252">
        <f>H59</f>
        <v>-2663029</v>
      </c>
      <c r="J59" s="252">
        <f>I59</f>
        <v>-2663029</v>
      </c>
      <c r="K59" s="252">
        <f>J59</f>
        <v>-2663029</v>
      </c>
    </row>
    <row r="60">
      <c r="A60" s="251" t="s">
        <v>60</v>
      </c>
      <c r="B60" s="143"/>
      <c r="C60" s="143"/>
      <c r="D60" s="143"/>
      <c r="E60" s="254">
        <f>EEFF!E60</f>
        <v>46727986</v>
      </c>
      <c r="F60" s="254">
        <f>EEFF!F60</f>
        <v>51526696</v>
      </c>
      <c r="G60" s="250">
        <f>F60</f>
        <v>51526696</v>
      </c>
      <c r="H60" s="252">
        <f>G60</f>
        <v>51526696</v>
      </c>
      <c r="I60" s="252">
        <f>H60</f>
        <v>51526696</v>
      </c>
      <c r="J60" s="252">
        <f>I60</f>
        <v>51526696</v>
      </c>
      <c r="K60" s="252">
        <f>J60</f>
        <v>51526696</v>
      </c>
    </row>
    <row r="61">
      <c r="A61" s="251" t="s">
        <v>61</v>
      </c>
      <c r="B61" s="143"/>
      <c r="C61" s="143"/>
      <c r="D61" s="143"/>
      <c r="E61" s="254">
        <f>EEFF!E61</f>
        <v>428415</v>
      </c>
      <c r="F61" s="254">
        <f>EEFF!F61</f>
        <v>1007377</v>
      </c>
      <c r="G61" s="250">
        <f>F61</f>
        <v>1007377</v>
      </c>
      <c r="H61" s="252">
        <f>G61</f>
        <v>1007377</v>
      </c>
      <c r="I61" s="252">
        <f>H61</f>
        <v>1007377</v>
      </c>
      <c r="J61" s="252">
        <f>I61</f>
        <v>1007377</v>
      </c>
      <c r="K61" s="252">
        <f>J61</f>
        <v>1007377</v>
      </c>
    </row>
    <row r="62">
      <c r="A62" s="251" t="s">
        <v>62</v>
      </c>
      <c r="B62" s="143"/>
      <c r="C62" s="143"/>
      <c r="D62" s="143"/>
      <c r="E62" s="254">
        <f>EEFF!E62</f>
        <v>1191479</v>
      </c>
      <c r="F62" s="254">
        <f>EEFF!F62</f>
        <v>812379</v>
      </c>
      <c r="G62" s="250">
        <f>F62</f>
        <v>812379</v>
      </c>
      <c r="H62" s="252">
        <f>G62</f>
        <v>812379</v>
      </c>
      <c r="I62" s="252">
        <f>H62</f>
        <v>812379</v>
      </c>
      <c r="J62" s="252">
        <f>I62</f>
        <v>812379</v>
      </c>
      <c r="K62" s="252">
        <f>J62</f>
        <v>812379</v>
      </c>
    </row>
    <row r="63">
      <c r="A63" s="251" t="s">
        <v>63</v>
      </c>
      <c r="B63" s="143"/>
      <c r="C63" s="143"/>
      <c r="D63" s="143"/>
      <c r="E63" s="254">
        <f>EEFF!E63</f>
        <v>62157</v>
      </c>
      <c r="F63" s="254">
        <f>EEFF!F63</f>
        <v>141306</v>
      </c>
      <c r="G63" s="250">
        <f>F63</f>
        <v>141306</v>
      </c>
      <c r="H63" s="252">
        <f>G63</f>
        <v>141306</v>
      </c>
      <c r="I63" s="252">
        <f>H63</f>
        <v>141306</v>
      </c>
      <c r="J63" s="252">
        <f>I63</f>
        <v>141306</v>
      </c>
      <c r="K63" s="252">
        <f>J63</f>
        <v>141306</v>
      </c>
    </row>
    <row r="64">
      <c r="A64" s="251" t="s">
        <v>64</v>
      </c>
      <c r="B64" s="143"/>
      <c r="C64" s="143"/>
      <c r="D64" s="143"/>
      <c r="E64" s="254">
        <f>EEFF!E64</f>
        <v>13535038</v>
      </c>
      <c r="F64" s="254">
        <f>EEFF!F64</f>
        <v>8461227</v>
      </c>
      <c r="G64" s="250">
        <f>F64</f>
        <v>8461227</v>
      </c>
      <c r="H64" s="252">
        <f>G64</f>
        <v>8461227</v>
      </c>
      <c r="I64" s="252">
        <f>H64</f>
        <v>8461227</v>
      </c>
      <c r="J64" s="252">
        <f>I64</f>
        <v>8461227</v>
      </c>
      <c r="K64" s="252">
        <f>J64</f>
        <v>8461227</v>
      </c>
    </row>
    <row r="65">
      <c r="A65" s="251" t="s">
        <v>65</v>
      </c>
      <c r="B65" s="143"/>
      <c r="C65" s="143"/>
      <c r="D65" s="143"/>
      <c r="E65" s="254">
        <f>EEFF!E65</f>
        <v>2100335</v>
      </c>
      <c r="F65" s="254">
        <f>EEFF!F65</f>
        <v>121860</v>
      </c>
      <c r="G65" s="250">
        <f>F65</f>
        <v>121860</v>
      </c>
      <c r="H65" s="252">
        <f>G65</f>
        <v>121860</v>
      </c>
      <c r="I65" s="252">
        <f>H65</f>
        <v>121860</v>
      </c>
      <c r="J65" s="252">
        <f>I65</f>
        <v>121860</v>
      </c>
      <c r="K65" s="252">
        <f>J65</f>
        <v>121860</v>
      </c>
    </row>
    <row r="66">
      <c r="A66" s="251" t="s">
        <v>27</v>
      </c>
      <c r="B66" s="143"/>
      <c r="C66" s="143"/>
      <c r="D66" s="143"/>
      <c r="E66" s="254">
        <f>EEFF!E66</f>
        <v>19371019</v>
      </c>
      <c r="F66" s="254">
        <f>EEFF!F66</f>
        <v>17136520</v>
      </c>
      <c r="G66" s="250">
        <f>F66</f>
        <v>17136520</v>
      </c>
      <c r="H66" s="252">
        <f>G66</f>
        <v>17136520</v>
      </c>
      <c r="I66" s="252">
        <f>H66</f>
        <v>17136520</v>
      </c>
      <c r="J66" s="252">
        <f>I66</f>
        <v>17136520</v>
      </c>
      <c r="K66" s="252">
        <f>J66</f>
        <v>17136520</v>
      </c>
    </row>
    <row r="67">
      <c r="A67" s="241" t="s">
        <v>25</v>
      </c>
      <c r="B67" s="139"/>
      <c r="C67" s="139"/>
      <c r="D67" s="139"/>
      <c r="E67" s="148">
        <f>EEFF!E67</f>
        <v>-318727</v>
      </c>
      <c r="F67" s="148">
        <f>EEFF!F67</f>
        <v>-995436</v>
      </c>
      <c r="G67" s="245">
        <f>F67</f>
        <v>-995436</v>
      </c>
      <c r="H67" s="231">
        <f>G67</f>
        <v>-995436</v>
      </c>
      <c r="I67" s="231">
        <f>H67</f>
        <v>-995436</v>
      </c>
      <c r="J67" s="231">
        <f>I67</f>
        <v>-995436</v>
      </c>
      <c r="K67" s="231">
        <f>J67</f>
        <v>-995436</v>
      </c>
    </row>
    <row r="68">
      <c r="A68" s="251" t="s">
        <v>37</v>
      </c>
      <c r="B68" s="143"/>
      <c r="C68" s="143"/>
      <c r="D68" s="143"/>
      <c r="E68" s="254">
        <f>EEFF!E68</f>
        <v>-64604860</v>
      </c>
      <c r="F68" s="254">
        <f>EEFF!F68</f>
        <v>39650970</v>
      </c>
      <c r="G68" s="250">
        <f>F68</f>
        <v>39650970</v>
      </c>
      <c r="H68" s="252">
        <f>G68</f>
        <v>39650970</v>
      </c>
      <c r="I68" s="252">
        <f>H68</f>
        <v>39650970</v>
      </c>
      <c r="J68" s="252">
        <f>I68</f>
        <v>39650970</v>
      </c>
      <c r="K68" s="252">
        <f>J68</f>
        <v>39650970</v>
      </c>
    </row>
    <row r="69">
      <c r="A69" s="251" t="s">
        <v>66</v>
      </c>
      <c r="B69" s="143"/>
      <c r="C69" s="143"/>
      <c r="D69" s="143"/>
      <c r="E69" s="254">
        <f>EEFF!E69</f>
        <v>-720992</v>
      </c>
      <c r="F69" s="254">
        <f>EEFF!F69</f>
        <v>-2628464</v>
      </c>
      <c r="G69" s="250">
        <f>F69</f>
        <v>-2628464</v>
      </c>
      <c r="H69" s="252">
        <f>G69</f>
        <v>-2628464</v>
      </c>
      <c r="I69" s="252">
        <f>H69</f>
        <v>-2628464</v>
      </c>
      <c r="J69" s="252">
        <f>I69</f>
        <v>-2628464</v>
      </c>
      <c r="K69" s="252">
        <f>J69</f>
        <v>-2628464</v>
      </c>
    </row>
    <row r="70">
      <c r="A70" s="251" t="s">
        <v>50</v>
      </c>
      <c r="B70" s="143"/>
      <c r="C70" s="143"/>
      <c r="D70" s="143"/>
      <c r="E70" s="254">
        <f>EEFF!E70</f>
        <v>19210166</v>
      </c>
      <c r="F70" s="254">
        <f>EEFF!F70</f>
        <v>28827833</v>
      </c>
      <c r="G70" s="250">
        <f>F70</f>
        <v>28827833</v>
      </c>
      <c r="H70" s="252">
        <f>G70</f>
        <v>28827833</v>
      </c>
      <c r="I70" s="252">
        <f>H70</f>
        <v>28827833</v>
      </c>
      <c r="J70" s="252">
        <f>I70</f>
        <v>28827833</v>
      </c>
      <c r="K70" s="252">
        <f>J70</f>
        <v>28827833</v>
      </c>
    </row>
    <row r="71">
      <c r="A71" s="251" t="s">
        <v>67</v>
      </c>
      <c r="B71" s="143"/>
      <c r="C71" s="143"/>
      <c r="D71" s="143"/>
      <c r="E71" s="254">
        <f>EEFF!E71</f>
        <v>709807</v>
      </c>
      <c r="F71" s="254">
        <f>EEFF!F71</f>
        <v>292724</v>
      </c>
      <c r="G71" s="250">
        <f>F71</f>
        <v>292724</v>
      </c>
      <c r="H71" s="252">
        <f>G71</f>
        <v>292724</v>
      </c>
      <c r="I71" s="252">
        <f>H71</f>
        <v>292724</v>
      </c>
      <c r="J71" s="252">
        <f>I71</f>
        <v>292724</v>
      </c>
      <c r="K71" s="252">
        <f>J71</f>
        <v>292724</v>
      </c>
    </row>
    <row r="72">
      <c r="A72" s="241" t="s">
        <v>68</v>
      </c>
      <c r="B72" s="139"/>
      <c r="C72" s="139"/>
      <c r="D72" s="139"/>
      <c r="E72" s="148">
        <f>EEFF!E72</f>
        <v>148007157</v>
      </c>
      <c r="F72" s="148">
        <f>EEFF!F72</f>
        <v>246405528</v>
      </c>
      <c r="G72" s="245">
        <f>F72</f>
        <v>246405528</v>
      </c>
      <c r="H72" s="231">
        <f>G72</f>
        <v>246405528</v>
      </c>
      <c r="I72" s="231">
        <f>H72</f>
        <v>246405528</v>
      </c>
      <c r="J72" s="231">
        <f>I72</f>
        <v>246405528</v>
      </c>
      <c r="K72" s="231">
        <f>J72</f>
        <v>246405528</v>
      </c>
    </row>
    <row r="73">
      <c r="A73" s="251" t="s">
        <v>69</v>
      </c>
      <c r="B73" s="143"/>
      <c r="C73" s="143"/>
      <c r="D73" s="143"/>
      <c r="E73" s="254">
        <f>EEFF!E73</f>
        <v>4648034</v>
      </c>
      <c r="F73" s="254">
        <f>EEFF!F73</f>
        <v>6411378</v>
      </c>
      <c r="G73" s="250">
        <f>F73</f>
        <v>6411378</v>
      </c>
      <c r="H73" s="252">
        <f>G73</f>
        <v>6411378</v>
      </c>
      <c r="I73" s="252">
        <f>H73</f>
        <v>6411378</v>
      </c>
      <c r="J73" s="252">
        <f>I73</f>
        <v>6411378</v>
      </c>
      <c r="K73" s="252">
        <f>J73</f>
        <v>6411378</v>
      </c>
    </row>
    <row r="74">
      <c r="A74" s="251" t="s">
        <v>70</v>
      </c>
      <c r="B74" s="143"/>
      <c r="C74" s="143"/>
      <c r="D74" s="143"/>
      <c r="E74" s="254">
        <f>EEFF!E74</f>
        <v>-6697482</v>
      </c>
      <c r="F74" s="254">
        <f>EEFF!F74</f>
        <v>-9759888</v>
      </c>
      <c r="G74" s="250">
        <f>F74</f>
        <v>-9759888</v>
      </c>
      <c r="H74" s="252">
        <f>G74</f>
        <v>-9759888</v>
      </c>
      <c r="I74" s="252">
        <f>H74</f>
        <v>-9759888</v>
      </c>
      <c r="J74" s="252">
        <f>I74</f>
        <v>-9759888</v>
      </c>
      <c r="K74" s="252">
        <f>J74</f>
        <v>-9759888</v>
      </c>
    </row>
    <row r="75">
      <c r="A75" s="241" t="s">
        <v>71</v>
      </c>
      <c r="B75" s="139"/>
      <c r="C75" s="139"/>
      <c r="D75" s="139"/>
      <c r="E75" s="148">
        <f>EEFF!E75</f>
        <v>145957709</v>
      </c>
      <c r="F75" s="148">
        <f>EEFF!F75</f>
        <v>243057018</v>
      </c>
      <c r="G75" s="245">
        <f>F75</f>
        <v>243057018</v>
      </c>
      <c r="H75" s="231">
        <f>G75</f>
        <v>243057018</v>
      </c>
      <c r="I75" s="231">
        <f>H75</f>
        <v>243057018</v>
      </c>
      <c r="J75" s="231">
        <f>I75</f>
        <v>243057018</v>
      </c>
      <c r="K75" s="231">
        <f>J75</f>
        <v>243057018</v>
      </c>
    </row>
    <row r="76">
      <c r="A76" s="251" t="s">
        <v>72</v>
      </c>
      <c r="B76" s="143"/>
      <c r="C76" s="143"/>
      <c r="D76" s="143"/>
      <c r="E76" s="254">
        <f>EEFF!E76</f>
        <v>-121066785</v>
      </c>
      <c r="F76" s="254">
        <f>EEFF!F76</f>
        <v>-179149611</v>
      </c>
      <c r="G76" s="250">
        <f>F76</f>
        <v>-179149611</v>
      </c>
      <c r="H76" s="252">
        <f>G76</f>
        <v>-179149611</v>
      </c>
      <c r="I76" s="252">
        <f>H76</f>
        <v>-179149611</v>
      </c>
      <c r="J76" s="252">
        <f>I76</f>
        <v>-179149611</v>
      </c>
      <c r="K76" s="252">
        <f>J76</f>
        <v>-179149611</v>
      </c>
    </row>
    <row r="77">
      <c r="A77" s="251" t="s">
        <v>73</v>
      </c>
      <c r="B77" s="143"/>
      <c r="C77" s="143"/>
      <c r="D77" s="143"/>
      <c r="E77" s="254">
        <f>EEFF!E77</f>
        <v>-604998</v>
      </c>
      <c r="F77" s="254">
        <f>EEFF!F77</f>
        <v>-608529</v>
      </c>
      <c r="G77" s="250">
        <f>F77</f>
        <v>-608529</v>
      </c>
      <c r="H77" s="252">
        <f>G77</f>
        <v>-608529</v>
      </c>
      <c r="I77" s="252">
        <f>H77</f>
        <v>-608529</v>
      </c>
      <c r="J77" s="252">
        <f>I77</f>
        <v>-608529</v>
      </c>
      <c r="K77" s="252">
        <f>J77</f>
        <v>-608529</v>
      </c>
    </row>
    <row r="78">
      <c r="A78" s="241" t="s">
        <v>74</v>
      </c>
      <c r="B78" s="139"/>
      <c r="C78" s="139"/>
      <c r="D78" s="139"/>
      <c r="E78" s="148">
        <f>EEFF!E78</f>
        <v>146504</v>
      </c>
      <c r="F78" s="148">
        <f>EEFF!F78</f>
        <v>-544482</v>
      </c>
      <c r="G78" s="245">
        <f>F78</f>
        <v>-544482</v>
      </c>
      <c r="H78" s="231">
        <f>G78</f>
        <v>-544482</v>
      </c>
      <c r="I78" s="231">
        <f>H78</f>
        <v>-544482</v>
      </c>
      <c r="J78" s="231">
        <f>I78</f>
        <v>-544482</v>
      </c>
      <c r="K78" s="231">
        <f>J78</f>
        <v>-544482</v>
      </c>
    </row>
    <row r="79">
      <c r="A79" s="241" t="s">
        <v>75</v>
      </c>
      <c r="B79" s="139"/>
      <c r="C79" s="139"/>
      <c r="D79" s="139"/>
      <c r="E79" s="148">
        <f>EEFF!E79</f>
        <v>-121525279</v>
      </c>
      <c r="F79" s="148">
        <f>EEFF!F79</f>
        <v>-180302622</v>
      </c>
      <c r="G79" s="245">
        <f>F79</f>
        <v>-180302622</v>
      </c>
      <c r="H79" s="231">
        <f>G79</f>
        <v>-180302622</v>
      </c>
      <c r="I79" s="231">
        <f>H79</f>
        <v>-180302622</v>
      </c>
      <c r="J79" s="231">
        <f>I79</f>
        <v>-180302622</v>
      </c>
      <c r="K79" s="231">
        <f>J79</f>
        <v>-180302622</v>
      </c>
    </row>
    <row r="80">
      <c r="A80" s="251" t="s">
        <v>76</v>
      </c>
      <c r="B80" s="143"/>
      <c r="C80" s="143"/>
      <c r="D80" s="143"/>
      <c r="E80" s="254">
        <f>EEFF!E80</f>
        <v>-469071611</v>
      </c>
      <c r="F80" s="254">
        <f>EEFF!F80</f>
        <v>-495046445</v>
      </c>
      <c r="G80" s="250">
        <f>F80</f>
        <v>-495046445</v>
      </c>
      <c r="H80" s="252">
        <f>G80</f>
        <v>-495046445</v>
      </c>
      <c r="I80" s="252">
        <f>H80</f>
        <v>-495046445</v>
      </c>
      <c r="J80" s="252">
        <f>I80</f>
        <v>-495046445</v>
      </c>
      <c r="K80" s="252">
        <f>J80</f>
        <v>-495046445</v>
      </c>
    </row>
    <row r="81">
      <c r="A81" s="251" t="s">
        <v>77</v>
      </c>
      <c r="B81" s="143"/>
      <c r="C81" s="143"/>
      <c r="D81" s="143"/>
      <c r="E81" s="254">
        <f>EEFF!E81</f>
        <v>589173940</v>
      </c>
      <c r="F81" s="254">
        <f>EEFF!F81</f>
        <v>535436240</v>
      </c>
      <c r="G81" s="250">
        <f>F81</f>
        <v>535436240</v>
      </c>
      <c r="H81" s="252">
        <f>G81</f>
        <v>535436240</v>
      </c>
      <c r="I81" s="252">
        <f>H81</f>
        <v>535436240</v>
      </c>
      <c r="J81" s="252">
        <f>I81</f>
        <v>535436240</v>
      </c>
      <c r="K81" s="252">
        <f>J81</f>
        <v>535436240</v>
      </c>
    </row>
    <row r="82">
      <c r="A82" s="251" t="s">
        <v>78</v>
      </c>
      <c r="B82" s="143"/>
      <c r="C82" s="143"/>
      <c r="D82" s="143"/>
      <c r="E82" s="254">
        <f>EEFF!E82</f>
        <v>0</v>
      </c>
      <c r="F82" s="254">
        <f>EEFF!F82</f>
        <v>125000000</v>
      </c>
      <c r="G82" s="250">
        <f>F82</f>
        <v>125000000</v>
      </c>
      <c r="H82" s="252">
        <f>G82</f>
        <v>125000000</v>
      </c>
      <c r="I82" s="252">
        <f>H82</f>
        <v>125000000</v>
      </c>
      <c r="J82" s="252">
        <f>I82</f>
        <v>125000000</v>
      </c>
      <c r="K82" s="252">
        <f>J82</f>
        <v>125000000</v>
      </c>
    </row>
    <row r="83">
      <c r="A83" s="251" t="s">
        <v>79</v>
      </c>
      <c r="B83" s="143"/>
      <c r="C83" s="143"/>
      <c r="D83" s="143"/>
      <c r="E83" s="254">
        <f>EEFF!E83</f>
        <v>0</v>
      </c>
      <c r="F83" s="254">
        <f>EEFF!F83</f>
        <v>-1156240</v>
      </c>
      <c r="G83" s="250">
        <f>F83</f>
        <v>-1156240</v>
      </c>
      <c r="H83" s="252">
        <f>G83</f>
        <v>-1156240</v>
      </c>
      <c r="I83" s="252">
        <f>H83</f>
        <v>-1156240</v>
      </c>
      <c r="J83" s="252">
        <f>I83</f>
        <v>-1156240</v>
      </c>
      <c r="K83" s="252">
        <f>J83</f>
        <v>-1156240</v>
      </c>
    </row>
    <row r="84">
      <c r="A84" s="251" t="s">
        <v>80</v>
      </c>
      <c r="B84" s="143"/>
      <c r="C84" s="143"/>
      <c r="D84" s="143"/>
      <c r="E84" s="254">
        <f>EEFF!E84</f>
        <v>-72488290</v>
      </c>
      <c r="F84" s="254">
        <f>EEFF!F84</f>
        <v>-71287981</v>
      </c>
      <c r="G84" s="250">
        <f>F84</f>
        <v>-71287981</v>
      </c>
      <c r="H84" s="252">
        <f>G84</f>
        <v>-71287981</v>
      </c>
      <c r="I84" s="252">
        <f>H84</f>
        <v>-71287981</v>
      </c>
      <c r="J84" s="252">
        <f>I84</f>
        <v>-71287981</v>
      </c>
      <c r="K84" s="252">
        <f>J84</f>
        <v>-71287981</v>
      </c>
    </row>
    <row r="85">
      <c r="A85" s="251" t="s">
        <v>81</v>
      </c>
      <c r="B85" s="143"/>
      <c r="C85" s="143"/>
      <c r="D85" s="143"/>
      <c r="E85" s="254">
        <f>EEFF!E85</f>
        <v>-443586</v>
      </c>
      <c r="F85" s="254">
        <f>EEFF!F85</f>
        <v>-925626</v>
      </c>
      <c r="G85" s="250">
        <f>F85</f>
        <v>-925626</v>
      </c>
      <c r="H85" s="252">
        <f>G85</f>
        <v>-925626</v>
      </c>
      <c r="I85" s="252">
        <f>H85</f>
        <v>-925626</v>
      </c>
      <c r="J85" s="252">
        <f>I85</f>
        <v>-925626</v>
      </c>
      <c r="K85" s="252">
        <f>J85</f>
        <v>-925626</v>
      </c>
    </row>
    <row r="86">
      <c r="A86" s="251" t="s">
        <v>82</v>
      </c>
      <c r="B86" s="143"/>
      <c r="C86" s="143"/>
      <c r="D86" s="143"/>
      <c r="E86" s="254">
        <f>EEFF!E86</f>
        <v>-773167</v>
      </c>
      <c r="F86" s="254">
        <f>EEFF!F86</f>
        <v>-436764</v>
      </c>
      <c r="G86" s="250">
        <f>F86</f>
        <v>-436764</v>
      </c>
      <c r="H86" s="252">
        <f>G86</f>
        <v>-436764</v>
      </c>
      <c r="I86" s="252">
        <f>H86</f>
        <v>-436764</v>
      </c>
      <c r="J86" s="252">
        <f>I86</f>
        <v>-436764</v>
      </c>
      <c r="K86" s="252">
        <f>J86</f>
        <v>-436764</v>
      </c>
    </row>
    <row r="87">
      <c r="A87" s="251" t="s">
        <v>83</v>
      </c>
      <c r="B87" s="143"/>
      <c r="C87" s="143"/>
      <c r="D87" s="143"/>
      <c r="E87" s="254">
        <f>EEFF!E87</f>
        <v>-22078082</v>
      </c>
      <c r="F87" s="254">
        <f>EEFF!F87</f>
        <v>-10297986</v>
      </c>
      <c r="G87" s="250">
        <f>F87</f>
        <v>-10297986</v>
      </c>
      <c r="H87" s="252">
        <f>G87</f>
        <v>-10297986</v>
      </c>
      <c r="I87" s="252">
        <f>H87</f>
        <v>-10297986</v>
      </c>
      <c r="J87" s="252">
        <f>I87</f>
        <v>-10297986</v>
      </c>
      <c r="K87" s="252">
        <f>J87</f>
        <v>-10297986</v>
      </c>
    </row>
    <row r="88">
      <c r="A88" s="241" t="s">
        <v>84</v>
      </c>
      <c r="B88" s="139"/>
      <c r="C88" s="139"/>
      <c r="D88" s="139"/>
      <c r="E88" s="148">
        <f>EEFF!E88</f>
        <v>24319204</v>
      </c>
      <c r="F88" s="148">
        <f>EEFF!F88</f>
        <v>81285198</v>
      </c>
      <c r="G88" s="245">
        <f>F88</f>
        <v>81285198</v>
      </c>
      <c r="H88" s="231">
        <f>G88</f>
        <v>81285198</v>
      </c>
      <c r="I88" s="231">
        <f>H88</f>
        <v>81285198</v>
      </c>
      <c r="J88" s="231">
        <f>I88</f>
        <v>81285198</v>
      </c>
      <c r="K88" s="231">
        <f>J88</f>
        <v>81285198</v>
      </c>
    </row>
    <row r="89">
      <c r="A89" s="241" t="s">
        <v>85</v>
      </c>
      <c r="B89" s="139"/>
      <c r="C89" s="139"/>
      <c r="D89" s="139"/>
      <c r="E89" s="148">
        <f>EEFF!E89</f>
        <v>48751634</v>
      </c>
      <c r="F89" s="148">
        <f>EEFF!F89</f>
        <v>144039594</v>
      </c>
      <c r="G89" s="245">
        <f>F89</f>
        <v>144039594</v>
      </c>
      <c r="H89" s="231">
        <f>G89</f>
        <v>144039594</v>
      </c>
      <c r="I89" s="231">
        <f>H89</f>
        <v>144039594</v>
      </c>
      <c r="J89" s="231">
        <f>I89</f>
        <v>144039594</v>
      </c>
      <c r="K89" s="231">
        <f>J89</f>
        <v>144039594</v>
      </c>
    </row>
    <row r="90">
      <c r="A90" s="251" t="s">
        <v>86</v>
      </c>
      <c r="B90" s="143"/>
      <c r="C90" s="143"/>
      <c r="D90" s="143"/>
      <c r="E90" s="254">
        <f>EEFF!E90</f>
        <v>14227640</v>
      </c>
      <c r="F90" s="254">
        <f>EEFF!F90</f>
        <v>62979274</v>
      </c>
      <c r="G90" s="250">
        <f>F90</f>
        <v>62979274</v>
      </c>
      <c r="H90" s="252">
        <f>G90</f>
        <v>62979274</v>
      </c>
      <c r="I90" s="252">
        <f>H90</f>
        <v>62979274</v>
      </c>
      <c r="J90" s="252">
        <f>I90</f>
        <v>62979274</v>
      </c>
      <c r="K90" s="252">
        <f>J90</f>
        <v>62979274</v>
      </c>
    </row>
    <row r="91">
      <c r="A91" s="251" t="s">
        <v>87</v>
      </c>
      <c r="B91" s="143"/>
      <c r="C91" s="143"/>
      <c r="D91" s="143"/>
      <c r="E91" s="254">
        <f>EEFF!E91</f>
        <v>62979274</v>
      </c>
      <c r="F91" s="254">
        <f>EEFF!F91</f>
        <v>207018868</v>
      </c>
      <c r="G91" s="250">
        <f>F91</f>
        <v>207018868</v>
      </c>
      <c r="H91" s="252">
        <f>G91</f>
        <v>207018868</v>
      </c>
      <c r="I91" s="252">
        <f>H91</f>
        <v>207018868</v>
      </c>
      <c r="J91" s="252">
        <f>I91</f>
        <v>207018868</v>
      </c>
      <c r="K91" s="252">
        <f>J91</f>
        <v>207018868</v>
      </c>
    </row>
    <row r="92">
      <c r="A92" s="146"/>
      <c r="B92" s="146"/>
      <c r="C92" s="146"/>
      <c r="D92" s="146"/>
      <c r="E92" s="146"/>
      <c r="F92" s="146"/>
      <c r="G92" s="147"/>
      <c r="H92" s="146"/>
      <c r="I92" s="146"/>
      <c r="J92" s="146"/>
      <c r="K92" s="146"/>
    </row>
  </sheetData>
</worksheet>
</file>

<file path=xl/worksheets/sheet5.xml><?xml version="1.0" encoding="utf-8"?>
<worksheet xmlns="http://schemas.openxmlformats.org/spreadsheetml/2006/main" xmlns:r="http://schemas.openxmlformats.org/officeDocument/2006/relationships">
  <dimension ref="A1:K20"/>
  <sheetViews>
    <sheetView showGridLines="0" workbookViewId="0"/>
  </sheetViews>
  <sheetFormatPr defaultColWidth="8.375" defaultRowHeight="15"/>
  <cols>
    <col min="1" max="1" width="46.875" customWidth="1"/>
    <col min="2" max="11" width="13.125" customWidth="1"/>
  </cols>
  <sheetData>
    <row r="1">
      <c r="A1" s="249" t="s">
        <v>0</v>
      </c>
      <c r="B1" s="234"/>
      <c r="C1" s="234"/>
      <c r="D1" s="234"/>
      <c r="E1" s="234"/>
      <c r="F1" s="234"/>
      <c r="G1" s="242"/>
      <c r="H1" s="230"/>
      <c r="I1" s="230"/>
      <c r="J1" s="230"/>
      <c r="K1" s="230"/>
    </row>
    <row r="2">
      <c r="A2" s="251" t="s">
        <v>616</v>
      </c>
      <c r="G2" s="240"/>
    </row>
    <row r="3">
      <c r="A3" s="251" t="s">
        <v>617</v>
      </c>
      <c r="G3" s="240"/>
    </row>
    <row r="4">
      <c r="A4" s="229"/>
      <c r="B4" s="229"/>
      <c r="C4" s="229"/>
      <c r="D4" s="229"/>
      <c r="E4" s="229"/>
      <c r="F4" s="229"/>
      <c r="G4" s="240"/>
      <c r="H4" s="229"/>
      <c r="I4" s="229"/>
      <c r="J4" s="229"/>
      <c r="K4" s="229"/>
    </row>
    <row r="5">
      <c r="A5" s="249" t="s">
        <v>3</v>
      </c>
      <c r="B5" s="234" t="s">
        <v>4</v>
      </c>
      <c r="C5" s="234" t="s">
        <v>5</v>
      </c>
      <c r="D5" s="234" t="s">
        <v>6</v>
      </c>
      <c r="E5" s="234" t="s">
        <v>7</v>
      </c>
      <c r="F5" s="234" t="s">
        <v>8</v>
      </c>
      <c r="G5" s="256" t="s">
        <v>9</v>
      </c>
      <c r="H5" s="230" t="s">
        <v>10</v>
      </c>
      <c r="I5" s="230" t="s">
        <v>11</v>
      </c>
      <c r="J5" s="230" t="s">
        <v>12</v>
      </c>
      <c r="K5" s="230" t="s">
        <v>13</v>
      </c>
    </row>
    <row r="6">
      <c r="A6" s="229"/>
      <c r="B6" s="229"/>
      <c r="C6" s="229"/>
      <c r="D6" s="229"/>
      <c r="E6" s="229"/>
      <c r="F6" s="229"/>
      <c r="G6" s="240"/>
      <c r="H6" s="229"/>
      <c r="I6" s="229"/>
      <c r="J6" s="229"/>
      <c r="K6" s="229"/>
    </row>
    <row r="7">
      <c r="A7" s="249" t="s">
        <v>618</v>
      </c>
      <c r="B7" s="239"/>
      <c r="C7" s="239"/>
      <c r="D7" s="239"/>
      <c r="E7" s="239"/>
      <c r="F7" s="239"/>
      <c r="G7" s="236"/>
      <c r="H7" s="232"/>
      <c r="I7" s="232"/>
      <c r="J7" s="232"/>
      <c r="K7" s="232"/>
    </row>
    <row r="8">
      <c r="A8" s="251" t="s">
        <v>619</v>
      </c>
      <c r="B8" s="254">
        <f>ModeloFinanciero!B26</f>
        <v>0</v>
      </c>
      <c r="C8" s="254">
        <f>ModeloFinanciero!C26</f>
        <v>0</v>
      </c>
      <c r="D8" s="254">
        <f>ModeloFinanciero!D26</f>
        <v>0</v>
      </c>
      <c r="E8" s="254">
        <f>EEFF!E26</f>
        <v>1102383248</v>
      </c>
      <c r="F8" s="254">
        <f>EEFF!F26</f>
        <v>1229864857</v>
      </c>
      <c r="G8" s="258">
        <f>ModeloFinanciero!G26</f>
        <v>1229864857</v>
      </c>
      <c r="H8" s="254">
        <f>ModeloFinanciero!H26</f>
        <v>1229864857</v>
      </c>
      <c r="I8" s="254">
        <f>ModeloFinanciero!I26</f>
        <v>1229864857</v>
      </c>
      <c r="J8" s="254">
        <f>ModeloFinanciero!J26</f>
        <v>1229864857</v>
      </c>
      <c r="K8" s="254">
        <f>ModeloFinanciero!K26</f>
        <v>1229864857</v>
      </c>
    </row>
    <row r="9">
      <c r="A9" s="229"/>
      <c r="B9" s="229"/>
      <c r="C9" s="229"/>
      <c r="D9" s="229"/>
      <c r="E9" s="229"/>
      <c r="F9" s="229"/>
      <c r="G9" s="240"/>
      <c r="H9" s="229"/>
      <c r="I9" s="229"/>
      <c r="J9" s="229"/>
      <c r="K9" s="229"/>
    </row>
    <row r="10">
      <c r="A10" s="249" t="s">
        <v>620</v>
      </c>
      <c r="B10" s="239"/>
      <c r="C10" s="239"/>
      <c r="D10" s="239"/>
      <c r="E10" s="239"/>
      <c r="F10" s="239"/>
      <c r="G10" s="236"/>
      <c r="H10" s="232"/>
      <c r="I10" s="232"/>
      <c r="J10" s="232"/>
      <c r="K10" s="232"/>
    </row>
    <row r="11">
      <c r="A11" s="251" t="s">
        <v>621</v>
      </c>
      <c r="B11" s="237"/>
      <c r="C11" s="252">
        <f>B8</f>
        <v>0</v>
      </c>
      <c r="D11" s="252">
        <f>C8</f>
        <v>0</v>
      </c>
      <c r="E11" s="252">
        <f>D8</f>
        <v>0</v>
      </c>
      <c r="F11" s="252">
        <f>E8</f>
        <v>1102383248</v>
      </c>
      <c r="G11" s="250">
        <f>F8</f>
        <v>1229864857</v>
      </c>
      <c r="H11" s="252">
        <f>G8</f>
        <v>1229864857</v>
      </c>
      <c r="I11" s="252">
        <f>H8</f>
        <v>1229864857</v>
      </c>
      <c r="J11" s="252">
        <f>I8</f>
        <v>1229864857</v>
      </c>
      <c r="K11" s="252">
        <f>J8</f>
        <v>1229864857</v>
      </c>
    </row>
    <row r="12">
      <c r="A12" s="251" t="s">
        <v>622</v>
      </c>
      <c r="B12" s="254">
        <f>ModeloFinanciero!B76</f>
        <v>0</v>
      </c>
      <c r="C12" s="254">
        <f>ModeloFinanciero!C76</f>
        <v>0</v>
      </c>
      <c r="D12" s="254">
        <f>ModeloFinanciero!D76</f>
        <v>0</v>
      </c>
      <c r="E12" s="254">
        <f>EEFF!E76</f>
        <v>-121066785</v>
      </c>
      <c r="F12" s="254">
        <f>EEFF!F76</f>
        <v>-179149611</v>
      </c>
      <c r="G12" s="258">
        <f>ModeloFinanciero!G76</f>
        <v>-179149611</v>
      </c>
      <c r="H12" s="254">
        <f>ModeloFinanciero!H76</f>
        <v>-179149611</v>
      </c>
      <c r="I12" s="254">
        <f>ModeloFinanciero!I76</f>
        <v>-179149611</v>
      </c>
      <c r="J12" s="254">
        <f>ModeloFinanciero!J76</f>
        <v>-179149611</v>
      </c>
      <c r="K12" s="254">
        <f>ModeloFinanciero!K76</f>
        <v>-179149611</v>
      </c>
    </row>
    <row r="13">
      <c r="A13" s="251" t="s">
        <v>623</v>
      </c>
      <c r="B13" s="254">
        <f>ModeloFinanciero!B60</f>
        <v>0</v>
      </c>
      <c r="C13" s="254">
        <f>ModeloFinanciero!C60</f>
        <v>0</v>
      </c>
      <c r="D13" s="254">
        <f>ModeloFinanciero!D60</f>
        <v>0</v>
      </c>
      <c r="E13" s="254">
        <f>EEFF!E60</f>
        <v>46727986</v>
      </c>
      <c r="F13" s="254">
        <f>EEFF!F60</f>
        <v>51526696</v>
      </c>
      <c r="G13" s="258">
        <f>ModeloFinanciero!G60</f>
        <v>51526696</v>
      </c>
      <c r="H13" s="254">
        <f>ModeloFinanciero!H60</f>
        <v>51526696</v>
      </c>
      <c r="I13" s="254">
        <f>ModeloFinanciero!I60</f>
        <v>51526696</v>
      </c>
      <c r="J13" s="254">
        <f>ModeloFinanciero!J60</f>
        <v>51526696</v>
      </c>
      <c r="K13" s="254">
        <f>ModeloFinanciero!K60</f>
        <v>51526696</v>
      </c>
    </row>
    <row r="14">
      <c r="A14" s="229"/>
      <c r="B14" s="229"/>
      <c r="C14" s="229"/>
      <c r="D14" s="229"/>
      <c r="E14" s="229"/>
      <c r="F14" s="229"/>
      <c r="G14" s="240"/>
      <c r="H14" s="229"/>
      <c r="I14" s="229"/>
      <c r="J14" s="229"/>
      <c r="K14" s="229"/>
    </row>
    <row r="15">
      <c r="A15" s="251" t="s">
        <v>624</v>
      </c>
      <c r="G15" s="240"/>
    </row>
    <row r="16">
      <c r="A16" s="229"/>
      <c r="B16" s="229"/>
      <c r="C16" s="229"/>
      <c r="D16" s="229"/>
      <c r="E16" s="229"/>
      <c r="F16" s="229"/>
      <c r="G16" s="240"/>
      <c r="H16" s="229"/>
      <c r="I16" s="229"/>
      <c r="J16" s="229"/>
      <c r="K16" s="229"/>
    </row>
    <row r="17">
      <c r="A17" s="241" t="s">
        <v>625</v>
      </c>
      <c r="B17" s="231"/>
      <c r="C17" s="231">
        <f>C11-C12-C13</f>
        <v>0</v>
      </c>
      <c r="D17" s="231">
        <f>D11-D12-D13</f>
        <v>0</v>
      </c>
      <c r="E17" s="231">
        <f>E11-E12-E13</f>
        <v>74338799</v>
      </c>
      <c r="F17" s="231">
        <f>F11-F12-F13</f>
        <v>1230006163</v>
      </c>
      <c r="G17" s="245">
        <f>G11-G12-G13</f>
        <v>1357487772</v>
      </c>
      <c r="H17" s="231">
        <f>H11-H12-H13</f>
        <v>1357487772</v>
      </c>
      <c r="I17" s="231">
        <f>I11-I12-I13</f>
        <v>1357487772</v>
      </c>
      <c r="J17" s="231">
        <f>J11-J12-J13</f>
        <v>1357487772</v>
      </c>
      <c r="K17" s="231">
        <f>K11-K12-K13</f>
        <v>1357487772</v>
      </c>
    </row>
    <row r="18">
      <c r="A18" s="229"/>
      <c r="B18" s="229"/>
      <c r="C18" s="229"/>
      <c r="D18" s="229"/>
      <c r="E18" s="229"/>
      <c r="F18" s="229"/>
      <c r="G18" s="240"/>
      <c r="H18" s="229"/>
      <c r="I18" s="229"/>
      <c r="J18" s="229"/>
      <c r="K18" s="229"/>
    </row>
    <row r="19">
      <c r="A19" s="249" t="s">
        <v>626</v>
      </c>
      <c r="B19" s="239"/>
      <c r="C19" s="239"/>
      <c r="D19" s="239"/>
      <c r="E19" s="239"/>
      <c r="F19" s="239"/>
      <c r="G19" s="236"/>
      <c r="H19" s="232"/>
      <c r="I19" s="232"/>
      <c r="J19" s="232"/>
      <c r="K19" s="232"/>
    </row>
    <row r="20">
      <c r="A20" s="251" t="s">
        <v>627</v>
      </c>
      <c r="B20" s="237"/>
      <c r="C20" s="252">
        <f>C17-C8</f>
        <v>0</v>
      </c>
      <c r="D20" s="252">
        <f>D17-D8</f>
        <v>0</v>
      </c>
      <c r="E20" s="252">
        <f>E17-E8</f>
        <v>-1028044449</v>
      </c>
      <c r="F20" s="252">
        <f>F17-F8</f>
        <v>141306</v>
      </c>
      <c r="G20" s="250">
        <f>G17-G8</f>
        <v>127622915</v>
      </c>
      <c r="H20" s="252">
        <f>H17-H8</f>
        <v>127622915</v>
      </c>
      <c r="I20" s="252">
        <f>I17-I8</f>
        <v>127622915</v>
      </c>
      <c r="J20" s="252">
        <f>J17-J8</f>
        <v>127622915</v>
      </c>
      <c r="K20" s="252">
        <f>K17-K8</f>
        <v>127622915</v>
      </c>
    </row>
  </sheetData>
</worksheet>
</file>

<file path=xl/worksheets/sheet6.xml><?xml version="1.0" encoding="utf-8"?>
<worksheet xmlns="http://schemas.openxmlformats.org/spreadsheetml/2006/main" xmlns:r="http://schemas.openxmlformats.org/officeDocument/2006/relationships">
  <dimension ref="A1:K16"/>
  <sheetViews>
    <sheetView showGridLines="0" workbookViewId="0"/>
  </sheetViews>
  <sheetFormatPr defaultColWidth="8.375" defaultRowHeight="15"/>
  <cols>
    <col min="1" max="1" width="46.875" customWidth="1"/>
    <col min="2" max="11" width="13.125" customWidth="1"/>
  </cols>
  <sheetData>
    <row r="1">
      <c r="A1" s="249" t="s">
        <v>0</v>
      </c>
      <c r="B1" s="234"/>
      <c r="C1" s="234"/>
      <c r="D1" s="234"/>
      <c r="E1" s="234"/>
      <c r="F1" s="234"/>
      <c r="G1" s="242"/>
      <c r="H1" s="230"/>
      <c r="I1" s="230"/>
      <c r="J1" s="230"/>
      <c r="K1" s="230"/>
    </row>
    <row r="2">
      <c r="A2" s="251" t="s">
        <v>628</v>
      </c>
      <c r="G2" s="240"/>
    </row>
    <row r="3">
      <c r="A3" s="251" t="s">
        <v>629</v>
      </c>
      <c r="G3" s="240"/>
    </row>
    <row r="4">
      <c r="A4" s="229"/>
      <c r="B4" s="229"/>
      <c r="C4" s="229"/>
      <c r="D4" s="229"/>
      <c r="E4" s="229"/>
      <c r="F4" s="229"/>
      <c r="G4" s="240"/>
      <c r="H4" s="229"/>
      <c r="I4" s="229"/>
      <c r="J4" s="229"/>
      <c r="K4" s="229"/>
    </row>
    <row r="5">
      <c r="A5" s="249" t="s">
        <v>3</v>
      </c>
      <c r="B5" s="234" t="s">
        <v>4</v>
      </c>
      <c r="C5" s="234" t="s">
        <v>5</v>
      </c>
      <c r="D5" s="234" t="s">
        <v>6</v>
      </c>
      <c r="E5" s="234" t="s">
        <v>7</v>
      </c>
      <c r="F5" s="234" t="s">
        <v>8</v>
      </c>
      <c r="G5" s="256" t="s">
        <v>9</v>
      </c>
      <c r="H5" s="230" t="s">
        <v>10</v>
      </c>
      <c r="I5" s="230" t="s">
        <v>11</v>
      </c>
      <c r="J5" s="230" t="s">
        <v>12</v>
      </c>
      <c r="K5" s="230" t="s">
        <v>13</v>
      </c>
    </row>
    <row r="6">
      <c r="A6" s="229"/>
      <c r="B6" s="229"/>
      <c r="C6" s="229"/>
      <c r="D6" s="229"/>
      <c r="E6" s="229"/>
      <c r="F6" s="229"/>
      <c r="G6" s="240"/>
      <c r="H6" s="229"/>
      <c r="I6" s="229"/>
      <c r="J6" s="229"/>
      <c r="K6" s="229"/>
    </row>
    <row r="7">
      <c r="A7" s="249" t="s">
        <v>630</v>
      </c>
      <c r="B7" s="239"/>
      <c r="C7" s="239"/>
      <c r="D7" s="239"/>
      <c r="E7" s="239"/>
      <c r="F7" s="239"/>
      <c r="G7" s="236"/>
      <c r="H7" s="232"/>
      <c r="I7" s="232"/>
      <c r="J7" s="232"/>
      <c r="K7" s="232"/>
    </row>
    <row r="8">
      <c r="A8" s="251" t="s">
        <v>631</v>
      </c>
      <c r="B8" s="254">
        <f>ModeloFinanciero!B28</f>
        <v>0</v>
      </c>
      <c r="C8" s="254">
        <f>ModeloFinanciero!C28</f>
        <v>0</v>
      </c>
      <c r="D8" s="254">
        <f>ModeloFinanciero!D28</f>
        <v>0</v>
      </c>
      <c r="E8" s="254">
        <f>EEFF!E28</f>
        <v>1435537</v>
      </c>
      <c r="F8" s="254">
        <f>EEFF!F28</f>
        <v>1231687</v>
      </c>
      <c r="G8" s="258">
        <f>ModeloFinanciero!G28</f>
        <v>1231687</v>
      </c>
      <c r="H8" s="254">
        <f>ModeloFinanciero!H28</f>
        <v>1231687</v>
      </c>
      <c r="I8" s="254">
        <f>ModeloFinanciero!I28</f>
        <v>1231687</v>
      </c>
      <c r="J8" s="254">
        <f>ModeloFinanciero!J28</f>
        <v>1231687</v>
      </c>
      <c r="K8" s="254">
        <f>ModeloFinanciero!K28</f>
        <v>1231687</v>
      </c>
    </row>
    <row r="9">
      <c r="A9" s="229"/>
      <c r="B9" s="229"/>
      <c r="C9" s="229"/>
      <c r="D9" s="229"/>
      <c r="E9" s="229"/>
      <c r="F9" s="229"/>
      <c r="G9" s="240"/>
      <c r="H9" s="229"/>
      <c r="I9" s="229"/>
      <c r="J9" s="229"/>
      <c r="K9" s="229"/>
    </row>
    <row r="10">
      <c r="A10" s="251" t="s">
        <v>632</v>
      </c>
      <c r="B10" s="237"/>
      <c r="C10" s="252">
        <f>B8</f>
        <v>0</v>
      </c>
      <c r="D10" s="252">
        <f>C8</f>
        <v>0</v>
      </c>
      <c r="E10" s="252">
        <f>D8</f>
        <v>0</v>
      </c>
      <c r="F10" s="252">
        <f>E8</f>
        <v>1435537</v>
      </c>
      <c r="G10" s="250">
        <f>F8</f>
        <v>1231687</v>
      </c>
      <c r="H10" s="252">
        <f>G8</f>
        <v>1231687</v>
      </c>
      <c r="I10" s="252">
        <f>H8</f>
        <v>1231687</v>
      </c>
      <c r="J10" s="252">
        <f>I8</f>
        <v>1231687</v>
      </c>
      <c r="K10" s="252">
        <f>J8</f>
        <v>1231687</v>
      </c>
    </row>
    <row r="11">
      <c r="A11" s="251" t="s">
        <v>633</v>
      </c>
      <c r="B11" s="254">
        <f>ModeloFinanciero!B77</f>
        <v>0</v>
      </c>
      <c r="C11" s="254">
        <f>ModeloFinanciero!C77</f>
        <v>0</v>
      </c>
      <c r="D11" s="254">
        <f>ModeloFinanciero!D77</f>
        <v>0</v>
      </c>
      <c r="E11" s="254">
        <f>EEFF!E77</f>
        <v>-604998</v>
      </c>
      <c r="F11" s="254">
        <f>EEFF!F77</f>
        <v>-608529</v>
      </c>
      <c r="G11" s="258">
        <f>ModeloFinanciero!G77</f>
        <v>-608529</v>
      </c>
      <c r="H11" s="254">
        <f>ModeloFinanciero!H77</f>
        <v>-608529</v>
      </c>
      <c r="I11" s="254">
        <f>ModeloFinanciero!I77</f>
        <v>-608529</v>
      </c>
      <c r="J11" s="254">
        <f>ModeloFinanciero!J77</f>
        <v>-608529</v>
      </c>
      <c r="K11" s="254">
        <f>ModeloFinanciero!K77</f>
        <v>-608529</v>
      </c>
    </row>
    <row r="12">
      <c r="A12" s="251" t="s">
        <v>634</v>
      </c>
      <c r="B12" s="254">
        <f>ModeloFinanciero!B62</f>
        <v>0</v>
      </c>
      <c r="C12" s="254">
        <f>ModeloFinanciero!C62</f>
        <v>0</v>
      </c>
      <c r="D12" s="254">
        <f>ModeloFinanciero!D62</f>
        <v>0</v>
      </c>
      <c r="E12" s="254">
        <f>EEFF!E62</f>
        <v>1191479</v>
      </c>
      <c r="F12" s="254">
        <f>EEFF!F62</f>
        <v>812379</v>
      </c>
      <c r="G12" s="258">
        <f>ModeloFinanciero!G62</f>
        <v>812379</v>
      </c>
      <c r="H12" s="254">
        <f>ModeloFinanciero!H62</f>
        <v>812379</v>
      </c>
      <c r="I12" s="254">
        <f>ModeloFinanciero!I62</f>
        <v>812379</v>
      </c>
      <c r="J12" s="254">
        <f>ModeloFinanciero!J62</f>
        <v>812379</v>
      </c>
      <c r="K12" s="254">
        <f>ModeloFinanciero!K62</f>
        <v>812379</v>
      </c>
    </row>
    <row r="13">
      <c r="A13" s="241" t="s">
        <v>635</v>
      </c>
      <c r="B13" s="231"/>
      <c r="C13" s="231">
        <f>C10-C11-C12</f>
        <v>0</v>
      </c>
      <c r="D13" s="231">
        <f>D10-D11-D12</f>
        <v>0</v>
      </c>
      <c r="E13" s="231">
        <f>E10-E11-E12</f>
        <v>-586481</v>
      </c>
      <c r="F13" s="231">
        <f>F10-F11-F12</f>
        <v>1231687</v>
      </c>
      <c r="G13" s="245">
        <f>G10-G11-G12</f>
        <v>1027837</v>
      </c>
      <c r="H13" s="231">
        <f>H10-H11-H12</f>
        <v>1027837</v>
      </c>
      <c r="I13" s="231">
        <f>I10-I11-I12</f>
        <v>1027837</v>
      </c>
      <c r="J13" s="231">
        <f>J10-J11-J12</f>
        <v>1027837</v>
      </c>
      <c r="K13" s="231">
        <f>K10-K11-K12</f>
        <v>1027837</v>
      </c>
    </row>
    <row r="14">
      <c r="A14" s="229"/>
      <c r="B14" s="229"/>
      <c r="C14" s="229"/>
      <c r="D14" s="229"/>
      <c r="E14" s="229"/>
      <c r="F14" s="229"/>
      <c r="G14" s="240"/>
      <c r="H14" s="229"/>
      <c r="I14" s="229"/>
      <c r="J14" s="229"/>
      <c r="K14" s="229"/>
    </row>
    <row r="15">
      <c r="A15" s="249" t="s">
        <v>636</v>
      </c>
      <c r="B15" s="239"/>
      <c r="C15" s="239"/>
      <c r="D15" s="239"/>
      <c r="E15" s="239"/>
      <c r="F15" s="239"/>
      <c r="G15" s="236"/>
      <c r="H15" s="232"/>
      <c r="I15" s="232"/>
      <c r="J15" s="232"/>
      <c r="K15" s="232"/>
    </row>
    <row r="16">
      <c r="A16" s="251" t="s">
        <v>637</v>
      </c>
      <c r="B16" s="237"/>
      <c r="C16" s="252">
        <f>C13-C8</f>
        <v>0</v>
      </c>
      <c r="D16" s="252">
        <f>D13-D8</f>
        <v>0</v>
      </c>
      <c r="E16" s="252">
        <f>E13-E8</f>
        <v>-2022018</v>
      </c>
      <c r="F16" s="252">
        <f>F13-F8</f>
        <v>0</v>
      </c>
      <c r="G16" s="250">
        <f>G13-G8</f>
        <v>-203850</v>
      </c>
      <c r="H16" s="252">
        <f>H13-H8</f>
        <v>-203850</v>
      </c>
      <c r="I16" s="252">
        <f>I13-I8</f>
        <v>-203850</v>
      </c>
      <c r="J16" s="252">
        <f>J13-J8</f>
        <v>-203850</v>
      </c>
      <c r="K16" s="252">
        <f>K13-K8</f>
        <v>-203850</v>
      </c>
    </row>
  </sheetData>
</worksheet>
</file>

<file path=xl/worksheets/sheet7.xml><?xml version="1.0" encoding="utf-8"?>
<worksheet xmlns="http://schemas.openxmlformats.org/spreadsheetml/2006/main" xmlns:r="http://schemas.openxmlformats.org/officeDocument/2006/relationships">
  <dimension ref="A1:K30"/>
  <sheetViews>
    <sheetView showGridLines="0" workbookViewId="0"/>
  </sheetViews>
  <sheetFormatPr defaultColWidth="8.375" defaultRowHeight="15"/>
  <cols>
    <col min="1" max="1" width="46.875" customWidth="1"/>
    <col min="2" max="11" width="13.125" customWidth="1"/>
  </cols>
  <sheetData>
    <row r="1">
      <c r="A1" s="249" t="s">
        <v>0</v>
      </c>
      <c r="B1" s="234"/>
      <c r="C1" s="234"/>
      <c r="D1" s="234"/>
      <c r="E1" s="234"/>
      <c r="F1" s="234"/>
      <c r="G1" s="242"/>
      <c r="H1" s="230"/>
      <c r="I1" s="230"/>
      <c r="J1" s="230"/>
      <c r="K1" s="230"/>
    </row>
    <row r="2">
      <c r="A2" s="251" t="s">
        <v>638</v>
      </c>
      <c r="G2" s="240"/>
    </row>
    <row r="3">
      <c r="A3" s="251" t="s">
        <v>639</v>
      </c>
      <c r="G3" s="240"/>
    </row>
    <row r="4">
      <c r="A4" s="229"/>
      <c r="B4" s="229"/>
      <c r="C4" s="229"/>
      <c r="D4" s="229"/>
      <c r="E4" s="229"/>
      <c r="F4" s="229"/>
      <c r="G4" s="240"/>
      <c r="H4" s="229"/>
      <c r="I4" s="229"/>
      <c r="J4" s="229"/>
      <c r="K4" s="229"/>
    </row>
    <row r="5">
      <c r="A5" s="249" t="s">
        <v>3</v>
      </c>
      <c r="B5" s="234" t="s">
        <v>4</v>
      </c>
      <c r="C5" s="234" t="s">
        <v>5</v>
      </c>
      <c r="D5" s="234" t="s">
        <v>6</v>
      </c>
      <c r="E5" s="234" t="s">
        <v>7</v>
      </c>
      <c r="F5" s="234" t="s">
        <v>8</v>
      </c>
      <c r="G5" s="256" t="s">
        <v>9</v>
      </c>
      <c r="H5" s="230" t="s">
        <v>10</v>
      </c>
      <c r="I5" s="230" t="s">
        <v>11</v>
      </c>
      <c r="J5" s="230" t="s">
        <v>12</v>
      </c>
      <c r="K5" s="230" t="s">
        <v>13</v>
      </c>
    </row>
    <row r="6">
      <c r="A6" s="229"/>
      <c r="B6" s="229"/>
      <c r="C6" s="229"/>
      <c r="D6" s="229"/>
      <c r="E6" s="229"/>
      <c r="F6" s="229"/>
      <c r="G6" s="240"/>
      <c r="H6" s="229"/>
      <c r="I6" s="229"/>
      <c r="J6" s="229"/>
      <c r="K6" s="229"/>
    </row>
    <row r="7">
      <c r="A7" s="249" t="s">
        <v>640</v>
      </c>
      <c r="B7" s="239"/>
      <c r="C7" s="239"/>
      <c r="D7" s="239"/>
      <c r="E7" s="239"/>
      <c r="F7" s="239"/>
      <c r="G7" s="236"/>
      <c r="H7" s="232"/>
      <c r="I7" s="232"/>
      <c r="J7" s="232"/>
      <c r="K7" s="232"/>
    </row>
    <row r="8">
      <c r="A8" s="251" t="s">
        <v>641</v>
      </c>
      <c r="B8" s="254">
        <f>ModeloFinanciero!B29</f>
        <v>0</v>
      </c>
      <c r="C8" s="254">
        <f>ModeloFinanciero!C29</f>
        <v>0</v>
      </c>
      <c r="D8" s="254">
        <f>ModeloFinanciero!D29</f>
        <v>0</v>
      </c>
      <c r="E8" s="254">
        <f>EEFF!E29</f>
        <v>310903</v>
      </c>
      <c r="F8" s="254">
        <f>EEFF!F29</f>
        <v>5557215</v>
      </c>
      <c r="G8" s="258">
        <f>ModeloFinanciero!G29</f>
        <v>5557215</v>
      </c>
      <c r="H8" s="254">
        <f>ModeloFinanciero!H29</f>
        <v>5557215</v>
      </c>
      <c r="I8" s="254">
        <f>ModeloFinanciero!I29</f>
        <v>5557215</v>
      </c>
      <c r="J8" s="254">
        <f>ModeloFinanciero!J29</f>
        <v>5557215</v>
      </c>
      <c r="K8" s="254">
        <f>ModeloFinanciero!K29</f>
        <v>5557215</v>
      </c>
    </row>
    <row r="9">
      <c r="A9" s="229"/>
      <c r="B9" s="229"/>
      <c r="C9" s="229"/>
      <c r="D9" s="229"/>
      <c r="E9" s="229"/>
      <c r="F9" s="229"/>
      <c r="G9" s="240"/>
      <c r="H9" s="229"/>
      <c r="I9" s="229"/>
      <c r="J9" s="229"/>
      <c r="K9" s="229"/>
    </row>
    <row r="10">
      <c r="A10" s="251" t="s">
        <v>642</v>
      </c>
      <c r="B10" s="237"/>
      <c r="C10" s="252">
        <f>B8</f>
        <v>0</v>
      </c>
      <c r="D10" s="252">
        <f>C8</f>
        <v>0</v>
      </c>
      <c r="E10" s="252">
        <f>D8</f>
        <v>0</v>
      </c>
      <c r="F10" s="252">
        <f>E8</f>
        <v>310903</v>
      </c>
      <c r="G10" s="250">
        <f>F8</f>
        <v>5557215</v>
      </c>
      <c r="H10" s="252">
        <f>G8</f>
        <v>5557215</v>
      </c>
      <c r="I10" s="252">
        <f>H8</f>
        <v>5557215</v>
      </c>
      <c r="J10" s="252">
        <f>I8</f>
        <v>5557215</v>
      </c>
      <c r="K10" s="252">
        <f>J8</f>
        <v>5557215</v>
      </c>
    </row>
    <row r="11">
      <c r="A11" s="229"/>
      <c r="B11" s="229"/>
      <c r="C11" s="229"/>
      <c r="D11" s="229"/>
      <c r="E11" s="229"/>
      <c r="F11" s="229"/>
      <c r="G11" s="240"/>
      <c r="H11" s="229"/>
      <c r="I11" s="229"/>
      <c r="J11" s="229"/>
      <c r="K11" s="229"/>
    </row>
    <row r="12">
      <c r="A12" s="251" t="s">
        <v>643</v>
      </c>
      <c r="G12" s="240"/>
    </row>
    <row r="13">
      <c r="A13" s="251" t="s">
        <v>644</v>
      </c>
      <c r="B13" s="254">
        <f>ModeloFinanciero!B61</f>
        <v>0</v>
      </c>
      <c r="C13" s="254">
        <f>ModeloFinanciero!C61</f>
        <v>0</v>
      </c>
      <c r="D13" s="254">
        <f>ModeloFinanciero!D61</f>
        <v>0</v>
      </c>
      <c r="E13" s="254">
        <f>EEFF!E61</f>
        <v>428415</v>
      </c>
      <c r="F13" s="254">
        <f>EEFF!F61</f>
        <v>1007377</v>
      </c>
      <c r="G13" s="258">
        <f>ModeloFinanciero!G61</f>
        <v>1007377</v>
      </c>
      <c r="H13" s="254">
        <f>ModeloFinanciero!H61</f>
        <v>1007377</v>
      </c>
      <c r="I13" s="254">
        <f>ModeloFinanciero!I61</f>
        <v>1007377</v>
      </c>
      <c r="J13" s="254">
        <f>ModeloFinanciero!J61</f>
        <v>1007377</v>
      </c>
      <c r="K13" s="254">
        <f>ModeloFinanciero!K61</f>
        <v>1007377</v>
      </c>
    </row>
    <row r="14">
      <c r="A14" s="241" t="s">
        <v>645</v>
      </c>
      <c r="B14" s="231"/>
      <c r="C14" s="231">
        <f>C10-C13</f>
        <v>0</v>
      </c>
      <c r="D14" s="231">
        <f>D10-D13</f>
        <v>0</v>
      </c>
      <c r="E14" s="231">
        <f>E10-E13</f>
        <v>-428415</v>
      </c>
      <c r="F14" s="231">
        <f>F10-F13</f>
        <v>-696474</v>
      </c>
      <c r="G14" s="245">
        <f>G10-G13</f>
        <v>4549838</v>
      </c>
      <c r="H14" s="231">
        <f>H10-H13</f>
        <v>4549838</v>
      </c>
      <c r="I14" s="231">
        <f>I10-I13</f>
        <v>4549838</v>
      </c>
      <c r="J14" s="231">
        <f>J10-J13</f>
        <v>4549838</v>
      </c>
      <c r="K14" s="231">
        <f>K10-K13</f>
        <v>4549838</v>
      </c>
    </row>
    <row r="15">
      <c r="A15" s="251" t="s">
        <v>646</v>
      </c>
      <c r="B15" s="237"/>
      <c r="C15" s="252">
        <f>C14-C8</f>
        <v>0</v>
      </c>
      <c r="D15" s="252">
        <f>D14-D8</f>
        <v>0</v>
      </c>
      <c r="E15" s="252">
        <f>E14-E8</f>
        <v>-739318</v>
      </c>
      <c r="F15" s="252">
        <f>F14-F8</f>
        <v>-6253689</v>
      </c>
      <c r="G15" s="250">
        <f>G14-G8</f>
        <v>-1007377</v>
      </c>
      <c r="H15" s="252">
        <f>H14-H8</f>
        <v>-1007377</v>
      </c>
      <c r="I15" s="252">
        <f>I14-I8</f>
        <v>-1007377</v>
      </c>
      <c r="J15" s="252">
        <f>J14-J8</f>
        <v>-1007377</v>
      </c>
      <c r="K15" s="252">
        <f>K14-K8</f>
        <v>-1007377</v>
      </c>
    </row>
    <row r="16">
      <c r="A16" s="229"/>
      <c r="B16" s="229"/>
      <c r="C16" s="229"/>
      <c r="D16" s="229"/>
      <c r="E16" s="229"/>
      <c r="F16" s="229"/>
      <c r="G16" s="240"/>
      <c r="H16" s="229"/>
      <c r="I16" s="229"/>
      <c r="J16" s="229"/>
      <c r="K16" s="229"/>
    </row>
    <row r="17">
      <c r="A17" s="249" t="s">
        <v>647</v>
      </c>
      <c r="B17" s="239"/>
      <c r="C17" s="239"/>
      <c r="D17" s="239"/>
      <c r="E17" s="239"/>
      <c r="F17" s="239"/>
      <c r="G17" s="236"/>
      <c r="H17" s="232"/>
      <c r="I17" s="232"/>
      <c r="J17" s="232"/>
      <c r="K17" s="232"/>
    </row>
    <row r="18">
      <c r="A18" s="251" t="s">
        <v>648</v>
      </c>
      <c r="B18" s="254">
        <f>ModeloFinanciero!B40</f>
        <v>0</v>
      </c>
      <c r="C18" s="254">
        <f>ModeloFinanciero!C40</f>
        <v>0</v>
      </c>
      <c r="D18" s="254">
        <f>ModeloFinanciero!D40</f>
        <v>0</v>
      </c>
      <c r="E18" s="254">
        <f>EEFF!E40</f>
        <v>153995</v>
      </c>
      <c r="F18" s="254">
        <f>EEFF!F40</f>
        <v>5038023</v>
      </c>
      <c r="G18" s="258">
        <f>ModeloFinanciero!G40</f>
        <v>5038023</v>
      </c>
      <c r="H18" s="254">
        <f>ModeloFinanciero!H40</f>
        <v>5038023</v>
      </c>
      <c r="I18" s="254">
        <f>ModeloFinanciero!I40</f>
        <v>5038023</v>
      </c>
      <c r="J18" s="254">
        <f>ModeloFinanciero!J40</f>
        <v>5038023</v>
      </c>
      <c r="K18" s="254">
        <f>ModeloFinanciero!K40</f>
        <v>5038023</v>
      </c>
    </row>
    <row r="19">
      <c r="A19" s="251" t="s">
        <v>649</v>
      </c>
      <c r="B19" s="254">
        <f>ModeloFinanciero!B48</f>
        <v>0</v>
      </c>
      <c r="C19" s="254">
        <f>ModeloFinanciero!C48</f>
        <v>0</v>
      </c>
      <c r="D19" s="254">
        <f>ModeloFinanciero!D48</f>
        <v>0</v>
      </c>
      <c r="E19" s="254">
        <f>EEFF!E48</f>
        <v>254137</v>
      </c>
      <c r="F19" s="254">
        <f>EEFF!F48</f>
        <v>698172</v>
      </c>
      <c r="G19" s="258">
        <f>ModeloFinanciero!G48</f>
        <v>698172</v>
      </c>
      <c r="H19" s="254">
        <f>ModeloFinanciero!H48</f>
        <v>698172</v>
      </c>
      <c r="I19" s="254">
        <f>ModeloFinanciero!I48</f>
        <v>698172</v>
      </c>
      <c r="J19" s="254">
        <f>ModeloFinanciero!J48</f>
        <v>698172</v>
      </c>
      <c r="K19" s="254">
        <f>ModeloFinanciero!K48</f>
        <v>698172</v>
      </c>
    </row>
    <row r="20">
      <c r="A20" s="241" t="s">
        <v>650</v>
      </c>
      <c r="B20" s="231">
        <f>B18+B19</f>
        <v>0</v>
      </c>
      <c r="C20" s="231">
        <f>C18+C19</f>
        <v>0</v>
      </c>
      <c r="D20" s="231">
        <f>D18+D19</f>
        <v>0</v>
      </c>
      <c r="E20" s="231">
        <f>E18+E19</f>
        <v>408132</v>
      </c>
      <c r="F20" s="231">
        <f>F18+F19</f>
        <v>5736195</v>
      </c>
      <c r="G20" s="245">
        <f>G18+G19</f>
        <v>5736195</v>
      </c>
      <c r="H20" s="231">
        <f>H18+H19</f>
        <v>5736195</v>
      </c>
      <c r="I20" s="231">
        <f>I18+I19</f>
        <v>5736195</v>
      </c>
      <c r="J20" s="231">
        <f>J18+J19</f>
        <v>5736195</v>
      </c>
      <c r="K20" s="231">
        <f>K18+K19</f>
        <v>5736195</v>
      </c>
    </row>
    <row r="21">
      <c r="A21" s="229"/>
      <c r="B21" s="229"/>
      <c r="C21" s="229"/>
      <c r="D21" s="229"/>
      <c r="E21" s="229"/>
      <c r="F21" s="229"/>
      <c r="G21" s="240"/>
      <c r="H21" s="229"/>
      <c r="I21" s="229"/>
      <c r="J21" s="229"/>
      <c r="K21" s="229"/>
    </row>
    <row r="22">
      <c r="A22" s="251" t="s">
        <v>651</v>
      </c>
      <c r="B22" s="237"/>
      <c r="C22" s="252">
        <f>B20</f>
        <v>0</v>
      </c>
      <c r="D22" s="252">
        <f>C20</f>
        <v>0</v>
      </c>
      <c r="E22" s="252">
        <f>D20</f>
        <v>0</v>
      </c>
      <c r="F22" s="252">
        <f>E20</f>
        <v>408132</v>
      </c>
      <c r="G22" s="250">
        <f>F20</f>
        <v>5736195</v>
      </c>
      <c r="H22" s="252">
        <f>G20</f>
        <v>5736195</v>
      </c>
      <c r="I22" s="252">
        <f>H20</f>
        <v>5736195</v>
      </c>
      <c r="J22" s="252">
        <f>I20</f>
        <v>5736195</v>
      </c>
      <c r="K22" s="252">
        <f>J20</f>
        <v>5736195</v>
      </c>
    </row>
    <row r="23">
      <c r="A23" s="229"/>
      <c r="B23" s="229"/>
      <c r="C23" s="229"/>
      <c r="D23" s="229"/>
      <c r="E23" s="229"/>
      <c r="F23" s="229"/>
      <c r="G23" s="240"/>
      <c r="H23" s="229"/>
      <c r="I23" s="229"/>
      <c r="J23" s="229"/>
      <c r="K23" s="229"/>
    </row>
    <row r="24">
      <c r="A24" s="251" t="s">
        <v>652</v>
      </c>
      <c r="G24" s="240"/>
    </row>
    <row r="25">
      <c r="A25" s="251" t="s">
        <v>653</v>
      </c>
      <c r="G25" s="240"/>
    </row>
    <row r="26">
      <c r="A26" s="241" t="s">
        <v>654</v>
      </c>
      <c r="B26" s="231"/>
      <c r="C26" s="231">
        <f>C22</f>
        <v>0</v>
      </c>
      <c r="D26" s="231">
        <f>D22</f>
        <v>0</v>
      </c>
      <c r="E26" s="231">
        <f>E22</f>
        <v>0</v>
      </c>
      <c r="F26" s="231">
        <f>F22</f>
        <v>408132</v>
      </c>
      <c r="G26" s="245">
        <f>G22</f>
        <v>5736195</v>
      </c>
      <c r="H26" s="231">
        <f>H22</f>
        <v>5736195</v>
      </c>
      <c r="I26" s="231">
        <f>I22</f>
        <v>5736195</v>
      </c>
      <c r="J26" s="231">
        <f>J22</f>
        <v>5736195</v>
      </c>
      <c r="K26" s="231">
        <f>K22</f>
        <v>5736195</v>
      </c>
    </row>
    <row r="27">
      <c r="A27" s="251" t="s">
        <v>655</v>
      </c>
      <c r="B27" s="237"/>
      <c r="C27" s="252">
        <f>C26-C20</f>
        <v>0</v>
      </c>
      <c r="D27" s="252">
        <f>D26-D20</f>
        <v>0</v>
      </c>
      <c r="E27" s="252">
        <f>E26-E20</f>
        <v>-408132</v>
      </c>
      <c r="F27" s="252">
        <f>F26-F20</f>
        <v>-5328063</v>
      </c>
      <c r="G27" s="250">
        <f>G26-G20</f>
        <v>0</v>
      </c>
      <c r="H27" s="252">
        <f>H26-H20</f>
        <v>0</v>
      </c>
      <c r="I27" s="252">
        <f>I26-I20</f>
        <v>0</v>
      </c>
      <c r="J27" s="252">
        <f>J26-J20</f>
        <v>0</v>
      </c>
      <c r="K27" s="252">
        <f>K26-K20</f>
        <v>0</v>
      </c>
    </row>
    <row r="28">
      <c r="A28" s="229"/>
      <c r="B28" s="229"/>
      <c r="C28" s="229"/>
      <c r="D28" s="229"/>
      <c r="E28" s="229"/>
      <c r="F28" s="229"/>
      <c r="G28" s="240"/>
      <c r="H28" s="229"/>
      <c r="I28" s="229"/>
      <c r="J28" s="229"/>
      <c r="K28" s="229"/>
    </row>
    <row r="29">
      <c r="A29" s="249" t="s">
        <v>656</v>
      </c>
      <c r="B29" s="239"/>
      <c r="C29" s="239"/>
      <c r="D29" s="239"/>
      <c r="E29" s="239"/>
      <c r="F29" s="239"/>
      <c r="G29" s="236"/>
      <c r="H29" s="232"/>
      <c r="I29" s="232"/>
      <c r="J29" s="232"/>
      <c r="K29" s="232"/>
    </row>
    <row r="30">
      <c r="A30" s="241" t="s">
        <v>657</v>
      </c>
      <c r="B30" s="231">
        <f>B8-B20</f>
        <v>0</v>
      </c>
      <c r="C30" s="231">
        <f>C8-C20</f>
        <v>0</v>
      </c>
      <c r="D30" s="231">
        <f>D8-D20</f>
        <v>0</v>
      </c>
      <c r="E30" s="231">
        <f>E8-E20</f>
        <v>-97229</v>
      </c>
      <c r="F30" s="231">
        <f>F8-F20</f>
        <v>-178980</v>
      </c>
      <c r="G30" s="245">
        <f>G8-G20</f>
        <v>-178980</v>
      </c>
      <c r="H30" s="231">
        <f>H8-H20</f>
        <v>-178980</v>
      </c>
      <c r="I30" s="231">
        <f>I8-I20</f>
        <v>-178980</v>
      </c>
      <c r="J30" s="231">
        <f>J8-J20</f>
        <v>-178980</v>
      </c>
      <c r="K30" s="231">
        <f>K8-K20</f>
        <v>-178980</v>
      </c>
    </row>
  </sheetData>
</worksheet>
</file>

<file path=xl/worksheets/sheet8.xml><?xml version="1.0" encoding="utf-8"?>
<worksheet xmlns="http://schemas.openxmlformats.org/spreadsheetml/2006/main" xmlns:r="http://schemas.openxmlformats.org/officeDocument/2006/relationships">
  <dimension ref="A1:K21"/>
  <sheetViews>
    <sheetView showGridLines="0" workbookViewId="0"/>
  </sheetViews>
  <sheetFormatPr defaultColWidth="8.375" defaultRowHeight="15"/>
  <cols>
    <col min="1" max="1" width="46.875" customWidth="1"/>
    <col min="2" max="11" width="13.125" customWidth="1"/>
  </cols>
  <sheetData>
    <row r="1">
      <c r="A1" s="249" t="s">
        <v>0</v>
      </c>
      <c r="B1" s="234"/>
      <c r="C1" s="234"/>
      <c r="D1" s="234"/>
      <c r="E1" s="234"/>
      <c r="F1" s="234"/>
      <c r="G1" s="242"/>
      <c r="H1" s="230"/>
      <c r="I1" s="230"/>
      <c r="J1" s="230"/>
      <c r="K1" s="230"/>
    </row>
    <row r="2">
      <c r="A2" s="251" t="s">
        <v>658</v>
      </c>
      <c r="G2" s="240"/>
    </row>
    <row r="3">
      <c r="A3" s="251" t="s">
        <v>659</v>
      </c>
      <c r="G3" s="240"/>
    </row>
    <row r="4">
      <c r="A4" s="229"/>
      <c r="B4" s="229"/>
      <c r="C4" s="229"/>
      <c r="D4" s="229"/>
      <c r="E4" s="229"/>
      <c r="F4" s="229"/>
      <c r="G4" s="240"/>
      <c r="H4" s="229"/>
      <c r="I4" s="229"/>
      <c r="J4" s="229"/>
      <c r="K4" s="229"/>
    </row>
    <row r="5">
      <c r="A5" s="249" t="s">
        <v>3</v>
      </c>
      <c r="B5" s="234" t="s">
        <v>4</v>
      </c>
      <c r="C5" s="234" t="s">
        <v>5</v>
      </c>
      <c r="D5" s="234" t="s">
        <v>6</v>
      </c>
      <c r="E5" s="234" t="s">
        <v>7</v>
      </c>
      <c r="F5" s="234" t="s">
        <v>8</v>
      </c>
      <c r="G5" s="256" t="s">
        <v>9</v>
      </c>
      <c r="H5" s="230" t="s">
        <v>10</v>
      </c>
      <c r="I5" s="230" t="s">
        <v>11</v>
      </c>
      <c r="J5" s="230" t="s">
        <v>12</v>
      </c>
      <c r="K5" s="230" t="s">
        <v>13</v>
      </c>
    </row>
    <row r="6">
      <c r="A6" s="229"/>
      <c r="B6" s="229"/>
      <c r="C6" s="229"/>
      <c r="D6" s="229"/>
      <c r="E6" s="229"/>
      <c r="F6" s="229"/>
      <c r="G6" s="240"/>
      <c r="H6" s="229"/>
      <c r="I6" s="229"/>
      <c r="J6" s="229"/>
      <c r="K6" s="229"/>
    </row>
    <row r="7">
      <c r="A7" s="249" t="s">
        <v>660</v>
      </c>
      <c r="B7" s="239"/>
      <c r="C7" s="239"/>
      <c r="D7" s="239"/>
      <c r="E7" s="239"/>
      <c r="F7" s="239"/>
      <c r="G7" s="236"/>
      <c r="H7" s="232"/>
      <c r="I7" s="232"/>
      <c r="J7" s="232"/>
      <c r="K7" s="232"/>
    </row>
    <row r="8">
      <c r="A8" s="251" t="s">
        <v>661</v>
      </c>
      <c r="B8" s="254">
        <f>SUM(ModeloFinanciero!B36,ModeloFinanciero!B37)</f>
        <v>0</v>
      </c>
      <c r="C8" s="254">
        <f>SUM(ModeloFinanciero!C36,ModeloFinanciero!C37)</f>
        <v>0</v>
      </c>
      <c r="D8" s="254">
        <f>SUM(ModeloFinanciero!D36,ModeloFinanciero!D37)</f>
        <v>0</v>
      </c>
      <c r="E8" s="254">
        <f>SUM(EEFF!E36,EEFF!E37)</f>
        <v>504216550</v>
      </c>
      <c r="F8" s="254">
        <f>SUM(EEFF!F36,EEFF!F37)</f>
        <v>950916550</v>
      </c>
      <c r="G8" s="258">
        <f>SUM(ModeloFinanciero!G36,ModeloFinanciero!G37)</f>
        <v>950916550</v>
      </c>
      <c r="H8" s="254">
        <f>SUM(ModeloFinanciero!H36,ModeloFinanciero!H37)</f>
        <v>950916550</v>
      </c>
      <c r="I8" s="254">
        <f>SUM(ModeloFinanciero!I36,ModeloFinanciero!I37)</f>
        <v>950916550</v>
      </c>
      <c r="J8" s="254">
        <f>SUM(ModeloFinanciero!J36,ModeloFinanciero!J37)</f>
        <v>950916550</v>
      </c>
      <c r="K8" s="254">
        <f>SUM(ModeloFinanciero!K36,ModeloFinanciero!K37)</f>
        <v>950916550</v>
      </c>
    </row>
    <row r="9">
      <c r="A9" s="251" t="s">
        <v>662</v>
      </c>
      <c r="B9" s="254">
        <f>SUM(ModeloFinanciero!B42,ModeloFinanciero!B43)</f>
        <v>0</v>
      </c>
      <c r="C9" s="254">
        <f>SUM(ModeloFinanciero!C42,ModeloFinanciero!C43)</f>
        <v>0</v>
      </c>
      <c r="D9" s="254">
        <f>SUM(ModeloFinanciero!D42,ModeloFinanciero!D43)</f>
        <v>0</v>
      </c>
      <c r="E9" s="254">
        <f>SUM(EEFF!E42,EEFF!E43)</f>
        <v>429069814</v>
      </c>
      <c r="F9" s="254">
        <f>SUM(EEFF!F42,EEFF!F43)</f>
        <v>145761703</v>
      </c>
      <c r="G9" s="258">
        <f>SUM(ModeloFinanciero!G42,ModeloFinanciero!G43)</f>
        <v>145761703</v>
      </c>
      <c r="H9" s="254">
        <f>SUM(ModeloFinanciero!H42,ModeloFinanciero!H43)</f>
        <v>145761703</v>
      </c>
      <c r="I9" s="254">
        <f>SUM(ModeloFinanciero!I42,ModeloFinanciero!I43)</f>
        <v>145761703</v>
      </c>
      <c r="J9" s="254">
        <f>SUM(ModeloFinanciero!J42,ModeloFinanciero!J43)</f>
        <v>145761703</v>
      </c>
      <c r="K9" s="254">
        <f>SUM(ModeloFinanciero!K42,ModeloFinanciero!K43)</f>
        <v>145761703</v>
      </c>
    </row>
    <row r="10">
      <c r="A10" s="241" t="s">
        <v>663</v>
      </c>
      <c r="B10" s="231">
        <f>B8+B9</f>
        <v>0</v>
      </c>
      <c r="C10" s="231">
        <f>C8+C9</f>
        <v>0</v>
      </c>
      <c r="D10" s="231">
        <f>D8+D9</f>
        <v>0</v>
      </c>
      <c r="E10" s="231">
        <f>E8+E9</f>
        <v>933286364</v>
      </c>
      <c r="F10" s="231">
        <f>F8+F9</f>
        <v>1096678253</v>
      </c>
      <c r="G10" s="245">
        <f>G8+G9</f>
        <v>1096678253</v>
      </c>
      <c r="H10" s="231">
        <f>H8+H9</f>
        <v>1096678253</v>
      </c>
      <c r="I10" s="231">
        <f>I8+I9</f>
        <v>1096678253</v>
      </c>
      <c r="J10" s="231">
        <f>J8+J9</f>
        <v>1096678253</v>
      </c>
      <c r="K10" s="231">
        <f>K8+K9</f>
        <v>1096678253</v>
      </c>
    </row>
    <row r="11">
      <c r="A11" s="229"/>
      <c r="B11" s="229"/>
      <c r="C11" s="229"/>
      <c r="D11" s="229"/>
      <c r="E11" s="229"/>
      <c r="F11" s="229"/>
      <c r="G11" s="240"/>
      <c r="H11" s="229"/>
      <c r="I11" s="229"/>
      <c r="J11" s="229"/>
      <c r="K11" s="229"/>
    </row>
    <row r="12">
      <c r="A12" s="249" t="s">
        <v>620</v>
      </c>
      <c r="B12" s="239"/>
      <c r="C12" s="239"/>
      <c r="D12" s="239"/>
      <c r="E12" s="239"/>
      <c r="F12" s="239"/>
      <c r="G12" s="236"/>
      <c r="H12" s="232"/>
      <c r="I12" s="232"/>
      <c r="J12" s="232"/>
      <c r="K12" s="232"/>
    </row>
    <row r="13">
      <c r="A13" s="251" t="s">
        <v>664</v>
      </c>
      <c r="B13" s="237"/>
      <c r="C13" s="252">
        <f>B10</f>
        <v>0</v>
      </c>
      <c r="D13" s="252">
        <f>C10</f>
        <v>0</v>
      </c>
      <c r="E13" s="252">
        <f>D10</f>
        <v>0</v>
      </c>
      <c r="F13" s="252">
        <f>E10</f>
        <v>933286364</v>
      </c>
      <c r="G13" s="250">
        <f>F10</f>
        <v>1096678253</v>
      </c>
      <c r="H13" s="252">
        <f>G10</f>
        <v>1096678253</v>
      </c>
      <c r="I13" s="252">
        <f>H10</f>
        <v>1096678253</v>
      </c>
      <c r="J13" s="252">
        <f>I10</f>
        <v>1096678253</v>
      </c>
      <c r="K13" s="252">
        <f>J10</f>
        <v>1096678253</v>
      </c>
    </row>
    <row r="14">
      <c r="A14" s="251" t="s">
        <v>665</v>
      </c>
      <c r="B14" s="254">
        <f>ModeloFinanciero!B81</f>
        <v>0</v>
      </c>
      <c r="C14" s="254">
        <f>ModeloFinanciero!C81</f>
        <v>0</v>
      </c>
      <c r="D14" s="254">
        <f>ModeloFinanciero!D81</f>
        <v>0</v>
      </c>
      <c r="E14" s="254">
        <f>EEFF!E81</f>
        <v>589173940</v>
      </c>
      <c r="F14" s="254">
        <f>EEFF!F81</f>
        <v>535436240</v>
      </c>
      <c r="G14" s="258">
        <f>ModeloFinanciero!G81</f>
        <v>535436240</v>
      </c>
      <c r="H14" s="254">
        <f>ModeloFinanciero!H81</f>
        <v>535436240</v>
      </c>
      <c r="I14" s="254">
        <f>ModeloFinanciero!I81</f>
        <v>535436240</v>
      </c>
      <c r="J14" s="254">
        <f>ModeloFinanciero!J81</f>
        <v>535436240</v>
      </c>
      <c r="K14" s="254">
        <f>ModeloFinanciero!K81</f>
        <v>535436240</v>
      </c>
    </row>
    <row r="15">
      <c r="A15" s="251" t="s">
        <v>666</v>
      </c>
      <c r="B15" s="254">
        <f>ModeloFinanciero!B80</f>
        <v>0</v>
      </c>
      <c r="C15" s="254">
        <f>ModeloFinanciero!C80</f>
        <v>0</v>
      </c>
      <c r="D15" s="254">
        <f>ModeloFinanciero!D80</f>
        <v>0</v>
      </c>
      <c r="E15" s="254">
        <f>EEFF!E80</f>
        <v>-469071611</v>
      </c>
      <c r="F15" s="254">
        <f>EEFF!F80</f>
        <v>-495046445</v>
      </c>
      <c r="G15" s="258">
        <f>ModeloFinanciero!G80</f>
        <v>-495046445</v>
      </c>
      <c r="H15" s="254">
        <f>ModeloFinanciero!H80</f>
        <v>-495046445</v>
      </c>
      <c r="I15" s="254">
        <f>ModeloFinanciero!I80</f>
        <v>-495046445</v>
      </c>
      <c r="J15" s="254">
        <f>ModeloFinanciero!J80</f>
        <v>-495046445</v>
      </c>
      <c r="K15" s="254">
        <f>ModeloFinanciero!K80</f>
        <v>-495046445</v>
      </c>
    </row>
    <row r="16">
      <c r="A16" s="241" t="s">
        <v>667</v>
      </c>
      <c r="B16" s="231"/>
      <c r="C16" s="231">
        <f>C13+C14+C15</f>
        <v>0</v>
      </c>
      <c r="D16" s="231">
        <f>D13+D14+D15</f>
        <v>0</v>
      </c>
      <c r="E16" s="231">
        <f>E13+E14+E15</f>
        <v>120102329</v>
      </c>
      <c r="F16" s="231">
        <f>F13+F14+F15</f>
        <v>973676159</v>
      </c>
      <c r="G16" s="245">
        <f>G13+G14+G15</f>
        <v>1137068048</v>
      </c>
      <c r="H16" s="231">
        <f>H13+H14+H15</f>
        <v>1137068048</v>
      </c>
      <c r="I16" s="231">
        <f>I13+I14+I15</f>
        <v>1137068048</v>
      </c>
      <c r="J16" s="231">
        <f>J13+J14+J15</f>
        <v>1137068048</v>
      </c>
      <c r="K16" s="231">
        <f>K13+K14+K15</f>
        <v>1137068048</v>
      </c>
    </row>
    <row r="17">
      <c r="A17" s="229"/>
      <c r="B17" s="229"/>
      <c r="C17" s="229"/>
      <c r="D17" s="229"/>
      <c r="E17" s="229"/>
      <c r="F17" s="229"/>
      <c r="G17" s="240"/>
      <c r="H17" s="229"/>
      <c r="I17" s="229"/>
      <c r="J17" s="229"/>
      <c r="K17" s="229"/>
    </row>
    <row r="18">
      <c r="A18" s="249" t="s">
        <v>668</v>
      </c>
      <c r="B18" s="239"/>
      <c r="C18" s="239"/>
      <c r="D18" s="239"/>
      <c r="E18" s="239"/>
      <c r="F18" s="239"/>
      <c r="G18" s="236"/>
      <c r="H18" s="232"/>
      <c r="I18" s="232"/>
      <c r="J18" s="232"/>
      <c r="K18" s="232"/>
    </row>
    <row r="19">
      <c r="A19" s="251" t="s">
        <v>669</v>
      </c>
      <c r="B19" s="237"/>
      <c r="C19" s="252">
        <f>C16-C10</f>
        <v>0</v>
      </c>
      <c r="D19" s="252">
        <f>D16-D10</f>
        <v>0</v>
      </c>
      <c r="E19" s="252">
        <f>E16-E10</f>
        <v>-813184035</v>
      </c>
      <c r="F19" s="252">
        <f>F16-F10</f>
        <v>-123002094</v>
      </c>
      <c r="G19" s="250">
        <f>G16-G10</f>
        <v>40389795</v>
      </c>
      <c r="H19" s="252">
        <f>H16-H10</f>
        <v>40389795</v>
      </c>
      <c r="I19" s="252">
        <f>I16-I10</f>
        <v>40389795</v>
      </c>
      <c r="J19" s="252">
        <f>J16-J10</f>
        <v>40389795</v>
      </c>
      <c r="K19" s="252">
        <f>K16-K10</f>
        <v>40389795</v>
      </c>
    </row>
    <row r="20">
      <c r="A20" s="251" t="s">
        <v>670</v>
      </c>
      <c r="B20" s="254">
        <f>ABS(ModeloFinanciero!B15)</f>
        <v>0</v>
      </c>
      <c r="C20" s="254">
        <f>ABS(ModeloFinanciero!C15)</f>
        <v>0</v>
      </c>
      <c r="D20" s="254">
        <f>ABS(ModeloFinanciero!D15)</f>
        <v>0</v>
      </c>
      <c r="E20" s="254">
        <f>ABS(EEFF!E15)</f>
        <v>76941269</v>
      </c>
      <c r="F20" s="254">
        <f>ABS(EEFF!F15)</f>
        <v>73951611</v>
      </c>
      <c r="G20" s="258">
        <f>ABS(ModeloFinanciero!G15)</f>
        <v>73951611</v>
      </c>
      <c r="H20" s="254">
        <f>ABS(ModeloFinanciero!H15)</f>
        <v>73951611</v>
      </c>
      <c r="I20" s="254">
        <f>ABS(ModeloFinanciero!I15)</f>
        <v>73951611</v>
      </c>
      <c r="J20" s="254">
        <f>ABS(ModeloFinanciero!J15)</f>
        <v>73951611</v>
      </c>
      <c r="K20" s="254">
        <f>ABS(ModeloFinanciero!K15)</f>
        <v>73951611</v>
      </c>
    </row>
    <row r="21">
      <c r="A21" s="251" t="s">
        <v>671</v>
      </c>
      <c r="B21" s="246"/>
      <c r="C21" s="246" t="str">
        <f>IF((C13+C10)=0,"",C20/((C13+C10)/2))</f>
        <v/>
      </c>
      <c r="D21" s="246" t="str">
        <f>IF((D13+D10)=0,"",D20/((D13+D10)/2))</f>
        <v/>
      </c>
      <c r="E21" s="246">
        <f>E20/((E13+E10)/2)</f>
        <v>0.1648824454484369</v>
      </c>
      <c r="F21" s="246">
        <f>F20/((F13+F10)/2)</f>
        <v>0.07286000000265029</v>
      </c>
      <c r="G21" s="247">
        <f>G20/((G13+G10)/2)</f>
        <v>0.06743236751317253</v>
      </c>
      <c r="H21" s="246">
        <f>H20/((H13+H10)/2)</f>
        <v>0.06743236751317253</v>
      </c>
      <c r="I21" s="246">
        <f>I20/((I13+I10)/2)</f>
        <v>0.06743236751317253</v>
      </c>
      <c r="J21" s="246">
        <f>J20/((J13+J10)/2)</f>
        <v>0.06743236751317253</v>
      </c>
      <c r="K21" s="246">
        <f>K20/((K13+K10)/2)</f>
        <v>0.06743236751317253</v>
      </c>
    </row>
  </sheetData>
</worksheet>
</file>

<file path=xl/worksheets/sheet9.xml><?xml version="1.0" encoding="utf-8"?>
<worksheet xmlns="http://schemas.openxmlformats.org/spreadsheetml/2006/main" xmlns:r="http://schemas.openxmlformats.org/officeDocument/2006/relationships">
  <dimension ref="A1:Q32"/>
  <sheetViews>
    <sheetView showGridLines="0" workbookViewId="0"/>
  </sheetViews>
  <sheetFormatPr defaultColWidth="8.375" defaultRowHeight="15"/>
  <cols>
    <col min="1" max="1" width="23.125" customWidth="1"/>
    <col min="2" max="2" width="64.375" customWidth="1"/>
    <col min="3" max="3" width="18.125" customWidth="1"/>
    <col min="4" max="4" width="10.625" customWidth="1"/>
    <col min="5" max="5" width="14.375" customWidth="1"/>
    <col min="6" max="6" width="19.375" customWidth="1"/>
    <col min="7" max="7" width="64.375" customWidth="1"/>
    <col min="8" max="17" width="15.625" customWidth="1"/>
  </cols>
  <sheetData>
    <row r="1">
      <c r="A1" s="249" t="s">
        <v>0</v>
      </c>
      <c r="B1" s="249"/>
      <c r="C1" s="249"/>
      <c r="D1" s="249"/>
      <c r="E1" s="249"/>
      <c r="F1" s="249"/>
      <c r="G1" s="249"/>
      <c r="H1" s="249"/>
      <c r="I1" s="249"/>
      <c r="J1" s="249"/>
      <c r="K1" s="249"/>
      <c r="L1" s="249"/>
      <c r="M1" s="253"/>
      <c r="N1" s="253"/>
      <c r="O1" s="253"/>
      <c r="P1" s="253"/>
      <c r="Q1" s="253"/>
    </row>
    <row r="2">
      <c r="A2" s="260" t="s">
        <v>672</v>
      </c>
      <c r="B2" s="248"/>
      <c r="C2" s="248"/>
      <c r="D2" s="248"/>
      <c r="E2" s="248"/>
      <c r="F2" s="248"/>
      <c r="G2" s="248"/>
      <c r="H2" s="248"/>
      <c r="I2" s="248"/>
      <c r="J2" s="248"/>
      <c r="K2" s="248"/>
      <c r="L2" s="248"/>
      <c r="M2" s="248"/>
      <c r="N2" s="248"/>
      <c r="O2" s="248"/>
      <c r="P2" s="248"/>
      <c r="Q2" s="248"/>
    </row>
    <row r="3">
      <c r="A3" s="260" t="s">
        <v>673</v>
      </c>
      <c r="B3" s="248"/>
      <c r="C3" s="248"/>
      <c r="D3" s="248"/>
      <c r="E3" s="248"/>
      <c r="F3" s="248"/>
      <c r="G3" s="248"/>
      <c r="H3" s="248"/>
      <c r="I3" s="248"/>
      <c r="J3" s="248"/>
      <c r="K3" s="248"/>
      <c r="L3" s="248"/>
      <c r="M3" s="248"/>
      <c r="N3" s="248"/>
      <c r="O3" s="248"/>
      <c r="P3" s="248"/>
      <c r="Q3" s="248"/>
    </row>
    <row r="4">
      <c r="A4" s="257" t="s">
        <v>674</v>
      </c>
      <c r="B4" s="257" t="s">
        <v>675</v>
      </c>
      <c r="C4" s="261" t="str">
        <f>IF(COUNTIF($C$6:$C$32,"FAIL")=0,"PASS","FAIL")</f>
        <v>PASS</v>
      </c>
      <c r="D4" s="248"/>
      <c r="E4" s="248"/>
      <c r="F4" s="248"/>
      <c r="G4" s="260" t="s">
        <v>676</v>
      </c>
      <c r="H4" s="248"/>
      <c r="I4" s="248"/>
      <c r="J4" s="248"/>
      <c r="K4" s="248"/>
      <c r="L4" s="248"/>
      <c r="M4" s="248"/>
      <c r="N4" s="248"/>
      <c r="O4" s="248"/>
      <c r="P4" s="248"/>
      <c r="Q4" s="248"/>
    </row>
    <row r="5">
      <c r="A5" s="249" t="s">
        <v>677</v>
      </c>
      <c r="B5" s="249" t="s">
        <v>678</v>
      </c>
      <c r="C5" s="249" t="s">
        <v>679</v>
      </c>
      <c r="D5" s="249" t="s">
        <v>680</v>
      </c>
      <c r="E5" s="249" t="s">
        <v>681</v>
      </c>
      <c r="F5" s="249" t="s">
        <v>682</v>
      </c>
      <c r="G5" s="249" t="s">
        <v>683</v>
      </c>
      <c r="H5" s="249" t="s">
        <v>4</v>
      </c>
      <c r="I5" s="249" t="s">
        <v>5</v>
      </c>
      <c r="J5" s="249" t="s">
        <v>6</v>
      </c>
      <c r="K5" s="249" t="s">
        <v>7</v>
      </c>
      <c r="L5" s="249" t="s">
        <v>8</v>
      </c>
      <c r="M5" s="256" t="s">
        <v>9</v>
      </c>
      <c r="N5" s="256" t="s">
        <v>10</v>
      </c>
      <c r="O5" s="256" t="s">
        <v>11</v>
      </c>
      <c r="P5" s="256" t="s">
        <v>12</v>
      </c>
      <c r="Q5" s="256" t="s">
        <v>13</v>
      </c>
    </row>
    <row r="6">
      <c r="A6" s="248"/>
      <c r="B6" s="248"/>
      <c r="C6" s="248"/>
      <c r="D6" s="248"/>
      <c r="E6" s="248"/>
      <c r="F6" s="248"/>
      <c r="G6" s="248"/>
      <c r="H6" s="248"/>
      <c r="I6" s="248"/>
      <c r="J6" s="248"/>
      <c r="K6" s="248"/>
      <c r="L6" s="248"/>
      <c r="M6" s="248"/>
      <c r="N6" s="248"/>
      <c r="O6" s="248"/>
      <c r="P6" s="248"/>
      <c r="Q6" s="248"/>
    </row>
    <row r="7">
      <c r="A7" s="249" t="s">
        <v>684</v>
      </c>
      <c r="B7" s="249"/>
      <c r="C7" s="249"/>
      <c r="D7" s="249"/>
      <c r="E7" s="249"/>
      <c r="F7" s="249"/>
      <c r="G7" s="249"/>
      <c r="H7" s="249"/>
      <c r="I7" s="249"/>
      <c r="J7" s="249"/>
      <c r="K7" s="249"/>
      <c r="L7" s="249"/>
      <c r="M7" s="253"/>
      <c r="N7" s="253"/>
      <c r="O7" s="253"/>
      <c r="P7" s="253"/>
      <c r="Q7" s="253"/>
    </row>
    <row r="8">
      <c r="A8" s="251" t="s">
        <v>685</v>
      </c>
      <c r="B8" s="251" t="s">
        <v>686</v>
      </c>
      <c r="C8" s="255" t="str">
        <f>IF(SUMPRODUCT((ABS(H8:Q8)&gt;1000)*1)=0,"PASS","FAIL")</f>
        <v>PASS</v>
      </c>
      <c r="D8" s="251" t="s">
        <v>687</v>
      </c>
      <c r="E8" s="251" t="s">
        <v>688</v>
      </c>
      <c r="F8" s="251">
        <v>0</v>
      </c>
      <c r="G8" s="251" t="s">
        <v>689</v>
      </c>
      <c r="H8" s="254">
        <f>ModeloFinanciero!B35-ModeloFinanciero!B52</f>
        <v>0</v>
      </c>
      <c r="I8" s="254">
        <f>ModeloFinanciero!C35-ModeloFinanciero!C52</f>
        <v>0</v>
      </c>
      <c r="J8" s="254">
        <f>ModeloFinanciero!D35-ModeloFinanciero!D52</f>
        <v>0</v>
      </c>
      <c r="K8" s="254">
        <f>ModeloFinanciero!E35-ModeloFinanciero!E52</f>
        <v>0</v>
      </c>
      <c r="L8" s="254">
        <f>ModeloFinanciero!F35-ModeloFinanciero!F52</f>
        <v>0</v>
      </c>
      <c r="M8" s="258">
        <f>ModeloFinanciero!G35-ModeloFinanciero!G52</f>
        <v>0</v>
      </c>
      <c r="N8" s="254">
        <f>ModeloFinanciero!H35-ModeloFinanciero!H52</f>
        <v>0</v>
      </c>
      <c r="O8" s="254">
        <f>ModeloFinanciero!I35-ModeloFinanciero!I52</f>
        <v>0</v>
      </c>
      <c r="P8" s="254">
        <f>ModeloFinanciero!J35-ModeloFinanciero!J52</f>
        <v>0</v>
      </c>
      <c r="Q8" s="254">
        <f>ModeloFinanciero!K35-ModeloFinanciero!K52</f>
        <v>0</v>
      </c>
    </row>
    <row r="9">
      <c r="A9" s="251" t="s">
        <v>690</v>
      </c>
      <c r="B9" s="251" t="s">
        <v>691</v>
      </c>
      <c r="C9" s="255" t="str">
        <f>IF(SUMPRODUCT((ABS(H9:Q9)&gt;1000)*1)=0,"PASS","FAIL")</f>
        <v>PASS</v>
      </c>
      <c r="D9" s="251" t="s">
        <v>687</v>
      </c>
      <c r="E9" s="251" t="s">
        <v>688</v>
      </c>
      <c r="F9" s="251">
        <v>0</v>
      </c>
      <c r="G9" s="251" t="s">
        <v>692</v>
      </c>
      <c r="H9" s="254">
        <f>ModeloFinanciero!B91-ModeloFinanciero!B32</f>
        <v>0</v>
      </c>
      <c r="I9" s="254">
        <f>ModeloFinanciero!C91-ModeloFinanciero!C32</f>
        <v>0</v>
      </c>
      <c r="J9" s="254">
        <f>ModeloFinanciero!D91-ModeloFinanciero!D32</f>
        <v>0</v>
      </c>
      <c r="K9" s="254">
        <f>ModeloFinanciero!E91-ModeloFinanciero!E32</f>
        <v>0</v>
      </c>
      <c r="L9" s="254">
        <f>ModeloFinanciero!F91-ModeloFinanciero!F32</f>
        <v>0</v>
      </c>
      <c r="M9" s="250"/>
      <c r="N9" s="252"/>
      <c r="O9" s="252"/>
      <c r="P9" s="252"/>
      <c r="Q9" s="252"/>
    </row>
    <row r="10">
      <c r="A10" s="251" t="s">
        <v>693</v>
      </c>
      <c r="B10" s="251" t="s">
        <v>694</v>
      </c>
      <c r="C10" s="255" t="str">
        <f>IF(SUMPRODUCT((ABS(H10:Q10)&gt;1000)*1)=0,"PASS","FAIL")</f>
        <v>PASS</v>
      </c>
      <c r="D10" s="251" t="s">
        <v>687</v>
      </c>
      <c r="E10" s="251" t="s">
        <v>688</v>
      </c>
      <c r="F10" s="251">
        <v>0</v>
      </c>
      <c r="G10" s="251" t="s">
        <v>695</v>
      </c>
      <c r="H10" s="254">
        <f>ModeloFinanciero!B75+ModeloFinanciero!B79+ModeloFinanciero!B88-(ModeloFinanciero!B91-ModeloFinanciero!B90)</f>
        <v>0</v>
      </c>
      <c r="I10" s="254">
        <f>ModeloFinanciero!C75+ModeloFinanciero!C79+ModeloFinanciero!C88-(ModeloFinanciero!C91-ModeloFinanciero!C90)</f>
        <v>0</v>
      </c>
      <c r="J10" s="254">
        <f>ModeloFinanciero!D75+ModeloFinanciero!D79+ModeloFinanciero!D88-(ModeloFinanciero!D91-ModeloFinanciero!D90)</f>
        <v>0</v>
      </c>
      <c r="K10" s="254">
        <f>ModeloFinanciero!E75+ModeloFinanciero!E79+ModeloFinanciero!E88-(ModeloFinanciero!E91-ModeloFinanciero!E90)</f>
        <v>0</v>
      </c>
      <c r="L10" s="254">
        <f>ModeloFinanciero!F75+ModeloFinanciero!F79+ModeloFinanciero!F88-(ModeloFinanciero!F91-ModeloFinanciero!F90)</f>
        <v>0</v>
      </c>
      <c r="M10" s="258">
        <f>ModeloFinanciero!G75+ModeloFinanciero!G79+ModeloFinanciero!G88-(ModeloFinanciero!G91-ModeloFinanciero!G90)</f>
        <v>0</v>
      </c>
      <c r="N10" s="254">
        <f>ModeloFinanciero!H75+ModeloFinanciero!H79+ModeloFinanciero!H88-(ModeloFinanciero!H91-ModeloFinanciero!H90)</f>
        <v>0</v>
      </c>
      <c r="O10" s="254">
        <f>ModeloFinanciero!I75+ModeloFinanciero!I79+ModeloFinanciero!I88-(ModeloFinanciero!I91-ModeloFinanciero!I90)</f>
        <v>0</v>
      </c>
      <c r="P10" s="254">
        <f>ModeloFinanciero!J75+ModeloFinanciero!J79+ModeloFinanciero!J88-(ModeloFinanciero!J91-ModeloFinanciero!J90)</f>
        <v>0</v>
      </c>
      <c r="Q10" s="254">
        <f>ModeloFinanciero!K75+ModeloFinanciero!K79+ModeloFinanciero!K88-(ModeloFinanciero!K91-ModeloFinanciero!K90)</f>
        <v>0</v>
      </c>
    </row>
    <row r="11">
      <c r="A11" s="251" t="s">
        <v>696</v>
      </c>
      <c r="B11" s="251" t="s">
        <v>697</v>
      </c>
      <c r="C11" s="255" t="str">
        <f>IF(SUMPRODUCT((ABS(H11:Q11)&gt;1000)*1)=0,"PASS","FAIL")</f>
        <v>PASS</v>
      </c>
      <c r="D11" s="251" t="s">
        <v>687</v>
      </c>
      <c r="E11" s="251" t="s">
        <v>688</v>
      </c>
      <c r="F11" s="251">
        <v>0</v>
      </c>
      <c r="G11" s="251" t="s">
        <v>698</v>
      </c>
      <c r="H11" s="254">
        <f>ModeloFinanciero!B20-ModeloFinanciero!B56</f>
        <v>0</v>
      </c>
      <c r="I11" s="254">
        <f>ModeloFinanciero!C20-ModeloFinanciero!C56</f>
        <v>0</v>
      </c>
      <c r="J11" s="254">
        <f>ModeloFinanciero!D20-ModeloFinanciero!D56</f>
        <v>0</v>
      </c>
      <c r="K11" s="254">
        <f>ModeloFinanciero!E20-ModeloFinanciero!E56</f>
        <v>0</v>
      </c>
      <c r="L11" s="254">
        <f>ModeloFinanciero!F20-ModeloFinanciero!F56</f>
        <v>0</v>
      </c>
      <c r="M11" s="250"/>
      <c r="N11" s="252"/>
      <c r="O11" s="252"/>
      <c r="P11" s="252"/>
      <c r="Q11" s="252"/>
    </row>
    <row r="12">
      <c r="A12" s="251" t="s">
        <v>699</v>
      </c>
      <c r="B12" s="251" t="s">
        <v>700</v>
      </c>
      <c r="C12" s="255" t="s">
        <v>701</v>
      </c>
      <c r="D12" s="251" t="s">
        <v>687</v>
      </c>
      <c r="E12" s="251" t="s">
        <v>688</v>
      </c>
      <c r="F12" s="251">
        <v>0</v>
      </c>
      <c r="G12" s="251" t="s">
        <v>702</v>
      </c>
      <c r="H12" s="254">
        <f>ModeloFinanciero!B20-(ModeloFinanciero!B18-ABS(ModeloFinanciero!B19))</f>
        <v>0</v>
      </c>
      <c r="I12" s="254">
        <f>ModeloFinanciero!C20-(ModeloFinanciero!C18-ABS(ModeloFinanciero!C19))</f>
        <v>0</v>
      </c>
      <c r="J12" s="254">
        <f>ModeloFinanciero!D20-(ModeloFinanciero!D18-ABS(ModeloFinanciero!D19))</f>
        <v>0</v>
      </c>
      <c r="K12" s="254">
        <f>ModeloFinanciero!E20-(ModeloFinanciero!E18-ABS(ModeloFinanciero!E19))</f>
        <v>0</v>
      </c>
      <c r="L12" s="254">
        <f>ModeloFinanciero!F20-(ModeloFinanciero!F18-ABS(ModeloFinanciero!F19))</f>
        <v>0</v>
      </c>
      <c r="M12" s="258">
        <f>ModeloFinanciero!G20-(ModeloFinanciero!G18-ABS(ModeloFinanciero!G19))</f>
        <v>0</v>
      </c>
      <c r="N12" s="254">
        <f>ModeloFinanciero!H20-(ModeloFinanciero!H18-ABS(ModeloFinanciero!H19))</f>
        <v>0</v>
      </c>
      <c r="O12" s="254">
        <f>ModeloFinanciero!I20-(ModeloFinanciero!I18-ABS(ModeloFinanciero!I19))</f>
        <v>0</v>
      </c>
      <c r="P12" s="254">
        <f>ModeloFinanciero!J20-(ModeloFinanciero!J18-ABS(ModeloFinanciero!J19))</f>
        <v>0</v>
      </c>
      <c r="Q12" s="254">
        <f>ModeloFinanciero!K20-(ModeloFinanciero!K18-ABS(ModeloFinanciero!K19))</f>
        <v>0</v>
      </c>
    </row>
    <row r="13">
      <c r="A13" s="251" t="s">
        <v>703</v>
      </c>
      <c r="B13" s="251" t="s">
        <v>704</v>
      </c>
      <c r="C13" s="255" t="s">
        <v>701</v>
      </c>
      <c r="D13" s="251" t="s">
        <v>687</v>
      </c>
      <c r="E13" s="251" t="s">
        <v>688</v>
      </c>
      <c r="F13" s="251">
        <v>0</v>
      </c>
      <c r="G13" s="251" t="s">
        <v>705</v>
      </c>
      <c r="H13" s="252">
        <f>0</f>
        <v>0</v>
      </c>
      <c r="I13" s="252">
        <f>0</f>
        <v>0</v>
      </c>
      <c r="J13" s="252">
        <f>0</f>
        <v>0</v>
      </c>
      <c r="K13" s="252">
        <f>0</f>
        <v>0</v>
      </c>
      <c r="L13" s="252">
        <f>0</f>
        <v>0</v>
      </c>
      <c r="M13" s="250">
        <f>0</f>
        <v>0</v>
      </c>
      <c r="N13" s="252">
        <f>0</f>
        <v>0</v>
      </c>
      <c r="O13" s="252">
        <f>0</f>
        <v>0</v>
      </c>
      <c r="P13" s="252">
        <f>0</f>
        <v>0</v>
      </c>
      <c r="Q13" s="252">
        <f>0</f>
        <v>0</v>
      </c>
    </row>
    <row r="14">
      <c r="A14" s="251" t="s">
        <v>706</v>
      </c>
      <c r="B14" s="251" t="s">
        <v>697</v>
      </c>
      <c r="C14" s="255" t="s">
        <v>701</v>
      </c>
      <c r="D14" s="251" t="s">
        <v>687</v>
      </c>
      <c r="E14" s="251" t="s">
        <v>688</v>
      </c>
      <c r="F14" s="251">
        <v>0</v>
      </c>
      <c r="G14" s="251" t="s">
        <v>707</v>
      </c>
      <c r="H14" s="252">
        <f>0</f>
        <v>0</v>
      </c>
      <c r="I14" s="252">
        <f>0</f>
        <v>0</v>
      </c>
      <c r="J14" s="252">
        <f>0</f>
        <v>0</v>
      </c>
      <c r="K14" s="252">
        <f>0</f>
        <v>0</v>
      </c>
      <c r="L14" s="252">
        <f>0</f>
        <v>0</v>
      </c>
      <c r="M14" s="250">
        <f>0</f>
        <v>0</v>
      </c>
      <c r="N14" s="252">
        <f>0</f>
        <v>0</v>
      </c>
      <c r="O14" s="252">
        <f>0</f>
        <v>0</v>
      </c>
      <c r="P14" s="252">
        <f>0</f>
        <v>0</v>
      </c>
      <c r="Q14" s="252">
        <f>0</f>
        <v>0</v>
      </c>
    </row>
    <row r="15">
      <c r="A15" s="251" t="s">
        <v>708</v>
      </c>
      <c r="B15" s="251" t="s">
        <v>697</v>
      </c>
      <c r="C15" s="255" t="str">
        <f>IF(SUMPRODUCT((ABS(H15:Q15)&gt;1000)*1)=0,"PASS","FAIL")</f>
        <v>PASS</v>
      </c>
      <c r="D15" s="251" t="s">
        <v>687</v>
      </c>
      <c r="E15" s="251" t="s">
        <v>688</v>
      </c>
      <c r="F15" s="251">
        <v>0</v>
      </c>
      <c r="G15" s="251" t="s">
        <v>698</v>
      </c>
      <c r="H15" s="254">
        <f>SUM(ModeloFinanciero!B30,ModeloFinanciero!B34)-ModeloFinanciero!B35</f>
        <v>0</v>
      </c>
      <c r="I15" s="254">
        <f>SUM(ModeloFinanciero!C30,ModeloFinanciero!C34)-ModeloFinanciero!C35</f>
        <v>0</v>
      </c>
      <c r="J15" s="254">
        <f>SUM(ModeloFinanciero!D30,ModeloFinanciero!D34)-ModeloFinanciero!D35</f>
        <v>0</v>
      </c>
      <c r="K15" s="254">
        <f>SUM(ModeloFinanciero!E30,ModeloFinanciero!E34)-ModeloFinanciero!E35</f>
        <v>0</v>
      </c>
      <c r="L15" s="254">
        <f>SUM(ModeloFinanciero!F30,ModeloFinanciero!F34)-ModeloFinanciero!F35</f>
        <v>0</v>
      </c>
      <c r="M15" s="258">
        <f>SUM(ModeloFinanciero!G30,ModeloFinanciero!G34)-ModeloFinanciero!G35</f>
        <v>0</v>
      </c>
      <c r="N15" s="254">
        <f>SUM(ModeloFinanciero!H30,ModeloFinanciero!H34)-ModeloFinanciero!H35</f>
        <v>0</v>
      </c>
      <c r="O15" s="254">
        <f>SUM(ModeloFinanciero!I30,ModeloFinanciero!I34)-ModeloFinanciero!I35</f>
        <v>0</v>
      </c>
      <c r="P15" s="254">
        <f>SUM(ModeloFinanciero!J30,ModeloFinanciero!J34)-ModeloFinanciero!J35</f>
        <v>0</v>
      </c>
      <c r="Q15" s="254">
        <f>SUM(ModeloFinanciero!K30,ModeloFinanciero!K34)-ModeloFinanciero!K35</f>
        <v>0</v>
      </c>
    </row>
    <row r="16">
      <c r="A16" s="251" t="s">
        <v>709</v>
      </c>
      <c r="B16" s="251" t="s">
        <v>697</v>
      </c>
      <c r="C16" s="255" t="s">
        <v>701</v>
      </c>
      <c r="D16" s="251" t="s">
        <v>687</v>
      </c>
      <c r="E16" s="251" t="s">
        <v>688</v>
      </c>
      <c r="F16" s="251">
        <v>0</v>
      </c>
      <c r="G16" s="251" t="s">
        <v>710</v>
      </c>
      <c r="H16" s="252">
        <f>0</f>
        <v>0</v>
      </c>
      <c r="I16" s="252">
        <f>0</f>
        <v>0</v>
      </c>
      <c r="J16" s="252">
        <f>0</f>
        <v>0</v>
      </c>
      <c r="K16" s="252">
        <f>0</f>
        <v>0</v>
      </c>
      <c r="L16" s="252">
        <f>0</f>
        <v>0</v>
      </c>
      <c r="M16" s="250">
        <f>0</f>
        <v>0</v>
      </c>
      <c r="N16" s="252">
        <f>0</f>
        <v>0</v>
      </c>
      <c r="O16" s="252">
        <f>0</f>
        <v>0</v>
      </c>
      <c r="P16" s="252">
        <f>0</f>
        <v>0</v>
      </c>
      <c r="Q16" s="252">
        <f>0</f>
        <v>0</v>
      </c>
    </row>
    <row r="17">
      <c r="A17" s="251" t="s">
        <v>711</v>
      </c>
      <c r="B17" s="251" t="s">
        <v>712</v>
      </c>
      <c r="C17" s="255" t="str">
        <f>IF(SUMPRODUCT((ABS(H17:Q17)&gt;100000)*1)=0,"PASS","FAIL")</f>
        <v>PASS</v>
      </c>
      <c r="D17" s="251" t="s">
        <v>687</v>
      </c>
      <c r="E17" s="251" t="s">
        <v>713</v>
      </c>
      <c r="F17" s="251">
        <v>0</v>
      </c>
      <c r="G17" s="251" t="s">
        <v>714</v>
      </c>
      <c r="H17" s="254">
        <f>ModeloFinanciero!B35-EEFF!B35</f>
        <v>0</v>
      </c>
      <c r="I17" s="254">
        <f>ModeloFinanciero!C35-EEFF!C35</f>
        <v>0</v>
      </c>
      <c r="J17" s="254">
        <f>ModeloFinanciero!D35-EEFF!D35</f>
        <v>0</v>
      </c>
      <c r="K17" s="254">
        <f>ModeloFinanciero!E35-EEFF!E35</f>
        <v>0</v>
      </c>
      <c r="L17" s="254">
        <f>ModeloFinanciero!F35-EEFF!F35</f>
        <v>0</v>
      </c>
      <c r="M17" s="250"/>
      <c r="N17" s="252"/>
      <c r="O17" s="252"/>
      <c r="P17" s="252"/>
      <c r="Q17" s="252"/>
    </row>
    <row r="18">
      <c r="A18" s="251" t="s">
        <v>715</v>
      </c>
      <c r="B18" s="251" t="s">
        <v>716</v>
      </c>
      <c r="C18" s="255" t="str">
        <f>IF(SUMPRODUCT((ABS(H18:Q18)&gt;0)*1)=0,"PASS","FAIL")</f>
        <v>PASS</v>
      </c>
      <c r="D18" s="251" t="s">
        <v>687</v>
      </c>
      <c r="E18" s="251" t="s">
        <v>717</v>
      </c>
      <c r="F18" s="251" t="s">
        <v>717</v>
      </c>
      <c r="G18" s="251" t="s">
        <v>718</v>
      </c>
      <c r="H18" s="252">
        <f>0</f>
        <v>0</v>
      </c>
      <c r="I18" s="252">
        <f>0</f>
        <v>0</v>
      </c>
      <c r="J18" s="252">
        <f>0</f>
        <v>0</v>
      </c>
      <c r="K18" s="252">
        <f>0</f>
        <v>0</v>
      </c>
      <c r="L18" s="252">
        <f>0</f>
        <v>0</v>
      </c>
      <c r="M18" s="250">
        <f>0</f>
        <v>0</v>
      </c>
      <c r="N18" s="252">
        <f>0</f>
        <v>0</v>
      </c>
      <c r="O18" s="252">
        <f>0</f>
        <v>0</v>
      </c>
      <c r="P18" s="252">
        <f>0</f>
        <v>0</v>
      </c>
      <c r="Q18" s="252">
        <f>0</f>
        <v>0</v>
      </c>
    </row>
    <row r="19">
      <c r="A19" s="251" t="s">
        <v>719</v>
      </c>
      <c r="B19" s="251" t="s">
        <v>720</v>
      </c>
      <c r="C19" s="255" t="str">
        <f>IF(SUMPRODUCT((ABS(H19:Q19)&gt;0)*1)=0,"PASS","FAIL")</f>
        <v>PASS</v>
      </c>
      <c r="D19" s="251" t="s">
        <v>687</v>
      </c>
      <c r="E19" s="251" t="s">
        <v>717</v>
      </c>
      <c r="F19" s="251" t="s">
        <v>717</v>
      </c>
      <c r="G19" s="251" t="s">
        <v>721</v>
      </c>
      <c r="H19" s="252">
        <f>COUNTIF($C$6:$C$18,"FAIL")+COUNTIF($C$20:$C$32,"FAIL")</f>
        <v>0</v>
      </c>
      <c r="I19" s="252">
        <f>COUNTIF($C$6:$C$18,"FAIL")+COUNTIF($C$20:$C$32,"FAIL")</f>
        <v>0</v>
      </c>
      <c r="J19" s="252">
        <f>COUNTIF($C$6:$C$18,"FAIL")+COUNTIF($C$20:$C$32,"FAIL")</f>
        <v>0</v>
      </c>
      <c r="K19" s="252">
        <f>COUNTIF($C$6:$C$18,"FAIL")+COUNTIF($C$20:$C$32,"FAIL")</f>
        <v>0</v>
      </c>
      <c r="L19" s="252">
        <f>COUNTIF($C$6:$C$18,"FAIL")+COUNTIF($C$20:$C$32,"FAIL")</f>
        <v>0</v>
      </c>
      <c r="M19" s="250">
        <f>COUNTIF($C$6:$C$18,"FAIL")+COUNTIF($C$20:$C$32,"FAIL")</f>
        <v>0</v>
      </c>
      <c r="N19" s="252">
        <f>COUNTIF($C$6:$C$18,"FAIL")+COUNTIF($C$20:$C$32,"FAIL")</f>
        <v>0</v>
      </c>
      <c r="O19" s="252">
        <f>COUNTIF($C$6:$C$18,"FAIL")+COUNTIF($C$20:$C$32,"FAIL")</f>
        <v>0</v>
      </c>
      <c r="P19" s="252">
        <f>COUNTIF($C$6:$C$18,"FAIL")+COUNTIF($C$20:$C$32,"FAIL")</f>
        <v>0</v>
      </c>
      <c r="Q19" s="252">
        <f>COUNTIF($C$6:$C$18,"FAIL")+COUNTIF($C$20:$C$32,"FAIL")</f>
        <v>0</v>
      </c>
    </row>
    <row r="20">
      <c r="A20" s="248"/>
      <c r="B20" s="248"/>
      <c r="C20" s="248"/>
      <c r="D20" s="248"/>
      <c r="E20" s="248"/>
      <c r="F20" s="248"/>
      <c r="G20" s="248"/>
      <c r="H20" s="248"/>
      <c r="I20" s="248"/>
      <c r="J20" s="248"/>
      <c r="K20" s="248"/>
      <c r="L20" s="248"/>
      <c r="M20" s="248"/>
      <c r="N20" s="248"/>
      <c r="O20" s="248"/>
      <c r="P20" s="248"/>
      <c r="Q20" s="248"/>
    </row>
    <row r="21">
      <c r="A21" s="249" t="s">
        <v>722</v>
      </c>
      <c r="B21" s="249"/>
      <c r="C21" s="249"/>
      <c r="D21" s="249"/>
      <c r="E21" s="249"/>
      <c r="F21" s="249"/>
      <c r="G21" s="249"/>
      <c r="H21" s="249"/>
      <c r="I21" s="249"/>
      <c r="J21" s="249"/>
      <c r="K21" s="249"/>
      <c r="L21" s="249"/>
      <c r="M21" s="253"/>
      <c r="N21" s="253"/>
      <c r="O21" s="253"/>
      <c r="P21" s="253"/>
      <c r="Q21" s="253"/>
    </row>
    <row r="22">
      <c r="A22" s="251" t="s">
        <v>723</v>
      </c>
      <c r="B22" s="251" t="s">
        <v>724</v>
      </c>
      <c r="C22" s="255" t="s">
        <v>701</v>
      </c>
      <c r="D22" s="251" t="s">
        <v>687</v>
      </c>
      <c r="E22" s="251" t="s">
        <v>688</v>
      </c>
      <c r="F22" s="251">
        <v>0</v>
      </c>
      <c r="G22" s="251" t="s">
        <v>725</v>
      </c>
      <c r="H22" s="254">
        <f>'PP&amp;E_Schedule'!B20</f>
        <v>0</v>
      </c>
      <c r="I22" s="254">
        <f>'PP&amp;E_Schedule'!C20</f>
        <v>0</v>
      </c>
      <c r="J22" s="254">
        <f>'PP&amp;E_Schedule'!D20</f>
        <v>0</v>
      </c>
      <c r="K22" s="254">
        <f>'PP&amp;E_Schedule'!E20</f>
        <v>-1028044449</v>
      </c>
      <c r="L22" s="254">
        <f>'PP&amp;E_Schedule'!F20</f>
        <v>141306</v>
      </c>
      <c r="M22" s="258">
        <f>'PP&amp;E_Schedule'!G20</f>
        <v>127622915</v>
      </c>
      <c r="N22" s="254">
        <f>'PP&amp;E_Schedule'!H20</f>
        <v>127622915</v>
      </c>
      <c r="O22" s="254">
        <f>'PP&amp;E_Schedule'!I20</f>
        <v>127622915</v>
      </c>
      <c r="P22" s="254">
        <f>'PP&amp;E_Schedule'!J20</f>
        <v>127622915</v>
      </c>
      <c r="Q22" s="254">
        <f>'PP&amp;E_Schedule'!K20</f>
        <v>127622915</v>
      </c>
    </row>
    <row r="23">
      <c r="A23" s="251" t="s">
        <v>726</v>
      </c>
      <c r="B23" s="251" t="s">
        <v>727</v>
      </c>
      <c r="C23" s="255" t="s">
        <v>701</v>
      </c>
      <c r="D23" s="251" t="s">
        <v>687</v>
      </c>
      <c r="E23" s="251" t="s">
        <v>688</v>
      </c>
      <c r="F23" s="251">
        <v>0</v>
      </c>
      <c r="G23" s="251" t="s">
        <v>728</v>
      </c>
      <c r="H23" s="254">
        <f>ROU_Lease_Schedule!B27</f>
        <v>0</v>
      </c>
      <c r="I23" s="254">
        <f>ROU_Lease_Schedule!C27</f>
        <v>0</v>
      </c>
      <c r="J23" s="254">
        <f>ROU_Lease_Schedule!D27</f>
        <v>0</v>
      </c>
      <c r="K23" s="254">
        <f>ROU_Lease_Schedule!E27</f>
        <v>-408132</v>
      </c>
      <c r="L23" s="254">
        <f>ROU_Lease_Schedule!F27</f>
        <v>-5328063</v>
      </c>
      <c r="M23" s="258">
        <f>ROU_Lease_Schedule!G27</f>
        <v>0</v>
      </c>
      <c r="N23" s="254">
        <f>ROU_Lease_Schedule!H27</f>
        <v>0</v>
      </c>
      <c r="O23" s="254">
        <f>ROU_Lease_Schedule!I27</f>
        <v>0</v>
      </c>
      <c r="P23" s="254">
        <f>ROU_Lease_Schedule!J27</f>
        <v>0</v>
      </c>
      <c r="Q23" s="254">
        <f>ROU_Lease_Schedule!K27</f>
        <v>0</v>
      </c>
    </row>
    <row r="24">
      <c r="A24" s="251" t="s">
        <v>729</v>
      </c>
      <c r="B24" s="251" t="s">
        <v>730</v>
      </c>
      <c r="C24" s="255" t="s">
        <v>701</v>
      </c>
      <c r="D24" s="251" t="s">
        <v>687</v>
      </c>
      <c r="E24" s="251" t="s">
        <v>688</v>
      </c>
      <c r="F24" s="251">
        <v>0</v>
      </c>
      <c r="G24" s="251" t="s">
        <v>731</v>
      </c>
      <c r="H24" s="254">
        <f>Debt_Schedule!B19</f>
        <v>0</v>
      </c>
      <c r="I24" s="254">
        <f>Debt_Schedule!C19</f>
        <v>0</v>
      </c>
      <c r="J24" s="254">
        <f>Debt_Schedule!D19</f>
        <v>0</v>
      </c>
      <c r="K24" s="254">
        <f>Debt_Schedule!E19</f>
        <v>-813184035</v>
      </c>
      <c r="L24" s="254">
        <f>Debt_Schedule!F19</f>
        <v>-123002094</v>
      </c>
      <c r="M24" s="258">
        <f>Debt_Schedule!G19</f>
        <v>40389795</v>
      </c>
      <c r="N24" s="254">
        <f>Debt_Schedule!H19</f>
        <v>40389795</v>
      </c>
      <c r="O24" s="254">
        <f>Debt_Schedule!I19</f>
        <v>40389795</v>
      </c>
      <c r="P24" s="254">
        <f>Debt_Schedule!J19</f>
        <v>40389795</v>
      </c>
      <c r="Q24" s="254">
        <f>Debt_Schedule!K19</f>
        <v>40389795</v>
      </c>
    </row>
    <row r="25">
      <c r="A25" s="248"/>
      <c r="B25" s="248"/>
      <c r="C25" s="248"/>
      <c r="D25" s="248"/>
      <c r="E25" s="248"/>
      <c r="F25" s="248"/>
      <c r="G25" s="248"/>
      <c r="H25" s="248"/>
      <c r="I25" s="248"/>
      <c r="J25" s="248"/>
      <c r="K25" s="248"/>
      <c r="L25" s="248"/>
      <c r="M25" s="248"/>
      <c r="N25" s="248"/>
      <c r="O25" s="248"/>
      <c r="P25" s="248"/>
      <c r="Q25" s="248"/>
    </row>
    <row r="26">
      <c r="A26" s="249" t="s">
        <v>732</v>
      </c>
      <c r="B26" s="249"/>
      <c r="C26" s="249"/>
      <c r="D26" s="249"/>
      <c r="E26" s="249"/>
      <c r="F26" s="249"/>
      <c r="G26" s="249"/>
      <c r="H26" s="249"/>
      <c r="I26" s="249"/>
      <c r="J26" s="249"/>
      <c r="K26" s="249"/>
      <c r="L26" s="249"/>
      <c r="M26" s="253"/>
      <c r="N26" s="253"/>
      <c r="O26" s="253"/>
      <c r="P26" s="253"/>
      <c r="Q26" s="253"/>
    </row>
    <row r="27">
      <c r="A27" s="251" t="s">
        <v>733</v>
      </c>
      <c r="B27" s="251" t="s">
        <v>734</v>
      </c>
      <c r="C27" s="255" t="s">
        <v>701</v>
      </c>
      <c r="D27" s="251" t="s">
        <v>687</v>
      </c>
      <c r="E27" s="251" t="s">
        <v>688</v>
      </c>
      <c r="F27" s="251">
        <v>0</v>
      </c>
      <c r="G27" s="251" t="s">
        <v>735</v>
      </c>
      <c r="H27" s="252">
        <f>0</f>
        <v>0</v>
      </c>
      <c r="I27" s="252">
        <f>0</f>
        <v>0</v>
      </c>
      <c r="J27" s="252">
        <f>0</f>
        <v>0</v>
      </c>
      <c r="K27" s="252">
        <f>0</f>
        <v>0</v>
      </c>
      <c r="L27" s="252">
        <f>0</f>
        <v>0</v>
      </c>
      <c r="M27" s="250">
        <f>0</f>
        <v>0</v>
      </c>
      <c r="N27" s="252">
        <f>0</f>
        <v>0</v>
      </c>
      <c r="O27" s="252">
        <f>0</f>
        <v>0</v>
      </c>
      <c r="P27" s="252">
        <f>0</f>
        <v>0</v>
      </c>
      <c r="Q27" s="252">
        <f>0</f>
        <v>0</v>
      </c>
    </row>
    <row r="28">
      <c r="A28" s="251" t="s">
        <v>736</v>
      </c>
      <c r="B28" s="251" t="s">
        <v>737</v>
      </c>
      <c r="C28" s="255" t="s">
        <v>701</v>
      </c>
      <c r="D28" s="251" t="s">
        <v>687</v>
      </c>
      <c r="E28" s="251" t="s">
        <v>738</v>
      </c>
      <c r="F28" s="251">
        <v>0</v>
      </c>
      <c r="G28" s="251" t="s">
        <v>739</v>
      </c>
      <c r="H28" s="252">
        <f>0</f>
        <v>0</v>
      </c>
      <c r="I28" s="252">
        <f>0</f>
        <v>0</v>
      </c>
      <c r="J28" s="252">
        <f>0</f>
        <v>0</v>
      </c>
      <c r="K28" s="252">
        <f>0</f>
        <v>0</v>
      </c>
      <c r="L28" s="252">
        <f>0</f>
        <v>0</v>
      </c>
      <c r="M28" s="250">
        <f>0</f>
        <v>0</v>
      </c>
      <c r="N28" s="252">
        <f>0</f>
        <v>0</v>
      </c>
      <c r="O28" s="252">
        <f>0</f>
        <v>0</v>
      </c>
      <c r="P28" s="252">
        <f>0</f>
        <v>0</v>
      </c>
      <c r="Q28" s="252">
        <f>0</f>
        <v>0</v>
      </c>
    </row>
    <row r="29">
      <c r="A29" s="251" t="s">
        <v>740</v>
      </c>
      <c r="B29" s="251" t="s">
        <v>741</v>
      </c>
      <c r="C29" s="255" t="s">
        <v>701</v>
      </c>
      <c r="D29" s="251" t="s">
        <v>687</v>
      </c>
      <c r="E29" s="251" t="s">
        <v>717</v>
      </c>
      <c r="F29" s="251" t="s">
        <v>717</v>
      </c>
      <c r="G29" s="251" t="s">
        <v>742</v>
      </c>
      <c r="H29" s="252">
        <f>0</f>
        <v>0</v>
      </c>
      <c r="I29" s="252">
        <f>0</f>
        <v>0</v>
      </c>
      <c r="J29" s="252">
        <f>0</f>
        <v>0</v>
      </c>
      <c r="K29" s="252">
        <f>0</f>
        <v>0</v>
      </c>
      <c r="L29" s="252">
        <f>0</f>
        <v>0</v>
      </c>
      <c r="M29" s="250">
        <f>0</f>
        <v>0</v>
      </c>
      <c r="N29" s="252">
        <f>0</f>
        <v>0</v>
      </c>
      <c r="O29" s="252">
        <f>0</f>
        <v>0</v>
      </c>
      <c r="P29" s="252">
        <f>0</f>
        <v>0</v>
      </c>
      <c r="Q29" s="252">
        <f>0</f>
        <v>0</v>
      </c>
    </row>
    <row r="30">
      <c r="A30" s="251" t="s">
        <v>743</v>
      </c>
      <c r="B30" s="251" t="s">
        <v>744</v>
      </c>
      <c r="C30" s="255" t="s">
        <v>701</v>
      </c>
      <c r="D30" s="251" t="s">
        <v>687</v>
      </c>
      <c r="E30" s="251" t="s">
        <v>745</v>
      </c>
      <c r="F30" s="251">
        <v>0</v>
      </c>
      <c r="G30" s="251" t="s">
        <v>746</v>
      </c>
      <c r="H30" s="252">
        <f>0</f>
        <v>0</v>
      </c>
      <c r="I30" s="252">
        <f>0</f>
        <v>0</v>
      </c>
      <c r="J30" s="252">
        <f>0</f>
        <v>0</v>
      </c>
      <c r="K30" s="252">
        <f>0</f>
        <v>0</v>
      </c>
      <c r="L30" s="252">
        <f>0</f>
        <v>0</v>
      </c>
      <c r="M30" s="250">
        <f>0</f>
        <v>0</v>
      </c>
      <c r="N30" s="252">
        <f>0</f>
        <v>0</v>
      </c>
      <c r="O30" s="252">
        <f>0</f>
        <v>0</v>
      </c>
      <c r="P30" s="252">
        <f>0</f>
        <v>0</v>
      </c>
      <c r="Q30" s="252">
        <f>0</f>
        <v>0</v>
      </c>
    </row>
    <row r="31">
      <c r="A31" s="251" t="s">
        <v>747</v>
      </c>
      <c r="B31" s="251" t="s">
        <v>748</v>
      </c>
      <c r="C31" s="255" t="s">
        <v>701</v>
      </c>
      <c r="D31" s="251" t="s">
        <v>749</v>
      </c>
      <c r="E31" s="251" t="s">
        <v>750</v>
      </c>
      <c r="F31" s="251" t="s">
        <v>751</v>
      </c>
      <c r="G31" s="251" t="s">
        <v>752</v>
      </c>
      <c r="H31" s="252">
        <f>0</f>
        <v>0</v>
      </c>
      <c r="I31" s="252">
        <f>0</f>
        <v>0</v>
      </c>
      <c r="J31" s="252">
        <f>0</f>
        <v>0</v>
      </c>
      <c r="K31" s="252">
        <f>0</f>
        <v>0</v>
      </c>
      <c r="L31" s="252">
        <f>0</f>
        <v>0</v>
      </c>
      <c r="M31" s="250">
        <f>0</f>
        <v>0</v>
      </c>
      <c r="N31" s="252">
        <f>0</f>
        <v>0</v>
      </c>
      <c r="O31" s="252">
        <f>0</f>
        <v>0</v>
      </c>
      <c r="P31" s="252">
        <f>0</f>
        <v>0</v>
      </c>
      <c r="Q31" s="252">
        <f>0</f>
        <v>0</v>
      </c>
    </row>
    <row r="32">
      <c r="A32" s="251" t="s">
        <v>753</v>
      </c>
      <c r="B32" s="251" t="s">
        <v>754</v>
      </c>
      <c r="C32" s="255" t="s">
        <v>701</v>
      </c>
      <c r="D32" s="251" t="s">
        <v>687</v>
      </c>
      <c r="E32" s="251" t="s">
        <v>688</v>
      </c>
      <c r="F32" s="251">
        <v>0</v>
      </c>
      <c r="G32" s="251" t="s">
        <v>755</v>
      </c>
      <c r="H32" s="252">
        <f>0</f>
        <v>0</v>
      </c>
      <c r="I32" s="252">
        <f>0</f>
        <v>0</v>
      </c>
      <c r="J32" s="252">
        <f>0</f>
        <v>0</v>
      </c>
      <c r="K32" s="252">
        <f>0</f>
        <v>0</v>
      </c>
      <c r="L32" s="252">
        <f>0</f>
        <v>0</v>
      </c>
      <c r="M32" s="250">
        <f>0</f>
        <v>0</v>
      </c>
      <c r="N32" s="252">
        <f>0</f>
        <v>0</v>
      </c>
      <c r="O32" s="252">
        <f>0</f>
        <v>0</v>
      </c>
      <c r="P32" s="252">
        <f>0</f>
        <v>0</v>
      </c>
      <c r="Q32" s="252">
        <f>0</f>
        <v>0</v>
      </c>
    </row>
  </sheetData>
</worksheet>
</file>

<file path=xl/worksheets/sheet10.xml><?xml version="1.0" encoding="utf-8"?>
<worksheet xmlns="http://schemas.openxmlformats.org/spreadsheetml/2006/main" xmlns:r="http://schemas.openxmlformats.org/officeDocument/2006/relationships">
  <dimension ref="A1:M36"/>
  <sheetViews>
    <sheetView showGridLines="0" workbookViewId="0"/>
  </sheetViews>
  <sheetFormatPr defaultColWidth="8.375" defaultRowHeight="15"/>
  <cols>
    <col min="1" max="8" width="16.875" customWidth="1"/>
    <col min="9" max="9" width="39.375" customWidth="1"/>
    <col min="10" max="12" width="16.875" customWidth="1"/>
    <col min="13" max="13" width="59.375" customWidth="1"/>
  </cols>
  <sheetData>
    <row r="1">
      <c r="A1" s="263" t="s">
        <v>0</v>
      </c>
      <c r="B1" s="260"/>
      <c r="C1" s="260"/>
      <c r="D1" s="260"/>
      <c r="E1" s="260"/>
      <c r="F1" s="260"/>
      <c r="G1" s="260"/>
      <c r="H1" s="260"/>
      <c r="I1" s="260"/>
      <c r="J1" s="260"/>
      <c r="K1" s="260"/>
      <c r="L1" s="260"/>
      <c r="M1" s="260"/>
    </row>
    <row r="2">
      <c r="A2" s="260" t="s">
        <v>756</v>
      </c>
      <c r="B2" s="260"/>
      <c r="C2" s="260"/>
      <c r="D2" s="260"/>
      <c r="E2" s="260"/>
      <c r="F2" s="260"/>
      <c r="G2" s="260"/>
      <c r="H2" s="260"/>
      <c r="I2" s="260"/>
      <c r="J2" s="260"/>
      <c r="K2" s="260"/>
      <c r="L2" s="260"/>
      <c r="M2" s="260"/>
    </row>
    <row r="3">
      <c r="A3" s="260" t="s">
        <v>757</v>
      </c>
      <c r="B3" s="260"/>
      <c r="C3" s="260"/>
      <c r="D3" s="260"/>
      <c r="E3" s="260"/>
      <c r="F3" s="260"/>
      <c r="G3" s="260"/>
      <c r="H3" s="260"/>
      <c r="I3" s="260"/>
      <c r="J3" s="260"/>
      <c r="K3" s="260"/>
      <c r="L3" s="260"/>
      <c r="M3" s="260"/>
    </row>
    <row r="4">
      <c r="A4" s="261" t="s">
        <v>758</v>
      </c>
      <c r="B4" s="261" t="s">
        <v>759</v>
      </c>
      <c r="C4" s="261" t="s">
        <v>760</v>
      </c>
      <c r="D4" s="261" t="s">
        <v>761</v>
      </c>
      <c r="E4" s="261" t="s">
        <v>762</v>
      </c>
      <c r="F4" s="261" t="s">
        <v>763</v>
      </c>
      <c r="G4" s="261" t="s">
        <v>764</v>
      </c>
      <c r="H4" s="261" t="s">
        <v>765</v>
      </c>
      <c r="I4" s="261" t="s">
        <v>766</v>
      </c>
      <c r="J4" s="261" t="s">
        <v>767</v>
      </c>
      <c r="K4" s="261" t="s">
        <v>679</v>
      </c>
      <c r="L4" s="261" t="s">
        <v>768</v>
      </c>
      <c r="M4" s="261" t="s">
        <v>683</v>
      </c>
    </row>
    <row r="5">
      <c r="A5" s="260" t="s">
        <v>769</v>
      </c>
      <c r="B5" s="260" t="s">
        <v>770</v>
      </c>
      <c r="C5" s="260" t="s">
        <v>771</v>
      </c>
      <c r="D5" s="260"/>
      <c r="E5" s="260"/>
      <c r="F5" s="260"/>
      <c r="G5" s="260"/>
      <c r="H5" s="260" t="s">
        <v>772</v>
      </c>
      <c r="I5" s="260" t="s">
        <v>773</v>
      </c>
      <c r="J5" s="260" t="s">
        <v>571</v>
      </c>
      <c r="K5" s="264" t="s">
        <v>118</v>
      </c>
      <c r="L5" s="260" t="s">
        <v>774</v>
      </c>
      <c r="M5" s="260" t="s">
        <v>775</v>
      </c>
    </row>
    <row r="6">
      <c r="A6" s="260" t="s">
        <v>776</v>
      </c>
      <c r="B6" s="260" t="s">
        <v>777</v>
      </c>
      <c r="C6" s="260" t="s">
        <v>771</v>
      </c>
      <c r="D6" s="260" t="s">
        <v>111</v>
      </c>
      <c r="E6" s="260" t="s">
        <v>110</v>
      </c>
      <c r="F6" s="260"/>
      <c r="G6" s="260" t="s">
        <v>119</v>
      </c>
      <c r="H6" s="260" t="s">
        <v>778</v>
      </c>
      <c r="I6" s="260" t="s">
        <v>779</v>
      </c>
      <c r="J6" s="260" t="s">
        <v>780</v>
      </c>
      <c r="K6" s="264" t="s">
        <v>118</v>
      </c>
      <c r="L6" s="260" t="s">
        <v>781</v>
      </c>
      <c r="M6" s="260" t="s">
        <v>782</v>
      </c>
    </row>
    <row r="7">
      <c r="A7" s="260" t="s">
        <v>783</v>
      </c>
      <c r="B7" s="260" t="s">
        <v>777</v>
      </c>
      <c r="C7" s="260" t="s">
        <v>771</v>
      </c>
      <c r="D7" s="260" t="s">
        <v>784</v>
      </c>
      <c r="E7" s="260"/>
      <c r="F7" s="260"/>
      <c r="G7" s="260" t="s">
        <v>119</v>
      </c>
      <c r="H7" s="260" t="s">
        <v>778</v>
      </c>
      <c r="I7" s="260" t="s">
        <v>779</v>
      </c>
      <c r="J7" s="260" t="s">
        <v>571</v>
      </c>
      <c r="K7" s="264" t="s">
        <v>118</v>
      </c>
      <c r="L7" s="260" t="s">
        <v>785</v>
      </c>
      <c r="M7" s="260" t="s">
        <v>786</v>
      </c>
    </row>
    <row r="8">
      <c r="A8" s="260" t="s">
        <v>787</v>
      </c>
      <c r="B8" s="260" t="s">
        <v>777</v>
      </c>
      <c r="C8" s="260" t="s">
        <v>771</v>
      </c>
      <c r="D8" s="260" t="s">
        <v>788</v>
      </c>
      <c r="E8" s="260"/>
      <c r="F8" s="260"/>
      <c r="G8" s="260" t="s">
        <v>119</v>
      </c>
      <c r="H8" s="260" t="s">
        <v>778</v>
      </c>
      <c r="I8" s="260" t="s">
        <v>779</v>
      </c>
      <c r="J8" s="260" t="s">
        <v>571</v>
      </c>
      <c r="K8" s="264" t="s">
        <v>118</v>
      </c>
      <c r="L8" s="260" t="s">
        <v>789</v>
      </c>
      <c r="M8" s="260" t="s">
        <v>790</v>
      </c>
    </row>
    <row r="9">
      <c r="A9" s="260" t="s">
        <v>791</v>
      </c>
      <c r="B9" s="260" t="s">
        <v>792</v>
      </c>
      <c r="C9" s="260" t="s">
        <v>771</v>
      </c>
      <c r="D9" s="260" t="s">
        <v>111</v>
      </c>
      <c r="E9" s="260" t="s">
        <v>110</v>
      </c>
      <c r="F9" s="260" t="s">
        <v>196</v>
      </c>
      <c r="G9" s="260" t="s">
        <v>793</v>
      </c>
      <c r="H9" s="260" t="s">
        <v>794</v>
      </c>
      <c r="I9" s="260" t="s">
        <v>203</v>
      </c>
      <c r="J9" s="260" t="s">
        <v>780</v>
      </c>
      <c r="K9" s="264" t="s">
        <v>118</v>
      </c>
      <c r="L9" s="260" t="s">
        <v>342</v>
      </c>
      <c r="M9" s="260"/>
    </row>
    <row r="10">
      <c r="A10" s="260" t="s">
        <v>795</v>
      </c>
      <c r="B10" s="260" t="s">
        <v>792</v>
      </c>
      <c r="C10" s="260" t="s">
        <v>771</v>
      </c>
      <c r="D10" s="260" t="s">
        <v>111</v>
      </c>
      <c r="E10" s="260" t="s">
        <v>110</v>
      </c>
      <c r="F10" s="260" t="s">
        <v>219</v>
      </c>
      <c r="G10" s="260" t="s">
        <v>796</v>
      </c>
      <c r="H10" s="260" t="s">
        <v>794</v>
      </c>
      <c r="I10" s="260" t="s">
        <v>226</v>
      </c>
      <c r="J10" s="260" t="s">
        <v>780</v>
      </c>
      <c r="K10" s="264" t="s">
        <v>118</v>
      </c>
      <c r="L10" s="260" t="s">
        <v>797</v>
      </c>
      <c r="M10" s="260"/>
    </row>
    <row r="11">
      <c r="A11" s="260" t="s">
        <v>798</v>
      </c>
      <c r="B11" s="260" t="s">
        <v>792</v>
      </c>
      <c r="C11" s="260" t="s">
        <v>771</v>
      </c>
      <c r="D11" s="260" t="s">
        <v>111</v>
      </c>
      <c r="E11" s="260" t="s">
        <v>110</v>
      </c>
      <c r="F11" s="260" t="s">
        <v>257</v>
      </c>
      <c r="G11" s="260" t="s">
        <v>799</v>
      </c>
      <c r="H11" s="260" t="s">
        <v>794</v>
      </c>
      <c r="I11" s="260" t="s">
        <v>258</v>
      </c>
      <c r="J11" s="260" t="s">
        <v>780</v>
      </c>
      <c r="K11" s="264" t="s">
        <v>118</v>
      </c>
      <c r="L11" s="260" t="s">
        <v>114</v>
      </c>
      <c r="M11" s="260"/>
    </row>
    <row r="12">
      <c r="A12" s="260" t="s">
        <v>800</v>
      </c>
      <c r="B12" s="260" t="s">
        <v>792</v>
      </c>
      <c r="C12" s="260" t="s">
        <v>771</v>
      </c>
      <c r="D12" s="260" t="s">
        <v>111</v>
      </c>
      <c r="E12" s="260" t="s">
        <v>110</v>
      </c>
      <c r="F12" s="260" t="s">
        <v>267</v>
      </c>
      <c r="G12" s="260" t="s">
        <v>801</v>
      </c>
      <c r="H12" s="260" t="s">
        <v>794</v>
      </c>
      <c r="I12" s="260" t="s">
        <v>281</v>
      </c>
      <c r="J12" s="260" t="s">
        <v>780</v>
      </c>
      <c r="K12" s="264" t="s">
        <v>118</v>
      </c>
      <c r="L12" s="260" t="s">
        <v>802</v>
      </c>
      <c r="M12" s="260"/>
    </row>
    <row r="13">
      <c r="A13" s="260" t="s">
        <v>803</v>
      </c>
      <c r="B13" s="260" t="s">
        <v>792</v>
      </c>
      <c r="C13" s="260" t="s">
        <v>771</v>
      </c>
      <c r="D13" s="260" t="s">
        <v>111</v>
      </c>
      <c r="E13" s="260" t="s">
        <v>110</v>
      </c>
      <c r="F13" s="260" t="s">
        <v>298</v>
      </c>
      <c r="G13" s="260" t="s">
        <v>804</v>
      </c>
      <c r="H13" s="260" t="s">
        <v>794</v>
      </c>
      <c r="I13" s="260" t="s">
        <v>299</v>
      </c>
      <c r="J13" s="260" t="s">
        <v>780</v>
      </c>
      <c r="K13" s="264" t="s">
        <v>118</v>
      </c>
      <c r="L13" s="260" t="s">
        <v>147</v>
      </c>
      <c r="M13" s="260"/>
    </row>
    <row r="14">
      <c r="A14" s="260" t="s">
        <v>805</v>
      </c>
      <c r="B14" s="260" t="s">
        <v>792</v>
      </c>
      <c r="C14" s="260" t="s">
        <v>771</v>
      </c>
      <c r="D14" s="260" t="s">
        <v>111</v>
      </c>
      <c r="E14" s="260" t="s">
        <v>110</v>
      </c>
      <c r="F14" s="260" t="s">
        <v>307</v>
      </c>
      <c r="G14" s="260" t="s">
        <v>806</v>
      </c>
      <c r="H14" s="260" t="s">
        <v>794</v>
      </c>
      <c r="I14" s="260" t="s">
        <v>308</v>
      </c>
      <c r="J14" s="260" t="s">
        <v>780</v>
      </c>
      <c r="K14" s="264" t="s">
        <v>118</v>
      </c>
      <c r="L14" s="260" t="s">
        <v>807</v>
      </c>
      <c r="M14" s="260"/>
    </row>
    <row r="15">
      <c r="A15" s="260" t="s">
        <v>808</v>
      </c>
      <c r="B15" s="260" t="s">
        <v>792</v>
      </c>
      <c r="C15" s="260" t="s">
        <v>771</v>
      </c>
      <c r="D15" s="260" t="s">
        <v>111</v>
      </c>
      <c r="E15" s="260" t="s">
        <v>110</v>
      </c>
      <c r="F15" s="260" t="s">
        <v>313</v>
      </c>
      <c r="G15" s="260" t="s">
        <v>809</v>
      </c>
      <c r="H15" s="260" t="s">
        <v>794</v>
      </c>
      <c r="I15" s="260" t="s">
        <v>314</v>
      </c>
      <c r="J15" s="260" t="s">
        <v>780</v>
      </c>
      <c r="K15" s="264" t="s">
        <v>118</v>
      </c>
      <c r="L15" s="260" t="s">
        <v>188</v>
      </c>
      <c r="M15" s="260"/>
    </row>
    <row r="16">
      <c r="A16" s="260" t="s">
        <v>810</v>
      </c>
      <c r="B16" s="260" t="s">
        <v>792</v>
      </c>
      <c r="C16" s="260" t="s">
        <v>771</v>
      </c>
      <c r="D16" s="260" t="s">
        <v>111</v>
      </c>
      <c r="E16" s="260" t="s">
        <v>110</v>
      </c>
      <c r="F16" s="260" t="s">
        <v>325</v>
      </c>
      <c r="G16" s="260" t="s">
        <v>811</v>
      </c>
      <c r="H16" s="260" t="s">
        <v>794</v>
      </c>
      <c r="I16" s="260" t="s">
        <v>331</v>
      </c>
      <c r="J16" s="260" t="s">
        <v>780</v>
      </c>
      <c r="K16" s="264" t="s">
        <v>118</v>
      </c>
      <c r="L16" s="260" t="s">
        <v>257</v>
      </c>
      <c r="M16" s="260"/>
    </row>
    <row r="17">
      <c r="A17" s="260" t="s">
        <v>812</v>
      </c>
      <c r="B17" s="260" t="s">
        <v>792</v>
      </c>
      <c r="C17" s="260" t="s">
        <v>771</v>
      </c>
      <c r="D17" s="260" t="s">
        <v>111</v>
      </c>
      <c r="E17" s="260" t="s">
        <v>110</v>
      </c>
      <c r="F17" s="260" t="s">
        <v>342</v>
      </c>
      <c r="G17" s="260" t="s">
        <v>813</v>
      </c>
      <c r="H17" s="260" t="s">
        <v>794</v>
      </c>
      <c r="I17" s="260" t="s">
        <v>343</v>
      </c>
      <c r="J17" s="260" t="s">
        <v>780</v>
      </c>
      <c r="K17" s="264" t="s">
        <v>118</v>
      </c>
      <c r="L17" s="260" t="s">
        <v>152</v>
      </c>
      <c r="M17" s="260"/>
    </row>
    <row r="18">
      <c r="A18" s="260" t="s">
        <v>814</v>
      </c>
      <c r="B18" s="260" t="s">
        <v>792</v>
      </c>
      <c r="C18" s="260" t="s">
        <v>771</v>
      </c>
      <c r="D18" s="260" t="s">
        <v>111</v>
      </c>
      <c r="E18" s="260" t="s">
        <v>110</v>
      </c>
      <c r="F18" s="260" t="s">
        <v>354</v>
      </c>
      <c r="G18" s="260" t="s">
        <v>815</v>
      </c>
      <c r="H18" s="260" t="s">
        <v>794</v>
      </c>
      <c r="I18" s="260" t="s">
        <v>361</v>
      </c>
      <c r="J18" s="260" t="s">
        <v>780</v>
      </c>
      <c r="K18" s="264" t="s">
        <v>118</v>
      </c>
      <c r="L18" s="260" t="s">
        <v>354</v>
      </c>
      <c r="M18" s="260"/>
    </row>
    <row r="19">
      <c r="A19" s="260" t="s">
        <v>816</v>
      </c>
      <c r="B19" s="260" t="s">
        <v>792</v>
      </c>
      <c r="C19" s="260" t="s">
        <v>771</v>
      </c>
      <c r="D19" s="260" t="s">
        <v>111</v>
      </c>
      <c r="E19" s="260" t="s">
        <v>110</v>
      </c>
      <c r="F19" s="260" t="s">
        <v>380</v>
      </c>
      <c r="G19" s="260" t="s">
        <v>817</v>
      </c>
      <c r="H19" s="260" t="s">
        <v>794</v>
      </c>
      <c r="I19" s="260" t="s">
        <v>391</v>
      </c>
      <c r="J19" s="260" t="s">
        <v>780</v>
      </c>
      <c r="K19" s="264" t="s">
        <v>118</v>
      </c>
      <c r="L19" s="260" t="s">
        <v>818</v>
      </c>
      <c r="M19" s="260"/>
    </row>
    <row r="20">
      <c r="A20" s="260" t="s">
        <v>819</v>
      </c>
      <c r="B20" s="260" t="s">
        <v>792</v>
      </c>
      <c r="C20" s="260" t="s">
        <v>771</v>
      </c>
      <c r="D20" s="260" t="s">
        <v>111</v>
      </c>
      <c r="E20" s="260" t="s">
        <v>110</v>
      </c>
      <c r="F20" s="260" t="s">
        <v>410</v>
      </c>
      <c r="G20" s="260" t="s">
        <v>820</v>
      </c>
      <c r="H20" s="260" t="s">
        <v>794</v>
      </c>
      <c r="I20" s="260" t="s">
        <v>417</v>
      </c>
      <c r="J20" s="260" t="s">
        <v>780</v>
      </c>
      <c r="K20" s="264" t="s">
        <v>118</v>
      </c>
      <c r="L20" s="260" t="s">
        <v>821</v>
      </c>
      <c r="M20" s="260"/>
    </row>
    <row r="21">
      <c r="A21" s="260" t="s">
        <v>822</v>
      </c>
      <c r="B21" s="260" t="s">
        <v>792</v>
      </c>
      <c r="C21" s="260" t="s">
        <v>771</v>
      </c>
      <c r="D21" s="260" t="s">
        <v>111</v>
      </c>
      <c r="E21" s="260" t="s">
        <v>110</v>
      </c>
      <c r="F21" s="260" t="s">
        <v>114</v>
      </c>
      <c r="G21" s="260" t="s">
        <v>823</v>
      </c>
      <c r="H21" s="260" t="s">
        <v>794</v>
      </c>
      <c r="I21" s="260" t="s">
        <v>115</v>
      </c>
      <c r="J21" s="260" t="s">
        <v>780</v>
      </c>
      <c r="K21" s="264" t="s">
        <v>118</v>
      </c>
      <c r="L21" s="260" t="s">
        <v>807</v>
      </c>
      <c r="M21" s="260"/>
    </row>
    <row r="22">
      <c r="A22" s="260" t="s">
        <v>824</v>
      </c>
      <c r="B22" s="260" t="s">
        <v>792</v>
      </c>
      <c r="C22" s="260" t="s">
        <v>771</v>
      </c>
      <c r="D22" s="260" t="s">
        <v>111</v>
      </c>
      <c r="E22" s="260" t="s">
        <v>110</v>
      </c>
      <c r="F22" s="260" t="s">
        <v>121</v>
      </c>
      <c r="G22" s="260" t="s">
        <v>825</v>
      </c>
      <c r="H22" s="260" t="s">
        <v>794</v>
      </c>
      <c r="I22" s="260" t="s">
        <v>129</v>
      </c>
      <c r="J22" s="260" t="s">
        <v>780</v>
      </c>
      <c r="K22" s="264" t="s">
        <v>118</v>
      </c>
      <c r="L22" s="260" t="s">
        <v>313</v>
      </c>
      <c r="M22" s="260"/>
    </row>
    <row r="23">
      <c r="A23" s="260" t="s">
        <v>826</v>
      </c>
      <c r="B23" s="260" t="s">
        <v>792</v>
      </c>
      <c r="C23" s="260" t="s">
        <v>771</v>
      </c>
      <c r="D23" s="260" t="s">
        <v>111</v>
      </c>
      <c r="E23" s="260" t="s">
        <v>110</v>
      </c>
      <c r="F23" s="260" t="s">
        <v>147</v>
      </c>
      <c r="G23" s="260" t="s">
        <v>827</v>
      </c>
      <c r="H23" s="260" t="s">
        <v>794</v>
      </c>
      <c r="I23" s="260" t="s">
        <v>148</v>
      </c>
      <c r="J23" s="260" t="s">
        <v>780</v>
      </c>
      <c r="K23" s="264" t="s">
        <v>118</v>
      </c>
      <c r="L23" s="260" t="s">
        <v>807</v>
      </c>
      <c r="M23" s="260"/>
    </row>
    <row r="24">
      <c r="A24" s="260" t="s">
        <v>828</v>
      </c>
      <c r="B24" s="260" t="s">
        <v>792</v>
      </c>
      <c r="C24" s="260" t="s">
        <v>771</v>
      </c>
      <c r="D24" s="260" t="s">
        <v>111</v>
      </c>
      <c r="E24" s="260" t="s">
        <v>110</v>
      </c>
      <c r="F24" s="260" t="s">
        <v>152</v>
      </c>
      <c r="G24" s="260" t="s">
        <v>829</v>
      </c>
      <c r="H24" s="260" t="s">
        <v>794</v>
      </c>
      <c r="I24" s="260" t="s">
        <v>161</v>
      </c>
      <c r="J24" s="260" t="s">
        <v>780</v>
      </c>
      <c r="K24" s="264" t="s">
        <v>118</v>
      </c>
      <c r="L24" s="260" t="s">
        <v>830</v>
      </c>
      <c r="M24" s="260"/>
    </row>
    <row r="25">
      <c r="A25" s="260" t="s">
        <v>831</v>
      </c>
      <c r="B25" s="260" t="s">
        <v>792</v>
      </c>
      <c r="C25" s="260" t="s">
        <v>771</v>
      </c>
      <c r="D25" s="260" t="s">
        <v>111</v>
      </c>
      <c r="E25" s="260" t="s">
        <v>110</v>
      </c>
      <c r="F25" s="260" t="s">
        <v>188</v>
      </c>
      <c r="G25" s="260" t="s">
        <v>832</v>
      </c>
      <c r="H25" s="260" t="s">
        <v>794</v>
      </c>
      <c r="I25" s="260" t="s">
        <v>189</v>
      </c>
      <c r="J25" s="260" t="s">
        <v>780</v>
      </c>
      <c r="K25" s="264" t="s">
        <v>118</v>
      </c>
      <c r="L25" s="260" t="s">
        <v>833</v>
      </c>
      <c r="M25" s="260"/>
    </row>
    <row r="26">
      <c r="A26" s="260" t="s">
        <v>834</v>
      </c>
      <c r="B26" s="260" t="s">
        <v>835</v>
      </c>
      <c r="C26" s="260" t="s">
        <v>771</v>
      </c>
      <c r="D26" s="260"/>
      <c r="E26" s="260"/>
      <c r="F26" s="260"/>
      <c r="G26" s="260"/>
      <c r="H26" s="260" t="s">
        <v>836</v>
      </c>
      <c r="I26" s="260" t="s">
        <v>837</v>
      </c>
      <c r="J26" s="260" t="s">
        <v>571</v>
      </c>
      <c r="K26" s="264" t="s">
        <v>118</v>
      </c>
      <c r="L26" s="260" t="s">
        <v>833</v>
      </c>
      <c r="M26" s="260" t="s">
        <v>16</v>
      </c>
    </row>
    <row r="27">
      <c r="A27" s="260" t="s">
        <v>838</v>
      </c>
      <c r="B27" s="260" t="s">
        <v>835</v>
      </c>
      <c r="C27" s="260" t="s">
        <v>771</v>
      </c>
      <c r="D27" s="260"/>
      <c r="E27" s="260"/>
      <c r="F27" s="260"/>
      <c r="G27" s="260"/>
      <c r="H27" s="260" t="s">
        <v>836</v>
      </c>
      <c r="I27" s="260" t="s">
        <v>839</v>
      </c>
      <c r="J27" s="260" t="s">
        <v>571</v>
      </c>
      <c r="K27" s="264" t="s">
        <v>118</v>
      </c>
      <c r="L27" s="260" t="s">
        <v>774</v>
      </c>
      <c r="M27" s="260" t="s">
        <v>840</v>
      </c>
    </row>
    <row r="28">
      <c r="A28" s="260" t="s">
        <v>841</v>
      </c>
      <c r="B28" s="260" t="s">
        <v>835</v>
      </c>
      <c r="C28" s="260" t="s">
        <v>771</v>
      </c>
      <c r="D28" s="260"/>
      <c r="E28" s="260"/>
      <c r="F28" s="260"/>
      <c r="G28" s="260"/>
      <c r="H28" s="260" t="s">
        <v>836</v>
      </c>
      <c r="I28" s="260" t="s">
        <v>842</v>
      </c>
      <c r="J28" s="260" t="s">
        <v>571</v>
      </c>
      <c r="K28" s="264" t="s">
        <v>118</v>
      </c>
      <c r="L28" s="260" t="s">
        <v>833</v>
      </c>
      <c r="M28" s="260" t="s">
        <v>20</v>
      </c>
    </row>
    <row r="29">
      <c r="A29" s="260" t="s">
        <v>843</v>
      </c>
      <c r="B29" s="260" t="s">
        <v>835</v>
      </c>
      <c r="C29" s="260" t="s">
        <v>771</v>
      </c>
      <c r="D29" s="260"/>
      <c r="E29" s="260"/>
      <c r="F29" s="260"/>
      <c r="G29" s="260"/>
      <c r="H29" s="260" t="s">
        <v>836</v>
      </c>
      <c r="I29" s="260" t="s">
        <v>844</v>
      </c>
      <c r="J29" s="260" t="s">
        <v>571</v>
      </c>
      <c r="K29" s="264" t="s">
        <v>118</v>
      </c>
      <c r="L29" s="260" t="s">
        <v>774</v>
      </c>
      <c r="M29" s="260" t="s">
        <v>845</v>
      </c>
    </row>
    <row r="30">
      <c r="A30" s="260" t="s">
        <v>846</v>
      </c>
      <c r="B30" s="260" t="s">
        <v>835</v>
      </c>
      <c r="C30" s="260" t="s">
        <v>771</v>
      </c>
      <c r="D30" s="260"/>
      <c r="E30" s="260"/>
      <c r="F30" s="260"/>
      <c r="G30" s="260"/>
      <c r="H30" s="260" t="s">
        <v>836</v>
      </c>
      <c r="I30" s="260" t="s">
        <v>847</v>
      </c>
      <c r="J30" s="260" t="s">
        <v>571</v>
      </c>
      <c r="K30" s="264" t="s">
        <v>118</v>
      </c>
      <c r="L30" s="260" t="s">
        <v>833</v>
      </c>
      <c r="M30" s="260" t="s">
        <v>27</v>
      </c>
    </row>
    <row r="31">
      <c r="A31" s="260" t="s">
        <v>848</v>
      </c>
      <c r="B31" s="260" t="s">
        <v>835</v>
      </c>
      <c r="C31" s="260" t="s">
        <v>771</v>
      </c>
      <c r="D31" s="260"/>
      <c r="E31" s="260"/>
      <c r="F31" s="260"/>
      <c r="G31" s="260"/>
      <c r="H31" s="260" t="s">
        <v>836</v>
      </c>
      <c r="I31" s="260" t="s">
        <v>849</v>
      </c>
      <c r="J31" s="260" t="s">
        <v>571</v>
      </c>
      <c r="K31" s="264" t="s">
        <v>118</v>
      </c>
      <c r="L31" s="260" t="s">
        <v>774</v>
      </c>
      <c r="M31" s="260" t="s">
        <v>850</v>
      </c>
    </row>
    <row r="32">
      <c r="A32" s="260" t="s">
        <v>851</v>
      </c>
      <c r="B32" s="260" t="s">
        <v>835</v>
      </c>
      <c r="C32" s="260" t="s">
        <v>771</v>
      </c>
      <c r="D32" s="260"/>
      <c r="E32" s="260"/>
      <c r="F32" s="260"/>
      <c r="G32" s="260"/>
      <c r="H32" s="260" t="s">
        <v>836</v>
      </c>
      <c r="I32" s="260" t="s">
        <v>852</v>
      </c>
      <c r="J32" s="260" t="s">
        <v>571</v>
      </c>
      <c r="K32" s="264" t="s">
        <v>118</v>
      </c>
      <c r="L32" s="260" t="s">
        <v>121</v>
      </c>
      <c r="M32" s="260" t="s">
        <v>15</v>
      </c>
    </row>
    <row r="33">
      <c r="A33" s="260" t="s">
        <v>853</v>
      </c>
      <c r="B33" s="260" t="s">
        <v>835</v>
      </c>
      <c r="C33" s="260" t="s">
        <v>771</v>
      </c>
      <c r="D33" s="260"/>
      <c r="E33" s="260"/>
      <c r="F33" s="260"/>
      <c r="G33" s="260"/>
      <c r="H33" s="260" t="s">
        <v>836</v>
      </c>
      <c r="I33" s="260" t="s">
        <v>854</v>
      </c>
      <c r="J33" s="260" t="s">
        <v>571</v>
      </c>
      <c r="K33" s="264" t="s">
        <v>118</v>
      </c>
      <c r="L33" s="260" t="s">
        <v>833</v>
      </c>
      <c r="M33" s="260" t="s">
        <v>21</v>
      </c>
    </row>
    <row r="34">
      <c r="A34" s="260" t="s">
        <v>855</v>
      </c>
      <c r="B34" s="260" t="s">
        <v>835</v>
      </c>
      <c r="C34" s="260" t="s">
        <v>771</v>
      </c>
      <c r="D34" s="260"/>
      <c r="E34" s="260"/>
      <c r="F34" s="260"/>
      <c r="G34" s="260"/>
      <c r="H34" s="260" t="s">
        <v>836</v>
      </c>
      <c r="I34" s="260" t="s">
        <v>856</v>
      </c>
      <c r="J34" s="260" t="s">
        <v>571</v>
      </c>
      <c r="K34" s="264" t="s">
        <v>118</v>
      </c>
      <c r="L34" s="260" t="s">
        <v>774</v>
      </c>
      <c r="M34" s="260" t="s">
        <v>857</v>
      </c>
    </row>
    <row r="35">
      <c r="A35" s="260" t="s">
        <v>858</v>
      </c>
      <c r="B35" s="260" t="s">
        <v>835</v>
      </c>
      <c r="C35" s="260" t="s">
        <v>771</v>
      </c>
      <c r="D35" s="260"/>
      <c r="E35" s="260"/>
      <c r="F35" s="260"/>
      <c r="G35" s="260"/>
      <c r="H35" s="260" t="s">
        <v>836</v>
      </c>
      <c r="I35" s="260" t="s">
        <v>859</v>
      </c>
      <c r="J35" s="260" t="s">
        <v>571</v>
      </c>
      <c r="K35" s="264" t="s">
        <v>118</v>
      </c>
      <c r="L35" s="260" t="s">
        <v>833</v>
      </c>
      <c r="M35" s="260" t="s">
        <v>17</v>
      </c>
    </row>
    <row r="36">
      <c r="A36" s="260" t="s">
        <v>860</v>
      </c>
      <c r="B36" s="260" t="s">
        <v>835</v>
      </c>
      <c r="C36" s="260" t="s">
        <v>771</v>
      </c>
      <c r="D36" s="260"/>
      <c r="E36" s="260"/>
      <c r="F36" s="260"/>
      <c r="G36" s="260"/>
      <c r="H36" s="260" t="s">
        <v>836</v>
      </c>
      <c r="I36" s="260" t="s">
        <v>861</v>
      </c>
      <c r="J36" s="260" t="s">
        <v>571</v>
      </c>
      <c r="K36" s="264" t="s">
        <v>118</v>
      </c>
      <c r="L36" s="260" t="s">
        <v>774</v>
      </c>
      <c r="M36" s="260" t="s">
        <v>862</v>
      </c>
    </row>
  </sheetData>
</worksheet>
</file>

<file path=xl/worksheets/sheet11.xml><?xml version="1.0" encoding="utf-8"?>
<worksheet xmlns="http://schemas.openxmlformats.org/spreadsheetml/2006/main" xmlns:r="http://schemas.openxmlformats.org/officeDocument/2006/relationships">
  <dimension ref="A1:H19"/>
  <sheetViews>
    <sheetView showGridLines="0" workbookViewId="0"/>
  </sheetViews>
  <sheetFormatPr defaultColWidth="8.375" defaultRowHeight="15"/>
  <cols>
    <col min="1" max="4" width="16.875" customWidth="1"/>
    <col min="5" max="5" width="59.375" customWidth="1"/>
    <col min="6" max="8" width="16.875" customWidth="1"/>
  </cols>
  <sheetData>
    <row r="1">
      <c r="A1" s="263" t="s">
        <v>0</v>
      </c>
      <c r="B1" s="260"/>
      <c r="C1" s="260"/>
      <c r="D1" s="260"/>
      <c r="E1" s="260"/>
      <c r="F1" s="260"/>
      <c r="G1" s="260"/>
      <c r="H1" s="260"/>
    </row>
    <row r="2">
      <c r="A2" s="260" t="s">
        <v>863</v>
      </c>
      <c r="B2" s="260"/>
      <c r="C2" s="260"/>
      <c r="D2" s="260"/>
      <c r="E2" s="260"/>
      <c r="F2" s="260"/>
      <c r="G2" s="260"/>
      <c r="H2" s="260"/>
    </row>
    <row r="3">
      <c r="A3" s="261" t="s">
        <v>864</v>
      </c>
      <c r="B3" s="261"/>
      <c r="C3" s="261"/>
      <c r="D3" s="261"/>
      <c r="E3" s="261"/>
      <c r="F3" s="261"/>
      <c r="G3" s="261"/>
      <c r="H3" s="261"/>
    </row>
    <row r="4">
      <c r="A4" s="260"/>
      <c r="B4" s="262"/>
      <c r="C4" s="260"/>
      <c r="D4" s="260"/>
      <c r="E4" s="260"/>
      <c r="F4" s="260"/>
      <c r="G4" s="260"/>
      <c r="H4" s="260"/>
    </row>
    <row r="5">
      <c r="A5" s="260"/>
      <c r="B5" s="262"/>
      <c r="C5" s="260"/>
      <c r="D5" s="260"/>
      <c r="E5" s="260"/>
      <c r="F5" s="260"/>
      <c r="G5" s="260"/>
      <c r="H5" s="260"/>
    </row>
    <row r="6">
      <c r="A6" s="260"/>
      <c r="B6" s="262"/>
      <c r="C6" s="260"/>
      <c r="D6" s="260"/>
      <c r="E6" s="260"/>
      <c r="F6" s="260"/>
      <c r="G6" s="260"/>
      <c r="H6" s="260"/>
    </row>
    <row r="7">
      <c r="A7" s="260"/>
      <c r="B7" s="262"/>
      <c r="C7" s="260"/>
      <c r="D7" s="260"/>
      <c r="E7" s="260"/>
      <c r="F7" s="260"/>
      <c r="G7" s="260"/>
      <c r="H7" s="260"/>
    </row>
    <row r="8">
      <c r="A8" s="260"/>
      <c r="B8" s="262"/>
      <c r="C8" s="260"/>
      <c r="D8" s="260"/>
      <c r="E8" s="260"/>
      <c r="F8" s="260"/>
      <c r="G8" s="260"/>
      <c r="H8" s="260"/>
    </row>
    <row r="9">
      <c r="A9" s="260"/>
      <c r="B9" s="262"/>
      <c r="C9" s="260"/>
      <c r="D9" s="260"/>
      <c r="E9" s="260"/>
      <c r="F9" s="260"/>
      <c r="G9" s="260"/>
      <c r="H9" s="260"/>
    </row>
    <row r="10">
      <c r="A10" s="260"/>
      <c r="B10" s="262"/>
      <c r="C10" s="260"/>
      <c r="D10" s="260"/>
      <c r="E10" s="260"/>
      <c r="F10" s="260"/>
      <c r="G10" s="260"/>
      <c r="H10" s="260"/>
    </row>
    <row r="11">
      <c r="A11" s="260"/>
      <c r="B11" s="262"/>
      <c r="C11" s="260"/>
      <c r="D11" s="260"/>
      <c r="E11" s="260"/>
      <c r="F11" s="260"/>
      <c r="G11" s="260"/>
      <c r="H11" s="260"/>
    </row>
    <row r="12">
      <c r="A12" s="260"/>
      <c r="B12" s="262"/>
      <c r="C12" s="260"/>
      <c r="D12" s="260"/>
      <c r="E12" s="260"/>
      <c r="F12" s="260"/>
      <c r="G12" s="260"/>
      <c r="H12" s="260"/>
    </row>
    <row r="13">
      <c r="A13" s="260"/>
      <c r="B13" s="262"/>
      <c r="C13" s="260"/>
      <c r="D13" s="260"/>
      <c r="E13" s="260"/>
      <c r="F13" s="260"/>
      <c r="G13" s="260"/>
      <c r="H13" s="260"/>
    </row>
    <row r="14">
      <c r="A14" s="260"/>
      <c r="B14" s="262"/>
      <c r="C14" s="260"/>
      <c r="D14" s="260"/>
      <c r="E14" s="260"/>
      <c r="F14" s="260"/>
      <c r="G14" s="260"/>
      <c r="H14" s="260"/>
    </row>
    <row r="15">
      <c r="A15" s="260"/>
      <c r="B15" s="262"/>
      <c r="C15" s="260"/>
      <c r="D15" s="260"/>
      <c r="E15" s="260"/>
      <c r="F15" s="260"/>
      <c r="G15" s="260"/>
      <c r="H15" s="260"/>
    </row>
    <row r="16">
      <c r="A16" s="260"/>
      <c r="B16" s="262"/>
      <c r="C16" s="260"/>
      <c r="D16" s="260"/>
      <c r="E16" s="260"/>
      <c r="F16" s="260"/>
      <c r="G16" s="260"/>
      <c r="H16" s="260"/>
    </row>
    <row r="17">
      <c r="A17" s="260"/>
      <c r="B17" s="262"/>
      <c r="C17" s="260"/>
      <c r="D17" s="260"/>
      <c r="E17" s="260"/>
      <c r="F17" s="260"/>
      <c r="G17" s="260"/>
      <c r="H17" s="260"/>
    </row>
    <row r="18">
      <c r="A18" s="260"/>
      <c r="B18" s="262"/>
      <c r="C18" s="260"/>
      <c r="D18" s="260"/>
      <c r="E18" s="260"/>
      <c r="F18" s="260"/>
      <c r="G18" s="260"/>
      <c r="H18" s="260"/>
    </row>
    <row r="19">
      <c r="A19" s="260"/>
      <c r="B19" s="260"/>
      <c r="C19" s="260"/>
      <c r="D19" s="260"/>
      <c r="E19" s="260"/>
      <c r="F19" s="260"/>
      <c r="G19" s="260"/>
      <c r="H19" s="260"/>
    </row>
  </sheetData>
</worksheet>
</file>

<file path=xl/worksheets/sheet12.xml><?xml version="1.0" encoding="utf-8"?>
<worksheet xmlns="http://schemas.openxmlformats.org/spreadsheetml/2006/main" xmlns:r="http://schemas.openxmlformats.org/officeDocument/2006/relationships">
  <dimension ref="A1:F2"/>
  <sheetViews>
    <sheetView showGridLines="0" workbookViewId="0"/>
  </sheetViews>
  <sheetFormatPr defaultColWidth="8.375" defaultRowHeight="15"/>
  <cols>
    <col min="1" max="1" width="8.70703125" customWidth="1"/>
    <col min="2" max="2" width="18.0390625" customWidth="1"/>
    <col min="3" max="4" width="57.70703125" customWidth="1"/>
    <col min="5" max="5" width="81.0390625" customWidth="1"/>
    <col min="6" max="6" width="46.0390625" customWidth="1"/>
  </cols>
  <sheetData>
    <row r="1">
      <c r="A1" s="266" t="s">
        <v>865</v>
      </c>
      <c r="B1" s="266" t="s">
        <v>866</v>
      </c>
      <c r="C1" s="266" t="s">
        <v>867</v>
      </c>
      <c r="D1" s="266" t="s">
        <v>868</v>
      </c>
      <c r="E1" s="266" t="s">
        <v>869</v>
      </c>
      <c r="F1" s="266" t="s">
        <v>870</v>
      </c>
    </row>
    <row r="2">
      <c r="A2" s="265">
        <v>1</v>
      </c>
      <c r="B2" s="267">
        <v>46324.3593267824</v>
      </c>
      <c r="C2" s="265" t="s">
        <v>871</v>
      </c>
      <c r="D2" s="265" t="s">
        <v>872</v>
      </c>
      <c r="E2" s="265" t="s">
        <v>873</v>
      </c>
      <c r="F2" s="265" t="s">
        <v>874</v>
      </c>
    </row>
  </sheetData>
</worksheet>
</file>