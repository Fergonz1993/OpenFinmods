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EFF" sheetId="1" r:id="rId1"/>
    <sheet name="Notas_EEFF" sheetId="2" r:id="rId5"/>
    <sheet name="Supuestos" sheetId="3" r:id="rId6"/>
    <sheet name="ModeloFinanciero" sheetId="4" r:id="rId7"/>
    <sheet name="_CHECKS" sheetId="5" r:id="rId8"/>
    <sheet name="Source_Register" sheetId="6" r:id="rId9"/>
    <sheet name="_CHANGELOG" sheetId="7" r:id="rId10"/>
    <sheet name="Claude Code Log" sheetId="8" r:id="rId11"/>
  </sheets>
  <calcPr calcId="0"/>
</workbook>
</file>

<file path=xl/sharedStrings.xml><?xml version="1.0" encoding="utf-8"?>
<sst xmlns="http://schemas.openxmlformats.org/spreadsheetml/2006/main" count="914" uniqueCount="401">
  <si>
    <t>Group Energy Gas Panamá, S. de R.L. and Subsidiary</t>
  </si>
  <si>
    <t>Consolidated Audited Financial Statements — December 31, 2025, 2024 and 2023 (issuer = Generadora de Gatún, S.A.)</t>
  </si>
  <si>
    <t>(All amounts in US$ unless otherwise stated)</t>
  </si>
  <si>
    <t>Años</t>
  </si>
  <si>
    <t>FY21A</t>
  </si>
  <si>
    <t>FY22A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</si>
  <si>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</si>
  <si>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</si>
  <si>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</si>
  <si>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</si>
  <si>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</si>
  <si>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</si>
  <si>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</si>
  <si>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</si>
  <si>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Consolidated Statement of Comprehensive Income (Loss)</t>
  </si>
  <si>
    <t>Electricity sales</t>
  </si>
  <si>
    <t>Operating costs and expenses</t>
  </si>
  <si>
    <t>Electricity purchases</t>
  </si>
  <si>
    <t>Fuel costs</t>
  </si>
  <si>
    <t>Depreciation and amortization</t>
  </si>
  <si>
    <t>Operating, maintenance, and transmission costs</t>
  </si>
  <si>
    <t>General and administrative expenses</t>
  </si>
  <si>
    <t>Total operating costs and expenses</t>
  </si>
  <si>
    <t>Operating income (loss)</t>
  </si>
  <si>
    <t>Other (expenses) income</t>
  </si>
  <si>
    <t>Finance cost, net</t>
  </si>
  <si>
    <t>Other income, net</t>
  </si>
  <si>
    <t>Total other expenses, net</t>
  </si>
  <si>
    <t>Net loss before tax</t>
  </si>
  <si>
    <t>Income tax</t>
  </si>
  <si>
    <t>Net loss</t>
  </si>
  <si>
    <t>Other comprehensive income (loss)</t>
  </si>
  <si>
    <t>Items that may be reclassified to profit or loss</t>
  </si>
  <si>
    <t>Cash flow hedge reserve</t>
  </si>
  <si>
    <t>Total other comprehensive (loss) income</t>
  </si>
  <si>
    <t>Consolidated Balance Sheet</t>
  </si>
  <si>
    <t>Assets</t>
  </si>
  <si>
    <t>Current assets</t>
  </si>
  <si>
    <t>Cash</t>
  </si>
  <si>
    <t>Restricted cash</t>
  </si>
  <si>
    <t>Accounts receivable</t>
  </si>
  <si>
    <t>Accounts receivable related parties</t>
  </si>
  <si>
    <t>Inventories</t>
  </si>
  <si>
    <t>Prepaid expenses and other assets</t>
  </si>
  <si>
    <t>Total current assets</t>
  </si>
  <si>
    <t>Non-current assets</t>
  </si>
  <si>
    <t>Property, plant and equipment</t>
  </si>
  <si>
    <t>Construction in progress</t>
  </si>
  <si>
    <t>Intangible asset</t>
  </si>
  <si>
    <t>Right-of-use assets</t>
  </si>
  <si>
    <t>Guarantee deposit</t>
  </si>
  <si>
    <t>Derivative financial instruments</t>
  </si>
  <si>
    <t>Severance fund</t>
  </si>
  <si>
    <t>Deferred tax asset</t>
  </si>
  <si>
    <t>Total non-current assets</t>
  </si>
  <si>
    <t>Total assets</t>
  </si>
  <si>
    <t>Liabilities</t>
  </si>
  <si>
    <t>Current liabilities</t>
  </si>
  <si>
    <t>Accounts payable</t>
  </si>
  <si>
    <t>Loans payable, short term</t>
  </si>
  <si>
    <t>Accounts payable sellers</t>
  </si>
  <si>
    <t>Accounts payable related parties</t>
  </si>
  <si>
    <t>Lease liabilities, short-term</t>
  </si>
  <si>
    <t>Income tax payable</t>
  </si>
  <si>
    <t>Accrued expenses and other liabilities</t>
  </si>
  <si>
    <t>Total current liabilities</t>
  </si>
  <si>
    <t>Non-current liabilities</t>
  </si>
  <si>
    <t>Account payable sellers</t>
  </si>
  <si>
    <t>Loans payable, long term</t>
  </si>
  <si>
    <t>Lease liabilities, long-term</t>
  </si>
  <si>
    <t>Seniority premium</t>
  </si>
  <si>
    <t>Total non-current liabilities</t>
  </si>
  <si>
    <t>Total liabilities</t>
  </si>
  <si>
    <t>Equity</t>
  </si>
  <si>
    <t>Quotes of participation</t>
  </si>
  <si>
    <t>Accumulated deficit</t>
  </si>
  <si>
    <t>Total equity</t>
  </si>
  <si>
    <t>Total liabilities and equity</t>
  </si>
  <si>
    <t>Consolidated Statement of Cash Flows</t>
  </si>
  <si>
    <t>Cash flows from operating activities</t>
  </si>
  <si>
    <t>Adjustments to reconcile net loss before tax to net cash provided by operating activities:</t>
  </si>
  <si>
    <t>Depreciation of property, plant and equipment</t>
  </si>
  <si>
    <t>Amortization of intangible assets</t>
  </si>
  <si>
    <t>Amortization of right of use asset</t>
  </si>
  <si>
    <t>Interest on accounts payable sellers</t>
  </si>
  <si>
    <t>Finance cost</t>
  </si>
  <si>
    <t>Finance income</t>
  </si>
  <si>
    <t>Other expenses</t>
  </si>
  <si>
    <t>Amortization of deferred financing costs</t>
  </si>
  <si>
    <t>Cash flows before working capital movements</t>
  </si>
  <si>
    <t>Net changes in assets and liabilities:</t>
  </si>
  <si>
    <t>Account payable</t>
  </si>
  <si>
    <t>Account payable to related party</t>
  </si>
  <si>
    <t>Income tax paid</t>
  </si>
  <si>
    <t>Net cash provided by (used in) operating activities</t>
  </si>
  <si>
    <t>Cash flows from investing activities</t>
  </si>
  <si>
    <t>Purchase land</t>
  </si>
  <si>
    <t>Payments to sellers</t>
  </si>
  <si>
    <t>Net cash used in investing activities</t>
  </si>
  <si>
    <t>Cash flows from financing activities</t>
  </si>
  <si>
    <t>Capital contribution received</t>
  </si>
  <si>
    <t>Decrease in participation</t>
  </si>
  <si>
    <t>Proceeds from bank loans</t>
  </si>
  <si>
    <t>Deferred financing costs paid</t>
  </si>
  <si>
    <t>Loans payments</t>
  </si>
  <si>
    <t>Interest paid</t>
  </si>
  <si>
    <t>Lease payments</t>
  </si>
  <si>
    <t>Net cash (used in) provided by financing activities</t>
  </si>
  <si>
    <t>Net (decrease) increase in cash</t>
  </si>
  <si>
    <t>Cash at the beginning of the year</t>
  </si>
  <si>
    <t>Cash at the end of the year</t>
  </si>
  <si>
    <t>Notas a los Estados Financieros</t>
  </si>
  <si>
    <t>Fuente: informes auditados vía OCR Mistral (verbatim).</t>
  </si>
  <si>
    <t>Año</t>
  </si>
  <si>
    <t>Documento fuente</t>
  </si>
  <si>
    <t>Página OCR</t>
  </si>
  <si>
    <t>Tabla OCR / sección</t>
  </si>
  <si>
    <t>Nota #</t>
  </si>
  <si>
    <t>Título original de la nota</t>
  </si>
  <si>
    <t>Categoría modelable</t>
  </si>
  <si>
    <t>Line item EEFF</t>
  </si>
  <si>
    <t>Sub-line item / detalle</t>
  </si>
  <si>
    <t>Texto original / disclosure</t>
  </si>
  <si>
    <t>Monto reportado</t>
  </si>
  <si>
    <t>Moneda</t>
  </si>
  <si>
    <t>Unidad / escala</t>
  </si>
  <si>
    <t>Fecha / venc. / tasa / plazo</t>
  </si>
  <si>
    <t>Contraparte / contrato / instrumento</t>
  </si>
  <si>
    <t>Impacto en Supuestos</t>
  </si>
  <si>
    <t>Impacto en ModeloFinanciero</t>
  </si>
  <si>
    <t>Link a celda EEFF</t>
  </si>
  <si>
    <t>Comentario de extracción</t>
  </si>
  <si>
    <t>Status</t>
  </si>
  <si>
    <t>NOT_DISCLOSED</t>
  </si>
  <si>
    <t>N/A</t>
  </si>
  <si>
    <t>Notas a los EEFF — OCR no localizó la sección de notas</t>
  </si>
  <si>
    <t>Otros</t>
  </si>
  <si>
    <t>NOT_DISCLOSED: revisión OCR manual requerida.</t>
  </si>
  <si>
    <t>roots=0 docs=0</t>
  </si>
  <si>
    <t>COLOR KEY: Input (azul) · Fórmula (negro) · Link inter-hoja (verde)</t>
  </si>
  <si>
    <t>Escenario (1=Base, 2=Bull, 3=Bear)</t>
  </si>
  <si>
    <t xml:space="preserve">  Selector escenario</t>
  </si>
  <si>
    <t>caso</t>
  </si>
  <si>
    <t>Derivación mecánica declarada por el plan.</t>
  </si>
  <si>
    <t xml:space="preserve">  Escenario activo</t>
  </si>
  <si>
    <t>moneda del modelo</t>
  </si>
  <si>
    <t>Selector de caso activo C5: Base/Bull/Bear.</t>
  </si>
  <si>
    <t>Unidad</t>
  </si>
  <si>
    <t>Fuente / nota</t>
  </si>
  <si>
    <t>Rationale</t>
  </si>
  <si>
    <t>A. ELECTRICITY SALES — PxQ (MWh × $/MWh)</t>
  </si>
  <si>
    <t xml:space="preserve">  Net contracted energy sold (MWh)</t>
  </si>
  <si>
    <t>MWh</t>
  </si>
  <si>
    <t xml:space="preserve">  Realized contracted electricity price ($/MWh)</t>
  </si>
  <si>
    <t>Derivación mecánica por fórmula viva.</t>
  </si>
  <si>
    <t xml:space="preserve">  Electricity sales</t>
  </si>
  <si>
    <t xml:space="preserve">  Electricity sales (hist, ref EEFF)</t>
  </si>
  <si>
    <t>EEFF (citado por fórmula viva)</t>
  </si>
  <si>
    <t>Mirror histórico desde fuente citada.</t>
  </si>
  <si>
    <t>B. COSTO DE VENTAS (% de ingresos)</t>
  </si>
  <si>
    <t xml:space="preserve">  Fuel costs — driver activo</t>
  </si>
  <si>
    <t xml:space="preserve">    Bear</t>
  </si>
  <si>
    <t>Escenario driver citado; NOT_DISCLOSED si no hay fuente explícita.</t>
  </si>
  <si>
    <t xml:space="preserve">    Base</t>
  </si>
  <si>
    <t xml:space="preserve">    Bull</t>
  </si>
  <si>
    <t xml:space="preserve">  Fuel costs ÷ ingresos (hist, ref EEFF)</t>
  </si>
  <si>
    <t>%</t>
  </si>
  <si>
    <t>C. GASTOS OPERATIVOS (% de ingresos)</t>
  </si>
  <si>
    <t xml:space="preserve">  General and administrative expenses — driver activo</t>
  </si>
  <si>
    <t xml:space="preserve">  General and administrative expenses ÷ ingresos (hist, ref EEFF)</t>
  </si>
  <si>
    <t>_CHECKS panel — power template, live formulas, known residuals signed visible</t>
  </si>
  <si>
    <t>Status semantics: PASS = zero undocumented hard failures; KNOWN_RESIDUAL = signed G7 residual; SOURCE_GAP = unresolved semantic anchor/schedule.</t>
  </si>
  <si>
    <t>MASTER_STATUS</t>
  </si>
  <si>
    <t>MODEL STATUS</t>
  </si>
  <si>
    <t>Master PASS counts only FAIL rows; KNOWN_RESIDUAL/SOURCE_GAP remain visible but non-blocking.</t>
  </si>
  <si>
    <t>check_id</t>
  </si>
  <si>
    <t>description</t>
  </si>
  <si>
    <t>status</t>
  </si>
  <si>
    <t>hardness</t>
  </si>
  <si>
    <t>tolerance</t>
  </si>
  <si>
    <t>expected</t>
  </si>
  <si>
    <t>note</t>
  </si>
  <si>
    <t>UNIVERSAL CHECKS</t>
  </si>
  <si>
    <t>BS_BALANCE</t>
  </si>
  <si>
    <t>UNIVERSAL | expected 0; hard fail if ABS(value) &gt; hard_tie_tolerance. Observed: UEPII critical gate &lt;10 for BS/cash; BG hard reconciliation &gt;=1000 because full USD. | source applies_to: all 16 archetypes</t>
  </si>
  <si>
    <t>hard</t>
  </si>
  <si>
    <t>1000 USD</t>
  </si>
  <si>
    <t>expected 0; hard fail if ABS(value) &gt; hard_tie_tolerance. Observed: UEPII critical gate &lt;10 for BS/cash; BG hard reconciliation &gt;=1000 because full USD. Default full-USD hard tie threshold is $1,000 unless the workbook declares a tighter scale-aware tolerance.</t>
  </si>
  <si>
    <t>CASH_TIE</t>
  </si>
  <si>
    <t>UNIVERSAL | expected 0; use hard_tie_tolerance; if cash includes restricted cash/time deposits, define cash_component role explicitly. | source applies_to: all 16 archetypes</t>
  </si>
  <si>
    <t>SOURCE_GAP</t>
  </si>
  <si>
    <t>No semantic anchors resolved for CASH_TIE.</t>
  </si>
  <si>
    <t>CF_ROLLFORWARD</t>
  </si>
  <si>
    <t>UNIVERSAL | expected 0; hard_tie_tolerance; historical rows may be WARN if source CF transcript is incomplete. | source applies_to: all 16 where CF is modeled</t>
  </si>
  <si>
    <t>expected 0; hard_tie_tolerance; historical rows may be WARN if source CF transcript is incomplete. Default full-USD hard tie threshold is $1,000 unless the workbook declares a tighter scale-aware tolerance.</t>
  </si>
  <si>
    <t>NI_TIE_TO_EQUITY</t>
  </si>
  <si>
    <t>UNIVERSAL | expected 0; hard_tie_tolerance. | source applies_to: all 16</t>
  </si>
  <si>
    <t>No semantic anchors resolved for NI_TIE_TO_EQUITY.</t>
  </si>
  <si>
    <t>NI_SIGN_SANITY</t>
  </si>
  <si>
    <t>UNIVERSAL | expected 0; sign convention must be stated in row description. | source applies_to: all 16</t>
  </si>
  <si>
    <t>No semantic anchors resolved for NI_SIGN_SANITY.</t>
  </si>
  <si>
    <t>RE_ROLLFORWARD</t>
  </si>
  <si>
    <t>UNIVERSAL | expected 0; hard_tie_tolerance. | source applies_to: all 16 with RE row</t>
  </si>
  <si>
    <t>No semantic anchors resolved for RE_ROLLFORWARD.</t>
  </si>
  <si>
    <t>EQUITY_TOTAL_TIE</t>
  </si>
  <si>
    <t>expected 0; hard_tie_tolerance. Default full-USD hard tie threshold is $1,000 unless the workbook declares a tighter scale-aware tolerance.</t>
  </si>
  <si>
    <t>BS_LINEITEM_SUM_ASSETS</t>
  </si>
  <si>
    <t>BS_LINEITEM_SUM_LIAB_EQUITY</t>
  </si>
  <si>
    <t>SOURCE_TIE_HISTORICAL</t>
  </si>
  <si>
    <t>UNIVERSAL | expected 0 for audited rows; SOURCE_GAP/WARN allowed only with explicit source-gap note. | source applies_to: all 16</t>
  </si>
  <si>
    <t>100000 USD</t>
  </si>
  <si>
    <t>Audited rows tie to 0; only bank ending-cash-vs-EEFF cash rows may use the observed $100,000 hard threshold; SOURCE_GAP/WARN requires explicit source-gap note.</t>
  </si>
  <si>
    <t>NO_FORMULA_ERRORS</t>
  </si>
  <si>
    <t>UNIVERSAL | expected PASS/0; no masking. | source applies_to: all 16</t>
  </si>
  <si>
    <t>PASS</t>
  </si>
  <si>
    <t>expected PASS/0; no masking.</t>
  </si>
  <si>
    <t>NO_CHECKS_MASTER_FAIL</t>
  </si>
  <si>
    <t>UNIVERSAL | expected PASS; status row should cite included/excluded rows. | source applies_to: all 16</t>
  </si>
  <si>
    <t>expected PASS; status row should cite included/excluded rows.</t>
  </si>
  <si>
    <t>CONDITIONAL CHECKS</t>
  </si>
  <si>
    <t>PPE_SCHEDULE_TIE</t>
  </si>
  <si>
    <t>ARCHETYPE/conditional | expected 0; hard_tie_tolerance. | source applies_to: operating-EBITDA, power, utility, downstream fuel, other non-financials</t>
  </si>
  <si>
    <t>No semantic anchors resolved for PPE_SCHEDULE_TIE.</t>
  </si>
  <si>
    <t>LEASE_SCHEDULE_TIE</t>
  </si>
  <si>
    <t>ARCHETYPE/conditional | expected 0; hard_tie_tolerance. | source applies_to: IFRS-16 issuers</t>
  </si>
  <si>
    <t>No semantic anchors resolved for LEASE_SCHEDULE_TIE.</t>
  </si>
  <si>
    <t>DEBT_SCHEDULE_TIE</t>
  </si>
  <si>
    <t>ARCHETYPE/conditional | expected 0; hard_tie_tolerance; project-finance debt can include accrued interest/unamortized cost roles. | source applies_to: non-bank-lender, power, utility, operating-EBITDA with debt</t>
  </si>
  <si>
    <t>No semantic anchors resolved for DEBT_SCHEDULE_TIE.</t>
  </si>
  <si>
    <t>POWER CHECKS</t>
  </si>
  <si>
    <t>POWER_REVENUE_BUILD_TIE</t>
  </si>
  <si>
    <t>ARCHETYPE | expected 0; hard_tie_tolerance. | source applies_to: power, utility</t>
  </si>
  <si>
    <t>No semantic anchors resolved for POWER_REVENUE_BUILD_TIE.</t>
  </si>
  <si>
    <t>POWER_CHANNEL_VOLUME_TIE</t>
  </si>
  <si>
    <t>ARCHETYPE | expected 0; observed UEPII uses N/A for years without channel split. | source applies_to: power, utility</t>
  </si>
  <si>
    <t>volume_tolerance</t>
  </si>
  <si>
    <t>No semantic anchors resolved for POWER_CHANNEL_VOLUME_TIE.</t>
  </si>
  <si>
    <t>POWER_CAPACITY_CEILING</t>
  </si>
  <si>
    <t>ARCHETYPE | PASS/FAIL or 0/1; threshold from hours-per-year parameter. | source applies_to: power, utility</t>
  </si>
  <si>
    <t>Installed-capacity ceiling needs an addressable capacity-driver row before the live check can be rendered without hardcoded formula constants.</t>
  </si>
  <si>
    <t>POWER_DSRA_COVERAGE</t>
  </si>
  <si>
    <t>ARCHETYPE | expected 0; UEPII tail uses &lt;=1 tolerance in U2 rows. | source applies_to: project-finance power/utility</t>
  </si>
  <si>
    <t>1 model currency or ratio residual</t>
  </si>
  <si>
    <t>No semantic anchors resolved for POWER_DSRA_COVERAGE.</t>
  </si>
  <si>
    <t>POWER_DSCR_COVENANT</t>
  </si>
  <si>
    <t>ARCHETYPE | must be &gt;=0 or explicit business-warning text; not always a mechanical blocker. | source applies_to: project-finance power/utility</t>
  </si>
  <si>
    <t>soft</t>
  </si>
  <si>
    <t>0 cushion</t>
  </si>
  <si>
    <t>&gt;=0</t>
  </si>
  <si>
    <t>No semantic anchors resolved for POWER_DSCR_COVENANT.</t>
  </si>
  <si>
    <t>POWER_DEBT_FACE_ZERO</t>
  </si>
  <si>
    <t>ARCHETYPE | PASS/FAIL; tail-life projects. | source applies_to: finite-life project finance</t>
  </si>
  <si>
    <t>No semantic anchors resolved for POWER_DEBT_FACE_ZERO.</t>
  </si>
  <si>
    <t>OPERATING_GP_OR_EBITDA_TIE</t>
  </si>
  <si>
    <t>ARCHETYPE | expected 0; hard_tie_tolerance. | source applies_to: operating-EBITDA, downstream fuel, power when EBITDA is used</t>
  </si>
  <si>
    <t>No semantic anchors resolved for OPERATING_GP_OR_EBITDA_TIE.</t>
  </si>
  <si>
    <t>Source_Register — power archetype. Every row traces to a published filing (OCR text) or to a working file kept by the maintainer.</t>
  </si>
  <si>
    <t>Status semantics: OK = citation resolved to an existing artifact. SOURCE_GAP = traceability missing (visible, not hidden). NOT_DISCLOSED = no registration/manifest found for this issuer.</t>
  </si>
  <si>
    <t>source_id</t>
  </si>
  <si>
    <t>kind</t>
  </si>
  <si>
    <t>ticker</t>
  </si>
  <si>
    <t>filing</t>
  </si>
  <si>
    <t>year</t>
  </si>
  <si>
    <t>nota</t>
  </si>
  <si>
    <t>tabla_ocr</t>
  </si>
  <si>
    <t>feeds_sheet</t>
  </si>
  <si>
    <t>feeds_anchor</t>
  </si>
  <si>
    <t>date</t>
  </si>
  <si>
    <t>evidence_count</t>
  </si>
  <si>
    <t>OCR_ROOT:gana-gatun</t>
  </si>
  <si>
    <t>OCR_ROOT</t>
  </si>
  <si>
    <t>EEFF; Notas_EEFF</t>
  </si>
  <si>
    <t>OCR of the published filings</t>
  </si>
  <si>
    <t>OK</t>
  </si>
  <si>
    <t>1</t>
  </si>
  <si>
    <t>Published filings of gana-gatun</t>
  </si>
  <si>
    <t>EEFF_FILING:gatun_final_offering_memorandum_ratings_letter</t>
  </si>
  <si>
    <t>EEFF_FILING</t>
  </si>
  <si>
    <t>Gatun - Final Offering Memorandum &amp; Ratings Letter.pdf</t>
  </si>
  <si>
    <t>markdown.md</t>
  </si>
  <si>
    <t>EEFF; Notas_EEFF; MD&amp;A</t>
  </si>
  <si>
    <t>602</t>
  </si>
  <si>
    <t>markdown.md sha256=1c0060ae3a96104e...</t>
  </si>
  <si>
    <t>EEFF_FILING:gatun_preliminary_offering_memorandum_ered_93</t>
  </si>
  <si>
    <t>Gatun - Preliminary Offering Memorandum (eRed)[93].pdf</t>
  </si>
  <si>
    <t>592</t>
  </si>
  <si>
    <t>markdown.md sha256=66a3f3b08fb4607b...</t>
  </si>
  <si>
    <t>NOTA:Gatun - Final Offering Memorandum &amp; Ratings Letter.pdf#1</t>
  </si>
  <si>
    <t>NOTA</t>
  </si>
  <si>
    <t>Notas_EEFF</t>
  </si>
  <si>
    <t>1. MAIN ASSUMPTIONS</t>
  </si>
  <si>
    <t>186</t>
  </si>
  <si>
    <t>NOTA:Gatun - Final Offering Memorandum &amp; Ratings Letter.pdf#10</t>
  </si>
  <si>
    <t>10</t>
  </si>
  <si>
    <t>10. Construction in Progress</t>
  </si>
  <si>
    <t>15</t>
  </si>
  <si>
    <t>NOTA:Gatun - Final Offering Memorandum &amp; Ratings Letter.pdf#11</t>
  </si>
  <si>
    <t>11</t>
  </si>
  <si>
    <t>11. Lease</t>
  </si>
  <si>
    <t>19</t>
  </si>
  <si>
    <t>NOTA:Gatun - Final Offering Memorandum &amp; Ratings Letter.pdf#12</t>
  </si>
  <si>
    <t>12</t>
  </si>
  <si>
    <t>12. Loans Payable (Continued)</t>
  </si>
  <si>
    <t>44</t>
  </si>
  <si>
    <t>NOTA:Gatun - Final Offering Memorandum &amp; Ratings Letter.pdf#13</t>
  </si>
  <si>
    <t>13</t>
  </si>
  <si>
    <t>13. Hedge Accounting Applicable to Senior Credit Agreement (Continued)</t>
  </si>
  <si>
    <t>48</t>
  </si>
  <si>
    <t>NOTA:Gatun - Final Offering Memorandum &amp; Ratings Letter.pdf#14</t>
  </si>
  <si>
    <t>14</t>
  </si>
  <si>
    <t>14. Accounts Payable</t>
  </si>
  <si>
    <t>2</t>
  </si>
  <si>
    <t>NOTA:Gatun - Final Offering Memorandum &amp; Ratings Letter.pdf#15</t>
  </si>
  <si>
    <t>15. Balances and Transactions with Related Parties (Continued)</t>
  </si>
  <si>
    <t>27</t>
  </si>
  <si>
    <t>NOTA:Gatun - Final Offering Memorandum &amp; Ratings Letter.pdf#16</t>
  </si>
  <si>
    <t>16</t>
  </si>
  <si>
    <t>16. Prepaid Expenses and Other Assets</t>
  </si>
  <si>
    <t>NOTA:Gatun - Final Offering Memorandum &amp; Ratings Letter.pdf#17</t>
  </si>
  <si>
    <t>17</t>
  </si>
  <si>
    <t>17. Shareholders’ Equity (Continued)</t>
  </si>
  <si>
    <t>18</t>
  </si>
  <si>
    <t>NOTA:Gatun - Final Offering Memorandum &amp; Ratings Letter.pdf#18</t>
  </si>
  <si>
    <t>18. Intangible Assets</t>
  </si>
  <si>
    <t>NOTA:Gatun - Final Offering Memorandum &amp; Ratings Letter.pdf#19</t>
  </si>
  <si>
    <t>19. Electricity Sales</t>
  </si>
  <si>
    <t>NOTA:Gatun - Final Offering Memorandum &amp; Ratings Letter.pdf#2</t>
  </si>
  <si>
    <t>2. SIMULATION RESULTS</t>
  </si>
  <si>
    <t>332</t>
  </si>
  <si>
    <t>NOTA:Gatun - Final Offering Memorandum &amp; Ratings Letter.pdf#20</t>
  </si>
  <si>
    <t>20</t>
  </si>
  <si>
    <t>20. Electricity Purchases</t>
  </si>
  <si>
    <t>NOTA:Gatun - Final Offering Memorandum &amp; Ratings Letter.pdf#21</t>
  </si>
  <si>
    <t>21</t>
  </si>
  <si>
    <t>21. Fuel Costs</t>
  </si>
  <si>
    <t>NOTA:Gatun - Final Offering Memorandum &amp; Ratings Letter.pdf#22</t>
  </si>
  <si>
    <t>22</t>
  </si>
  <si>
    <t>22. Operating, Maintenance, and Transmission Costs</t>
  </si>
  <si>
    <t>8</t>
  </si>
  <si>
    <t>NOTA:Gatun - Final Offering Memorandum &amp; Ratings Letter.pdf#23</t>
  </si>
  <si>
    <t>23</t>
  </si>
  <si>
    <t>23. General and Administrative Expenses</t>
  </si>
  <si>
    <t>NOTA:Gatun - Final Offering Memorandum &amp; Ratings Letter.pdf#24</t>
  </si>
  <si>
    <t>24</t>
  </si>
  <si>
    <t>24. Other Income, Net</t>
  </si>
  <si>
    <t>7</t>
  </si>
  <si>
    <t>NOTA:Gatun - Final Offering Memorandum &amp; Ratings Letter.pdf#25</t>
  </si>
  <si>
    <t>25</t>
  </si>
  <si>
    <t>25. Income Tax</t>
  </si>
  <si>
    <t>NOTA:Gatun - Final Offering Memorandum &amp; Ratings Letter.pdf#26</t>
  </si>
  <si>
    <t>26</t>
  </si>
  <si>
    <t>26. Commitments (Continued)</t>
  </si>
  <si>
    <t>54</t>
  </si>
  <si>
    <t>NOTA:Gatun - Final Offering Memorandum &amp; Ratings Letter.pdf#27</t>
  </si>
  <si>
    <t>27. Contingencies</t>
  </si>
  <si>
    <t>3</t>
  </si>
  <si>
    <t>NOTA:Gatun - Final Offering Memorandum &amp; Ratings Letter.pdf#28</t>
  </si>
  <si>
    <t>28</t>
  </si>
  <si>
    <t>28. Subsequent Events</t>
  </si>
  <si>
    <t>83</t>
  </si>
  <si>
    <t>NOTA:Gatun - Final Offering Memorandum &amp; Ratings Letter.pdf#3</t>
  </si>
  <si>
    <t>3. ENERGY POLICY</t>
  </si>
  <si>
    <t>129</t>
  </si>
  <si>
    <t>NOTA:Gatun - Final Offering Memorandum &amp; Ratings Letter.pdf#4</t>
  </si>
  <si>
    <t>4</t>
  </si>
  <si>
    <t>4. WHOLESALE MARKET</t>
  </si>
  <si>
    <t>80</t>
  </si>
  <si>
    <t>NOTA:Gatun - Final Offering Memorandum &amp; Ratings Letter.pdf#5</t>
  </si>
  <si>
    <t>5</t>
  </si>
  <si>
    <t>5. TRANSMISSION SEGMENT</t>
  </si>
  <si>
    <t>NOTA:Gatun - Final Offering Memorandum &amp; Ratings Letter.pdf#6</t>
  </si>
  <si>
    <t>6</t>
  </si>
  <si>
    <t>6. Restricted Cash (Continued)</t>
  </si>
  <si>
    <t>115</t>
  </si>
  <si>
    <t>NOTA:Gatun - Final Offering Memorandum &amp; Ratings Letter.pdf#7</t>
  </si>
  <si>
    <t>7. Accounts Receivable</t>
  </si>
  <si>
    <t>NOTA:Gatun - Final Offering Memorandum &amp; Ratings Letter.pdf#8</t>
  </si>
  <si>
    <t>8. Inventories</t>
  </si>
  <si>
    <t>NOTA:Gatun - Final Offering Memorandum &amp; Ratings Letter.pdf#9</t>
  </si>
  <si>
    <t>9</t>
  </si>
  <si>
    <t>9. Property, Plant and Equipment (Continued)</t>
  </si>
  <si>
    <t>DRIVER:EEFF (citado por fórmula viva)</t>
  </si>
  <si>
    <t>DRIVER_OTHER</t>
  </si>
  <si>
    <t>Supuestos</t>
  </si>
  <si>
    <t>Electricity sales (hist, ref EEFF)</t>
  </si>
  <si>
    <t>Unclassified _source citation shape: EEFF (citado por fórmula viva)</t>
  </si>
  <si>
    <t>DRIVER:NOT_DISCLOSED</t>
  </si>
  <si>
    <t>Selector escenario</t>
  </si>
  <si>
    <t>Unclassified _source citation shape: NOT_DISCLOSED</t>
  </si>
  <si>
    <t>_CHANGELOG — generation record for gana-gatun.</t>
  </si>
  <si>
    <t>Internal build history omitted from the public export. Record public changes below.</t>
  </si>
  <si>
    <t>Turn #</t>
  </si>
  <si>
    <t>Date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</si>
  <si>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</si>
  <si>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</si>
  <si>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</si>
  <si>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</si>
  <si>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</si>
  <si>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</si>
  <si>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Notas_EEFF: 1 cell written, at A3; Source_Register: 3 cells written, at A2, I5, M5; _CHANGELOG: data A1:H33 -&gt; A1:A3 (rows 33 -&gt; 3, columns 8 -&gt; 1), 205 cells written, at A2, A3, B3, C3, D3, E3, F3, G3, H3, A4, B4, C4, D4, E4, F4 and 190 more.
Other actions: clear x1.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</si>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</sst>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10">
    <numFmt numFmtId="164" formatCode="#,##0;(#,##0);-"/>
    <numFmt numFmtId="165" formatCode="General"/>
    <numFmt numFmtId="166" formatCode="@"/>
    <numFmt numFmtId="167" formatCode="#,##0;[Red](#,##0);-"/>
    <numFmt numFmtId="168" formatCode="0.0%"/>
    <numFmt numFmtId="169" formatCode="0"/>
    <numFmt numFmtId="170" formatCode="#,##0"/>
    <numFmt numFmtId="171" formatCode="0.00"/>
    <numFmt numFmtId="172" formatCode="yyyy-mm-dd"/>
    <numFmt numFmtId="173" formatCode="yyyy\-mm\-dd hh:mm"/>
  </numFmts>
  <fonts count="1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 val="0"/>
      <i val="0"/>
      <strike val="0"/>
      <sz val="10"/>
      <color rgb="FF0432FF"/>
      <name val="Arial"/>
    </font>
    <font>
      <b/>
      <i val="0"/>
      <strike val="0"/>
      <sz val="10"/>
      <color rgb="FF0432FF"/>
      <name val="Arial"/>
    </font>
    <font>
      <b val="0"/>
      <i val="0"/>
      <strike val="0"/>
      <sz val="10"/>
      <name val="Arial"/>
    </font>
    <font>
      <b val="0"/>
      <i val="0"/>
      <strike val="0"/>
      <sz val="10"/>
      <color rgb="FF000000"/>
      <name val="Arial"/>
    </font>
    <font>
      <b/>
      <i val="0"/>
      <strike val="0"/>
      <sz val="10"/>
      <color rgb="FF000000"/>
      <name val="Arial"/>
    </font>
    <font>
      <b val="0"/>
      <i val="0"/>
      <strike val="0"/>
      <sz val="10"/>
      <color rgb="FF00703C"/>
      <name val="Arial"/>
    </font>
    <font>
      <b/>
      <i val="0"/>
      <strike val="0"/>
      <sz val="11"/>
      <color rgb="FF000000"/>
      <name val="Arial"/>
    </font>
    <font>
      <b/>
      <i val="0"/>
      <strike val="0"/>
      <sz val="10"/>
      <color rgb="FF00703C"/>
      <name val="Arial"/>
    </font>
    <font>
      <b val="0"/>
      <i/>
      <strike val="0"/>
      <sz val="10"/>
      <color rgb="FF000000"/>
      <name val="Arial"/>
    </font>
    <font>
      <b/>
      <i val="0"/>
      <strike val="0"/>
      <sz val="10"/>
      <color rgb="FF000000"/>
      <name val="Arial"/>
      <family val="2"/>
      <scheme val="minor"/>
    </font>
    <font>
      <b val="0"/>
      <i val="0"/>
      <strike val="0"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4">
    <border/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</borders>
  <cellStyleXfs count="1">
    <xf numFmtId="0" fontId="1" fillId="0" borderId="0"/>
  </cellStyleXfs>
  <cellXfs count="617">
    <xf numFmtId="0" fontId="1" fillId="0" borderId="0" xfId="0" applyFont="1"/>
    <xf numFmtId="164" fontId="2" fillId="0" borderId="0" xfId="0" applyNumberFormat="1" applyFont="1" applyAlignment="1">
      <alignment horizontal="right" vertical="bottom" textRotation="0" indent="0" readingOrder="0"/>
    </xf>
    <xf numFmtId="164" fontId="3" fillId="0" borderId="1" xfId="0" applyNumberFormat="1" applyFont="1" applyBorder="1" applyAlignment="1">
      <alignment horizontal="right" vertical="bottom" textRotation="0" indent="0" readingOrder="0"/>
    </xf>
    <xf numFmtId="164" fontId="2" fillId="0" borderId="2" xfId="0" applyNumberFormat="1" applyFont="1" applyBorder="1" applyAlignment="1">
      <alignment horizontal="right" vertical="bottom" textRotation="0" indent="0" readingOrder="0"/>
    </xf>
    <xf numFmtId="165" fontId="4" fillId="0" borderId="0" xfId="0" applyNumberFormat="1" applyFont="1"/>
    <xf numFmtId="165" fontId="5" fillId="0" borderId="0" xfId="0" applyNumberFormat="1" applyFont="1" applyAlignment="1">
      <alignment horizontal="left" vertical="bottom" textRotation="0" indent="0" readingOrder="0"/>
    </xf>
    <xf numFmtId="165" fontId="6" fillId="0" borderId="1" xfId="0" applyNumberFormat="1" applyFont="1" applyBorder="1" applyAlignment="1">
      <alignment horizontal="lef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right" vertical="bottom" textRotation="0" indent="0" readingOrder="0"/>
    </xf>
    <xf numFmtId="164" fontId="3" fillId="0" borderId="3" xfId="0" applyNumberFormat="1" applyFont="1" applyBorder="1" applyAlignment="1">
      <alignment horizontal="right" vertical="bottom" textRotation="0" indent="0" readingOrder="0"/>
    </xf>
    <xf numFmtId="165" fontId="4" fillId="0" borderId="2" xfId="0" applyNumberFormat="1" applyFont="1" applyBorder="1"/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left" vertical="bottom" textRotation="0" indent="0" readingOrder="0"/>
    </xf>
    <xf numFmtId="166" fontId="5" fillId="0" borderId="0" xfId="0" applyNumberFormat="1" applyFont="1" applyAlignment="1">
      <alignment horizontal="left" vertical="top" textRotation="0" indent="0" readingOrder="0"/>
    </xf>
    <xf numFmtId="166" fontId="5" fillId="0" borderId="0" xfId="0" applyNumberFormat="1" applyFont="1" applyAlignment="1">
      <alignment horizontal="left" vertical="top" textRotation="0" wrapText="1" indent="0" readingOrder="0"/>
    </xf>
    <xf numFmtId="167" fontId="2" fillId="0" borderId="0" xfId="0" applyNumberFormat="1" applyFont="1" applyAlignment="1">
      <alignment horizontal="right" vertical="top" textRotation="0" indent="0" readingOrder="0"/>
    </xf>
    <xf numFmtId="166" fontId="7" fillId="0" borderId="0" xfId="0" applyNumberFormat="1" applyFont="1" applyAlignment="1">
      <alignment horizontal="left" vertical="top" textRotation="0" indent="0" readingOrder="0"/>
    </xf>
    <xf numFmtId="165" fontId="6" fillId="3" borderId="0" xfId="0" applyNumberFormat="1" applyFont="1" applyFill="1" applyAlignment="1">
      <alignment horizontal="left" vertical="top" textRotation="0" wrapText="1" indent="0" readingOrder="0"/>
    </xf>
    <xf numFmtId="165" fontId="5" fillId="0" borderId="0" xfId="0" applyNumberFormat="1" applyFont="1"/>
    <xf numFmtId="165" fontId="6" fillId="2" borderId="0" xfId="0" applyNumberFormat="1" applyFont="1" applyFill="1" applyAlignment="1">
      <alignment horizontal="left" vertical="top" textRotation="0" wrapText="1" indent="0" readingOrder="0"/>
    </xf>
    <xf numFmtId="165" fontId="8" fillId="0" borderId="0" xfId="0" applyNumberFormat="1" applyFont="1"/>
    <xf numFmtId="168" fontId="5" fillId="0" borderId="0" xfId="0" applyNumberFormat="1" applyFont="1" applyAlignment="1">
      <alignment horizontal="right" vertical="bottom" textRotation="0" indent="0" readingOrder="0"/>
    </xf>
    <xf numFmtId="165" fontId="4" fillId="3" borderId="0" xfId="0" applyNumberFormat="1" applyFont="1" applyFill="1"/>
    <xf numFmtId="168" fontId="2" fillId="4" borderId="0" xfId="0" applyNumberFormat="1" applyFont="1" applyFill="1" applyAlignment="1">
      <alignment horizontal="right" vertical="bottom" textRotation="0" indent="0" readingOrder="0"/>
    </xf>
    <xf numFmtId="165" fontId="4" fillId="0" borderId="0" xfId="0" applyNumberFormat="1" applyFont="1"/>
    <xf numFmtId="169" fontId="5" fillId="0" borderId="0" xfId="0" applyNumberFormat="1" applyFont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4" fillId="2" borderId="0" xfId="0" applyNumberFormat="1" applyFont="1" applyFill="1"/>
    <xf numFmtId="164" fontId="5" fillId="0" borderId="0" xfId="0" applyNumberFormat="1" applyFont="1" applyAlignment="1">
      <alignment horizontal="right" vertical="bottom" textRotation="0" indent="0" readingOrder="0"/>
    </xf>
    <xf numFmtId="168" fontId="5" fillId="0" borderId="2" xfId="0" applyNumberFormat="1" applyFont="1" applyBorder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5" fontId="4" fillId="0" borderId="2" xfId="0" applyNumberFormat="1" applyFont="1" applyBorder="1"/>
    <xf numFmtId="164" fontId="7" fillId="0" borderId="0" xfId="0" applyNumberFormat="1" applyFont="1" applyAlignment="1">
      <alignment horizontal="right" vertical="bottom" textRotation="0" indent="0" readingOrder="0"/>
    </xf>
    <xf numFmtId="168" fontId="2" fillId="4" borderId="2" xfId="0" applyNumberFormat="1" applyFont="1" applyFill="1" applyBorder="1" applyAlignment="1">
      <alignment horizontal="righ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9" fontId="2" fillId="4" borderId="0" xfId="0" applyNumberFormat="1" applyFont="1" applyFill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4" fillId="2" borderId="2" xfId="0" applyNumberFormat="1" applyFont="1" applyFill="1" applyBorder="1"/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right" vertical="bottom" textRotation="0" indent="0" readingOrder="0"/>
    </xf>
    <xf numFmtId="169" fontId="5" fillId="0" borderId="2" xfId="0" applyNumberFormat="1" applyFont="1" applyBorder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4" fontId="6" fillId="0" borderId="1" xfId="0" applyNumberFormat="1" applyFont="1" applyBorder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4" fillId="0" borderId="0" xfId="0" applyNumberFormat="1" applyFont="1"/>
    <xf numFmtId="164" fontId="7" fillId="0" borderId="0" xfId="0" applyNumberFormat="1" applyFont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right" vertical="bottom" textRotation="0" indent="0" readingOrder="0"/>
    </xf>
    <xf numFmtId="164" fontId="9" fillId="0" borderId="1" xfId="0" applyNumberFormat="1" applyFont="1" applyBorder="1" applyAlignment="1">
      <alignment horizontal="righ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5" fontId="4" fillId="3" borderId="0" xfId="0" applyNumberFormat="1" applyFont="1" applyFill="1"/>
    <xf numFmtId="165" fontId="6" fillId="0" borderId="1" xfId="0" applyNumberFormat="1" applyFont="1" applyBorder="1" applyAlignment="1">
      <alignment horizontal="left" vertical="bottom" textRotation="0" indent="0" readingOrder="0"/>
    </xf>
    <xf numFmtId="165" fontId="4" fillId="2" borderId="0" xfId="0" applyNumberFormat="1" applyFont="1" applyFill="1"/>
    <xf numFmtId="164" fontId="6" fillId="0" borderId="3" xfId="0" applyNumberFormat="1" applyFont="1" applyBorder="1" applyAlignment="1">
      <alignment horizontal="right" vertical="bottom" textRotation="0" indent="0" readingOrder="0"/>
    </xf>
    <xf numFmtId="165" fontId="4" fillId="0" borderId="2" xfId="0" applyNumberFormat="1" applyFont="1" applyBorder="1"/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5" fontId="4" fillId="2" borderId="2" xfId="0" applyNumberFormat="1" applyFont="1" applyFill="1" applyBorder="1"/>
    <xf numFmtId="166" fontId="5" fillId="0" borderId="0" xfId="0" applyNumberFormat="1" applyFont="1" applyAlignment="1">
      <alignment horizontal="left" vertical="top" textRotation="0" wrapText="1" indent="0" readingOrder="0"/>
    </xf>
    <xf numFmtId="166" fontId="5" fillId="0" borderId="0" xfId="0" applyNumberFormat="1" applyFont="1" applyAlignment="1">
      <alignment horizontal="left" vertical="top" textRotation="0" indent="0" readingOrder="0"/>
    </xf>
    <xf numFmtId="167" fontId="2" fillId="0" borderId="0" xfId="0" applyNumberFormat="1" applyFont="1" applyAlignment="1">
      <alignment horizontal="right" vertical="top" textRotation="0" indent="0" readingOrder="0"/>
    </xf>
    <xf numFmtId="165" fontId="6" fillId="3" borderId="0" xfId="0" applyNumberFormat="1" applyFont="1" applyFill="1" applyAlignment="1">
      <alignment horizontal="left" vertical="top" textRotation="0" wrapText="1" indent="0" readingOrder="0"/>
    </xf>
    <xf numFmtId="166" fontId="7" fillId="0" borderId="0" xfId="0" applyNumberFormat="1" applyFont="1" applyAlignment="1">
      <alignment horizontal="left" vertical="top" textRotation="0" indent="0" readingOrder="0"/>
    </xf>
    <xf numFmtId="165" fontId="5" fillId="0" borderId="0" xfId="0" applyNumberFormat="1" applyFont="1"/>
    <xf numFmtId="165" fontId="6" fillId="2" borderId="0" xfId="0" applyNumberFormat="1" applyFont="1" applyFill="1" applyAlignment="1">
      <alignment horizontal="left" vertical="top" textRotation="0" wrapText="1" indent="0" readingOrder="0"/>
    </xf>
    <xf numFmtId="165" fontId="8" fillId="0" borderId="0" xfId="0" applyNumberFormat="1" applyFont="1"/>
    <xf numFmtId="165" fontId="4" fillId="0" borderId="0" xfId="0" applyNumberFormat="1" applyFont="1"/>
    <xf numFmtId="168" fontId="5" fillId="0" borderId="0" xfId="0" applyNumberFormat="1" applyFont="1" applyAlignment="1">
      <alignment horizontal="right" vertical="bottom" textRotation="0" indent="0" readingOrder="0"/>
    </xf>
    <xf numFmtId="168" fontId="2" fillId="4" borderId="0" xfId="0" applyNumberFormat="1" applyFont="1" applyFill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4" fillId="2" borderId="0" xfId="0" applyNumberFormat="1" applyFont="1" applyFill="1"/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4" fillId="3" borderId="0" xfId="0" applyNumberFormat="1" applyFont="1" applyFill="1"/>
    <xf numFmtId="164" fontId="5" fillId="0" borderId="0" xfId="0" applyNumberFormat="1" applyFont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8" fontId="2" fillId="4" borderId="2" xfId="0" applyNumberFormat="1" applyFont="1" applyFill="1" applyBorder="1" applyAlignment="1">
      <alignment horizontal="right" vertical="bottom" textRotation="0" indent="0" readingOrder="0"/>
    </xf>
    <xf numFmtId="165" fontId="4" fillId="0" borderId="2" xfId="0" applyNumberFormat="1" applyFont="1" applyBorder="1"/>
    <xf numFmtId="169" fontId="5" fillId="0" borderId="0" xfId="0" applyNumberFormat="1" applyFont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5" fontId="4" fillId="2" borderId="2" xfId="0" applyNumberFormat="1" applyFont="1" applyFill="1" applyBorder="1"/>
    <xf numFmtId="164" fontId="5" fillId="0" borderId="2" xfId="0" applyNumberFormat="1" applyFont="1" applyBorder="1" applyAlignment="1">
      <alignment horizontal="right" vertical="bottom" textRotation="0" indent="0" readingOrder="0"/>
    </xf>
    <xf numFmtId="169" fontId="5" fillId="0" borderId="2" xfId="0" applyNumberFormat="1" applyFont="1" applyBorder="1" applyAlignment="1">
      <alignment horizontal="right" vertical="bottom" textRotation="0" indent="0" readingOrder="0"/>
    </xf>
    <xf numFmtId="168" fontId="5" fillId="0" borderId="2" xfId="0" applyNumberFormat="1" applyFont="1" applyBorder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9" fontId="2" fillId="4" borderId="0" xfId="0" applyNumberFormat="1" applyFont="1" applyFill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4" fontId="6" fillId="0" borderId="1" xfId="0" applyNumberFormat="1" applyFont="1" applyBorder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5" fontId="4" fillId="0" borderId="0" xfId="0" applyNumberFormat="1" applyFont="1"/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5" fontId="6" fillId="0" borderId="1" xfId="0" applyNumberFormat="1" applyFont="1" applyBorder="1" applyAlignment="1">
      <alignment horizontal="left" vertical="bottom" textRotation="0" indent="0" readingOrder="0"/>
    </xf>
    <xf numFmtId="164" fontId="9" fillId="0" borderId="1" xfId="0" applyNumberFormat="1" applyFont="1" applyBorder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4" fillId="3" borderId="0" xfId="0" applyNumberFormat="1" applyFont="1" applyFill="1"/>
    <xf numFmtId="165" fontId="6" fillId="3" borderId="0" xfId="0" applyNumberFormat="1" applyFont="1" applyFill="1" applyAlignment="1">
      <alignment horizontal="right" vertical="bottom" textRotation="0" indent="0" readingOrder="0"/>
    </xf>
    <xf numFmtId="164" fontId="6" fillId="0" borderId="3" xfId="0" applyNumberFormat="1" applyFont="1" applyBorder="1" applyAlignment="1">
      <alignment horizontal="right" vertical="bottom" textRotation="0" indent="0" readingOrder="0"/>
    </xf>
    <xf numFmtId="165" fontId="4" fillId="2" borderId="0" xfId="0" applyNumberFormat="1" applyFont="1" applyFill="1"/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4" fillId="0" borderId="2" xfId="0" applyNumberFormat="1" applyFont="1" applyBorder="1"/>
    <xf numFmtId="165" fontId="4" fillId="2" borderId="2" xfId="0" applyNumberFormat="1" applyFont="1" applyFill="1" applyBorder="1"/>
    <xf numFmtId="165" fontId="6" fillId="2" borderId="0" xfId="0" applyNumberFormat="1" applyFont="1" applyFill="1" applyAlignment="1">
      <alignment horizontal="right" vertical="bottom" textRotation="0" indent="0" readingOrder="0"/>
    </xf>
    <xf numFmtId="164" fontId="7" fillId="0" borderId="2" xfId="0" applyNumberFormat="1" applyFont="1" applyBorder="1" applyAlignment="1">
      <alignment horizontal="right" vertical="bottom" textRotation="0" indent="0" readingOrder="0"/>
    </xf>
    <xf numFmtId="166" fontId="5" fillId="0" borderId="0" xfId="0" applyNumberFormat="1" applyFont="1" applyAlignment="1">
      <alignment horizontal="left" vertical="top" textRotation="0" wrapText="1" indent="0" readingOrder="0"/>
    </xf>
    <xf numFmtId="166" fontId="5" fillId="0" borderId="0" xfId="0" applyNumberFormat="1" applyFont="1" applyAlignment="1">
      <alignment horizontal="left" vertical="top" textRotation="0" indent="0" readingOrder="0"/>
    </xf>
    <xf numFmtId="167" fontId="2" fillId="0" borderId="0" xfId="0" applyNumberFormat="1" applyFont="1" applyAlignment="1">
      <alignment horizontal="right" vertical="top" textRotation="0" indent="0" readingOrder="0"/>
    </xf>
    <xf numFmtId="165" fontId="6" fillId="3" borderId="0" xfId="0" applyNumberFormat="1" applyFont="1" applyFill="1" applyAlignment="1">
      <alignment horizontal="left" vertical="top" textRotation="0" wrapText="1" indent="0" readingOrder="0"/>
    </xf>
    <xf numFmtId="166" fontId="7" fillId="0" borderId="0" xfId="0" applyNumberFormat="1" applyFont="1" applyAlignment="1">
      <alignment horizontal="left" vertical="top" textRotation="0" indent="0" readingOrder="0"/>
    </xf>
    <xf numFmtId="165" fontId="5" fillId="0" borderId="0" xfId="0" applyNumberFormat="1" applyFont="1"/>
    <xf numFmtId="165" fontId="6" fillId="2" borderId="0" xfId="0" applyNumberFormat="1" applyFont="1" applyFill="1" applyAlignment="1">
      <alignment horizontal="left" vertical="top" textRotation="0" wrapText="1" indent="0" readingOrder="0"/>
    </xf>
    <xf numFmtId="165" fontId="6" fillId="0" borderId="0" xfId="0" applyNumberFormat="1" applyFont="1"/>
    <xf numFmtId="165" fontId="4" fillId="0" borderId="2" xfId="0" applyNumberFormat="1" applyFont="1" applyBorder="1"/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4" fillId="2" borderId="0" xfId="0" applyNumberFormat="1" applyFont="1" applyFill="1"/>
    <xf numFmtId="165" fontId="4" fillId="0" borderId="0" xfId="0" applyNumberFormat="1" applyFont="1"/>
    <xf numFmtId="165" fontId="6" fillId="3" borderId="0" xfId="0" applyNumberFormat="1" applyFont="1" applyFill="1" applyAlignment="1">
      <alignment horizontal="left" vertical="bottom" textRotation="0" indent="0" readingOrder="0"/>
    </xf>
    <xf numFmtId="168" fontId="5" fillId="0" borderId="0" xfId="0" applyNumberFormat="1" applyFont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8" fontId="2" fillId="4" borderId="2" xfId="0" applyNumberFormat="1" applyFont="1" applyFill="1" applyBorder="1" applyAlignment="1">
      <alignment horizontal="right" vertical="bottom" textRotation="0" indent="0" readingOrder="0"/>
    </xf>
    <xf numFmtId="168" fontId="2" fillId="4" borderId="0" xfId="0" applyNumberFormat="1" applyFont="1" applyFill="1" applyAlignment="1">
      <alignment horizontal="right" vertical="bottom" textRotation="0" indent="0" readingOrder="0"/>
    </xf>
    <xf numFmtId="169" fontId="5" fillId="0" borderId="0" xfId="0" applyNumberFormat="1" applyFont="1" applyAlignment="1">
      <alignment horizontal="right" vertical="bottom" textRotation="0" indent="0" readingOrder="0"/>
    </xf>
    <xf numFmtId="165" fontId="4" fillId="3" borderId="0" xfId="0" applyNumberFormat="1" applyFont="1" applyFill="1"/>
    <xf numFmtId="165" fontId="5" fillId="0" borderId="0" xfId="0" applyNumberFormat="1" applyFont="1" applyAlignment="1">
      <alignment horizontal="left" vertical="bottom" textRotation="0" indent="0" readingOrder="0"/>
    </xf>
    <xf numFmtId="168" fontId="5" fillId="0" borderId="2" xfId="0" applyNumberFormat="1" applyFont="1" applyBorder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5" fontId="4" fillId="2" borderId="2" xfId="0" applyNumberFormat="1" applyFont="1" applyFill="1" applyBorder="1"/>
    <xf numFmtId="169" fontId="5" fillId="0" borderId="2" xfId="0" applyNumberFormat="1" applyFont="1" applyBorder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9" fontId="2" fillId="4" borderId="0" xfId="0" applyNumberFormat="1" applyFont="1" applyFill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4" fontId="6" fillId="0" borderId="1" xfId="0" applyNumberFormat="1" applyFont="1" applyBorder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4" fontId="6" fillId="0" borderId="3" xfId="0" applyNumberFormat="1" applyFont="1" applyBorder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4" fillId="0" borderId="2" xfId="0" applyNumberFormat="1" applyFont="1" applyBorder="1"/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4" fillId="0" borderId="0" xfId="0" applyNumberFormat="1" applyFont="1"/>
    <xf numFmtId="164" fontId="9" fillId="0" borderId="1" xfId="0" applyNumberFormat="1" applyFont="1" applyBorder="1" applyAlignment="1">
      <alignment horizontal="right" vertical="bottom" textRotation="0" indent="0" readingOrder="0"/>
    </xf>
    <xf numFmtId="165" fontId="4" fillId="2" borderId="0" xfId="0" applyNumberFormat="1" applyFont="1" applyFill="1"/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4" fillId="3" borderId="0" xfId="0" applyNumberFormat="1" applyFont="1" applyFill="1"/>
    <xf numFmtId="165" fontId="4" fillId="2" borderId="2" xfId="0" applyNumberFormat="1" applyFont="1" applyFill="1" applyBorder="1"/>
    <xf numFmtId="165" fontId="6" fillId="0" borderId="1" xfId="0" applyNumberFormat="1" applyFont="1" applyBorder="1" applyAlignment="1">
      <alignment horizontal="lef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4" fontId="7" fillId="0" borderId="2" xfId="0" applyNumberFormat="1" applyFont="1" applyBorder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4" fontId="6" fillId="0" borderId="1" xfId="0" applyNumberFormat="1" applyFont="1" applyBorder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4" fontId="6" fillId="0" borderId="3" xfId="0" applyNumberFormat="1" applyFont="1" applyBorder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4" fillId="0" borderId="2" xfId="0" applyNumberFormat="1" applyFont="1" applyBorder="1"/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4" fillId="0" borderId="0" xfId="0" applyNumberFormat="1" applyFont="1"/>
    <xf numFmtId="164" fontId="9" fillId="0" borderId="1" xfId="0" applyNumberFormat="1" applyFont="1" applyBorder="1" applyAlignment="1">
      <alignment horizontal="right" vertical="bottom" textRotation="0" indent="0" readingOrder="0"/>
    </xf>
    <xf numFmtId="165" fontId="4" fillId="2" borderId="0" xfId="0" applyNumberFormat="1" applyFont="1" applyFill="1"/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4" fillId="3" borderId="0" xfId="0" applyNumberFormat="1" applyFont="1" applyFill="1"/>
    <xf numFmtId="165" fontId="4" fillId="2" borderId="2" xfId="0" applyNumberFormat="1" applyFont="1" applyFill="1" applyBorder="1"/>
    <xf numFmtId="165" fontId="6" fillId="0" borderId="1" xfId="0" applyNumberFormat="1" applyFont="1" applyBorder="1" applyAlignment="1">
      <alignment horizontal="lef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4" fontId="7" fillId="0" borderId="2" xfId="0" applyNumberFormat="1" applyFont="1" applyBorder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4" fontId="6" fillId="0" borderId="1" xfId="0" applyNumberFormat="1" applyFont="1" applyBorder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4" fontId="6" fillId="0" borderId="3" xfId="0" applyNumberFormat="1" applyFont="1" applyBorder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4" fillId="0" borderId="2" xfId="0" applyNumberFormat="1" applyFont="1" applyBorder="1"/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4" fillId="0" borderId="0" xfId="0" applyNumberFormat="1" applyFont="1"/>
    <xf numFmtId="164" fontId="9" fillId="0" borderId="1" xfId="0" applyNumberFormat="1" applyFont="1" applyBorder="1" applyAlignment="1">
      <alignment horizontal="right" vertical="bottom" textRotation="0" indent="0" readingOrder="0"/>
    </xf>
    <xf numFmtId="165" fontId="4" fillId="2" borderId="0" xfId="0" applyNumberFormat="1" applyFont="1" applyFill="1"/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4" fillId="3" borderId="0" xfId="0" applyNumberFormat="1" applyFont="1" applyFill="1"/>
    <xf numFmtId="165" fontId="4" fillId="2" borderId="2" xfId="0" applyNumberFormat="1" applyFont="1" applyFill="1" applyBorder="1"/>
    <xf numFmtId="165" fontId="6" fillId="0" borderId="1" xfId="0" applyNumberFormat="1" applyFont="1" applyBorder="1" applyAlignment="1">
      <alignment horizontal="lef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4" fontId="7" fillId="0" borderId="2" xfId="0" applyNumberFormat="1" applyFont="1" applyBorder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6" fontId="5" fillId="0" borderId="0" xfId="0" applyNumberFormat="1" applyFont="1" applyAlignment="1">
      <alignment horizontal="left" vertical="top" textRotation="0" wrapText="1" indent="0" readingOrder="0"/>
    </xf>
    <xf numFmtId="166" fontId="5" fillId="0" borderId="0" xfId="0" applyNumberFormat="1" applyFont="1" applyAlignment="1">
      <alignment horizontal="left" vertical="top" textRotation="0" indent="0" readingOrder="0"/>
    </xf>
    <xf numFmtId="167" fontId="2" fillId="0" borderId="0" xfId="0" applyNumberFormat="1" applyFont="1" applyAlignment="1">
      <alignment horizontal="right" vertical="top" textRotation="0" indent="0" readingOrder="0"/>
    </xf>
    <xf numFmtId="165" fontId="6" fillId="3" borderId="0" xfId="0" applyNumberFormat="1" applyFont="1" applyFill="1" applyAlignment="1">
      <alignment horizontal="left" vertical="top" textRotation="0" wrapText="1" indent="0" readingOrder="0"/>
    </xf>
    <xf numFmtId="166" fontId="7" fillId="0" borderId="0" xfId="0" applyNumberFormat="1" applyFont="1" applyAlignment="1">
      <alignment horizontal="left" vertical="top" textRotation="0" indent="0" readingOrder="0"/>
    </xf>
    <xf numFmtId="165" fontId="6" fillId="2" borderId="0" xfId="0" applyNumberFormat="1" applyFont="1" applyFill="1" applyAlignment="1">
      <alignment horizontal="left" vertical="top" textRotation="0" wrapText="1" indent="0" readingOrder="0"/>
    </xf>
    <xf numFmtId="165" fontId="5" fillId="0" borderId="0" xfId="0" applyNumberFormat="1" applyFont="1"/>
    <xf numFmtId="165" fontId="6" fillId="0" borderId="0" xfId="0" applyNumberFormat="1" applyFont="1"/>
    <xf numFmtId="165" fontId="4" fillId="0" borderId="0" xfId="0" applyNumberFormat="1" applyFont="1"/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4" fillId="2" borderId="0" xfId="0" applyNumberFormat="1" applyFont="1" applyFill="1"/>
    <xf numFmtId="168" fontId="5" fillId="0" borderId="0" xfId="0" applyNumberFormat="1" applyFont="1" applyAlignment="1">
      <alignment horizontal="right" vertical="bottom" textRotation="0" indent="0" readingOrder="0"/>
    </xf>
    <xf numFmtId="169" fontId="5" fillId="0" borderId="0" xfId="0" applyNumberFormat="1" applyFont="1" applyAlignment="1">
      <alignment horizontal="right" vertical="bottom" textRotation="0" indent="0" readingOrder="0"/>
    </xf>
    <xf numFmtId="165" fontId="4" fillId="3" borderId="0" xfId="0" applyNumberFormat="1" applyFont="1" applyFill="1"/>
    <xf numFmtId="165" fontId="5" fillId="0" borderId="0" xfId="0" applyNumberFormat="1" applyFont="1" applyAlignment="1">
      <alignment horizontal="left" vertical="bottom" textRotation="0" indent="0" readingOrder="0"/>
    </xf>
    <xf numFmtId="168" fontId="2" fillId="4" borderId="2" xfId="0" applyNumberFormat="1" applyFont="1" applyFill="1" applyBorder="1" applyAlignment="1">
      <alignment horizontal="right" vertical="bottom" textRotation="0" indent="0" readingOrder="0"/>
    </xf>
    <xf numFmtId="168" fontId="2" fillId="4" borderId="0" xfId="0" applyNumberFormat="1" applyFont="1" applyFill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left" vertical="bottom" textRotation="0" indent="0" readingOrder="0"/>
    </xf>
    <xf numFmtId="168" fontId="5" fillId="0" borderId="2" xfId="0" applyNumberFormat="1" applyFont="1" applyBorder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5" fontId="4" fillId="0" borderId="2" xfId="0" applyNumberFormat="1" applyFont="1" applyBorder="1"/>
    <xf numFmtId="165" fontId="4" fillId="2" borderId="2" xfId="0" applyNumberFormat="1" applyFont="1" applyFill="1" applyBorder="1"/>
    <xf numFmtId="169" fontId="5" fillId="0" borderId="2" xfId="0" applyNumberFormat="1" applyFont="1" applyBorder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9" fontId="2" fillId="4" borderId="0" xfId="0" applyNumberFormat="1" applyFont="1" applyFill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4" fontId="6" fillId="0" borderId="1" xfId="0" applyNumberFormat="1" applyFont="1" applyBorder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4" fontId="6" fillId="0" borderId="3" xfId="0" applyNumberFormat="1" applyFont="1" applyBorder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4" fillId="0" borderId="2" xfId="0" applyNumberFormat="1" applyFont="1" applyBorder="1"/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4" fillId="0" borderId="0" xfId="0" applyNumberFormat="1" applyFont="1"/>
    <xf numFmtId="164" fontId="9" fillId="0" borderId="1" xfId="0" applyNumberFormat="1" applyFont="1" applyBorder="1" applyAlignment="1">
      <alignment horizontal="right" vertical="bottom" textRotation="0" indent="0" readingOrder="0"/>
    </xf>
    <xf numFmtId="165" fontId="4" fillId="2" borderId="0" xfId="0" applyNumberFormat="1" applyFont="1" applyFill="1"/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4" fillId="3" borderId="0" xfId="0" applyNumberFormat="1" applyFont="1" applyFill="1"/>
    <xf numFmtId="165" fontId="4" fillId="2" borderId="2" xfId="0" applyNumberFormat="1" applyFont="1" applyFill="1" applyBorder="1"/>
    <xf numFmtId="165" fontId="6" fillId="0" borderId="1" xfId="0" applyNumberFormat="1" applyFont="1" applyBorder="1" applyAlignment="1">
      <alignment horizontal="lef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4" fontId="7" fillId="0" borderId="2" xfId="0" applyNumberFormat="1" applyFont="1" applyBorder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6" fontId="5" fillId="0" borderId="0" xfId="0" applyNumberFormat="1" applyFont="1" applyAlignment="1">
      <alignment horizontal="left" vertical="top" textRotation="0" wrapText="1" indent="0" readingOrder="0"/>
    </xf>
    <xf numFmtId="166" fontId="5" fillId="0" borderId="0" xfId="0" applyNumberFormat="1" applyFont="1" applyAlignment="1">
      <alignment horizontal="left" vertical="top" textRotation="0" indent="0" readingOrder="0"/>
    </xf>
    <xf numFmtId="167" fontId="2" fillId="0" borderId="0" xfId="0" applyNumberFormat="1" applyFont="1" applyAlignment="1">
      <alignment horizontal="right" vertical="top" textRotation="0" indent="0" readingOrder="0"/>
    </xf>
    <xf numFmtId="165" fontId="6" fillId="3" borderId="0" xfId="0" applyNumberFormat="1" applyFont="1" applyFill="1" applyAlignment="1">
      <alignment horizontal="left" vertical="top" textRotation="0" wrapText="1" indent="0" readingOrder="0"/>
    </xf>
    <xf numFmtId="166" fontId="7" fillId="0" borderId="0" xfId="0" applyNumberFormat="1" applyFont="1" applyAlignment="1">
      <alignment horizontal="left" vertical="top" textRotation="0" indent="0" readingOrder="0"/>
    </xf>
    <xf numFmtId="165" fontId="6" fillId="2" borderId="0" xfId="0" applyNumberFormat="1" applyFont="1" applyFill="1" applyAlignment="1">
      <alignment horizontal="left" vertical="top" textRotation="0" wrapText="1" indent="0" readingOrder="0"/>
    </xf>
    <xf numFmtId="165" fontId="5" fillId="0" borderId="0" xfId="0" applyNumberFormat="1" applyFont="1"/>
    <xf numFmtId="165" fontId="6" fillId="0" borderId="0" xfId="0" applyNumberFormat="1" applyFont="1"/>
    <xf numFmtId="166" fontId="5" fillId="0" borderId="0" xfId="0" applyNumberFormat="1" applyFont="1" applyAlignment="1">
      <alignment horizontal="left" vertical="top" textRotation="0" wrapText="1" indent="0" readingOrder="0"/>
    </xf>
    <xf numFmtId="166" fontId="5" fillId="0" borderId="0" xfId="0" applyNumberFormat="1" applyFont="1" applyAlignment="1">
      <alignment horizontal="left" vertical="top" textRotation="0" indent="0" readingOrder="0"/>
    </xf>
    <xf numFmtId="165" fontId="6" fillId="3" borderId="0" xfId="0" applyNumberFormat="1" applyFont="1" applyFill="1" applyAlignment="1">
      <alignment horizontal="left" vertical="top" textRotation="0" wrapText="1" indent="0" readingOrder="0"/>
    </xf>
    <xf numFmtId="166" fontId="7" fillId="0" borderId="0" xfId="0" applyNumberFormat="1" applyFont="1" applyAlignment="1">
      <alignment horizontal="left" vertical="top" textRotation="0" indent="0" readingOrder="0"/>
    </xf>
    <xf numFmtId="167" fontId="2" fillId="0" borderId="0" xfId="0" applyNumberFormat="1" applyFont="1" applyAlignment="1">
      <alignment horizontal="right" vertical="top" textRotation="0" indent="0" readingOrder="0"/>
    </xf>
    <xf numFmtId="165" fontId="6" fillId="2" borderId="0" xfId="0" applyNumberFormat="1" applyFont="1" applyFill="1" applyAlignment="1">
      <alignment horizontal="left" vertical="top" textRotation="0" wrapText="1" indent="0" readingOrder="0"/>
    </xf>
    <xf numFmtId="165" fontId="5" fillId="0" borderId="0" xfId="0" applyNumberFormat="1" applyFont="1"/>
    <xf numFmtId="165" fontId="6" fillId="0" borderId="0" xfId="0" applyNumberFormat="1" applyFont="1"/>
    <xf numFmtId="166" fontId="5" fillId="0" borderId="0" xfId="0" applyNumberFormat="1" applyFont="1" applyAlignment="1">
      <alignment horizontal="left" vertical="top" textRotation="0" wrapText="1" indent="0" readingOrder="0"/>
    </xf>
    <xf numFmtId="166" fontId="5" fillId="0" borderId="0" xfId="0" applyNumberFormat="1" applyFont="1" applyAlignment="1">
      <alignment horizontal="left" vertical="top" textRotation="0" indent="0" readingOrder="0"/>
    </xf>
    <xf numFmtId="167" fontId="2" fillId="0" borderId="0" xfId="0" applyNumberFormat="1" applyFont="1" applyAlignment="1">
      <alignment horizontal="right" vertical="top" textRotation="0" indent="0" readingOrder="0"/>
    </xf>
    <xf numFmtId="166" fontId="7" fillId="0" borderId="0" xfId="0" applyNumberFormat="1" applyFont="1" applyAlignment="1">
      <alignment horizontal="left" vertical="top" textRotation="0" indent="0" readingOrder="0"/>
    </xf>
    <xf numFmtId="165" fontId="5" fillId="0" borderId="0" xfId="0" applyNumberFormat="1" applyFont="1"/>
    <xf numFmtId="165" fontId="6" fillId="3" borderId="0" xfId="0" applyNumberFormat="1" applyFont="1" applyFill="1" applyAlignment="1">
      <alignment horizontal="left" vertical="top" textRotation="0" wrapText="1" indent="0" readingOrder="0"/>
    </xf>
    <xf numFmtId="165" fontId="6" fillId="2" borderId="0" xfId="0" applyNumberFormat="1" applyFont="1" applyFill="1" applyAlignment="1">
      <alignment horizontal="left" vertical="top" textRotation="0" wrapText="1" indent="0" readingOrder="0"/>
    </xf>
    <xf numFmtId="165" fontId="6" fillId="0" borderId="0" xfId="0" applyNumberFormat="1" applyFont="1"/>
    <xf numFmtId="164" fontId="5" fillId="0" borderId="0" xfId="0" applyNumberFormat="1" applyFont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4" fontId="9" fillId="0" borderId="1" xfId="0" applyNumberFormat="1" applyFont="1" applyBorder="1" applyAlignment="1">
      <alignment horizontal="right" vertical="bottom" textRotation="0" indent="0" readingOrder="0"/>
    </xf>
    <xf numFmtId="165" fontId="4" fillId="2" borderId="2" xfId="0" applyNumberFormat="1" applyFont="1" applyFill="1" applyBorder="1"/>
    <xf numFmtId="165" fontId="6" fillId="2" borderId="0" xfId="0" applyNumberFormat="1" applyFont="1" applyFill="1" applyAlignment="1">
      <alignment horizontal="right" vertical="bottom" textRotation="0" indent="0" readingOrder="0"/>
    </xf>
    <xf numFmtId="164" fontId="6" fillId="0" borderId="1" xfId="0" applyNumberFormat="1" applyFont="1" applyBorder="1" applyAlignment="1">
      <alignment horizontal="right" vertical="bottom" textRotation="0" indent="0" readingOrder="0"/>
    </xf>
    <xf numFmtId="165" fontId="6" fillId="0" borderId="1" xfId="0" applyNumberFormat="1" applyFont="1" applyBorder="1" applyAlignment="1">
      <alignment horizontal="left" vertical="bottom" textRotation="0" indent="0" readingOrder="0"/>
    </xf>
    <xf numFmtId="165" fontId="4" fillId="0" borderId="0" xfId="0" applyNumberFormat="1" applyFont="1"/>
    <xf numFmtId="165" fontId="6" fillId="3" borderId="0" xfId="0" applyNumberFormat="1" applyFont="1" applyFill="1" applyAlignment="1">
      <alignment horizontal="right" vertical="bottom" textRotation="0" indent="0" readingOrder="0"/>
    </xf>
    <xf numFmtId="164" fontId="6" fillId="0" borderId="3" xfId="0" applyNumberFormat="1" applyFont="1" applyBorder="1" applyAlignment="1">
      <alignment horizontal="right" vertical="bottom" textRotation="0" indent="0" readingOrder="0"/>
    </xf>
    <xf numFmtId="165" fontId="4" fillId="3" borderId="0" xfId="0" applyNumberFormat="1" applyFont="1" applyFill="1"/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4" fillId="0" borderId="2" xfId="0" applyNumberFormat="1" applyFont="1" applyBorder="1"/>
    <xf numFmtId="164" fontId="7" fillId="0" borderId="2" xfId="0" applyNumberFormat="1" applyFont="1" applyBorder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4" fillId="2" borderId="0" xfId="0" applyNumberFormat="1" applyFont="1" applyFill="1"/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6" fontId="5" fillId="0" borderId="0" xfId="0" applyNumberFormat="1" applyFont="1" applyAlignment="1">
      <alignment horizontal="left" vertical="top" textRotation="0" wrapText="1" indent="0" readingOrder="0"/>
    </xf>
    <xf numFmtId="166" fontId="5" fillId="0" borderId="0" xfId="0" applyNumberFormat="1" applyFont="1" applyAlignment="1">
      <alignment horizontal="left" vertical="top" textRotation="0" indent="0" readingOrder="0"/>
    </xf>
    <xf numFmtId="167" fontId="2" fillId="0" borderId="0" xfId="0" applyNumberFormat="1" applyFont="1" applyAlignment="1">
      <alignment horizontal="right" vertical="top" textRotation="0" indent="0" readingOrder="0"/>
    </xf>
    <xf numFmtId="166" fontId="7" fillId="0" borderId="0" xfId="0" applyNumberFormat="1" applyFont="1" applyAlignment="1">
      <alignment horizontal="left" vertical="top" textRotation="0" indent="0" readingOrder="0"/>
    </xf>
    <xf numFmtId="165" fontId="6" fillId="2" borderId="0" xfId="0" applyNumberFormat="1" applyFont="1" applyFill="1" applyAlignment="1">
      <alignment horizontal="left" vertical="top" textRotation="0" wrapText="1" indent="0" readingOrder="0"/>
    </xf>
    <xf numFmtId="165" fontId="6" fillId="3" borderId="0" xfId="0" applyNumberFormat="1" applyFont="1" applyFill="1" applyAlignment="1">
      <alignment horizontal="left" vertical="top" textRotation="0" wrapText="1" indent="0" readingOrder="0"/>
    </xf>
    <xf numFmtId="165" fontId="5" fillId="0" borderId="0" xfId="0" applyNumberFormat="1" applyFont="1"/>
    <xf numFmtId="165" fontId="6" fillId="0" borderId="0" xfId="0" applyNumberFormat="1" applyFont="1"/>
    <xf numFmtId="168" fontId="2" fillId="4" borderId="0" xfId="0" applyNumberFormat="1" applyFont="1" applyFill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8" fontId="5" fillId="0" borderId="0" xfId="0" applyNumberFormat="1" applyFont="1" applyAlignment="1">
      <alignment horizontal="right" vertical="bottom" textRotation="0" indent="0" readingOrder="0"/>
    </xf>
    <xf numFmtId="165" fontId="4" fillId="0" borderId="0" xfId="0" applyNumberFormat="1" applyFont="1"/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8" fontId="2" fillId="4" borderId="2" xfId="0" applyNumberFormat="1" applyFont="1" applyFill="1" applyBorder="1" applyAlignment="1">
      <alignment horizontal="right" vertical="bottom" textRotation="0" indent="0" readingOrder="0"/>
    </xf>
    <xf numFmtId="165" fontId="4" fillId="0" borderId="2" xfId="0" applyNumberFormat="1" applyFont="1" applyBorder="1"/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5" fontId="4" fillId="2" borderId="0" xfId="0" applyNumberFormat="1" applyFont="1" applyFill="1"/>
    <xf numFmtId="169" fontId="5" fillId="0" borderId="0" xfId="0" applyNumberFormat="1" applyFont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4" fillId="2" borderId="2" xfId="0" applyNumberFormat="1" applyFont="1" applyFill="1" applyBorder="1"/>
    <xf numFmtId="168" fontId="5" fillId="0" borderId="2" xfId="0" applyNumberFormat="1" applyFont="1" applyBorder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4" fillId="3" borderId="0" xfId="0" applyNumberFormat="1" applyFont="1" applyFill="1"/>
    <xf numFmtId="169" fontId="5" fillId="0" borderId="2" xfId="0" applyNumberFormat="1" applyFont="1" applyBorder="1" applyAlignment="1">
      <alignment horizontal="right" vertical="bottom" textRotation="0" indent="0" readingOrder="0"/>
    </xf>
    <xf numFmtId="169" fontId="2" fillId="4" borderId="0" xfId="0" applyNumberFormat="1" applyFont="1" applyFill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4" fontId="6" fillId="0" borderId="3" xfId="0" applyNumberFormat="1" applyFont="1" applyBorder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4" fontId="9" fillId="0" borderId="1" xfId="0" applyNumberFormat="1" applyFont="1" applyBorder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4" fontId="6" fillId="0" borderId="1" xfId="0" applyNumberFormat="1" applyFont="1" applyBorder="1" applyAlignment="1">
      <alignment horizontal="right" vertical="bottom" textRotation="0" indent="0" readingOrder="0"/>
    </xf>
    <xf numFmtId="165" fontId="4" fillId="3" borderId="0" xfId="0" applyNumberFormat="1" applyFont="1" applyFill="1"/>
    <xf numFmtId="165" fontId="6" fillId="0" borderId="1" xfId="0" applyNumberFormat="1" applyFont="1" applyBorder="1" applyAlignment="1">
      <alignment horizontal="left" vertical="bottom" textRotation="0" indent="0" readingOrder="0"/>
    </xf>
    <xf numFmtId="165" fontId="4" fillId="0" borderId="0" xfId="0" applyNumberFormat="1" applyFont="1"/>
    <xf numFmtId="165" fontId="4" fillId="2" borderId="0" xfId="0" applyNumberFormat="1" applyFont="1" applyFill="1"/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5" fontId="4" fillId="0" borderId="2" xfId="0" applyNumberFormat="1" applyFont="1" applyBorder="1"/>
    <xf numFmtId="165" fontId="4" fillId="2" borderId="2" xfId="0" applyNumberFormat="1" applyFont="1" applyFill="1" applyBorder="1"/>
    <xf numFmtId="164" fontId="7" fillId="0" borderId="2" xfId="0" applyNumberFormat="1" applyFont="1" applyBorder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left" vertical="bottom" textRotation="0" indent="0" readingOrder="0"/>
    </xf>
    <xf numFmtId="166" fontId="5" fillId="0" borderId="0" xfId="0" applyNumberFormat="1" applyFont="1" applyAlignment="1">
      <alignment horizontal="left" vertical="top" textRotation="0" wrapText="1" indent="0" readingOrder="0"/>
    </xf>
    <xf numFmtId="166" fontId="5" fillId="0" borderId="0" xfId="0" applyNumberFormat="1" applyFont="1" applyAlignment="1">
      <alignment horizontal="left" vertical="top" textRotation="0" indent="0" readingOrder="0"/>
    </xf>
    <xf numFmtId="167" fontId="2" fillId="0" borderId="0" xfId="0" applyNumberFormat="1" applyFont="1" applyAlignment="1">
      <alignment horizontal="right" vertical="top" textRotation="0" indent="0" readingOrder="0"/>
    </xf>
    <xf numFmtId="166" fontId="7" fillId="0" borderId="0" xfId="0" applyNumberFormat="1" applyFont="1" applyAlignment="1">
      <alignment horizontal="left" vertical="top" textRotation="0" indent="0" readingOrder="0"/>
    </xf>
    <xf numFmtId="165" fontId="6" fillId="3" borderId="0" xfId="0" applyNumberFormat="1" applyFont="1" applyFill="1" applyAlignment="1">
      <alignment horizontal="left" vertical="top" textRotation="0" wrapText="1" indent="0" readingOrder="0"/>
    </xf>
    <xf numFmtId="165" fontId="6" fillId="2" borderId="0" xfId="0" applyNumberFormat="1" applyFont="1" applyFill="1" applyAlignment="1">
      <alignment horizontal="left" vertical="top" textRotation="0" wrapText="1" indent="0" readingOrder="0"/>
    </xf>
    <xf numFmtId="165" fontId="5" fillId="0" borderId="0" xfId="0" applyNumberFormat="1" applyFont="1"/>
    <xf numFmtId="165" fontId="6" fillId="0" borderId="0" xfId="0" applyNumberFormat="1" applyFont="1"/>
    <xf numFmtId="165" fontId="4" fillId="0" borderId="0" xfId="0" applyNumberFormat="1" applyFont="1"/>
    <xf numFmtId="165" fontId="4" fillId="2" borderId="0" xfId="0" applyNumberFormat="1" applyFont="1" applyFill="1"/>
    <xf numFmtId="168" fontId="5" fillId="0" borderId="0" xfId="0" applyNumberFormat="1" applyFont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4" fillId="0" borderId="2" xfId="0" applyNumberFormat="1" applyFont="1" applyBorder="1"/>
    <xf numFmtId="169" fontId="5" fillId="0" borderId="0" xfId="0" applyNumberFormat="1" applyFont="1" applyAlignment="1">
      <alignment horizontal="right" vertical="bottom" textRotation="0" indent="0" readingOrder="0"/>
    </xf>
    <xf numFmtId="168" fontId="2" fillId="4" borderId="0" xfId="0" applyNumberFormat="1" applyFont="1" applyFill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4" fillId="2" borderId="2" xfId="0" applyNumberFormat="1" applyFont="1" applyFill="1" applyBorder="1"/>
    <xf numFmtId="168" fontId="5" fillId="0" borderId="2" xfId="0" applyNumberFormat="1" applyFont="1" applyBorder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4" fillId="3" borderId="0" xfId="0" applyNumberFormat="1" applyFont="1" applyFill="1"/>
    <xf numFmtId="169" fontId="5" fillId="0" borderId="2" xfId="0" applyNumberFormat="1" applyFont="1" applyBorder="1" applyAlignment="1">
      <alignment horizontal="right" vertical="bottom" textRotation="0" indent="0" readingOrder="0"/>
    </xf>
    <xf numFmtId="168" fontId="2" fillId="4" borderId="2" xfId="0" applyNumberFormat="1" applyFont="1" applyFill="1" applyBorder="1" applyAlignment="1">
      <alignment horizontal="right" vertical="bottom" textRotation="0" indent="0" readingOrder="0"/>
    </xf>
    <xf numFmtId="169" fontId="2" fillId="4" borderId="0" xfId="0" applyNumberFormat="1" applyFont="1" applyFill="1" applyAlignment="1">
      <alignment horizontal="righ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4" fontId="6" fillId="0" borderId="1" xfId="0" applyNumberFormat="1" applyFont="1" applyBorder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4" fillId="3" borderId="0" xfId="0" applyNumberFormat="1" applyFont="1" applyFill="1"/>
    <xf numFmtId="164" fontId="9" fillId="0" borderId="1" xfId="0" applyNumberFormat="1" applyFont="1" applyBorder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6" fillId="0" borderId="1" xfId="0" applyNumberFormat="1" applyFont="1" applyBorder="1" applyAlignment="1">
      <alignment horizontal="left" vertical="bottom" textRotation="0" indent="0" readingOrder="0"/>
    </xf>
    <xf numFmtId="165" fontId="4" fillId="2" borderId="0" xfId="0" applyNumberFormat="1" applyFont="1" applyFill="1"/>
    <xf numFmtId="165" fontId="4" fillId="0" borderId="0" xfId="0" applyNumberFormat="1" applyFont="1"/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4" fontId="6" fillId="0" borderId="3" xfId="0" applyNumberFormat="1" applyFont="1" applyBorder="1" applyAlignment="1">
      <alignment horizontal="right" vertical="bottom" textRotation="0" indent="0" readingOrder="0"/>
    </xf>
    <xf numFmtId="165" fontId="4" fillId="2" borderId="2" xfId="0" applyNumberFormat="1" applyFont="1" applyFill="1" applyBorder="1"/>
    <xf numFmtId="165" fontId="6" fillId="3" borderId="0" xfId="0" applyNumberFormat="1" applyFont="1" applyFill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4" fillId="0" borderId="2" xfId="0" applyNumberFormat="1" applyFont="1" applyBorder="1"/>
    <xf numFmtId="164" fontId="7" fillId="0" borderId="2" xfId="0" applyNumberFormat="1" applyFont="1" applyBorder="1" applyAlignment="1">
      <alignment horizontal="right" vertical="bottom" textRotation="0" indent="0" readingOrder="0"/>
    </xf>
    <xf numFmtId="166" fontId="5" fillId="0" borderId="0" xfId="0" applyNumberFormat="1" applyFont="1" applyAlignment="1">
      <alignment horizontal="left" vertical="top" textRotation="0" wrapText="1" indent="0" readingOrder="0"/>
    </xf>
    <xf numFmtId="166" fontId="5" fillId="0" borderId="0" xfId="0" applyNumberFormat="1" applyFont="1" applyAlignment="1">
      <alignment horizontal="left" vertical="top" textRotation="0" indent="0" readingOrder="0"/>
    </xf>
    <xf numFmtId="167" fontId="2" fillId="0" borderId="0" xfId="0" applyNumberFormat="1" applyFont="1" applyAlignment="1">
      <alignment horizontal="right" vertical="top" textRotation="0" indent="0" readingOrder="0"/>
    </xf>
    <xf numFmtId="166" fontId="7" fillId="0" borderId="0" xfId="0" applyNumberFormat="1" applyFont="1" applyAlignment="1">
      <alignment horizontal="left" vertical="top" textRotation="0" indent="0" readingOrder="0"/>
    </xf>
    <xf numFmtId="165" fontId="6" fillId="3" borderId="0" xfId="0" applyNumberFormat="1" applyFont="1" applyFill="1" applyAlignment="1">
      <alignment horizontal="left" vertical="top" textRotation="0" wrapText="1" indent="0" readingOrder="0"/>
    </xf>
    <xf numFmtId="165" fontId="6" fillId="0" borderId="0" xfId="0" applyNumberFormat="1" applyFont="1"/>
    <xf numFmtId="165" fontId="5" fillId="0" borderId="0" xfId="0" applyNumberFormat="1" applyFont="1"/>
    <xf numFmtId="165" fontId="6" fillId="2" borderId="0" xfId="0" applyNumberFormat="1" applyFont="1" applyFill="1" applyAlignment="1">
      <alignment horizontal="left" vertical="top" textRotation="0" wrapText="1" indent="0" readingOrder="0"/>
    </xf>
    <xf numFmtId="165" fontId="4" fillId="3" borderId="0" xfId="0" applyNumberFormat="1" applyFont="1" applyFill="1"/>
    <xf numFmtId="165" fontId="5" fillId="0" borderId="0" xfId="0" applyNumberFormat="1" applyFont="1" applyAlignment="1">
      <alignment horizontal="left" vertical="bottom" textRotation="0" indent="0" readingOrder="0"/>
    </xf>
    <xf numFmtId="169" fontId="5" fillId="0" borderId="2" xfId="0" applyNumberFormat="1" applyFont="1" applyBorder="1" applyAlignment="1">
      <alignment horizontal="right" vertical="bottom" textRotation="0" indent="0" readingOrder="0"/>
    </xf>
    <xf numFmtId="168" fontId="5" fillId="0" borderId="0" xfId="0" applyNumberFormat="1" applyFont="1" applyAlignment="1">
      <alignment horizontal="right" vertical="bottom" textRotation="0" indent="0" readingOrder="0"/>
    </xf>
    <xf numFmtId="168" fontId="2" fillId="4" borderId="2" xfId="0" applyNumberFormat="1" applyFont="1" applyFill="1" applyBorder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4" fillId="0" borderId="0" xfId="0" applyNumberFormat="1" applyFont="1"/>
    <xf numFmtId="165" fontId="4" fillId="0" borderId="2" xfId="0" applyNumberFormat="1" applyFont="1" applyBorder="1"/>
    <xf numFmtId="165" fontId="6" fillId="3" borderId="0" xfId="0" applyNumberFormat="1" applyFont="1" applyFill="1" applyAlignment="1">
      <alignment horizontal="left" vertical="bottom" textRotation="0" indent="0" readingOrder="0"/>
    </xf>
    <xf numFmtId="169" fontId="5" fillId="0" borderId="0" xfId="0" applyNumberFormat="1" applyFont="1" applyAlignment="1">
      <alignment horizontal="right" vertical="bottom" textRotation="0" indent="0" readingOrder="0"/>
    </xf>
    <xf numFmtId="169" fontId="2" fillId="4" borderId="0" xfId="0" applyNumberFormat="1" applyFont="1" applyFill="1" applyAlignment="1">
      <alignment horizontal="righ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8" fontId="2" fillId="4" borderId="0" xfId="0" applyNumberFormat="1" applyFont="1" applyFill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4" fillId="2" borderId="0" xfId="0" applyNumberFormat="1" applyFont="1" applyFill="1"/>
    <xf numFmtId="165" fontId="4" fillId="2" borderId="2" xfId="0" applyNumberFormat="1" applyFont="1" applyFill="1" applyBorder="1"/>
    <xf numFmtId="168" fontId="5" fillId="0" borderId="2" xfId="0" applyNumberFormat="1" applyFont="1" applyBorder="1" applyAlignment="1">
      <alignment horizontal="right" vertical="bottom" textRotation="0" indent="0" readingOrder="0"/>
    </xf>
    <xf numFmtId="165" fontId="4" fillId="2" borderId="0" xfId="0" applyNumberFormat="1" applyFont="1" applyFill="1"/>
    <xf numFmtId="164" fontId="5" fillId="0" borderId="0" xfId="0" applyNumberFormat="1" applyFont="1" applyAlignment="1">
      <alignment horizontal="right" vertical="bottom" textRotation="0" indent="0" readingOrder="0"/>
    </xf>
    <xf numFmtId="164" fontId="6" fillId="0" borderId="3" xfId="0" applyNumberFormat="1" applyFont="1" applyBorder="1" applyAlignment="1">
      <alignment horizontal="right" vertical="bottom" textRotation="0" indent="0" readingOrder="0"/>
    </xf>
    <xf numFmtId="165" fontId="4" fillId="0" borderId="0" xfId="0" applyNumberFormat="1" applyFont="1"/>
    <xf numFmtId="164" fontId="5" fillId="0" borderId="2" xfId="0" applyNumberFormat="1" applyFont="1" applyBorder="1" applyAlignment="1">
      <alignment horizontal="right" vertical="bottom" textRotation="0" indent="0" readingOrder="0"/>
    </xf>
    <xf numFmtId="164" fontId="6" fillId="0" borderId="1" xfId="0" applyNumberFormat="1" applyFont="1" applyBorder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4" fillId="2" borderId="2" xfId="0" applyNumberFormat="1" applyFont="1" applyFill="1" applyBorder="1"/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6" fillId="0" borderId="1" xfId="0" applyNumberFormat="1" applyFont="1" applyBorder="1" applyAlignment="1">
      <alignment horizontal="left" vertical="bottom" textRotation="0" indent="0" readingOrder="0"/>
    </xf>
    <xf numFmtId="165" fontId="4" fillId="3" borderId="0" xfId="0" applyNumberFormat="1" applyFont="1" applyFill="1"/>
    <xf numFmtId="164" fontId="9" fillId="0" borderId="1" xfId="0" applyNumberFormat="1" applyFont="1" applyBorder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5" fontId="4" fillId="0" borderId="2" xfId="0" applyNumberFormat="1" applyFont="1" applyBorder="1"/>
    <xf numFmtId="164" fontId="7" fillId="0" borderId="2" xfId="0" applyNumberFormat="1" applyFont="1" applyBorder="1" applyAlignment="1">
      <alignment horizontal="right" vertical="bottom" textRotation="0" indent="0" readingOrder="0"/>
    </xf>
    <xf numFmtId="166" fontId="5" fillId="0" borderId="0" xfId="0" applyNumberFormat="1" applyFont="1" applyAlignment="1">
      <alignment horizontal="left" vertical="top" textRotation="0" wrapText="1" indent="0" readingOrder="0"/>
    </xf>
    <xf numFmtId="166" fontId="5" fillId="0" borderId="0" xfId="0" applyNumberFormat="1" applyFont="1" applyAlignment="1">
      <alignment horizontal="left" vertical="top" textRotation="0" indent="0" readingOrder="0"/>
    </xf>
    <xf numFmtId="165" fontId="6" fillId="2" borderId="0" xfId="0" applyNumberFormat="1" applyFont="1" applyFill="1" applyAlignment="1">
      <alignment horizontal="left" vertical="top" textRotation="0" wrapText="1" indent="0" readingOrder="0"/>
    </xf>
    <xf numFmtId="165" fontId="6" fillId="3" borderId="0" xfId="0" applyNumberFormat="1" applyFont="1" applyFill="1" applyAlignment="1">
      <alignment horizontal="left" vertical="top" textRotation="0" wrapText="1" indent="0" readingOrder="0"/>
    </xf>
    <xf numFmtId="165" fontId="5" fillId="0" borderId="0" xfId="0" applyNumberFormat="1" applyFont="1"/>
    <xf numFmtId="166" fontId="7" fillId="0" borderId="0" xfId="0" applyNumberFormat="1" applyFont="1" applyAlignment="1">
      <alignment horizontal="left" vertical="top" textRotation="0" indent="0" readingOrder="0"/>
    </xf>
    <xf numFmtId="165" fontId="6" fillId="0" borderId="0" xfId="0" applyNumberFormat="1" applyFont="1"/>
    <xf numFmtId="167" fontId="2" fillId="0" borderId="0" xfId="0" applyNumberFormat="1" applyFont="1" applyAlignment="1">
      <alignment horizontal="right" vertical="top" textRotation="0" indent="0" readingOrder="0"/>
    </xf>
    <xf numFmtId="168" fontId="5" fillId="0" borderId="0" xfId="0" applyNumberFormat="1" applyFont="1" applyAlignment="1">
      <alignment horizontal="right" vertical="bottom" textRotation="0" indent="0" readingOrder="0"/>
    </xf>
    <xf numFmtId="165" fontId="4" fillId="3" borderId="0" xfId="0" applyNumberFormat="1" applyFont="1" applyFill="1"/>
    <xf numFmtId="165" fontId="4" fillId="0" borderId="2" xfId="0" applyNumberFormat="1" applyFont="1" applyBorder="1"/>
    <xf numFmtId="168" fontId="2" fillId="4" borderId="0" xfId="0" applyNumberFormat="1" applyFont="1" applyFill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4" fillId="0" borderId="0" xfId="0" applyNumberFormat="1" applyFont="1"/>
    <xf numFmtId="165" fontId="5" fillId="0" borderId="0" xfId="0" applyNumberFormat="1" applyFont="1" applyAlignment="1">
      <alignment horizontal="left" vertical="bottom" textRotation="0" indent="0" readingOrder="0"/>
    </xf>
    <xf numFmtId="168" fontId="7" fillId="0" borderId="0" xfId="0" applyNumberFormat="1" applyFont="1" applyAlignment="1">
      <alignment horizontal="right" vertical="bottom" textRotation="0" indent="0" readingOrder="0"/>
    </xf>
    <xf numFmtId="165" fontId="4" fillId="2" borderId="0" xfId="0" applyNumberFormat="1" applyFont="1" applyFill="1"/>
    <xf numFmtId="165" fontId="6" fillId="2" borderId="0" xfId="0" applyNumberFormat="1" applyFont="1" applyFill="1" applyAlignment="1">
      <alignment horizontal="right" vertical="bottom" textRotation="0" indent="0" readingOrder="0"/>
    </xf>
    <xf numFmtId="168" fontId="2" fillId="4" borderId="2" xfId="0" applyNumberFormat="1" applyFont="1" applyFill="1" applyBorder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8" fontId="5" fillId="0" borderId="2" xfId="0" applyNumberFormat="1" applyFont="1" applyBorder="1" applyAlignment="1">
      <alignment horizontal="right" vertical="bottom" textRotation="0" indent="0" readingOrder="0"/>
    </xf>
    <xf numFmtId="169" fontId="2" fillId="4" borderId="0" xfId="0" applyNumberFormat="1" applyFont="1" applyFill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9" fontId="5" fillId="0" borderId="0" xfId="0" applyNumberFormat="1" applyFont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4" fillId="2" borderId="2" xfId="0" applyNumberFormat="1" applyFont="1" applyFill="1" applyBorder="1"/>
    <xf numFmtId="169" fontId="5" fillId="0" borderId="2" xfId="0" applyNumberFormat="1" applyFont="1" applyBorder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4" fontId="9" fillId="0" borderId="1" xfId="0" applyNumberFormat="1" applyFont="1" applyBorder="1" applyAlignment="1">
      <alignment horizontal="right" vertical="bottom" textRotation="0" indent="0" readingOrder="0"/>
    </xf>
    <xf numFmtId="165" fontId="4" fillId="3" borderId="0" xfId="0" applyNumberFormat="1" applyFont="1" applyFill="1"/>
    <xf numFmtId="164" fontId="6" fillId="0" borderId="1" xfId="0" applyNumberFormat="1" applyFont="1" applyBorder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lef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4" fillId="0" borderId="2" xfId="0" applyNumberFormat="1" applyFont="1" applyBorder="1"/>
    <xf numFmtId="165" fontId="4" fillId="2" borderId="0" xfId="0" applyNumberFormat="1" applyFont="1" applyFill="1"/>
    <xf numFmtId="165" fontId="5" fillId="0" borderId="0" xfId="0" applyNumberFormat="1" applyFont="1" applyAlignment="1">
      <alignment horizontal="left" vertical="bottom" textRotation="0" indent="0" readingOrder="0"/>
    </xf>
    <xf numFmtId="165" fontId="4" fillId="0" borderId="0" xfId="0" applyNumberFormat="1" applyFont="1"/>
    <xf numFmtId="165" fontId="6" fillId="2" borderId="0" xfId="0" applyNumberFormat="1" applyFont="1" applyFill="1" applyAlignment="1">
      <alignment horizontal="right" vertical="bottom" textRotation="0" indent="0" readingOrder="0"/>
    </xf>
    <xf numFmtId="165" fontId="6" fillId="0" borderId="1" xfId="0" applyNumberFormat="1" applyFont="1" applyBorder="1" applyAlignment="1">
      <alignment horizontal="lef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4" fontId="6" fillId="0" borderId="3" xfId="0" applyNumberFormat="1" applyFont="1" applyBorder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4" fillId="2" borderId="2" xfId="0" applyNumberFormat="1" applyFont="1" applyFill="1" applyBorder="1"/>
    <xf numFmtId="164" fontId="7" fillId="0" borderId="2" xfId="0" applyNumberFormat="1" applyFont="1" applyBorder="1" applyAlignment="1">
      <alignment horizontal="right" vertical="bottom" textRotation="0" indent="0" readingOrder="0"/>
    </xf>
    <xf numFmtId="168" fontId="5" fillId="0" borderId="0" xfId="0" applyNumberFormat="1" applyFont="1" applyAlignment="1">
      <alignment horizontal="right" vertical="bottom" textRotation="0" indent="0" readingOrder="0"/>
    </xf>
    <xf numFmtId="165" fontId="4" fillId="0" borderId="0" xfId="0" applyNumberFormat="1" applyFont="1"/>
    <xf numFmtId="168" fontId="2" fillId="4" borderId="2" xfId="0" applyNumberFormat="1" applyFont="1" applyFill="1" applyBorder="1" applyAlignment="1">
      <alignment horizontal="right" vertical="bottom" textRotation="0" indent="0" readingOrder="0"/>
    </xf>
    <xf numFmtId="168" fontId="7" fillId="0" borderId="0" xfId="0" applyNumberFormat="1" applyFont="1" applyAlignment="1">
      <alignment horizontal="right" vertical="bottom" textRotation="0" indent="0" readingOrder="0"/>
    </xf>
    <xf numFmtId="165" fontId="4" fillId="3" borderId="0" xfId="0" applyNumberFormat="1" applyFont="1" applyFill="1"/>
    <xf numFmtId="170" fontId="5" fillId="0" borderId="0" xfId="0" applyNumberFormat="1" applyFont="1" applyAlignment="1">
      <alignment horizontal="right" vertical="bottom" textRotation="0" indent="0" readingOrder="0"/>
    </xf>
    <xf numFmtId="168" fontId="2" fillId="4" borderId="0" xfId="0" applyNumberFormat="1" applyFont="1" applyFill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5" fontId="4" fillId="0" borderId="2" xfId="0" applyNumberFormat="1" applyFont="1" applyBorder="1"/>
    <xf numFmtId="165" fontId="6" fillId="2" borderId="0" xfId="0" applyNumberFormat="1" applyFont="1" applyFill="1" applyAlignment="1">
      <alignment horizontal="right" vertical="bottom" textRotation="0" indent="0" readingOrder="0"/>
    </xf>
    <xf numFmtId="171" fontId="5" fillId="0" borderId="0" xfId="0" applyNumberFormat="1" applyFont="1" applyAlignment="1">
      <alignment horizontal="righ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4" fillId="2" borderId="0" xfId="0" applyNumberFormat="1" applyFont="1" applyFill="1"/>
    <xf numFmtId="170" fontId="2" fillId="4" borderId="0" xfId="0" applyNumberFormat="1" applyFont="1" applyFill="1" applyAlignment="1">
      <alignment horizontal="right" vertical="bottom" textRotation="0" indent="0" readingOrder="0"/>
    </xf>
    <xf numFmtId="169" fontId="5" fillId="0" borderId="0" xfId="0" applyNumberFormat="1" applyFont="1" applyAlignment="1">
      <alignment horizontal="right" vertical="bottom" textRotation="0" indent="0" readingOrder="0"/>
    </xf>
    <xf numFmtId="168" fontId="5" fillId="0" borderId="2" xfId="0" applyNumberFormat="1" applyFont="1" applyBorder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9" fontId="2" fillId="4" borderId="0" xfId="0" applyNumberFormat="1" applyFont="1" applyFill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71" fontId="5" fillId="0" borderId="2" xfId="0" applyNumberFormat="1" applyFont="1" applyBorder="1" applyAlignment="1">
      <alignment horizontal="right" vertical="bottom" textRotation="0" indent="0" readingOrder="0"/>
    </xf>
    <xf numFmtId="165" fontId="4" fillId="2" borderId="2" xfId="0" applyNumberFormat="1" applyFont="1" applyFill="1" applyBorder="1"/>
    <xf numFmtId="170" fontId="2" fillId="4" borderId="2" xfId="0" applyNumberFormat="1" applyFont="1" applyFill="1" applyBorder="1" applyAlignment="1">
      <alignment horizontal="right" vertical="bottom" textRotation="0" indent="0" readingOrder="0"/>
    </xf>
    <xf numFmtId="169" fontId="5" fillId="0" borderId="2" xfId="0" applyNumberFormat="1" applyFont="1" applyBorder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5" fontId="6" fillId="0" borderId="1" xfId="0" applyNumberFormat="1" applyFont="1" applyBorder="1" applyAlignment="1">
      <alignment horizontal="left" vertical="bottom" textRotation="0" indent="0" readingOrder="0"/>
    </xf>
    <xf numFmtId="164" fontId="6" fillId="0" borderId="1" xfId="0" applyNumberFormat="1" applyFont="1" applyBorder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4" fillId="2" borderId="0" xfId="0" applyNumberFormat="1" applyFont="1" applyFill="1"/>
    <xf numFmtId="164" fontId="7" fillId="0" borderId="0" xfId="0" applyNumberFormat="1" applyFont="1" applyAlignment="1">
      <alignment horizontal="right" vertical="bottom" textRotation="0" indent="0" readingOrder="0"/>
    </xf>
    <xf numFmtId="165" fontId="4" fillId="0" borderId="0" xfId="0" applyNumberFormat="1" applyFont="1"/>
    <xf numFmtId="165" fontId="6" fillId="3" borderId="0" xfId="0" applyNumberFormat="1" applyFont="1" applyFill="1" applyAlignment="1">
      <alignment horizontal="right" vertical="bottom" textRotation="0" indent="0" readingOrder="0"/>
    </xf>
    <xf numFmtId="164" fontId="9" fillId="0" borderId="1" xfId="0" applyNumberFormat="1" applyFont="1" applyBorder="1" applyAlignment="1">
      <alignment horizontal="right" vertical="bottom" textRotation="0" indent="0" readingOrder="0"/>
    </xf>
    <xf numFmtId="165" fontId="4" fillId="3" borderId="0" xfId="0" applyNumberFormat="1" applyFont="1" applyFill="1"/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5" fontId="4" fillId="2" borderId="2" xfId="0" applyNumberFormat="1" applyFont="1" applyFill="1" applyBorder="1"/>
    <xf numFmtId="165" fontId="6" fillId="2" borderId="0" xfId="0" applyNumberFormat="1" applyFont="1" applyFill="1" applyAlignment="1">
      <alignment horizontal="right" vertical="bottom" textRotation="0" indent="0" readingOrder="0"/>
    </xf>
    <xf numFmtId="164" fontId="6" fillId="0" borderId="3" xfId="0" applyNumberFormat="1" applyFont="1" applyBorder="1" applyAlignment="1">
      <alignment horizontal="right" vertical="bottom" textRotation="0" indent="0" readingOrder="0"/>
    </xf>
    <xf numFmtId="164" fontId="7" fillId="0" borderId="2" xfId="0" applyNumberFormat="1" applyFont="1" applyBorder="1" applyAlignment="1">
      <alignment horizontal="right" vertical="bottom" textRotation="0" indent="0" readingOrder="0"/>
    </xf>
    <xf numFmtId="165" fontId="4" fillId="0" borderId="2" xfId="0" applyNumberFormat="1" applyFont="1" applyBorder="1"/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5" fontId="6" fillId="3" borderId="0" xfId="0" applyNumberFormat="1" applyFont="1" applyFill="1" applyAlignment="1">
      <alignment horizontal="lef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5" fillId="0" borderId="0" xfId="0" applyNumberFormat="1" applyFont="1"/>
    <xf numFmtId="165" fontId="5" fillId="0" borderId="0" xfId="0" applyNumberFormat="1" applyFont="1" applyAlignment="1">
      <alignment horizontal="center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lef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4" fontId="7" fillId="0" borderId="2" xfId="0" applyNumberFormat="1" applyFont="1" applyBorder="1" applyAlignment="1">
      <alignment horizontal="right" vertical="bottom" textRotation="0" indent="0" readingOrder="0"/>
    </xf>
    <xf numFmtId="165" fontId="6" fillId="0" borderId="0" xfId="0" applyNumberFormat="1" applyFont="1" applyAlignment="1">
      <alignment horizontal="center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6" fillId="0" borderId="0" xfId="0" applyNumberFormat="1" applyFont="1" applyAlignment="1">
      <alignment horizontal="lef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5" fontId="10" fillId="0" borderId="0" xfId="0" applyNumberFormat="1" applyFont="1" applyAlignment="1">
      <alignment horizontal="left" vertical="bottom" textRotation="0" indent="0" readingOrder="0"/>
    </xf>
    <xf numFmtId="165" fontId="4" fillId="3" borderId="0" xfId="0" applyNumberFormat="1" applyFont="1" applyFill="1"/>
    <xf numFmtId="165" fontId="4" fillId="0" borderId="0" xfId="0" applyNumberFormat="1" applyFont="1"/>
    <xf numFmtId="164" fontId="2" fillId="4" borderId="0" xfId="0" applyNumberFormat="1" applyFont="1" applyFill="1" applyAlignment="1">
      <alignment horizontal="right" vertical="bottom" textRotation="0" indent="0" readingOrder="0"/>
    </xf>
    <xf numFmtId="165" fontId="4" fillId="0" borderId="2" xfId="0" applyNumberFormat="1" applyFont="1" applyBorder="1"/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6" fillId="0" borderId="0" xfId="0" applyNumberFormat="1" applyFont="1" applyAlignment="1">
      <alignment horizontal="left" vertical="bottom" textRotation="0" indent="0" readingOrder="0"/>
    </xf>
    <xf numFmtId="165" fontId="6" fillId="3" borderId="0" xfId="0" applyNumberFormat="1" applyFont="1" applyFill="1" applyAlignment="1">
      <alignment horizontal="right" vertical="bottom" textRotation="0" indent="0" readingOrder="0"/>
    </xf>
    <xf numFmtId="168" fontId="5" fillId="0" borderId="0" xfId="0" applyNumberFormat="1" applyFont="1" applyAlignment="1">
      <alignment horizontal="right" vertical="bottom" textRotation="0" indent="0" readingOrder="0"/>
    </xf>
    <xf numFmtId="165" fontId="4" fillId="2" borderId="0" xfId="0" applyNumberFormat="1" applyFont="1" applyFill="1"/>
    <xf numFmtId="164" fontId="2" fillId="4" borderId="2" xfId="0" applyNumberFormat="1" applyFont="1" applyFill="1" applyBorder="1" applyAlignment="1">
      <alignment horizontal="right" vertical="bottom" textRotation="0" indent="0" readingOrder="0"/>
    </xf>
    <xf numFmtId="165" fontId="6" fillId="2" borderId="0" xfId="0" applyNumberFormat="1" applyFont="1" applyFill="1" applyAlignment="1">
      <alignment horizontal="right" vertical="bottom" textRotation="0" indent="0" readingOrder="0"/>
    </xf>
    <xf numFmtId="168" fontId="5" fillId="0" borderId="2" xfId="0" applyNumberFormat="1" applyFont="1" applyBorder="1" applyAlignment="1">
      <alignment horizontal="right" vertical="bottom" textRotation="0" indent="0" readingOrder="0"/>
    </xf>
    <xf numFmtId="165" fontId="4" fillId="2" borderId="2" xfId="0" applyNumberFormat="1" applyFont="1" applyFill="1" applyBorder="1"/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4" fontId="9" fillId="0" borderId="1" xfId="0" applyNumberFormat="1" applyFont="1" applyBorder="1" applyAlignment="1">
      <alignment horizontal="right" vertical="bottom" textRotation="0" indent="0" readingOrder="0"/>
    </xf>
    <xf numFmtId="165" fontId="4" fillId="0" borderId="0" xfId="0" applyNumberFormat="1" applyFont="1"/>
    <xf numFmtId="165" fontId="6" fillId="2" borderId="0" xfId="0" applyNumberFormat="1" applyFont="1" applyFill="1" applyAlignment="1">
      <alignment horizontal="right" vertical="bottom" textRotation="0" indent="0" readingOrder="0"/>
    </xf>
    <xf numFmtId="164" fontId="6" fillId="0" borderId="1" xfId="0" applyNumberFormat="1" applyFont="1" applyBorder="1" applyAlignment="1">
      <alignment horizontal="right" vertical="bottom" textRotation="0" indent="0" readingOrder="0"/>
    </xf>
    <xf numFmtId="165" fontId="4" fillId="3" borderId="0" xfId="0" applyNumberFormat="1" applyFont="1" applyFill="1"/>
    <xf numFmtId="164" fontId="7" fillId="0" borderId="0" xfId="0" applyNumberFormat="1" applyFont="1" applyAlignment="1">
      <alignment horizontal="right" vertical="bottom" textRotation="0" indent="0" readingOrder="0"/>
    </xf>
    <xf numFmtId="165" fontId="4" fillId="2" borderId="2" xfId="0" applyNumberFormat="1" applyFont="1" applyFill="1" applyBorder="1"/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5" fontId="4" fillId="2" borderId="0" xfId="0" applyNumberFormat="1" applyFont="1" applyFill="1"/>
    <xf numFmtId="165" fontId="6" fillId="0" borderId="1" xfId="0" applyNumberFormat="1" applyFont="1" applyBorder="1" applyAlignment="1">
      <alignment horizontal="left" vertical="bottom" textRotation="0" indent="0" readingOrder="0"/>
    </xf>
    <xf numFmtId="165" fontId="4" fillId="0" borderId="2" xfId="0" applyNumberFormat="1" applyFont="1" applyBorder="1"/>
    <xf numFmtId="165" fontId="6" fillId="3" borderId="0" xfId="0" applyNumberFormat="1" applyFont="1" applyFill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4" fontId="6" fillId="0" borderId="3" xfId="0" applyNumberFormat="1" applyFont="1" applyBorder="1" applyAlignment="1">
      <alignment horizontal="right" vertical="bottom" textRotation="0" indent="0" readingOrder="0"/>
    </xf>
    <xf numFmtId="164" fontId="7" fillId="0" borderId="2" xfId="0" applyNumberFormat="1" applyFont="1" applyBorder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lef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5" fontId="5" fillId="0" borderId="0" xfId="0" applyNumberFormat="1" applyFont="1"/>
    <xf numFmtId="165" fontId="6" fillId="3" borderId="0" xfId="0" applyNumberFormat="1" applyFont="1" applyFill="1" applyAlignment="1">
      <alignment horizontal="lef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4" fontId="7" fillId="0" borderId="0" xfId="0" applyNumberFormat="1" applyFont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center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right" vertical="bottom" textRotation="0" indent="0" readingOrder="0"/>
    </xf>
    <xf numFmtId="164" fontId="7" fillId="0" borderId="2" xfId="0" applyNumberFormat="1" applyFont="1" applyBorder="1" applyAlignment="1">
      <alignment horizontal="right" vertical="bottom" textRotation="0" indent="0" readingOrder="0"/>
    </xf>
    <xf numFmtId="165" fontId="6" fillId="0" borderId="0" xfId="0" applyNumberFormat="1" applyFont="1" applyAlignment="1">
      <alignment horizontal="center" vertical="bottom" textRotation="0" indent="0" readingOrder="0"/>
    </xf>
    <xf numFmtId="165" fontId="6" fillId="0" borderId="0" xfId="0" applyNumberFormat="1" applyFont="1" applyAlignment="1">
      <alignment horizontal="left" vertical="bottom" textRotation="0" indent="0" readingOrder="0"/>
    </xf>
    <xf numFmtId="165" fontId="5" fillId="0" borderId="0" xfId="0" applyNumberFormat="1" applyFont="1"/>
    <xf numFmtId="165" fontId="6" fillId="0" borderId="0" xfId="0" applyNumberFormat="1" applyFont="1" applyAlignment="1">
      <alignment horizontal="center" vertical="bottom" textRotation="0" indent="0" readingOrder="0"/>
    </xf>
    <xf numFmtId="172" fontId="5" fillId="0" borderId="0" xfId="0" applyNumberFormat="1" applyFont="1"/>
    <xf numFmtId="165" fontId="6" fillId="0" borderId="0" xfId="0" applyNumberFormat="1" applyFont="1"/>
    <xf numFmtId="165" fontId="9" fillId="0" borderId="0" xfId="0" applyNumberFormat="1" applyFont="1" applyAlignment="1">
      <alignment horizontal="center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5" fontId="4" fillId="0" borderId="2" xfId="0" applyNumberFormat="1" applyFont="1" applyBorder="1"/>
    <xf numFmtId="165" fontId="10" fillId="0" borderId="0" xfId="0" applyNumberFormat="1" applyFont="1" applyAlignment="1">
      <alignment horizontal="left" vertical="bottom" textRotation="0" indent="0" readingOrder="0"/>
    </xf>
    <xf numFmtId="165" fontId="4" fillId="0" borderId="0" xfId="0" applyNumberFormat="1" applyFont="1"/>
    <xf numFmtId="165" fontId="4" fillId="2" borderId="0" xfId="0" applyNumberFormat="1" applyFont="1" applyFill="1"/>
    <xf numFmtId="168" fontId="5" fillId="0" borderId="0" xfId="0" applyNumberFormat="1" applyFont="1" applyAlignment="1">
      <alignment horizontal="right" vertical="bottom" textRotation="0" indent="0" readingOrder="0"/>
    </xf>
    <xf numFmtId="165" fontId="4" fillId="3" borderId="0" xfId="0" applyNumberFormat="1" applyFont="1" applyFill="1"/>
    <xf numFmtId="165" fontId="6" fillId="3" borderId="0" xfId="0" applyNumberFormat="1" applyFont="1" applyFill="1" applyAlignment="1">
      <alignment horizontal="center" vertical="bottom" textRotation="0" indent="0" readingOrder="0"/>
    </xf>
    <xf numFmtId="165" fontId="6" fillId="2" borderId="2" xfId="0" applyNumberFormat="1" applyFont="1" applyFill="1" applyBorder="1" applyAlignment="1">
      <alignment horizontal="center" vertical="bottom" textRotation="0" indent="0" readingOrder="0"/>
    </xf>
    <xf numFmtId="164" fontId="2" fillId="0" borderId="0" xfId="0" applyNumberFormat="1" applyFont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center" vertical="bottom" textRotation="0" indent="0" readingOrder="0"/>
    </xf>
    <xf numFmtId="165" fontId="6" fillId="2" borderId="0" xfId="0" applyNumberFormat="1" applyFont="1" applyFill="1" applyAlignment="1">
      <alignment horizontal="center" vertical="bottom" textRotation="0" indent="0" readingOrder="0"/>
    </xf>
    <xf numFmtId="165" fontId="4" fillId="2" borderId="2" xfId="0" applyNumberFormat="1" applyFont="1" applyFill="1" applyBorder="1"/>
    <xf numFmtId="165" fontId="6" fillId="2" borderId="2" xfId="0" applyNumberFormat="1" applyFont="1" applyFill="1" applyBorder="1" applyAlignment="1">
      <alignment horizontal="center" vertical="bottom" textRotation="0" indent="0" readingOrder="0"/>
    </xf>
    <xf numFmtId="165" fontId="6" fillId="2" borderId="0" xfId="0" applyNumberFormat="1" applyFont="1" applyFill="1" applyAlignment="1">
      <alignment horizontal="center" vertical="bottom" textRotation="0" indent="0" readingOrder="0"/>
    </xf>
    <xf numFmtId="168" fontId="5" fillId="0" borderId="2" xfId="0" applyNumberFormat="1" applyFont="1" applyBorder="1" applyAlignment="1">
      <alignment horizontal="right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8" fontId="5" fillId="0" borderId="0" xfId="0" applyNumberFormat="1" applyFont="1" applyAlignment="1">
      <alignment horizontal="right" vertical="bottom" textRotation="0" indent="0" readingOrder="0"/>
    </xf>
    <xf numFmtId="165" fontId="4" fillId="0" borderId="0" xfId="0" applyNumberFormat="1" applyFont="1"/>
    <xf numFmtId="164" fontId="5" fillId="0" borderId="0" xfId="0" applyNumberFormat="1" applyFont="1" applyAlignment="1">
      <alignment horizontal="right" vertical="bottom" textRotation="0" indent="0" readingOrder="0"/>
    </xf>
    <xf numFmtId="165" fontId="10" fillId="0" borderId="0" xfId="0" applyNumberFormat="1" applyFont="1" applyAlignment="1">
      <alignment horizontal="left" vertical="bottom" textRotation="0" indent="0" readingOrder="0"/>
    </xf>
    <xf numFmtId="165" fontId="4" fillId="0" borderId="2" xfId="0" applyNumberFormat="1" applyFont="1" applyBorder="1"/>
    <xf numFmtId="165" fontId="4" fillId="2" borderId="0" xfId="0" applyNumberFormat="1" applyFont="1" applyFill="1"/>
    <xf numFmtId="165" fontId="4" fillId="3" borderId="0" xfId="0" applyNumberFormat="1" applyFont="1" applyFill="1"/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6" fillId="2" borderId="0" xfId="0" applyNumberFormat="1" applyFont="1" applyFill="1" applyAlignment="1">
      <alignment horizontal="center" vertical="bottom" textRotation="0" indent="0" readingOrder="0"/>
    </xf>
    <xf numFmtId="165" fontId="6" fillId="3" borderId="0" xfId="0" applyNumberFormat="1" applyFont="1" applyFill="1" applyAlignment="1">
      <alignment horizontal="center" vertical="bottom" textRotation="0" indent="0" readingOrder="0"/>
    </xf>
    <xf numFmtId="165" fontId="4" fillId="2" borderId="2" xfId="0" applyNumberFormat="1" applyFont="1" applyFill="1" applyBorder="1"/>
    <xf numFmtId="168" fontId="5" fillId="0" borderId="2" xfId="0" applyNumberFormat="1" applyFont="1" applyBorder="1" applyAlignment="1">
      <alignment horizontal="right" vertical="bottom" textRotation="0" indent="0" readingOrder="0"/>
    </xf>
    <xf numFmtId="165" fontId="6" fillId="2" borderId="2" xfId="0" applyNumberFormat="1" applyFont="1" applyFill="1" applyBorder="1" applyAlignment="1">
      <alignment horizontal="center" vertical="bottom" textRotation="0" indent="0" readingOrder="0"/>
    </xf>
    <xf numFmtId="165" fontId="5" fillId="0" borderId="0" xfId="0" applyNumberFormat="1" applyFont="1" applyAlignment="1">
      <alignment horizontal="left" vertical="bottom" textRotation="0" indent="0" readingOrder="0"/>
    </xf>
    <xf numFmtId="164" fontId="5" fillId="0" borderId="0" xfId="0" applyNumberFormat="1" applyFont="1" applyAlignment="1">
      <alignment horizontal="right" vertical="bottom" textRotation="0" indent="0" readingOrder="0"/>
    </xf>
    <xf numFmtId="165" fontId="4" fillId="0" borderId="2" xfId="0" applyNumberFormat="1" applyFont="1" applyBorder="1"/>
    <xf numFmtId="165" fontId="10" fillId="0" borderId="0" xfId="0" applyNumberFormat="1" applyFont="1" applyAlignment="1">
      <alignment horizontal="left" vertical="bottom" textRotation="0" indent="0" readingOrder="0"/>
    </xf>
    <xf numFmtId="165" fontId="4" fillId="0" borderId="0" xfId="0" applyNumberFormat="1" applyFont="1"/>
    <xf numFmtId="165" fontId="4" fillId="2" borderId="0" xfId="0" applyNumberFormat="1" applyFont="1" applyFill="1"/>
    <xf numFmtId="168" fontId="5" fillId="0" borderId="0" xfId="0" applyNumberFormat="1" applyFont="1" applyAlignment="1">
      <alignment horizontal="right" vertical="bottom" textRotation="0" indent="0" readingOrder="0"/>
    </xf>
    <xf numFmtId="165" fontId="4" fillId="3" borderId="0" xfId="0" applyNumberFormat="1" applyFont="1" applyFill="1"/>
    <xf numFmtId="165" fontId="6" fillId="2" borderId="2" xfId="0" applyNumberFormat="1" applyFont="1" applyFill="1" applyBorder="1" applyAlignment="1">
      <alignment horizontal="center" vertical="bottom" textRotation="0" indent="0" readingOrder="0"/>
    </xf>
    <xf numFmtId="164" fontId="2" fillId="0" borderId="0" xfId="0" applyNumberFormat="1" applyFont="1" applyAlignment="1">
      <alignment horizontal="right" vertical="bottom" textRotation="0" indent="0" readingOrder="0"/>
    </xf>
    <xf numFmtId="164" fontId="5" fillId="0" borderId="2" xfId="0" applyNumberFormat="1" applyFont="1" applyBorder="1" applyAlignment="1">
      <alignment horizontal="right" vertical="bottom" textRotation="0" indent="0" readingOrder="0"/>
    </xf>
    <xf numFmtId="165" fontId="6" fillId="3" borderId="0" xfId="0" applyNumberFormat="1" applyFont="1" applyFill="1" applyAlignment="1">
      <alignment horizontal="center" vertical="bottom" textRotation="0" indent="0" readingOrder="0"/>
    </xf>
    <xf numFmtId="165" fontId="4" fillId="2" borderId="2" xfId="0" applyNumberFormat="1" applyFont="1" applyFill="1" applyBorder="1"/>
    <xf numFmtId="165" fontId="6" fillId="2" borderId="0" xfId="0" applyNumberFormat="1" applyFont="1" applyFill="1" applyAlignment="1">
      <alignment horizontal="center" vertical="bottom" textRotation="0" indent="0" readingOrder="0"/>
    </xf>
    <xf numFmtId="168" fontId="5" fillId="0" borderId="2" xfId="0" applyNumberFormat="1" applyFont="1" applyBorder="1" applyAlignment="1">
      <alignment horizontal="right" vertical="bottom" textRotation="0" indent="0" readingOrder="0"/>
    </xf>
    <xf numFmtId="0" fontId="11" fillId="0" borderId="0" xfId="0" applyFont="1" applyFill="1" applyProtection="1">
      <protection locked="1" hidden="0"/>
    </xf>
    <xf numFmtId="0" fontId="12" fillId="0" borderId="0" xfId="0" applyFont="1" applyFill="1" applyAlignment="1" applyProtection="1">
      <alignment vertical="top"/>
      <protection locked="1" hidden="0"/>
    </xf>
    <xf numFmtId="173" fontId="12" fillId="0" borderId="0" xfId="0" applyNumberFormat="1" applyFont="1" applyFill="1" applyAlignment="1" applyProtection="1">
      <alignment vertical="top"/>
      <protection locked="1" hidden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Microsoft JhengHei Light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Microsoft JhengHei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"/>
  <sheetViews>
    <sheetView showGridLines="0" tabSelected="1" workbookViewId="0"/>
  </sheetViews>
  <sheetFormatPr defaultColWidth="8.375" defaultRowHeight="15"/>
  <cols>
    <col min="1" max="1" width="43.125" customWidth="1"/>
    <col min="2" max="11" width="12.5" customWidth="1"/>
  </cols>
  <sheetData>
    <row r="1">
      <c r="A1" s="553" t="s">
        <v>0</v>
      </c>
      <c r="B1" s="8"/>
      <c r="C1" s="8"/>
      <c r="D1" s="8"/>
      <c r="E1" s="8"/>
      <c r="F1" s="8"/>
      <c r="G1" s="11"/>
      <c r="H1" s="7"/>
      <c r="I1" s="7"/>
      <c r="J1" s="7"/>
      <c r="K1" s="7"/>
    </row>
    <row r="2">
      <c r="A2" s="599" t="s">
        <v>1</v>
      </c>
      <c r="G2" s="10"/>
    </row>
    <row r="3">
      <c r="A3" s="599" t="s">
        <v>2</v>
      </c>
      <c r="G3" s="10"/>
    </row>
    <row r="4">
      <c r="A4" s="4"/>
      <c r="B4" s="4"/>
      <c r="C4" s="4"/>
      <c r="D4" s="4"/>
      <c r="E4" s="4"/>
      <c r="F4" s="4"/>
      <c r="G4" s="10"/>
      <c r="H4" s="4"/>
      <c r="I4" s="4"/>
      <c r="J4" s="4"/>
      <c r="K4" s="4"/>
    </row>
    <row r="5">
      <c r="A5" s="553" t="s">
        <v>3</v>
      </c>
      <c r="B5" s="610" t="s">
        <v>4</v>
      </c>
      <c r="C5" s="610" t="s">
        <v>5</v>
      </c>
      <c r="D5" s="610" t="s">
        <v>6</v>
      </c>
      <c r="E5" s="610" t="s">
        <v>7</v>
      </c>
      <c r="F5" s="610" t="s">
        <v>8</v>
      </c>
      <c r="G5" s="607" t="s">
        <v>9</v>
      </c>
      <c r="H5" s="612" t="s">
        <v>10</v>
      </c>
      <c r="I5" s="612" t="s">
        <v>11</v>
      </c>
      <c r="J5" s="612" t="s">
        <v>12</v>
      </c>
      <c r="K5" s="612" t="s">
        <v>13</v>
      </c>
    </row>
    <row r="6">
      <c r="A6" s="553" t="s">
        <v>14</v>
      </c>
      <c r="B6" s="8"/>
      <c r="C6" s="8"/>
      <c r="D6" s="8"/>
      <c r="E6" s="8"/>
      <c r="F6" s="8"/>
      <c r="G6" s="11"/>
      <c r="H6" s="7"/>
      <c r="I6" s="7"/>
      <c r="J6" s="7"/>
      <c r="K6" s="7"/>
    </row>
    <row r="7">
      <c r="A7" s="599" t="s">
        <v>15</v>
      </c>
      <c r="B7" s="1"/>
      <c r="C7" s="1"/>
      <c r="D7" s="608">
        <v>0</v>
      </c>
      <c r="E7" s="608">
        <v>71148608</v>
      </c>
      <c r="F7" s="608">
        <v>321681090</v>
      </c>
      <c r="G7" s="3"/>
      <c r="H7" s="1"/>
      <c r="I7" s="1"/>
      <c r="J7" s="1"/>
      <c r="K7" s="1"/>
    </row>
    <row r="8">
      <c r="A8" s="599" t="s">
        <v>16</v>
      </c>
      <c r="B8" s="1"/>
      <c r="C8" s="1"/>
      <c r="D8" s="1"/>
      <c r="E8" s="1"/>
      <c r="F8" s="1"/>
      <c r="G8" s="3"/>
      <c r="H8" s="1"/>
      <c r="I8" s="1"/>
      <c r="J8" s="1"/>
      <c r="K8" s="1"/>
    </row>
    <row r="9">
      <c r="A9" s="599" t="s">
        <v>17</v>
      </c>
      <c r="B9" s="1"/>
      <c r="C9" s="1"/>
      <c r="D9" s="608">
        <v>0</v>
      </c>
      <c r="E9" s="608">
        <v>-23505670</v>
      </c>
      <c r="F9" s="608">
        <v>-45494652</v>
      </c>
      <c r="G9" s="3"/>
      <c r="H9" s="1"/>
      <c r="I9" s="1"/>
      <c r="J9" s="1"/>
      <c r="K9" s="1"/>
    </row>
    <row r="10">
      <c r="A10" s="599" t="s">
        <v>18</v>
      </c>
      <c r="B10" s="1"/>
      <c r="C10" s="1"/>
      <c r="D10" s="608">
        <v>0</v>
      </c>
      <c r="E10" s="608">
        <v>-27262804</v>
      </c>
      <c r="F10" s="608">
        <v>-151394592</v>
      </c>
      <c r="G10" s="3"/>
      <c r="H10" s="1"/>
      <c r="I10" s="1"/>
      <c r="J10" s="1"/>
      <c r="K10" s="1"/>
    </row>
    <row r="11">
      <c r="A11" s="599" t="s">
        <v>19</v>
      </c>
      <c r="B11" s="1"/>
      <c r="C11" s="1"/>
      <c r="D11" s="608">
        <v>0</v>
      </c>
      <c r="E11" s="608">
        <v>-9073154</v>
      </c>
      <c r="F11" s="608">
        <v>-41820657</v>
      </c>
      <c r="G11" s="3"/>
      <c r="H11" s="1"/>
      <c r="I11" s="1"/>
      <c r="J11" s="1"/>
      <c r="K11" s="1"/>
    </row>
    <row r="12">
      <c r="A12" s="599" t="s">
        <v>20</v>
      </c>
      <c r="B12" s="1"/>
      <c r="C12" s="1"/>
      <c r="D12" s="608">
        <v>0</v>
      </c>
      <c r="E12" s="608">
        <v>-1007849</v>
      </c>
      <c r="F12" s="608">
        <v>-16140520</v>
      </c>
      <c r="G12" s="3"/>
      <c r="H12" s="1"/>
      <c r="I12" s="1"/>
      <c r="J12" s="1"/>
      <c r="K12" s="1"/>
    </row>
    <row r="13">
      <c r="A13" s="599" t="s">
        <v>21</v>
      </c>
      <c r="B13" s="1"/>
      <c r="C13" s="1"/>
      <c r="D13" s="608">
        <v>-212127</v>
      </c>
      <c r="E13" s="608">
        <v>-1553970</v>
      </c>
      <c r="F13" s="608">
        <v>-9882798</v>
      </c>
      <c r="G13" s="3"/>
      <c r="H13" s="1"/>
      <c r="I13" s="1"/>
      <c r="J13" s="1"/>
      <c r="K13" s="1"/>
    </row>
    <row r="14">
      <c r="A14" s="543" t="s">
        <v>22</v>
      </c>
      <c r="B14" s="2"/>
      <c r="C14" s="2"/>
      <c r="D14" s="2">
        <v>-212127</v>
      </c>
      <c r="E14" s="2">
        <v>-62403447</v>
      </c>
      <c r="F14" s="2">
        <v>-264733219</v>
      </c>
      <c r="G14" s="9"/>
      <c r="H14" s="2"/>
      <c r="I14" s="2"/>
      <c r="J14" s="2"/>
      <c r="K14" s="2"/>
    </row>
    <row r="15">
      <c r="A15" s="543" t="s">
        <v>23</v>
      </c>
      <c r="B15" s="2"/>
      <c r="C15" s="2"/>
      <c r="D15" s="2">
        <v>-212127</v>
      </c>
      <c r="E15" s="2">
        <v>8745161</v>
      </c>
      <c r="F15" s="2">
        <v>56947871</v>
      </c>
      <c r="G15" s="9"/>
      <c r="H15" s="2"/>
      <c r="I15" s="2"/>
      <c r="J15" s="2"/>
      <c r="K15" s="2"/>
    </row>
    <row r="16">
      <c r="A16" s="599" t="s">
        <v>24</v>
      </c>
      <c r="B16" s="1"/>
      <c r="C16" s="1"/>
      <c r="D16" s="1"/>
      <c r="E16" s="1"/>
      <c r="F16" s="1"/>
      <c r="G16" s="3"/>
      <c r="H16" s="1"/>
      <c r="I16" s="1"/>
      <c r="J16" s="1"/>
      <c r="K16" s="1"/>
    </row>
    <row r="17">
      <c r="A17" s="599" t="s">
        <v>25</v>
      </c>
      <c r="B17" s="1"/>
      <c r="C17" s="1"/>
      <c r="D17" s="608">
        <v>-6942984</v>
      </c>
      <c r="E17" s="608">
        <v>-14420444</v>
      </c>
      <c r="F17" s="608">
        <v>-69197853</v>
      </c>
      <c r="G17" s="3"/>
      <c r="H17" s="1"/>
      <c r="I17" s="1"/>
      <c r="J17" s="1"/>
      <c r="K17" s="1"/>
    </row>
    <row r="18">
      <c r="A18" s="599" t="s">
        <v>26</v>
      </c>
      <c r="B18" s="1"/>
      <c r="C18" s="1"/>
      <c r="D18" s="608">
        <v>0</v>
      </c>
      <c r="E18" s="608">
        <v>723940</v>
      </c>
      <c r="F18" s="608">
        <v>9178382</v>
      </c>
      <c r="G18" s="3"/>
      <c r="H18" s="1"/>
      <c r="I18" s="1"/>
      <c r="J18" s="1"/>
      <c r="K18" s="1"/>
    </row>
    <row r="19">
      <c r="A19" s="543" t="s">
        <v>27</v>
      </c>
      <c r="B19" s="2"/>
      <c r="C19" s="2"/>
      <c r="D19" s="2">
        <v>-6942984</v>
      </c>
      <c r="E19" s="2">
        <v>-13696504</v>
      </c>
      <c r="F19" s="2">
        <v>-60019471</v>
      </c>
      <c r="G19" s="9"/>
      <c r="H19" s="2"/>
      <c r="I19" s="2"/>
      <c r="J19" s="2"/>
      <c r="K19" s="2"/>
    </row>
    <row r="20">
      <c r="A20" s="543" t="s">
        <v>28</v>
      </c>
      <c r="B20" s="2"/>
      <c r="C20" s="2"/>
      <c r="D20" s="2">
        <v>-7155111</v>
      </c>
      <c r="E20" s="2">
        <v>-4951343</v>
      </c>
      <c r="F20" s="2">
        <v>-3071600</v>
      </c>
      <c r="G20" s="9"/>
      <c r="H20" s="2"/>
      <c r="I20" s="2"/>
      <c r="J20" s="2"/>
      <c r="K20" s="2"/>
    </row>
    <row r="21">
      <c r="A21" s="599" t="s">
        <v>29</v>
      </c>
      <c r="B21" s="1"/>
      <c r="C21" s="1"/>
      <c r="D21" s="608">
        <v>0</v>
      </c>
      <c r="E21" s="608">
        <v>-1440939</v>
      </c>
      <c r="F21" s="608">
        <v>-5576826</v>
      </c>
      <c r="G21" s="3"/>
      <c r="H21" s="1"/>
      <c r="I21" s="1"/>
      <c r="J21" s="1"/>
      <c r="K21" s="1"/>
    </row>
    <row r="22">
      <c r="A22" s="543" t="s">
        <v>30</v>
      </c>
      <c r="B22" s="2"/>
      <c r="C22" s="2"/>
      <c r="D22" s="2">
        <v>-7155111</v>
      </c>
      <c r="E22" s="2">
        <v>-6392282</v>
      </c>
      <c r="F22" s="2">
        <v>-8648426</v>
      </c>
      <c r="G22" s="9"/>
      <c r="H22" s="2"/>
      <c r="I22" s="2"/>
      <c r="J22" s="2"/>
      <c r="K22" s="2"/>
    </row>
    <row r="23">
      <c r="A23" s="599" t="s">
        <v>31</v>
      </c>
      <c r="B23" s="1"/>
      <c r="C23" s="1"/>
      <c r="D23" s="1"/>
      <c r="E23" s="1"/>
      <c r="F23" s="1"/>
      <c r="G23" s="3"/>
      <c r="H23" s="1"/>
      <c r="I23" s="1"/>
      <c r="J23" s="1"/>
      <c r="K23" s="1"/>
    </row>
    <row r="24">
      <c r="A24" s="599" t="s">
        <v>32</v>
      </c>
      <c r="B24" s="1"/>
      <c r="C24" s="1"/>
      <c r="D24" s="1"/>
      <c r="E24" s="1"/>
      <c r="F24" s="1"/>
      <c r="G24" s="3"/>
      <c r="H24" s="1"/>
      <c r="I24" s="1"/>
      <c r="J24" s="1"/>
      <c r="K24" s="1"/>
    </row>
    <row r="25">
      <c r="A25" s="599" t="s">
        <v>33</v>
      </c>
      <c r="B25" s="1"/>
      <c r="C25" s="1"/>
      <c r="D25" s="608">
        <v>-7412348</v>
      </c>
      <c r="E25" s="608">
        <v>16195629</v>
      </c>
      <c r="F25" s="608">
        <v>-14972862</v>
      </c>
      <c r="G25" s="3"/>
      <c r="H25" s="1"/>
      <c r="I25" s="1"/>
      <c r="J25" s="1"/>
      <c r="K25" s="1"/>
    </row>
    <row r="26">
      <c r="A26" s="543" t="s">
        <v>34</v>
      </c>
      <c r="B26" s="2"/>
      <c r="C26" s="2"/>
      <c r="D26" s="2">
        <v>-14567459</v>
      </c>
      <c r="E26" s="2">
        <v>9803347</v>
      </c>
      <c r="F26" s="2">
        <v>-23621288</v>
      </c>
      <c r="G26" s="9"/>
      <c r="H26" s="2"/>
      <c r="I26" s="2"/>
      <c r="J26" s="2"/>
      <c r="K26" s="2"/>
    </row>
    <row r="27">
      <c r="A27" s="4"/>
      <c r="B27" s="4"/>
      <c r="C27" s="4"/>
      <c r="D27" s="4"/>
      <c r="E27" s="4"/>
      <c r="F27" s="4"/>
      <c r="G27" s="10"/>
      <c r="H27" s="4"/>
      <c r="I27" s="4"/>
      <c r="J27" s="4"/>
      <c r="K27" s="4"/>
    </row>
    <row r="28">
      <c r="A28" s="553" t="s">
        <v>3</v>
      </c>
      <c r="B28" s="610" t="s">
        <v>4</v>
      </c>
      <c r="C28" s="610" t="s">
        <v>5</v>
      </c>
      <c r="D28" s="610" t="s">
        <v>6</v>
      </c>
      <c r="E28" s="610" t="s">
        <v>7</v>
      </c>
      <c r="F28" s="610" t="s">
        <v>8</v>
      </c>
      <c r="G28" s="607" t="s">
        <v>9</v>
      </c>
      <c r="H28" s="612" t="s">
        <v>10</v>
      </c>
      <c r="I28" s="612" t="s">
        <v>11</v>
      </c>
      <c r="J28" s="612" t="s">
        <v>12</v>
      </c>
      <c r="K28" s="612" t="s">
        <v>13</v>
      </c>
    </row>
    <row r="29">
      <c r="A29" s="553" t="s">
        <v>35</v>
      </c>
      <c r="B29" s="8"/>
      <c r="C29" s="8"/>
      <c r="D29" s="8"/>
      <c r="E29" s="8"/>
      <c r="F29" s="8"/>
      <c r="G29" s="11"/>
      <c r="H29" s="7"/>
      <c r="I29" s="7"/>
      <c r="J29" s="7"/>
      <c r="K29" s="7"/>
    </row>
    <row r="30">
      <c r="A30" s="599" t="s">
        <v>36</v>
      </c>
      <c r="B30" s="1"/>
      <c r="C30" s="1"/>
      <c r="D30" s="1"/>
      <c r="E30" s="1"/>
      <c r="F30" s="1"/>
      <c r="G30" s="3"/>
      <c r="H30" s="1"/>
      <c r="I30" s="1"/>
      <c r="J30" s="1"/>
      <c r="K30" s="1"/>
    </row>
    <row r="31">
      <c r="A31" s="599" t="s">
        <v>37</v>
      </c>
      <c r="B31" s="1"/>
      <c r="C31" s="1"/>
      <c r="D31" s="1"/>
      <c r="E31" s="1"/>
      <c r="F31" s="1"/>
      <c r="G31" s="3"/>
      <c r="H31" s="1"/>
      <c r="I31" s="1"/>
      <c r="J31" s="1"/>
      <c r="K31" s="1"/>
    </row>
    <row r="32">
      <c r="A32" s="599" t="s">
        <v>38</v>
      </c>
      <c r="B32" s="1"/>
      <c r="C32" s="1"/>
      <c r="D32" s="608">
        <v>730289</v>
      </c>
      <c r="E32" s="608">
        <v>35690715</v>
      </c>
      <c r="F32" s="608">
        <v>34127110</v>
      </c>
      <c r="G32" s="3"/>
      <c r="H32" s="1"/>
      <c r="I32" s="1"/>
      <c r="J32" s="1"/>
      <c r="K32" s="1"/>
    </row>
    <row r="33">
      <c r="A33" s="599" t="s">
        <v>39</v>
      </c>
      <c r="B33" s="1"/>
      <c r="C33" s="1"/>
      <c r="D33" s="608">
        <v>9484768</v>
      </c>
      <c r="E33" s="608">
        <v>71344482</v>
      </c>
      <c r="F33" s="608">
        <v>25061346</v>
      </c>
      <c r="G33" s="3"/>
      <c r="H33" s="1"/>
      <c r="I33" s="1"/>
      <c r="J33" s="1"/>
      <c r="K33" s="1"/>
    </row>
    <row r="34">
      <c r="A34" s="599" t="s">
        <v>40</v>
      </c>
      <c r="B34" s="1"/>
      <c r="C34" s="1"/>
      <c r="D34" s="608">
        <v>0</v>
      </c>
      <c r="E34" s="608">
        <v>47076358</v>
      </c>
      <c r="F34" s="608">
        <v>52989225</v>
      </c>
      <c r="G34" s="3"/>
      <c r="H34" s="1"/>
      <c r="I34" s="1"/>
      <c r="J34" s="1"/>
      <c r="K34" s="1"/>
    </row>
    <row r="35">
      <c r="A35" s="599" t="s">
        <v>41</v>
      </c>
      <c r="B35" s="1"/>
      <c r="C35" s="1"/>
      <c r="D35" s="608">
        <v>0</v>
      </c>
      <c r="E35" s="608">
        <v>216976</v>
      </c>
      <c r="F35" s="608">
        <v>1565841</v>
      </c>
      <c r="G35" s="3"/>
      <c r="H35" s="1"/>
      <c r="I35" s="1"/>
      <c r="J35" s="1"/>
      <c r="K35" s="1"/>
    </row>
    <row r="36">
      <c r="A36" s="599" t="s">
        <v>42</v>
      </c>
      <c r="B36" s="1"/>
      <c r="C36" s="1"/>
      <c r="D36" s="608">
        <v>0</v>
      </c>
      <c r="E36" s="608">
        <v>12567893</v>
      </c>
      <c r="F36" s="608">
        <v>12635537</v>
      </c>
      <c r="G36" s="3"/>
      <c r="H36" s="1"/>
      <c r="I36" s="1"/>
      <c r="J36" s="1"/>
      <c r="K36" s="1"/>
    </row>
    <row r="37">
      <c r="A37" s="599" t="s">
        <v>43</v>
      </c>
      <c r="B37" s="1"/>
      <c r="C37" s="1"/>
      <c r="D37" s="608">
        <v>0</v>
      </c>
      <c r="E37" s="608">
        <v>18443</v>
      </c>
      <c r="F37" s="608">
        <v>8044029</v>
      </c>
      <c r="G37" s="3"/>
      <c r="H37" s="1"/>
      <c r="I37" s="1"/>
      <c r="J37" s="1"/>
      <c r="K37" s="1"/>
    </row>
    <row r="38">
      <c r="A38" s="543" t="s">
        <v>44</v>
      </c>
      <c r="B38" s="2"/>
      <c r="C38" s="2"/>
      <c r="D38" s="2">
        <v>10215057</v>
      </c>
      <c r="E38" s="2">
        <v>166914867</v>
      </c>
      <c r="F38" s="2">
        <v>134423088</v>
      </c>
      <c r="G38" s="9"/>
      <c r="H38" s="2"/>
      <c r="I38" s="2"/>
      <c r="J38" s="2"/>
      <c r="K38" s="2"/>
    </row>
    <row r="39">
      <c r="A39" s="599" t="s">
        <v>45</v>
      </c>
      <c r="B39" s="1"/>
      <c r="C39" s="1"/>
      <c r="D39" s="1"/>
      <c r="E39" s="1"/>
      <c r="F39" s="1"/>
      <c r="G39" s="3"/>
      <c r="H39" s="1"/>
      <c r="I39" s="1"/>
      <c r="J39" s="1"/>
      <c r="K39" s="1"/>
    </row>
    <row r="40">
      <c r="A40" s="599" t="s">
        <v>46</v>
      </c>
      <c r="B40" s="1"/>
      <c r="C40" s="1"/>
      <c r="D40" s="608">
        <v>4405052</v>
      </c>
      <c r="E40" s="608">
        <v>573263125</v>
      </c>
      <c r="F40" s="608">
        <v>760443619</v>
      </c>
      <c r="G40" s="3"/>
      <c r="H40" s="1"/>
      <c r="I40" s="1"/>
      <c r="J40" s="1"/>
      <c r="K40" s="1"/>
    </row>
    <row r="41">
      <c r="A41" s="599" t="s">
        <v>47</v>
      </c>
      <c r="B41" s="1"/>
      <c r="C41" s="1"/>
      <c r="D41" s="608">
        <v>568305169</v>
      </c>
      <c r="E41" s="608">
        <v>170183780</v>
      </c>
      <c r="F41" s="608">
        <v>0</v>
      </c>
      <c r="G41" s="3"/>
      <c r="H41" s="1"/>
      <c r="I41" s="1"/>
      <c r="J41" s="1"/>
      <c r="K41" s="1"/>
    </row>
    <row r="42">
      <c r="A42" s="599" t="s">
        <v>48</v>
      </c>
      <c r="B42" s="1"/>
      <c r="C42" s="1"/>
      <c r="D42" s="608">
        <v>232073438</v>
      </c>
      <c r="E42" s="608">
        <v>229172520</v>
      </c>
      <c r="F42" s="608">
        <v>217568848</v>
      </c>
      <c r="G42" s="3"/>
      <c r="H42" s="1"/>
      <c r="I42" s="1"/>
      <c r="J42" s="1"/>
      <c r="K42" s="1"/>
    </row>
    <row r="43">
      <c r="A43" s="599" t="s">
        <v>49</v>
      </c>
      <c r="B43" s="1"/>
      <c r="C43" s="1"/>
      <c r="D43" s="608">
        <v>9194053</v>
      </c>
      <c r="E43" s="608">
        <v>6262558</v>
      </c>
      <c r="F43" s="608">
        <v>5921376</v>
      </c>
      <c r="G43" s="3"/>
      <c r="H43" s="1"/>
      <c r="I43" s="1"/>
      <c r="J43" s="1"/>
      <c r="K43" s="1"/>
    </row>
    <row r="44">
      <c r="A44" s="599" t="s">
        <v>50</v>
      </c>
      <c r="B44" s="1"/>
      <c r="C44" s="1"/>
      <c r="D44" s="608">
        <v>71922</v>
      </c>
      <c r="E44" s="608">
        <v>31038</v>
      </c>
      <c r="F44" s="608">
        <v>32028</v>
      </c>
      <c r="G44" s="3"/>
      <c r="H44" s="1"/>
      <c r="I44" s="1"/>
      <c r="J44" s="1"/>
      <c r="K44" s="1"/>
    </row>
    <row r="45">
      <c r="A45" s="599" t="s">
        <v>51</v>
      </c>
      <c r="B45" s="1"/>
      <c r="C45" s="1"/>
      <c r="D45" s="608">
        <v>89302665</v>
      </c>
      <c r="E45" s="608">
        <v>104809005</v>
      </c>
      <c r="F45" s="608">
        <v>89498950</v>
      </c>
      <c r="G45" s="3"/>
      <c r="H45" s="1"/>
      <c r="I45" s="1"/>
      <c r="J45" s="1"/>
      <c r="K45" s="1"/>
    </row>
    <row r="46">
      <c r="A46" s="599" t="s">
        <v>52</v>
      </c>
      <c r="B46" s="1"/>
      <c r="C46" s="1"/>
      <c r="D46" s="608">
        <v>0</v>
      </c>
      <c r="E46" s="608">
        <v>57766</v>
      </c>
      <c r="F46" s="608">
        <v>115685</v>
      </c>
      <c r="G46" s="3"/>
      <c r="H46" s="1"/>
      <c r="I46" s="1"/>
      <c r="J46" s="1"/>
      <c r="K46" s="1"/>
    </row>
    <row r="47">
      <c r="A47" s="599" t="s">
        <v>53</v>
      </c>
      <c r="B47" s="1"/>
      <c r="C47" s="1"/>
      <c r="D47" s="608">
        <v>0</v>
      </c>
      <c r="E47" s="608">
        <v>0</v>
      </c>
      <c r="F47" s="608">
        <v>421174</v>
      </c>
      <c r="G47" s="3"/>
      <c r="H47" s="1"/>
      <c r="I47" s="1"/>
      <c r="J47" s="1"/>
      <c r="K47" s="1"/>
    </row>
    <row r="48">
      <c r="A48" s="543" t="s">
        <v>54</v>
      </c>
      <c r="B48" s="2"/>
      <c r="C48" s="2"/>
      <c r="D48" s="2">
        <v>903352299</v>
      </c>
      <c r="E48" s="2">
        <v>1083779792</v>
      </c>
      <c r="F48" s="2">
        <v>1074001680</v>
      </c>
      <c r="G48" s="9"/>
      <c r="H48" s="2"/>
      <c r="I48" s="2"/>
      <c r="J48" s="2"/>
      <c r="K48" s="2"/>
    </row>
    <row r="49">
      <c r="A49" s="543" t="s">
        <v>55</v>
      </c>
      <c r="B49" s="2"/>
      <c r="C49" s="2"/>
      <c r="D49" s="2">
        <v>913567356</v>
      </c>
      <c r="E49" s="2">
        <v>1250694659</v>
      </c>
      <c r="F49" s="2">
        <v>1208424768</v>
      </c>
      <c r="G49" s="9"/>
      <c r="H49" s="2"/>
      <c r="I49" s="2"/>
      <c r="J49" s="2"/>
      <c r="K49" s="2"/>
    </row>
    <row r="50">
      <c r="A50" s="599" t="s">
        <v>56</v>
      </c>
      <c r="B50" s="1"/>
      <c r="C50" s="1"/>
      <c r="D50" s="1"/>
      <c r="E50" s="1"/>
      <c r="F50" s="1"/>
      <c r="G50" s="3"/>
      <c r="H50" s="1"/>
      <c r="I50" s="1"/>
      <c r="J50" s="1"/>
      <c r="K50" s="1"/>
    </row>
    <row r="51">
      <c r="A51" s="599" t="s">
        <v>57</v>
      </c>
      <c r="B51" s="1"/>
      <c r="C51" s="1"/>
      <c r="D51" s="1"/>
      <c r="E51" s="1"/>
      <c r="F51" s="1"/>
      <c r="G51" s="3"/>
      <c r="H51" s="1"/>
      <c r="I51" s="1"/>
      <c r="J51" s="1"/>
      <c r="K51" s="1"/>
    </row>
    <row r="52">
      <c r="A52" s="599" t="s">
        <v>58</v>
      </c>
      <c r="B52" s="1"/>
      <c r="C52" s="1"/>
      <c r="D52" s="608">
        <v>812820</v>
      </c>
      <c r="E52" s="608">
        <v>39939411</v>
      </c>
      <c r="F52" s="608">
        <v>9326557</v>
      </c>
      <c r="G52" s="3"/>
      <c r="H52" s="1"/>
      <c r="I52" s="1"/>
      <c r="J52" s="1"/>
      <c r="K52" s="1"/>
    </row>
    <row r="53">
      <c r="A53" s="599" t="s">
        <v>59</v>
      </c>
      <c r="B53" s="1"/>
      <c r="C53" s="1"/>
      <c r="D53" s="608">
        <v>0</v>
      </c>
      <c r="E53" s="608">
        <v>20477182</v>
      </c>
      <c r="F53" s="608">
        <v>6387577</v>
      </c>
      <c r="G53" s="3"/>
      <c r="H53" s="1"/>
      <c r="I53" s="1"/>
      <c r="J53" s="1"/>
      <c r="K53" s="1"/>
    </row>
    <row r="54">
      <c r="A54" s="599" t="s">
        <v>60</v>
      </c>
      <c r="B54" s="1"/>
      <c r="C54" s="1"/>
      <c r="D54" s="608">
        <v>19423030</v>
      </c>
      <c r="E54" s="608">
        <v>19626508</v>
      </c>
      <c r="F54" s="608">
        <v>46374534</v>
      </c>
      <c r="G54" s="3"/>
      <c r="H54" s="1"/>
      <c r="I54" s="1"/>
      <c r="J54" s="1"/>
      <c r="K54" s="1"/>
    </row>
    <row r="55">
      <c r="A55" s="599" t="s">
        <v>61</v>
      </c>
      <c r="B55" s="1"/>
      <c r="C55" s="1"/>
      <c r="D55" s="608">
        <v>0</v>
      </c>
      <c r="E55" s="608">
        <v>8894863</v>
      </c>
      <c r="F55" s="608">
        <v>2705118</v>
      </c>
      <c r="G55" s="3"/>
      <c r="H55" s="1"/>
      <c r="I55" s="1"/>
      <c r="J55" s="1"/>
      <c r="K55" s="1"/>
    </row>
    <row r="56">
      <c r="A56" s="599" t="s">
        <v>62</v>
      </c>
      <c r="B56" s="1"/>
      <c r="C56" s="1"/>
      <c r="D56" s="608">
        <v>72912</v>
      </c>
      <c r="E56" s="608">
        <v>240776</v>
      </c>
      <c r="F56" s="608">
        <v>299722</v>
      </c>
      <c r="G56" s="3"/>
      <c r="H56" s="1"/>
      <c r="I56" s="1"/>
      <c r="J56" s="1"/>
      <c r="K56" s="1"/>
    </row>
    <row r="57">
      <c r="A57" s="599" t="s">
        <v>63</v>
      </c>
      <c r="B57" s="1"/>
      <c r="C57" s="1"/>
      <c r="D57" s="608">
        <v>0</v>
      </c>
      <c r="E57" s="608">
        <v>1440939</v>
      </c>
      <c r="F57" s="608">
        <v>4557061</v>
      </c>
      <c r="G57" s="3"/>
      <c r="H57" s="1"/>
      <c r="I57" s="1"/>
      <c r="J57" s="1"/>
      <c r="K57" s="1"/>
    </row>
    <row r="58">
      <c r="A58" s="599" t="s">
        <v>64</v>
      </c>
      <c r="B58" s="1"/>
      <c r="C58" s="1"/>
      <c r="D58" s="608">
        <v>137467</v>
      </c>
      <c r="E58" s="608">
        <v>270020</v>
      </c>
      <c r="F58" s="608">
        <v>366843</v>
      </c>
      <c r="G58" s="3"/>
      <c r="H58" s="1"/>
      <c r="I58" s="1"/>
      <c r="J58" s="1"/>
      <c r="K58" s="1"/>
    </row>
    <row r="59">
      <c r="A59" s="543" t="s">
        <v>65</v>
      </c>
      <c r="B59" s="2"/>
      <c r="C59" s="2"/>
      <c r="D59" s="2">
        <v>20446229</v>
      </c>
      <c r="E59" s="2">
        <v>90889699</v>
      </c>
      <c r="F59" s="2">
        <v>70017412</v>
      </c>
      <c r="G59" s="9"/>
      <c r="H59" s="2"/>
      <c r="I59" s="2"/>
      <c r="J59" s="2"/>
      <c r="K59" s="2"/>
    </row>
    <row r="60">
      <c r="A60" s="599" t="s">
        <v>66</v>
      </c>
      <c r="B60" s="1"/>
      <c r="C60" s="1"/>
      <c r="D60" s="1"/>
      <c r="E60" s="1"/>
      <c r="F60" s="1"/>
      <c r="G60" s="3"/>
      <c r="H60" s="1"/>
      <c r="I60" s="1"/>
      <c r="J60" s="1"/>
      <c r="K60" s="1"/>
    </row>
    <row r="61">
      <c r="A61" s="599" t="s">
        <v>67</v>
      </c>
      <c r="B61" s="1"/>
      <c r="C61" s="1"/>
      <c r="D61" s="608">
        <v>84309211</v>
      </c>
      <c r="E61" s="608">
        <v>85192442</v>
      </c>
      <c r="F61" s="608">
        <v>43657337</v>
      </c>
      <c r="G61" s="3"/>
      <c r="H61" s="1"/>
      <c r="I61" s="1"/>
      <c r="J61" s="1"/>
      <c r="K61" s="1"/>
    </row>
    <row r="62">
      <c r="A62" s="599" t="s">
        <v>68</v>
      </c>
      <c r="B62" s="1"/>
      <c r="C62" s="1"/>
      <c r="D62" s="608">
        <v>575680720</v>
      </c>
      <c r="E62" s="608">
        <v>704207379</v>
      </c>
      <c r="F62" s="608">
        <v>841707434</v>
      </c>
      <c r="G62" s="3"/>
      <c r="H62" s="1"/>
      <c r="I62" s="1"/>
      <c r="J62" s="1"/>
      <c r="K62" s="1"/>
    </row>
    <row r="63">
      <c r="A63" s="599" t="s">
        <v>69</v>
      </c>
      <c r="B63" s="1"/>
      <c r="C63" s="1"/>
      <c r="D63" s="608">
        <v>10421780</v>
      </c>
      <c r="E63" s="608">
        <v>7561463</v>
      </c>
      <c r="F63" s="608">
        <v>7306348</v>
      </c>
      <c r="G63" s="3"/>
      <c r="H63" s="1"/>
      <c r="I63" s="1"/>
      <c r="J63" s="1"/>
      <c r="K63" s="1"/>
    </row>
    <row r="64">
      <c r="A64" s="599" t="s">
        <v>70</v>
      </c>
      <c r="B64" s="1"/>
      <c r="C64" s="1"/>
      <c r="D64" s="608">
        <v>0</v>
      </c>
      <c r="E64" s="608">
        <v>65223</v>
      </c>
      <c r="F64" s="608">
        <v>124106</v>
      </c>
      <c r="G64" s="3"/>
      <c r="H64" s="1"/>
      <c r="I64" s="1"/>
      <c r="J64" s="1"/>
      <c r="K64" s="1"/>
    </row>
    <row r="65">
      <c r="A65" s="543" t="s">
        <v>71</v>
      </c>
      <c r="B65" s="2"/>
      <c r="C65" s="2"/>
      <c r="D65" s="2">
        <v>670411711</v>
      </c>
      <c r="E65" s="2">
        <v>797026507</v>
      </c>
      <c r="F65" s="2">
        <v>892795225</v>
      </c>
      <c r="G65" s="9"/>
      <c r="H65" s="2"/>
      <c r="I65" s="2"/>
      <c r="J65" s="2"/>
      <c r="K65" s="2"/>
    </row>
    <row r="66">
      <c r="A66" s="543" t="s">
        <v>72</v>
      </c>
      <c r="B66" s="2"/>
      <c r="C66" s="2"/>
      <c r="D66" s="2">
        <v>690857940</v>
      </c>
      <c r="E66" s="2">
        <v>887916206</v>
      </c>
      <c r="F66" s="2">
        <v>962812637</v>
      </c>
      <c r="G66" s="9"/>
      <c r="H66" s="2"/>
      <c r="I66" s="2"/>
      <c r="J66" s="2"/>
      <c r="K66" s="2"/>
    </row>
    <row r="67">
      <c r="A67" s="599" t="s">
        <v>73</v>
      </c>
      <c r="B67" s="1"/>
      <c r="C67" s="1"/>
      <c r="D67" s="1"/>
      <c r="E67" s="1"/>
      <c r="F67" s="1"/>
      <c r="G67" s="3"/>
      <c r="H67" s="1"/>
      <c r="I67" s="1"/>
      <c r="J67" s="1"/>
      <c r="K67" s="1"/>
    </row>
    <row r="68">
      <c r="A68" s="599" t="s">
        <v>74</v>
      </c>
      <c r="B68" s="1"/>
      <c r="C68" s="1"/>
      <c r="D68" s="608">
        <v>158568190</v>
      </c>
      <c r="E68" s="608">
        <v>288833880</v>
      </c>
      <c r="F68" s="608">
        <v>195288846</v>
      </c>
      <c r="G68" s="3"/>
      <c r="H68" s="1"/>
      <c r="I68" s="1"/>
      <c r="J68" s="1"/>
      <c r="K68" s="1"/>
    </row>
    <row r="69">
      <c r="A69" s="599" t="s">
        <v>75</v>
      </c>
      <c r="B69" s="1"/>
      <c r="C69" s="1"/>
      <c r="D69" s="608">
        <v>-23111594</v>
      </c>
      <c r="E69" s="608">
        <v>-29503876</v>
      </c>
      <c r="F69" s="608">
        <v>-38152302</v>
      </c>
      <c r="G69" s="3"/>
      <c r="H69" s="1"/>
      <c r="I69" s="1"/>
      <c r="J69" s="1"/>
      <c r="K69" s="1"/>
    </row>
    <row r="70">
      <c r="A70" s="599" t="s">
        <v>33</v>
      </c>
      <c r="B70" s="1"/>
      <c r="C70" s="1"/>
      <c r="D70" s="608">
        <v>87252820</v>
      </c>
      <c r="E70" s="608">
        <v>103448449</v>
      </c>
      <c r="F70" s="608">
        <v>88475587</v>
      </c>
      <c r="G70" s="3"/>
      <c r="H70" s="1"/>
      <c r="I70" s="1"/>
      <c r="J70" s="1"/>
      <c r="K70" s="1"/>
    </row>
    <row r="71">
      <c r="A71" s="543" t="s">
        <v>76</v>
      </c>
      <c r="B71" s="2"/>
      <c r="C71" s="2"/>
      <c r="D71" s="2">
        <v>222709416</v>
      </c>
      <c r="E71" s="2">
        <v>362778453</v>
      </c>
      <c r="F71" s="2">
        <v>245612131</v>
      </c>
      <c r="G71" s="9"/>
      <c r="H71" s="2"/>
      <c r="I71" s="2"/>
      <c r="J71" s="2"/>
      <c r="K71" s="2"/>
    </row>
    <row r="72">
      <c r="A72" s="543" t="s">
        <v>77</v>
      </c>
      <c r="B72" s="2"/>
      <c r="C72" s="2"/>
      <c r="D72" s="2">
        <v>913567356</v>
      </c>
      <c r="E72" s="2">
        <v>1250694659</v>
      </c>
      <c r="F72" s="2">
        <v>1208424768</v>
      </c>
      <c r="G72" s="9"/>
      <c r="H72" s="2"/>
      <c r="I72" s="2"/>
      <c r="J72" s="2"/>
      <c r="K72" s="2"/>
    </row>
    <row r="73">
      <c r="A73" s="4"/>
      <c r="B73" s="4"/>
      <c r="C73" s="4"/>
      <c r="D73" s="4"/>
      <c r="E73" s="4"/>
      <c r="F73" s="4"/>
      <c r="G73" s="10"/>
      <c r="H73" s="4"/>
      <c r="I73" s="4"/>
      <c r="J73" s="4"/>
      <c r="K73" s="4"/>
    </row>
    <row r="74">
      <c r="A74" s="553" t="s">
        <v>3</v>
      </c>
      <c r="B74" s="610" t="s">
        <v>4</v>
      </c>
      <c r="C74" s="610" t="s">
        <v>5</v>
      </c>
      <c r="D74" s="610" t="s">
        <v>6</v>
      </c>
      <c r="E74" s="610" t="s">
        <v>7</v>
      </c>
      <c r="F74" s="610" t="s">
        <v>8</v>
      </c>
      <c r="G74" s="607" t="s">
        <v>9</v>
      </c>
      <c r="H74" s="612" t="s">
        <v>10</v>
      </c>
      <c r="I74" s="612" t="s">
        <v>11</v>
      </c>
      <c r="J74" s="612" t="s">
        <v>12</v>
      </c>
      <c r="K74" s="612" t="s">
        <v>13</v>
      </c>
    </row>
    <row r="75">
      <c r="A75" s="553" t="s">
        <v>78</v>
      </c>
      <c r="B75" s="8"/>
      <c r="C75" s="8"/>
      <c r="D75" s="8"/>
      <c r="E75" s="8"/>
      <c r="F75" s="8"/>
      <c r="G75" s="11"/>
      <c r="H75" s="7"/>
      <c r="I75" s="7"/>
      <c r="J75" s="7"/>
      <c r="K75" s="7"/>
    </row>
    <row r="76">
      <c r="A76" s="599" t="s">
        <v>79</v>
      </c>
      <c r="B76" s="1"/>
      <c r="C76" s="1"/>
      <c r="D76" s="1"/>
      <c r="E76" s="1"/>
      <c r="F76" s="1"/>
      <c r="G76" s="3"/>
      <c r="H76" s="1"/>
      <c r="I76" s="1"/>
      <c r="J76" s="1"/>
      <c r="K76" s="1"/>
    </row>
    <row r="77">
      <c r="A77" s="599" t="s">
        <v>28</v>
      </c>
      <c r="B77" s="1"/>
      <c r="C77" s="1"/>
      <c r="D77" s="608">
        <v>-7155111</v>
      </c>
      <c r="E77" s="608">
        <v>-4951343</v>
      </c>
      <c r="F77" s="608">
        <v>-3071600</v>
      </c>
      <c r="G77" s="3"/>
      <c r="H77" s="1"/>
      <c r="I77" s="1"/>
      <c r="J77" s="1"/>
      <c r="K77" s="1"/>
    </row>
    <row r="78">
      <c r="A78" s="599" t="s">
        <v>80</v>
      </c>
      <c r="B78" s="1"/>
      <c r="C78" s="1"/>
      <c r="D78" s="1"/>
      <c r="E78" s="1"/>
      <c r="F78" s="1"/>
      <c r="G78" s="3"/>
      <c r="H78" s="1"/>
      <c r="I78" s="1"/>
      <c r="J78" s="1"/>
      <c r="K78" s="1"/>
    </row>
    <row r="79">
      <c r="A79" s="599" t="s">
        <v>81</v>
      </c>
      <c r="B79" s="1"/>
      <c r="C79" s="1"/>
      <c r="D79" s="608">
        <v>0</v>
      </c>
      <c r="E79" s="608">
        <v>6060088</v>
      </c>
      <c r="F79" s="608">
        <v>29746572</v>
      </c>
      <c r="G79" s="3"/>
      <c r="H79" s="1"/>
      <c r="I79" s="1"/>
      <c r="J79" s="1"/>
      <c r="K79" s="1"/>
    </row>
    <row r="80">
      <c r="A80" s="599" t="s">
        <v>82</v>
      </c>
      <c r="B80" s="1"/>
      <c r="C80" s="1"/>
      <c r="D80" s="608">
        <v>0</v>
      </c>
      <c r="E80" s="608">
        <v>2900918</v>
      </c>
      <c r="F80" s="608">
        <v>11603672</v>
      </c>
      <c r="G80" s="3"/>
      <c r="H80" s="1"/>
      <c r="I80" s="1"/>
      <c r="J80" s="1"/>
      <c r="K80" s="1"/>
    </row>
    <row r="81">
      <c r="A81" s="599" t="s">
        <v>83</v>
      </c>
      <c r="B81" s="1"/>
      <c r="C81" s="1"/>
      <c r="D81" s="608">
        <v>0</v>
      </c>
      <c r="E81" s="608">
        <v>112148</v>
      </c>
      <c r="F81" s="608">
        <v>470414</v>
      </c>
      <c r="G81" s="3"/>
      <c r="H81" s="1"/>
      <c r="I81" s="1"/>
      <c r="J81" s="1"/>
      <c r="K81" s="1"/>
    </row>
    <row r="82">
      <c r="A82" s="599" t="s">
        <v>84</v>
      </c>
      <c r="B82" s="1"/>
      <c r="C82" s="1"/>
      <c r="D82" s="608">
        <v>6982133</v>
      </c>
      <c r="E82" s="608">
        <v>1086710</v>
      </c>
      <c r="F82" s="608">
        <v>5232921</v>
      </c>
      <c r="G82" s="3"/>
      <c r="H82" s="1"/>
      <c r="I82" s="1"/>
      <c r="J82" s="1"/>
      <c r="K82" s="1"/>
    </row>
    <row r="83">
      <c r="A83" s="599" t="s">
        <v>85</v>
      </c>
      <c r="B83" s="1"/>
      <c r="C83" s="1"/>
      <c r="D83" s="608">
        <v>0</v>
      </c>
      <c r="E83" s="608">
        <v>14055900</v>
      </c>
      <c r="F83" s="608">
        <v>63186268</v>
      </c>
      <c r="G83" s="3"/>
      <c r="H83" s="1"/>
      <c r="I83" s="1"/>
      <c r="J83" s="1"/>
      <c r="K83" s="1"/>
    </row>
    <row r="84">
      <c r="A84" s="599" t="s">
        <v>86</v>
      </c>
      <c r="B84" s="1"/>
      <c r="C84" s="1"/>
      <c r="D84" s="608">
        <v>0</v>
      </c>
      <c r="E84" s="608">
        <v>-3377644</v>
      </c>
      <c r="F84" s="608">
        <v>-13262202</v>
      </c>
      <c r="G84" s="3"/>
      <c r="H84" s="1"/>
      <c r="I84" s="1"/>
      <c r="J84" s="1"/>
      <c r="K84" s="1"/>
    </row>
    <row r="85">
      <c r="A85" s="599" t="s">
        <v>87</v>
      </c>
      <c r="B85" s="1"/>
      <c r="C85" s="1"/>
      <c r="D85" s="608">
        <v>0</v>
      </c>
      <c r="E85" s="608">
        <v>0</v>
      </c>
      <c r="F85" s="608">
        <v>-71280</v>
      </c>
      <c r="G85" s="3"/>
      <c r="H85" s="1"/>
      <c r="I85" s="1"/>
      <c r="J85" s="1"/>
      <c r="K85" s="1"/>
    </row>
    <row r="86">
      <c r="A86" s="599" t="s">
        <v>88</v>
      </c>
      <c r="B86" s="1"/>
      <c r="C86" s="1"/>
      <c r="D86" s="608">
        <v>0</v>
      </c>
      <c r="E86" s="608">
        <v>1466734</v>
      </c>
      <c r="F86" s="608">
        <v>10712475</v>
      </c>
      <c r="G86" s="3"/>
      <c r="H86" s="1"/>
      <c r="I86" s="1"/>
      <c r="J86" s="1"/>
      <c r="K86" s="1"/>
    </row>
    <row r="87">
      <c r="A87" s="599" t="s">
        <v>89</v>
      </c>
      <c r="B87" s="1"/>
      <c r="C87" s="1"/>
      <c r="D87" s="608">
        <v>-172978</v>
      </c>
      <c r="E87" s="608">
        <v>17353511</v>
      </c>
      <c r="F87" s="608">
        <v>104547240</v>
      </c>
      <c r="G87" s="3"/>
      <c r="H87" s="1"/>
      <c r="I87" s="1"/>
      <c r="J87" s="1"/>
      <c r="K87" s="1"/>
    </row>
    <row r="88">
      <c r="A88" s="599" t="s">
        <v>90</v>
      </c>
      <c r="B88" s="1"/>
      <c r="C88" s="1"/>
      <c r="D88" s="1"/>
      <c r="E88" s="1"/>
      <c r="F88" s="1"/>
      <c r="G88" s="3"/>
      <c r="H88" s="1"/>
      <c r="I88" s="1"/>
      <c r="J88" s="1"/>
      <c r="K88" s="1"/>
    </row>
    <row r="89">
      <c r="A89" s="599" t="s">
        <v>40</v>
      </c>
      <c r="B89" s="1"/>
      <c r="C89" s="1"/>
      <c r="D89" s="608">
        <v>0</v>
      </c>
      <c r="E89" s="608">
        <v>-47076360</v>
      </c>
      <c r="F89" s="608">
        <v>-5912867</v>
      </c>
      <c r="G89" s="3"/>
      <c r="H89" s="1"/>
      <c r="I89" s="1"/>
      <c r="J89" s="1"/>
      <c r="K89" s="1"/>
    </row>
    <row r="90">
      <c r="A90" s="599" t="s">
        <v>41</v>
      </c>
      <c r="B90" s="1"/>
      <c r="C90" s="1"/>
      <c r="D90" s="608">
        <v>0</v>
      </c>
      <c r="E90" s="608">
        <v>3911236</v>
      </c>
      <c r="F90" s="608">
        <v>-1348865</v>
      </c>
      <c r="G90" s="3"/>
      <c r="H90" s="1"/>
      <c r="I90" s="1"/>
      <c r="J90" s="1"/>
      <c r="K90" s="1"/>
    </row>
    <row r="91">
      <c r="A91" s="599" t="s">
        <v>42</v>
      </c>
      <c r="B91" s="1"/>
      <c r="C91" s="1"/>
      <c r="D91" s="608">
        <v>0</v>
      </c>
      <c r="E91" s="608">
        <v>-12567893</v>
      </c>
      <c r="F91" s="608">
        <v>-67644</v>
      </c>
      <c r="G91" s="3"/>
      <c r="H91" s="1"/>
      <c r="I91" s="1"/>
      <c r="J91" s="1"/>
      <c r="K91" s="1"/>
    </row>
    <row r="92">
      <c r="A92" s="599" t="s">
        <v>43</v>
      </c>
      <c r="B92" s="1"/>
      <c r="C92" s="1"/>
      <c r="D92" s="608">
        <v>0</v>
      </c>
      <c r="E92" s="608">
        <v>-18435</v>
      </c>
      <c r="F92" s="608">
        <v>-8025588</v>
      </c>
      <c r="G92" s="3"/>
      <c r="H92" s="1"/>
      <c r="I92" s="1"/>
      <c r="J92" s="1"/>
      <c r="K92" s="1"/>
    </row>
    <row r="93">
      <c r="A93" s="599" t="s">
        <v>52</v>
      </c>
      <c r="B93" s="1"/>
      <c r="C93" s="1"/>
      <c r="D93" s="608">
        <v>0</v>
      </c>
      <c r="E93" s="608">
        <v>-57766</v>
      </c>
      <c r="F93" s="608">
        <v>-57919</v>
      </c>
      <c r="G93" s="3"/>
      <c r="H93" s="1"/>
      <c r="I93" s="1"/>
      <c r="J93" s="1"/>
      <c r="K93" s="1"/>
    </row>
    <row r="94">
      <c r="A94" s="599" t="s">
        <v>50</v>
      </c>
      <c r="B94" s="1"/>
      <c r="C94" s="1"/>
      <c r="D94" s="608">
        <v>-40684</v>
      </c>
      <c r="E94" s="608">
        <v>40884</v>
      </c>
      <c r="F94" s="608">
        <v>-990</v>
      </c>
      <c r="G94" s="3"/>
      <c r="H94" s="1"/>
      <c r="I94" s="1"/>
      <c r="J94" s="1"/>
      <c r="K94" s="1"/>
    </row>
    <row r="95">
      <c r="A95" s="599" t="s">
        <v>91</v>
      </c>
      <c r="B95" s="1"/>
      <c r="C95" s="1"/>
      <c r="D95" s="608">
        <v>-2378846</v>
      </c>
      <c r="E95" s="608">
        <v>37941625</v>
      </c>
      <c r="F95" s="608">
        <v>-4371652</v>
      </c>
      <c r="G95" s="3"/>
      <c r="H95" s="1"/>
      <c r="I95" s="1"/>
      <c r="J95" s="1"/>
      <c r="K95" s="1"/>
    </row>
    <row r="96">
      <c r="A96" s="599" t="s">
        <v>92</v>
      </c>
      <c r="B96" s="1"/>
      <c r="C96" s="1"/>
      <c r="D96" s="608">
        <v>-46661</v>
      </c>
      <c r="E96" s="608">
        <v>4766651</v>
      </c>
      <c r="F96" s="608">
        <v>-6189745</v>
      </c>
      <c r="G96" s="3"/>
      <c r="H96" s="1"/>
      <c r="I96" s="1"/>
      <c r="J96" s="1"/>
      <c r="K96" s="1"/>
    </row>
    <row r="97">
      <c r="A97" s="599" t="s">
        <v>64</v>
      </c>
      <c r="B97" s="1"/>
      <c r="C97" s="1"/>
      <c r="D97" s="608">
        <v>76131</v>
      </c>
      <c r="E97" s="608">
        <v>132552</v>
      </c>
      <c r="F97" s="608">
        <v>96823</v>
      </c>
      <c r="G97" s="3"/>
      <c r="H97" s="1"/>
      <c r="I97" s="1"/>
      <c r="J97" s="1"/>
      <c r="K97" s="1"/>
    </row>
    <row r="98">
      <c r="A98" s="599" t="s">
        <v>70</v>
      </c>
      <c r="B98" s="1"/>
      <c r="C98" s="1"/>
      <c r="D98" s="608">
        <v>0</v>
      </c>
      <c r="E98" s="608">
        <v>65223</v>
      </c>
      <c r="F98" s="608">
        <v>58883</v>
      </c>
      <c r="G98" s="3"/>
      <c r="H98" s="1"/>
      <c r="I98" s="1"/>
      <c r="J98" s="1"/>
      <c r="K98" s="1"/>
    </row>
    <row r="99">
      <c r="A99" s="599" t="s">
        <v>93</v>
      </c>
      <c r="B99" s="1"/>
      <c r="C99" s="1"/>
      <c r="D99" s="608">
        <v>0</v>
      </c>
      <c r="E99" s="608">
        <v>0</v>
      </c>
      <c r="F99" s="608">
        <v>-2881878</v>
      </c>
      <c r="G99" s="3"/>
      <c r="H99" s="1"/>
      <c r="I99" s="1"/>
      <c r="J99" s="1"/>
      <c r="K99" s="1"/>
    </row>
    <row r="100">
      <c r="A100" s="543" t="s">
        <v>94</v>
      </c>
      <c r="B100" s="2"/>
      <c r="C100" s="2"/>
      <c r="D100" s="2">
        <v>-2563038</v>
      </c>
      <c r="E100" s="2">
        <v>4491228</v>
      </c>
      <c r="F100" s="2">
        <v>75845798</v>
      </c>
      <c r="G100" s="9"/>
      <c r="H100" s="2"/>
      <c r="I100" s="2"/>
      <c r="J100" s="2"/>
      <c r="K100" s="2"/>
    </row>
    <row r="101">
      <c r="A101" s="599" t="s">
        <v>95</v>
      </c>
      <c r="B101" s="1"/>
      <c r="C101" s="1"/>
      <c r="D101" s="1"/>
      <c r="E101" s="1"/>
      <c r="F101" s="1"/>
      <c r="G101" s="3"/>
      <c r="H101" s="1"/>
      <c r="I101" s="1"/>
      <c r="J101" s="1"/>
      <c r="K101" s="1"/>
    </row>
    <row r="102">
      <c r="A102" s="599" t="s">
        <v>47</v>
      </c>
      <c r="B102" s="1"/>
      <c r="C102" s="1"/>
      <c r="D102" s="608">
        <v>-256069301</v>
      </c>
      <c r="E102" s="608">
        <v>-105937007</v>
      </c>
      <c r="F102" s="608">
        <v>-47361449</v>
      </c>
      <c r="G102" s="3"/>
      <c r="H102" s="1"/>
      <c r="I102" s="1"/>
      <c r="J102" s="1"/>
      <c r="K102" s="1"/>
    </row>
    <row r="103">
      <c r="A103" s="599" t="s">
        <v>46</v>
      </c>
      <c r="B103" s="1"/>
      <c r="C103" s="1"/>
      <c r="D103" s="608">
        <v>0</v>
      </c>
      <c r="E103" s="608">
        <v>-8223531</v>
      </c>
      <c r="F103" s="608">
        <v>-4768660</v>
      </c>
      <c r="G103" s="3"/>
      <c r="H103" s="1"/>
      <c r="I103" s="1"/>
      <c r="J103" s="1"/>
      <c r="K103" s="1"/>
    </row>
    <row r="104">
      <c r="A104" s="599" t="s">
        <v>96</v>
      </c>
      <c r="B104" s="1"/>
      <c r="C104" s="1"/>
      <c r="D104" s="608">
        <v>-3854534</v>
      </c>
      <c r="E104" s="608">
        <v>0</v>
      </c>
      <c r="F104" s="608">
        <v>0</v>
      </c>
      <c r="G104" s="3"/>
      <c r="H104" s="1"/>
      <c r="I104" s="1"/>
      <c r="J104" s="1"/>
      <c r="K104" s="1"/>
    </row>
    <row r="105">
      <c r="A105" s="599" t="s">
        <v>39</v>
      </c>
      <c r="B105" s="1"/>
      <c r="C105" s="1"/>
      <c r="D105" s="608">
        <v>3634624</v>
      </c>
      <c r="E105" s="608">
        <v>-61859714</v>
      </c>
      <c r="F105" s="608">
        <v>46283136</v>
      </c>
      <c r="G105" s="3"/>
      <c r="H105" s="1"/>
      <c r="I105" s="1"/>
      <c r="J105" s="1"/>
      <c r="K105" s="1"/>
    </row>
    <row r="106">
      <c r="A106" s="599" t="s">
        <v>97</v>
      </c>
      <c r="B106" s="1"/>
      <c r="C106" s="1"/>
      <c r="D106" s="608">
        <v>-60000000</v>
      </c>
      <c r="E106" s="608">
        <v>0</v>
      </c>
      <c r="F106" s="608">
        <v>-20020000</v>
      </c>
      <c r="G106" s="3"/>
      <c r="H106" s="1"/>
      <c r="I106" s="1"/>
      <c r="J106" s="1"/>
      <c r="K106" s="1"/>
    </row>
    <row r="107">
      <c r="A107" s="543" t="s">
        <v>98</v>
      </c>
      <c r="B107" s="2"/>
      <c r="C107" s="2"/>
      <c r="D107" s="2">
        <v>-316289211</v>
      </c>
      <c r="E107" s="2">
        <v>-176020252</v>
      </c>
      <c r="F107" s="2">
        <v>-25866973</v>
      </c>
      <c r="G107" s="9"/>
      <c r="H107" s="2"/>
      <c r="I107" s="2"/>
      <c r="J107" s="2"/>
      <c r="K107" s="2"/>
    </row>
    <row r="108">
      <c r="A108" s="599" t="s">
        <v>99</v>
      </c>
      <c r="B108" s="1"/>
      <c r="C108" s="1"/>
      <c r="D108" s="1"/>
      <c r="E108" s="1"/>
      <c r="F108" s="1"/>
      <c r="G108" s="3"/>
      <c r="H108" s="1"/>
      <c r="I108" s="1"/>
      <c r="J108" s="1"/>
      <c r="K108" s="1"/>
    </row>
    <row r="109">
      <c r="A109" s="599" t="s">
        <v>100</v>
      </c>
      <c r="B109" s="1"/>
      <c r="C109" s="1"/>
      <c r="D109" s="608">
        <v>60175641</v>
      </c>
      <c r="E109" s="608">
        <v>130265690</v>
      </c>
      <c r="F109" s="608">
        <v>0</v>
      </c>
      <c r="G109" s="3"/>
      <c r="H109" s="1"/>
      <c r="I109" s="1"/>
      <c r="J109" s="1"/>
      <c r="K109" s="1"/>
    </row>
    <row r="110">
      <c r="A110" s="599" t="s">
        <v>101</v>
      </c>
      <c r="B110" s="1"/>
      <c r="C110" s="1"/>
      <c r="D110" s="608">
        <v>0</v>
      </c>
      <c r="E110" s="608">
        <v>0</v>
      </c>
      <c r="F110" s="608">
        <v>-93545034</v>
      </c>
      <c r="G110" s="3"/>
      <c r="H110" s="1"/>
      <c r="I110" s="1"/>
      <c r="J110" s="1"/>
      <c r="K110" s="1"/>
    </row>
    <row r="111">
      <c r="A111" s="599" t="s">
        <v>102</v>
      </c>
      <c r="B111" s="1"/>
      <c r="C111" s="1"/>
      <c r="D111" s="608">
        <v>307000000</v>
      </c>
      <c r="E111" s="608">
        <v>144140000</v>
      </c>
      <c r="F111" s="608">
        <v>132000000</v>
      </c>
      <c r="G111" s="3"/>
      <c r="H111" s="1"/>
      <c r="I111" s="1"/>
      <c r="J111" s="1"/>
      <c r="K111" s="1"/>
    </row>
    <row r="112">
      <c r="A112" s="599" t="s">
        <v>103</v>
      </c>
      <c r="B112" s="1"/>
      <c r="C112" s="1"/>
      <c r="D112" s="608">
        <v>-4599739</v>
      </c>
      <c r="E112" s="608">
        <v>-3941914</v>
      </c>
      <c r="F112" s="608">
        <v>-1429677</v>
      </c>
      <c r="G112" s="3"/>
      <c r="H112" s="1"/>
      <c r="I112" s="1"/>
      <c r="J112" s="1"/>
      <c r="K112" s="1"/>
    </row>
    <row r="113">
      <c r="A113" s="599" t="s">
        <v>104</v>
      </c>
      <c r="B113" s="1"/>
      <c r="C113" s="1"/>
      <c r="D113" s="608">
        <v>0</v>
      </c>
      <c r="E113" s="608">
        <v>0</v>
      </c>
      <c r="F113" s="608">
        <v>-29815075</v>
      </c>
      <c r="G113" s="3"/>
      <c r="H113" s="1"/>
      <c r="I113" s="1"/>
      <c r="J113" s="1"/>
      <c r="K113" s="1"/>
    </row>
    <row r="114">
      <c r="A114" s="599" t="s">
        <v>105</v>
      </c>
      <c r="B114" s="1"/>
      <c r="C114" s="1"/>
      <c r="D114" s="608">
        <v>-42894201</v>
      </c>
      <c r="E114" s="608">
        <v>-63544093</v>
      </c>
      <c r="F114" s="608">
        <v>-58089236</v>
      </c>
      <c r="G114" s="3"/>
      <c r="H114" s="1"/>
      <c r="I114" s="1"/>
      <c r="J114" s="1"/>
      <c r="K114" s="1"/>
    </row>
    <row r="115">
      <c r="A115" s="599" t="s">
        <v>106</v>
      </c>
      <c r="B115" s="1"/>
      <c r="C115" s="1"/>
      <c r="D115" s="608">
        <v>-818684</v>
      </c>
      <c r="E115" s="608">
        <v>-430233</v>
      </c>
      <c r="F115" s="608">
        <v>-663408</v>
      </c>
      <c r="G115" s="3"/>
      <c r="H115" s="1"/>
      <c r="I115" s="1"/>
      <c r="J115" s="1"/>
      <c r="K115" s="1"/>
    </row>
    <row r="116">
      <c r="A116" s="543" t="s">
        <v>107</v>
      </c>
      <c r="B116" s="2"/>
      <c r="C116" s="2"/>
      <c r="D116" s="2">
        <v>318863017</v>
      </c>
      <c r="E116" s="2">
        <v>206489450</v>
      </c>
      <c r="F116" s="2">
        <v>-51542430</v>
      </c>
      <c r="G116" s="9"/>
      <c r="H116" s="2"/>
      <c r="I116" s="2"/>
      <c r="J116" s="2"/>
      <c r="K116" s="2"/>
    </row>
    <row r="117">
      <c r="A117" s="599" t="s">
        <v>108</v>
      </c>
      <c r="B117" s="1"/>
      <c r="C117" s="1"/>
      <c r="D117" s="608">
        <v>10768</v>
      </c>
      <c r="E117" s="608">
        <v>34960426</v>
      </c>
      <c r="F117" s="608">
        <v>-1563605</v>
      </c>
      <c r="G117" s="3"/>
      <c r="H117" s="1"/>
      <c r="I117" s="1"/>
      <c r="J117" s="1"/>
      <c r="K117" s="1"/>
    </row>
    <row r="118">
      <c r="A118" s="599" t="s">
        <v>109</v>
      </c>
      <c r="B118" s="1"/>
      <c r="C118" s="1"/>
      <c r="D118" s="608">
        <v>719521</v>
      </c>
      <c r="E118" s="608">
        <v>730289</v>
      </c>
      <c r="F118" s="608">
        <v>35690715</v>
      </c>
      <c r="G118" s="3"/>
      <c r="H118" s="1"/>
      <c r="I118" s="1"/>
      <c r="J118" s="1"/>
      <c r="K118" s="1"/>
    </row>
    <row r="119">
      <c r="A119" s="543" t="s">
        <v>110</v>
      </c>
      <c r="B119" s="2"/>
      <c r="C119" s="2"/>
      <c r="D119" s="2">
        <v>730289</v>
      </c>
      <c r="E119" s="2">
        <v>35690715</v>
      </c>
      <c r="F119" s="2">
        <v>34127110</v>
      </c>
      <c r="G119" s="9"/>
      <c r="H119" s="2"/>
      <c r="I119" s="2"/>
      <c r="J119" s="2"/>
      <c r="K119" s="2"/>
    </row>
    <row r="120">
      <c r="A120" s="4"/>
      <c r="B120" s="4"/>
      <c r="C120" s="4"/>
      <c r="D120" s="4"/>
      <c r="E120" s="4"/>
      <c r="F120" s="4"/>
      <c r="G120" s="10"/>
      <c r="H120" s="4"/>
      <c r="I120" s="4"/>
      <c r="J120" s="4"/>
      <c r="K120" s="4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T6"/>
  <sheetViews>
    <sheetView showGridLines="0" workbookViewId="0"/>
  </sheetViews>
  <sheetFormatPr defaultColWidth="8.375" defaultRowHeight="15"/>
  <cols>
    <col min="1" max="1" width="6.125" customWidth="1"/>
    <col min="2" max="2" width="18.125" customWidth="1"/>
    <col min="4" max="4" width="14.375" customWidth="1"/>
    <col min="5" max="5" width="6.375" customWidth="1"/>
    <col min="6" max="6" width="30.625" customWidth="1"/>
    <col min="7" max="7" width="18.125" customWidth="1"/>
    <col min="8" max="9" width="24.375" customWidth="1"/>
    <col min="10" max="10" width="44.375" customWidth="1"/>
    <col min="11" max="11" width="14.375" customWidth="1"/>
    <col min="12" max="12" width="7.125" customWidth="1"/>
    <col min="13" max="13" width="11.25" customWidth="1"/>
    <col min="14" max="14" width="19.375" customWidth="1"/>
    <col min="15" max="15" width="22.5" customWidth="1"/>
    <col min="16" max="17" width="26.875" customWidth="1"/>
    <col min="18" max="18" width="14.375" customWidth="1"/>
    <col min="19" max="19" width="25.625" customWidth="1"/>
    <col min="20" max="20" width="14.375" customWidth="1"/>
  </cols>
  <sheetData>
    <row r="1">
      <c r="A1" s="565" t="s">
        <v>0</v>
      </c>
    </row>
    <row r="2">
      <c r="A2" s="562" t="s">
        <v>111</v>
      </c>
    </row>
    <row r="3">
      <c r="A3" s="562" t="s">
        <v>112</v>
      </c>
    </row>
    <row r="5">
      <c r="A5" s="415" t="s">
        <v>113</v>
      </c>
      <c r="B5" s="415" t="s">
        <v>114</v>
      </c>
      <c r="C5" s="415" t="s">
        <v>115</v>
      </c>
      <c r="D5" s="415" t="s">
        <v>116</v>
      </c>
      <c r="E5" s="415" t="s">
        <v>117</v>
      </c>
      <c r="F5" s="415" t="s">
        <v>118</v>
      </c>
      <c r="G5" s="415" t="s">
        <v>119</v>
      </c>
      <c r="H5" s="415" t="s">
        <v>120</v>
      </c>
      <c r="I5" s="415" t="s">
        <v>121</v>
      </c>
      <c r="J5" s="415" t="s">
        <v>122</v>
      </c>
      <c r="K5" s="415" t="s">
        <v>123</v>
      </c>
      <c r="L5" s="415" t="s">
        <v>124</v>
      </c>
      <c r="M5" s="415" t="s">
        <v>125</v>
      </c>
      <c r="N5" s="415" t="s">
        <v>126</v>
      </c>
      <c r="O5" s="415" t="s">
        <v>127</v>
      </c>
      <c r="P5" s="414" t="s">
        <v>128</v>
      </c>
      <c r="Q5" s="414" t="s">
        <v>129</v>
      </c>
      <c r="R5" s="415" t="s">
        <v>130</v>
      </c>
      <c r="S5" s="415" t="s">
        <v>131</v>
      </c>
      <c r="T5" s="415" t="s">
        <v>132</v>
      </c>
    </row>
    <row r="6">
      <c r="A6" s="413"/>
      <c r="B6" s="413" t="s">
        <v>133</v>
      </c>
      <c r="C6" s="413"/>
      <c r="D6" s="413"/>
      <c r="E6" s="413" t="s">
        <v>134</v>
      </c>
      <c r="F6" s="412" t="s">
        <v>135</v>
      </c>
      <c r="G6" s="413" t="s">
        <v>136</v>
      </c>
      <c r="H6" s="412"/>
      <c r="I6" s="412"/>
      <c r="J6" s="412" t="s">
        <v>137</v>
      </c>
      <c r="K6" s="419"/>
      <c r="L6" s="413"/>
      <c r="M6" s="413"/>
      <c r="N6" s="412"/>
      <c r="O6" s="412"/>
      <c r="P6" s="412"/>
      <c r="Q6" s="412"/>
      <c r="R6" s="417"/>
      <c r="S6" s="412" t="s">
        <v>138</v>
      </c>
      <c r="T6" s="413" t="s">
        <v>133</v>
      </c>
    </row>
    <row r="7" ht="34.5"/>
  </sheetData>
  <autoFilter ref="A5:T6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0"/>
  <sheetViews>
    <sheetView showGridLines="0" workbookViewId="0"/>
  </sheetViews>
  <sheetFormatPr defaultColWidth="8.375" defaultRowHeight="15"/>
  <cols>
    <col min="1" max="1" width="39.375" customWidth="1"/>
    <col min="2" max="11" width="15.625" customWidth="1"/>
    <col min="12" max="12" width="2.875" customWidth="1"/>
    <col min="13" max="13" width="10.625" customWidth="1"/>
    <col min="14" max="14" width="31.875" customWidth="1"/>
    <col min="15" max="16" width="2.875" customWidth="1"/>
    <col min="17" max="17" width="44.375" customWidth="1"/>
  </cols>
  <sheetData>
    <row r="1">
      <c r="A1" s="553" t="s">
        <v>0</v>
      </c>
      <c r="B1" s="610"/>
      <c r="C1" s="610"/>
      <c r="D1" s="610"/>
      <c r="E1" s="610"/>
      <c r="F1" s="610"/>
      <c r="G1" s="607"/>
      <c r="H1" s="612"/>
      <c r="I1" s="612"/>
      <c r="J1" s="612"/>
      <c r="K1" s="612"/>
      <c r="L1" s="599"/>
      <c r="M1" s="599"/>
      <c r="N1" s="602"/>
      <c r="O1" s="599"/>
      <c r="P1" s="599"/>
      <c r="Q1" s="602"/>
    </row>
    <row r="2">
      <c r="A2" s="603"/>
      <c r="B2" s="603"/>
      <c r="C2" s="603"/>
      <c r="D2" s="603"/>
      <c r="E2" s="603"/>
      <c r="F2" s="603"/>
      <c r="G2" s="601"/>
      <c r="H2" s="603"/>
      <c r="I2" s="603"/>
      <c r="J2" s="603"/>
      <c r="K2" s="603"/>
      <c r="L2" s="599"/>
      <c r="M2" s="599"/>
      <c r="N2" s="602"/>
      <c r="O2" s="599"/>
      <c r="P2" s="599"/>
      <c r="Q2" s="602"/>
    </row>
    <row r="3">
      <c r="A3" s="599" t="s">
        <v>139</v>
      </c>
      <c r="G3" s="601"/>
      <c r="L3" s="599"/>
      <c r="M3" s="599"/>
      <c r="N3" s="602"/>
      <c r="O3" s="599"/>
      <c r="P3" s="599"/>
      <c r="Q3" s="602"/>
    </row>
    <row r="4">
      <c r="A4" s="599" t="s">
        <v>140</v>
      </c>
      <c r="G4" s="601"/>
      <c r="L4" s="599"/>
      <c r="M4" s="599"/>
      <c r="N4" s="602"/>
      <c r="O4" s="599"/>
      <c r="P4" s="599"/>
      <c r="Q4" s="602"/>
    </row>
    <row r="5">
      <c r="A5" s="599" t="s">
        <v>141</v>
      </c>
      <c r="B5" s="600"/>
      <c r="C5" s="520">
        <v>1</v>
      </c>
      <c r="D5" s="600"/>
      <c r="E5" s="600"/>
      <c r="F5" s="600"/>
      <c r="G5" s="609"/>
      <c r="H5" s="600"/>
      <c r="I5" s="600"/>
      <c r="J5" s="600"/>
      <c r="K5" s="600"/>
      <c r="L5" s="599"/>
      <c r="M5" s="599" t="s">
        <v>142</v>
      </c>
      <c r="N5" s="602" t="s">
        <v>133</v>
      </c>
      <c r="O5" s="599"/>
      <c r="P5" s="599"/>
      <c r="Q5" s="602" t="s">
        <v>143</v>
      </c>
    </row>
    <row r="6">
      <c r="A6" s="599" t="s">
        <v>144</v>
      </c>
      <c r="B6" s="600"/>
      <c r="C6" s="600" t="str">
        <f>CHOOSE($C$5,"Base","Bull","Bear")</f>
        <v>Base</v>
      </c>
      <c r="D6" s="600"/>
      <c r="E6" s="600"/>
      <c r="F6" s="600"/>
      <c r="G6" s="609"/>
      <c r="H6" s="600"/>
      <c r="I6" s="600"/>
      <c r="J6" s="600"/>
      <c r="K6" s="600"/>
      <c r="L6" s="599"/>
      <c r="M6" s="599" t="s">
        <v>145</v>
      </c>
      <c r="N6" s="602" t="s">
        <v>133</v>
      </c>
      <c r="O6" s="599"/>
      <c r="P6" s="599"/>
      <c r="Q6" s="602" t="s">
        <v>146</v>
      </c>
    </row>
    <row r="7">
      <c r="A7" s="603"/>
      <c r="B7" s="603"/>
      <c r="C7" s="603"/>
      <c r="D7" s="603"/>
      <c r="E7" s="603"/>
      <c r="F7" s="603"/>
      <c r="G7" s="601"/>
      <c r="H7" s="603"/>
      <c r="I7" s="603"/>
      <c r="J7" s="603"/>
      <c r="K7" s="603"/>
      <c r="L7" s="599"/>
      <c r="M7" s="599"/>
      <c r="N7" s="602"/>
      <c r="O7" s="599"/>
      <c r="P7" s="599"/>
      <c r="Q7" s="602"/>
    </row>
    <row r="8">
      <c r="A8" s="553" t="s">
        <v>3</v>
      </c>
      <c r="B8" s="610" t="s">
        <v>4</v>
      </c>
      <c r="C8" s="610" t="s">
        <v>5</v>
      </c>
      <c r="D8" s="610" t="s">
        <v>6</v>
      </c>
      <c r="E8" s="610" t="s">
        <v>7</v>
      </c>
      <c r="F8" s="610" t="s">
        <v>8</v>
      </c>
      <c r="G8" s="607" t="s">
        <v>9</v>
      </c>
      <c r="H8" s="612" t="s">
        <v>10</v>
      </c>
      <c r="I8" s="612" t="s">
        <v>11</v>
      </c>
      <c r="J8" s="612" t="s">
        <v>12</v>
      </c>
      <c r="K8" s="612" t="s">
        <v>13</v>
      </c>
      <c r="L8" s="599"/>
      <c r="M8" s="561" t="s">
        <v>147</v>
      </c>
      <c r="N8" s="561" t="s">
        <v>148</v>
      </c>
      <c r="O8" s="599"/>
      <c r="P8" s="599"/>
      <c r="Q8" s="561" t="s">
        <v>149</v>
      </c>
    </row>
    <row r="9">
      <c r="A9" s="603"/>
      <c r="B9" s="603"/>
      <c r="C9" s="603"/>
      <c r="D9" s="603"/>
      <c r="E9" s="603"/>
      <c r="F9" s="603"/>
      <c r="G9" s="601"/>
      <c r="H9" s="603"/>
      <c r="I9" s="603"/>
      <c r="J9" s="603"/>
      <c r="K9" s="603"/>
      <c r="L9" s="599"/>
      <c r="M9" s="599"/>
      <c r="N9" s="602"/>
      <c r="O9" s="599"/>
      <c r="P9" s="599"/>
      <c r="Q9" s="602"/>
    </row>
    <row r="10">
      <c r="A10" s="553" t="s">
        <v>150</v>
      </c>
      <c r="B10" s="606"/>
      <c r="C10" s="606"/>
      <c r="D10" s="606"/>
      <c r="E10" s="606"/>
      <c r="F10" s="606"/>
      <c r="G10" s="611"/>
      <c r="H10" s="604"/>
      <c r="I10" s="604"/>
      <c r="J10" s="604"/>
      <c r="K10" s="604"/>
      <c r="L10" s="599"/>
      <c r="M10" s="599"/>
      <c r="N10" s="599"/>
      <c r="O10" s="599"/>
      <c r="P10" s="599"/>
      <c r="Q10" s="599"/>
    </row>
    <row r="11">
      <c r="A11" s="599" t="s">
        <v>151</v>
      </c>
      <c r="B11" s="600"/>
      <c r="C11" s="600"/>
      <c r="D11" s="608">
        <v>0</v>
      </c>
      <c r="E11" s="608">
        <v>119181</v>
      </c>
      <c r="F11" s="608">
        <v>2178568</v>
      </c>
      <c r="G11" s="527">
        <v>2226250</v>
      </c>
      <c r="H11" s="520">
        <v>2226250</v>
      </c>
      <c r="I11" s="520">
        <v>2226250</v>
      </c>
      <c r="J11" s="520">
        <v>3146630</v>
      </c>
      <c r="K11" s="520">
        <v>3146630</v>
      </c>
      <c r="L11" s="599"/>
      <c r="M11" s="599" t="s">
        <v>152</v>
      </c>
      <c r="N11" s="602" t="s">
        <v>133</v>
      </c>
      <c r="O11" s="599"/>
      <c r="P11" s="599"/>
      <c r="Q11" s="602" t="s">
        <v>143</v>
      </c>
    </row>
    <row r="12">
      <c r="A12" s="599" t="s">
        <v>153</v>
      </c>
      <c r="B12" s="605"/>
      <c r="C12" s="605"/>
      <c r="D12" s="605"/>
      <c r="E12" s="605">
        <f>E13/E11</f>
        <v>596.9794514226261</v>
      </c>
      <c r="F12" s="605">
        <f>F13/F11</f>
        <v>147.65712614891984</v>
      </c>
      <c r="G12" s="613">
        <f>((400*1000*18.89*12)+(G11*89))/G11</f>
        <v>129.72857944974734</v>
      </c>
      <c r="H12" s="605">
        <f>((400*1000*18.89*12)+(H11*89))/H11</f>
        <v>129.72857944974734</v>
      </c>
      <c r="I12" s="605">
        <f>((400*1000*18.89*12)+(I11*89))/I11</f>
        <v>129.72857944974734</v>
      </c>
      <c r="J12" s="605">
        <f>((550*1000*18.89*12)+(J11*89))/J11</f>
        <v>128.62143626673617</v>
      </c>
      <c r="K12" s="605">
        <f>((550*1000*18.89*12)+(K11*89))/K11</f>
        <v>128.62143626673617</v>
      </c>
      <c r="L12" s="599"/>
      <c r="M12" s="599" t="s">
        <v>152</v>
      </c>
      <c r="N12" s="602" t="s">
        <v>133</v>
      </c>
      <c r="O12" s="599"/>
      <c r="P12" s="599"/>
      <c r="Q12" s="602" t="s">
        <v>154</v>
      </c>
    </row>
    <row r="13">
      <c r="A13" s="599" t="s">
        <v>155</v>
      </c>
      <c r="B13" s="600"/>
      <c r="C13" s="600"/>
      <c r="D13" s="600">
        <f>D14</f>
        <v>0</v>
      </c>
      <c r="E13" s="600">
        <f>E14</f>
        <v>71148608</v>
      </c>
      <c r="F13" s="600">
        <f>F14</f>
        <v>321681090</v>
      </c>
      <c r="G13" s="609">
        <f>G11*G12</f>
        <v>288808250</v>
      </c>
      <c r="H13" s="600">
        <f>H11*H12</f>
        <v>288808250</v>
      </c>
      <c r="I13" s="600">
        <f>I11*I12</f>
        <v>288808250</v>
      </c>
      <c r="J13" s="600">
        <f>J11*J12</f>
        <v>404724070</v>
      </c>
      <c r="K13" s="600">
        <f>K11*K12</f>
        <v>404724070</v>
      </c>
      <c r="L13" s="599"/>
      <c r="M13" s="599" t="s">
        <v>145</v>
      </c>
      <c r="N13" s="602" t="s">
        <v>133</v>
      </c>
      <c r="O13" s="599"/>
      <c r="P13" s="599"/>
      <c r="Q13" s="602" t="s">
        <v>154</v>
      </c>
    </row>
    <row r="14">
      <c r="A14" s="599" t="s">
        <v>156</v>
      </c>
      <c r="B14" s="600"/>
      <c r="C14" s="600"/>
      <c r="D14" s="555">
        <f>EEFF!D7</f>
        <v>0</v>
      </c>
      <c r="E14" s="555">
        <f>EEFF!E7</f>
        <v>71148608</v>
      </c>
      <c r="F14" s="555">
        <f>EEFF!F7</f>
        <v>321681090</v>
      </c>
      <c r="G14" s="609"/>
      <c r="H14" s="600"/>
      <c r="I14" s="600"/>
      <c r="J14" s="600"/>
      <c r="K14" s="600"/>
      <c r="L14" s="599"/>
      <c r="M14" s="599" t="s">
        <v>145</v>
      </c>
      <c r="N14" s="602" t="s">
        <v>157</v>
      </c>
      <c r="O14" s="599"/>
      <c r="P14" s="599"/>
      <c r="Q14" s="602" t="s">
        <v>158</v>
      </c>
    </row>
    <row r="15">
      <c r="A15" s="603"/>
      <c r="B15" s="603"/>
      <c r="C15" s="603"/>
      <c r="D15" s="603"/>
      <c r="E15" s="603"/>
      <c r="F15" s="603"/>
      <c r="G15" s="601"/>
      <c r="H15" s="603"/>
      <c r="I15" s="603"/>
      <c r="J15" s="603"/>
      <c r="K15" s="603"/>
      <c r="L15" s="599"/>
      <c r="M15" s="599"/>
      <c r="N15" s="602"/>
      <c r="O15" s="599"/>
      <c r="P15" s="599"/>
      <c r="Q15" s="602"/>
    </row>
    <row r="16">
      <c r="A16" s="603"/>
      <c r="B16" s="603"/>
      <c r="C16" s="603"/>
      <c r="D16" s="603"/>
      <c r="E16" s="603"/>
      <c r="F16" s="603"/>
      <c r="G16" s="601"/>
      <c r="H16" s="603"/>
      <c r="I16" s="603"/>
      <c r="J16" s="603"/>
      <c r="K16" s="603"/>
      <c r="L16" s="599"/>
      <c r="M16" s="599"/>
      <c r="N16" s="602"/>
      <c r="O16" s="599"/>
      <c r="P16" s="599"/>
      <c r="Q16" s="602"/>
    </row>
    <row r="17">
      <c r="A17" s="553" t="s">
        <v>159</v>
      </c>
      <c r="B17" s="606"/>
      <c r="C17" s="606"/>
      <c r="D17" s="606"/>
      <c r="E17" s="606"/>
      <c r="F17" s="606"/>
      <c r="G17" s="611"/>
      <c r="H17" s="604"/>
      <c r="I17" s="604"/>
      <c r="J17" s="604"/>
      <c r="K17" s="604"/>
      <c r="L17" s="599"/>
      <c r="M17" s="599"/>
      <c r="N17" s="599"/>
      <c r="O17" s="599"/>
      <c r="P17" s="599"/>
      <c r="Q17" s="599"/>
    </row>
    <row r="18">
      <c r="A18" s="599" t="s">
        <v>160</v>
      </c>
      <c r="B18" s="600"/>
      <c r="C18" s="600"/>
      <c r="D18" s="600"/>
      <c r="E18" s="600"/>
      <c r="F18" s="600"/>
      <c r="G18" s="609">
        <f>CHOOSE($C$5,G20,G21,G19)</f>
        <v>-0.471</v>
      </c>
      <c r="H18" s="600">
        <f>CHOOSE($C$5,H20,H21,H19)</f>
        <v>-0.471</v>
      </c>
      <c r="I18" s="600">
        <f>CHOOSE($C$5,I20,I21,I19)</f>
        <v>-0.471</v>
      </c>
      <c r="J18" s="600">
        <f>CHOOSE($C$5,J20,J21,J19)</f>
        <v>-0.471</v>
      </c>
      <c r="K18" s="600">
        <f>CHOOSE($C$5,K20,K21,K19)</f>
        <v>-0.471</v>
      </c>
      <c r="L18" s="599"/>
      <c r="M18" s="599" t="s">
        <v>145</v>
      </c>
      <c r="N18" s="602" t="s">
        <v>133</v>
      </c>
      <c r="O18" s="599"/>
      <c r="P18" s="599"/>
      <c r="Q18" s="602" t="s">
        <v>146</v>
      </c>
    </row>
    <row r="19">
      <c r="A19" s="599" t="s">
        <v>161</v>
      </c>
      <c r="B19" s="600"/>
      <c r="C19" s="600"/>
      <c r="D19" s="600"/>
      <c r="E19" s="600"/>
      <c r="F19" s="600"/>
      <c r="G19" s="527">
        <v>-0.491</v>
      </c>
      <c r="H19" s="520">
        <v>-0.491</v>
      </c>
      <c r="I19" s="520">
        <v>-0.491</v>
      </c>
      <c r="J19" s="520">
        <v>-0.491</v>
      </c>
      <c r="K19" s="520">
        <v>-0.491</v>
      </c>
      <c r="L19" s="599"/>
      <c r="M19" s="599" t="s">
        <v>145</v>
      </c>
      <c r="N19" s="602" t="s">
        <v>133</v>
      </c>
      <c r="O19" s="599"/>
      <c r="P19" s="599"/>
      <c r="Q19" s="602" t="s">
        <v>162</v>
      </c>
    </row>
    <row r="20">
      <c r="A20" s="599" t="s">
        <v>163</v>
      </c>
      <c r="B20" s="600"/>
      <c r="C20" s="600"/>
      <c r="D20" s="600"/>
      <c r="E20" s="600"/>
      <c r="F20" s="600"/>
      <c r="G20" s="527">
        <v>-0.471</v>
      </c>
      <c r="H20" s="520">
        <v>-0.471</v>
      </c>
      <c r="I20" s="520">
        <v>-0.471</v>
      </c>
      <c r="J20" s="520">
        <v>-0.471</v>
      </c>
      <c r="K20" s="520">
        <v>-0.471</v>
      </c>
      <c r="L20" s="599"/>
      <c r="M20" s="599" t="s">
        <v>145</v>
      </c>
      <c r="N20" s="602" t="s">
        <v>133</v>
      </c>
      <c r="O20" s="599"/>
      <c r="P20" s="599"/>
      <c r="Q20" s="602" t="s">
        <v>162</v>
      </c>
    </row>
    <row r="21">
      <c r="A21" s="599" t="s">
        <v>164</v>
      </c>
      <c r="B21" s="600"/>
      <c r="C21" s="600"/>
      <c r="D21" s="600"/>
      <c r="E21" s="600"/>
      <c r="F21" s="600"/>
      <c r="G21" s="527">
        <v>-0.451</v>
      </c>
      <c r="H21" s="520">
        <v>-0.451</v>
      </c>
      <c r="I21" s="520">
        <v>-0.451</v>
      </c>
      <c r="J21" s="520">
        <v>-0.451</v>
      </c>
      <c r="K21" s="520">
        <v>-0.451</v>
      </c>
      <c r="L21" s="599"/>
      <c r="M21" s="599" t="s">
        <v>145</v>
      </c>
      <c r="N21" s="602" t="s">
        <v>133</v>
      </c>
      <c r="O21" s="599"/>
      <c r="P21" s="599"/>
      <c r="Q21" s="602" t="s">
        <v>162</v>
      </c>
    </row>
    <row r="22">
      <c r="A22" s="599" t="s">
        <v>165</v>
      </c>
      <c r="B22" s="605"/>
      <c r="C22" s="605"/>
      <c r="D22" s="462" t="str">
        <f>IF(EEFF!D7=0,"",EEFF!D10/EEFF!D7)</f>
        <v/>
      </c>
      <c r="E22" s="462">
        <f>IF(EEFF!E7=0,"",EEFF!E10/EEFF!E7)</f>
        <v>-0.3831811298402352</v>
      </c>
      <c r="F22" s="462">
        <f>IF(EEFF!F7=0,"",EEFF!F10/EEFF!F7)</f>
        <v>-0.4706356596839435</v>
      </c>
      <c r="G22" s="613"/>
      <c r="H22" s="605"/>
      <c r="I22" s="605"/>
      <c r="J22" s="605"/>
      <c r="K22" s="605"/>
      <c r="L22" s="599"/>
      <c r="M22" s="599" t="s">
        <v>166</v>
      </c>
      <c r="N22" s="602" t="s">
        <v>157</v>
      </c>
      <c r="O22" s="599"/>
      <c r="P22" s="599"/>
      <c r="Q22" s="602" t="s">
        <v>158</v>
      </c>
    </row>
    <row r="23">
      <c r="A23" s="603"/>
      <c r="B23" s="603"/>
      <c r="C23" s="603"/>
      <c r="D23" s="603"/>
      <c r="E23" s="603"/>
      <c r="F23" s="603"/>
      <c r="G23" s="601"/>
      <c r="H23" s="603"/>
      <c r="I23" s="603"/>
      <c r="J23" s="603"/>
      <c r="K23" s="603"/>
      <c r="L23" s="599"/>
      <c r="M23" s="599"/>
      <c r="N23" s="602"/>
      <c r="O23" s="599"/>
      <c r="P23" s="599"/>
      <c r="Q23" s="602"/>
    </row>
    <row r="24">
      <c r="A24" s="553" t="s">
        <v>167</v>
      </c>
      <c r="B24" s="606"/>
      <c r="C24" s="606"/>
      <c r="D24" s="606"/>
      <c r="E24" s="606"/>
      <c r="F24" s="606"/>
      <c r="G24" s="611"/>
      <c r="H24" s="604"/>
      <c r="I24" s="604"/>
      <c r="J24" s="604"/>
      <c r="K24" s="604"/>
      <c r="L24" s="599"/>
      <c r="M24" s="599"/>
      <c r="N24" s="599"/>
      <c r="O24" s="599"/>
      <c r="P24" s="599"/>
      <c r="Q24" s="599"/>
    </row>
    <row r="25">
      <c r="A25" s="599" t="s">
        <v>168</v>
      </c>
      <c r="B25" s="600"/>
      <c r="C25" s="600"/>
      <c r="D25" s="600"/>
      <c r="E25" s="600"/>
      <c r="F25" s="600"/>
      <c r="G25" s="609">
        <f>CHOOSE($C$5,G27,G28,G26)</f>
        <v>-0.031</v>
      </c>
      <c r="H25" s="600">
        <f>CHOOSE($C$5,H27,H28,H26)</f>
        <v>-0.031</v>
      </c>
      <c r="I25" s="600">
        <f>CHOOSE($C$5,I27,I28,I26)</f>
        <v>-0.031</v>
      </c>
      <c r="J25" s="600">
        <f>CHOOSE($C$5,J27,J28,J26)</f>
        <v>-0.031</v>
      </c>
      <c r="K25" s="600">
        <f>CHOOSE($C$5,K27,K28,K26)</f>
        <v>-0.031</v>
      </c>
      <c r="L25" s="599"/>
      <c r="M25" s="599" t="s">
        <v>145</v>
      </c>
      <c r="N25" s="602" t="s">
        <v>133</v>
      </c>
      <c r="O25" s="599"/>
      <c r="P25" s="599"/>
      <c r="Q25" s="602" t="s">
        <v>146</v>
      </c>
    </row>
    <row r="26">
      <c r="A26" s="599" t="s">
        <v>161</v>
      </c>
      <c r="B26" s="600"/>
      <c r="C26" s="600"/>
      <c r="D26" s="600"/>
      <c r="E26" s="600"/>
      <c r="F26" s="600"/>
      <c r="G26" s="527">
        <v>-0.051</v>
      </c>
      <c r="H26" s="520">
        <v>-0.051</v>
      </c>
      <c r="I26" s="520">
        <v>-0.051</v>
      </c>
      <c r="J26" s="520">
        <v>-0.051</v>
      </c>
      <c r="K26" s="520">
        <v>-0.051</v>
      </c>
      <c r="L26" s="599"/>
      <c r="M26" s="599" t="s">
        <v>145</v>
      </c>
      <c r="N26" s="602" t="s">
        <v>133</v>
      </c>
      <c r="O26" s="599"/>
      <c r="P26" s="599"/>
      <c r="Q26" s="602" t="s">
        <v>162</v>
      </c>
    </row>
    <row r="27">
      <c r="A27" s="599" t="s">
        <v>163</v>
      </c>
      <c r="B27" s="600"/>
      <c r="C27" s="600"/>
      <c r="D27" s="600"/>
      <c r="E27" s="600"/>
      <c r="F27" s="600"/>
      <c r="G27" s="527">
        <v>-0.031</v>
      </c>
      <c r="H27" s="520">
        <v>-0.031</v>
      </c>
      <c r="I27" s="520">
        <v>-0.031</v>
      </c>
      <c r="J27" s="520">
        <v>-0.031</v>
      </c>
      <c r="K27" s="520">
        <v>-0.031</v>
      </c>
      <c r="L27" s="599"/>
      <c r="M27" s="599" t="s">
        <v>145</v>
      </c>
      <c r="N27" s="602" t="s">
        <v>133</v>
      </c>
      <c r="O27" s="599"/>
      <c r="P27" s="599"/>
      <c r="Q27" s="602" t="s">
        <v>162</v>
      </c>
    </row>
    <row r="28">
      <c r="A28" s="599" t="s">
        <v>164</v>
      </c>
      <c r="B28" s="600"/>
      <c r="C28" s="600"/>
      <c r="D28" s="600"/>
      <c r="E28" s="600"/>
      <c r="F28" s="600"/>
      <c r="G28" s="527">
        <v>-0.011</v>
      </c>
      <c r="H28" s="520">
        <v>-0.011</v>
      </c>
      <c r="I28" s="520">
        <v>-0.011</v>
      </c>
      <c r="J28" s="520">
        <v>-0.011</v>
      </c>
      <c r="K28" s="520">
        <v>-0.011</v>
      </c>
      <c r="L28" s="599"/>
      <c r="M28" s="599" t="s">
        <v>145</v>
      </c>
      <c r="N28" s="602" t="s">
        <v>133</v>
      </c>
      <c r="O28" s="599"/>
      <c r="P28" s="599"/>
      <c r="Q28" s="602" t="s">
        <v>162</v>
      </c>
    </row>
    <row r="29">
      <c r="A29" s="599" t="s">
        <v>169</v>
      </c>
      <c r="B29" s="605"/>
      <c r="C29" s="605"/>
      <c r="D29" s="462" t="str">
        <f>IF(EEFF!D7=0,"",EEFF!D13/EEFF!D7)</f>
        <v/>
      </c>
      <c r="E29" s="462">
        <f>IF(EEFF!E7=0,"",EEFF!E13/EEFF!E7)</f>
        <v>-0.021841186267481157</v>
      </c>
      <c r="F29" s="462">
        <f>IF(EEFF!F7=0,"",EEFF!F13/EEFF!F7)</f>
        <v>-0.030722346781403904</v>
      </c>
      <c r="G29" s="613"/>
      <c r="H29" s="605"/>
      <c r="I29" s="605"/>
      <c r="J29" s="605"/>
      <c r="K29" s="605"/>
      <c r="L29" s="599"/>
      <c r="M29" s="599" t="s">
        <v>166</v>
      </c>
      <c r="N29" s="602" t="s">
        <v>157</v>
      </c>
      <c r="O29" s="599"/>
      <c r="P29" s="599"/>
      <c r="Q29" s="602" t="s">
        <v>158</v>
      </c>
    </row>
    <row r="30">
      <c r="A30" s="460"/>
      <c r="B30" s="460"/>
      <c r="C30" s="460"/>
      <c r="D30" s="460"/>
      <c r="E30" s="460"/>
      <c r="F30" s="460"/>
      <c r="G30" s="468"/>
      <c r="H30" s="460"/>
      <c r="I30" s="460"/>
      <c r="J30" s="460"/>
      <c r="K30" s="46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K131"/>
  <sheetViews>
    <sheetView showGridLines="0" workbookViewId="0"/>
  </sheetViews>
  <sheetFormatPr defaultColWidth="8.375" defaultRowHeight="15"/>
  <cols>
    <col min="1" max="1" width="43.125" customWidth="1"/>
    <col min="2" max="11" width="15.625" customWidth="1"/>
  </cols>
  <sheetData>
    <row r="1">
      <c r="A1" s="553" t="s">
        <v>0</v>
      </c>
      <c r="B1" s="545"/>
      <c r="C1" s="545"/>
      <c r="D1" s="545"/>
      <c r="E1" s="545"/>
      <c r="F1" s="545"/>
      <c r="G1" s="541"/>
      <c r="H1" s="535"/>
      <c r="I1" s="535"/>
      <c r="J1" s="535"/>
      <c r="K1" s="535"/>
    </row>
    <row r="2">
      <c r="A2" s="599" t="s">
        <v>1</v>
      </c>
      <c r="G2" s="544"/>
    </row>
    <row r="3">
      <c r="A3" s="599" t="s">
        <v>2</v>
      </c>
      <c r="G3" s="544"/>
    </row>
    <row r="4">
      <c r="A4" s="534"/>
      <c r="B4" s="534"/>
      <c r="C4" s="534"/>
      <c r="D4" s="534"/>
      <c r="E4" s="534"/>
      <c r="F4" s="534"/>
      <c r="G4" s="544"/>
      <c r="H4" s="534"/>
      <c r="I4" s="534"/>
      <c r="J4" s="534"/>
      <c r="K4" s="534"/>
    </row>
    <row r="5">
      <c r="A5" s="553" t="s">
        <v>3</v>
      </c>
      <c r="B5" s="610" t="s">
        <v>4</v>
      </c>
      <c r="C5" s="610" t="s">
        <v>5</v>
      </c>
      <c r="D5" s="610" t="s">
        <v>6</v>
      </c>
      <c r="E5" s="610" t="s">
        <v>7</v>
      </c>
      <c r="F5" s="610" t="s">
        <v>8</v>
      </c>
      <c r="G5" s="607" t="s">
        <v>9</v>
      </c>
      <c r="H5" s="612" t="s">
        <v>10</v>
      </c>
      <c r="I5" s="612" t="s">
        <v>11</v>
      </c>
      <c r="J5" s="612" t="s">
        <v>12</v>
      </c>
      <c r="K5" s="612" t="s">
        <v>13</v>
      </c>
    </row>
    <row r="6">
      <c r="A6" s="553" t="s">
        <v>14</v>
      </c>
      <c r="B6" s="537"/>
      <c r="C6" s="537"/>
      <c r="D6" s="537"/>
      <c r="E6" s="537"/>
      <c r="F6" s="537"/>
      <c r="G6" s="539"/>
      <c r="H6" s="542"/>
      <c r="I6" s="542"/>
      <c r="J6" s="542"/>
      <c r="K6" s="542"/>
    </row>
    <row r="7">
      <c r="A7" s="599" t="s">
        <v>15</v>
      </c>
      <c r="B7" s="532"/>
      <c r="C7" s="532"/>
      <c r="D7" s="555">
        <f>EEFF!D7</f>
        <v>0</v>
      </c>
      <c r="E7" s="555">
        <f>EEFF!E7</f>
        <v>71148608</v>
      </c>
      <c r="F7" s="555">
        <f>EEFF!F7</f>
        <v>321681090</v>
      </c>
      <c r="G7" s="559">
        <f>Supuestos!G13</f>
        <v>288808250</v>
      </c>
      <c r="H7" s="555">
        <f>Supuestos!H13</f>
        <v>288808250</v>
      </c>
      <c r="I7" s="555">
        <f>Supuestos!I13</f>
        <v>288808250</v>
      </c>
      <c r="J7" s="555">
        <f>Supuestos!J13</f>
        <v>404724070</v>
      </c>
      <c r="K7" s="555">
        <f>Supuestos!K13</f>
        <v>404724070</v>
      </c>
    </row>
    <row r="8">
      <c r="A8" s="534"/>
      <c r="B8" s="534"/>
      <c r="C8" s="534"/>
      <c r="D8" s="534"/>
      <c r="E8" s="534"/>
      <c r="F8" s="534"/>
      <c r="G8" s="544"/>
      <c r="H8" s="534"/>
      <c r="I8" s="534"/>
      <c r="J8" s="534"/>
      <c r="K8" s="534"/>
    </row>
    <row r="9">
      <c r="A9" s="553" t="s">
        <v>16</v>
      </c>
      <c r="B9" s="537"/>
      <c r="C9" s="537"/>
      <c r="D9" s="537"/>
      <c r="E9" s="537"/>
      <c r="F9" s="537"/>
      <c r="G9" s="539"/>
      <c r="H9" s="542"/>
      <c r="I9" s="542"/>
      <c r="J9" s="542"/>
      <c r="K9" s="542"/>
    </row>
    <row r="10">
      <c r="A10" s="599" t="s">
        <v>17</v>
      </c>
      <c r="B10" s="532"/>
      <c r="C10" s="532"/>
      <c r="D10" s="555">
        <f>EEFF!D9</f>
        <v>0</v>
      </c>
      <c r="E10" s="555">
        <f>EEFF!E9</f>
        <v>-23505670</v>
      </c>
      <c r="F10" s="555">
        <f>EEFF!F9</f>
        <v>-45494652</v>
      </c>
      <c r="G10" s="609">
        <f>F10</f>
        <v>-45494652</v>
      </c>
      <c r="H10" s="600">
        <f>G10</f>
        <v>-45494652</v>
      </c>
      <c r="I10" s="600">
        <f>H10</f>
        <v>-45494652</v>
      </c>
      <c r="J10" s="600">
        <f>I10</f>
        <v>-45494652</v>
      </c>
      <c r="K10" s="600">
        <f>J10</f>
        <v>-45494652</v>
      </c>
    </row>
    <row r="11">
      <c r="A11" s="599" t="s">
        <v>18</v>
      </c>
      <c r="B11" s="532"/>
      <c r="C11" s="532"/>
      <c r="D11" s="555">
        <f>EEFF!D10</f>
        <v>0</v>
      </c>
      <c r="E11" s="555">
        <f>EEFF!E10</f>
        <v>-27262804</v>
      </c>
      <c r="F11" s="555">
        <f>EEFF!F10</f>
        <v>-151394592</v>
      </c>
      <c r="G11" s="559">
        <f>G7*Supuestos!G18</f>
        <v>-136028685.75</v>
      </c>
      <c r="H11" s="555">
        <f>H7*Supuestos!H18</f>
        <v>-136028685.75</v>
      </c>
      <c r="I11" s="555">
        <f>I7*Supuestos!I18</f>
        <v>-136028685.75</v>
      </c>
      <c r="J11" s="555">
        <f>J7*Supuestos!J18</f>
        <v>-190625036.97</v>
      </c>
      <c r="K11" s="555">
        <f>K7*Supuestos!K18</f>
        <v>-190625036.97</v>
      </c>
    </row>
    <row r="12">
      <c r="A12" s="599" t="s">
        <v>19</v>
      </c>
      <c r="B12" s="532"/>
      <c r="C12" s="532"/>
      <c r="D12" s="555">
        <f>EEFF!D11</f>
        <v>0</v>
      </c>
      <c r="E12" s="555">
        <f>EEFF!E11</f>
        <v>-9073154</v>
      </c>
      <c r="F12" s="555">
        <f>EEFF!F11</f>
        <v>-41820657</v>
      </c>
      <c r="G12" s="609">
        <f>F12</f>
        <v>-41820657</v>
      </c>
      <c r="H12" s="600">
        <f>G12</f>
        <v>-41820657</v>
      </c>
      <c r="I12" s="600">
        <f>H12</f>
        <v>-41820657</v>
      </c>
      <c r="J12" s="600">
        <f>I12</f>
        <v>-41820657</v>
      </c>
      <c r="K12" s="600">
        <f>J12</f>
        <v>-41820657</v>
      </c>
    </row>
    <row r="13">
      <c r="A13" s="599" t="s">
        <v>20</v>
      </c>
      <c r="B13" s="532"/>
      <c r="C13" s="532"/>
      <c r="D13" s="555">
        <f>EEFF!D12</f>
        <v>0</v>
      </c>
      <c r="E13" s="555">
        <f>EEFF!E12</f>
        <v>-1007849</v>
      </c>
      <c r="F13" s="555">
        <f>EEFF!F12</f>
        <v>-16140520</v>
      </c>
      <c r="G13" s="609">
        <f>F13</f>
        <v>-16140520</v>
      </c>
      <c r="H13" s="600">
        <f>G13</f>
        <v>-16140520</v>
      </c>
      <c r="I13" s="600">
        <f>H13</f>
        <v>-16140520</v>
      </c>
      <c r="J13" s="600">
        <f>I13</f>
        <v>-16140520</v>
      </c>
      <c r="K13" s="600">
        <f>J13</f>
        <v>-16140520</v>
      </c>
    </row>
    <row r="14">
      <c r="A14" s="599" t="s">
        <v>21</v>
      </c>
      <c r="B14" s="532"/>
      <c r="C14" s="532"/>
      <c r="D14" s="555">
        <f>EEFF!D13</f>
        <v>-212127</v>
      </c>
      <c r="E14" s="555">
        <f>EEFF!E13</f>
        <v>-1553970</v>
      </c>
      <c r="F14" s="555">
        <f>EEFF!F13</f>
        <v>-9882798</v>
      </c>
      <c r="G14" s="559">
        <f>G7*Supuestos!G25</f>
        <v>-8953055.75</v>
      </c>
      <c r="H14" s="555">
        <f>H7*Supuestos!H25</f>
        <v>-8953055.75</v>
      </c>
      <c r="I14" s="555">
        <f>I7*Supuestos!I25</f>
        <v>-8953055.75</v>
      </c>
      <c r="J14" s="555">
        <f>J7*Supuestos!J25</f>
        <v>-12546446.17</v>
      </c>
      <c r="K14" s="555">
        <f>K7*Supuestos!K25</f>
        <v>-12546446.17</v>
      </c>
    </row>
    <row r="15">
      <c r="A15" s="543" t="s">
        <v>22</v>
      </c>
      <c r="B15" s="536"/>
      <c r="C15" s="536"/>
      <c r="D15" s="533">
        <f>EEFF!D14</f>
        <v>-212127</v>
      </c>
      <c r="E15" s="533">
        <f>EEFF!E14</f>
        <v>-62403447</v>
      </c>
      <c r="F15" s="533">
        <f>EEFF!F14</f>
        <v>-264733219</v>
      </c>
      <c r="G15" s="548">
        <f>G10+G11+G12+G13+G14</f>
        <v>-248437570.5</v>
      </c>
      <c r="H15" s="536">
        <f>H10+H11+H12+H13+H14</f>
        <v>-248437570.5</v>
      </c>
      <c r="I15" s="536">
        <f>I10+I11+I12+I13+I14</f>
        <v>-248437570.5</v>
      </c>
      <c r="J15" s="536">
        <f>J10+J11+J12+J13+J14</f>
        <v>-306627312.14000005</v>
      </c>
      <c r="K15" s="536">
        <f>K10+K11+K12+K13+K14</f>
        <v>-306627312.14000005</v>
      </c>
    </row>
    <row r="16">
      <c r="A16" s="543" t="s">
        <v>23</v>
      </c>
      <c r="B16" s="536"/>
      <c r="C16" s="536"/>
      <c r="D16" s="533">
        <f>EEFF!D15</f>
        <v>-212127</v>
      </c>
      <c r="E16" s="533">
        <f>EEFF!E15</f>
        <v>8745161</v>
      </c>
      <c r="F16" s="533">
        <f>EEFF!F15</f>
        <v>56947871</v>
      </c>
      <c r="G16" s="548">
        <f>G7+G15</f>
        <v>40370679.5</v>
      </c>
      <c r="H16" s="536">
        <f>H7+H15</f>
        <v>40370679.5</v>
      </c>
      <c r="I16" s="536">
        <f>I7+I15</f>
        <v>40370679.5</v>
      </c>
      <c r="J16" s="536">
        <f>J7+J15</f>
        <v>98096757.85999995</v>
      </c>
      <c r="K16" s="536">
        <f>K7+K15</f>
        <v>98096757.85999995</v>
      </c>
    </row>
    <row r="17">
      <c r="A17" s="534"/>
      <c r="B17" s="534"/>
      <c r="C17" s="534"/>
      <c r="D17" s="534"/>
      <c r="E17" s="534"/>
      <c r="F17" s="534"/>
      <c r="G17" s="544"/>
      <c r="H17" s="534"/>
      <c r="I17" s="534"/>
      <c r="J17" s="534"/>
      <c r="K17" s="534"/>
    </row>
    <row r="18">
      <c r="A18" s="553" t="s">
        <v>24</v>
      </c>
      <c r="B18" s="537"/>
      <c r="C18" s="537"/>
      <c r="D18" s="537"/>
      <c r="E18" s="537"/>
      <c r="F18" s="537"/>
      <c r="G18" s="539"/>
      <c r="H18" s="542"/>
      <c r="I18" s="542"/>
      <c r="J18" s="542"/>
      <c r="K18" s="542"/>
    </row>
    <row r="19">
      <c r="A19" s="599" t="s">
        <v>25</v>
      </c>
      <c r="B19" s="532"/>
      <c r="C19" s="532"/>
      <c r="D19" s="555">
        <f>EEFF!D17</f>
        <v>-6942984</v>
      </c>
      <c r="E19" s="555">
        <f>EEFF!E17</f>
        <v>-14420444</v>
      </c>
      <c r="F19" s="555">
        <f>EEFF!F17</f>
        <v>-69197853</v>
      </c>
      <c r="G19" s="609">
        <f>F19</f>
        <v>-69197853</v>
      </c>
      <c r="H19" s="600">
        <f>G19</f>
        <v>-69197853</v>
      </c>
      <c r="I19" s="600">
        <f>H19</f>
        <v>-69197853</v>
      </c>
      <c r="J19" s="600">
        <f>I19</f>
        <v>-69197853</v>
      </c>
      <c r="K19" s="600">
        <f>J19</f>
        <v>-69197853</v>
      </c>
    </row>
    <row r="20">
      <c r="A20" s="599" t="s">
        <v>26</v>
      </c>
      <c r="B20" s="532"/>
      <c r="C20" s="532"/>
      <c r="D20" s="555">
        <f>EEFF!D18</f>
        <v>0</v>
      </c>
      <c r="E20" s="555">
        <f>EEFF!E18</f>
        <v>723940</v>
      </c>
      <c r="F20" s="555">
        <f>EEFF!F18</f>
        <v>9178382</v>
      </c>
      <c r="G20" s="609">
        <f>F20</f>
        <v>9178382</v>
      </c>
      <c r="H20" s="600">
        <f>G20</f>
        <v>9178382</v>
      </c>
      <c r="I20" s="600">
        <f>H20</f>
        <v>9178382</v>
      </c>
      <c r="J20" s="600">
        <f>I20</f>
        <v>9178382</v>
      </c>
      <c r="K20" s="600">
        <f>J20</f>
        <v>9178382</v>
      </c>
    </row>
    <row r="21">
      <c r="A21" s="543" t="s">
        <v>27</v>
      </c>
      <c r="B21" s="536"/>
      <c r="C21" s="536"/>
      <c r="D21" s="533">
        <f>EEFF!D19</f>
        <v>-6942984</v>
      </c>
      <c r="E21" s="533">
        <f>EEFF!E19</f>
        <v>-13696504</v>
      </c>
      <c r="F21" s="533">
        <f>EEFF!F19</f>
        <v>-60019471</v>
      </c>
      <c r="G21" s="548">
        <f>G19+G20</f>
        <v>-60019471</v>
      </c>
      <c r="H21" s="536">
        <f>H19+H20</f>
        <v>-60019471</v>
      </c>
      <c r="I21" s="536">
        <f>I19+I20</f>
        <v>-60019471</v>
      </c>
      <c r="J21" s="536">
        <f>J19+J20</f>
        <v>-60019471</v>
      </c>
      <c r="K21" s="536">
        <f>K19+K20</f>
        <v>-60019471</v>
      </c>
    </row>
    <row r="22">
      <c r="A22" s="543" t="s">
        <v>28</v>
      </c>
      <c r="B22" s="536"/>
      <c r="C22" s="536"/>
      <c r="D22" s="533">
        <f>EEFF!D20</f>
        <v>-7155111</v>
      </c>
      <c r="E22" s="533">
        <f>EEFF!E20</f>
        <v>-4951343</v>
      </c>
      <c r="F22" s="533">
        <f>EEFF!F20</f>
        <v>-3071600</v>
      </c>
      <c r="G22" s="548">
        <f>G16+G21</f>
        <v>-19648791.5</v>
      </c>
      <c r="H22" s="536">
        <f>H16+H21</f>
        <v>-19648791.5</v>
      </c>
      <c r="I22" s="536">
        <f>I16+I21</f>
        <v>-19648791.5</v>
      </c>
      <c r="J22" s="536">
        <f>J16+J21</f>
        <v>38077286.859999955</v>
      </c>
      <c r="K22" s="536">
        <f>K16+K21</f>
        <v>38077286.859999955</v>
      </c>
    </row>
    <row r="23">
      <c r="A23" s="599" t="s">
        <v>29</v>
      </c>
      <c r="B23" s="532"/>
      <c r="C23" s="532"/>
      <c r="D23" s="555">
        <f>EEFF!D21</f>
        <v>0</v>
      </c>
      <c r="E23" s="555">
        <f>EEFF!E21</f>
        <v>-1440939</v>
      </c>
      <c r="F23" s="555">
        <f>EEFF!F21</f>
        <v>-5576826</v>
      </c>
      <c r="G23" s="609">
        <f>F23</f>
        <v>-5576826</v>
      </c>
      <c r="H23" s="600">
        <f>G23</f>
        <v>-5576826</v>
      </c>
      <c r="I23" s="600">
        <f>H23</f>
        <v>-5576826</v>
      </c>
      <c r="J23" s="600">
        <f>I23</f>
        <v>-5576826</v>
      </c>
      <c r="K23" s="600">
        <f>J23</f>
        <v>-5576826</v>
      </c>
    </row>
    <row r="24">
      <c r="A24" s="543" t="s">
        <v>30</v>
      </c>
      <c r="B24" s="536"/>
      <c r="C24" s="536"/>
      <c r="D24" s="533">
        <f>EEFF!D22</f>
        <v>-7155111</v>
      </c>
      <c r="E24" s="533">
        <f>EEFF!E22</f>
        <v>-6392282</v>
      </c>
      <c r="F24" s="533">
        <f>EEFF!F22</f>
        <v>-8648426</v>
      </c>
      <c r="G24" s="548">
        <f>G22+G23</f>
        <v>-25225617.5</v>
      </c>
      <c r="H24" s="536">
        <f>H22+H23</f>
        <v>-25225617.5</v>
      </c>
      <c r="I24" s="536">
        <f>I22+I23</f>
        <v>-25225617.5</v>
      </c>
      <c r="J24" s="536">
        <f>J22+J23</f>
        <v>32500460.859999955</v>
      </c>
      <c r="K24" s="536">
        <f>K22+K23</f>
        <v>32500460.859999955</v>
      </c>
    </row>
    <row r="25">
      <c r="A25" s="534"/>
      <c r="B25" s="534"/>
      <c r="C25" s="534"/>
      <c r="D25" s="534"/>
      <c r="E25" s="534"/>
      <c r="F25" s="534"/>
      <c r="G25" s="544"/>
      <c r="H25" s="534"/>
      <c r="I25" s="534"/>
      <c r="J25" s="534"/>
      <c r="K25" s="534"/>
    </row>
    <row r="26">
      <c r="A26" s="553" t="s">
        <v>31</v>
      </c>
      <c r="B26" s="537"/>
      <c r="C26" s="537"/>
      <c r="D26" s="537"/>
      <c r="E26" s="537"/>
      <c r="F26" s="537"/>
      <c r="G26" s="539"/>
      <c r="H26" s="542"/>
      <c r="I26" s="542"/>
      <c r="J26" s="542"/>
      <c r="K26" s="542"/>
    </row>
    <row r="27">
      <c r="A27" s="553" t="s">
        <v>32</v>
      </c>
      <c r="B27" s="537"/>
      <c r="C27" s="537"/>
      <c r="D27" s="537"/>
      <c r="E27" s="537"/>
      <c r="F27" s="537"/>
      <c r="G27" s="539"/>
      <c r="H27" s="542"/>
      <c r="I27" s="542"/>
      <c r="J27" s="542"/>
      <c r="K27" s="542"/>
    </row>
    <row r="28">
      <c r="A28" s="599" t="s">
        <v>33</v>
      </c>
      <c r="B28" s="532"/>
      <c r="C28" s="532"/>
      <c r="D28" s="555">
        <f>EEFF!D25</f>
        <v>-7412348</v>
      </c>
      <c r="E28" s="555">
        <f>EEFF!E25</f>
        <v>16195629</v>
      </c>
      <c r="F28" s="555">
        <f>EEFF!F25</f>
        <v>-14972862</v>
      </c>
      <c r="G28" s="609">
        <f>F28</f>
        <v>-14972862</v>
      </c>
      <c r="H28" s="600">
        <f>G28</f>
        <v>-14972862</v>
      </c>
      <c r="I28" s="600">
        <f>H28</f>
        <v>-14972862</v>
      </c>
      <c r="J28" s="600">
        <f>I28</f>
        <v>-14972862</v>
      </c>
      <c r="K28" s="600">
        <f>J28</f>
        <v>-14972862</v>
      </c>
    </row>
    <row r="29">
      <c r="A29" s="543" t="s">
        <v>34</v>
      </c>
      <c r="B29" s="536"/>
      <c r="C29" s="536"/>
      <c r="D29" s="533">
        <f>EEFF!D26</f>
        <v>-14567459</v>
      </c>
      <c r="E29" s="533">
        <f>EEFF!E26</f>
        <v>9803347</v>
      </c>
      <c r="F29" s="533">
        <f>EEFF!F26</f>
        <v>-23621288</v>
      </c>
      <c r="G29" s="548">
        <f>G24+G28</f>
        <v>-40198479.5</v>
      </c>
      <c r="H29" s="536">
        <f>H24+H28</f>
        <v>-40198479.5</v>
      </c>
      <c r="I29" s="536">
        <f>I24+I28</f>
        <v>-40198479.5</v>
      </c>
      <c r="J29" s="536">
        <f>J24+J28</f>
        <v>17527598.859999955</v>
      </c>
      <c r="K29" s="536">
        <f>K24+K28</f>
        <v>17527598.859999955</v>
      </c>
    </row>
    <row r="30">
      <c r="A30" s="534"/>
      <c r="B30" s="534"/>
      <c r="C30" s="534"/>
      <c r="D30" s="534"/>
      <c r="E30" s="534"/>
      <c r="F30" s="534"/>
      <c r="G30" s="544"/>
      <c r="H30" s="534"/>
      <c r="I30" s="534"/>
      <c r="J30" s="534"/>
      <c r="K30" s="534"/>
    </row>
    <row r="31">
      <c r="A31" s="553" t="s">
        <v>3</v>
      </c>
      <c r="B31" s="610" t="s">
        <v>4</v>
      </c>
      <c r="C31" s="610" t="s">
        <v>5</v>
      </c>
      <c r="D31" s="610" t="s">
        <v>6</v>
      </c>
      <c r="E31" s="610" t="s">
        <v>7</v>
      </c>
      <c r="F31" s="610" t="s">
        <v>8</v>
      </c>
      <c r="G31" s="607" t="s">
        <v>9</v>
      </c>
      <c r="H31" s="612" t="s">
        <v>10</v>
      </c>
      <c r="I31" s="612" t="s">
        <v>11</v>
      </c>
      <c r="J31" s="612" t="s">
        <v>12</v>
      </c>
      <c r="K31" s="612" t="s">
        <v>13</v>
      </c>
    </row>
    <row r="32">
      <c r="A32" s="553" t="s">
        <v>35</v>
      </c>
      <c r="B32" s="537"/>
      <c r="C32" s="537"/>
      <c r="D32" s="537"/>
      <c r="E32" s="537"/>
      <c r="F32" s="537"/>
      <c r="G32" s="539"/>
      <c r="H32" s="542"/>
      <c r="I32" s="542"/>
      <c r="J32" s="542"/>
      <c r="K32" s="542"/>
    </row>
    <row r="33">
      <c r="A33" s="553" t="s">
        <v>36</v>
      </c>
      <c r="B33" s="537"/>
      <c r="C33" s="537"/>
      <c r="D33" s="537"/>
      <c r="E33" s="537"/>
      <c r="F33" s="537"/>
      <c r="G33" s="539"/>
      <c r="H33" s="542"/>
      <c r="I33" s="542"/>
      <c r="J33" s="542"/>
      <c r="K33" s="542"/>
    </row>
    <row r="34">
      <c r="A34" s="553" t="s">
        <v>37</v>
      </c>
      <c r="B34" s="537"/>
      <c r="C34" s="537"/>
      <c r="D34" s="537"/>
      <c r="E34" s="537"/>
      <c r="F34" s="537"/>
      <c r="G34" s="539"/>
      <c r="H34" s="542"/>
      <c r="I34" s="542"/>
      <c r="J34" s="542"/>
      <c r="K34" s="542"/>
    </row>
    <row r="35">
      <c r="A35" s="599" t="s">
        <v>38</v>
      </c>
      <c r="B35" s="532"/>
      <c r="C35" s="532"/>
      <c r="D35" s="555">
        <f>EEFF!D32</f>
        <v>730289</v>
      </c>
      <c r="E35" s="555">
        <f>EEFF!E32</f>
        <v>35690715</v>
      </c>
      <c r="F35" s="555">
        <f>EEFF!F32</f>
        <v>34127110</v>
      </c>
      <c r="G35" s="609">
        <f>F35</f>
        <v>34127110</v>
      </c>
      <c r="H35" s="600">
        <f>G35</f>
        <v>34127110</v>
      </c>
      <c r="I35" s="600">
        <f>H35</f>
        <v>34127110</v>
      </c>
      <c r="J35" s="600">
        <f>I35</f>
        <v>34127110</v>
      </c>
      <c r="K35" s="600">
        <f>J35</f>
        <v>34127110</v>
      </c>
    </row>
    <row r="36">
      <c r="A36" s="599" t="s">
        <v>39</v>
      </c>
      <c r="B36" s="532"/>
      <c r="C36" s="532"/>
      <c r="D36" s="555">
        <f>EEFF!D33</f>
        <v>9484768</v>
      </c>
      <c r="E36" s="555">
        <f>EEFF!E33</f>
        <v>71344482</v>
      </c>
      <c r="F36" s="555">
        <f>EEFF!F33</f>
        <v>25061346</v>
      </c>
      <c r="G36" s="609">
        <f>F36</f>
        <v>25061346</v>
      </c>
      <c r="H36" s="600">
        <f>G36</f>
        <v>25061346</v>
      </c>
      <c r="I36" s="600">
        <f>H36</f>
        <v>25061346</v>
      </c>
      <c r="J36" s="600">
        <f>I36</f>
        <v>25061346</v>
      </c>
      <c r="K36" s="600">
        <f>J36</f>
        <v>25061346</v>
      </c>
    </row>
    <row r="37">
      <c r="A37" s="599" t="s">
        <v>40</v>
      </c>
      <c r="B37" s="532"/>
      <c r="C37" s="532"/>
      <c r="D37" s="555">
        <f>EEFF!D34</f>
        <v>0</v>
      </c>
      <c r="E37" s="555">
        <f>EEFF!E34</f>
        <v>47076358</v>
      </c>
      <c r="F37" s="555">
        <f>EEFF!F34</f>
        <v>52989225</v>
      </c>
      <c r="G37" s="609">
        <f>F37</f>
        <v>52989225</v>
      </c>
      <c r="H37" s="600">
        <f>G37</f>
        <v>52989225</v>
      </c>
      <c r="I37" s="600">
        <f>H37</f>
        <v>52989225</v>
      </c>
      <c r="J37" s="600">
        <f>I37</f>
        <v>52989225</v>
      </c>
      <c r="K37" s="600">
        <f>J37</f>
        <v>52989225</v>
      </c>
    </row>
    <row r="38">
      <c r="A38" s="599" t="s">
        <v>41</v>
      </c>
      <c r="B38" s="532"/>
      <c r="C38" s="532"/>
      <c r="D38" s="555">
        <f>EEFF!D35</f>
        <v>0</v>
      </c>
      <c r="E38" s="555">
        <f>EEFF!E35</f>
        <v>216976</v>
      </c>
      <c r="F38" s="555">
        <f>EEFF!F35</f>
        <v>1565841</v>
      </c>
      <c r="G38" s="609">
        <f>F38</f>
        <v>1565841</v>
      </c>
      <c r="H38" s="600">
        <f>G38</f>
        <v>1565841</v>
      </c>
      <c r="I38" s="600">
        <f>H38</f>
        <v>1565841</v>
      </c>
      <c r="J38" s="600">
        <f>I38</f>
        <v>1565841</v>
      </c>
      <c r="K38" s="600">
        <f>J38</f>
        <v>1565841</v>
      </c>
    </row>
    <row r="39">
      <c r="A39" s="599" t="s">
        <v>42</v>
      </c>
      <c r="B39" s="532"/>
      <c r="C39" s="532"/>
      <c r="D39" s="555">
        <f>EEFF!D36</f>
        <v>0</v>
      </c>
      <c r="E39" s="555">
        <f>EEFF!E36</f>
        <v>12567893</v>
      </c>
      <c r="F39" s="555">
        <f>EEFF!F36</f>
        <v>12635537</v>
      </c>
      <c r="G39" s="609">
        <f>F39</f>
        <v>12635537</v>
      </c>
      <c r="H39" s="600">
        <f>G39</f>
        <v>12635537</v>
      </c>
      <c r="I39" s="600">
        <f>H39</f>
        <v>12635537</v>
      </c>
      <c r="J39" s="600">
        <f>I39</f>
        <v>12635537</v>
      </c>
      <c r="K39" s="600">
        <f>J39</f>
        <v>12635537</v>
      </c>
    </row>
    <row r="40">
      <c r="A40" s="599" t="s">
        <v>43</v>
      </c>
      <c r="B40" s="532"/>
      <c r="C40" s="532"/>
      <c r="D40" s="555">
        <f>EEFF!D37</f>
        <v>0</v>
      </c>
      <c r="E40" s="555">
        <f>EEFF!E37</f>
        <v>18443</v>
      </c>
      <c r="F40" s="555">
        <f>EEFF!F37</f>
        <v>8044029</v>
      </c>
      <c r="G40" s="609">
        <f>F40</f>
        <v>8044029</v>
      </c>
      <c r="H40" s="600">
        <f>G40</f>
        <v>8044029</v>
      </c>
      <c r="I40" s="600">
        <f>H40</f>
        <v>8044029</v>
      </c>
      <c r="J40" s="600">
        <f>I40</f>
        <v>8044029</v>
      </c>
      <c r="K40" s="600">
        <f>J40</f>
        <v>8044029</v>
      </c>
    </row>
    <row r="41">
      <c r="A41" s="543" t="s">
        <v>44</v>
      </c>
      <c r="B41" s="536"/>
      <c r="C41" s="536"/>
      <c r="D41" s="533">
        <f>EEFF!D38</f>
        <v>10215057</v>
      </c>
      <c r="E41" s="533">
        <f>EEFF!E38</f>
        <v>166914867</v>
      </c>
      <c r="F41" s="533">
        <f>EEFF!F38</f>
        <v>134423088</v>
      </c>
      <c r="G41" s="548">
        <f>F41</f>
        <v>134423088</v>
      </c>
      <c r="H41" s="536">
        <f>G41</f>
        <v>134423088</v>
      </c>
      <c r="I41" s="536">
        <f>H41</f>
        <v>134423088</v>
      </c>
      <c r="J41" s="536">
        <f>I41</f>
        <v>134423088</v>
      </c>
      <c r="K41" s="536">
        <f>J41</f>
        <v>134423088</v>
      </c>
    </row>
    <row r="42">
      <c r="A42" s="534"/>
      <c r="B42" s="534"/>
      <c r="C42" s="534"/>
      <c r="D42" s="534"/>
      <c r="E42" s="534"/>
      <c r="F42" s="534"/>
      <c r="G42" s="544"/>
      <c r="H42" s="534"/>
      <c r="I42" s="534"/>
      <c r="J42" s="534"/>
      <c r="K42" s="534"/>
    </row>
    <row r="43">
      <c r="A43" s="553" t="s">
        <v>45</v>
      </c>
      <c r="B43" s="537"/>
      <c r="C43" s="537"/>
      <c r="D43" s="537"/>
      <c r="E43" s="537"/>
      <c r="F43" s="537"/>
      <c r="G43" s="539"/>
      <c r="H43" s="542"/>
      <c r="I43" s="542"/>
      <c r="J43" s="542"/>
      <c r="K43" s="542"/>
    </row>
    <row r="44">
      <c r="A44" s="599" t="s">
        <v>46</v>
      </c>
      <c r="B44" s="532"/>
      <c r="C44" s="532"/>
      <c r="D44" s="555">
        <f>EEFF!D40</f>
        <v>4405052</v>
      </c>
      <c r="E44" s="555">
        <f>EEFF!E40</f>
        <v>573263125</v>
      </c>
      <c r="F44" s="555">
        <f>EEFF!F40</f>
        <v>760443619</v>
      </c>
      <c r="G44" s="609">
        <f>F44</f>
        <v>760443619</v>
      </c>
      <c r="H44" s="600">
        <f>G44</f>
        <v>760443619</v>
      </c>
      <c r="I44" s="600">
        <f>H44</f>
        <v>760443619</v>
      </c>
      <c r="J44" s="600">
        <f>I44</f>
        <v>760443619</v>
      </c>
      <c r="K44" s="600">
        <f>J44</f>
        <v>760443619</v>
      </c>
    </row>
    <row r="45">
      <c r="A45" s="599" t="s">
        <v>47</v>
      </c>
      <c r="B45" s="532"/>
      <c r="C45" s="532"/>
      <c r="D45" s="555">
        <f>EEFF!D41</f>
        <v>568305169</v>
      </c>
      <c r="E45" s="555">
        <f>EEFF!E41</f>
        <v>170183780</v>
      </c>
      <c r="F45" s="555">
        <f>EEFF!F41</f>
        <v>0</v>
      </c>
      <c r="G45" s="609">
        <f>F45</f>
        <v>0</v>
      </c>
      <c r="H45" s="600">
        <f>G45</f>
        <v>0</v>
      </c>
      <c r="I45" s="600">
        <f>H45</f>
        <v>0</v>
      </c>
      <c r="J45" s="600">
        <f>I45</f>
        <v>0</v>
      </c>
      <c r="K45" s="600">
        <f>J45</f>
        <v>0</v>
      </c>
    </row>
    <row r="46">
      <c r="A46" s="599" t="s">
        <v>48</v>
      </c>
      <c r="B46" s="532"/>
      <c r="C46" s="532"/>
      <c r="D46" s="555">
        <f>EEFF!D42</f>
        <v>232073438</v>
      </c>
      <c r="E46" s="555">
        <f>EEFF!E42</f>
        <v>229172520</v>
      </c>
      <c r="F46" s="555">
        <f>EEFF!F42</f>
        <v>217568848</v>
      </c>
      <c r="G46" s="609">
        <f>F46</f>
        <v>217568848</v>
      </c>
      <c r="H46" s="600">
        <f>G46</f>
        <v>217568848</v>
      </c>
      <c r="I46" s="600">
        <f>H46</f>
        <v>217568848</v>
      </c>
      <c r="J46" s="600">
        <f>I46</f>
        <v>217568848</v>
      </c>
      <c r="K46" s="600">
        <f>J46</f>
        <v>217568848</v>
      </c>
    </row>
    <row r="47">
      <c r="A47" s="599" t="s">
        <v>49</v>
      </c>
      <c r="B47" s="532"/>
      <c r="C47" s="532"/>
      <c r="D47" s="555">
        <f>EEFF!D43</f>
        <v>9194053</v>
      </c>
      <c r="E47" s="555">
        <f>EEFF!E43</f>
        <v>6262558</v>
      </c>
      <c r="F47" s="555">
        <f>EEFF!F43</f>
        <v>5921376</v>
      </c>
      <c r="G47" s="609">
        <f>F47</f>
        <v>5921376</v>
      </c>
      <c r="H47" s="600">
        <f>G47</f>
        <v>5921376</v>
      </c>
      <c r="I47" s="600">
        <f>H47</f>
        <v>5921376</v>
      </c>
      <c r="J47" s="600">
        <f>I47</f>
        <v>5921376</v>
      </c>
      <c r="K47" s="600">
        <f>J47</f>
        <v>5921376</v>
      </c>
    </row>
    <row r="48">
      <c r="A48" s="599" t="s">
        <v>50</v>
      </c>
      <c r="B48" s="532"/>
      <c r="C48" s="532"/>
      <c r="D48" s="555">
        <f>EEFF!D44</f>
        <v>71922</v>
      </c>
      <c r="E48" s="555">
        <f>EEFF!E44</f>
        <v>31038</v>
      </c>
      <c r="F48" s="555">
        <f>EEFF!F44</f>
        <v>32028</v>
      </c>
      <c r="G48" s="609">
        <f>F48</f>
        <v>32028</v>
      </c>
      <c r="H48" s="600">
        <f>G48</f>
        <v>32028</v>
      </c>
      <c r="I48" s="600">
        <f>H48</f>
        <v>32028</v>
      </c>
      <c r="J48" s="600">
        <f>I48</f>
        <v>32028</v>
      </c>
      <c r="K48" s="600">
        <f>J48</f>
        <v>32028</v>
      </c>
    </row>
    <row r="49">
      <c r="A49" s="599" t="s">
        <v>51</v>
      </c>
      <c r="B49" s="532"/>
      <c r="C49" s="532"/>
      <c r="D49" s="555">
        <f>EEFF!D45</f>
        <v>89302665</v>
      </c>
      <c r="E49" s="555">
        <f>EEFF!E45</f>
        <v>104809005</v>
      </c>
      <c r="F49" s="555">
        <f>EEFF!F45</f>
        <v>89498950</v>
      </c>
      <c r="G49" s="609">
        <f>F49</f>
        <v>89498950</v>
      </c>
      <c r="H49" s="600">
        <f>G49</f>
        <v>89498950</v>
      </c>
      <c r="I49" s="600">
        <f>H49</f>
        <v>89498950</v>
      </c>
      <c r="J49" s="600">
        <f>I49</f>
        <v>89498950</v>
      </c>
      <c r="K49" s="600">
        <f>J49</f>
        <v>89498950</v>
      </c>
    </row>
    <row r="50">
      <c r="A50" s="599" t="s">
        <v>52</v>
      </c>
      <c r="B50" s="532"/>
      <c r="C50" s="532"/>
      <c r="D50" s="555">
        <f>EEFF!D46</f>
        <v>0</v>
      </c>
      <c r="E50" s="555">
        <f>EEFF!E46</f>
        <v>57766</v>
      </c>
      <c r="F50" s="555">
        <f>EEFF!F46</f>
        <v>115685</v>
      </c>
      <c r="G50" s="609">
        <f>F50</f>
        <v>115685</v>
      </c>
      <c r="H50" s="600">
        <f>G50</f>
        <v>115685</v>
      </c>
      <c r="I50" s="600">
        <f>H50</f>
        <v>115685</v>
      </c>
      <c r="J50" s="600">
        <f>I50</f>
        <v>115685</v>
      </c>
      <c r="K50" s="600">
        <f>J50</f>
        <v>115685</v>
      </c>
    </row>
    <row r="51">
      <c r="A51" s="599" t="s">
        <v>53</v>
      </c>
      <c r="B51" s="532"/>
      <c r="C51" s="532"/>
      <c r="D51" s="555">
        <f>EEFF!D47</f>
        <v>0</v>
      </c>
      <c r="E51" s="555">
        <f>EEFF!E47</f>
        <v>0</v>
      </c>
      <c r="F51" s="555">
        <f>EEFF!F47</f>
        <v>421174</v>
      </c>
      <c r="G51" s="609">
        <f>F51</f>
        <v>421174</v>
      </c>
      <c r="H51" s="600">
        <f>G51</f>
        <v>421174</v>
      </c>
      <c r="I51" s="600">
        <f>H51</f>
        <v>421174</v>
      </c>
      <c r="J51" s="600">
        <f>I51</f>
        <v>421174</v>
      </c>
      <c r="K51" s="600">
        <f>J51</f>
        <v>421174</v>
      </c>
    </row>
    <row r="52">
      <c r="A52" s="543" t="s">
        <v>54</v>
      </c>
      <c r="B52" s="536"/>
      <c r="C52" s="536"/>
      <c r="D52" s="533">
        <f>EEFF!D48</f>
        <v>903352299</v>
      </c>
      <c r="E52" s="533">
        <f>EEFF!E48</f>
        <v>1083779792</v>
      </c>
      <c r="F52" s="533">
        <f>EEFF!F48</f>
        <v>1074001680</v>
      </c>
      <c r="G52" s="548">
        <f>F52</f>
        <v>1074001680</v>
      </c>
      <c r="H52" s="536">
        <f>G52</f>
        <v>1074001680</v>
      </c>
      <c r="I52" s="536">
        <f>H52</f>
        <v>1074001680</v>
      </c>
      <c r="J52" s="536">
        <f>I52</f>
        <v>1074001680</v>
      </c>
      <c r="K52" s="536">
        <f>J52</f>
        <v>1074001680</v>
      </c>
    </row>
    <row r="53">
      <c r="A53" s="543" t="s">
        <v>55</v>
      </c>
      <c r="B53" s="536"/>
      <c r="C53" s="536"/>
      <c r="D53" s="533">
        <f>EEFF!D49</f>
        <v>913567356</v>
      </c>
      <c r="E53" s="533">
        <f>EEFF!E49</f>
        <v>1250694659</v>
      </c>
      <c r="F53" s="533">
        <f>EEFF!F49</f>
        <v>1208424768</v>
      </c>
      <c r="G53" s="548">
        <f>F53</f>
        <v>1208424768</v>
      </c>
      <c r="H53" s="536">
        <f>G53</f>
        <v>1208424768</v>
      </c>
      <c r="I53" s="536">
        <f>H53</f>
        <v>1208424768</v>
      </c>
      <c r="J53" s="536">
        <f>I53</f>
        <v>1208424768</v>
      </c>
      <c r="K53" s="536">
        <f>J53</f>
        <v>1208424768</v>
      </c>
    </row>
    <row r="54">
      <c r="A54" s="534"/>
      <c r="B54" s="534"/>
      <c r="C54" s="534"/>
      <c r="D54" s="534"/>
      <c r="E54" s="534"/>
      <c r="F54" s="534"/>
      <c r="G54" s="544"/>
      <c r="H54" s="534"/>
      <c r="I54" s="534"/>
      <c r="J54" s="534"/>
      <c r="K54" s="534"/>
    </row>
    <row r="55">
      <c r="A55" s="553" t="s">
        <v>56</v>
      </c>
      <c r="B55" s="537"/>
      <c r="C55" s="537"/>
      <c r="D55" s="537"/>
      <c r="E55" s="537"/>
      <c r="F55" s="537"/>
      <c r="G55" s="539"/>
      <c r="H55" s="542"/>
      <c r="I55" s="542"/>
      <c r="J55" s="542"/>
      <c r="K55" s="542"/>
    </row>
    <row r="56">
      <c r="A56" s="553" t="s">
        <v>57</v>
      </c>
      <c r="B56" s="537"/>
      <c r="C56" s="537"/>
      <c r="D56" s="537"/>
      <c r="E56" s="537"/>
      <c r="F56" s="537"/>
      <c r="G56" s="539"/>
      <c r="H56" s="542"/>
      <c r="I56" s="542"/>
      <c r="J56" s="542"/>
      <c r="K56" s="542"/>
    </row>
    <row r="57">
      <c r="A57" s="599" t="s">
        <v>58</v>
      </c>
      <c r="B57" s="532"/>
      <c r="C57" s="532"/>
      <c r="D57" s="555">
        <f>EEFF!D52</f>
        <v>812820</v>
      </c>
      <c r="E57" s="555">
        <f>EEFF!E52</f>
        <v>39939411</v>
      </c>
      <c r="F57" s="555">
        <f>EEFF!F52</f>
        <v>9326557</v>
      </c>
      <c r="G57" s="609">
        <f>F57</f>
        <v>9326557</v>
      </c>
      <c r="H57" s="600">
        <f>G57</f>
        <v>9326557</v>
      </c>
      <c r="I57" s="600">
        <f>H57</f>
        <v>9326557</v>
      </c>
      <c r="J57" s="600">
        <f>I57</f>
        <v>9326557</v>
      </c>
      <c r="K57" s="600">
        <f>J57</f>
        <v>9326557</v>
      </c>
    </row>
    <row r="58">
      <c r="A58" s="599" t="s">
        <v>59</v>
      </c>
      <c r="B58" s="532"/>
      <c r="C58" s="532"/>
      <c r="D58" s="555">
        <f>EEFF!D53</f>
        <v>0</v>
      </c>
      <c r="E58" s="555">
        <f>EEFF!E53</f>
        <v>20477182</v>
      </c>
      <c r="F58" s="555">
        <f>EEFF!F53</f>
        <v>6387577</v>
      </c>
      <c r="G58" s="609">
        <f>F58</f>
        <v>6387577</v>
      </c>
      <c r="H58" s="600">
        <f>G58</f>
        <v>6387577</v>
      </c>
      <c r="I58" s="600">
        <f>H58</f>
        <v>6387577</v>
      </c>
      <c r="J58" s="600">
        <f>I58</f>
        <v>6387577</v>
      </c>
      <c r="K58" s="600">
        <f>J58</f>
        <v>6387577</v>
      </c>
    </row>
    <row r="59">
      <c r="A59" s="599" t="s">
        <v>60</v>
      </c>
      <c r="B59" s="532"/>
      <c r="C59" s="532"/>
      <c r="D59" s="555">
        <f>EEFF!D54</f>
        <v>19423030</v>
      </c>
      <c r="E59" s="555">
        <f>EEFF!E54</f>
        <v>19626508</v>
      </c>
      <c r="F59" s="555">
        <f>EEFF!F54</f>
        <v>46374534</v>
      </c>
      <c r="G59" s="609">
        <f>F59</f>
        <v>46374534</v>
      </c>
      <c r="H59" s="600">
        <f>G59</f>
        <v>46374534</v>
      </c>
      <c r="I59" s="600">
        <f>H59</f>
        <v>46374534</v>
      </c>
      <c r="J59" s="600">
        <f>I59</f>
        <v>46374534</v>
      </c>
      <c r="K59" s="600">
        <f>J59</f>
        <v>46374534</v>
      </c>
    </row>
    <row r="60">
      <c r="A60" s="599" t="s">
        <v>61</v>
      </c>
      <c r="B60" s="532"/>
      <c r="C60" s="532"/>
      <c r="D60" s="555">
        <f>EEFF!D55</f>
        <v>0</v>
      </c>
      <c r="E60" s="555">
        <f>EEFF!E55</f>
        <v>8894863</v>
      </c>
      <c r="F60" s="555">
        <f>EEFF!F55</f>
        <v>2705118</v>
      </c>
      <c r="G60" s="609">
        <f>F60</f>
        <v>2705118</v>
      </c>
      <c r="H60" s="600">
        <f>G60</f>
        <v>2705118</v>
      </c>
      <c r="I60" s="600">
        <f>H60</f>
        <v>2705118</v>
      </c>
      <c r="J60" s="600">
        <f>I60</f>
        <v>2705118</v>
      </c>
      <c r="K60" s="600">
        <f>J60</f>
        <v>2705118</v>
      </c>
    </row>
    <row r="61">
      <c r="A61" s="599" t="s">
        <v>62</v>
      </c>
      <c r="B61" s="532"/>
      <c r="C61" s="532"/>
      <c r="D61" s="555">
        <f>EEFF!D56</f>
        <v>72912</v>
      </c>
      <c r="E61" s="555">
        <f>EEFF!E56</f>
        <v>240776</v>
      </c>
      <c r="F61" s="555">
        <f>EEFF!F56</f>
        <v>299722</v>
      </c>
      <c r="G61" s="609">
        <f>F61</f>
        <v>299722</v>
      </c>
      <c r="H61" s="600">
        <f>G61</f>
        <v>299722</v>
      </c>
      <c r="I61" s="600">
        <f>H61</f>
        <v>299722</v>
      </c>
      <c r="J61" s="600">
        <f>I61</f>
        <v>299722</v>
      </c>
      <c r="K61" s="600">
        <f>J61</f>
        <v>299722</v>
      </c>
    </row>
    <row r="62">
      <c r="A62" s="599" t="s">
        <v>63</v>
      </c>
      <c r="B62" s="532"/>
      <c r="C62" s="532"/>
      <c r="D62" s="555">
        <f>EEFF!D57</f>
        <v>0</v>
      </c>
      <c r="E62" s="555">
        <f>EEFF!E57</f>
        <v>1440939</v>
      </c>
      <c r="F62" s="555">
        <f>EEFF!F57</f>
        <v>4557061</v>
      </c>
      <c r="G62" s="609">
        <f>F62</f>
        <v>4557061</v>
      </c>
      <c r="H62" s="600">
        <f>G62</f>
        <v>4557061</v>
      </c>
      <c r="I62" s="600">
        <f>H62</f>
        <v>4557061</v>
      </c>
      <c r="J62" s="600">
        <f>I62</f>
        <v>4557061</v>
      </c>
      <c r="K62" s="600">
        <f>J62</f>
        <v>4557061</v>
      </c>
    </row>
    <row r="63">
      <c r="A63" s="599" t="s">
        <v>64</v>
      </c>
      <c r="B63" s="532"/>
      <c r="C63" s="532"/>
      <c r="D63" s="555">
        <f>EEFF!D58</f>
        <v>137467</v>
      </c>
      <c r="E63" s="555">
        <f>EEFF!E58</f>
        <v>270020</v>
      </c>
      <c r="F63" s="555">
        <f>EEFF!F58</f>
        <v>366843</v>
      </c>
      <c r="G63" s="609">
        <f>F63</f>
        <v>366843</v>
      </c>
      <c r="H63" s="600">
        <f>G63</f>
        <v>366843</v>
      </c>
      <c r="I63" s="600">
        <f>H63</f>
        <v>366843</v>
      </c>
      <c r="J63" s="600">
        <f>I63</f>
        <v>366843</v>
      </c>
      <c r="K63" s="600">
        <f>J63</f>
        <v>366843</v>
      </c>
    </row>
    <row r="64">
      <c r="A64" s="543" t="s">
        <v>65</v>
      </c>
      <c r="B64" s="536"/>
      <c r="C64" s="536"/>
      <c r="D64" s="533">
        <f>EEFF!D59</f>
        <v>20446229</v>
      </c>
      <c r="E64" s="533">
        <f>EEFF!E59</f>
        <v>90889699</v>
      </c>
      <c r="F64" s="533">
        <f>EEFF!F59</f>
        <v>70017412</v>
      </c>
      <c r="G64" s="548">
        <f>F64</f>
        <v>70017412</v>
      </c>
      <c r="H64" s="536">
        <f>G64</f>
        <v>70017412</v>
      </c>
      <c r="I64" s="536">
        <f>H64</f>
        <v>70017412</v>
      </c>
      <c r="J64" s="536">
        <f>I64</f>
        <v>70017412</v>
      </c>
      <c r="K64" s="536">
        <f>J64</f>
        <v>70017412</v>
      </c>
    </row>
    <row r="65">
      <c r="A65" s="534"/>
      <c r="B65" s="534"/>
      <c r="C65" s="534"/>
      <c r="D65" s="534"/>
      <c r="E65" s="534"/>
      <c r="F65" s="534"/>
      <c r="G65" s="544"/>
      <c r="H65" s="534"/>
      <c r="I65" s="534"/>
      <c r="J65" s="534"/>
      <c r="K65" s="534"/>
    </row>
    <row r="66">
      <c r="A66" s="553" t="s">
        <v>66</v>
      </c>
      <c r="B66" s="537"/>
      <c r="C66" s="537"/>
      <c r="D66" s="537"/>
      <c r="E66" s="537"/>
      <c r="F66" s="537"/>
      <c r="G66" s="539"/>
      <c r="H66" s="542"/>
      <c r="I66" s="542"/>
      <c r="J66" s="542"/>
      <c r="K66" s="542"/>
    </row>
    <row r="67">
      <c r="A67" s="599" t="s">
        <v>67</v>
      </c>
      <c r="B67" s="532"/>
      <c r="C67" s="532"/>
      <c r="D67" s="555">
        <f>EEFF!D61</f>
        <v>84309211</v>
      </c>
      <c r="E67" s="555">
        <f>EEFF!E61</f>
        <v>85192442</v>
      </c>
      <c r="F67" s="555">
        <f>EEFF!F61</f>
        <v>43657337</v>
      </c>
      <c r="G67" s="609">
        <f>F67</f>
        <v>43657337</v>
      </c>
      <c r="H67" s="600">
        <f>G67</f>
        <v>43657337</v>
      </c>
      <c r="I67" s="600">
        <f>H67</f>
        <v>43657337</v>
      </c>
      <c r="J67" s="600">
        <f>I67</f>
        <v>43657337</v>
      </c>
      <c r="K67" s="600">
        <f>J67</f>
        <v>43657337</v>
      </c>
    </row>
    <row r="68">
      <c r="A68" s="599" t="s">
        <v>68</v>
      </c>
      <c r="B68" s="532"/>
      <c r="C68" s="532"/>
      <c r="D68" s="555">
        <f>EEFF!D62</f>
        <v>575680720</v>
      </c>
      <c r="E68" s="555">
        <f>EEFF!E62</f>
        <v>704207379</v>
      </c>
      <c r="F68" s="555">
        <f>EEFF!F62</f>
        <v>841707434</v>
      </c>
      <c r="G68" s="609">
        <f>F68</f>
        <v>841707434</v>
      </c>
      <c r="H68" s="600">
        <f>G68</f>
        <v>841707434</v>
      </c>
      <c r="I68" s="600">
        <f>H68</f>
        <v>841707434</v>
      </c>
      <c r="J68" s="600">
        <f>I68</f>
        <v>841707434</v>
      </c>
      <c r="K68" s="600">
        <f>J68</f>
        <v>841707434</v>
      </c>
    </row>
    <row r="69">
      <c r="A69" s="599" t="s">
        <v>69</v>
      </c>
      <c r="B69" s="532"/>
      <c r="C69" s="532"/>
      <c r="D69" s="555">
        <f>EEFF!D63</f>
        <v>10421780</v>
      </c>
      <c r="E69" s="555">
        <f>EEFF!E63</f>
        <v>7561463</v>
      </c>
      <c r="F69" s="555">
        <f>EEFF!F63</f>
        <v>7306348</v>
      </c>
      <c r="G69" s="609">
        <f>F69</f>
        <v>7306348</v>
      </c>
      <c r="H69" s="600">
        <f>G69</f>
        <v>7306348</v>
      </c>
      <c r="I69" s="600">
        <f>H69</f>
        <v>7306348</v>
      </c>
      <c r="J69" s="600">
        <f>I69</f>
        <v>7306348</v>
      </c>
      <c r="K69" s="600">
        <f>J69</f>
        <v>7306348</v>
      </c>
    </row>
    <row r="70">
      <c r="A70" s="599" t="s">
        <v>70</v>
      </c>
      <c r="B70" s="532"/>
      <c r="C70" s="532"/>
      <c r="D70" s="555">
        <f>EEFF!D64</f>
        <v>0</v>
      </c>
      <c r="E70" s="555">
        <f>EEFF!E64</f>
        <v>65223</v>
      </c>
      <c r="F70" s="555">
        <f>EEFF!F64</f>
        <v>124106</v>
      </c>
      <c r="G70" s="609">
        <f>F70</f>
        <v>124106</v>
      </c>
      <c r="H70" s="600">
        <f>G70</f>
        <v>124106</v>
      </c>
      <c r="I70" s="600">
        <f>H70</f>
        <v>124106</v>
      </c>
      <c r="J70" s="600">
        <f>I70</f>
        <v>124106</v>
      </c>
      <c r="K70" s="600">
        <f>J70</f>
        <v>124106</v>
      </c>
    </row>
    <row r="71">
      <c r="A71" s="543" t="s">
        <v>71</v>
      </c>
      <c r="B71" s="536"/>
      <c r="C71" s="536"/>
      <c r="D71" s="533">
        <f>EEFF!D65</f>
        <v>670411711</v>
      </c>
      <c r="E71" s="533">
        <f>EEFF!E65</f>
        <v>797026507</v>
      </c>
      <c r="F71" s="533">
        <f>EEFF!F65</f>
        <v>892795225</v>
      </c>
      <c r="G71" s="548">
        <f>F71</f>
        <v>892795225</v>
      </c>
      <c r="H71" s="536">
        <f>G71</f>
        <v>892795225</v>
      </c>
      <c r="I71" s="536">
        <f>H71</f>
        <v>892795225</v>
      </c>
      <c r="J71" s="536">
        <f>I71</f>
        <v>892795225</v>
      </c>
      <c r="K71" s="536">
        <f>J71</f>
        <v>892795225</v>
      </c>
    </row>
    <row r="72">
      <c r="A72" s="543" t="s">
        <v>72</v>
      </c>
      <c r="B72" s="536"/>
      <c r="C72" s="536"/>
      <c r="D72" s="533">
        <f>EEFF!D66</f>
        <v>690857940</v>
      </c>
      <c r="E72" s="533">
        <f>EEFF!E66</f>
        <v>887916206</v>
      </c>
      <c r="F72" s="533">
        <f>EEFF!F66</f>
        <v>962812637</v>
      </c>
      <c r="G72" s="548">
        <f>F72</f>
        <v>962812637</v>
      </c>
      <c r="H72" s="536">
        <f>G72</f>
        <v>962812637</v>
      </c>
      <c r="I72" s="536">
        <f>H72</f>
        <v>962812637</v>
      </c>
      <c r="J72" s="536">
        <f>I72</f>
        <v>962812637</v>
      </c>
      <c r="K72" s="536">
        <f>J72</f>
        <v>962812637</v>
      </c>
    </row>
    <row r="73">
      <c r="A73" s="534"/>
      <c r="B73" s="534"/>
      <c r="C73" s="534"/>
      <c r="D73" s="534"/>
      <c r="E73" s="534"/>
      <c r="F73" s="534"/>
      <c r="G73" s="544"/>
      <c r="H73" s="534"/>
      <c r="I73" s="534"/>
      <c r="J73" s="534"/>
      <c r="K73" s="534"/>
    </row>
    <row r="74">
      <c r="A74" s="553" t="s">
        <v>73</v>
      </c>
      <c r="B74" s="537"/>
      <c r="C74" s="537"/>
      <c r="D74" s="537"/>
      <c r="E74" s="537"/>
      <c r="F74" s="537"/>
      <c r="G74" s="539"/>
      <c r="H74" s="542"/>
      <c r="I74" s="542"/>
      <c r="J74" s="542"/>
      <c r="K74" s="542"/>
    </row>
    <row r="75">
      <c r="A75" s="599" t="s">
        <v>74</v>
      </c>
      <c r="B75" s="532"/>
      <c r="C75" s="532"/>
      <c r="D75" s="555">
        <f>EEFF!D68</f>
        <v>158568190</v>
      </c>
      <c r="E75" s="555">
        <f>EEFF!E68</f>
        <v>288833880</v>
      </c>
      <c r="F75" s="555">
        <f>EEFF!F68</f>
        <v>195288846</v>
      </c>
      <c r="G75" s="609">
        <f>F75</f>
        <v>195288846</v>
      </c>
      <c r="H75" s="600">
        <f>G75</f>
        <v>195288846</v>
      </c>
      <c r="I75" s="600">
        <f>H75</f>
        <v>195288846</v>
      </c>
      <c r="J75" s="600">
        <f>I75</f>
        <v>195288846</v>
      </c>
      <c r="K75" s="600">
        <f>J75</f>
        <v>195288846</v>
      </c>
    </row>
    <row r="76">
      <c r="A76" s="599" t="s">
        <v>75</v>
      </c>
      <c r="B76" s="532"/>
      <c r="C76" s="532"/>
      <c r="D76" s="555">
        <f>EEFF!D69</f>
        <v>-23111594</v>
      </c>
      <c r="E76" s="555">
        <f>EEFF!E69</f>
        <v>-29503876</v>
      </c>
      <c r="F76" s="555">
        <f>EEFF!F69</f>
        <v>-38152302</v>
      </c>
      <c r="G76" s="609">
        <f>F76</f>
        <v>-38152302</v>
      </c>
      <c r="H76" s="600">
        <f>G76</f>
        <v>-38152302</v>
      </c>
      <c r="I76" s="600">
        <f>H76</f>
        <v>-38152302</v>
      </c>
      <c r="J76" s="600">
        <f>I76</f>
        <v>-38152302</v>
      </c>
      <c r="K76" s="600">
        <f>J76</f>
        <v>-38152302</v>
      </c>
    </row>
    <row r="77">
      <c r="A77" s="599" t="s">
        <v>33</v>
      </c>
      <c r="B77" s="532"/>
      <c r="C77" s="532"/>
      <c r="D77" s="555">
        <f>EEFF!D70</f>
        <v>87252820</v>
      </c>
      <c r="E77" s="555">
        <f>EEFF!E70</f>
        <v>103448449</v>
      </c>
      <c r="F77" s="555">
        <f>EEFF!F70</f>
        <v>88475587</v>
      </c>
      <c r="G77" s="609">
        <f>F77</f>
        <v>88475587</v>
      </c>
      <c r="H77" s="600">
        <f>G77</f>
        <v>88475587</v>
      </c>
      <c r="I77" s="600">
        <f>H77</f>
        <v>88475587</v>
      </c>
      <c r="J77" s="600">
        <f>I77</f>
        <v>88475587</v>
      </c>
      <c r="K77" s="600">
        <f>J77</f>
        <v>88475587</v>
      </c>
    </row>
    <row r="78">
      <c r="A78" s="543" t="s">
        <v>76</v>
      </c>
      <c r="B78" s="536"/>
      <c r="C78" s="536"/>
      <c r="D78" s="533">
        <f>EEFF!D71</f>
        <v>222709416</v>
      </c>
      <c r="E78" s="533">
        <f>EEFF!E71</f>
        <v>362778453</v>
      </c>
      <c r="F78" s="533">
        <f>EEFF!F71</f>
        <v>245612131</v>
      </c>
      <c r="G78" s="548">
        <f>F78</f>
        <v>245612131</v>
      </c>
      <c r="H78" s="536">
        <f>G78</f>
        <v>245612131</v>
      </c>
      <c r="I78" s="536">
        <f>H78</f>
        <v>245612131</v>
      </c>
      <c r="J78" s="536">
        <f>I78</f>
        <v>245612131</v>
      </c>
      <c r="K78" s="536">
        <f>J78</f>
        <v>245612131</v>
      </c>
    </row>
    <row r="79">
      <c r="A79" s="543" t="s">
        <v>77</v>
      </c>
      <c r="B79" s="536"/>
      <c r="C79" s="536"/>
      <c r="D79" s="533">
        <f>EEFF!D72</f>
        <v>913567356</v>
      </c>
      <c r="E79" s="533">
        <f>EEFF!E72</f>
        <v>1250694659</v>
      </c>
      <c r="F79" s="533">
        <f>EEFF!F72</f>
        <v>1208424768</v>
      </c>
      <c r="G79" s="548">
        <f>F79</f>
        <v>1208424768</v>
      </c>
      <c r="H79" s="536">
        <f>G79</f>
        <v>1208424768</v>
      </c>
      <c r="I79" s="536">
        <f>H79</f>
        <v>1208424768</v>
      </c>
      <c r="J79" s="536">
        <f>I79</f>
        <v>1208424768</v>
      </c>
      <c r="K79" s="536">
        <f>J79</f>
        <v>1208424768</v>
      </c>
    </row>
    <row r="80">
      <c r="A80" s="534"/>
      <c r="B80" s="534"/>
      <c r="C80" s="534"/>
      <c r="D80" s="534"/>
      <c r="E80" s="534"/>
      <c r="F80" s="534"/>
      <c r="G80" s="544"/>
      <c r="H80" s="534"/>
      <c r="I80" s="534"/>
      <c r="J80" s="534"/>
      <c r="K80" s="534"/>
    </row>
    <row r="81">
      <c r="A81" s="553" t="s">
        <v>3</v>
      </c>
      <c r="B81" s="610" t="s">
        <v>4</v>
      </c>
      <c r="C81" s="610" t="s">
        <v>5</v>
      </c>
      <c r="D81" s="610" t="s">
        <v>6</v>
      </c>
      <c r="E81" s="610" t="s">
        <v>7</v>
      </c>
      <c r="F81" s="610" t="s">
        <v>8</v>
      </c>
      <c r="G81" s="607" t="s">
        <v>9</v>
      </c>
      <c r="H81" s="612" t="s">
        <v>10</v>
      </c>
      <c r="I81" s="612" t="s">
        <v>11</v>
      </c>
      <c r="J81" s="612" t="s">
        <v>12</v>
      </c>
      <c r="K81" s="612" t="s">
        <v>13</v>
      </c>
    </row>
    <row r="82">
      <c r="A82" s="553" t="s">
        <v>78</v>
      </c>
      <c r="B82" s="537"/>
      <c r="C82" s="537"/>
      <c r="D82" s="537"/>
      <c r="E82" s="537"/>
      <c r="F82" s="537"/>
      <c r="G82" s="539"/>
      <c r="H82" s="542"/>
      <c r="I82" s="542"/>
      <c r="J82" s="542"/>
      <c r="K82" s="542"/>
    </row>
    <row r="83">
      <c r="A83" s="553" t="s">
        <v>79</v>
      </c>
      <c r="B83" s="537"/>
      <c r="C83" s="537"/>
      <c r="D83" s="537"/>
      <c r="E83" s="537"/>
      <c r="F83" s="537"/>
      <c r="G83" s="539"/>
      <c r="H83" s="542"/>
      <c r="I83" s="542"/>
      <c r="J83" s="542"/>
      <c r="K83" s="542"/>
    </row>
    <row r="84">
      <c r="A84" s="543" t="s">
        <v>28</v>
      </c>
      <c r="B84" s="536"/>
      <c r="C84" s="536"/>
      <c r="D84" s="533">
        <f>EEFF!D77</f>
        <v>-7155111</v>
      </c>
      <c r="E84" s="533">
        <f>EEFF!E77</f>
        <v>-4951343</v>
      </c>
      <c r="F84" s="533">
        <f>EEFF!F77</f>
        <v>-3071600</v>
      </c>
      <c r="G84" s="548">
        <f>F84</f>
        <v>-3071600</v>
      </c>
      <c r="H84" s="536">
        <f>G84</f>
        <v>-3071600</v>
      </c>
      <c r="I84" s="536">
        <f>H84</f>
        <v>-3071600</v>
      </c>
      <c r="J84" s="536">
        <f>I84</f>
        <v>-3071600</v>
      </c>
      <c r="K84" s="536">
        <f>J84</f>
        <v>-3071600</v>
      </c>
    </row>
    <row r="85">
      <c r="A85" s="534"/>
      <c r="B85" s="534"/>
      <c r="C85" s="534"/>
      <c r="D85" s="534"/>
      <c r="E85" s="534"/>
      <c r="F85" s="534"/>
      <c r="G85" s="544"/>
      <c r="H85" s="534"/>
      <c r="I85" s="534"/>
      <c r="J85" s="534"/>
      <c r="K85" s="534"/>
    </row>
    <row r="86">
      <c r="A86" s="553" t="s">
        <v>80</v>
      </c>
      <c r="B86" s="537"/>
      <c r="C86" s="537"/>
      <c r="D86" s="537"/>
      <c r="E86" s="537"/>
      <c r="F86" s="537"/>
      <c r="G86" s="539"/>
      <c r="H86" s="542"/>
      <c r="I86" s="542"/>
      <c r="J86" s="542"/>
      <c r="K86" s="542"/>
    </row>
    <row r="87">
      <c r="A87" s="599" t="s">
        <v>81</v>
      </c>
      <c r="B87" s="532"/>
      <c r="C87" s="532"/>
      <c r="D87" s="555">
        <f>EEFF!D79</f>
        <v>0</v>
      </c>
      <c r="E87" s="555">
        <f>EEFF!E79</f>
        <v>6060088</v>
      </c>
      <c r="F87" s="555">
        <f>EEFF!F79</f>
        <v>29746572</v>
      </c>
      <c r="G87" s="609">
        <f>F87</f>
        <v>29746572</v>
      </c>
      <c r="H87" s="600">
        <f>G87</f>
        <v>29746572</v>
      </c>
      <c r="I87" s="600">
        <f>H87</f>
        <v>29746572</v>
      </c>
      <c r="J87" s="600">
        <f>I87</f>
        <v>29746572</v>
      </c>
      <c r="K87" s="600">
        <f>J87</f>
        <v>29746572</v>
      </c>
    </row>
    <row r="88">
      <c r="A88" s="599" t="s">
        <v>82</v>
      </c>
      <c r="B88" s="532"/>
      <c r="C88" s="532"/>
      <c r="D88" s="555">
        <f>EEFF!D80</f>
        <v>0</v>
      </c>
      <c r="E88" s="555">
        <f>EEFF!E80</f>
        <v>2900918</v>
      </c>
      <c r="F88" s="555">
        <f>EEFF!F80</f>
        <v>11603672</v>
      </c>
      <c r="G88" s="609">
        <f>F88</f>
        <v>11603672</v>
      </c>
      <c r="H88" s="600">
        <f>G88</f>
        <v>11603672</v>
      </c>
      <c r="I88" s="600">
        <f>H88</f>
        <v>11603672</v>
      </c>
      <c r="J88" s="600">
        <f>I88</f>
        <v>11603672</v>
      </c>
      <c r="K88" s="600">
        <f>J88</f>
        <v>11603672</v>
      </c>
    </row>
    <row r="89">
      <c r="A89" s="599" t="s">
        <v>83</v>
      </c>
      <c r="B89" s="532"/>
      <c r="C89" s="532"/>
      <c r="D89" s="555">
        <f>EEFF!D81</f>
        <v>0</v>
      </c>
      <c r="E89" s="555">
        <f>EEFF!E81</f>
        <v>112148</v>
      </c>
      <c r="F89" s="555">
        <f>EEFF!F81</f>
        <v>470414</v>
      </c>
      <c r="G89" s="609">
        <f>F89</f>
        <v>470414</v>
      </c>
      <c r="H89" s="600">
        <f>G89</f>
        <v>470414</v>
      </c>
      <c r="I89" s="600">
        <f>H89</f>
        <v>470414</v>
      </c>
      <c r="J89" s="600">
        <f>I89</f>
        <v>470414</v>
      </c>
      <c r="K89" s="600">
        <f>J89</f>
        <v>470414</v>
      </c>
    </row>
    <row r="90">
      <c r="A90" s="599" t="s">
        <v>84</v>
      </c>
      <c r="B90" s="532"/>
      <c r="C90" s="532"/>
      <c r="D90" s="555">
        <f>EEFF!D82</f>
        <v>6982133</v>
      </c>
      <c r="E90" s="555">
        <f>EEFF!E82</f>
        <v>1086710</v>
      </c>
      <c r="F90" s="555">
        <f>EEFF!F82</f>
        <v>5232921</v>
      </c>
      <c r="G90" s="609">
        <f>F90</f>
        <v>5232921</v>
      </c>
      <c r="H90" s="600">
        <f>G90</f>
        <v>5232921</v>
      </c>
      <c r="I90" s="600">
        <f>H90</f>
        <v>5232921</v>
      </c>
      <c r="J90" s="600">
        <f>I90</f>
        <v>5232921</v>
      </c>
      <c r="K90" s="600">
        <f>J90</f>
        <v>5232921</v>
      </c>
    </row>
    <row r="91">
      <c r="A91" s="599" t="s">
        <v>85</v>
      </c>
      <c r="B91" s="532"/>
      <c r="C91" s="532"/>
      <c r="D91" s="555">
        <f>EEFF!D83</f>
        <v>0</v>
      </c>
      <c r="E91" s="555">
        <f>EEFF!E83</f>
        <v>14055900</v>
      </c>
      <c r="F91" s="555">
        <f>EEFF!F83</f>
        <v>63186268</v>
      </c>
      <c r="G91" s="609">
        <f>F91</f>
        <v>63186268</v>
      </c>
      <c r="H91" s="600">
        <f>G91</f>
        <v>63186268</v>
      </c>
      <c r="I91" s="600">
        <f>H91</f>
        <v>63186268</v>
      </c>
      <c r="J91" s="600">
        <f>I91</f>
        <v>63186268</v>
      </c>
      <c r="K91" s="600">
        <f>J91</f>
        <v>63186268</v>
      </c>
    </row>
    <row r="92">
      <c r="A92" s="599" t="s">
        <v>86</v>
      </c>
      <c r="B92" s="532"/>
      <c r="C92" s="532"/>
      <c r="D92" s="555">
        <f>EEFF!D84</f>
        <v>0</v>
      </c>
      <c r="E92" s="555">
        <f>EEFF!E84</f>
        <v>-3377644</v>
      </c>
      <c r="F92" s="555">
        <f>EEFF!F84</f>
        <v>-13262202</v>
      </c>
      <c r="G92" s="609">
        <f>F92</f>
        <v>-13262202</v>
      </c>
      <c r="H92" s="600">
        <f>G92</f>
        <v>-13262202</v>
      </c>
      <c r="I92" s="600">
        <f>H92</f>
        <v>-13262202</v>
      </c>
      <c r="J92" s="600">
        <f>I92</f>
        <v>-13262202</v>
      </c>
      <c r="K92" s="600">
        <f>J92</f>
        <v>-13262202</v>
      </c>
    </row>
    <row r="93">
      <c r="A93" s="599" t="s">
        <v>87</v>
      </c>
      <c r="B93" s="532"/>
      <c r="C93" s="532"/>
      <c r="D93" s="555">
        <f>EEFF!D85</f>
        <v>0</v>
      </c>
      <c r="E93" s="555">
        <f>EEFF!E85</f>
        <v>0</v>
      </c>
      <c r="F93" s="555">
        <f>EEFF!F85</f>
        <v>-71280</v>
      </c>
      <c r="G93" s="609">
        <f>F93</f>
        <v>-71280</v>
      </c>
      <c r="H93" s="600">
        <f>G93</f>
        <v>-71280</v>
      </c>
      <c r="I93" s="600">
        <f>H93</f>
        <v>-71280</v>
      </c>
      <c r="J93" s="600">
        <f>I93</f>
        <v>-71280</v>
      </c>
      <c r="K93" s="600">
        <f>J93</f>
        <v>-71280</v>
      </c>
    </row>
    <row r="94">
      <c r="A94" s="599" t="s">
        <v>88</v>
      </c>
      <c r="B94" s="532"/>
      <c r="C94" s="532"/>
      <c r="D94" s="555">
        <f>EEFF!D86</f>
        <v>0</v>
      </c>
      <c r="E94" s="555">
        <f>EEFF!E86</f>
        <v>1466734</v>
      </c>
      <c r="F94" s="555">
        <f>EEFF!F86</f>
        <v>10712475</v>
      </c>
      <c r="G94" s="609">
        <f>F94</f>
        <v>10712475</v>
      </c>
      <c r="H94" s="600">
        <f>G94</f>
        <v>10712475</v>
      </c>
      <c r="I94" s="600">
        <f>H94</f>
        <v>10712475</v>
      </c>
      <c r="J94" s="600">
        <f>I94</f>
        <v>10712475</v>
      </c>
      <c r="K94" s="600">
        <f>J94</f>
        <v>10712475</v>
      </c>
    </row>
    <row r="95">
      <c r="A95" s="599" t="s">
        <v>89</v>
      </c>
      <c r="B95" s="532"/>
      <c r="C95" s="532"/>
      <c r="D95" s="555">
        <f>EEFF!D87</f>
        <v>-172978</v>
      </c>
      <c r="E95" s="555">
        <f>EEFF!E87</f>
        <v>17353511</v>
      </c>
      <c r="F95" s="555">
        <f>EEFF!F87</f>
        <v>104547240</v>
      </c>
      <c r="G95" s="609">
        <f>F95</f>
        <v>104547240</v>
      </c>
      <c r="H95" s="600">
        <f>G95</f>
        <v>104547240</v>
      </c>
      <c r="I95" s="600">
        <f>H95</f>
        <v>104547240</v>
      </c>
      <c r="J95" s="600">
        <f>I95</f>
        <v>104547240</v>
      </c>
      <c r="K95" s="600">
        <f>J95</f>
        <v>104547240</v>
      </c>
    </row>
    <row r="96">
      <c r="A96" s="534"/>
      <c r="B96" s="534"/>
      <c r="C96" s="534"/>
      <c r="D96" s="534"/>
      <c r="E96" s="534"/>
      <c r="F96" s="534"/>
      <c r="G96" s="544"/>
      <c r="H96" s="534"/>
      <c r="I96" s="534"/>
      <c r="J96" s="534"/>
      <c r="K96" s="534"/>
    </row>
    <row r="97">
      <c r="A97" s="553" t="s">
        <v>90</v>
      </c>
      <c r="B97" s="537"/>
      <c r="C97" s="537"/>
      <c r="D97" s="537"/>
      <c r="E97" s="537"/>
      <c r="F97" s="537"/>
      <c r="G97" s="539"/>
      <c r="H97" s="542"/>
      <c r="I97" s="542"/>
      <c r="J97" s="542"/>
      <c r="K97" s="542"/>
    </row>
    <row r="98">
      <c r="A98" s="599" t="s">
        <v>40</v>
      </c>
      <c r="B98" s="532"/>
      <c r="C98" s="532"/>
      <c r="D98" s="555">
        <f>EEFF!D89</f>
        <v>0</v>
      </c>
      <c r="E98" s="555">
        <f>EEFF!E89</f>
        <v>-47076360</v>
      </c>
      <c r="F98" s="555">
        <f>EEFF!F89</f>
        <v>-5912867</v>
      </c>
      <c r="G98" s="609">
        <f>F98</f>
        <v>-5912867</v>
      </c>
      <c r="H98" s="600">
        <f>G98</f>
        <v>-5912867</v>
      </c>
      <c r="I98" s="600">
        <f>H98</f>
        <v>-5912867</v>
      </c>
      <c r="J98" s="600">
        <f>I98</f>
        <v>-5912867</v>
      </c>
      <c r="K98" s="600">
        <f>J98</f>
        <v>-5912867</v>
      </c>
    </row>
    <row r="99">
      <c r="A99" s="599" t="s">
        <v>41</v>
      </c>
      <c r="B99" s="532"/>
      <c r="C99" s="532"/>
      <c r="D99" s="555">
        <f>EEFF!D90</f>
        <v>0</v>
      </c>
      <c r="E99" s="555">
        <f>EEFF!E90</f>
        <v>3911236</v>
      </c>
      <c r="F99" s="555">
        <f>EEFF!F90</f>
        <v>-1348865</v>
      </c>
      <c r="G99" s="609">
        <f>F99</f>
        <v>-1348865</v>
      </c>
      <c r="H99" s="600">
        <f>G99</f>
        <v>-1348865</v>
      </c>
      <c r="I99" s="600">
        <f>H99</f>
        <v>-1348865</v>
      </c>
      <c r="J99" s="600">
        <f>I99</f>
        <v>-1348865</v>
      </c>
      <c r="K99" s="600">
        <f>J99</f>
        <v>-1348865</v>
      </c>
    </row>
    <row r="100">
      <c r="A100" s="599" t="s">
        <v>42</v>
      </c>
      <c r="B100" s="532"/>
      <c r="C100" s="532"/>
      <c r="D100" s="555">
        <f>EEFF!D91</f>
        <v>0</v>
      </c>
      <c r="E100" s="555">
        <f>EEFF!E91</f>
        <v>-12567893</v>
      </c>
      <c r="F100" s="555">
        <f>EEFF!F91</f>
        <v>-67644</v>
      </c>
      <c r="G100" s="609">
        <f>F100</f>
        <v>-67644</v>
      </c>
      <c r="H100" s="600">
        <f>G100</f>
        <v>-67644</v>
      </c>
      <c r="I100" s="600">
        <f>H100</f>
        <v>-67644</v>
      </c>
      <c r="J100" s="600">
        <f>I100</f>
        <v>-67644</v>
      </c>
      <c r="K100" s="600">
        <f>J100</f>
        <v>-67644</v>
      </c>
    </row>
    <row r="101">
      <c r="A101" s="599" t="s">
        <v>43</v>
      </c>
      <c r="B101" s="532"/>
      <c r="C101" s="532"/>
      <c r="D101" s="555">
        <f>EEFF!D92</f>
        <v>0</v>
      </c>
      <c r="E101" s="555">
        <f>EEFF!E92</f>
        <v>-18435</v>
      </c>
      <c r="F101" s="555">
        <f>EEFF!F92</f>
        <v>-8025588</v>
      </c>
      <c r="G101" s="609">
        <f>F101</f>
        <v>-8025588</v>
      </c>
      <c r="H101" s="600">
        <f>G101</f>
        <v>-8025588</v>
      </c>
      <c r="I101" s="600">
        <f>H101</f>
        <v>-8025588</v>
      </c>
      <c r="J101" s="600">
        <f>I101</f>
        <v>-8025588</v>
      </c>
      <c r="K101" s="600">
        <f>J101</f>
        <v>-8025588</v>
      </c>
    </row>
    <row r="102">
      <c r="A102" s="599" t="s">
        <v>52</v>
      </c>
      <c r="B102" s="532"/>
      <c r="C102" s="532"/>
      <c r="D102" s="555">
        <f>EEFF!D93</f>
        <v>0</v>
      </c>
      <c r="E102" s="555">
        <f>EEFF!E93</f>
        <v>-57766</v>
      </c>
      <c r="F102" s="555">
        <f>EEFF!F93</f>
        <v>-57919</v>
      </c>
      <c r="G102" s="609">
        <f>F102</f>
        <v>-57919</v>
      </c>
      <c r="H102" s="600">
        <f>G102</f>
        <v>-57919</v>
      </c>
      <c r="I102" s="600">
        <f>H102</f>
        <v>-57919</v>
      </c>
      <c r="J102" s="600">
        <f>I102</f>
        <v>-57919</v>
      </c>
      <c r="K102" s="600">
        <f>J102</f>
        <v>-57919</v>
      </c>
    </row>
    <row r="103">
      <c r="A103" s="599" t="s">
        <v>50</v>
      </c>
      <c r="B103" s="532"/>
      <c r="C103" s="532"/>
      <c r="D103" s="555">
        <f>EEFF!D94</f>
        <v>-40684</v>
      </c>
      <c r="E103" s="555">
        <f>EEFF!E94</f>
        <v>40884</v>
      </c>
      <c r="F103" s="555">
        <f>EEFF!F94</f>
        <v>-990</v>
      </c>
      <c r="G103" s="609">
        <f>F103</f>
        <v>-990</v>
      </c>
      <c r="H103" s="600">
        <f>G103</f>
        <v>-990</v>
      </c>
      <c r="I103" s="600">
        <f>H103</f>
        <v>-990</v>
      </c>
      <c r="J103" s="600">
        <f>I103</f>
        <v>-990</v>
      </c>
      <c r="K103" s="600">
        <f>J103</f>
        <v>-990</v>
      </c>
    </row>
    <row r="104">
      <c r="A104" s="599" t="s">
        <v>91</v>
      </c>
      <c r="B104" s="532"/>
      <c r="C104" s="532"/>
      <c r="D104" s="555">
        <f>EEFF!D95</f>
        <v>-2378846</v>
      </c>
      <c r="E104" s="555">
        <f>EEFF!E95</f>
        <v>37941625</v>
      </c>
      <c r="F104" s="555">
        <f>EEFF!F95</f>
        <v>-4371652</v>
      </c>
      <c r="G104" s="609">
        <f>F104</f>
        <v>-4371652</v>
      </c>
      <c r="H104" s="600">
        <f>G104</f>
        <v>-4371652</v>
      </c>
      <c r="I104" s="600">
        <f>H104</f>
        <v>-4371652</v>
      </c>
      <c r="J104" s="600">
        <f>I104</f>
        <v>-4371652</v>
      </c>
      <c r="K104" s="600">
        <f>J104</f>
        <v>-4371652</v>
      </c>
    </row>
    <row r="105">
      <c r="A105" s="599" t="s">
        <v>92</v>
      </c>
      <c r="B105" s="532"/>
      <c r="C105" s="532"/>
      <c r="D105" s="555">
        <f>EEFF!D96</f>
        <v>-46661</v>
      </c>
      <c r="E105" s="555">
        <f>EEFF!E96</f>
        <v>4766651</v>
      </c>
      <c r="F105" s="555">
        <f>EEFF!F96</f>
        <v>-6189745</v>
      </c>
      <c r="G105" s="609">
        <f>F105</f>
        <v>-6189745</v>
      </c>
      <c r="H105" s="600">
        <f>G105</f>
        <v>-6189745</v>
      </c>
      <c r="I105" s="600">
        <f>H105</f>
        <v>-6189745</v>
      </c>
      <c r="J105" s="600">
        <f>I105</f>
        <v>-6189745</v>
      </c>
      <c r="K105" s="600">
        <f>J105</f>
        <v>-6189745</v>
      </c>
    </row>
    <row r="106">
      <c r="A106" s="599" t="s">
        <v>64</v>
      </c>
      <c r="B106" s="532"/>
      <c r="C106" s="532"/>
      <c r="D106" s="555">
        <f>EEFF!D97</f>
        <v>76131</v>
      </c>
      <c r="E106" s="555">
        <f>EEFF!E97</f>
        <v>132552</v>
      </c>
      <c r="F106" s="555">
        <f>EEFF!F97</f>
        <v>96823</v>
      </c>
      <c r="G106" s="609">
        <f>F106</f>
        <v>96823</v>
      </c>
      <c r="H106" s="600">
        <f>G106</f>
        <v>96823</v>
      </c>
      <c r="I106" s="600">
        <f>H106</f>
        <v>96823</v>
      </c>
      <c r="J106" s="600">
        <f>I106</f>
        <v>96823</v>
      </c>
      <c r="K106" s="600">
        <f>J106</f>
        <v>96823</v>
      </c>
    </row>
    <row r="107">
      <c r="A107" s="599" t="s">
        <v>70</v>
      </c>
      <c r="B107" s="532"/>
      <c r="C107" s="532"/>
      <c r="D107" s="555">
        <f>EEFF!D98</f>
        <v>0</v>
      </c>
      <c r="E107" s="555">
        <f>EEFF!E98</f>
        <v>65223</v>
      </c>
      <c r="F107" s="555">
        <f>EEFF!F98</f>
        <v>58883</v>
      </c>
      <c r="G107" s="609">
        <f>F107</f>
        <v>58883</v>
      </c>
      <c r="H107" s="600">
        <f>G107</f>
        <v>58883</v>
      </c>
      <c r="I107" s="600">
        <f>H107</f>
        <v>58883</v>
      </c>
      <c r="J107" s="600">
        <f>I107</f>
        <v>58883</v>
      </c>
      <c r="K107" s="600">
        <f>J107</f>
        <v>58883</v>
      </c>
    </row>
    <row r="108">
      <c r="A108" s="599" t="s">
        <v>93</v>
      </c>
      <c r="B108" s="532"/>
      <c r="C108" s="532"/>
      <c r="D108" s="555">
        <f>EEFF!D99</f>
        <v>0</v>
      </c>
      <c r="E108" s="555">
        <f>EEFF!E99</f>
        <v>0</v>
      </c>
      <c r="F108" s="555">
        <f>EEFF!F99</f>
        <v>-2881878</v>
      </c>
      <c r="G108" s="609">
        <f>F108</f>
        <v>-2881878</v>
      </c>
      <c r="H108" s="600">
        <f>G108</f>
        <v>-2881878</v>
      </c>
      <c r="I108" s="600">
        <f>H108</f>
        <v>-2881878</v>
      </c>
      <c r="J108" s="600">
        <f>I108</f>
        <v>-2881878</v>
      </c>
      <c r="K108" s="600">
        <f>J108</f>
        <v>-2881878</v>
      </c>
    </row>
    <row r="109">
      <c r="A109" s="543" t="s">
        <v>94</v>
      </c>
      <c r="B109" s="536"/>
      <c r="C109" s="536"/>
      <c r="D109" s="533">
        <f>EEFF!D100</f>
        <v>-2563038</v>
      </c>
      <c r="E109" s="533">
        <f>EEFF!E100</f>
        <v>4491228</v>
      </c>
      <c r="F109" s="533">
        <f>EEFF!F100</f>
        <v>75845798</v>
      </c>
      <c r="G109" s="548">
        <f>F109</f>
        <v>75845798</v>
      </c>
      <c r="H109" s="536">
        <f>G109</f>
        <v>75845798</v>
      </c>
      <c r="I109" s="536">
        <f>H109</f>
        <v>75845798</v>
      </c>
      <c r="J109" s="536">
        <f>I109</f>
        <v>75845798</v>
      </c>
      <c r="K109" s="536">
        <f>J109</f>
        <v>75845798</v>
      </c>
    </row>
    <row r="110">
      <c r="A110" s="534"/>
      <c r="B110" s="534"/>
      <c r="C110" s="534"/>
      <c r="D110" s="534"/>
      <c r="E110" s="534"/>
      <c r="F110" s="534"/>
      <c r="G110" s="544"/>
      <c r="H110" s="534"/>
      <c r="I110" s="534"/>
      <c r="J110" s="534"/>
      <c r="K110" s="534"/>
    </row>
    <row r="111">
      <c r="A111" s="553" t="s">
        <v>95</v>
      </c>
      <c r="B111" s="537"/>
      <c r="C111" s="537"/>
      <c r="D111" s="537"/>
      <c r="E111" s="537"/>
      <c r="F111" s="537"/>
      <c r="G111" s="539"/>
      <c r="H111" s="542"/>
      <c r="I111" s="542"/>
      <c r="J111" s="542"/>
      <c r="K111" s="542"/>
    </row>
    <row r="112">
      <c r="A112" s="599" t="s">
        <v>47</v>
      </c>
      <c r="B112" s="532"/>
      <c r="C112" s="532"/>
      <c r="D112" s="555">
        <f>EEFF!D102</f>
        <v>-256069301</v>
      </c>
      <c r="E112" s="555">
        <f>EEFF!E102</f>
        <v>-105937007</v>
      </c>
      <c r="F112" s="555">
        <f>EEFF!F102</f>
        <v>-47361449</v>
      </c>
      <c r="G112" s="609">
        <f>F112</f>
        <v>-47361449</v>
      </c>
      <c r="H112" s="600">
        <f>G112</f>
        <v>-47361449</v>
      </c>
      <c r="I112" s="600">
        <f>H112</f>
        <v>-47361449</v>
      </c>
      <c r="J112" s="600">
        <f>I112</f>
        <v>-47361449</v>
      </c>
      <c r="K112" s="600">
        <f>J112</f>
        <v>-47361449</v>
      </c>
    </row>
    <row r="113">
      <c r="A113" s="599" t="s">
        <v>46</v>
      </c>
      <c r="B113" s="532"/>
      <c r="C113" s="532"/>
      <c r="D113" s="555">
        <f>EEFF!D103</f>
        <v>0</v>
      </c>
      <c r="E113" s="555">
        <f>EEFF!E103</f>
        <v>-8223531</v>
      </c>
      <c r="F113" s="555">
        <f>EEFF!F103</f>
        <v>-4768660</v>
      </c>
      <c r="G113" s="609">
        <f>F113</f>
        <v>-4768660</v>
      </c>
      <c r="H113" s="600">
        <f>G113</f>
        <v>-4768660</v>
      </c>
      <c r="I113" s="600">
        <f>H113</f>
        <v>-4768660</v>
      </c>
      <c r="J113" s="600">
        <f>I113</f>
        <v>-4768660</v>
      </c>
      <c r="K113" s="600">
        <f>J113</f>
        <v>-4768660</v>
      </c>
    </row>
    <row r="114">
      <c r="A114" s="599" t="s">
        <v>96</v>
      </c>
      <c r="B114" s="532"/>
      <c r="C114" s="532"/>
      <c r="D114" s="555">
        <f>EEFF!D104</f>
        <v>-3854534</v>
      </c>
      <c r="E114" s="555">
        <f>EEFF!E104</f>
        <v>0</v>
      </c>
      <c r="F114" s="555">
        <f>EEFF!F104</f>
        <v>0</v>
      </c>
      <c r="G114" s="609">
        <f>F114</f>
        <v>0</v>
      </c>
      <c r="H114" s="600">
        <f>G114</f>
        <v>0</v>
      </c>
      <c r="I114" s="600">
        <f>H114</f>
        <v>0</v>
      </c>
      <c r="J114" s="600">
        <f>I114</f>
        <v>0</v>
      </c>
      <c r="K114" s="600">
        <f>J114</f>
        <v>0</v>
      </c>
    </row>
    <row r="115">
      <c r="A115" s="599" t="s">
        <v>39</v>
      </c>
      <c r="B115" s="532"/>
      <c r="C115" s="532"/>
      <c r="D115" s="555">
        <f>EEFF!D105</f>
        <v>3634624</v>
      </c>
      <c r="E115" s="555">
        <f>EEFF!E105</f>
        <v>-61859714</v>
      </c>
      <c r="F115" s="555">
        <f>EEFF!F105</f>
        <v>46283136</v>
      </c>
      <c r="G115" s="609">
        <f>F115</f>
        <v>46283136</v>
      </c>
      <c r="H115" s="600">
        <f>G115</f>
        <v>46283136</v>
      </c>
      <c r="I115" s="600">
        <f>H115</f>
        <v>46283136</v>
      </c>
      <c r="J115" s="600">
        <f>I115</f>
        <v>46283136</v>
      </c>
      <c r="K115" s="600">
        <f>J115</f>
        <v>46283136</v>
      </c>
    </row>
    <row r="116">
      <c r="A116" s="599" t="s">
        <v>97</v>
      </c>
      <c r="B116" s="532"/>
      <c r="C116" s="532"/>
      <c r="D116" s="555">
        <f>EEFF!D106</f>
        <v>-60000000</v>
      </c>
      <c r="E116" s="555">
        <f>EEFF!E106</f>
        <v>0</v>
      </c>
      <c r="F116" s="555">
        <f>EEFF!F106</f>
        <v>-20020000</v>
      </c>
      <c r="G116" s="609">
        <f>F116</f>
        <v>-20020000</v>
      </c>
      <c r="H116" s="600">
        <f>G116</f>
        <v>-20020000</v>
      </c>
      <c r="I116" s="600">
        <f>H116</f>
        <v>-20020000</v>
      </c>
      <c r="J116" s="600">
        <f>I116</f>
        <v>-20020000</v>
      </c>
      <c r="K116" s="600">
        <f>J116</f>
        <v>-20020000</v>
      </c>
    </row>
    <row r="117">
      <c r="A117" s="543" t="s">
        <v>98</v>
      </c>
      <c r="B117" s="536"/>
      <c r="C117" s="536"/>
      <c r="D117" s="533">
        <f>EEFF!D107</f>
        <v>-316289211</v>
      </c>
      <c r="E117" s="533">
        <f>EEFF!E107</f>
        <v>-176020252</v>
      </c>
      <c r="F117" s="533">
        <f>EEFF!F107</f>
        <v>-25866973</v>
      </c>
      <c r="G117" s="548">
        <f>F117</f>
        <v>-25866973</v>
      </c>
      <c r="H117" s="536">
        <f>G117</f>
        <v>-25866973</v>
      </c>
      <c r="I117" s="536">
        <f>H117</f>
        <v>-25866973</v>
      </c>
      <c r="J117" s="536">
        <f>I117</f>
        <v>-25866973</v>
      </c>
      <c r="K117" s="536">
        <f>J117</f>
        <v>-25866973</v>
      </c>
    </row>
    <row r="118">
      <c r="A118" s="534"/>
      <c r="B118" s="534"/>
      <c r="C118" s="534"/>
      <c r="D118" s="534"/>
      <c r="E118" s="534"/>
      <c r="F118" s="534"/>
      <c r="G118" s="544"/>
      <c r="H118" s="534"/>
      <c r="I118" s="534"/>
      <c r="J118" s="534"/>
      <c r="K118" s="534"/>
    </row>
    <row r="119">
      <c r="A119" s="553" t="s">
        <v>99</v>
      </c>
      <c r="B119" s="537"/>
      <c r="C119" s="537"/>
      <c r="D119" s="537"/>
      <c r="E119" s="537"/>
      <c r="F119" s="537"/>
      <c r="G119" s="539"/>
      <c r="H119" s="542"/>
      <c r="I119" s="542"/>
      <c r="J119" s="542"/>
      <c r="K119" s="542"/>
    </row>
    <row r="120">
      <c r="A120" s="599" t="s">
        <v>100</v>
      </c>
      <c r="B120" s="532"/>
      <c r="C120" s="532"/>
      <c r="D120" s="555">
        <f>EEFF!D109</f>
        <v>60175641</v>
      </c>
      <c r="E120" s="555">
        <f>EEFF!E109</f>
        <v>130265690</v>
      </c>
      <c r="F120" s="555">
        <f>EEFF!F109</f>
        <v>0</v>
      </c>
      <c r="G120" s="609">
        <f>F120</f>
        <v>0</v>
      </c>
      <c r="H120" s="600">
        <f>G120</f>
        <v>0</v>
      </c>
      <c r="I120" s="600">
        <f>H120</f>
        <v>0</v>
      </c>
      <c r="J120" s="600">
        <f>I120</f>
        <v>0</v>
      </c>
      <c r="K120" s="600">
        <f>J120</f>
        <v>0</v>
      </c>
    </row>
    <row r="121">
      <c r="A121" s="599" t="s">
        <v>101</v>
      </c>
      <c r="B121" s="532"/>
      <c r="C121" s="532"/>
      <c r="D121" s="555">
        <f>EEFF!D110</f>
        <v>0</v>
      </c>
      <c r="E121" s="555">
        <f>EEFF!E110</f>
        <v>0</v>
      </c>
      <c r="F121" s="555">
        <f>EEFF!F110</f>
        <v>-93545034</v>
      </c>
      <c r="G121" s="609">
        <f>F121</f>
        <v>-93545034</v>
      </c>
      <c r="H121" s="600">
        <f>G121</f>
        <v>-93545034</v>
      </c>
      <c r="I121" s="600">
        <f>H121</f>
        <v>-93545034</v>
      </c>
      <c r="J121" s="600">
        <f>I121</f>
        <v>-93545034</v>
      </c>
      <c r="K121" s="600">
        <f>J121</f>
        <v>-93545034</v>
      </c>
    </row>
    <row r="122">
      <c r="A122" s="599" t="s">
        <v>102</v>
      </c>
      <c r="B122" s="532"/>
      <c r="C122" s="532"/>
      <c r="D122" s="555">
        <f>EEFF!D111</f>
        <v>307000000</v>
      </c>
      <c r="E122" s="555">
        <f>EEFF!E111</f>
        <v>144140000</v>
      </c>
      <c r="F122" s="555">
        <f>EEFF!F111</f>
        <v>132000000</v>
      </c>
      <c r="G122" s="609">
        <f>F122</f>
        <v>132000000</v>
      </c>
      <c r="H122" s="600">
        <f>G122</f>
        <v>132000000</v>
      </c>
      <c r="I122" s="600">
        <f>H122</f>
        <v>132000000</v>
      </c>
      <c r="J122" s="600">
        <f>I122</f>
        <v>132000000</v>
      </c>
      <c r="K122" s="600">
        <f>J122</f>
        <v>132000000</v>
      </c>
    </row>
    <row r="123">
      <c r="A123" s="599" t="s">
        <v>103</v>
      </c>
      <c r="B123" s="532"/>
      <c r="C123" s="532"/>
      <c r="D123" s="555">
        <f>EEFF!D112</f>
        <v>-4599739</v>
      </c>
      <c r="E123" s="555">
        <f>EEFF!E112</f>
        <v>-3941914</v>
      </c>
      <c r="F123" s="555">
        <f>EEFF!F112</f>
        <v>-1429677</v>
      </c>
      <c r="G123" s="609">
        <f>F123</f>
        <v>-1429677</v>
      </c>
      <c r="H123" s="600">
        <f>G123</f>
        <v>-1429677</v>
      </c>
      <c r="I123" s="600">
        <f>H123</f>
        <v>-1429677</v>
      </c>
      <c r="J123" s="600">
        <f>I123</f>
        <v>-1429677</v>
      </c>
      <c r="K123" s="600">
        <f>J123</f>
        <v>-1429677</v>
      </c>
    </row>
    <row r="124">
      <c r="A124" s="599" t="s">
        <v>104</v>
      </c>
      <c r="B124" s="532"/>
      <c r="C124" s="532"/>
      <c r="D124" s="555">
        <f>EEFF!D113</f>
        <v>0</v>
      </c>
      <c r="E124" s="555">
        <f>EEFF!E113</f>
        <v>0</v>
      </c>
      <c r="F124" s="555">
        <f>EEFF!F113</f>
        <v>-29815075</v>
      </c>
      <c r="G124" s="609">
        <f>F124</f>
        <v>-29815075</v>
      </c>
      <c r="H124" s="600">
        <f>G124</f>
        <v>-29815075</v>
      </c>
      <c r="I124" s="600">
        <f>H124</f>
        <v>-29815075</v>
      </c>
      <c r="J124" s="600">
        <f>I124</f>
        <v>-29815075</v>
      </c>
      <c r="K124" s="600">
        <f>J124</f>
        <v>-29815075</v>
      </c>
    </row>
    <row r="125">
      <c r="A125" s="599" t="s">
        <v>105</v>
      </c>
      <c r="B125" s="532"/>
      <c r="C125" s="532"/>
      <c r="D125" s="555">
        <f>EEFF!D114</f>
        <v>-42894201</v>
      </c>
      <c r="E125" s="555">
        <f>EEFF!E114</f>
        <v>-63544093</v>
      </c>
      <c r="F125" s="555">
        <f>EEFF!F114</f>
        <v>-58089236</v>
      </c>
      <c r="G125" s="609">
        <f>F125</f>
        <v>-58089236</v>
      </c>
      <c r="H125" s="600">
        <f>G125</f>
        <v>-58089236</v>
      </c>
      <c r="I125" s="600">
        <f>H125</f>
        <v>-58089236</v>
      </c>
      <c r="J125" s="600">
        <f>I125</f>
        <v>-58089236</v>
      </c>
      <c r="K125" s="600">
        <f>J125</f>
        <v>-58089236</v>
      </c>
    </row>
    <row r="126">
      <c r="A126" s="599" t="s">
        <v>106</v>
      </c>
      <c r="B126" s="532"/>
      <c r="C126" s="532"/>
      <c r="D126" s="555">
        <f>EEFF!D115</f>
        <v>-818684</v>
      </c>
      <c r="E126" s="555">
        <f>EEFF!E115</f>
        <v>-430233</v>
      </c>
      <c r="F126" s="555">
        <f>EEFF!F115</f>
        <v>-663408</v>
      </c>
      <c r="G126" s="609">
        <f>F126</f>
        <v>-663408</v>
      </c>
      <c r="H126" s="600">
        <f>G126</f>
        <v>-663408</v>
      </c>
      <c r="I126" s="600">
        <f>H126</f>
        <v>-663408</v>
      </c>
      <c r="J126" s="600">
        <f>I126</f>
        <v>-663408</v>
      </c>
      <c r="K126" s="600">
        <f>J126</f>
        <v>-663408</v>
      </c>
    </row>
    <row r="127">
      <c r="A127" s="543" t="s">
        <v>107</v>
      </c>
      <c r="B127" s="536"/>
      <c r="C127" s="536"/>
      <c r="D127" s="533">
        <f>EEFF!D116</f>
        <v>318863017</v>
      </c>
      <c r="E127" s="533">
        <f>EEFF!E116</f>
        <v>206489450</v>
      </c>
      <c r="F127" s="533">
        <f>EEFF!F116</f>
        <v>-51542430</v>
      </c>
      <c r="G127" s="548">
        <f>F127</f>
        <v>-51542430</v>
      </c>
      <c r="H127" s="536">
        <f>G127</f>
        <v>-51542430</v>
      </c>
      <c r="I127" s="536">
        <f>H127</f>
        <v>-51542430</v>
      </c>
      <c r="J127" s="536">
        <f>I127</f>
        <v>-51542430</v>
      </c>
      <c r="K127" s="536">
        <f>J127</f>
        <v>-51542430</v>
      </c>
    </row>
    <row r="128">
      <c r="A128" s="599" t="s">
        <v>108</v>
      </c>
      <c r="B128" s="532"/>
      <c r="C128" s="532"/>
      <c r="D128" s="555">
        <f>EEFF!D117</f>
        <v>10768</v>
      </c>
      <c r="E128" s="555">
        <f>EEFF!E117</f>
        <v>34960426</v>
      </c>
      <c r="F128" s="555">
        <f>EEFF!F117</f>
        <v>-1563605</v>
      </c>
      <c r="G128" s="609">
        <f>F128</f>
        <v>-1563605</v>
      </c>
      <c r="H128" s="600">
        <f>G128</f>
        <v>-1563605</v>
      </c>
      <c r="I128" s="600">
        <f>H128</f>
        <v>-1563605</v>
      </c>
      <c r="J128" s="600">
        <f>I128</f>
        <v>-1563605</v>
      </c>
      <c r="K128" s="600">
        <f>J128</f>
        <v>-1563605</v>
      </c>
    </row>
    <row r="129">
      <c r="A129" s="599" t="s">
        <v>109</v>
      </c>
      <c r="B129" s="532"/>
      <c r="C129" s="532"/>
      <c r="D129" s="555">
        <f>EEFF!D118</f>
        <v>719521</v>
      </c>
      <c r="E129" s="555">
        <f>EEFF!E118</f>
        <v>730289</v>
      </c>
      <c r="F129" s="555">
        <f>EEFF!F118</f>
        <v>35690715</v>
      </c>
      <c r="G129" s="609">
        <f>F129</f>
        <v>35690715</v>
      </c>
      <c r="H129" s="600">
        <f>G129</f>
        <v>35690715</v>
      </c>
      <c r="I129" s="600">
        <f>H129</f>
        <v>35690715</v>
      </c>
      <c r="J129" s="600">
        <f>I129</f>
        <v>35690715</v>
      </c>
      <c r="K129" s="600">
        <f>J129</f>
        <v>35690715</v>
      </c>
    </row>
    <row r="130">
      <c r="A130" s="543" t="s">
        <v>110</v>
      </c>
      <c r="B130" s="536"/>
      <c r="C130" s="536"/>
      <c r="D130" s="533">
        <f>EEFF!D119</f>
        <v>730289</v>
      </c>
      <c r="E130" s="533">
        <f>EEFF!E119</f>
        <v>35690715</v>
      </c>
      <c r="F130" s="533">
        <f>EEFF!F119</f>
        <v>34127110</v>
      </c>
      <c r="G130" s="548">
        <f>F130</f>
        <v>34127110</v>
      </c>
      <c r="H130" s="536">
        <f>G130</f>
        <v>34127110</v>
      </c>
      <c r="I130" s="536">
        <f>H130</f>
        <v>34127110</v>
      </c>
      <c r="J130" s="536">
        <f>I130</f>
        <v>34127110</v>
      </c>
      <c r="K130" s="536">
        <f>J130</f>
        <v>34127110</v>
      </c>
    </row>
    <row r="131">
      <c r="A131" s="534"/>
      <c r="B131" s="534"/>
      <c r="C131" s="534"/>
      <c r="D131" s="534"/>
      <c r="E131" s="534"/>
      <c r="F131" s="534"/>
      <c r="G131" s="544"/>
      <c r="H131" s="534"/>
      <c r="I131" s="534"/>
      <c r="J131" s="534"/>
      <c r="K131" s="534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33"/>
  <sheetViews>
    <sheetView showGridLines="0" workbookViewId="0"/>
  </sheetViews>
  <sheetFormatPr defaultColWidth="8.375" defaultRowHeight="15"/>
  <cols>
    <col min="1" max="1" width="23.125" customWidth="1"/>
    <col min="2" max="2" width="64.375" customWidth="1"/>
    <col min="3" max="3" width="18.125" customWidth="1"/>
    <col min="4" max="4" width="10.625" customWidth="1"/>
    <col min="5" max="5" width="14.375" customWidth="1"/>
    <col min="6" max="6" width="19.375" customWidth="1"/>
    <col min="7" max="7" width="64.375" customWidth="1"/>
    <col min="8" max="17" width="15.625" customWidth="1"/>
  </cols>
  <sheetData>
    <row r="1">
      <c r="A1" s="553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0"/>
      <c r="N1" s="550"/>
      <c r="O1" s="550"/>
      <c r="P1" s="550"/>
      <c r="Q1" s="550"/>
    </row>
    <row r="2">
      <c r="A2" s="562" t="s">
        <v>170</v>
      </c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</row>
    <row r="3">
      <c r="A3" s="562" t="s">
        <v>171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  <c r="N3" s="552"/>
      <c r="O3" s="552"/>
      <c r="P3" s="552"/>
      <c r="Q3" s="552"/>
    </row>
    <row r="4">
      <c r="A4" s="561" t="s">
        <v>172</v>
      </c>
      <c r="B4" s="561" t="s">
        <v>173</v>
      </c>
      <c r="C4" s="563" t="str">
        <f>IF(COUNTIF($C$6:$C$33,"FAIL")=0,"PASS","FAIL")</f>
        <v>PASS</v>
      </c>
      <c r="D4" s="552"/>
      <c r="E4" s="552"/>
      <c r="F4" s="552"/>
      <c r="G4" s="562" t="s">
        <v>174</v>
      </c>
      <c r="H4" s="552"/>
      <c r="I4" s="552"/>
      <c r="J4" s="552"/>
      <c r="K4" s="552"/>
      <c r="L4" s="552"/>
      <c r="M4" s="552"/>
      <c r="N4" s="552"/>
      <c r="O4" s="552"/>
      <c r="P4" s="552"/>
      <c r="Q4" s="552"/>
    </row>
    <row r="5">
      <c r="A5" s="553" t="s">
        <v>175</v>
      </c>
      <c r="B5" s="553" t="s">
        <v>176</v>
      </c>
      <c r="C5" s="553" t="s">
        <v>177</v>
      </c>
      <c r="D5" s="553" t="s">
        <v>178</v>
      </c>
      <c r="E5" s="553" t="s">
        <v>179</v>
      </c>
      <c r="F5" s="553" t="s">
        <v>180</v>
      </c>
      <c r="G5" s="553" t="s">
        <v>181</v>
      </c>
      <c r="H5" s="553" t="s">
        <v>4</v>
      </c>
      <c r="I5" s="553" t="s">
        <v>5</v>
      </c>
      <c r="J5" s="553" t="s">
        <v>6</v>
      </c>
      <c r="K5" s="553" t="s">
        <v>7</v>
      </c>
      <c r="L5" s="553" t="s">
        <v>8</v>
      </c>
      <c r="M5" s="558" t="s">
        <v>9</v>
      </c>
      <c r="N5" s="558" t="s">
        <v>10</v>
      </c>
      <c r="O5" s="558" t="s">
        <v>11</v>
      </c>
      <c r="P5" s="558" t="s">
        <v>12</v>
      </c>
      <c r="Q5" s="558" t="s">
        <v>13</v>
      </c>
    </row>
    <row r="6">
      <c r="A6" s="552"/>
      <c r="B6" s="552"/>
      <c r="C6" s="552"/>
      <c r="D6" s="552"/>
      <c r="E6" s="552"/>
      <c r="F6" s="552"/>
      <c r="G6" s="552"/>
      <c r="H6" s="552"/>
      <c r="I6" s="552"/>
      <c r="J6" s="552"/>
      <c r="K6" s="552"/>
      <c r="L6" s="552"/>
      <c r="M6" s="552"/>
      <c r="N6" s="552"/>
      <c r="O6" s="552"/>
      <c r="P6" s="552"/>
      <c r="Q6" s="552"/>
    </row>
    <row r="7">
      <c r="A7" s="553" t="s">
        <v>182</v>
      </c>
      <c r="B7" s="553"/>
      <c r="C7" s="553"/>
      <c r="D7" s="553"/>
      <c r="E7" s="553"/>
      <c r="F7" s="553"/>
      <c r="G7" s="553"/>
      <c r="H7" s="553"/>
      <c r="I7" s="553"/>
      <c r="J7" s="553"/>
      <c r="K7" s="553"/>
      <c r="L7" s="553"/>
      <c r="M7" s="550"/>
      <c r="N7" s="550"/>
      <c r="O7" s="550"/>
      <c r="P7" s="550"/>
      <c r="Q7" s="550"/>
    </row>
    <row r="8">
      <c r="A8" s="599" t="s">
        <v>183</v>
      </c>
      <c r="B8" s="599" t="s">
        <v>184</v>
      </c>
      <c r="C8" s="556" t="str">
        <f>IF(SUMPRODUCT((ABS(H8:Q8)&gt;1000)*1)=0,"PASS","FAIL")</f>
        <v>PASS</v>
      </c>
      <c r="D8" s="599" t="s">
        <v>185</v>
      </c>
      <c r="E8" s="599" t="s">
        <v>186</v>
      </c>
      <c r="F8" s="599">
        <v>0</v>
      </c>
      <c r="G8" s="599" t="s">
        <v>187</v>
      </c>
      <c r="H8" s="555">
        <f>ModeloFinanciero!B53-ModeloFinanciero!B79</f>
        <v>0</v>
      </c>
      <c r="I8" s="555">
        <f>ModeloFinanciero!C53-ModeloFinanciero!C79</f>
        <v>0</v>
      </c>
      <c r="J8" s="555">
        <f>ModeloFinanciero!D53-ModeloFinanciero!D79</f>
        <v>0</v>
      </c>
      <c r="K8" s="555">
        <f>ModeloFinanciero!E53-ModeloFinanciero!E79</f>
        <v>0</v>
      </c>
      <c r="L8" s="555">
        <f>ModeloFinanciero!F53-ModeloFinanciero!F79</f>
        <v>0</v>
      </c>
      <c r="M8" s="559">
        <f>ModeloFinanciero!G53-ModeloFinanciero!G79</f>
        <v>0</v>
      </c>
      <c r="N8" s="555">
        <f>ModeloFinanciero!H53-ModeloFinanciero!H79</f>
        <v>0</v>
      </c>
      <c r="O8" s="555">
        <f>ModeloFinanciero!I53-ModeloFinanciero!I79</f>
        <v>0</v>
      </c>
      <c r="P8" s="555">
        <f>ModeloFinanciero!J53-ModeloFinanciero!J79</f>
        <v>0</v>
      </c>
      <c r="Q8" s="555">
        <f>ModeloFinanciero!K53-ModeloFinanciero!K79</f>
        <v>0</v>
      </c>
    </row>
    <row r="9">
      <c r="A9" s="599" t="s">
        <v>188</v>
      </c>
      <c r="B9" s="599" t="s">
        <v>189</v>
      </c>
      <c r="C9" s="556" t="s">
        <v>190</v>
      </c>
      <c r="D9" s="599" t="s">
        <v>185</v>
      </c>
      <c r="E9" s="599" t="s">
        <v>186</v>
      </c>
      <c r="F9" s="599">
        <v>0</v>
      </c>
      <c r="G9" s="599" t="s">
        <v>191</v>
      </c>
      <c r="H9" s="600">
        <f>0</f>
        <v>0</v>
      </c>
      <c r="I9" s="600">
        <f>0</f>
        <v>0</v>
      </c>
      <c r="J9" s="600">
        <f>0</f>
        <v>0</v>
      </c>
      <c r="K9" s="600">
        <f>0</f>
        <v>0</v>
      </c>
      <c r="L9" s="600">
        <f>0</f>
        <v>0</v>
      </c>
      <c r="M9" s="609">
        <f>0</f>
        <v>0</v>
      </c>
      <c r="N9" s="600">
        <f>0</f>
        <v>0</v>
      </c>
      <c r="O9" s="600">
        <f>0</f>
        <v>0</v>
      </c>
      <c r="P9" s="600">
        <f>0</f>
        <v>0</v>
      </c>
      <c r="Q9" s="600">
        <f>0</f>
        <v>0</v>
      </c>
    </row>
    <row r="10">
      <c r="A10" s="599" t="s">
        <v>192</v>
      </c>
      <c r="B10" s="599" t="s">
        <v>193</v>
      </c>
      <c r="C10" s="556" t="str">
        <f>IF(SUMPRODUCT((ABS(H10:Q10)&gt;1000)*1)=0,"PASS","FAIL")</f>
        <v>PASS</v>
      </c>
      <c r="D10" s="599" t="s">
        <v>185</v>
      </c>
      <c r="E10" s="599" t="s">
        <v>186</v>
      </c>
      <c r="F10" s="599">
        <v>0</v>
      </c>
      <c r="G10" s="599" t="s">
        <v>194</v>
      </c>
      <c r="H10" s="555">
        <f>ModeloFinanciero!B109+ModeloFinanciero!B117+ModeloFinanciero!B127-ModeloFinanciero!B128</f>
        <v>0</v>
      </c>
      <c r="I10" s="555">
        <f>ModeloFinanciero!C109+ModeloFinanciero!C117+ModeloFinanciero!C127-ModeloFinanciero!C128</f>
        <v>0</v>
      </c>
      <c r="J10" s="555">
        <f>ModeloFinanciero!D109+ModeloFinanciero!D117+ModeloFinanciero!D127-ModeloFinanciero!D128</f>
        <v>0</v>
      </c>
      <c r="K10" s="555">
        <f>ModeloFinanciero!E109+ModeloFinanciero!E117+ModeloFinanciero!E127-ModeloFinanciero!E128</f>
        <v>0</v>
      </c>
      <c r="L10" s="555">
        <f>ModeloFinanciero!F109+ModeloFinanciero!F117+ModeloFinanciero!F127-ModeloFinanciero!F128</f>
        <v>0</v>
      </c>
      <c r="M10" s="559">
        <f>ModeloFinanciero!G109+ModeloFinanciero!G117+ModeloFinanciero!G127-ModeloFinanciero!G128</f>
        <v>0</v>
      </c>
      <c r="N10" s="555">
        <f>ModeloFinanciero!H109+ModeloFinanciero!H117+ModeloFinanciero!H127-ModeloFinanciero!H128</f>
        <v>0</v>
      </c>
      <c r="O10" s="555">
        <f>ModeloFinanciero!I109+ModeloFinanciero!I117+ModeloFinanciero!I127-ModeloFinanciero!I128</f>
        <v>0</v>
      </c>
      <c r="P10" s="555">
        <f>ModeloFinanciero!J109+ModeloFinanciero!J117+ModeloFinanciero!J127-ModeloFinanciero!J128</f>
        <v>0</v>
      </c>
      <c r="Q10" s="555">
        <f>ModeloFinanciero!K109+ModeloFinanciero!K117+ModeloFinanciero!K127-ModeloFinanciero!K128</f>
        <v>0</v>
      </c>
    </row>
    <row r="11">
      <c r="A11" s="599" t="s">
        <v>195</v>
      </c>
      <c r="B11" s="599" t="s">
        <v>196</v>
      </c>
      <c r="C11" s="556" t="s">
        <v>190</v>
      </c>
      <c r="D11" s="599" t="s">
        <v>185</v>
      </c>
      <c r="E11" s="599" t="s">
        <v>186</v>
      </c>
      <c r="F11" s="599">
        <v>0</v>
      </c>
      <c r="G11" s="599" t="s">
        <v>197</v>
      </c>
      <c r="H11" s="600">
        <f>0</f>
        <v>0</v>
      </c>
      <c r="I11" s="600">
        <f>0</f>
        <v>0</v>
      </c>
      <c r="J11" s="600">
        <f>0</f>
        <v>0</v>
      </c>
      <c r="K11" s="600">
        <f>0</f>
        <v>0</v>
      </c>
      <c r="L11" s="600">
        <f>0</f>
        <v>0</v>
      </c>
      <c r="M11" s="609">
        <f>0</f>
        <v>0</v>
      </c>
      <c r="N11" s="600">
        <f>0</f>
        <v>0</v>
      </c>
      <c r="O11" s="600">
        <f>0</f>
        <v>0</v>
      </c>
      <c r="P11" s="600">
        <f>0</f>
        <v>0</v>
      </c>
      <c r="Q11" s="600">
        <f>0</f>
        <v>0</v>
      </c>
    </row>
    <row r="12">
      <c r="A12" s="599" t="s">
        <v>198</v>
      </c>
      <c r="B12" s="599" t="s">
        <v>199</v>
      </c>
      <c r="C12" s="556" t="s">
        <v>190</v>
      </c>
      <c r="D12" s="599" t="s">
        <v>185</v>
      </c>
      <c r="E12" s="599" t="s">
        <v>186</v>
      </c>
      <c r="F12" s="599">
        <v>0</v>
      </c>
      <c r="G12" s="599" t="s">
        <v>200</v>
      </c>
      <c r="H12" s="600">
        <f>0</f>
        <v>0</v>
      </c>
      <c r="I12" s="600">
        <f>0</f>
        <v>0</v>
      </c>
      <c r="J12" s="600">
        <f>0</f>
        <v>0</v>
      </c>
      <c r="K12" s="600">
        <f>0</f>
        <v>0</v>
      </c>
      <c r="L12" s="600">
        <f>0</f>
        <v>0</v>
      </c>
      <c r="M12" s="609">
        <f>0</f>
        <v>0</v>
      </c>
      <c r="N12" s="600">
        <f>0</f>
        <v>0</v>
      </c>
      <c r="O12" s="600">
        <f>0</f>
        <v>0</v>
      </c>
      <c r="P12" s="600">
        <f>0</f>
        <v>0</v>
      </c>
      <c r="Q12" s="600">
        <f>0</f>
        <v>0</v>
      </c>
    </row>
    <row r="13">
      <c r="A13" s="599" t="s">
        <v>201</v>
      </c>
      <c r="B13" s="599" t="s">
        <v>202</v>
      </c>
      <c r="C13" s="556" t="s">
        <v>190</v>
      </c>
      <c r="D13" s="599" t="s">
        <v>185</v>
      </c>
      <c r="E13" s="599" t="s">
        <v>186</v>
      </c>
      <c r="F13" s="599">
        <v>0</v>
      </c>
      <c r="G13" s="599" t="s">
        <v>203</v>
      </c>
      <c r="H13" s="600">
        <f>0</f>
        <v>0</v>
      </c>
      <c r="I13" s="600">
        <f>0</f>
        <v>0</v>
      </c>
      <c r="J13" s="600">
        <f>0</f>
        <v>0</v>
      </c>
      <c r="K13" s="600">
        <f>0</f>
        <v>0</v>
      </c>
      <c r="L13" s="600">
        <f>0</f>
        <v>0</v>
      </c>
      <c r="M13" s="609">
        <f>0</f>
        <v>0</v>
      </c>
      <c r="N13" s="600">
        <f>0</f>
        <v>0</v>
      </c>
      <c r="O13" s="600">
        <f>0</f>
        <v>0</v>
      </c>
      <c r="P13" s="600">
        <f>0</f>
        <v>0</v>
      </c>
      <c r="Q13" s="600">
        <f>0</f>
        <v>0</v>
      </c>
    </row>
    <row r="14">
      <c r="A14" s="599" t="s">
        <v>204</v>
      </c>
      <c r="B14" s="599" t="s">
        <v>196</v>
      </c>
      <c r="C14" s="556" t="str">
        <f>IF(SUMPRODUCT((ABS(H14:Q14)&gt;1000)*1)=0,"PASS","FAIL")</f>
        <v>PASS</v>
      </c>
      <c r="D14" s="599" t="s">
        <v>185</v>
      </c>
      <c r="E14" s="599" t="s">
        <v>186</v>
      </c>
      <c r="F14" s="599">
        <v>0</v>
      </c>
      <c r="G14" s="599" t="s">
        <v>205</v>
      </c>
      <c r="H14" s="555">
        <f>SUM(ModeloFinanciero!B75,ModeloFinanciero!B76,ModeloFinanciero!B77)-ModeloFinanciero!B78</f>
        <v>0</v>
      </c>
      <c r="I14" s="555">
        <f>SUM(ModeloFinanciero!C75,ModeloFinanciero!C76,ModeloFinanciero!C77)-ModeloFinanciero!C78</f>
        <v>0</v>
      </c>
      <c r="J14" s="555">
        <f>SUM(ModeloFinanciero!D75,ModeloFinanciero!D76,ModeloFinanciero!D77)-ModeloFinanciero!D78</f>
        <v>0</v>
      </c>
      <c r="K14" s="555">
        <f>SUM(ModeloFinanciero!E75,ModeloFinanciero!E76,ModeloFinanciero!E77)-ModeloFinanciero!E78</f>
        <v>0</v>
      </c>
      <c r="L14" s="555">
        <f>SUM(ModeloFinanciero!F75,ModeloFinanciero!F76,ModeloFinanciero!F77)-ModeloFinanciero!F78</f>
        <v>0</v>
      </c>
      <c r="M14" s="559">
        <f>SUM(ModeloFinanciero!G75,ModeloFinanciero!G76,ModeloFinanciero!G77)-ModeloFinanciero!G78</f>
        <v>0</v>
      </c>
      <c r="N14" s="555">
        <f>SUM(ModeloFinanciero!H75,ModeloFinanciero!H76,ModeloFinanciero!H77)-ModeloFinanciero!H78</f>
        <v>0</v>
      </c>
      <c r="O14" s="555">
        <f>SUM(ModeloFinanciero!I75,ModeloFinanciero!I76,ModeloFinanciero!I77)-ModeloFinanciero!I78</f>
        <v>0</v>
      </c>
      <c r="P14" s="555">
        <f>SUM(ModeloFinanciero!J75,ModeloFinanciero!J76,ModeloFinanciero!J77)-ModeloFinanciero!J78</f>
        <v>0</v>
      </c>
      <c r="Q14" s="555">
        <f>SUM(ModeloFinanciero!K75,ModeloFinanciero!K76,ModeloFinanciero!K77)-ModeloFinanciero!K78</f>
        <v>0</v>
      </c>
    </row>
    <row r="15">
      <c r="A15" s="599" t="s">
        <v>206</v>
      </c>
      <c r="B15" s="599" t="s">
        <v>196</v>
      </c>
      <c r="C15" s="556" t="str">
        <f>IF(SUMPRODUCT((ABS(H15:Q15)&gt;1000)*1)=0,"PASS","FAIL")</f>
        <v>PASS</v>
      </c>
      <c r="D15" s="599" t="s">
        <v>185</v>
      </c>
      <c r="E15" s="599" t="s">
        <v>186</v>
      </c>
      <c r="F15" s="599">
        <v>0</v>
      </c>
      <c r="G15" s="599" t="s">
        <v>205</v>
      </c>
      <c r="H15" s="555">
        <f>SUM(ModeloFinanciero!B41,ModeloFinanciero!B52)-ModeloFinanciero!B53</f>
        <v>0</v>
      </c>
      <c r="I15" s="555">
        <f>SUM(ModeloFinanciero!C41,ModeloFinanciero!C52)-ModeloFinanciero!C53</f>
        <v>0</v>
      </c>
      <c r="J15" s="555">
        <f>SUM(ModeloFinanciero!D41,ModeloFinanciero!D52)-ModeloFinanciero!D53</f>
        <v>0</v>
      </c>
      <c r="K15" s="555">
        <f>SUM(ModeloFinanciero!E41,ModeloFinanciero!E52)-ModeloFinanciero!E53</f>
        <v>0</v>
      </c>
      <c r="L15" s="555">
        <f>SUM(ModeloFinanciero!F41,ModeloFinanciero!F52)-ModeloFinanciero!F53</f>
        <v>0</v>
      </c>
      <c r="M15" s="559">
        <f>SUM(ModeloFinanciero!G41,ModeloFinanciero!G52)-ModeloFinanciero!G53</f>
        <v>0</v>
      </c>
      <c r="N15" s="555">
        <f>SUM(ModeloFinanciero!H41,ModeloFinanciero!H52)-ModeloFinanciero!H53</f>
        <v>0</v>
      </c>
      <c r="O15" s="555">
        <f>SUM(ModeloFinanciero!I41,ModeloFinanciero!I52)-ModeloFinanciero!I53</f>
        <v>0</v>
      </c>
      <c r="P15" s="555">
        <f>SUM(ModeloFinanciero!J41,ModeloFinanciero!J52)-ModeloFinanciero!J53</f>
        <v>0</v>
      </c>
      <c r="Q15" s="555">
        <f>SUM(ModeloFinanciero!K41,ModeloFinanciero!K52)-ModeloFinanciero!K53</f>
        <v>0</v>
      </c>
    </row>
    <row r="16">
      <c r="A16" s="599" t="s">
        <v>207</v>
      </c>
      <c r="B16" s="599" t="s">
        <v>196</v>
      </c>
      <c r="C16" s="556" t="str">
        <f>IF(SUMPRODUCT((ABS(H16:Q16)&gt;1000)*1)=0,"PASS","FAIL")</f>
        <v>PASS</v>
      </c>
      <c r="D16" s="599" t="s">
        <v>185</v>
      </c>
      <c r="E16" s="599" t="s">
        <v>186</v>
      </c>
      <c r="F16" s="599">
        <v>0</v>
      </c>
      <c r="G16" s="599" t="s">
        <v>205</v>
      </c>
      <c r="H16" s="555">
        <f>ModeloFinanciero!B72+ModeloFinanciero!B78-ModeloFinanciero!B79</f>
        <v>0</v>
      </c>
      <c r="I16" s="555">
        <f>ModeloFinanciero!C72+ModeloFinanciero!C78-ModeloFinanciero!C79</f>
        <v>0</v>
      </c>
      <c r="J16" s="555">
        <f>ModeloFinanciero!D72+ModeloFinanciero!D78-ModeloFinanciero!D79</f>
        <v>0</v>
      </c>
      <c r="K16" s="555">
        <f>ModeloFinanciero!E72+ModeloFinanciero!E78-ModeloFinanciero!E79</f>
        <v>0</v>
      </c>
      <c r="L16" s="555">
        <f>ModeloFinanciero!F72+ModeloFinanciero!F78-ModeloFinanciero!F79</f>
        <v>0</v>
      </c>
      <c r="M16" s="559">
        <f>ModeloFinanciero!G72+ModeloFinanciero!G78-ModeloFinanciero!G79</f>
        <v>0</v>
      </c>
      <c r="N16" s="555">
        <f>ModeloFinanciero!H72+ModeloFinanciero!H78-ModeloFinanciero!H79</f>
        <v>0</v>
      </c>
      <c r="O16" s="555">
        <f>ModeloFinanciero!I72+ModeloFinanciero!I78-ModeloFinanciero!I79</f>
        <v>0</v>
      </c>
      <c r="P16" s="555">
        <f>ModeloFinanciero!J72+ModeloFinanciero!J78-ModeloFinanciero!J79</f>
        <v>0</v>
      </c>
      <c r="Q16" s="555">
        <f>ModeloFinanciero!K72+ModeloFinanciero!K78-ModeloFinanciero!K79</f>
        <v>0</v>
      </c>
    </row>
    <row r="17">
      <c r="A17" s="599" t="s">
        <v>208</v>
      </c>
      <c r="B17" s="599" t="s">
        <v>209</v>
      </c>
      <c r="C17" s="556" t="str">
        <f>IF(SUMPRODUCT((ABS(H17:Q17)&gt;100000)*1)=0,"PASS","FAIL")</f>
        <v>PASS</v>
      </c>
      <c r="D17" s="599" t="s">
        <v>185</v>
      </c>
      <c r="E17" s="599" t="s">
        <v>210</v>
      </c>
      <c r="F17" s="599">
        <v>0</v>
      </c>
      <c r="G17" s="599" t="s">
        <v>211</v>
      </c>
      <c r="H17" s="555">
        <f>ModeloFinanciero!B53-EEFF!B49</f>
        <v>0</v>
      </c>
      <c r="I17" s="555">
        <f>ModeloFinanciero!C53-EEFF!C49</f>
        <v>0</v>
      </c>
      <c r="J17" s="555">
        <f>ModeloFinanciero!D53-EEFF!D49</f>
        <v>0</v>
      </c>
      <c r="K17" s="555">
        <f>ModeloFinanciero!E53-EEFF!E49</f>
        <v>0</v>
      </c>
      <c r="L17" s="555">
        <f>ModeloFinanciero!F53-EEFF!F49</f>
        <v>0</v>
      </c>
      <c r="M17" s="557"/>
      <c r="N17" s="551"/>
      <c r="O17" s="551"/>
      <c r="P17" s="551"/>
      <c r="Q17" s="551"/>
    </row>
    <row r="18">
      <c r="A18" s="599" t="s">
        <v>212</v>
      </c>
      <c r="B18" s="599" t="s">
        <v>213</v>
      </c>
      <c r="C18" s="556" t="str">
        <f>IF(SUMPRODUCT((ABS(H18:Q18)&gt;0)*1)=0,"PASS","FAIL")</f>
        <v>PASS</v>
      </c>
      <c r="D18" s="599" t="s">
        <v>185</v>
      </c>
      <c r="E18" s="599" t="s">
        <v>214</v>
      </c>
      <c r="F18" s="599" t="s">
        <v>214</v>
      </c>
      <c r="G18" s="599" t="s">
        <v>215</v>
      </c>
      <c r="H18" s="600">
        <f>0</f>
        <v>0</v>
      </c>
      <c r="I18" s="600">
        <f>0</f>
        <v>0</v>
      </c>
      <c r="J18" s="600">
        <f>0</f>
        <v>0</v>
      </c>
      <c r="K18" s="600">
        <f>0</f>
        <v>0</v>
      </c>
      <c r="L18" s="600">
        <f>0</f>
        <v>0</v>
      </c>
      <c r="M18" s="609">
        <f>0</f>
        <v>0</v>
      </c>
      <c r="N18" s="600">
        <f>0</f>
        <v>0</v>
      </c>
      <c r="O18" s="600">
        <f>0</f>
        <v>0</v>
      </c>
      <c r="P18" s="600">
        <f>0</f>
        <v>0</v>
      </c>
      <c r="Q18" s="600">
        <f>0</f>
        <v>0</v>
      </c>
    </row>
    <row r="19">
      <c r="A19" s="599" t="s">
        <v>216</v>
      </c>
      <c r="B19" s="599" t="s">
        <v>217</v>
      </c>
      <c r="C19" s="556" t="str">
        <f>IF(SUMPRODUCT((ABS(H19:Q19)&gt;0)*1)=0,"PASS","FAIL")</f>
        <v>PASS</v>
      </c>
      <c r="D19" s="599" t="s">
        <v>185</v>
      </c>
      <c r="E19" s="599" t="s">
        <v>214</v>
      </c>
      <c r="F19" s="599" t="s">
        <v>214</v>
      </c>
      <c r="G19" s="599" t="s">
        <v>218</v>
      </c>
      <c r="H19" s="600">
        <f>COUNTIF($C$6:$C$18,"FAIL")+COUNTIF($C$20:$C$33,"FAIL")</f>
        <v>0</v>
      </c>
      <c r="I19" s="600">
        <f>COUNTIF($C$6:$C$18,"FAIL")+COUNTIF($C$20:$C$33,"FAIL")</f>
        <v>0</v>
      </c>
      <c r="J19" s="600">
        <f>COUNTIF($C$6:$C$18,"FAIL")+COUNTIF($C$20:$C$33,"FAIL")</f>
        <v>0</v>
      </c>
      <c r="K19" s="600">
        <f>COUNTIF($C$6:$C$18,"FAIL")+COUNTIF($C$20:$C$33,"FAIL")</f>
        <v>0</v>
      </c>
      <c r="L19" s="600">
        <f>COUNTIF($C$6:$C$18,"FAIL")+COUNTIF($C$20:$C$33,"FAIL")</f>
        <v>0</v>
      </c>
      <c r="M19" s="609">
        <f>COUNTIF($C$6:$C$18,"FAIL")+COUNTIF($C$20:$C$33,"FAIL")</f>
        <v>0</v>
      </c>
      <c r="N19" s="600">
        <f>COUNTIF($C$6:$C$18,"FAIL")+COUNTIF($C$20:$C$33,"FAIL")</f>
        <v>0</v>
      </c>
      <c r="O19" s="600">
        <f>COUNTIF($C$6:$C$18,"FAIL")+COUNTIF($C$20:$C$33,"FAIL")</f>
        <v>0</v>
      </c>
      <c r="P19" s="600">
        <f>COUNTIF($C$6:$C$18,"FAIL")+COUNTIF($C$20:$C$33,"FAIL")</f>
        <v>0</v>
      </c>
      <c r="Q19" s="600">
        <f>COUNTIF($C$6:$C$18,"FAIL")+COUNTIF($C$20:$C$33,"FAIL")</f>
        <v>0</v>
      </c>
    </row>
    <row r="20">
      <c r="A20" s="552"/>
      <c r="B20" s="552"/>
      <c r="C20" s="552"/>
      <c r="D20" s="552"/>
      <c r="E20" s="552"/>
      <c r="F20" s="552"/>
      <c r="G20" s="552"/>
      <c r="H20" s="552"/>
      <c r="I20" s="552"/>
      <c r="J20" s="552"/>
      <c r="K20" s="552"/>
      <c r="L20" s="552"/>
      <c r="M20" s="552"/>
      <c r="N20" s="552"/>
      <c r="O20" s="552"/>
      <c r="P20" s="552"/>
      <c r="Q20" s="552"/>
    </row>
    <row r="21">
      <c r="A21" s="553" t="s">
        <v>219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0"/>
      <c r="N21" s="550"/>
      <c r="O21" s="550"/>
      <c r="P21" s="550"/>
      <c r="Q21" s="550"/>
    </row>
    <row r="22">
      <c r="A22" s="599" t="s">
        <v>220</v>
      </c>
      <c r="B22" s="599" t="s">
        <v>221</v>
      </c>
      <c r="C22" s="556" t="s">
        <v>190</v>
      </c>
      <c r="D22" s="599" t="s">
        <v>185</v>
      </c>
      <c r="E22" s="599" t="s">
        <v>186</v>
      </c>
      <c r="F22" s="599">
        <v>0</v>
      </c>
      <c r="G22" s="599" t="s">
        <v>222</v>
      </c>
      <c r="H22" s="600">
        <f>0</f>
        <v>0</v>
      </c>
      <c r="I22" s="600">
        <f>0</f>
        <v>0</v>
      </c>
      <c r="J22" s="600">
        <f>0</f>
        <v>0</v>
      </c>
      <c r="K22" s="600">
        <f>0</f>
        <v>0</v>
      </c>
      <c r="L22" s="600">
        <f>0</f>
        <v>0</v>
      </c>
      <c r="M22" s="609">
        <f>0</f>
        <v>0</v>
      </c>
      <c r="N22" s="600">
        <f>0</f>
        <v>0</v>
      </c>
      <c r="O22" s="600">
        <f>0</f>
        <v>0</v>
      </c>
      <c r="P22" s="600">
        <f>0</f>
        <v>0</v>
      </c>
      <c r="Q22" s="600">
        <f>0</f>
        <v>0</v>
      </c>
    </row>
    <row r="23">
      <c r="A23" s="599" t="s">
        <v>223</v>
      </c>
      <c r="B23" s="599" t="s">
        <v>224</v>
      </c>
      <c r="C23" s="556" t="s">
        <v>190</v>
      </c>
      <c r="D23" s="599" t="s">
        <v>185</v>
      </c>
      <c r="E23" s="599" t="s">
        <v>186</v>
      </c>
      <c r="F23" s="599">
        <v>0</v>
      </c>
      <c r="G23" s="599" t="s">
        <v>225</v>
      </c>
      <c r="H23" s="600">
        <f>0</f>
        <v>0</v>
      </c>
      <c r="I23" s="600">
        <f>0</f>
        <v>0</v>
      </c>
      <c r="J23" s="600">
        <f>0</f>
        <v>0</v>
      </c>
      <c r="K23" s="600">
        <f>0</f>
        <v>0</v>
      </c>
      <c r="L23" s="600">
        <f>0</f>
        <v>0</v>
      </c>
      <c r="M23" s="609">
        <f>0</f>
        <v>0</v>
      </c>
      <c r="N23" s="600">
        <f>0</f>
        <v>0</v>
      </c>
      <c r="O23" s="600">
        <f>0</f>
        <v>0</v>
      </c>
      <c r="P23" s="600">
        <f>0</f>
        <v>0</v>
      </c>
      <c r="Q23" s="600">
        <f>0</f>
        <v>0</v>
      </c>
    </row>
    <row r="24">
      <c r="A24" s="599" t="s">
        <v>226</v>
      </c>
      <c r="B24" s="599" t="s">
        <v>227</v>
      </c>
      <c r="C24" s="556" t="s">
        <v>190</v>
      </c>
      <c r="D24" s="599" t="s">
        <v>185</v>
      </c>
      <c r="E24" s="599" t="s">
        <v>186</v>
      </c>
      <c r="F24" s="599">
        <v>0</v>
      </c>
      <c r="G24" s="599" t="s">
        <v>228</v>
      </c>
      <c r="H24" s="600">
        <f>0</f>
        <v>0</v>
      </c>
      <c r="I24" s="600">
        <f>0</f>
        <v>0</v>
      </c>
      <c r="J24" s="600">
        <f>0</f>
        <v>0</v>
      </c>
      <c r="K24" s="600">
        <f>0</f>
        <v>0</v>
      </c>
      <c r="L24" s="600">
        <f>0</f>
        <v>0</v>
      </c>
      <c r="M24" s="609">
        <f>0</f>
        <v>0</v>
      </c>
      <c r="N24" s="600">
        <f>0</f>
        <v>0</v>
      </c>
      <c r="O24" s="600">
        <f>0</f>
        <v>0</v>
      </c>
      <c r="P24" s="600">
        <f>0</f>
        <v>0</v>
      </c>
      <c r="Q24" s="600">
        <f>0</f>
        <v>0</v>
      </c>
    </row>
    <row r="25">
      <c r="A25" s="552"/>
      <c r="B25" s="552"/>
      <c r="C25" s="552"/>
      <c r="D25" s="552"/>
      <c r="E25" s="552"/>
      <c r="F25" s="552"/>
      <c r="G25" s="552"/>
      <c r="H25" s="552"/>
      <c r="I25" s="552"/>
      <c r="J25" s="552"/>
      <c r="K25" s="552"/>
      <c r="L25" s="552"/>
      <c r="M25" s="552"/>
      <c r="N25" s="552"/>
      <c r="O25" s="552"/>
      <c r="P25" s="552"/>
      <c r="Q25" s="552"/>
    </row>
    <row r="26">
      <c r="A26" s="553" t="s">
        <v>229</v>
      </c>
      <c r="B26" s="553"/>
      <c r="C26" s="553"/>
      <c r="D26" s="553"/>
      <c r="E26" s="553"/>
      <c r="F26" s="553"/>
      <c r="G26" s="553"/>
      <c r="H26" s="553"/>
      <c r="I26" s="553"/>
      <c r="J26" s="553"/>
      <c r="K26" s="553"/>
      <c r="L26" s="553"/>
      <c r="M26" s="550"/>
      <c r="N26" s="550"/>
      <c r="O26" s="550"/>
      <c r="P26" s="550"/>
      <c r="Q26" s="550"/>
    </row>
    <row r="27">
      <c r="A27" s="599" t="s">
        <v>230</v>
      </c>
      <c r="B27" s="599" t="s">
        <v>231</v>
      </c>
      <c r="C27" s="556" t="s">
        <v>190</v>
      </c>
      <c r="D27" s="599" t="s">
        <v>185</v>
      </c>
      <c r="E27" s="599" t="s">
        <v>186</v>
      </c>
      <c r="F27" s="599">
        <v>0</v>
      </c>
      <c r="G27" s="599" t="s">
        <v>232</v>
      </c>
      <c r="H27" s="600">
        <f>0</f>
        <v>0</v>
      </c>
      <c r="I27" s="600">
        <f>0</f>
        <v>0</v>
      </c>
      <c r="J27" s="600">
        <f>0</f>
        <v>0</v>
      </c>
      <c r="K27" s="600">
        <f>0</f>
        <v>0</v>
      </c>
      <c r="L27" s="600">
        <f>0</f>
        <v>0</v>
      </c>
      <c r="M27" s="609">
        <f>0</f>
        <v>0</v>
      </c>
      <c r="N27" s="600">
        <f>0</f>
        <v>0</v>
      </c>
      <c r="O27" s="600">
        <f>0</f>
        <v>0</v>
      </c>
      <c r="P27" s="600">
        <f>0</f>
        <v>0</v>
      </c>
      <c r="Q27" s="600">
        <f>0</f>
        <v>0</v>
      </c>
    </row>
    <row r="28">
      <c r="A28" s="599" t="s">
        <v>233</v>
      </c>
      <c r="B28" s="599" t="s">
        <v>234</v>
      </c>
      <c r="C28" s="556" t="s">
        <v>190</v>
      </c>
      <c r="D28" s="599" t="s">
        <v>185</v>
      </c>
      <c r="E28" s="599" t="s">
        <v>235</v>
      </c>
      <c r="F28" s="599">
        <v>0</v>
      </c>
      <c r="G28" s="599" t="s">
        <v>236</v>
      </c>
      <c r="H28" s="600">
        <f>0</f>
        <v>0</v>
      </c>
      <c r="I28" s="600">
        <f>0</f>
        <v>0</v>
      </c>
      <c r="J28" s="600">
        <f>0</f>
        <v>0</v>
      </c>
      <c r="K28" s="600">
        <f>0</f>
        <v>0</v>
      </c>
      <c r="L28" s="600">
        <f>0</f>
        <v>0</v>
      </c>
      <c r="M28" s="609">
        <f>0</f>
        <v>0</v>
      </c>
      <c r="N28" s="600">
        <f>0</f>
        <v>0</v>
      </c>
      <c r="O28" s="600">
        <f>0</f>
        <v>0</v>
      </c>
      <c r="P28" s="600">
        <f>0</f>
        <v>0</v>
      </c>
      <c r="Q28" s="600">
        <f>0</f>
        <v>0</v>
      </c>
    </row>
    <row r="29">
      <c r="A29" s="599" t="s">
        <v>237</v>
      </c>
      <c r="B29" s="599" t="s">
        <v>238</v>
      </c>
      <c r="C29" s="556" t="s">
        <v>190</v>
      </c>
      <c r="D29" s="599" t="s">
        <v>185</v>
      </c>
      <c r="E29" s="599" t="s">
        <v>214</v>
      </c>
      <c r="F29" s="599" t="s">
        <v>214</v>
      </c>
      <c r="G29" s="599" t="s">
        <v>239</v>
      </c>
      <c r="H29" s="600">
        <f>0</f>
        <v>0</v>
      </c>
      <c r="I29" s="600">
        <f>0</f>
        <v>0</v>
      </c>
      <c r="J29" s="600">
        <f>0</f>
        <v>0</v>
      </c>
      <c r="K29" s="600">
        <f>0</f>
        <v>0</v>
      </c>
      <c r="L29" s="600">
        <f>0</f>
        <v>0</v>
      </c>
      <c r="M29" s="609">
        <f>0</f>
        <v>0</v>
      </c>
      <c r="N29" s="600">
        <f>0</f>
        <v>0</v>
      </c>
      <c r="O29" s="600">
        <f>0</f>
        <v>0</v>
      </c>
      <c r="P29" s="600">
        <f>0</f>
        <v>0</v>
      </c>
      <c r="Q29" s="600">
        <f>0</f>
        <v>0</v>
      </c>
    </row>
    <row r="30">
      <c r="A30" s="599" t="s">
        <v>240</v>
      </c>
      <c r="B30" s="599" t="s">
        <v>241</v>
      </c>
      <c r="C30" s="556" t="s">
        <v>190</v>
      </c>
      <c r="D30" s="599" t="s">
        <v>185</v>
      </c>
      <c r="E30" s="599" t="s">
        <v>242</v>
      </c>
      <c r="F30" s="599">
        <v>0</v>
      </c>
      <c r="G30" s="599" t="s">
        <v>243</v>
      </c>
      <c r="H30" s="600">
        <f>0</f>
        <v>0</v>
      </c>
      <c r="I30" s="600">
        <f>0</f>
        <v>0</v>
      </c>
      <c r="J30" s="600">
        <f>0</f>
        <v>0</v>
      </c>
      <c r="K30" s="600">
        <f>0</f>
        <v>0</v>
      </c>
      <c r="L30" s="600">
        <f>0</f>
        <v>0</v>
      </c>
      <c r="M30" s="609">
        <f>0</f>
        <v>0</v>
      </c>
      <c r="N30" s="600">
        <f>0</f>
        <v>0</v>
      </c>
      <c r="O30" s="600">
        <f>0</f>
        <v>0</v>
      </c>
      <c r="P30" s="600">
        <f>0</f>
        <v>0</v>
      </c>
      <c r="Q30" s="600">
        <f>0</f>
        <v>0</v>
      </c>
    </row>
    <row r="31">
      <c r="A31" s="599" t="s">
        <v>244</v>
      </c>
      <c r="B31" s="599" t="s">
        <v>245</v>
      </c>
      <c r="C31" s="556" t="s">
        <v>190</v>
      </c>
      <c r="D31" s="599" t="s">
        <v>246</v>
      </c>
      <c r="E31" s="599" t="s">
        <v>247</v>
      </c>
      <c r="F31" s="599" t="s">
        <v>248</v>
      </c>
      <c r="G31" s="599" t="s">
        <v>249</v>
      </c>
      <c r="H31" s="600">
        <f>0</f>
        <v>0</v>
      </c>
      <c r="I31" s="600">
        <f>0</f>
        <v>0</v>
      </c>
      <c r="J31" s="600">
        <f>0</f>
        <v>0</v>
      </c>
      <c r="K31" s="600">
        <f>0</f>
        <v>0</v>
      </c>
      <c r="L31" s="600">
        <f>0</f>
        <v>0</v>
      </c>
      <c r="M31" s="609">
        <f>0</f>
        <v>0</v>
      </c>
      <c r="N31" s="600">
        <f>0</f>
        <v>0</v>
      </c>
      <c r="O31" s="600">
        <f>0</f>
        <v>0</v>
      </c>
      <c r="P31" s="600">
        <f>0</f>
        <v>0</v>
      </c>
      <c r="Q31" s="600">
        <f>0</f>
        <v>0</v>
      </c>
    </row>
    <row r="32">
      <c r="A32" s="599" t="s">
        <v>250</v>
      </c>
      <c r="B32" s="599" t="s">
        <v>251</v>
      </c>
      <c r="C32" s="556" t="s">
        <v>190</v>
      </c>
      <c r="D32" s="599" t="s">
        <v>185</v>
      </c>
      <c r="E32" s="599" t="s">
        <v>214</v>
      </c>
      <c r="F32" s="599" t="s">
        <v>214</v>
      </c>
      <c r="G32" s="599" t="s">
        <v>252</v>
      </c>
      <c r="H32" s="600">
        <f>0</f>
        <v>0</v>
      </c>
      <c r="I32" s="600">
        <f>0</f>
        <v>0</v>
      </c>
      <c r="J32" s="600">
        <f>0</f>
        <v>0</v>
      </c>
      <c r="K32" s="600">
        <f>0</f>
        <v>0</v>
      </c>
      <c r="L32" s="600">
        <f>0</f>
        <v>0</v>
      </c>
      <c r="M32" s="609">
        <f>0</f>
        <v>0</v>
      </c>
      <c r="N32" s="600">
        <f>0</f>
        <v>0</v>
      </c>
      <c r="O32" s="600">
        <f>0</f>
        <v>0</v>
      </c>
      <c r="P32" s="600">
        <f>0</f>
        <v>0</v>
      </c>
      <c r="Q32" s="600">
        <f>0</f>
        <v>0</v>
      </c>
    </row>
    <row r="33">
      <c r="A33" s="599" t="s">
        <v>253</v>
      </c>
      <c r="B33" s="599" t="s">
        <v>254</v>
      </c>
      <c r="C33" s="556" t="s">
        <v>190</v>
      </c>
      <c r="D33" s="599" t="s">
        <v>185</v>
      </c>
      <c r="E33" s="599" t="s">
        <v>186</v>
      </c>
      <c r="F33" s="599">
        <v>0</v>
      </c>
      <c r="G33" s="599" t="s">
        <v>255</v>
      </c>
      <c r="H33" s="600">
        <f>0</f>
        <v>0</v>
      </c>
      <c r="I33" s="600">
        <f>0</f>
        <v>0</v>
      </c>
      <c r="J33" s="600">
        <f>0</f>
        <v>0</v>
      </c>
      <c r="K33" s="600">
        <f>0</f>
        <v>0</v>
      </c>
      <c r="L33" s="600">
        <f>0</f>
        <v>0</v>
      </c>
      <c r="M33" s="609">
        <f>0</f>
        <v>0</v>
      </c>
      <c r="N33" s="600">
        <f>0</f>
        <v>0</v>
      </c>
      <c r="O33" s="600">
        <f>0</f>
        <v>0</v>
      </c>
      <c r="P33" s="600">
        <f>0</f>
        <v>0</v>
      </c>
      <c r="Q33" s="600">
        <f>0</f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M37"/>
  <sheetViews>
    <sheetView showGridLines="0" workbookViewId="0"/>
  </sheetViews>
  <sheetFormatPr defaultColWidth="8.375" defaultRowHeight="15"/>
  <cols>
    <col min="1" max="8" width="16.875" customWidth="1"/>
    <col min="9" max="9" width="39.375" customWidth="1"/>
    <col min="10" max="12" width="16.875" customWidth="1"/>
    <col min="13" max="13" width="59.375" customWidth="1"/>
  </cols>
  <sheetData>
    <row r="1">
      <c r="A1" s="565" t="s">
        <v>0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</row>
    <row r="2">
      <c r="A2" s="562" t="s">
        <v>256</v>
      </c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</row>
    <row r="3">
      <c r="A3" s="562" t="s">
        <v>257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562"/>
    </row>
    <row r="4">
      <c r="A4" s="563" t="s">
        <v>258</v>
      </c>
      <c r="B4" s="563" t="s">
        <v>259</v>
      </c>
      <c r="C4" s="563" t="s">
        <v>260</v>
      </c>
      <c r="D4" s="563" t="s">
        <v>261</v>
      </c>
      <c r="E4" s="563" t="s">
        <v>262</v>
      </c>
      <c r="F4" s="563" t="s">
        <v>263</v>
      </c>
      <c r="G4" s="563" t="s">
        <v>264</v>
      </c>
      <c r="H4" s="563" t="s">
        <v>265</v>
      </c>
      <c r="I4" s="563" t="s">
        <v>266</v>
      </c>
      <c r="J4" s="563" t="s">
        <v>267</v>
      </c>
      <c r="K4" s="563" t="s">
        <v>177</v>
      </c>
      <c r="L4" s="563" t="s">
        <v>268</v>
      </c>
      <c r="M4" s="563" t="s">
        <v>181</v>
      </c>
    </row>
    <row r="5">
      <c r="A5" s="562" t="s">
        <v>269</v>
      </c>
      <c r="B5" s="562" t="s">
        <v>270</v>
      </c>
      <c r="C5" s="562"/>
      <c r="D5" s="562"/>
      <c r="E5" s="562"/>
      <c r="F5" s="562"/>
      <c r="G5" s="562"/>
      <c r="H5" s="562" t="s">
        <v>271</v>
      </c>
      <c r="I5" s="562" t="s">
        <v>272</v>
      </c>
      <c r="J5" s="562" t="s">
        <v>133</v>
      </c>
      <c r="K5" s="566" t="s">
        <v>273</v>
      </c>
      <c r="L5" s="562" t="s">
        <v>274</v>
      </c>
      <c r="M5" s="562" t="s">
        <v>275</v>
      </c>
    </row>
    <row r="6">
      <c r="A6" s="562" t="s">
        <v>276</v>
      </c>
      <c r="B6" s="562" t="s">
        <v>277</v>
      </c>
      <c r="C6" s="562"/>
      <c r="D6" s="562" t="s">
        <v>278</v>
      </c>
      <c r="E6" s="562"/>
      <c r="F6" s="562"/>
      <c r="G6" s="562" t="s">
        <v>279</v>
      </c>
      <c r="H6" s="562" t="s">
        <v>280</v>
      </c>
      <c r="I6" s="562" t="s">
        <v>279</v>
      </c>
      <c r="J6" s="562" t="s">
        <v>133</v>
      </c>
      <c r="K6" s="566" t="s">
        <v>273</v>
      </c>
      <c r="L6" s="562" t="s">
        <v>281</v>
      </c>
      <c r="M6" s="562" t="s">
        <v>282</v>
      </c>
    </row>
    <row r="7">
      <c r="A7" s="562" t="s">
        <v>283</v>
      </c>
      <c r="B7" s="562" t="s">
        <v>277</v>
      </c>
      <c r="C7" s="562"/>
      <c r="D7" s="562" t="s">
        <v>284</v>
      </c>
      <c r="E7" s="562"/>
      <c r="F7" s="562"/>
      <c r="G7" s="562" t="s">
        <v>279</v>
      </c>
      <c r="H7" s="562" t="s">
        <v>280</v>
      </c>
      <c r="I7" s="562" t="s">
        <v>279</v>
      </c>
      <c r="J7" s="562" t="s">
        <v>133</v>
      </c>
      <c r="K7" s="566" t="s">
        <v>273</v>
      </c>
      <c r="L7" s="562" t="s">
        <v>285</v>
      </c>
      <c r="M7" s="562" t="s">
        <v>286</v>
      </c>
    </row>
    <row r="8">
      <c r="A8" s="562" t="s">
        <v>287</v>
      </c>
      <c r="B8" s="562" t="s">
        <v>288</v>
      </c>
      <c r="C8" s="562"/>
      <c r="D8" s="562" t="s">
        <v>278</v>
      </c>
      <c r="E8" s="562"/>
      <c r="F8" s="562" t="s">
        <v>274</v>
      </c>
      <c r="G8" s="562" t="s">
        <v>279</v>
      </c>
      <c r="H8" s="562" t="s">
        <v>289</v>
      </c>
      <c r="I8" s="562" t="s">
        <v>290</v>
      </c>
      <c r="J8" s="562" t="s">
        <v>133</v>
      </c>
      <c r="K8" s="566" t="s">
        <v>273</v>
      </c>
      <c r="L8" s="562" t="s">
        <v>291</v>
      </c>
      <c r="M8" s="562"/>
    </row>
    <row r="9">
      <c r="A9" s="562" t="s">
        <v>292</v>
      </c>
      <c r="B9" s="562" t="s">
        <v>288</v>
      </c>
      <c r="C9" s="562"/>
      <c r="D9" s="562" t="s">
        <v>278</v>
      </c>
      <c r="E9" s="562"/>
      <c r="F9" s="562" t="s">
        <v>293</v>
      </c>
      <c r="G9" s="562" t="s">
        <v>279</v>
      </c>
      <c r="H9" s="562" t="s">
        <v>289</v>
      </c>
      <c r="I9" s="562" t="s">
        <v>294</v>
      </c>
      <c r="J9" s="562" t="s">
        <v>133</v>
      </c>
      <c r="K9" s="566" t="s">
        <v>273</v>
      </c>
      <c r="L9" s="562" t="s">
        <v>295</v>
      </c>
      <c r="M9" s="562"/>
    </row>
    <row r="10">
      <c r="A10" s="562" t="s">
        <v>296</v>
      </c>
      <c r="B10" s="562" t="s">
        <v>288</v>
      </c>
      <c r="C10" s="562"/>
      <c r="D10" s="562" t="s">
        <v>278</v>
      </c>
      <c r="E10" s="562"/>
      <c r="F10" s="562" t="s">
        <v>297</v>
      </c>
      <c r="G10" s="562" t="s">
        <v>279</v>
      </c>
      <c r="H10" s="562" t="s">
        <v>289</v>
      </c>
      <c r="I10" s="562" t="s">
        <v>298</v>
      </c>
      <c r="J10" s="562" t="s">
        <v>133</v>
      </c>
      <c r="K10" s="566" t="s">
        <v>273</v>
      </c>
      <c r="L10" s="562" t="s">
        <v>299</v>
      </c>
      <c r="M10" s="562"/>
    </row>
    <row r="11">
      <c r="A11" s="562" t="s">
        <v>300</v>
      </c>
      <c r="B11" s="562" t="s">
        <v>288</v>
      </c>
      <c r="C11" s="562"/>
      <c r="D11" s="562" t="s">
        <v>278</v>
      </c>
      <c r="E11" s="562"/>
      <c r="F11" s="562" t="s">
        <v>301</v>
      </c>
      <c r="G11" s="562" t="s">
        <v>279</v>
      </c>
      <c r="H11" s="562" t="s">
        <v>289</v>
      </c>
      <c r="I11" s="562" t="s">
        <v>302</v>
      </c>
      <c r="J11" s="562" t="s">
        <v>133</v>
      </c>
      <c r="K11" s="566" t="s">
        <v>273</v>
      </c>
      <c r="L11" s="562" t="s">
        <v>303</v>
      </c>
      <c r="M11" s="562"/>
    </row>
    <row r="12">
      <c r="A12" s="562" t="s">
        <v>304</v>
      </c>
      <c r="B12" s="562" t="s">
        <v>288</v>
      </c>
      <c r="C12" s="562"/>
      <c r="D12" s="562" t="s">
        <v>278</v>
      </c>
      <c r="E12" s="562"/>
      <c r="F12" s="562" t="s">
        <v>305</v>
      </c>
      <c r="G12" s="562" t="s">
        <v>279</v>
      </c>
      <c r="H12" s="562" t="s">
        <v>289</v>
      </c>
      <c r="I12" s="562" t="s">
        <v>306</v>
      </c>
      <c r="J12" s="562" t="s">
        <v>133</v>
      </c>
      <c r="K12" s="566" t="s">
        <v>273</v>
      </c>
      <c r="L12" s="562" t="s">
        <v>307</v>
      </c>
      <c r="M12" s="562"/>
    </row>
    <row r="13">
      <c r="A13" s="562" t="s">
        <v>308</v>
      </c>
      <c r="B13" s="562" t="s">
        <v>288</v>
      </c>
      <c r="C13" s="562"/>
      <c r="D13" s="562" t="s">
        <v>278</v>
      </c>
      <c r="E13" s="562"/>
      <c r="F13" s="562" t="s">
        <v>309</v>
      </c>
      <c r="G13" s="562" t="s">
        <v>279</v>
      </c>
      <c r="H13" s="562" t="s">
        <v>289</v>
      </c>
      <c r="I13" s="562" t="s">
        <v>310</v>
      </c>
      <c r="J13" s="562" t="s">
        <v>133</v>
      </c>
      <c r="K13" s="566" t="s">
        <v>273</v>
      </c>
      <c r="L13" s="562" t="s">
        <v>311</v>
      </c>
      <c r="M13" s="562"/>
    </row>
    <row r="14">
      <c r="A14" s="562" t="s">
        <v>312</v>
      </c>
      <c r="B14" s="562" t="s">
        <v>288</v>
      </c>
      <c r="C14" s="562"/>
      <c r="D14" s="562" t="s">
        <v>278</v>
      </c>
      <c r="E14" s="562"/>
      <c r="F14" s="562" t="s">
        <v>295</v>
      </c>
      <c r="G14" s="562" t="s">
        <v>279</v>
      </c>
      <c r="H14" s="562" t="s">
        <v>289</v>
      </c>
      <c r="I14" s="562" t="s">
        <v>313</v>
      </c>
      <c r="J14" s="562" t="s">
        <v>133</v>
      </c>
      <c r="K14" s="566" t="s">
        <v>273</v>
      </c>
      <c r="L14" s="562" t="s">
        <v>314</v>
      </c>
      <c r="M14" s="562"/>
    </row>
    <row r="15">
      <c r="A15" s="562" t="s">
        <v>315</v>
      </c>
      <c r="B15" s="562" t="s">
        <v>288</v>
      </c>
      <c r="C15" s="562"/>
      <c r="D15" s="562" t="s">
        <v>278</v>
      </c>
      <c r="E15" s="562"/>
      <c r="F15" s="562" t="s">
        <v>316</v>
      </c>
      <c r="G15" s="562" t="s">
        <v>279</v>
      </c>
      <c r="H15" s="562" t="s">
        <v>289</v>
      </c>
      <c r="I15" s="562" t="s">
        <v>317</v>
      </c>
      <c r="J15" s="562" t="s">
        <v>133</v>
      </c>
      <c r="K15" s="566" t="s">
        <v>273</v>
      </c>
      <c r="L15" s="562" t="s">
        <v>311</v>
      </c>
      <c r="M15" s="562"/>
    </row>
    <row r="16">
      <c r="A16" s="562" t="s">
        <v>318</v>
      </c>
      <c r="B16" s="562" t="s">
        <v>288</v>
      </c>
      <c r="C16" s="562"/>
      <c r="D16" s="562" t="s">
        <v>278</v>
      </c>
      <c r="E16" s="562"/>
      <c r="F16" s="562" t="s">
        <v>319</v>
      </c>
      <c r="G16" s="562" t="s">
        <v>279</v>
      </c>
      <c r="H16" s="562" t="s">
        <v>289</v>
      </c>
      <c r="I16" s="562" t="s">
        <v>320</v>
      </c>
      <c r="J16" s="562" t="s">
        <v>133</v>
      </c>
      <c r="K16" s="566" t="s">
        <v>273</v>
      </c>
      <c r="L16" s="562" t="s">
        <v>321</v>
      </c>
      <c r="M16" s="562"/>
    </row>
    <row r="17">
      <c r="A17" s="562" t="s">
        <v>322</v>
      </c>
      <c r="B17" s="562" t="s">
        <v>288</v>
      </c>
      <c r="C17" s="562"/>
      <c r="D17" s="562" t="s">
        <v>278</v>
      </c>
      <c r="E17" s="562"/>
      <c r="F17" s="562" t="s">
        <v>321</v>
      </c>
      <c r="G17" s="562" t="s">
        <v>279</v>
      </c>
      <c r="H17" s="562" t="s">
        <v>289</v>
      </c>
      <c r="I17" s="562" t="s">
        <v>323</v>
      </c>
      <c r="J17" s="562" t="s">
        <v>133</v>
      </c>
      <c r="K17" s="566" t="s">
        <v>273</v>
      </c>
      <c r="L17" s="562" t="s">
        <v>297</v>
      </c>
      <c r="M17" s="562"/>
    </row>
    <row r="18">
      <c r="A18" s="562" t="s">
        <v>324</v>
      </c>
      <c r="B18" s="562" t="s">
        <v>288</v>
      </c>
      <c r="C18" s="562"/>
      <c r="D18" s="562" t="s">
        <v>278</v>
      </c>
      <c r="E18" s="562"/>
      <c r="F18" s="562" t="s">
        <v>299</v>
      </c>
      <c r="G18" s="562" t="s">
        <v>279</v>
      </c>
      <c r="H18" s="562" t="s">
        <v>289</v>
      </c>
      <c r="I18" s="562" t="s">
        <v>325</v>
      </c>
      <c r="J18" s="562" t="s">
        <v>133</v>
      </c>
      <c r="K18" s="566" t="s">
        <v>273</v>
      </c>
      <c r="L18" s="562" t="s">
        <v>301</v>
      </c>
      <c r="M18" s="562"/>
    </row>
    <row r="19">
      <c r="A19" s="562" t="s">
        <v>326</v>
      </c>
      <c r="B19" s="562" t="s">
        <v>288</v>
      </c>
      <c r="C19" s="562"/>
      <c r="D19" s="562" t="s">
        <v>278</v>
      </c>
      <c r="E19" s="562"/>
      <c r="F19" s="562" t="s">
        <v>311</v>
      </c>
      <c r="G19" s="562" t="s">
        <v>279</v>
      </c>
      <c r="H19" s="562" t="s">
        <v>289</v>
      </c>
      <c r="I19" s="562" t="s">
        <v>327</v>
      </c>
      <c r="J19" s="562" t="s">
        <v>133</v>
      </c>
      <c r="K19" s="566" t="s">
        <v>273</v>
      </c>
      <c r="L19" s="562" t="s">
        <v>328</v>
      </c>
      <c r="M19" s="562"/>
    </row>
    <row r="20">
      <c r="A20" s="562" t="s">
        <v>329</v>
      </c>
      <c r="B20" s="562" t="s">
        <v>288</v>
      </c>
      <c r="C20" s="562"/>
      <c r="D20" s="562" t="s">
        <v>278</v>
      </c>
      <c r="E20" s="562"/>
      <c r="F20" s="562" t="s">
        <v>330</v>
      </c>
      <c r="G20" s="562" t="s">
        <v>279</v>
      </c>
      <c r="H20" s="562" t="s">
        <v>289</v>
      </c>
      <c r="I20" s="562" t="s">
        <v>331</v>
      </c>
      <c r="J20" s="562" t="s">
        <v>133</v>
      </c>
      <c r="K20" s="566" t="s">
        <v>273</v>
      </c>
      <c r="L20" s="562" t="s">
        <v>311</v>
      </c>
      <c r="M20" s="562"/>
    </row>
    <row r="21">
      <c r="A21" s="562" t="s">
        <v>332</v>
      </c>
      <c r="B21" s="562" t="s">
        <v>288</v>
      </c>
      <c r="C21" s="562"/>
      <c r="D21" s="562" t="s">
        <v>278</v>
      </c>
      <c r="E21" s="562"/>
      <c r="F21" s="562" t="s">
        <v>333</v>
      </c>
      <c r="G21" s="562" t="s">
        <v>279</v>
      </c>
      <c r="H21" s="562" t="s">
        <v>289</v>
      </c>
      <c r="I21" s="562" t="s">
        <v>334</v>
      </c>
      <c r="J21" s="562" t="s">
        <v>133</v>
      </c>
      <c r="K21" s="566" t="s">
        <v>273</v>
      </c>
      <c r="L21" s="562" t="s">
        <v>311</v>
      </c>
      <c r="M21" s="562"/>
    </row>
    <row r="22">
      <c r="A22" s="562" t="s">
        <v>335</v>
      </c>
      <c r="B22" s="562" t="s">
        <v>288</v>
      </c>
      <c r="C22" s="562"/>
      <c r="D22" s="562" t="s">
        <v>278</v>
      </c>
      <c r="E22" s="562"/>
      <c r="F22" s="562" t="s">
        <v>336</v>
      </c>
      <c r="G22" s="562" t="s">
        <v>279</v>
      </c>
      <c r="H22" s="562" t="s">
        <v>289</v>
      </c>
      <c r="I22" s="562" t="s">
        <v>337</v>
      </c>
      <c r="J22" s="562" t="s">
        <v>133</v>
      </c>
      <c r="K22" s="566" t="s">
        <v>273</v>
      </c>
      <c r="L22" s="562" t="s">
        <v>338</v>
      </c>
      <c r="M22" s="562"/>
    </row>
    <row r="23">
      <c r="A23" s="562" t="s">
        <v>339</v>
      </c>
      <c r="B23" s="562" t="s">
        <v>288</v>
      </c>
      <c r="C23" s="562"/>
      <c r="D23" s="562" t="s">
        <v>278</v>
      </c>
      <c r="E23" s="562"/>
      <c r="F23" s="562" t="s">
        <v>340</v>
      </c>
      <c r="G23" s="562" t="s">
        <v>279</v>
      </c>
      <c r="H23" s="562" t="s">
        <v>289</v>
      </c>
      <c r="I23" s="562" t="s">
        <v>341</v>
      </c>
      <c r="J23" s="562" t="s">
        <v>133</v>
      </c>
      <c r="K23" s="566" t="s">
        <v>273</v>
      </c>
      <c r="L23" s="562" t="s">
        <v>311</v>
      </c>
      <c r="M23" s="562"/>
    </row>
    <row r="24">
      <c r="A24" s="562" t="s">
        <v>342</v>
      </c>
      <c r="B24" s="562" t="s">
        <v>288</v>
      </c>
      <c r="C24" s="562"/>
      <c r="D24" s="562" t="s">
        <v>278</v>
      </c>
      <c r="E24" s="562"/>
      <c r="F24" s="562" t="s">
        <v>343</v>
      </c>
      <c r="G24" s="562" t="s">
        <v>279</v>
      </c>
      <c r="H24" s="562" t="s">
        <v>289</v>
      </c>
      <c r="I24" s="562" t="s">
        <v>344</v>
      </c>
      <c r="J24" s="562" t="s">
        <v>133</v>
      </c>
      <c r="K24" s="566" t="s">
        <v>273</v>
      </c>
      <c r="L24" s="562" t="s">
        <v>345</v>
      </c>
      <c r="M24" s="562"/>
    </row>
    <row r="25">
      <c r="A25" s="562" t="s">
        <v>346</v>
      </c>
      <c r="B25" s="562" t="s">
        <v>288</v>
      </c>
      <c r="C25" s="562"/>
      <c r="D25" s="562" t="s">
        <v>278</v>
      </c>
      <c r="E25" s="562"/>
      <c r="F25" s="562" t="s">
        <v>347</v>
      </c>
      <c r="G25" s="562" t="s">
        <v>279</v>
      </c>
      <c r="H25" s="562" t="s">
        <v>289</v>
      </c>
      <c r="I25" s="562" t="s">
        <v>348</v>
      </c>
      <c r="J25" s="562" t="s">
        <v>133</v>
      </c>
      <c r="K25" s="566" t="s">
        <v>273</v>
      </c>
      <c r="L25" s="562" t="s">
        <v>340</v>
      </c>
      <c r="M25" s="562"/>
    </row>
    <row r="26">
      <c r="A26" s="562" t="s">
        <v>349</v>
      </c>
      <c r="B26" s="562" t="s">
        <v>288</v>
      </c>
      <c r="C26" s="562"/>
      <c r="D26" s="562" t="s">
        <v>278</v>
      </c>
      <c r="E26" s="562"/>
      <c r="F26" s="562" t="s">
        <v>350</v>
      </c>
      <c r="G26" s="562" t="s">
        <v>279</v>
      </c>
      <c r="H26" s="562" t="s">
        <v>289</v>
      </c>
      <c r="I26" s="562" t="s">
        <v>351</v>
      </c>
      <c r="J26" s="562" t="s">
        <v>133</v>
      </c>
      <c r="K26" s="566" t="s">
        <v>273</v>
      </c>
      <c r="L26" s="562" t="s">
        <v>352</v>
      </c>
      <c r="M26" s="562"/>
    </row>
    <row r="27">
      <c r="A27" s="562" t="s">
        <v>353</v>
      </c>
      <c r="B27" s="562" t="s">
        <v>288</v>
      </c>
      <c r="C27" s="562"/>
      <c r="D27" s="562" t="s">
        <v>278</v>
      </c>
      <c r="E27" s="562"/>
      <c r="F27" s="562" t="s">
        <v>314</v>
      </c>
      <c r="G27" s="562" t="s">
        <v>279</v>
      </c>
      <c r="H27" s="562" t="s">
        <v>289</v>
      </c>
      <c r="I27" s="562" t="s">
        <v>354</v>
      </c>
      <c r="J27" s="562" t="s">
        <v>133</v>
      </c>
      <c r="K27" s="566" t="s">
        <v>273</v>
      </c>
      <c r="L27" s="562" t="s">
        <v>355</v>
      </c>
      <c r="M27" s="562"/>
    </row>
    <row r="28">
      <c r="A28" s="562" t="s">
        <v>356</v>
      </c>
      <c r="B28" s="562" t="s">
        <v>288</v>
      </c>
      <c r="C28" s="562"/>
      <c r="D28" s="562" t="s">
        <v>278</v>
      </c>
      <c r="E28" s="562"/>
      <c r="F28" s="562" t="s">
        <v>357</v>
      </c>
      <c r="G28" s="562" t="s">
        <v>279</v>
      </c>
      <c r="H28" s="562" t="s">
        <v>289</v>
      </c>
      <c r="I28" s="562" t="s">
        <v>358</v>
      </c>
      <c r="J28" s="562" t="s">
        <v>133</v>
      </c>
      <c r="K28" s="566" t="s">
        <v>273</v>
      </c>
      <c r="L28" s="562" t="s">
        <v>359</v>
      </c>
      <c r="M28" s="562"/>
    </row>
    <row r="29">
      <c r="A29" s="562" t="s">
        <v>360</v>
      </c>
      <c r="B29" s="562" t="s">
        <v>288</v>
      </c>
      <c r="C29" s="562"/>
      <c r="D29" s="562" t="s">
        <v>278</v>
      </c>
      <c r="E29" s="562"/>
      <c r="F29" s="562" t="s">
        <v>355</v>
      </c>
      <c r="G29" s="562" t="s">
        <v>279</v>
      </c>
      <c r="H29" s="562" t="s">
        <v>289</v>
      </c>
      <c r="I29" s="562" t="s">
        <v>361</v>
      </c>
      <c r="J29" s="562" t="s">
        <v>133</v>
      </c>
      <c r="K29" s="566" t="s">
        <v>273</v>
      </c>
      <c r="L29" s="562" t="s">
        <v>362</v>
      </c>
      <c r="M29" s="562"/>
    </row>
    <row r="30">
      <c r="A30" s="562" t="s">
        <v>363</v>
      </c>
      <c r="B30" s="562" t="s">
        <v>288</v>
      </c>
      <c r="C30" s="562"/>
      <c r="D30" s="562" t="s">
        <v>278</v>
      </c>
      <c r="E30" s="562"/>
      <c r="F30" s="562" t="s">
        <v>364</v>
      </c>
      <c r="G30" s="562" t="s">
        <v>279</v>
      </c>
      <c r="H30" s="562" t="s">
        <v>289</v>
      </c>
      <c r="I30" s="562" t="s">
        <v>365</v>
      </c>
      <c r="J30" s="562" t="s">
        <v>133</v>
      </c>
      <c r="K30" s="566" t="s">
        <v>273</v>
      </c>
      <c r="L30" s="562" t="s">
        <v>366</v>
      </c>
      <c r="M30" s="562"/>
    </row>
    <row r="31">
      <c r="A31" s="562" t="s">
        <v>367</v>
      </c>
      <c r="B31" s="562" t="s">
        <v>288</v>
      </c>
      <c r="C31" s="562"/>
      <c r="D31" s="562" t="s">
        <v>278</v>
      </c>
      <c r="E31" s="562"/>
      <c r="F31" s="562" t="s">
        <v>368</v>
      </c>
      <c r="G31" s="562" t="s">
        <v>279</v>
      </c>
      <c r="H31" s="562" t="s">
        <v>289</v>
      </c>
      <c r="I31" s="562" t="s">
        <v>369</v>
      </c>
      <c r="J31" s="562" t="s">
        <v>133</v>
      </c>
      <c r="K31" s="566" t="s">
        <v>273</v>
      </c>
      <c r="L31" s="562" t="s">
        <v>347</v>
      </c>
      <c r="M31" s="562"/>
    </row>
    <row r="32">
      <c r="A32" s="562" t="s">
        <v>370</v>
      </c>
      <c r="B32" s="562" t="s">
        <v>288</v>
      </c>
      <c r="C32" s="562"/>
      <c r="D32" s="562" t="s">
        <v>278</v>
      </c>
      <c r="E32" s="562"/>
      <c r="F32" s="562" t="s">
        <v>371</v>
      </c>
      <c r="G32" s="562" t="s">
        <v>279</v>
      </c>
      <c r="H32" s="562" t="s">
        <v>289</v>
      </c>
      <c r="I32" s="562" t="s">
        <v>372</v>
      </c>
      <c r="J32" s="562" t="s">
        <v>133</v>
      </c>
      <c r="K32" s="566" t="s">
        <v>273</v>
      </c>
      <c r="L32" s="562" t="s">
        <v>373</v>
      </c>
      <c r="M32" s="562"/>
    </row>
    <row r="33">
      <c r="A33" s="562" t="s">
        <v>374</v>
      </c>
      <c r="B33" s="562" t="s">
        <v>288</v>
      </c>
      <c r="C33" s="562"/>
      <c r="D33" s="562" t="s">
        <v>278</v>
      </c>
      <c r="E33" s="562"/>
      <c r="F33" s="562" t="s">
        <v>345</v>
      </c>
      <c r="G33" s="562" t="s">
        <v>279</v>
      </c>
      <c r="H33" s="562" t="s">
        <v>289</v>
      </c>
      <c r="I33" s="562" t="s">
        <v>375</v>
      </c>
      <c r="J33" s="562" t="s">
        <v>133</v>
      </c>
      <c r="K33" s="566" t="s">
        <v>273</v>
      </c>
      <c r="L33" s="562" t="s">
        <v>355</v>
      </c>
      <c r="M33" s="562"/>
    </row>
    <row r="34">
      <c r="A34" s="562" t="s">
        <v>376</v>
      </c>
      <c r="B34" s="562" t="s">
        <v>288</v>
      </c>
      <c r="C34" s="562"/>
      <c r="D34" s="562" t="s">
        <v>278</v>
      </c>
      <c r="E34" s="562"/>
      <c r="F34" s="562" t="s">
        <v>338</v>
      </c>
      <c r="G34" s="562" t="s">
        <v>279</v>
      </c>
      <c r="H34" s="562" t="s">
        <v>289</v>
      </c>
      <c r="I34" s="562" t="s">
        <v>377</v>
      </c>
      <c r="J34" s="562" t="s">
        <v>133</v>
      </c>
      <c r="K34" s="566" t="s">
        <v>273</v>
      </c>
      <c r="L34" s="562" t="s">
        <v>316</v>
      </c>
      <c r="M34" s="562"/>
    </row>
    <row r="35">
      <c r="A35" s="562" t="s">
        <v>378</v>
      </c>
      <c r="B35" s="562" t="s">
        <v>288</v>
      </c>
      <c r="C35" s="562"/>
      <c r="D35" s="562" t="s">
        <v>278</v>
      </c>
      <c r="E35" s="562"/>
      <c r="F35" s="562" t="s">
        <v>379</v>
      </c>
      <c r="G35" s="562" t="s">
        <v>279</v>
      </c>
      <c r="H35" s="562" t="s">
        <v>289</v>
      </c>
      <c r="I35" s="562" t="s">
        <v>380</v>
      </c>
      <c r="J35" s="562" t="s">
        <v>133</v>
      </c>
      <c r="K35" s="566" t="s">
        <v>273</v>
      </c>
      <c r="L35" s="562" t="s">
        <v>364</v>
      </c>
      <c r="M35" s="562"/>
    </row>
    <row r="36">
      <c r="A36" s="562" t="s">
        <v>381</v>
      </c>
      <c r="B36" s="562" t="s">
        <v>382</v>
      </c>
      <c r="C36" s="562"/>
      <c r="D36" s="562"/>
      <c r="E36" s="562"/>
      <c r="F36" s="562"/>
      <c r="G36" s="562"/>
      <c r="H36" s="562" t="s">
        <v>383</v>
      </c>
      <c r="I36" s="562" t="s">
        <v>384</v>
      </c>
      <c r="J36" s="562" t="s">
        <v>133</v>
      </c>
      <c r="K36" s="563" t="s">
        <v>190</v>
      </c>
      <c r="L36" s="562" t="s">
        <v>355</v>
      </c>
      <c r="M36" s="562" t="s">
        <v>385</v>
      </c>
    </row>
    <row r="37">
      <c r="A37" s="562" t="s">
        <v>386</v>
      </c>
      <c r="B37" s="562" t="s">
        <v>382</v>
      </c>
      <c r="C37" s="562"/>
      <c r="D37" s="562"/>
      <c r="E37" s="562"/>
      <c r="F37" s="562"/>
      <c r="G37" s="562"/>
      <c r="H37" s="562" t="s">
        <v>383</v>
      </c>
      <c r="I37" s="562" t="s">
        <v>387</v>
      </c>
      <c r="J37" s="562" t="s">
        <v>133</v>
      </c>
      <c r="K37" s="563" t="s">
        <v>190</v>
      </c>
      <c r="L37" s="562" t="s">
        <v>305</v>
      </c>
      <c r="M37" s="562" t="s">
        <v>388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33"/>
  <sheetViews>
    <sheetView showGridLines="0" workbookViewId="0"/>
  </sheetViews>
  <sheetFormatPr defaultColWidth="8.375" defaultRowHeight="15"/>
  <cols>
    <col min="1" max="4" width="16.875" customWidth="1"/>
    <col min="5" max="5" width="59.375" customWidth="1"/>
    <col min="6" max="8" width="16.875" customWidth="1"/>
  </cols>
  <sheetData>
    <row r="1">
      <c r="A1" s="565" t="s">
        <v>0</v>
      </c>
      <c r="B1" s="562"/>
      <c r="C1" s="562"/>
      <c r="D1" s="562"/>
      <c r="E1" s="562"/>
      <c r="F1" s="562"/>
      <c r="G1" s="562"/>
      <c r="H1" s="562"/>
    </row>
    <row r="2">
      <c r="A2" s="562" t="s">
        <v>389</v>
      </c>
      <c r="B2" s="562"/>
      <c r="C2" s="562"/>
      <c r="D2" s="562"/>
      <c r="E2" s="562"/>
      <c r="F2" s="562"/>
      <c r="G2" s="562"/>
      <c r="H2" s="562"/>
    </row>
    <row r="3">
      <c r="A3" s="563" t="s">
        <v>390</v>
      </c>
      <c r="B3" s="563"/>
      <c r="C3" s="563"/>
      <c r="D3" s="563"/>
      <c r="E3" s="563"/>
      <c r="F3" s="563"/>
      <c r="G3" s="563"/>
      <c r="H3" s="563"/>
    </row>
    <row r="4">
      <c r="A4" s="562"/>
      <c r="B4" s="562"/>
      <c r="C4" s="562"/>
      <c r="D4" s="562"/>
      <c r="E4" s="562"/>
      <c r="F4" s="562"/>
      <c r="G4" s="562"/>
      <c r="H4" s="562"/>
    </row>
    <row r="5">
      <c r="A5" s="562"/>
      <c r="B5" s="562"/>
      <c r="C5" s="562"/>
      <c r="D5" s="562"/>
      <c r="E5" s="562"/>
      <c r="F5" s="562"/>
      <c r="G5" s="562"/>
      <c r="H5" s="562"/>
    </row>
    <row r="6">
      <c r="A6" s="562"/>
      <c r="B6" s="562"/>
      <c r="C6" s="562"/>
      <c r="D6" s="562"/>
      <c r="E6" s="562"/>
      <c r="F6" s="562"/>
      <c r="G6" s="562"/>
      <c r="H6" s="562"/>
    </row>
    <row r="7">
      <c r="A7" s="562"/>
      <c r="B7" s="562"/>
      <c r="C7" s="562"/>
      <c r="D7" s="562"/>
      <c r="E7" s="562"/>
      <c r="F7" s="562"/>
      <c r="G7" s="562"/>
      <c r="H7" s="562"/>
    </row>
    <row r="8">
      <c r="A8" s="562"/>
      <c r="B8" s="562"/>
      <c r="C8" s="562"/>
      <c r="D8" s="562"/>
      <c r="E8" s="562"/>
      <c r="F8" s="562"/>
      <c r="G8" s="562"/>
      <c r="H8" s="562"/>
    </row>
    <row r="9">
      <c r="A9" s="562"/>
      <c r="B9" s="562"/>
      <c r="C9" s="562"/>
      <c r="D9" s="562"/>
      <c r="E9" s="562"/>
      <c r="F9" s="562"/>
      <c r="G9" s="562"/>
      <c r="H9" s="562"/>
    </row>
    <row r="10">
      <c r="A10" s="562"/>
      <c r="B10" s="562"/>
      <c r="C10" s="562"/>
      <c r="D10" s="562"/>
      <c r="E10" s="562"/>
      <c r="F10" s="562"/>
      <c r="G10" s="562"/>
      <c r="H10" s="562"/>
    </row>
    <row r="11">
      <c r="A11" s="562"/>
      <c r="B11" s="562"/>
      <c r="C11" s="562"/>
      <c r="D11" s="562"/>
      <c r="E11" s="562"/>
      <c r="F11" s="562"/>
      <c r="G11" s="562"/>
      <c r="H11" s="562"/>
    </row>
    <row r="12">
      <c r="A12" s="562"/>
      <c r="B12" s="562"/>
      <c r="C12" s="562"/>
      <c r="D12" s="562"/>
      <c r="E12" s="562"/>
      <c r="F12" s="562"/>
      <c r="G12" s="562"/>
      <c r="H12" s="562"/>
    </row>
    <row r="13">
      <c r="A13" s="562"/>
      <c r="B13" s="562"/>
      <c r="C13" s="562"/>
      <c r="D13" s="562"/>
      <c r="E13" s="562"/>
      <c r="F13" s="562"/>
      <c r="G13" s="562"/>
      <c r="H13" s="562"/>
    </row>
    <row r="14">
      <c r="A14" s="562"/>
      <c r="B14" s="562"/>
      <c r="C14" s="562"/>
      <c r="D14" s="562"/>
      <c r="E14" s="562"/>
      <c r="F14" s="562"/>
      <c r="G14" s="562"/>
      <c r="H14" s="562"/>
    </row>
    <row r="15">
      <c r="A15" s="562"/>
      <c r="B15" s="562"/>
      <c r="C15" s="562"/>
      <c r="D15" s="562"/>
      <c r="E15" s="562"/>
      <c r="F15" s="562"/>
      <c r="G15" s="562"/>
      <c r="H15" s="562"/>
    </row>
    <row r="16">
      <c r="A16" s="562"/>
      <c r="B16" s="562"/>
      <c r="C16" s="562"/>
      <c r="D16" s="562"/>
      <c r="E16" s="562"/>
      <c r="F16" s="562"/>
      <c r="G16" s="562"/>
      <c r="H16" s="562"/>
    </row>
    <row r="17">
      <c r="A17" s="562"/>
      <c r="B17" s="562"/>
      <c r="C17" s="562"/>
      <c r="D17" s="562"/>
      <c r="E17" s="562"/>
      <c r="F17" s="562"/>
      <c r="G17" s="562"/>
      <c r="H17" s="562"/>
    </row>
    <row r="18">
      <c r="A18" s="562"/>
      <c r="B18" s="564"/>
      <c r="C18" s="562"/>
      <c r="D18" s="562"/>
      <c r="E18" s="562"/>
      <c r="F18" s="562"/>
      <c r="G18" s="562"/>
      <c r="H18" s="562"/>
    </row>
    <row r="19">
      <c r="A19" s="562"/>
      <c r="B19" s="564"/>
      <c r="C19" s="562"/>
      <c r="D19" s="562"/>
      <c r="E19" s="562"/>
      <c r="F19" s="562"/>
      <c r="G19" s="562"/>
      <c r="H19" s="562"/>
    </row>
    <row r="20">
      <c r="A20" s="562"/>
      <c r="B20" s="564"/>
      <c r="C20" s="562"/>
      <c r="D20" s="562"/>
      <c r="E20" s="562"/>
      <c r="F20" s="562"/>
      <c r="G20" s="562"/>
      <c r="H20" s="562"/>
    </row>
    <row r="21">
      <c r="A21" s="562"/>
      <c r="B21" s="564"/>
      <c r="C21" s="562"/>
      <c r="D21" s="562"/>
      <c r="E21" s="562"/>
      <c r="F21" s="562"/>
      <c r="G21" s="562"/>
      <c r="H21" s="562"/>
    </row>
    <row r="22">
      <c r="A22" s="562"/>
      <c r="B22" s="564"/>
      <c r="C22" s="562"/>
      <c r="D22" s="562"/>
      <c r="E22" s="562"/>
      <c r="F22" s="562"/>
      <c r="G22" s="562"/>
      <c r="H22" s="562"/>
    </row>
    <row r="23">
      <c r="A23" s="562"/>
      <c r="B23" s="564"/>
      <c r="C23" s="562"/>
      <c r="D23" s="562"/>
      <c r="E23" s="562"/>
      <c r="F23" s="562"/>
      <c r="G23" s="562"/>
      <c r="H23" s="562"/>
    </row>
    <row r="24">
      <c r="A24" s="562"/>
      <c r="B24" s="564"/>
      <c r="C24" s="562"/>
      <c r="D24" s="562"/>
      <c r="E24" s="562"/>
      <c r="F24" s="562"/>
      <c r="G24" s="562"/>
      <c r="H24" s="562"/>
    </row>
    <row r="25">
      <c r="A25" s="562"/>
      <c r="B25" s="564"/>
      <c r="C25" s="562"/>
      <c r="D25" s="562"/>
      <c r="E25" s="562"/>
      <c r="F25" s="562"/>
      <c r="G25" s="562"/>
      <c r="H25" s="562"/>
    </row>
    <row r="26">
      <c r="A26" s="562"/>
      <c r="B26" s="564"/>
      <c r="C26" s="562"/>
      <c r="D26" s="562"/>
      <c r="E26" s="562"/>
      <c r="F26" s="562"/>
      <c r="G26" s="562"/>
      <c r="H26" s="562"/>
    </row>
    <row r="27">
      <c r="A27" s="562"/>
      <c r="B27" s="564"/>
      <c r="C27" s="562"/>
      <c r="D27" s="562"/>
      <c r="E27" s="562"/>
      <c r="F27" s="562"/>
      <c r="G27" s="562"/>
      <c r="H27" s="562"/>
    </row>
    <row r="28">
      <c r="A28" s="562"/>
      <c r="B28" s="564"/>
      <c r="C28" s="562"/>
      <c r="D28" s="562"/>
      <c r="E28" s="562"/>
      <c r="F28" s="562"/>
      <c r="G28" s="562"/>
      <c r="H28" s="562"/>
    </row>
    <row r="29">
      <c r="A29" s="562"/>
      <c r="B29" s="564"/>
      <c r="C29" s="562"/>
      <c r="D29" s="562"/>
      <c r="E29" s="562"/>
      <c r="F29" s="562"/>
      <c r="G29" s="562"/>
      <c r="H29" s="562"/>
    </row>
    <row r="30">
      <c r="A30" s="562"/>
      <c r="B30" s="564"/>
      <c r="C30" s="562"/>
      <c r="D30" s="562"/>
      <c r="E30" s="562"/>
      <c r="F30" s="562"/>
      <c r="G30" s="562"/>
      <c r="H30" s="562"/>
    </row>
    <row r="31">
      <c r="A31" s="562"/>
      <c r="B31" s="564"/>
      <c r="C31" s="562"/>
      <c r="D31" s="562"/>
      <c r="E31" s="562"/>
      <c r="F31" s="562"/>
      <c r="G31" s="562"/>
      <c r="H31" s="562"/>
    </row>
    <row r="32">
      <c r="A32" s="562"/>
      <c r="B32" s="564"/>
      <c r="C32" s="562"/>
      <c r="D32" s="562"/>
      <c r="E32" s="562"/>
      <c r="F32" s="562"/>
      <c r="G32" s="562"/>
      <c r="H32" s="562"/>
    </row>
    <row r="33">
      <c r="A33" s="562"/>
      <c r="B33" s="562"/>
      <c r="C33" s="562"/>
      <c r="D33" s="562"/>
      <c r="E33" s="562"/>
      <c r="F33" s="562"/>
      <c r="G33" s="562"/>
      <c r="H33" s="562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614" t="s">
        <v>391</v>
      </c>
      <c r="B1" s="614" t="s">
        <v>392</v>
      </c>
      <c r="C1" s="614" t="s">
        <v>393</v>
      </c>
      <c r="D1" s="614" t="s">
        <v>394</v>
      </c>
      <c r="E1" s="614" t="s">
        <v>395</v>
      </c>
      <c r="F1" s="614" t="s">
        <v>396</v>
      </c>
    </row>
    <row r="2">
      <c r="A2" s="615">
        <v>1</v>
      </c>
      <c r="B2" s="616">
        <v>46324.35932966435</v>
      </c>
      <c r="C2" s="615" t="s">
        <v>397</v>
      </c>
      <c r="D2" s="615" t="s">
        <v>398</v>
      </c>
      <c r="E2" s="615" t="s">
        <v>399</v>
      </c>
      <c r="F2" s="615" t="s">
        <v>400</v>
      </c>
    </row>
  </sheetData>
</worksheet>
</file>