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Supuestos" sheetId="2" r:id="rId5"/>
    <sheet name="Notas_EEFF" sheetId="3" r:id="rId6"/>
    <sheet name="ModeloFinanciero" sheetId="4" r:id="rId7"/>
    <sheet name="_CHECKS" sheetId="5" r:id="rId8"/>
    <sheet name="Generation_PPA" sheetId="6" r:id="rId9"/>
    <sheet name="Source_Register" sheetId="7" r:id="rId10"/>
    <sheet name="_CHANGELOG" sheetId="8" r:id="rId11"/>
    <sheet name="MDA" sheetId="9" r:id="rId12"/>
    <sheet name="Claude Code Log" sheetId="10" r:id="rId13"/>
  </sheets>
  <calcPr calcId="0"/>
</workbook>
</file>

<file path=xl/sharedStrings.xml><?xml version="1.0" encoding="utf-8"?>
<sst xmlns="http://schemas.openxmlformats.org/spreadsheetml/2006/main" count="12165" uniqueCount="1415">
  <si>
    <t>UEP Penonomé II, S. A.</t>
  </si>
  <si>
    <t>Estados Financieros Auditados FY21-FY25</t>
  </si>
  <si>
    <t>en US$ sin escala</t>
  </si>
  <si>
    <t>Años</t>
  </si>
  <si>
    <t>FY21A</t>
  </si>
  <si>
    <t>FY22A</t>
  </si>
  <si>
    <t>FY23A</t>
  </si>
  <si>
    <t>FY24A</t>
  </si>
  <si>
    <t>FY25A</t>
  </si>
  <si>
    <t>FY26E</t>
  </si>
  <si>
    <t>FY27E</t>
  </si>
  <si>
    <t>FY28E</t>
  </si>
  <si>
    <t>FY29E</t>
  </si>
  <si>
    <t>FY30E</t>
  </si>
  <si>
    <t>Estado de Resultado</t>
  </si>
  <si>
    <t>Ingresos por energía</t>
  </si>
  <si>
    <t>Costos de bienes y servicios</t>
  </si>
  <si>
    <t>Utilidad bruta</t>
  </si>
  <si>
    <t>Gastos administrativos</t>
  </si>
  <si>
    <t>Utilidad operativa</t>
  </si>
  <si>
    <t>Costos financieros, neto</t>
  </si>
  <si>
    <t>Otros ingresos</t>
  </si>
  <si>
    <t>Pérdida antes del impuesto sobre la renta</t>
  </si>
  <si>
    <t>Impuesto sobre la renta</t>
  </si>
  <si>
    <t>Pérdida del año</t>
  </si>
  <si>
    <t>Balance General</t>
  </si>
  <si>
    <t>Efectivo y equivalentes de efectivo</t>
  </si>
  <si>
    <t>Deudores comerciales y otras cuentas por cobrar</t>
  </si>
  <si>
    <t>Deuda por cobrar a parte relacionada</t>
  </si>
  <si>
    <t>Gastos pagados por adelantado</t>
  </si>
  <si>
    <t>Inventario</t>
  </si>
  <si>
    <t>Total de activos corrientes</t>
  </si>
  <si>
    <t>Planta y equipo, neto</t>
  </si>
  <si>
    <t>Plusvalía</t>
  </si>
  <si>
    <t>Activos intangibles, neto</t>
  </si>
  <si>
    <t>Fondo de cesantía</t>
  </si>
  <si>
    <t>Total de activos no corrientes</t>
  </si>
  <si>
    <t>Total de activos</t>
  </si>
  <si>
    <t>Bonos por pagar</t>
  </si>
  <si>
    <t>Proveedores y otras cuentas por pagar</t>
  </si>
  <si>
    <t>Pasivos por arrendamiento</t>
  </si>
  <si>
    <t>Total de pasivos corrientes</t>
  </si>
  <si>
    <t>Impuesto sobre la renta diferido</t>
  </si>
  <si>
    <t>Provisiones</t>
  </si>
  <si>
    <t>Instrumento financiero derivado</t>
  </si>
  <si>
    <t>Total de pasivos no corrientes</t>
  </si>
  <si>
    <t>Total de pasivos</t>
  </si>
  <si>
    <t>Acciones comunes con un valor nominal de US$1 cada una; autorizadas y emitidas: 1,050 acciones</t>
  </si>
  <si>
    <t>Contribución de capital</t>
  </si>
  <si>
    <t>Déficit acumulado</t>
  </si>
  <si>
    <t>Impuesto complementario</t>
  </si>
  <si>
    <t>Total de patrimonio</t>
  </si>
  <si>
    <t>Total de pasivos y patrimonio</t>
  </si>
  <si>
    <t>Estado de Flujos de Efectivo</t>
  </si>
  <si>
    <t>Pérdida antes del impuestos sobre la renta</t>
  </si>
  <si>
    <t>Depreciación y amortización</t>
  </si>
  <si>
    <t>Amortización de costos financieros</t>
  </si>
  <si>
    <t>Intereses sobre bonos y pasivos por arrendamiento</t>
  </si>
  <si>
    <t>Interés ganado</t>
  </si>
  <si>
    <t>Ganancia en valor razonable de instrumento financiero derivado</t>
  </si>
  <si>
    <t>Proveedores, otras cuentas por pagar y provisiones</t>
  </si>
  <si>
    <t>Gastos pagados por adelantado y fondo de cesantía</t>
  </si>
  <si>
    <t>Impuesto sobre la renta pagado</t>
  </si>
  <si>
    <t>Efectivo neto provisto por actividades de operación</t>
  </si>
  <si>
    <t>Adiciones de planta y equipo</t>
  </si>
  <si>
    <t>Adiciones de activos intangibles</t>
  </si>
  <si>
    <t>Cobro de préstamo entre partes relacionadas</t>
  </si>
  <si>
    <t>Intereses recibidos - con partes relacionadas</t>
  </si>
  <si>
    <t>Efectivo neto provisto por actividades de inversión</t>
  </si>
  <si>
    <t>Pago de bonos emitidos</t>
  </si>
  <si>
    <t>Intereses pagados</t>
  </si>
  <si>
    <t>Intereses pagados por arrendamiento</t>
  </si>
  <si>
    <t>Pago por instrumento financiero derivado</t>
  </si>
  <si>
    <t>Dividendos pagados</t>
  </si>
  <si>
    <t>Reducción de capital</t>
  </si>
  <si>
    <t>Pagos de principal de arrendamiento</t>
  </si>
  <si>
    <t>Efectivo neto utilizado en actividades de financiamiento</t>
  </si>
  <si>
    <t>Aumento (disminución) neto en efectivo y equivalentes de efectivo</t>
  </si>
  <si>
    <t>Efectivo y equivalentes de efectivo al inicio del año</t>
  </si>
  <si>
    <t>Efectivo y equivalentes de 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</si>
  <si>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</si>
  <si>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</si>
  <si>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</si>
  <si>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</si>
  <si>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</si>
  <si>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</si>
  <si>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</si>
  <si>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</si>
  <si>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</si>
  <si>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</si>
  <si>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</si>
  <si>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</si>
  <si>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PRODUCCIÓN POR PARQUE (MWh neto = MW × 8.760 h × CF neto; el CF histórico ya embebe wake+AVF)</t>
  </si>
  <si>
    <t xml:space="preserve">  Factor de planta NETO (CF) — activo</t>
  </si>
  <si>
    <t>%</t>
  </si>
  <si>
    <t>a working file kept by the maintainer</t>
  </si>
  <si>
    <t xml:space="preserve">    Bear</t>
  </si>
  <si>
    <t>Escenario driver citado; NOT_DISCLOSED si no hay fuente explícita.</t>
  </si>
  <si>
    <t xml:space="preserve">    Base</t>
  </si>
  <si>
    <t xml:space="preserve">    Bull</t>
  </si>
  <si>
    <t xml:space="preserve">  Disponibilidad (AVF) — memo (ya embebida en CF neto)</t>
  </si>
  <si>
    <t xml:space="preserve">  Horas / año</t>
  </si>
  <si>
    <t>horas/año</t>
  </si>
  <si>
    <t xml:space="preserve">  Nuevo Chagres — 62.5 MW (wake 12.4%)</t>
  </si>
  <si>
    <t>MW</t>
  </si>
  <si>
    <t>Derivación mecánica por fórmula viva.</t>
  </si>
  <si>
    <t xml:space="preserve">  Rosa de los Vientos I — 52.5 MW (wake 8.0%)</t>
  </si>
  <si>
    <t xml:space="preserve">  Rosa de los Vientos II — 50 MW (wake 6.0%)</t>
  </si>
  <si>
    <t xml:space="preserve">  Marañón — 17.5 MW (wake 7.0%)</t>
  </si>
  <si>
    <t xml:space="preserve">  Portobelo Ballestillas — 32.5 MW (wake 8.0%)</t>
  </si>
  <si>
    <t xml:space="preserve">  Generación neta total (MWh)</t>
  </si>
  <si>
    <t>MWh</t>
  </si>
  <si>
    <t>Suma mecánica del bloque.</t>
  </si>
  <si>
    <t>B. PRECIOS POR FUENTE ($/MWh)</t>
  </si>
  <si>
    <t xml:space="preserve">  PPA contratado ($/MWh, 75% fijo + 25% IPC)</t>
  </si>
  <si>
    <t xml:space="preserve">  Spot / merchant ($/MWh) — activo</t>
  </si>
  <si>
    <t xml:space="preserve">  Reserva Tecnisol ($/MWh)</t>
  </si>
  <si>
    <t>C. VOLUMEN POR CANAL (MWh, con cliffs PPA por parque)</t>
  </si>
  <si>
    <t xml:space="preserve">  MWh PPA contratado (DISCOs)</t>
  </si>
  <si>
    <t xml:space="preserve">  MWh reserva (Tecnisol, Rosa II)</t>
  </si>
  <si>
    <t xml:space="preserve">  MWh spot / merchant (residual)</t>
  </si>
  <si>
    <t>D. INGRESO POR FUENTE ($ = MWh × precio)</t>
  </si>
  <si>
    <t xml:space="preserve">  Ingreso energía FY25A (auditado, ref EEFF)</t>
  </si>
  <si>
    <t>EEFF:Ingresos por energía</t>
  </si>
  <si>
    <t>Mirror histórico desde fuente citada.</t>
  </si>
  <si>
    <t xml:space="preserve">  Ingreso PPA</t>
  </si>
  <si>
    <t xml:space="preserve">  Ingreso reserva Tecnisol</t>
  </si>
  <si>
    <t xml:space="preserve">  Ingreso spot / merchant</t>
  </si>
  <si>
    <t xml:space="preserve">  Compensación pérdidas transmisión</t>
  </si>
  <si>
    <t xml:space="preserve">  (memo) Potencia firme — embebida en PPA $/MWh (no sumada)</t>
  </si>
  <si>
    <t>Derivación mecánica declarada por el plan.</t>
  </si>
  <si>
    <t xml:space="preserve">  TOTAL INGRESO ENERGÍA</t>
  </si>
  <si>
    <t>E. O&amp;M Y COSTOS OPERATIVOS ($)</t>
  </si>
  <si>
    <t xml:space="preserve">  O&amp;M variable ($/MWh) [Goldwind SMA]</t>
  </si>
  <si>
    <t xml:space="preserve">  O&amp;M variable total ($)</t>
  </si>
  <si>
    <t xml:space="preserve">  O&amp;M fijo: subestación (AES)</t>
  </si>
  <si>
    <t xml:space="preserve">  O&amp;M fijo: compensación wake (AES)</t>
  </si>
  <si>
    <t xml:space="preserve">  O&amp;M fijo: reserva mantenimiento mayor (MMR)</t>
  </si>
  <si>
    <t xml:space="preserve">  Seguros</t>
  </si>
  <si>
    <t xml:space="preserve">  Depreciación y amortización</t>
  </si>
  <si>
    <t xml:space="preserve">  TOTAL COSTO DE ENERGÍA (COGS)</t>
  </si>
  <si>
    <t xml:space="preserve">  Gasto admin (CMA InterEnergy)</t>
  </si>
  <si>
    <t xml:space="preserve">  Cargo transmisión ASEP</t>
  </si>
  <si>
    <t xml:space="preserve">  Otros G&amp;A</t>
  </si>
  <si>
    <t xml:space="preserve">  TOTAL GASTOS ADMIN (G&amp;A)</t>
  </si>
  <si>
    <t>Notas a los Estados Financieros</t>
  </si>
  <si>
    <t>Fuente: Estados Financieros Auditados FY21-FY25 (OCR Mistral). Entidad: UEP Penonomé II, S. A. STANDALONE (no Grupo Tecnisol combinado, no Fideicomiso FID-135). Notas verbatim en español. Años: 2025/2024 del informe INA_UEPPSA_2025; 2023 del INA_UEPPSA_2024; 2022 del INA_UEPPSA_2023; 2021 del INA_UEPPSA_2022 (criterio: informe más reciente para años solapados).</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</si>
  <si>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</si>
  <si>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</si>
  <si>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</si>
  <si>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</si>
  <si>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</si>
  <si>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</si>
  <si>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</si>
  <si>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</si>
  <si>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</si>
  <si>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</si>
  <si>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</si>
  <si>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</si>
  <si>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</si>
  <si>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</si>
  <si>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</si>
  <si>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</si>
  <si>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</si>
  <si>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</si>
  <si>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</si>
  <si>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</si>
  <si>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2025</t>
  </si>
  <si>
    <t>INA_UEPPSA_2025_0.pdf</t>
  </si>
  <si>
    <t>page-36</t>
  </si>
  <si>
    <t>markdown.md</t>
  </si>
  <si>
    <t>1. Información General</t>
  </si>
  <si>
    <t>Otros</t>
  </si>
  <si>
    <t>Constitución y actividad</t>
  </si>
  <si>
    <t>UEP Penonomé II, S. A. (la “Compañía”) se constituyó el 18 de enero de 2013 bajo las leyes de la República de Panamá. La Compañía se dedica a la producción de electricidad a través de cinco parques eólicos ubicados en Penonomé, Provincia de Coclé, República de Panamá.</t>
  </si>
  <si>
    <t>US$</t>
  </si>
  <si>
    <t>sin escala</t>
  </si>
  <si>
    <t>18 de enero de 2013</t>
  </si>
  <si>
    <t>Define el activo: 5 parques eólicos, 215 MW; base del build de generación.</t>
  </si>
  <si>
    <t>OK</t>
  </si>
  <si>
    <t>Partes relacionadas</t>
  </si>
  <si>
    <t>Controladora última</t>
  </si>
  <si>
    <t>La última sociedad controladora de UEP Penonomé II, S. A. es Basic Energy Ltd., constituida en las Bahamas.</t>
  </si>
  <si>
    <t>Basic Energy Ltd. (Bahamas)</t>
  </si>
  <si>
    <t>Licencia ASEP</t>
  </si>
  <si>
    <t>El regulador local, la Autoridad Nacional de Servicios Públicos (ASEP), aprobó la licencia de generación de electricidad de la Compañía con capacidad de 215 MW (Nota 19).</t>
  </si>
  <si>
    <t>ASEP</t>
  </si>
  <si>
    <t>Capacidad instalada 215 MW = techo físico de generación.</t>
  </si>
  <si>
    <t>Domicilio</t>
  </si>
  <si>
    <t>La Compañía está ubicada en Edificio Plaza 58, Piso 9, Calle 58E, Obarrío, República de Panamá, y las turbinas eólicas están ubicadas en Penonomé, Provincia de Coclé, República de Panamá.</t>
  </si>
  <si>
    <t>Subsequent events</t>
  </si>
  <si>
    <t>Aprobación de emisión</t>
  </si>
  <si>
    <t>Estos estados financieros han sido aprobados para su emisión por el Gerente de Finanzas el 28 de febrero de 2026.</t>
  </si>
  <si>
    <t>28 de febrero de 2026</t>
  </si>
  <si>
    <t>page-37</t>
  </si>
  <si>
    <t>2. Resumen de las Políticas Contables Materiales</t>
  </si>
  <si>
    <t>Políticas contables</t>
  </si>
  <si>
    <t>Base de Preparación</t>
  </si>
  <si>
    <t>Los estados financieros de la Compañía han sido preparados de acuerdo con las Normas Internacionales de Información Financiera emitidas por la Junta de Normas Internacionales de Contabilidad (IASB, por sus siglas en inglés) (Normas de Contabilidad NIIF). Los estados financieros han sido preparados sobre la base del costo histórico. En los estados financieros de la Compañía no se presenta el Estado de Otro Resultado Integral, debido a que no hay partidas que requieran una presentación separada de este estado. La preparación de los estados financieros en conformidad con las Normas de Contabilidad NIIF requiere el uso de ciertas estimaciones de contabilidad críticas. También requiere que la Administración use su juicio en el proceso de la aplicación de las políticas contables de la Compañía. Las áreas que involucran un alto grado de juicio o complejidad, o áreas donde los supuestos y estimaciones son significativos para los estados financieros, se revelan en la Nota 4.</t>
  </si>
  <si>
    <t>NIIF, costo histórico; sin OCI. Base contable del modelo.</t>
  </si>
  <si>
    <t>Nuevas Normas y Enmiendas Adoptadas por la Compañía (NIC 21)</t>
  </si>
  <si>
    <t>La Compañía ha aplicado las siguientes modificaciones por primera vez para su período de reporte anual que comienza el 1 de enero de 2025: Falta de Convertibilidad - Modificaciones a la NIC 21, “Efectos de las variaciones en las tasas de cambio de la Moneda Extranjera”... La Compañía determinó que las modificaciones no tuvieron un impacto significativo en sus estados financieros.</t>
  </si>
  <si>
    <t>vigente 1 enero 2025</t>
  </si>
  <si>
    <t>Decisiones del Comité de Interpretaciones de las NIIF (NIC 38; garantías)</t>
  </si>
  <si>
    <t>En 2025 se emitieron las siguientes decisiones que podrían ser relevantes...: Reconocimiento de Activos Intangibles por Gastos Relacionados con el Clima (NIC 38)... Garantías Emitidas sobre Obligaciones de Otras Entidades... La Compañía determinó que las interpretaciones no tuvieron un impacto significativo en sus estados financieros.</t>
  </si>
  <si>
    <t>page-38</t>
  </si>
  <si>
    <t>Nuevas Normas no Adoptadas (NIIF 9/7 clasificación y medición)</t>
  </si>
  <si>
    <t>Se han publicado ciertas nuevas normas contables y modificaciones... que la Compañía no ha adoptado anticipadamente. Modificaciones a la Clasificación y Medición de Instrumentos Financieros - Modificaciones a las NIIF 9 y NIIF 7. ... estarán vigentes para los períodos anuales que comiencen a partir del 1 de enero de 2026, permitiéndose su aplicación anticipada. La administración está evaluando las implicaciones detalladas...</t>
  </si>
  <si>
    <t>vigente 1 enero 2026</t>
  </si>
  <si>
    <t>Nuevas Normas no Adoptadas (NIIF 9/7 electricidad dependiente de la naturaleza)</t>
  </si>
  <si>
    <t>Contratos que Hacen Referencia a la Electricidad Dependiente de la Naturaleza - Modificaciones a las NIIF 9 y NIIF 7: ... (a) aclaran la aplicación del criterio de “uso propio” a los contratos de electricidad dependiente de la naturaleza; (b) permiten la contabilidad de coberturas si estos contratos se utilizan como instrumentos de cobertura; y (c) añaden nuevos requisitos de información a revelar... estarán vigentes para los periodos anuales que comiencen a partir del 1 de enero de 2026, permitiéndose su aplicación anticipada.</t>
  </si>
  <si>
    <t>Nuevas Normas no Adoptadas (NIIF 18)</t>
  </si>
  <si>
    <t>NIIF 18, “Presentación y revelación en estados financieros”... La NIIF 18 entró en vigor el 1 de enero de 2027 y aún no ha sido adoptada por la Compañía. ... La Compañía informa actualmente a los accionistas sobre una medida de EBITDA ajustado. La Compañía espera que esta medida cumpla con la definición de una medida de rendimiento definida por la administración.</t>
  </si>
  <si>
    <t>vigente 1 enero 2027</t>
  </si>
  <si>
    <t>La Compañía reporta EBITDA ajustado a accionistas (medida de gestión).</t>
  </si>
  <si>
    <t>page-40</t>
  </si>
  <si>
    <t>Unidad Monetaria y Moneda Funcional</t>
  </si>
  <si>
    <t>Los estados financieros están expresados en dólares (US$), unidad monetaria de los Estados Unidos de América, la cual está a la par con el Balboa (B/.), unidad monetaria de la República de Panamá. El dólar (US$) circula y es de libre cambio en la República de Panamá y es la moneda funcional.</t>
  </si>
  <si>
    <t>Moneda funcional US$ (=B/. 1:1); sin exposición FX material.</t>
  </si>
  <si>
    <t>Segmentos</t>
  </si>
  <si>
    <t>Información de Segmento</t>
  </si>
  <si>
    <t>Las operaciones del negocio de la Compañía están organizadas y manejadas como un solo segmento de negocios que es el de operar las plantas generadoras dentro del entorno económico de generación eléctrica. Adicionalmente, la organización interna y de reporte de la Compañía está predominantemente basada en un solo segmento de negocio.</t>
  </si>
  <si>
    <t>Un solo segmento (generación eléctrica) → modelo single-segment.</t>
  </si>
  <si>
    <t>Cuentas por cobrar</t>
  </si>
  <si>
    <t>Activos Financieros / Deudores Comerciales (ECL NIIF 9 simplificado)</t>
  </si>
  <si>
    <t>La Compañía clasifica sus activos financieros en la categoría de préstamos y cuentas por cobrar... Los deudores se reconocen inicialmente por el monto de la contraprestación... y posteriormente se miden al costo amortizado utilizando el método de interés efectivo, menos la provisión por deterioro... Se establece una provisión por deterioro de cuentas comerciales por cobrar aplicando el enfoque simplificado de la NIIF 9 para medir las pérdidas crediticias esperadas...</t>
  </si>
  <si>
    <t>AR a costo amortizado; ECL enfoque simplificado.</t>
  </si>
  <si>
    <t>Working capital</t>
  </si>
  <si>
    <t>Gastos Pagados por Adelantado</t>
  </si>
  <si>
    <t>Los gastos pagados por anticipado están relacionados principalmente con anticipos a proveedores, seguros pagados por anticipado y cartas de crédito. ... Los gastos pagados por anticipado y otros activos se registran inicialmente como activos, pero su valor se reconoce a lo largo del tiempo en el estado de resultados.</t>
  </si>
  <si>
    <t>page-41</t>
  </si>
  <si>
    <t>PP&amp;E / capex / depreciación</t>
  </si>
  <si>
    <t>Planta y Equipo</t>
  </si>
  <si>
    <t>La planta y equipo se registran al costo, menos la depreciación, amortización acumulada y las pérdidas por deterioro. La depreciación y amortización se calculan con el método de línea recta sobre la vida útil estimada del activo. ... La Compañía cuenta con un programa de mantenimiento... basado en las horas de operación equivalentes (EOH). ... La planta y el equipo incluyen los intereses de los financiamientos que se atribuyen directamente a la construcción de los activos.</t>
  </si>
  <si>
    <t>Depreciación lineal sobre vida útil; capitaliza intereses de construcción.</t>
  </si>
  <si>
    <t>page-42</t>
  </si>
  <si>
    <t>tbl-13.html</t>
  </si>
  <si>
    <t>Tasas de depreciación y amortización</t>
  </si>
  <si>
    <t>Equipo de transporte</t>
  </si>
  <si>
    <t>25%</t>
  </si>
  <si>
    <t>Tasa de depreciación anual por clase de activo (input del schedule de PP&amp;E).</t>
  </si>
  <si>
    <t>Edificios</t>
  </si>
  <si>
    <t>2.50%</t>
  </si>
  <si>
    <t>Herramientas, equipo menor y otros activos</t>
  </si>
  <si>
    <t>Mobiliario y equipo de oficina</t>
  </si>
  <si>
    <t>Instalaciones de planta y generadores</t>
  </si>
  <si>
    <t>5% - 10%</t>
  </si>
  <si>
    <t>Generadores 5%-10% → vida útil ~10-20 años; driver clave de la depreciación.</t>
  </si>
  <si>
    <t>Propiedad arrendada</t>
  </si>
  <si>
    <t>5%</t>
  </si>
  <si>
    <t>Consisten en piezas de repuesto consumibles... Los inventarios se valúan al costo o al valor neto realizable, el que sea menor. ... El costo se determina utilizando el método de costo promedio ponderado. Se establece una provisión para el inventario obsoleto de piezas de repuesto...</t>
  </si>
  <si>
    <t>Inventario = repuestos; costo promedio ponderado.</t>
  </si>
  <si>
    <t>Deterioro de Activos de Larga Vida</t>
  </si>
  <si>
    <t>La planta y equipo y otros activos no corrientes... son revisados por deterioro cuando eventos o cambios en las circunstancias indiquen que el valor en libros puede no ser recuperable. Los activos intangibles que tienen una vida útil indefinida no están sujetos a amortización y se prueban anualmente por deterioro... el monto recuperable es el mayor del valor razonable de un activo menos los costos de disposición y el valor en uso.</t>
  </si>
  <si>
    <t>Deuda / bonos / préstamos / leases</t>
  </si>
  <si>
    <t>Pasivos por Arrendamiento (NIIF 16)</t>
  </si>
  <si>
    <t>La Compañía aplica la NIIF 16 Arrendamientos... Al inicio de un arrendamiento, la Compañía reconoce un activo por derecho de uso (ROU) y un pasivo por arrendamiento, medido inicialmente al valor presente de los pagos futuros... Los pagos por arrendamiento se descuentan utilizando la tasa de interés implícita en el arrendamiento, cuando sea fácilmente determinable.</t>
  </si>
  <si>
    <t>ROU/lease bajo NIIF 16; ver Nota 9 (tasa descuento 7.5%).</t>
  </si>
  <si>
    <t>Intangibles</t>
  </si>
  <si>
    <t>Activos Intangibles - Servidumbre por Derecho de Paso</t>
  </si>
  <si>
    <t>Servidumbre por Derecho de Paso: Representa el valor atribuible al derecho de paso de una línea de transmisión de alta tensión por un período de 25 años, en virtud de un contrato a largo plazo con el propietario del terreno y las Compañías. Los activos intangibles se reconocen al costo y posteriormente se miden al costo menos la amortización acumulada... a lo largo de su vida útil estimada de 25 años.</t>
  </si>
  <si>
    <t>25 años</t>
  </si>
  <si>
    <t>Intangible = servidumbre, amortización lineal 25 años.</t>
  </si>
  <si>
    <t>La plusvalía surge y representa el exceso de la contraprestación transferida... sobre el valor razonable de los activos netos identificables adquiridos. La plusvalía no se amortiza, pero se comprueba su deterioro anualmente...</t>
  </si>
  <si>
    <t>Plusvalía no se amortiza; test de deterioro anual (Nota 11).</t>
  </si>
  <si>
    <t>Cuentas por pagar</t>
  </si>
  <si>
    <t>Proveedores y Otras Cuentas por Pagar</t>
  </si>
  <si>
    <t>Los proveedores y otras cuentas por pagar son obligaciones de pago por bienes o servicios... Se reconocen inicialmente a su valor razonable y posteriormente se miden a costo amortizado utilizando el método del interés efectivo.</t>
  </si>
  <si>
    <t>Provisión - Obligación de Retiro de Activos (ARO)</t>
  </si>
  <si>
    <t>La provisión para obligaciones por retiro de activos (ARO) se mide al valor actual de los desembolsos que se espera que sean necesarios para liquidar la obligación... La Compañía ha reconocido obligaciones no corrientes para el desmantelamiento y la retirada de sus activos al final de su vida útil.</t>
  </si>
  <si>
    <t>ARO de desmantelamiento; ver Provisiones (EEFF) y costo financiero de desmantelamiento.</t>
  </si>
  <si>
    <t>Bonos por Pagar</t>
  </si>
  <si>
    <t>Los bonos por pagar se reconocen inicialmente a su valor razonable, neto de los costos de transacción incurridos. Los bonos por pagar se registran posteriormente a costo amortizado utilizando el método de interés efectivo; se clasifican como pasivos corrientes a menos que la Compañía mantenga el derecho incondicional de diferir el pasivo durante al menos doce meses...</t>
  </si>
  <si>
    <t>Bonos a costo amortizado (interés efectivo); ver Nota 13.</t>
  </si>
  <si>
    <t>Intereses</t>
  </si>
  <si>
    <t>Costos Financieros</t>
  </si>
  <si>
    <t>Los costos financieros generales y específicos directamente atribuidos a la adquisición, construcción o producción de activos calificados... se añaden al costo de dichos activos... Todos los costos financieros se reconocen en el estado del resultado en el período en que se incurren.</t>
  </si>
  <si>
    <t>Impuestos</t>
  </si>
  <si>
    <t>Impuesto sobre la Renta Corriente y Diferido</t>
  </si>
  <si>
    <t>El gasto del impuesto sobre la renta para el período comprende del impuesto sobre la renta corriente y diferido... El impuesto sobre la renta diferido se provisiona en su totalidad utilizando el método de pasivo, cuando surgen diferencias temporarias entre las bases fiscales de los activos y pasivos y sus valores en libros... se determina utilizando las tasas impositivas que han sido promulgadas o sustancialmente promulgadas a la fecha del balance general...</t>
  </si>
  <si>
    <t>ISR corriente + diferido (método de pasivo). Ver Nota 18 (tasa 25%/CAIR).</t>
  </si>
  <si>
    <t>Opex</t>
  </si>
  <si>
    <t>Beneficio a Empleados</t>
  </si>
  <si>
    <t>Plan de Beneficios Definidos para Colaboradores (prima de antigüedad e indemnización): La Ley del Trabajo panameña estableció una prima de antigüedad de servicio... equivalente al 1.92% de los salarios pagados en el año... La Ley No. 44 de 12 de agosto de 1995 estableció... la obligación del empleador de constituir un fondo de cesantías... Plan de Contribución Definida: De acuerdo con la Ley No.51 del 27 de diciembre de 2005... La contribución para el año asciende a US$41,351 (2024: US$36,259).</t>
  </si>
  <si>
    <t>prima antigüedad 1.92%</t>
  </si>
  <si>
    <t>Beneficios laborales (prima antigüedad 1.92%; fondo de cesantía).</t>
  </si>
  <si>
    <t>Capital / patrimonio / dividendos</t>
  </si>
  <si>
    <t>Patrimonio</t>
  </si>
  <si>
    <t>El patrimonio está constituido por: Acciones comunes... acciones ordinarias nominativas no endosables de US$1 de valor nominal cada una. Contribución de capital: representa el exceso sobre el valor nominal del valor razonable de la contraprestación recibida... Déficit acumulado: representa las ganancias y pérdidas acumuladas. Se realiza una provisión para dividendos por el monto de cualquier dividendo declarado, debidamente autorizado por la Junta Directiva...</t>
  </si>
  <si>
    <t>Ingresos</t>
  </si>
  <si>
    <t>Reconocimiento de Ingresos por Energía (NIIF 15)</t>
  </si>
  <si>
    <t>La Compañía reconoce los ingresos por energía en los períodos en que entrega electricidad. Los precios contratados son facturados según las provisiones aplicables a los contratos de venta de energía y las ventas de mercado ocasional se facturan según los precios actuales del mercado. La unidad de medida de los precios contratados es dólar por megavatio hora ($/MWh). ... Según la NIIF 15, la Compañía reconoció los ingresos de los contratos con clientes en base al modelo de cinco pasos... la Compañía continúa reconociendo ingresos a lo largo del tiempo en lugar de un tiempo determinado.</t>
  </si>
  <si>
    <t>$/MWh</t>
  </si>
  <si>
    <t>Ingreso = energía entregada; PPA + mercado ocasional; precios en $/MWh.</t>
  </si>
  <si>
    <t>Driver de ingresos: MWh × $/MWh (contratado vs ocasional).</t>
  </si>
  <si>
    <t>page-47</t>
  </si>
  <si>
    <t>3. Administración de Riesgos Financieros</t>
  </si>
  <si>
    <t>Riesgo financiero</t>
  </si>
  <si>
    <t>Factores de Riesgos Financieros</t>
  </si>
  <si>
    <t>Las actividades de la Compañía la exponen a una variedad de riesgos financieros: riesgo de mercado (incluyendo riesgo de moneda, riesgo de tasa de interés del valor razonable y riesgo de tasa de interés de flujo de efectivo), riesgo de crédito y riesgo de liquidez. La gestión del riesgo financiero es llevada a cabo por el Gerente General y el Director del Departamento de Finanzas bajo la supervisión de la Junta Directiva.</t>
  </si>
  <si>
    <t>Riesgo de Mercado - Riesgo Cambiario</t>
  </si>
  <si>
    <t>La Compañía no está sustancialmente expuesta a la fluctuación del cambio de moneda extranjera ya que sus ingresos, gastos y balances están expresados principalmente en dólares americanos (US$).</t>
  </si>
  <si>
    <t>page-48</t>
  </si>
  <si>
    <t>Riesgo de Tasa de Interés / Sensibilidad</t>
  </si>
  <si>
    <t>El riesgo de la tasa de interés se origina principalmente de los bonos a largo plazo con tasas de interés fijas. La Compañía ha emitido bonos a una tasa de interés fija (Nota 13).</t>
  </si>
  <si>
    <t>Deuda a tasa FIJA (6.5%) → sin riesgo de tasa flotante en el modelo.</t>
  </si>
  <si>
    <t>Riesgo de Crédito - concentración</t>
  </si>
  <si>
    <t>La Compañía cuenta con una concentración de sus ingresos y cuentas por cobrar con las tres empresas distribuidoras que operan en la República de Panamá. Las ventas de energía a estos clientes representan aproximadamente 93% (2024: 84%) del total de los ingresos y 90% (2024: 89%) del total de las cuentas por cobrar al final del período. ... Por cada contrato de compra de energía (PPA) se requiere una garantía y el término de pago de las facturas... está promediado en un rango de 30 días... No se presentaron eventos de incumplimiento debido a facturas no pagadas al 31 de diciembre de 2025 y 2024.</t>
  </si>
  <si>
    <t>cobro ~30 días</t>
  </si>
  <si>
    <t>Concentración: 3 DISCOs = 93% ingresos (2024:84%), 90% AR; cobro ~30 días.</t>
  </si>
  <si>
    <t>DSO ~30 días para el working capital.</t>
  </si>
  <si>
    <t>Riesgo de Liquidez</t>
  </si>
  <si>
    <t>El riesgo de liquidez es el riesgo de la Compañía de no cumplir con todas sus obligaciones. La Compañía reduce este riesgo manteniendo los niveles adecuados de efectivo... Los pasivos corrientes se cubren por el flujo de efectivo generado de las operaciones.</t>
  </si>
  <si>
    <t>page-51</t>
  </si>
  <si>
    <t>Gestión de Riesgo de Capital (deuda/EBITDA)</t>
  </si>
  <si>
    <t>Los objetivos de la Compañía al administrar el capital son salvaguardar la habilidad de la Compañía de continuar como negocio en marcha... El capital es monitoreado por la relación deuda (bonos por pagar) a EBITDA.</t>
  </si>
  <si>
    <t>Métrica de capital = Bonos/EBITDA (ver tabla índice EBITDA).</t>
  </si>
  <si>
    <t>Instrumentos financieros</t>
  </si>
  <si>
    <t>Estimación del Valor Razonable</t>
  </si>
  <si>
    <t>El valor en libros del efectivo y equivalentes de efectivo, deudores comerciales y otras cuentas por cobrar, proveedores y otras cuentas por pagar se aproxima a su valor razonable debido a la naturaleza a corto plazo. El valor razonable de los bonos por pagar se detalla en la Nota 13.</t>
  </si>
  <si>
    <t>tbl-14.html</t>
  </si>
  <si>
    <t>Calidad crediticia (efectivo en bancos y cuentas de fondo fiduciario)</t>
  </si>
  <si>
    <t>A+/AA- (2024: A+/AA-)</t>
  </si>
  <si>
    <t>BB/BBB- (2024: BBB-/BB+)</t>
  </si>
  <si>
    <t>Total efectivo en bancos y cuentas de fondo fiduciario</t>
  </si>
  <si>
    <t>fila de total (sin etiqueta en el original)</t>
  </si>
  <si>
    <t>2024</t>
  </si>
  <si>
    <t>2023</t>
  </si>
  <si>
    <t>INA_UEPPSA_2024_0.pdf</t>
  </si>
  <si>
    <t>A+/AA- (2023: A+/AA-)</t>
  </si>
  <si>
    <t>BB/BBB- (2023: BBB-/BB+)</t>
  </si>
  <si>
    <t>Total efectivo en bancos y cuentas de fondos fiduciarios</t>
  </si>
  <si>
    <t>fila de total</t>
  </si>
  <si>
    <t>2022</t>
  </si>
  <si>
    <t>INA_UEPPSA_2023_0.pdf</t>
  </si>
  <si>
    <t>page-49</t>
  </si>
  <si>
    <t>A+/AA- (2022:A)</t>
  </si>
  <si>
    <t>BBB-/BB+ (2022:AA-)</t>
  </si>
  <si>
    <t>2021</t>
  </si>
  <si>
    <t>INA_UEPPSA_2022_0.pdf</t>
  </si>
  <si>
    <t>Efectivo en bancos y cuentas de fondos fiduciarios (A y AA-)</t>
  </si>
  <si>
    <t>tbl-15.html</t>
  </si>
  <si>
    <t>Análisis de vencimientos - pasivos financieros no derivados (flujos contractuales no descontados)</t>
  </si>
  <si>
    <t>Bonos por pagar: Menos de 1 año 28143108; Entre 1 y 2 años 28213588; Entre 2 y 5 años 76436455; Más de 5 años 163773388; Total 296566539</t>
  </si>
  <si>
    <t>flujos contractuales no descontados</t>
  </si>
  <si>
    <t>Perfil de vencimientos de deuda/leases (laddering) para el schedule de deuda.</t>
  </si>
  <si>
    <t>Pasivos por arrendamiento: Menos de 1 año 871662; Entre 1 y 2 años 896165; Entre 2 y 5 años 2844363; Más de 5 años 6996168; Total 11608358</t>
  </si>
  <si>
    <t>Proveedores y otras cuentas por pagar: Menos de 1 año 2311149; Entre 1 y 2 años -; Entre 2 y 5 años -; Más de 5 años -; Total 2311149</t>
  </si>
  <si>
    <t>Bonos por pagar: Menos de 1 año 28018320; Entre 1 y 2 años 28143108; Entre 2 y 5 años 84043095; Más de 5 años 184380335; Total 324584858</t>
  </si>
  <si>
    <t>Pasivos por arrendamiento: Menos de 1 año 847990; Entre 1 y 2 años 871662; Entre 2 y 5 años 2765507; Más de 5 años 7971188; Total 12456347</t>
  </si>
  <si>
    <t>Proveedores y otras cuentas por pagar: Menos de 1 año 1419947; Entre 1 y 2 años -; Entre 2 y 5 años -; Más de 5 años -; Total 1419947</t>
  </si>
  <si>
    <t>Bonos por pagar: Menos de 1 año 27721390; Entre 1 y 2 años 28018320; Entre 2 y 5 años 84269735; Más de 5 años 212296803; Total 352306248</t>
  </si>
  <si>
    <t>Pasivos por arrendamiento: Menos de 1 año 825118; Entre 1 y 2 años 847990; Entre 2 y 5 años 2689361; Más de 5 años 8918996; Total 13281465</t>
  </si>
  <si>
    <t>Proveedores y otras cuentas por pagar: Menos de 1 año 2536737; Entre 1 y 2 años -; Entre 2 y 5 años -; Más de 5 años -; Total 2536737</t>
  </si>
  <si>
    <t>page-50</t>
  </si>
  <si>
    <t>Bonos por pagar: Menos de 1 año 26885088; Entre 1 y 2 años 27721390; Entre 2 y 5 años 84375015; Más de 5 años 240209843; Total 379191336</t>
  </si>
  <si>
    <t>Pasivos por arrendamiento: Menos de 1 año 803013; Entre 1 y 2 años 825118; Entre 2 y 5 años 2615817; Más de 5 años 9840530; Total 14084478</t>
  </si>
  <si>
    <t>Proveedores y otras cuentas por pagar: Menos de 1 año 1285733; Entre 1 y 2 años -; Entre 2 y 5 años -; Más de 5 años -; Total 1285733</t>
  </si>
  <si>
    <t>Bonos por pagar: Menos de 1 año 26458475; Entre 1 y 2 años 26885088; Entre 2 y 5 años 83882818; Más de 5 años 268423430; Total 405649811</t>
  </si>
  <si>
    <t>Pasivos por arrendamiento: Menos de 1 año 781645; Entre 1 y 2 años 803013; Entre 2 y 5 años 2544768; Más de 5 años 10736695; Total 14866121</t>
  </si>
  <si>
    <t>Proveedores y otras cuentas por pagar: Menos de 1 año 2652919; Entre 1 y 2 años -; Entre 2 y 5 años -; Más de 5 años -; Total 2652919</t>
  </si>
  <si>
    <t>tbl-16.html</t>
  </si>
  <si>
    <t>Conciliación de deuda neta (composición)</t>
  </si>
  <si>
    <t>EEFF!F20</t>
  </si>
  <si>
    <t>Deuda neta</t>
  </si>
  <si>
    <t>Deuda neta = base de credit metrics.</t>
  </si>
  <si>
    <t>subtotal deuda neta</t>
  </si>
  <si>
    <t>EEFF!E20</t>
  </si>
  <si>
    <t>EEFF!D20</t>
  </si>
  <si>
    <t>subtotal</t>
  </si>
  <si>
    <t>EEFF!C20</t>
  </si>
  <si>
    <t>EEFF!B20</t>
  </si>
  <si>
    <t>tbl-17.html</t>
  </si>
  <si>
    <t>Conciliación de movimientos de deuda neta</t>
  </si>
  <si>
    <t>31 de diciembre de 2023 (saldo): Pasivos por Arrendamiento -8040342; Bonos por Pagar -231256000; Sub-total -239296342; Efectivo y Equivalentes 17396949; Total -221899393</t>
  </si>
  <si>
    <t>Movimiento de deuda neta (pagos de bonos/leases y flujo de efectivo).</t>
  </si>
  <si>
    <t>Pago (2024): Pasivos por Arrendamiento 229888; Bonos por Pagar 12849000; Sub-total 13078888; Efectivo y Equivalentes ; Total 13078888</t>
  </si>
  <si>
    <t>Flujo de efectivo (2024): Pasivos por Arrendamiento ; Bonos por Pagar ; Sub-total ; Efectivo y Equivalentes -13278041; Total -13278041</t>
  </si>
  <si>
    <t>31 de diciembre de 2024 (saldo): Pasivos por Arrendamiento -7810454; Bonos por Pagar -218407000; Sub-total -226217454; Efectivo y Equivalentes 4118908; Total -222098546</t>
  </si>
  <si>
    <t>Pago (2025): Pasivos por Arrendamiento 271409; Bonos por Pagar 13996000; Sub-total 14267409; Efectivo y Equivalentes -; Total 14267409</t>
  </si>
  <si>
    <t>Flujo de efectivo (2025): Pasivos por Arrendamiento -; Bonos por Pagar -; Sub-total -; Efectivo y Equivalentes 1078436; Total 1078436</t>
  </si>
  <si>
    <t>31 de diciembre de 2025 (saldo): Pasivos por Arrendamiento -7539045; Bonos por Pagar -204411000; Sub-total -211950045; Efectivo y Equivalentes 5197344; Total -206752701</t>
  </si>
  <si>
    <t>31 de diciembre de 2020 (saldo): Pasivos por Arrendamiento -8516692; Bonos por Pagar -262664000; Sub-total -271180692; Efectivo y Equivalentes 14871800; Total -256308892</t>
  </si>
  <si>
    <t>Pago (2021): Pasivos por Arrendamiento 126524; Bonos por Pagar 10003000; Sub-total 10129254; Efectivo y Equivalentes -; Total 10129524</t>
  </si>
  <si>
    <t>Flujo de efectivo (2021): Pasivos por Arrendamiento ; Bonos por Pagar ; Sub-total ; Efectivo y Equivalentes -9386299; Total -9386299</t>
  </si>
  <si>
    <t>31 de diciembre de 2021 (saldo): Pasivos por Arrendamiento -8390168; Bonos por Pagar -252661000; Sub-total -261051168; Efectivo y Equivalentes 5485501; Total -255565667</t>
  </si>
  <si>
    <t>tbl-18.html</t>
  </si>
  <si>
    <t>Índice deuda/EBITDA</t>
  </si>
  <si>
    <t>Bonos corporativos, excluyendo intereses por pagar y costos financieros diferidos</t>
  </si>
  <si>
    <t>EBITDA</t>
  </si>
  <si>
    <t>EBITDA reportado por la Compañía (def. de la nota).</t>
  </si>
  <si>
    <t>EEFF!F16</t>
  </si>
  <si>
    <t>Depreciación y amortización (Notas 8, 9, 10 y 15)</t>
  </si>
  <si>
    <t>Costo financiero, neto (Nota 17)</t>
  </si>
  <si>
    <t>Impuesto sobre la renta (Nota 18)</t>
  </si>
  <si>
    <t>Total índice EBITDA</t>
  </si>
  <si>
    <t>Bonos/EBITDA = 7.25x (2024:7.95x).</t>
  </si>
  <si>
    <t>EEFF!E16</t>
  </si>
  <si>
    <t>(Pérdida) utilidad del año</t>
  </si>
  <si>
    <t>EEFF!D16</t>
  </si>
  <si>
    <t>Utilidad del período</t>
  </si>
  <si>
    <t>EEFF!C16</t>
  </si>
  <si>
    <t>Depreciación y amortización (Notas 8 y 10)</t>
  </si>
  <si>
    <t>Utilidad (pérdida) del año</t>
  </si>
  <si>
    <t>EEFF!B16</t>
  </si>
  <si>
    <t>Total de índice EBITDA</t>
  </si>
  <si>
    <t>page-52</t>
  </si>
  <si>
    <t>4. Estimaciones de Contabilidad y Juicios Críticos</t>
  </si>
  <si>
    <t>Introducción</t>
  </si>
  <si>
    <t>Las estimaciones y juicios son evaluados continuamente por la Administración... Las estimaciones y supuestos que tienen un riesgo significativo de causar un ajuste material a los valores en libros de activos y pasivos dentro del próximo año financiero, se detallan a continuación.</t>
  </si>
  <si>
    <t>Depreciación y Amortización de Planta y Equipo</t>
  </si>
  <si>
    <t>La Compañía realiza juicios al evaluar la vida útil estimada de sus activos y al determinar los valores residuales estimados... La depreciación y amortización se calculan por el método de línea recta, con base en las vidas útiles estimadas de los activos. ... Los valores residuales y las vidas útiles de los activos se revisan y se ajustan, en caso de ser necesario, en la fecha de cada balance general.</t>
  </si>
  <si>
    <t>Vida útil/valor residual = juicio clave del schedule de PP&amp;E.</t>
  </si>
  <si>
    <t>page-53</t>
  </si>
  <si>
    <t>Estimación de Impuesto sobre la Renta Corriente y Diferido</t>
  </si>
  <si>
    <t>La Compañía está sujeta al impuesto sobre la renta. Un juicio significativo es requerido para determinar la provisión para el impuesto sobre la renta. Existen muchas transacciones y cálculos por los cuales la determinación del impuesto final es incierta durante el curso normal del negocio...</t>
  </si>
  <si>
    <t>Deterioro de la Plusvalía</t>
  </si>
  <si>
    <t>La Compañía realiza pruebas de deterioro de la plusvalía anualmente... El monto recuperable se determina con base en el valor en uso... La evaluación del deterioro implica un juicio significativo y supuestos clave, incluyendo los ingresos proyectados, los márgenes operativos, las inversiones de capital, los requisitos de capital circulante y las tasas de descuento. (Nota 11).</t>
  </si>
  <si>
    <t>Test plusvalía: valor en uso (DCF); supuestos clave = ingresos, márgenes, capex, WACC.</t>
  </si>
  <si>
    <t>Deterioro de Activos no Financieros de Larga Vida (UGE / WACC)</t>
  </si>
  <si>
    <t>Los activos no financieros de larga vida, incluidos los activos intangibles identificables y los activos por derecho de uso, se revisan por deterioro al nivel más bajo para el cual existen flujos de efectivo identificables por separado (UGE). ... El valor en uso de cada UGE se estima basado en el valor presente de los flujos de efectivo netos futuros esperados a lo largo de su vida útil remanente. ... Las tasas de descuento utilizadas para descontar los flujos de efectivo netos futuros son WACC. Para cada activo o UGE se determinó un WACC específico que consideró las condiciones del país donde se realizan las operaciones.</t>
  </si>
  <si>
    <t>UGE única; valor en uso con WACC país-específico (ver Nota 11: 7.86%).</t>
  </si>
  <si>
    <t>page-54</t>
  </si>
  <si>
    <t>tbl-19.html</t>
  </si>
  <si>
    <t>5. Efectivo y Equivalentes de Efectivo para el Estado de Flujos de Efectivo</t>
  </si>
  <si>
    <t>Cuentas del fondo fiduciario (Nota 6)</t>
  </si>
  <si>
    <t>Efectivo en moneda de US$</t>
  </si>
  <si>
    <t>Cuenta de cobro del fondo fiduciario a 0.35% (2024: 0.25%) (Nota 6)</t>
  </si>
  <si>
    <t>Efectivo en caja</t>
  </si>
  <si>
    <t>Total efectivo y equivalentes de efectivo</t>
  </si>
  <si>
    <t>Efectivo en monenda de US$</t>
  </si>
  <si>
    <t>OCR: 'monenda' (sic) en el original</t>
  </si>
  <si>
    <t>Cuenta de cobro del fondo fiduciario a 0.25% (2023: 0.35%) (Nota 6)</t>
  </si>
  <si>
    <t>Cuenta de cobro del fondo fiduciario a 0.35% (2022: 0.35%) (Nota 6)</t>
  </si>
  <si>
    <t>Cuenta de cobro del fondo fiduciario a 0.35% (2021: 0.35%) (Nota 6)</t>
  </si>
  <si>
    <t>tbl-20.html</t>
  </si>
  <si>
    <t>6. Fondo Fiduciario de Uso Específico</t>
  </si>
  <si>
    <t>Saldos de fondos fiduciarios de uso específico</t>
  </si>
  <si>
    <t>Cuenta de devengo del servicio de deuda</t>
  </si>
  <si>
    <t>DSRA - reserva del servicio de la deuda (covenant).</t>
  </si>
  <si>
    <t>Cuenta de recaudación</t>
  </si>
  <si>
    <t>Cuenta de mercado ocasional</t>
  </si>
  <si>
    <t>Cuenta de reserva de deuda</t>
  </si>
  <si>
    <t>Cuenta de reserva O&amp;M</t>
  </si>
  <si>
    <t>Cuenta de ejecución UEP II</t>
  </si>
  <si>
    <t>Cuenta SWAP</t>
  </si>
  <si>
    <t>Cuenta de préstamo CC</t>
  </si>
  <si>
    <t>Total fondos fiduciarios de uso específico</t>
  </si>
  <si>
    <t>Cuenta reserva O&amp;M</t>
  </si>
  <si>
    <t>Cuenta ejecución UEP II</t>
  </si>
  <si>
    <t>page-55</t>
  </si>
  <si>
    <t>Covenants</t>
  </si>
  <si>
    <t>Cuenta de Reserva de Deuda (DSRA)</t>
  </si>
  <si>
    <t>Cuenta de Reserva de Deuda: La cuenta de reserva del servicio de la deuda se financiará con los montos recibidos de la Cuenta de Recaudación o de las Cartas de Crédito... por un monto al menos igual al Requisito de Reserva del Servicio de la Deuda aplicable en ese momento...</t>
  </si>
  <si>
    <t>FID-135</t>
  </si>
  <si>
    <t>DSRA financiada al Requisito de Reserva del Servicio de Deuda (covenant de liquidez).</t>
  </si>
  <si>
    <t>Cuenta de Reserva de O&amp;M</t>
  </si>
  <si>
    <t>Cuenta de Reserva de O&amp;M: ... La cuenta de reserva de O&amp;M del fideicomiso será financiada hasta un monto igual a US$1 millón o el monto mayor que el emisor a su discreción decida.</t>
  </si>
  <si>
    <t>Reserva O&amp;M ~US$1MM (carta de crédito OMR).</t>
  </si>
  <si>
    <t>Cascada de cuentas (recaudación / mercado ocasional / SWAP / ejecución / CC)</t>
  </si>
  <si>
    <t>Cuenta de Recaudación del Emisor: se financiará con todos los ingresos del emisor, incluidos los ingresos de los acuerdos de compra de energía... los pagos en virtud de los préstamos entre partes relacionadas, los pagos por efecto de la estela, los ingresos de los seguros... Cuenta de Mercado Ocasional del Emisor: se financiará... con los ingresos netos de la compensación mensual de los pagos del mercado ocasional.</t>
  </si>
  <si>
    <t>Cascada de cuentas del fideicomiso = mecánica del waterfall de caja.</t>
  </si>
  <si>
    <t>page-56</t>
  </si>
  <si>
    <t>7. Deudores Comerciales y Otras Cuentas por Cobrar</t>
  </si>
  <si>
    <t>Notas al detalle</t>
  </si>
  <si>
    <t>A 31 de diciembre de 2025 y 2024, la Compañía no ha registrado ninguna provisión por deterioro (Nota 3). Los deudores comerciales y otras cuentas por cobrar son parte de los activos pignorados, que garantizan la emisión de bonos corporativos. (Ver Nota 13).</t>
  </si>
  <si>
    <t>Sin provisión por deterioro; AR pignorado como garantía de los bonos.</t>
  </si>
  <si>
    <t>tbl-21.html</t>
  </si>
  <si>
    <t>Clientes</t>
  </si>
  <si>
    <t>Interés por cobrar de partes relacionadas (Nota 16)</t>
  </si>
  <si>
    <t>Partes relacionada (Nota 16)</t>
  </si>
  <si>
    <t>Total deudores comerciales y otras cuentas por cobrar</t>
  </si>
  <si>
    <t>EEFF!F21</t>
  </si>
  <si>
    <t>EEFF!E21</t>
  </si>
  <si>
    <t>EEFF!D21</t>
  </si>
  <si>
    <t>Partes relacionadas (Nota 16)</t>
  </si>
  <si>
    <t>Interés por cobrar a partes relacionadas (Nota 16)</t>
  </si>
  <si>
    <t>EEFF!C21</t>
  </si>
  <si>
    <t>EEFF!B21</t>
  </si>
  <si>
    <t>page-57</t>
  </si>
  <si>
    <t>8. Planta y Equipo, Neto</t>
  </si>
  <si>
    <t>Garantía</t>
  </si>
  <si>
    <t>La planta y equipo están incluidos en los contratos de garantía, los cuales incluyen la hipoteca de bienes, muebles e inmuebles, incluyendo las licencias de generación de la Compañía. (Nota 13).</t>
  </si>
  <si>
    <t>PP&amp;E hipotecado como garantía de los bonos.</t>
  </si>
  <si>
    <t>tbl-22.html</t>
  </si>
  <si>
    <t>Movimiento PP&amp;E (Total) 2024</t>
  </si>
  <si>
    <t>Costo al 1 de enero de 2024</t>
  </si>
  <si>
    <t>movimiento PP&amp;E - columna TOTAL (la matriz por clase de activo no se serializa en el schema; ver OCR)</t>
  </si>
  <si>
    <t>Adiciones</t>
  </si>
  <si>
    <t>Capex 2024 (ties EEFF flujo).</t>
  </si>
  <si>
    <t>Reclasificaciones y enajenaciones</t>
  </si>
  <si>
    <t>Costo al 31 de diciembre de 2024</t>
  </si>
  <si>
    <t>Depreciación acumulada al 1 de enero de 2024</t>
  </si>
  <si>
    <t>Cargo por depreciación</t>
  </si>
  <si>
    <t>Depreciación PP&amp;E 2024.</t>
  </si>
  <si>
    <t>Depreciación acumulada al 31 de diciembre 2024</t>
  </si>
  <si>
    <t>Saldo neto al 31 de diciembre de 2024</t>
  </si>
  <si>
    <t>EEFF!E26</t>
  </si>
  <si>
    <t>Movimiento PP&amp;E (Total) 2023</t>
  </si>
  <si>
    <t>Costo al 1 de enero de 2023</t>
  </si>
  <si>
    <t>Capex 2023 (ties EEFF flujo).</t>
  </si>
  <si>
    <t>Reclasificaciones</t>
  </si>
  <si>
    <t>Costo al 31 de diciembre de 2023</t>
  </si>
  <si>
    <t>Depreciación acumulada al 1 de enero de 2023</t>
  </si>
  <si>
    <t>Depreciación acumulada al 31 de diciembre de 2023</t>
  </si>
  <si>
    <t>Saldo neto al 31 de diciembre de 2023</t>
  </si>
  <si>
    <t>EEFF!D26</t>
  </si>
  <si>
    <t>Movimiento PP&amp;E (Total) 2022</t>
  </si>
  <si>
    <t>Costo al 1 de enero de 2022</t>
  </si>
  <si>
    <t>Capex 2022 (ties EEFF flujo).</t>
  </si>
  <si>
    <t>Costo al 31 de diciembre de 2022</t>
  </si>
  <si>
    <t>Depreciación acumulada al 1 de enero de 2022</t>
  </si>
  <si>
    <t>Depreciación acumulada al 31 de diciembre de 2022</t>
  </si>
  <si>
    <t>Saldo neto al 31 de diciembre de 2022</t>
  </si>
  <si>
    <t>EEFF!C26</t>
  </si>
  <si>
    <t>Movimiento PP&amp;E 2025 (matriz)</t>
  </si>
  <si>
    <t>Movimiento de planta y equipo 2025 (matriz por clase de activo) — la tabla OCR (tbl-22/tbl-23) salió ilegible/distorsionada en el informe FY2025; encabezados y montos no confiables.</t>
  </si>
  <si>
    <t>Revisar PDF: tbl-22.html y tbl-23.html del INA_UEPPSA_2025_0.pdf están corruptos por OCR.</t>
  </si>
  <si>
    <t>OCR_REVIEW_REQUIRED</t>
  </si>
  <si>
    <t>Saldo neto PP&amp;E 2025</t>
  </si>
  <si>
    <t>Saldo neto al 31 de diciembre de 2025 (referencia EEFF; movimiento OCR ilegible).</t>
  </si>
  <si>
    <t>EEFF!F26</t>
  </si>
  <si>
    <t>Neto tomado del balance EEFF (F26); el rollforward 2025 no es legible en OCR.</t>
  </si>
  <si>
    <t>tbl-23.html</t>
  </si>
  <si>
    <t>Movimiento PP&amp;E 2021 (matriz)</t>
  </si>
  <si>
    <t>Movimiento de planta y equipo 2021 (matriz por clase de activo) — tabla OCR (tbl-23) distorsionada en el informe FY2022 (p.ej. total neto OCR 234,209,163 no concilia con EEFF 216,209,163).</t>
  </si>
  <si>
    <t>Revisar PDF: tbl-23.html del INA_UEPPSA_2022_0.pdf corrupto por OCR.</t>
  </si>
  <si>
    <t>Saldo neto PP&amp;E 2021</t>
  </si>
  <si>
    <t>Saldo neto al 31 de diciembre de 2021 (referencia EEFF; movimiento OCR ilegible).</t>
  </si>
  <si>
    <t>EEFF!B26</t>
  </si>
  <si>
    <t>Neto tomado del balance EEFF (B26); el rollforward 2021 no es legible en OCR.</t>
  </si>
  <si>
    <t>page-58</t>
  </si>
  <si>
    <t>9. Arrendamientos</t>
  </si>
  <si>
    <t>Términos de arrendamiento</t>
  </si>
  <si>
    <t>Al 31 de diciembre de 2025, la planta y equipo incluyen arrendamientos que corresponden a arrendamientos operativos de terrenos ubicados en Penonomé. Los plazos de los contratos de arrendamientos son entre 14 y 25 años, a una tasa de interés del 2% anual hasta el vencimiento. La tasa de descuento aplicado al pasivo por arrendamiento es del 7.5%.</t>
  </si>
  <si>
    <t>14-25 años; tasa 2%; descuento 7.5%</t>
  </si>
  <si>
    <t>Leases de terrenos 14-25 años; tasa descuento NIIF 16 = 7.5%.</t>
  </si>
  <si>
    <t>tbl-24.html</t>
  </si>
  <si>
    <t>Activos por derecho de uso</t>
  </si>
  <si>
    <t>Costo</t>
  </si>
  <si>
    <t>Depreciación acumulada</t>
  </si>
  <si>
    <t>Saldo neto</t>
  </si>
  <si>
    <t>ROU neto incluido en PP&amp;E (Nota 8)</t>
  </si>
  <si>
    <t>Pasivos por arrendamiento (corriente)</t>
  </si>
  <si>
    <t>Corriente</t>
  </si>
  <si>
    <t>EEFF!F35</t>
  </si>
  <si>
    <t>Pasivos por arrendamiento (no corriente)</t>
  </si>
  <si>
    <t>No corriente</t>
  </si>
  <si>
    <t>EEFF!F37</t>
  </si>
  <si>
    <t>Total pasivos por arrendamiento</t>
  </si>
  <si>
    <t>EEFF!E35</t>
  </si>
  <si>
    <t>EEFF!E37</t>
  </si>
  <si>
    <t>EEFF!D35</t>
  </si>
  <si>
    <t>EEFF!D37</t>
  </si>
  <si>
    <t>EEFF!C35</t>
  </si>
  <si>
    <t>EEFF!C37</t>
  </si>
  <si>
    <t>EEFF!B35</t>
  </si>
  <si>
    <t>EEFF!B37</t>
  </si>
  <si>
    <t>tbl-25.html</t>
  </si>
  <si>
    <t>Movimiento del pasivo por arrendamiento</t>
  </si>
  <si>
    <t>Saldo al inicio del año</t>
  </si>
  <si>
    <t>Pago por arrendamiento</t>
  </si>
  <si>
    <t>Saldo al final del año</t>
  </si>
  <si>
    <t>fila de total (OCR muestra 8,040,342)</t>
  </si>
  <si>
    <t>page-59</t>
  </si>
  <si>
    <t>tbl-26.html</t>
  </si>
  <si>
    <t>Montos en resultados relacionados a arrendamientos</t>
  </si>
  <si>
    <t>Cargo por depreciación de activos por derecho de uso de propiedades arrendadas (Nota 8)</t>
  </si>
  <si>
    <t>Gastos por intereses (incluidos en costos financieros) (Nota 17)</t>
  </si>
  <si>
    <t>Cargo por depreciación de activos por derecho de uso de propiedades arrendadas</t>
  </si>
  <si>
    <t>Gastos por intereses (incluidos en costos financieros)</t>
  </si>
  <si>
    <t>10. Activos Intangibles</t>
  </si>
  <si>
    <t>Servidumbre de paso</t>
  </si>
  <si>
    <t>Activos intangibles - Servidumbre de paso: corresponden a contratos con propietarios con un pago único, estos contratos corresponden a la construcción de una línea de transmisión de alta tensión por un período de 25 años.</t>
  </si>
  <si>
    <t>tbl-27.html</t>
  </si>
  <si>
    <t>Movimiento de los activos intangibles (servidumbre de paso)</t>
  </si>
  <si>
    <t>Costo - Al 1 de enero</t>
  </si>
  <si>
    <t>Costo - Adiciones</t>
  </si>
  <si>
    <t>Costo - Saldo al final del año</t>
  </si>
  <si>
    <t>Amortización acumulada - Al 1 de enero</t>
  </si>
  <si>
    <t>Amortización acumulada - Cargo de depreciación</t>
  </si>
  <si>
    <t>Amortización acumulada - Saldo al final del año</t>
  </si>
  <si>
    <t>Saldo neto al final del año</t>
  </si>
  <si>
    <t>EEFF!F29</t>
  </si>
  <si>
    <t>EEFF!E29</t>
  </si>
  <si>
    <t>EEFF!D29</t>
  </si>
  <si>
    <t>EEFF!C29</t>
  </si>
  <si>
    <t>EEFF!B29</t>
  </si>
  <si>
    <t>page-60</t>
  </si>
  <si>
    <t>11. Plusvalía</t>
  </si>
  <si>
    <t>Adquisición / origen de la plusvalía</t>
  </si>
  <si>
    <t>En abril 2014, IEH Penonomé Holdings adquirió el capital accionario de UEP Penonomé II, S. A. por US$8,518,361. En diciembre de 2014, adquirió un capital social adicional por US$20,000,000 y obtuvo el control de UEP Penonomé II, S. A.</t>
  </si>
  <si>
    <t>abril y diciembre 2014</t>
  </si>
  <si>
    <t>IEH Penonomé Holdings</t>
  </si>
  <si>
    <t>tbl-28.html</t>
  </si>
  <si>
    <t>Contraprestación transferida (fecha de adquisición)</t>
  </si>
  <si>
    <t>Efectivo</t>
  </si>
  <si>
    <t>Montos reconocidos de activos identificables adquiridos y construcción en proceso</t>
  </si>
  <si>
    <t>EEFF!F27</t>
  </si>
  <si>
    <t>valor de adquisición (sin columna por año)</t>
  </si>
  <si>
    <t>Prueba de deterioro de plusvalía (valor en uso)</t>
  </si>
  <si>
    <t>El monto recuperable de la UGE a la que se asigna la plusvalía se determinó mediante un modelo de valor en uso basado en las proyecciones de flujo de efectivo para el período 2026-2040... Los flujos de efectivo se descontaron utilizando una tasa de descuento antes de impuestos del 7.86%, derivada del coste medio ponderado del capital (WACC)... Un aumento de 50 puntos básicos en la tasa de descuento no resultaría en un deterioro...</t>
  </si>
  <si>
    <t>WACC pre-impuesto 7.86%; proyección 2026-2040</t>
  </si>
  <si>
    <t>Test plusvalía: DCF 2026-2040, WACC pre-tax 7.86%; sensibilidad +50pb sin deterioro.</t>
  </si>
  <si>
    <t>Ancla de WACC (7.86% pre-impuesto) y horizonte de proyección 2026-2040 para el DCF.</t>
  </si>
  <si>
    <t>page-61</t>
  </si>
  <si>
    <t>tbl-29.html</t>
  </si>
  <si>
    <t>12. Proveedores y Otras Cuentas por Pagar</t>
  </si>
  <si>
    <t>Proveedores</t>
  </si>
  <si>
    <t>Total proveedores y otras cuentas por pagar</t>
  </si>
  <si>
    <t>EEFF!F34</t>
  </si>
  <si>
    <t>EEFF!E34</t>
  </si>
  <si>
    <t>EEFF!D34</t>
  </si>
  <si>
    <t>EEFF!C34</t>
  </si>
  <si>
    <t>Intereses por pagar de instrumento financiero derivado</t>
  </si>
  <si>
    <t>EEFF!B34</t>
  </si>
  <si>
    <t>13. Bonos por Pagar</t>
  </si>
  <si>
    <t>Emisión de bonos corporativos</t>
  </si>
  <si>
    <t>A través de la resolución No. SMV 515-20, del 2 de diciembre de 2020, la Compañía emitió el 18 de diciembre de 2020, en conjunto con Tecnisol I S.A., Tecnisol II S.A., Tecnisol III S.A. and Tecnisol IV S.A., (conjuntamente “Grupo Tecnisol”), como garante conjunto, bonos corporativos garantizados por un total de US$262,664,000, emitidos bajo la Regulación 144A y la Regulación S de los Estados Unidos de América, con amortizaciones semestrales y vencimiento final el 1 de octubre de 2038 con una tasa de interés del 6.5%, registrados en las bolsas de valores de Panamá (Bolsa Latinoamericana de Valores-LATINEX) y Singapur (Singapore Exchange Limited, SGX). Los recursos obtenidos de la emisión de bonos se destinaron a cancelar por anticipado el préstamo sindicado adquirido el 29 de diciembre de 2014 con el IFC y otras entidades financieras por US$228,436,514, pago del instrumento financiero derivado de la tasa de interés por US$18,049,401, costos de financiamiento por US$5,208,636, y un préstamo realizado con el Grupo Tecnisol por US$10,969,449.</t>
  </si>
  <si>
    <t>emitido 18-dic-2020; vencimiento 1-oct-2038; tasa 6.5%; amortización semestral</t>
  </si>
  <si>
    <t>Grupo Tecnisol (garante conjunto); LATINEX/SGX</t>
  </si>
  <si>
    <t>Bono US$262,664,000 @ 6.5% fijo, semestral, vto 1-oct-2038. Ancla del schedule de deuda.</t>
  </si>
  <si>
    <t>Principal, cupón 6.5%, amortización semestral y vencimiento 2038 = schedule de bonos.</t>
  </si>
  <si>
    <t>Covenant - DSCR endeudamiento adicional</t>
  </si>
  <si>
    <t>Limitación del endeudamiento: para que la empresa pueda contraer un endeudamiento permitido, necesita mantener una ratio de cobertura del servicio de la deuda, tanto histórico como prospectivo, de al menos 1.31.</t>
  </si>
  <si>
    <t>x</t>
  </si>
  <si>
    <t>DSCR &gt;= 1.31x</t>
  </si>
  <si>
    <t>combinado UEPII + Grupo Tecnisol</t>
  </si>
  <si>
    <t>Covenant: DSCR (hist y prosp) &gt;= 1.31x para deuda adicional (base combinada).</t>
  </si>
  <si>
    <t>Covenant - DSCR pagos restringidos (dividendos)</t>
  </si>
  <si>
    <t>Pagos restringidos: no se pueden realizar pagos restringidos si no se cumple la relación de servicio de cobertura de la deuda, tanto histórica como prospectiva, de al menos 1.20.</t>
  </si>
  <si>
    <t>DSCR &gt;= 1.20x</t>
  </si>
  <si>
    <t>Covenant: pagos restringidos/dividendos bloqueados si DSCR &lt; 1.20x.</t>
  </si>
  <si>
    <t>Covenant - restricciones (gravámenes, ventas, fusiones, inversiones)</t>
  </si>
  <si>
    <t>Las hipotecas y/o gravámenes están prohibidos, salvo ciertos gravámenes permitidos. La venta de activos y fusiones: prohibidas, salvo en determinadas condiciones. Se prohíben las modificaciones de los contratos principales. Limitaciones a las nuevas inversiones.</t>
  </si>
  <si>
    <t>page-62</t>
  </si>
  <si>
    <t>Acuerdo de garantía</t>
  </si>
  <si>
    <t>Acuerdo de Garantía: Incluye la prenda sobre las acciones de la Compañía; la cesión en garantía de los contratos de compra de energía y los títulos de arrendamiento de ANATI; hipoteca de bienes muebles e inmuebles (incluyendo, entre estos últimos, las licencias de generación de la Compañía). The Bank of Nova Scotia (Panamá) actúa como fiduciario (FID-135)...</t>
  </si>
  <si>
    <t>The Bank of Nova Scotia (Panamá) / FID-135</t>
  </si>
  <si>
    <t>Cartas de crédito (DSR US$15,537,000; OMR US$1MM)</t>
  </si>
  <si>
    <t>El 18 de diciembre de 2020, la Compañía contrató dos Cartas de Crédito correspondientes a Carta de Crédito (DSR) (US$15,537,000) y Carta de Crédito (OMR) (US$1MM) por tres años. El 11 de diciembre de 2024 la Compañía renovó las mencionadas Cartas de Crédito bajo las mismas condiciones por tres años adicionales, finalizando el 18 de diciembre de 2026.</t>
  </si>
  <si>
    <t>renovadas 11-dic-2024, vto 18-dic-2026</t>
  </si>
  <si>
    <t>DSR/OMR</t>
  </si>
  <si>
    <t>Cumplimiento de covenants 2025</t>
  </si>
  <si>
    <t>Al 31 de diciembre de 2025, la Compañía está en cumplimiento con todos sus compromisos durante todo el período que se informa y espera cumplirlos durante los siguientes 12 meses.</t>
  </si>
  <si>
    <t>page-63</t>
  </si>
  <si>
    <t>Valor razonable de los bonos (Nivel 3)</t>
  </si>
  <si>
    <t>El valor razonable de los bonos por pagar es de US$186,028,121 a diciembre de 2025 (US$198,209,098 en 2024), basado en flujos de efectivo descontados con una tasa basada en la tasa de interés del préstamo del 8.60%... y se encuentra dentro del Nivel 3 de la jerarquía de valor razonable.</t>
  </si>
  <si>
    <t>tasa 8.60%</t>
  </si>
  <si>
    <t>Valor razonable bonos US$186.0MM (2024:198.2MM) @ 8.60% (input de valuación de deuda).</t>
  </si>
  <si>
    <t>tbl-30.html</t>
  </si>
  <si>
    <t>Composición de bonos por pagar</t>
  </si>
  <si>
    <t>Bonos corporativos</t>
  </si>
  <si>
    <t>Intereses por pagar</t>
  </si>
  <si>
    <t>Menos: costos financieros no amortizados</t>
  </si>
  <si>
    <t>Bonos e intereses por pagar, neto</t>
  </si>
  <si>
    <t>Bonos por pagar (corriente)</t>
  </si>
  <si>
    <t>Menos: porción corriente e intereses por pagar</t>
  </si>
  <si>
    <t>EEFF!F33</t>
  </si>
  <si>
    <t>Bonos por pagar (no corriente)</t>
  </si>
  <si>
    <t>EEFF!F40</t>
  </si>
  <si>
    <t>porción no corriente</t>
  </si>
  <si>
    <t>Movimiento de bonos por pagar</t>
  </si>
  <si>
    <t>En circulación al 1 de enero</t>
  </si>
  <si>
    <t>Pago de bonos</t>
  </si>
  <si>
    <t>Amortización principal de bonos.</t>
  </si>
  <si>
    <t>Gasto por intereses</t>
  </si>
  <si>
    <t>Pago de intereses</t>
  </si>
  <si>
    <t>Amortización de costos de emisión de deuda</t>
  </si>
  <si>
    <t>Bonos en circulación al 31 de diciembre</t>
  </si>
  <si>
    <t>EEFF!E33</t>
  </si>
  <si>
    <t>EEFF!E40</t>
  </si>
  <si>
    <t>EEFF!D33</t>
  </si>
  <si>
    <t>EEFF!D40</t>
  </si>
  <si>
    <t>EEFF!C33</t>
  </si>
  <si>
    <t>Bonos por pagar a largo plazo</t>
  </si>
  <si>
    <t>EEFF!C40</t>
  </si>
  <si>
    <t>EEFF!B33</t>
  </si>
  <si>
    <t>EEFF!B40</t>
  </si>
  <si>
    <t>Saldo de bonos por pagar al 1 de enero</t>
  </si>
  <si>
    <t>Saldo de bonos por pagar al 31 de diciembre</t>
  </si>
  <si>
    <t>tbl-31.html</t>
  </si>
  <si>
    <t>Movimiento de costos financieros no amortizados</t>
  </si>
  <si>
    <t>Amortización del año</t>
  </si>
  <si>
    <t>Saldo al 31 de diciembre</t>
  </si>
  <si>
    <t>fila de total (OCR 6,586,313)</t>
  </si>
  <si>
    <t>tbl-32.html</t>
  </si>
  <si>
    <t>14. Patrimonio de los Accionistas</t>
  </si>
  <si>
    <t>Acciones comunes</t>
  </si>
  <si>
    <t>Patrimonio de los accionistas</t>
  </si>
  <si>
    <t>Saldo inicial y final para los años terminados el 31 de diciembre de 2025 y 2024 - Acciones comunes</t>
  </si>
  <si>
    <t>EEFF!F44</t>
  </si>
  <si>
    <t>Saldo inicial y final para los años terminados el 31 de diciembre de 2025 y 2024 - Contribución de capital</t>
  </si>
  <si>
    <t>EEFF!F45</t>
  </si>
  <si>
    <t>Saldo inicial y final para los años terminados el 31 de diciembre de 2025 y 2024 - Total</t>
  </si>
  <si>
    <t>acciones + contribución</t>
  </si>
  <si>
    <t>EEFF!E44</t>
  </si>
  <si>
    <t>EEFF!E45</t>
  </si>
  <si>
    <t>Composición accionaria</t>
  </si>
  <si>
    <t>La composición de los accionistas de la Compañía es la siguiente: InterEnergy Holding UK Ltd. Participación económica de 95.24%; Green Field Panama, S. A. Participación económica de 4.76%.</t>
  </si>
  <si>
    <t>InterEnergy Holding UK Ltd. (95.24%); Green Field Panama, S.A. (4.76%)</t>
  </si>
  <si>
    <t>Reducción de capital y dividendos 2024</t>
  </si>
  <si>
    <t>El 28 de febrero de 2024, mediante acta de directorio, se aprobó una reducción de capital, sin reducir el capital social autorizado de la Compañía, por US$7,455,458, quedando US$48,518,792 como capital final. Asimismo, se aprobó la distribución de dividendos por US$7,574,542. El patrimonio de los accionistas forma parte de las garantías otorgadas en la emisión de bonos corporativos...</t>
  </si>
  <si>
    <t>28 de febrero de 2024</t>
  </si>
  <si>
    <t>2024: reducción de capital -7,455,458 + dividendos 7,574,542 (ver flujo de efectivo).</t>
  </si>
  <si>
    <t>Movimiento patrimonio</t>
  </si>
  <si>
    <t>Saldo al 31 de diciembre de 2023 - Contribución de capital</t>
  </si>
  <si>
    <t>EEFF!D45</t>
  </si>
  <si>
    <t>Movimiento: 55,974,250 (2023) -&gt; reducción (7,455,458) -&gt; 48,518,792 (2024).</t>
  </si>
  <si>
    <t>Saldo al 31 de diciembre de 2022 - Contribución de capital</t>
  </si>
  <si>
    <t>EEFF!C45</t>
  </si>
  <si>
    <t>Saldo al 31 de diciembre de 2021 - Contribución de capital (tras reducción de capital de US$10,000,000 desde 65,974,250)</t>
  </si>
  <si>
    <t>EEFF!B45</t>
  </si>
  <si>
    <t>2021: reducción de capital -10,000,000 (de 65,974,250 a 55,974,250).</t>
  </si>
  <si>
    <t>page-64</t>
  </si>
  <si>
    <t>tbl-33.html</t>
  </si>
  <si>
    <t>15. Costos y Gastos</t>
  </si>
  <si>
    <t>Costos</t>
  </si>
  <si>
    <t>Depreciación y amortización (Notas 8, 9 y 10)</t>
  </si>
  <si>
    <t>Reparación y mantenimiento</t>
  </si>
  <si>
    <t>O&amp;M (Goldwind SMA) - mayor componente de COGS.</t>
  </si>
  <si>
    <t>Costo por cargo de transmisión</t>
  </si>
  <si>
    <t>Consumo interno</t>
  </si>
  <si>
    <t>Salarios y otros beneficios a colaboradores</t>
  </si>
  <si>
    <t>Seguridad</t>
  </si>
  <si>
    <t>Compras de energía en el mercado ocasional (Nota 19)</t>
  </si>
  <si>
    <t>Total costo de bienes y servicios</t>
  </si>
  <si>
    <t>EEFF!F8</t>
  </si>
  <si>
    <t>Servicios de administración (Nota 16)</t>
  </si>
  <si>
    <t>Costos de seguros</t>
  </si>
  <si>
    <t>Tasa de conexión a la subestación</t>
  </si>
  <si>
    <t>Cuotas de regulador</t>
  </si>
  <si>
    <t>Otros gastos</t>
  </si>
  <si>
    <t>Compensación de efecto estela (Nota 19)</t>
  </si>
  <si>
    <t>Honorarios profesionales</t>
  </si>
  <si>
    <t>Honorarios de auditoría</t>
  </si>
  <si>
    <t>Gastos de comunicación</t>
  </si>
  <si>
    <t>Mantenimiento de oficina</t>
  </si>
  <si>
    <t>Combustible</t>
  </si>
  <si>
    <t>Gastos de oficina</t>
  </si>
  <si>
    <t>Total gastos administrativos</t>
  </si>
  <si>
    <t>EEFF!F10</t>
  </si>
  <si>
    <t>Total</t>
  </si>
  <si>
    <t>Total costos y gastos</t>
  </si>
  <si>
    <t>COGS + administrativos</t>
  </si>
  <si>
    <t>EEFF!E8</t>
  </si>
  <si>
    <t>EEFF!E10</t>
  </si>
  <si>
    <t>Costo por Cargo de transmisión</t>
  </si>
  <si>
    <t>original: '-'</t>
  </si>
  <si>
    <t>EEFF!D8</t>
  </si>
  <si>
    <t>EEFF!D10</t>
  </si>
  <si>
    <t>Gasto por cargo de transmisión</t>
  </si>
  <si>
    <t>EEFF!C8</t>
  </si>
  <si>
    <t>fila de total (EEFF 21,858,853)</t>
  </si>
  <si>
    <t>Cargo por conexión de subestación</t>
  </si>
  <si>
    <t>EEFF!C10</t>
  </si>
  <si>
    <t>fila de total (EEFF 3,405,988)</t>
  </si>
  <si>
    <t>EEFF!B8</t>
  </si>
  <si>
    <t>EEFF!B10</t>
  </si>
  <si>
    <t>page-65</t>
  </si>
  <si>
    <t>tbl-34.html</t>
  </si>
  <si>
    <t>Salarios y otros beneficios de los colaboradores (incluidos en costo de bienes y servicios)</t>
  </si>
  <si>
    <t>Salarios y prestaciones</t>
  </si>
  <si>
    <t>Contribuciones estatutarias</t>
  </si>
  <si>
    <t>Prima de antigüedad e indemnización</t>
  </si>
  <si>
    <t>Total salarios y otros beneficios</t>
  </si>
  <si>
    <t>Salarios y salarios (Sueldos y salarios)</t>
  </si>
  <si>
    <t>Contribuciones reglamentarias</t>
  </si>
  <si>
    <t>Sueldos y salarios</t>
  </si>
  <si>
    <t>16. Saldos y Transacciones con Partes Relacionadas</t>
  </si>
  <si>
    <t>La Compañía está totalmente controlada por Basic Energy, Ltd., siendo ésta la última controladora. La Compañía realizó transacciones y mantuvo saldos con compañías relacionadas tal como se detalla a continuación:</t>
  </si>
  <si>
    <t>Basic Energy, Ltd.</t>
  </si>
  <si>
    <t>tbl-35.html</t>
  </si>
  <si>
    <t>Transacciones con partes relacionadas - Ingresos por energía</t>
  </si>
  <si>
    <t>Otras partes relacionadas - Energía vendida en el mercado ocasional (b)</t>
  </si>
  <si>
    <t>Otras partes relacionadas - Energía vendida bajo contratos de reserva (c)</t>
  </si>
  <si>
    <t>Ingreso por contratos de reserva con Tecnisol (Rosa de los Vientos II).</t>
  </si>
  <si>
    <t>Transacciones con partes relacionadas - Costos de bienes y servicios</t>
  </si>
  <si>
    <t>Otras partes relacionadas - Energía comprada en el mercado ocasional (b)</t>
  </si>
  <si>
    <t>Transacciones con partes relacionadas - Gastos administrativos</t>
  </si>
  <si>
    <t>Accionistas: InterEnergy Holding UK Ltd. - Gastos de honorarios profesionales (a)</t>
  </si>
  <si>
    <t>Transacciones con partes relacionadas - Costo financiero, neto</t>
  </si>
  <si>
    <t>Otras partes relacionadas - Intereses ganados (d)</t>
  </si>
  <si>
    <t>page-66</t>
  </si>
  <si>
    <t>tbl-36.html</t>
  </si>
  <si>
    <t>Saldos con partes relacionadas</t>
  </si>
  <si>
    <t>Cuentas por cobrar - contratos de reserva de energía (c)</t>
  </si>
  <si>
    <t>Cuentas por cobrar - mercado ocasional de energía (b)</t>
  </si>
  <si>
    <t>Total cuentas por cobrar - otras partes relacionadas</t>
  </si>
  <si>
    <t>Intereses de préstamos por cobrar a relacionadas (d)</t>
  </si>
  <si>
    <t>Préstamo por cobrar a relacionada (d)</t>
  </si>
  <si>
    <t>Préstamo intercompañía a Tecnisol (cedido a FID-135).</t>
  </si>
  <si>
    <t>total = EEFF corriente (fila 22) + no corriente (fila 28)</t>
  </si>
  <si>
    <t>Cuentas por pagar - honorarios profesionales (a) - InterEnergy Holding UK Ltd.</t>
  </si>
  <si>
    <t>Cuentas por pagar - mercado ocasional de energía (b) - otras partes relacionadas</t>
  </si>
  <si>
    <t>Total cuentas por pagar a partes relacionadas</t>
  </si>
  <si>
    <t>Movimiento de préstamos e intereses con partes relacionadas - Préstamo por cobrar</t>
  </si>
  <si>
    <t>Al 1 de enero</t>
  </si>
  <si>
    <t>Cobros recibidos</t>
  </si>
  <si>
    <t>Préstamo por cobrar con partes relacionadas (d)</t>
  </si>
  <si>
    <t>Movimiento de préstamos e intereses con partes relacionadas - Intereses por cobrar</t>
  </si>
  <si>
    <t>Intereses cobrados</t>
  </si>
  <si>
    <t>Intereses ganados</t>
  </si>
  <si>
    <t>Interés de préstamos por cobrar con partes relacionadas (d)</t>
  </si>
  <si>
    <t>page-67</t>
  </si>
  <si>
    <t>Intereses por cobrar con partes relacionadas (d)</t>
  </si>
  <si>
    <t>Cuentas por pagar - energía de mercado ocasional (b)</t>
  </si>
  <si>
    <t>tbl-37.html</t>
  </si>
  <si>
    <t>Cobro de interés</t>
  </si>
  <si>
    <t>Interés de préstamo por cobrar con partes relacionadas (d)</t>
  </si>
  <si>
    <t>Cuentas por cobrar - energía de mercado ocasional (b)</t>
  </si>
  <si>
    <t>Notas (a)-(d)</t>
  </si>
  <si>
    <t>(a) Servicios administrativos y de gestión de activos provistos por partes relacionadas. (b) Compra y venta de energía en el mercado ocasional con partes relacionadas. (c) Contratos de Reserva de Energía descritos en la Nota 19. (d) Préstamos por cobrar a relacionadas Tecnisol I, S. A., Tecnisol II, S. A., Tecnisol III, S. A. y Tecnisol IV, S. A. Estos préstamos están respaldados por pagarés... y cedidos a FID 135. (Ver Nota 13).</t>
  </si>
  <si>
    <t>Tecnisol I/II/III/IV, S.A.</t>
  </si>
  <si>
    <t>17. Costos Financieros, Neto</t>
  </si>
  <si>
    <t>Intereses de bonos (Nota 13)</t>
  </si>
  <si>
    <t>Interés de bonos (efectivo + devengo).</t>
  </si>
  <si>
    <t>Otro costo financiero</t>
  </si>
  <si>
    <t>Intereses sobre pasivos por arrendamiento (Nota 9)</t>
  </si>
  <si>
    <t>Amortización de los costos de financiamiento diferidos</t>
  </si>
  <si>
    <t>Costo financiero de desmantelamiento</t>
  </si>
  <si>
    <t>Ingresos por intereses (Nota 16)</t>
  </si>
  <si>
    <t>Total costos financieros, neto</t>
  </si>
  <si>
    <t>EEFF!F12</t>
  </si>
  <si>
    <t>EEFF!E12</t>
  </si>
  <si>
    <t>Otros costos financieros</t>
  </si>
  <si>
    <t>EEFF!D12</t>
  </si>
  <si>
    <t>page-68</t>
  </si>
  <si>
    <t>Interés de instrumento derivado (“Swaps”) (Nota 13)</t>
  </si>
  <si>
    <t>Ganancia de valor razonable en instrumentos financieros derivados</t>
  </si>
  <si>
    <t>Ganancia VR derivado (no recurrente; 2022).</t>
  </si>
  <si>
    <t>EEFF!C12</t>
  </si>
  <si>
    <t>tbl-38.html</t>
  </si>
  <si>
    <t>Interés de bonos (Nota 13)</t>
  </si>
  <si>
    <t>Intereses de instrumento derivado (“Swaps”) (Nota 13)</t>
  </si>
  <si>
    <t>Intereses de pasivos por arrendamiento (Nota 9)</t>
  </si>
  <si>
    <t>Amortización del costo de financiamiento diferido</t>
  </si>
  <si>
    <t>Ganancia de valor razonable en instrumento financiero derivado</t>
  </si>
  <si>
    <t>Interés ganado (Nota 16)</t>
  </si>
  <si>
    <t>EEFF!B12</t>
  </si>
  <si>
    <t>18. Impuesto sobre la Renta</t>
  </si>
  <si>
    <t>Impuesto sobre la renta (cargo)</t>
  </si>
  <si>
    <t>Impuesto diferido</t>
  </si>
  <si>
    <t>EEFF!F15</t>
  </si>
  <si>
    <t>EEFF!E15</t>
  </si>
  <si>
    <t>EEFF!D15</t>
  </si>
  <si>
    <t>EEFF!C15</t>
  </si>
  <si>
    <t>beneficio (negativo)</t>
  </si>
  <si>
    <t>tbl-39.html</t>
  </si>
  <si>
    <t>Impuesto corriente</t>
  </si>
  <si>
    <t>Total impuesto sobre la renta</t>
  </si>
  <si>
    <t>EEFF!B15</t>
  </si>
  <si>
    <t>Movimiento del impuesto sobre la renta diferido (pasivo)</t>
  </si>
  <si>
    <t>Pasivos por impuesto diferido - Al 1 de enero</t>
  </si>
  <si>
    <t>Pasivos por impuesto diferido - Cargo al estado de resultado</t>
  </si>
  <si>
    <t>Pasivos por impuesto diferido - Al 31 de diciembre</t>
  </si>
  <si>
    <t>EEFF!F38</t>
  </si>
  <si>
    <t>EEFF!E38</t>
  </si>
  <si>
    <t>EEFF!D38</t>
  </si>
  <si>
    <t>Activos por impuesto diferido - Al 1 de enero</t>
  </si>
  <si>
    <t>Activos por impuesto diferido - Cargo al estado de resultado</t>
  </si>
  <si>
    <t>Activos por impuesto diferido - Al 31 de diciembre</t>
  </si>
  <si>
    <t>EEFF!C38</t>
  </si>
  <si>
    <t>Al 31 de diciembre, neto</t>
  </si>
  <si>
    <t>neto</t>
  </si>
  <si>
    <t>tbl-40.html</t>
  </si>
  <si>
    <t>Activos por impuesto diferido - Cargo al estado de resultado integral</t>
  </si>
  <si>
    <t>Pasivos por impuesto diferido - Cargo al estado de resultado integral</t>
  </si>
  <si>
    <t>EEFF!B38</t>
  </si>
  <si>
    <t>neto (ISR diferido EEFF)</t>
  </si>
  <si>
    <t>page-69</t>
  </si>
  <si>
    <t>Conciliación de la provisión de impuesto sobre la renta</t>
  </si>
  <si>
    <t>EEFF!F14</t>
  </si>
  <si>
    <t>Ajuste fiscal para reconocer la depreciación acelerada</t>
  </si>
  <si>
    <t>Menos: Ingresos no gravables</t>
  </si>
  <si>
    <t>Más: Gastos no deducibles</t>
  </si>
  <si>
    <t>Pérdida no gravable</t>
  </si>
  <si>
    <t>Efectos fiscales de diferencias temporales</t>
  </si>
  <si>
    <t>EEFF!E14</t>
  </si>
  <si>
    <t>(Pérdida) utilidad antes del impuesto sobre la renta</t>
  </si>
  <si>
    <t>EEFF!D14</t>
  </si>
  <si>
    <t>Utilidad antes del impuesto sobre la renta</t>
  </si>
  <si>
    <t>EEFF!C14</t>
  </si>
  <si>
    <t>Pérdida gravable</t>
  </si>
  <si>
    <t>tbl-41.html</t>
  </si>
  <si>
    <t>Utilidad antes del impuesto sobre al renta</t>
  </si>
  <si>
    <t>EEFF!B14</t>
  </si>
  <si>
    <t>Efectos fiscales de las diferencias temporales</t>
  </si>
  <si>
    <t>Tasa de impuesto y CAIR</t>
  </si>
  <si>
    <t>El impuesto sobre la renta se basa en el más alto de los siguientes cálculos: a. La tasa de 25% sobre la renta gravable. b. La renta neta gravable que resulte de aplicar 4.67% al ingreso total gravable por la tasa de 25% que representa 1.17% del ingreso gravable (cálculo alterno del impuesto sobre la renta). ... La Administración solicitó a la Autoridad Fiscal la no aplicación del cálculo alterno del impuesto sobre la renta (CAIR) para el año fiscal 2024. Esta solicitud fue aceptada y aprobada para los períodos fiscales 2024 y 2025.</t>
  </si>
  <si>
    <t>tasa 25%; CAIR 1.17%; no-CAIR 2024-2025</t>
  </si>
  <si>
    <t>Tasa ISR 25% (o CAIR 1.17% del ingreso bruto); no-CAIR aprobado 2024-2025.</t>
  </si>
  <si>
    <t>page-70</t>
  </si>
  <si>
    <t>19. Compromisos</t>
  </si>
  <si>
    <t>PPA / contratos de energía</t>
  </si>
  <si>
    <t>Contratos PPA (12)</t>
  </si>
  <si>
    <t>La Compañía cuenta con doce Contratos PPA asignados por tres para los parques Nuevo Chagres, Portobelo, Rosa de los Vientos y Marañón. Los PPA fueron adjudicados el 21 de marzo de 2012 mediante los cuales se vende la producción de energía a tres compañías de distribución en Panamá: Empresa de Distribución Eléctrica Metro-Oeste, S. A. (EDEMET), Empresa de Distribución Eléctrica Chiriquí, S. A. (EDECHI) y Elektra Noreste, S. A. (ENSA).</t>
  </si>
  <si>
    <t>adjudicados 21 de marzo de 2012</t>
  </si>
  <si>
    <t>EDEMET, EDECHI, ENSA</t>
  </si>
  <si>
    <t>12 PPA con 3 DISCOs (EDEMET/EDECHI/ENSA), adjudicados 2012.</t>
  </si>
  <si>
    <t>Plazo y precio de los PPA</t>
  </si>
  <si>
    <t>Cada PPA establece que el período de suministro de energía es de 180 meses, iniciando el 1 de julio de 2014 y finalizando el 30 de junio de 2029. Los PPA de Portobelo y Marañón se extendieron hasta diciembre de 2033. Los precios se restablecen anualmente manteniendo fijo el 75% del precio base y el 25% restante indexado al Índice de Precios al Consumidor (IPC) de Panamá.</t>
  </si>
  <si>
    <t>1-jul-2014 a 30-jun-2029; Portobelo/Marañón a dic-2033</t>
  </si>
  <si>
    <t>PPA cliff: 30-jun-2029 (Nuevo Chagres+Rosa I); Portobelo+Marañón a dic-2033. Precio 75% fijo + 25% IPC Panamá.</t>
  </si>
  <si>
    <t>Modelar caída de ingresos contratados en 2029 y 2033 (PPA cliffs); indexación 25% IPC.</t>
  </si>
  <si>
    <t>Compromisos</t>
  </si>
  <si>
    <t>Acuerdo de Efecto Estela</t>
  </si>
  <si>
    <t>En diciembre de 2014, la Compañía firmó el Acuerdo de Efecto Estela con UEP Penonomé I, S. A. (actualmente AES Panama, S.R.L.), en el cual UEP II debe compensar a AES Panamá... por las pérdidas de energía causadas por la posición física preferida de las turbinas eólicas que afectan el régimen de viento. La Compañía se compromete a realizar un pago mensual a partir de la Fecha de Operación Comercial, que tuvo lugar el 19 de febrero de 2018, durante un plazo de 25 años...</t>
  </si>
  <si>
    <t>desde 19-feb-2018, plazo 25 años</t>
  </si>
  <si>
    <t>AES Panamá, S.R.L.</t>
  </si>
  <si>
    <t>Pago mensual por efecto estela a AES (25 años desde 2018); ver Nota 15 (compensación efecto estela).</t>
  </si>
  <si>
    <t>Penalidad FGE (Fracción de Generación Esperada)</t>
  </si>
  <si>
    <t>En enero de 2016 la Compañía firmó la modificación No. 4 del PPA... El PPA contempla una penalidad en el caso que el parque eólico no alcance la generación comprometida en los PPA. La porción con la que debe cumplir el parque eólico, a fin de evitar dicha penalidad, es de 0.6 (60%) “Fracción de la Generación Esperada” (FGE)... Basados en la información histórica, la probabilidad de dicha penalidad es remota...</t>
  </si>
  <si>
    <t>FGE 60%</t>
  </si>
  <si>
    <t>Penalidad PPA si generación &lt; 60% FGE (riesgo remoto histórico).</t>
  </si>
  <si>
    <t>page-71</t>
  </si>
  <si>
    <t>PPA corto plazo ETESA (2024-2025)</t>
  </si>
  <si>
    <t>El 23 de octubre de 2023, a la Compañía se le adjudicó dos Contratos PPA por parte de ETESA, mediante Resolución GC-02-2023, para la contratación de suministro de energía a corto plazo únicamente para los años 2024 y 2025, los cuales atenderán los requerimientos de las empresas EDECHI y ENSA. Esta energía será suministrada con Rosa de los Vientos II (Mercado Ocasional).</t>
  </si>
  <si>
    <t>adjudicado 23-oct-2023; vigencia 2024-2025</t>
  </si>
  <si>
    <t>ETESA (para EDECHI y ENSA)</t>
  </si>
  <si>
    <t>2 PPA corto plazo ETESA solo 2024-2025 (Rosa de los Vientos II).</t>
  </si>
  <si>
    <t>Fianzas de cumplimiento</t>
  </si>
  <si>
    <t>En el caso que la Compañía no pueda cumplir con sus obligaciones... las fianzas de cumplimiento que soportan dichas obligaciones pueden ser obtenidas de los clientes... Los montos de las fianzas de cumplimiento proporcionadas por la Compañía ascendían a US$18,369,424 y los montos de las fianzas de cumplimiento proporcionadas por los clientes ascendían a US$6,523,937. Los montos de las fianzas de cumplimiento vigentes al 31 de diciembre de 2025 fueron US$24,893,361 (2024: US$28,625,291).</t>
  </si>
  <si>
    <t>vigentes 31-dic-2025</t>
  </si>
  <si>
    <t>Fianzas de cumplimiento US$24.9MM (2024:28.6MM).</t>
  </si>
  <si>
    <t>Contratos de Reserva (Rosa de los Vientos II)</t>
  </si>
  <si>
    <t>La Compañía mantiene contratos de reserva con sus generadores afiliados Tecnisol I, II, III y IV, con el excedente de energía producida por el parque eólico Rosa de los Vientos II (50 MW) para cubrir las obligaciones de mercado de las empresas afiliadas. Estos Contratos de Reserva especifican la opción de las partes de extender el plazo si así lo desean. El Precio del Contrato se mantiene fijo durante todo el período de suministro.</t>
  </si>
  <si>
    <t>Tecnisol I/II/III/IV</t>
  </si>
  <si>
    <t>Rosa de los Vientos II (50 MW no contratado) cubierto por contratos de reserva con Tecnisol; precio fijo.</t>
  </si>
  <si>
    <t>Acuerdo de Suministro de Turbinas (TSA)</t>
  </si>
  <si>
    <t>El Acuerdo de Suministro de Turbinas (TSA) consiste de 86 generadores de turbina eólica Goldwind G109 2.5 MW con una altura del buje de 90 metros... 66 turbinas de energía contratada totalizando 165 MW, divididos en cuatro parques eólicos: Nuevo Chagres 62.5 MW; Portobelo 32.5 MW; Rosa de los Vientos 52.5 MW; y Marañón 17.5 MW. 20 turbinas de energía, parcialmente contratadas y comercializadas totalizando 50 MW.</t>
  </si>
  <si>
    <t>turbinas</t>
  </si>
  <si>
    <t>TSA 23-abr-2014 (mod. 10-dic-2014)</t>
  </si>
  <si>
    <t>Goldwind</t>
  </si>
  <si>
    <t>86 turbinas Goldwind G109 2.5 MW = 215 MW (165 MW contratada + 50 MW Rosa II).</t>
  </si>
  <si>
    <t>page-72</t>
  </si>
  <si>
    <t>Contrato de Servicio y Mantenimiento (SMA) Goldwind</t>
  </si>
  <si>
    <t>Según la Primera Enmienda al Contrato de Servicio y Mantenimiento, de fecha 1 de octubre de 2021, Goldwind garantiza una tasa de disponibilidad de la turbina basada en el tiempo del 97 % para la temporada de vientos fuertes y del 96 % para la temporada de vientos débiles. ... El 19 de enero de 2024, la Compañía suscribió un Acuerdo de Servicio y Mantenimiento (SMA) de 5 años con una empresa de Goldwind... a un precio fijo ajustado a la inflación, incluyendo garantías de disponibilidad...</t>
  </si>
  <si>
    <t>SMA 5 años desde 19-ene-2024; disponibilidad 97%/96%</t>
  </si>
  <si>
    <t>Goldwind Service Company Panama, S de RL</t>
  </si>
  <si>
    <t>SMA Goldwind 5 años (2024), precio fijo + inflación; garantía disponibilidad 97%/96% (AVF).</t>
  </si>
  <si>
    <t>Licencia ASEP de generación</t>
  </si>
  <si>
    <t>La ASEP (regulador) otorgó la licencia final para la construcción, operación, mantenimiento, generación de energía y venta de los parques eólicos Marañón, Portobelo Ballestillas, Rosa de los Vientos y Nuevo Chagres... Esta licencia final se otorgó por un período de 40 años a partir del 26 de septiembre de 2014.</t>
  </si>
  <si>
    <t>años</t>
  </si>
  <si>
    <t>40 años desde 26-sep-2014</t>
  </si>
  <si>
    <t>Licencia de generación 40 años (2014-2054) → vida regulatoria del activo.</t>
  </si>
  <si>
    <t>Acuerdo de Acceso a Activo Común (Subestación El Coco)</t>
  </si>
  <si>
    <t>El 15 de junio de 2018, la Compañía y UEP Penonomé I, S.A. (actualmente AES Panamá, S.R.L.) firmaron el Acuerdo de la Etapa II de Acceso de Activo Comunes conforme al cual la Compañía aceptó pagar a AES Panamá, S.R.L., quien es el propietario y mantiene la Subestación El Coco... una cuota mensual de acceso de US$27,129 y el reembolso de los costos de mantenimiento.</t>
  </si>
  <si>
    <t>cuota mensual; desde 15-jun-2018</t>
  </si>
  <si>
    <t>Cuota de acceso mensual US$27,129 a AES (Subestación El Coco) - opex recurrente.</t>
  </si>
  <si>
    <t>20. Impacto del COVID-19</t>
  </si>
  <si>
    <t>Impacto del COVID-19 (solo informe FY2022)</t>
  </si>
  <si>
    <t>La pandemia por el COVID-19 ha afectado al Mercado Mayorista de Electricidad (el Mercado) en Panamá... Para minimizar este efecto de la pandemia, el Gobierno aprobó el Decreto 291 del 13 de mayo de 2021 que establece una moratoria... ASEP, mediante la Resolución AN No-16095-Ele del 21 de mayo de 2021, le permite a las compañías pagar proporcionalmente a sus ingresos los compromisos con el mercado... Al 31 de diciembre de 2022 las empresas distribuidoras y agente del mercado ocasional continúan realizando sus pagos de acuerdo con la resolución de la ASEP y han venido cumpliendo con los mismos, por lo que no existen afectaciones mayores en relación con el COVID-19.</t>
  </si>
  <si>
    <t>al 31-dic-2022</t>
  </si>
  <si>
    <t>Nota única del informe FY2022; eliminada en informes posteriores.</t>
  </si>
  <si>
    <t>(line item EEFF sin nota dedicada)</t>
  </si>
  <si>
    <t>Ingresos por energia</t>
  </si>
  <si>
    <t>Cobertura EEFF</t>
  </si>
  <si>
    <t>Los estados financieros auditados NO incluyen una nota dedicada de desglose de 'Ingresos por energia'. El ingreso se describe cualitativamente en la politica de Reconocimiento de Ingresos (Nota 2), en transacciones con partes relacionadas (Nota 16) y en los PPA (Nota 19).</t>
  </si>
  <si>
    <t>EEFF!F7</t>
  </si>
  <si>
    <t>Sin nota cuantitativa de ingresos; ver Notas 2, 16 y 19.</t>
  </si>
  <si>
    <t>NO_NOTE_FOUND</t>
  </si>
  <si>
    <t>Los estados financieros auditados NO incluyen una nota dedicada para 'Otros ingresos'.</t>
  </si>
  <si>
    <t>EEFF!F13</t>
  </si>
  <si>
    <t>Sin nota dedicada.</t>
  </si>
  <si>
    <t>No existe nota de detalle cuantitativa para 'Gastos pagados por adelantado'; solo la politica contable (Nota 2).</t>
  </si>
  <si>
    <t>EEFF!F23</t>
  </si>
  <si>
    <t>Cubierto solo por politica (Nota 2).</t>
  </si>
  <si>
    <t>No existe nota de detalle cuantitativa para 'Inventario'; solo la politica contable (Nota 2).</t>
  </si>
  <si>
    <t>EEFF!F24</t>
  </si>
  <si>
    <t>Fondo de cesantia</t>
  </si>
  <si>
    <t>No existe nota de detalle cuantitativa para 'Fondo de cesantia'; descrito en la politica de Beneficio a Empleados (Nota 2).</t>
  </si>
  <si>
    <t>EEFF!F30</t>
  </si>
  <si>
    <t>No existe nota de detalle cuantitativa para 'Provisiones' (Obligacion de Retiro de Activos/ARO); descrito en la politica (Nota 2) y el costo financiero de desmantelamiento (Nota 17).</t>
  </si>
  <si>
    <t>EEFF!F39</t>
  </si>
  <si>
    <t>Cubierto por politica (Nota 2) y Nota 17.</t>
  </si>
  <si>
    <t>Saldo solo en 2021. No hay nota de detalle dedicada; el swap de tasa se describe en la emision de bonos (Nota 13) y en costos financieros (Nota 17).</t>
  </si>
  <si>
    <t>EEFF!B41</t>
  </si>
  <si>
    <t>Cubierto narrativamente en Notas 13 y 17.</t>
  </si>
  <si>
    <t>Deficit acumulado</t>
  </si>
  <si>
    <t>El movimiento del deficit acumulado se presenta en el Estado de Cambios en el Patrimonio (no en una nota numerada). La Nota 14 cubre acciones comunes y contribucion de capital.</t>
  </si>
  <si>
    <t>EEFF!F46</t>
  </si>
  <si>
    <t>Ver Estado de Cambios en el Patrimonio; Nota 14 (patrimonio).</t>
  </si>
  <si>
    <t>_CHECKS panel — power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</si>
  <si>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</si>
  <si>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</si>
  <si>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</si>
  <si>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</si>
  <si>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</si>
  <si>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</si>
  <si>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</si>
  <si>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</si>
  <si>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</si>
  <si>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</si>
  <si>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</si>
  <si>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</si>
  <si>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</si>
  <si>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</si>
  <si>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</si>
  <si>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</si>
  <si>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</si>
  <si>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</si>
  <si>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</si>
  <si>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</si>
  <si>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</si>
  <si>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</si>
  <si>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</si>
  <si>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</si>
  <si>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</si>
  <si>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SOURCE_GAP</t>
  </si>
  <si>
    <t>No semantic anchors resolved for NI_TIE_TO_EQUITY.</t>
  </si>
  <si>
    <t>NI_SIGN_SANITY</t>
  </si>
  <si>
    <t>UNIVERSAL | expected 0; sign convention must be stated in row description. | source applies_to: all 16</t>
  </si>
  <si>
    <t>No semantic anchors resolved for NI_SIGN_SANITY.</t>
  </si>
  <si>
    <t>RE_ROLLFORWARD</t>
  </si>
  <si>
    <t>UNIVERSAL | expected 0; hard_tie_tolerance. | source applies_to: all 16 with RE row</t>
  </si>
  <si>
    <t>No semantic anchors resolved for RE_ROLLFORWARD.</t>
  </si>
  <si>
    <t>EQUITY_TOTAL_TIE</t>
  </si>
  <si>
    <t>expected 0; hard_tie_tolerance. Default full-USD hard tie threshold is $1,000 unless the workbook declares a tighter scale-aware tolerance.</t>
  </si>
  <si>
    <t>BS_LINEITEM_SUM_ASSETS</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</si>
  <si>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</si>
  <si>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</si>
  <si>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</si>
  <si>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</si>
  <si>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</si>
  <si>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</si>
  <si>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</si>
  <si>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</si>
  <si>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</si>
  <si>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</si>
  <si>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</si>
  <si>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</si>
  <si>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</si>
  <si>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</si>
  <si>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</si>
  <si>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No semantic anchors resolved for PPE_SCHEDULE_TIE.</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</si>
  <si>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</si>
  <si>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</si>
  <si>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</si>
  <si>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</si>
  <si>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</si>
  <si>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</si>
  <si>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POWER CHECKS</t>
  </si>
  <si>
    <t>POWER_REVENUE_BUILD_TIE</t>
  </si>
  <si>
    <t>ARCHETYPE | expected 0; hard_tie_tolerance. | source applies_to: power, utility</t>
  </si>
  <si>
    <t>POWER_CHANNEL_VOLUME_TIE</t>
  </si>
  <si>
    <t>ARCHETYPE | expected 0; observed UEPII uses N/A for years without channel split. | source applies_to: power, utility</t>
  </si>
  <si>
    <t>volume_tolerance</t>
  </si>
  <si>
    <t>No semantic anchors resolved for POWER_CHANNEL_VOLUME_TIE.</t>
  </si>
  <si>
    <t>POWER_CAPACITY_CEILING</t>
  </si>
  <si>
    <t>ARCHETYPE | PASS/FAIL or 0/1; threshold from hours-per-year parameter. | source applies_to: power, utility</t>
  </si>
  <si>
    <t>Installed-capacity ceiling needs an addressable capacity-driver row before the live check can be rendered without hardcoded formula constants.</t>
  </si>
  <si>
    <t>POWER_DSRA_COVERAGE</t>
  </si>
  <si>
    <t>ARCHETYPE | expected 0; UEPII tail uses &lt;=1 tolerance in U2 rows. | source applies_to: project-finance power/utility</t>
  </si>
  <si>
    <t>1 model currency or ratio residual</t>
  </si>
  <si>
    <t>No semantic anchors resolved for POWER_DSRA_COVERAGE.</t>
  </si>
  <si>
    <t>POWER_DSCR_COVENANT</t>
  </si>
  <si>
    <t>ARCHETYPE | must be &gt;=0 or explicit business-warning text; not always a mechanical blocker. | source applies_to: project-finance power/utility</t>
  </si>
  <si>
    <t>soft</t>
  </si>
  <si>
    <t>0 cushion</t>
  </si>
  <si>
    <t>&gt;=0</t>
  </si>
  <si>
    <t>No semantic anchors resolved for POWER_DSCR_COVENANT.</t>
  </si>
  <si>
    <t>POWER_DEBT_FACE_ZERO</t>
  </si>
  <si>
    <t>ARCHETYPE | PASS/FAIL; tail-life projects. | source applies_to: finite-life project finance</t>
  </si>
  <si>
    <t>No semantic anchors resolved for POWER_DEBT_FACE_ZERO.</t>
  </si>
  <si>
    <t>OPERATING_GP_OR_EBITDA_TIE</t>
  </si>
  <si>
    <t>ARCHETYPE | expected 0; hard_tie_tolerance. | source applies_to: operating-EBITDA, downstream fuel, power when EBITDA is used</t>
  </si>
  <si>
    <t>No semantic anchors resolved for OPERATING_GP_OR_EBITDA_TIE.</t>
  </si>
  <si>
    <t>ISSUER-SPECIFIC CHECKS</t>
  </si>
  <si>
    <t>UEPII_TECNISOL_ELIMINATION</t>
  </si>
  <si>
    <t>ISSUER | expected 0; UEPII-only intercompany/Tecnisol logic. | source applies_to: uepii-penonome only</t>
  </si>
  <si>
    <t>No semantic anchors resolved for UEPII_TECNISOL_ELIMINATION.</t>
  </si>
  <si>
    <t>UEPII_FINITE_LIFE_DCF</t>
  </si>
  <si>
    <t>ISSUER | PASS/FAIL; UEPII U2 checks. | source applies_to: uepii-penonome only</t>
  </si>
  <si>
    <t>No semantic anchors resolved for UEPII_FINITE_LIFE_DCF.</t>
  </si>
  <si>
    <t>Generation_PPA - source-visible MW/MWh, price, and revenue bridge</t>
  </si>
  <si>
    <t>Filing facts only; use NOT_DISCLOSED where notes/MD&amp;A are silent</t>
  </si>
  <si>
    <t>Anios</t>
  </si>
  <si>
    <t>A. Capacity and generation (MW -&gt; MWh)</t>
  </si>
  <si>
    <t xml:space="preserve">  Capacity MW - Nuevo Chagres</t>
  </si>
  <si>
    <t xml:space="preserve">  Capacity MW - Rosa de los Vientos I</t>
  </si>
  <si>
    <t xml:space="preserve">  Capacity MW - Rosa de los Vientos II</t>
  </si>
  <si>
    <t xml:space="preserve">  Capacity MW - Marañón</t>
  </si>
  <si>
    <t xml:space="preserve">  Capacity MW - Portobelo Ballestillas</t>
  </si>
  <si>
    <t xml:space="preserve">  Total visible capacity (MW)</t>
  </si>
  <si>
    <t xml:space="preserve">  Availability / AVF (if disclosed; memo)</t>
  </si>
  <si>
    <t xml:space="preserve">  Plant factor / net CF - active</t>
  </si>
  <si>
    <t xml:space="preserve">  Hours per year</t>
  </si>
  <si>
    <t xml:space="preserve">  Generation MWh - Nuevo Chagres</t>
  </si>
  <si>
    <t xml:space="preserve">  Generation MWh - Rosa de los Vientos I</t>
  </si>
  <si>
    <t xml:space="preserve">  Generation MWh - Rosa de los Vientos II</t>
  </si>
  <si>
    <t xml:space="preserve">  Generation MWh - Marañón</t>
  </si>
  <si>
    <t xml:space="preserve">  Generation MWh - Portobelo Ballestillas</t>
  </si>
  <si>
    <t xml:space="preserve">  Historical generation MWh from filing</t>
  </si>
  <si>
    <t xml:space="preserve">  Total generation MWh</t>
  </si>
  <si>
    <t>B. Price drivers ($/MWh)</t>
  </si>
  <si>
    <t xml:space="preserve">  PPA / contracted price ($/MWh)</t>
  </si>
  <si>
    <t xml:space="preserve">  Spot / merchant price ($/MWh) - active</t>
  </si>
  <si>
    <t xml:space="preserve">  Reserve price ($/MWh)</t>
  </si>
  <si>
    <t>C. Channel MWh</t>
  </si>
  <si>
    <t xml:space="preserve">  PPA active fraction - Nuevo Chagres</t>
  </si>
  <si>
    <t xml:space="preserve">  PPA active fraction - Rosa de los Vientos I</t>
  </si>
  <si>
    <t xml:space="preserve">  PPA active fraction - Rosa de los Vientos II</t>
  </si>
  <si>
    <t xml:space="preserve">  PPA active fraction - Marañón</t>
  </si>
  <si>
    <t xml:space="preserve">  PPA active fraction - Portobelo Ballestillas</t>
  </si>
  <si>
    <t xml:space="preserve">  Contracted / PPA MWh</t>
  </si>
  <si>
    <t xml:space="preserve">  Reserve MWh</t>
  </si>
  <si>
    <t xml:space="preserve">  Spot / merchant MWh</t>
  </si>
  <si>
    <t>D. Revenue bridge (MWh x price)</t>
  </si>
  <si>
    <t xml:space="preserve">  Modelo revenue line</t>
  </si>
  <si>
    <t xml:space="preserve">  PPA revenue</t>
  </si>
  <si>
    <t xml:space="preserve">  Reserve revenue</t>
  </si>
  <si>
    <t xml:space="preserve">  Spot / merchant revenue</t>
  </si>
  <si>
    <t xml:space="preserve">  Other energy revenue / transmission / regional</t>
  </si>
  <si>
    <t xml:space="preserve">  Total energy revenue (Generation_PPA)</t>
  </si>
  <si>
    <t xml:space="preserve">  Implied total price ($/MWh = revenue / MWh)</t>
  </si>
  <si>
    <t xml:space="preserve">  Revenue tie tolerance</t>
  </si>
  <si>
    <t xml:space="preserve">  Tie: Generation_PPA revenue - Modelo revenue</t>
  </si>
  <si>
    <t>Source_Register — power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</si>
  <si>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</si>
  <si>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</si>
  <si>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</si>
  <si>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</si>
  <si>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</si>
  <si>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</si>
  <si>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</si>
  <si>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</si>
  <si>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</si>
  <si>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</si>
  <si>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</si>
  <si>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</si>
  <si>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OCR_ROOT:uepii-penonome</t>
  </si>
  <si>
    <t>OCR_ROOT</t>
  </si>
  <si>
    <t>UEPPSA</t>
  </si>
  <si>
    <t>EEFF; Notas_EEFF</t>
  </si>
  <si>
    <t>OCR of the published filings</t>
  </si>
  <si>
    <t>1</t>
  </si>
  <si>
    <t>Annual reports (INA) of uepii-penonome</t>
  </si>
  <si>
    <t>EEFF_FILING:ina_y_eeff_uep_ii_y_garantes_diciembre_2021</t>
  </si>
  <si>
    <t>EEFF_FILING</t>
  </si>
  <si>
    <t>INA-Y-EEFF-UEP-II-Y-GARANTES-DICIEMBRE-2021.pdf</t>
  </si>
  <si>
    <t>EEFF; Notas_EEFF; MD&amp;A</t>
  </si>
  <si>
    <t>00-index.md; 01-eeff.md; 02-notas.md; 03-mda.md; 09-otros.md</t>
  </si>
  <si>
    <t>159</t>
  </si>
  <si>
    <t>markdown.md sha256=87c5c989706ca593...</t>
  </si>
  <si>
    <t>EEFF_FILING:ina_ueppsa_2022_0</t>
  </si>
  <si>
    <t>markdown.md sha256=2f02ce6d20802661...</t>
  </si>
  <si>
    <t>EEFF_FILING:ina_ueppsa_2023_0</t>
  </si>
  <si>
    <t>158</t>
  </si>
  <si>
    <t>markdown.md sha256=02e4644995c71b91...</t>
  </si>
  <si>
    <t>EEFF_FILING:ina_ueppsa_2024_0</t>
  </si>
  <si>
    <t>151</t>
  </si>
  <si>
    <t>markdown.md sha256=9cc582a2ff7f35bc...</t>
  </si>
  <si>
    <t>EEFF_FILING:ina_ueppsa_2025_0</t>
  </si>
  <si>
    <t>157</t>
  </si>
  <si>
    <t>markdown.md sha256=de88c39c19962afe...</t>
  </si>
  <si>
    <t>NOTA:INA_UEPPSA_2022_0.pdf#10. Activos Intangibles</t>
  </si>
  <si>
    <t>NOTA</t>
  </si>
  <si>
    <t>Notas_EEFF</t>
  </si>
  <si>
    <t>7</t>
  </si>
  <si>
    <t>NOTA:INA_UEPPSA_2022_0.pdf#12. Proveedores y Otras Cuentas por Pagar</t>
  </si>
  <si>
    <t>5</t>
  </si>
  <si>
    <t>NOTA:INA_UEPPSA_2022_0.pdf#13. Bonos por Pagar</t>
  </si>
  <si>
    <t>tbl-28.html; tbl-29.html; tbl-30.html</t>
  </si>
  <si>
    <t>15</t>
  </si>
  <si>
    <t>NOTA:INA_UEPPSA_2022_0.pdf#14. Patrimonio de los Accionistas</t>
  </si>
  <si>
    <t>NOTA:INA_UEPPSA_2022_0.pdf#15. Costos y Gastos</t>
  </si>
  <si>
    <t>tbl-33.html; tbl-34.html</t>
  </si>
  <si>
    <t>24</t>
  </si>
  <si>
    <t>NOTA:INA_UEPPSA_2022_0.pdf#16. Saldos y Transacciones con Partes Relacionadas</t>
  </si>
  <si>
    <t>tbl-35.html; tbl-36.html; tbl-37.html</t>
  </si>
  <si>
    <t>19</t>
  </si>
  <si>
    <t>NOTA:INA_UEPPSA_2022_0.pdf#17. Costos Financieros, Neto</t>
  </si>
  <si>
    <t>9</t>
  </si>
  <si>
    <t>NOTA:INA_UEPPSA_2022_0.pdf#18. Impuesto sobre la Renta</t>
  </si>
  <si>
    <t>tbl-39.html; tbl-40.html; tbl-41.html</t>
  </si>
  <si>
    <t>17</t>
  </si>
  <si>
    <t>NOTA:INA_UEPPSA_2022_0.pdf#3. Administración de Riesgos Financieros</t>
  </si>
  <si>
    <t>tbl-14.html; tbl-15.html; tbl-16.html; +2 more</t>
  </si>
  <si>
    <t>NOTA:INA_UEPPSA_2022_0.pdf#5. Efectivo y Equivalentes de Efectivo para el Estado de Flujos de Efectivo</t>
  </si>
  <si>
    <t>NOTA:INA_UEPPSA_2022_0.pdf#6. Fondo Fiduciario de Uso Específico</t>
  </si>
  <si>
    <t>NOTA:INA_UEPPSA_2022_0.pdf#7. Deudores Comerciales y Otras Cuentas por Cobrar</t>
  </si>
  <si>
    <t>NOTA:INA_UEPPSA_2022_0.pdf#8. Planta y Equipo, Neto</t>
  </si>
  <si>
    <t>2</t>
  </si>
  <si>
    <t>NOTA:INA_UEPPSA_2022_0.pdf#9. Arrendamientos</t>
  </si>
  <si>
    <t>tbl-24.html; tbl-25.html</t>
  </si>
  <si>
    <t>10</t>
  </si>
  <si>
    <t>NOTA:INA_UEPPSA_2023_0.pdf#10. Activos Intangibles</t>
  </si>
  <si>
    <t>NOTA:INA_UEPPSA_2023_0.pdf#12. Proveedores y Otras Cuentas por Pagar</t>
  </si>
  <si>
    <t>4</t>
  </si>
  <si>
    <t>NOTA:INA_UEPPSA_2023_0.pdf#13. Bonos por Pagar</t>
  </si>
  <si>
    <t>tbl-29.html; tbl-30.html</t>
  </si>
  <si>
    <t>NOTA:INA_UEPPSA_2023_0.pdf#14. Patrimonio de los Accionistas</t>
  </si>
  <si>
    <t>NOTA:INA_UEPPSA_2023_0.pdf#15. Costos y Gastos</t>
  </si>
  <si>
    <t>NOTA:INA_UEPPSA_2023_0.pdf#16. Saldos y Transacciones con Partes Relacionadas</t>
  </si>
  <si>
    <t>NOTA:INA_UEPPSA_2023_0.pdf#17. Costos Financieros, Neto</t>
  </si>
  <si>
    <t>NOTA:INA_UEPPSA_2023_0.pdf#18. Impuesto sobre la Renta</t>
  </si>
  <si>
    <t>tbl-38.html; tbl-39.html; tbl-40.html</t>
  </si>
  <si>
    <t>NOTA:INA_UEPPSA_2023_0.pdf#20. Impacto del COVID-19</t>
  </si>
  <si>
    <t>NOTA:INA_UEPPSA_2023_0.pdf#3. Administración de Riesgos Financieros</t>
  </si>
  <si>
    <t>tbl-14.html; tbl-15.html; tbl-16.html; +1 more</t>
  </si>
  <si>
    <t>NOTA:INA_UEPPSA_2023_0.pdf#5. Efectivo y Equivalentes de Efectivo para el Estado de Flujos de Efectivo</t>
  </si>
  <si>
    <t>NOTA:INA_UEPPSA_2023_0.pdf#6. Fondo Fiduciario de Uso Específico</t>
  </si>
  <si>
    <t>NOTA:INA_UEPPSA_2023_0.pdf#7. Deudores Comerciales y Otras Cuentas por Cobrar</t>
  </si>
  <si>
    <t>NOTA:INA_UEPPSA_2023_0.pdf#8. Planta y Equipo, Neto</t>
  </si>
  <si>
    <t>NOTA:INA_UEPPSA_2023_0.pdf#9. Arrendamientos</t>
  </si>
  <si>
    <t>tbl-23.html; tbl-24.html</t>
  </si>
  <si>
    <t>NOTA:INA_UEPPSA_2024_0.pdf#10. Activos Intangibles</t>
  </si>
  <si>
    <t>NOTA:INA_UEPPSA_2024_0.pdf#12. Proveedores y Otras Cuentas por Pagar</t>
  </si>
  <si>
    <t>NOTA:INA_UEPPSA_2024_0.pdf#13. Bonos por Pagar</t>
  </si>
  <si>
    <t>NOTA:INA_UEPPSA_2024_0.pdf#14. Patrimonio de los Accionistas</t>
  </si>
  <si>
    <t>NOTA:INA_UEPPSA_2024_0.pdf#15. Costos y Gastos</t>
  </si>
  <si>
    <t>tbl-32.html; tbl-33.html</t>
  </si>
  <si>
    <t>27</t>
  </si>
  <si>
    <t>NOTA:INA_UEPPSA_2024_0.pdf#16. Saldos y Transacciones con Partes Relacionadas</t>
  </si>
  <si>
    <t>tbl-34.html; tbl-35.html; tbl-36.html</t>
  </si>
  <si>
    <t>20</t>
  </si>
  <si>
    <t>NOTA:INA_UEPPSA_2024_0.pdf#17. Costos Financieros, Neto</t>
  </si>
  <si>
    <t>NOTA:INA_UEPPSA_2024_0.pdf#18. Impuesto sobre la Renta</t>
  </si>
  <si>
    <t>tbl-37.html; tbl-38.html; tbl-39.html</t>
  </si>
  <si>
    <t>11</t>
  </si>
  <si>
    <t>NOTA:INA_UEPPSA_2024_0.pdf#3. Administración de Riesgos Financieros</t>
  </si>
  <si>
    <t>NOTA:INA_UEPPSA_2024_0.pdf#5. Efectivo y Equivalentes de Efectivo para el Estado de Flujos de Efectivo</t>
  </si>
  <si>
    <t>NOTA:INA_UEPPSA_2024_0.pdf#6. Fondo Fiduciario de Uso Específico</t>
  </si>
  <si>
    <t>NOTA:INA_UEPPSA_2024_0.pdf#7. Deudores Comerciales y Otras Cuentas por Cobrar</t>
  </si>
  <si>
    <t>NOTA:INA_UEPPSA_2024_0.pdf#8. Planta y Equipo, Neto</t>
  </si>
  <si>
    <t>8</t>
  </si>
  <si>
    <t>NOTA:INA_UEPPSA_2024_0.pdf#9. Arrendamientos</t>
  </si>
  <si>
    <t>tbl-23.html; tbl-24.html; tbl-25.html</t>
  </si>
  <si>
    <t>NOTA:INA_UEPPSA_2025_0.pdf#(line item EEFF sin nota dedicada)</t>
  </si>
  <si>
    <t>NOTA:INA_UEPPSA_2025_0.pdf#1. Información General</t>
  </si>
  <si>
    <t>NOTA:INA_UEPPSA_2025_0.pdf#10. Activos Intangibles</t>
  </si>
  <si>
    <t>markdown.md; tbl-27.html</t>
  </si>
  <si>
    <t>NOTA:INA_UEPPSA_2025_0.pdf#11. Plusvalía</t>
  </si>
  <si>
    <t>markdown.md; tbl-28.html</t>
  </si>
  <si>
    <t>NOTA:INA_UEPPSA_2025_0.pdf#12. Proveedores y Otras Cuentas por Pagar</t>
  </si>
  <si>
    <t>NOTA:INA_UEPPSA_2025_0.pdf#13. Bonos por Pagar</t>
  </si>
  <si>
    <t>markdown.md; tbl-30.html; tbl-31.html</t>
  </si>
  <si>
    <t>38</t>
  </si>
  <si>
    <t>NOTA:INA_UEPPSA_2025_0.pdf#14. Patrimonio de los Accionistas</t>
  </si>
  <si>
    <t>markdown.md; tbl-32.html</t>
  </si>
  <si>
    <t>NOTA:INA_UEPPSA_2025_0.pdf#15. Costos y Gastos</t>
  </si>
  <si>
    <t>54</t>
  </si>
  <si>
    <t>NOTA:INA_UEPPSA_2025_0.pdf#16. Saldos y Transacciones con Partes Relacionadas</t>
  </si>
  <si>
    <t>markdown.md; tbl-35.html; tbl-36.html</t>
  </si>
  <si>
    <t>42</t>
  </si>
  <si>
    <t>NOTA:INA_UEPPSA_2025_0.pdf#17. Costos Financieros, Neto</t>
  </si>
  <si>
    <t>14</t>
  </si>
  <si>
    <t>NOTA:INA_UEPPSA_2025_0.pdf#18. Impuesto sobre la Renta</t>
  </si>
  <si>
    <t>markdown.md; tbl-38.html; tbl-39.html; +1 more</t>
  </si>
  <si>
    <t>23</t>
  </si>
  <si>
    <t>NOTA:INA_UEPPSA_2025_0.pdf#19. Compromisos</t>
  </si>
  <si>
    <t>NOTA:INA_UEPPSA_2025_0.pdf#2. Resumen de las Políticas Contables Materiales</t>
  </si>
  <si>
    <t>markdown.md; tbl-13.html</t>
  </si>
  <si>
    <t>30</t>
  </si>
  <si>
    <t>NOTA:INA_UEPPSA_2025_0.pdf#3. Administración de Riesgos Financieros</t>
  </si>
  <si>
    <t>markdown.md; tbl-14.html; tbl-15.html; +3 more</t>
  </si>
  <si>
    <t>48</t>
  </si>
  <si>
    <t>NOTA:INA_UEPPSA_2025_0.pdf#4. Estimaciones de Contabilidad y Juicios Críticos</t>
  </si>
  <si>
    <t>NOTA:INA_UEPPSA_2025_0.pdf#5. Efectivo y Equivalentes de Efectivo para el Estado de Flujos de Efectivo</t>
  </si>
  <si>
    <t>NOTA:INA_UEPPSA_2025_0.pdf#6. Fondo Fiduciario de Uso Específico</t>
  </si>
  <si>
    <t>markdown.md; tbl-20.html</t>
  </si>
  <si>
    <t>21</t>
  </si>
  <si>
    <t>NOTA:INA_UEPPSA_2025_0.pdf#7. Deudores Comerciales y Otras Cuentas por Cobrar</t>
  </si>
  <si>
    <t>markdown.md; tbl-21.html</t>
  </si>
  <si>
    <t>NOTA:INA_UEPPSA_2025_0.pdf#8. Planta y Equipo, Neto</t>
  </si>
  <si>
    <t>markdown.md; tbl-22.html</t>
  </si>
  <si>
    <t>NOTA:INA_UEPPSA_2025_0.pdf#9. Arrendamientos</t>
  </si>
  <si>
    <t>markdown.md; tbl-24.html; tbl-25.html; +1 more</t>
  </si>
  <si>
    <t>DRIVER:EEFF:Ingresos por energía</t>
  </si>
  <si>
    <t>DRIVER_EEFF</t>
  </si>
  <si>
    <t>Supuestos</t>
  </si>
  <si>
    <t>Ingreso energía FY25 (A) (auditado, ref EEFF)</t>
  </si>
  <si>
    <t>DRIVER:a working file kept by the maintainer</t>
  </si>
  <si>
    <t>DRIVER_DATA</t>
  </si>
  <si>
    <t>Factor de planta NETO (CF) — activo</t>
  </si>
  <si>
    <t>39</t>
  </si>
  <si>
    <t>REGULATOR:SMV:uepii-penonome</t>
  </si>
  <si>
    <t>REGULATOR</t>
  </si>
  <si>
    <t>Source_Register</t>
  </si>
  <si>
    <t>https://supervalores.gob.pa/listado-de-emisores-con-valores-registrados/</t>
  </si>
  <si>
    <t>46210</t>
  </si>
  <si>
    <t>SMV (supervalores.gob.pa) — emisor con valores registrados: Bonos Garantizados Senior (UEP Penonomé II, S.A.). Listado oficial consultado 2026-07-07.</t>
  </si>
  <si>
    <t>REGULATOR:SBP:uepii-penonome</t>
  </si>
  <si>
    <t>https://www.superbancos.gob.pa/</t>
  </si>
  <si>
    <t>NOT_FOUND</t>
  </si>
  <si>
    <t>0</t>
  </si>
  <si>
    <t>No aplica / sin dato específico del emisor en SBP (no es entidad bancaria supervisada).</t>
  </si>
  <si>
    <t>_CHANGELOG — generation record for uepii-penonome.</t>
  </si>
  <si>
    <t>Internal build history omitted from the public export. Record public changes below.</t>
  </si>
  <si>
    <t>MD&amp;A — IN-A FY2025 (UEP Penonomé II, S.A.), Sección "Análisis de Resultados Financieros y Operativos" (transcripción verbatim del filing público; linaje archivo-línea en Source_Register).</t>
  </si>
  <si>
    <t>Il. ANÁLISIS DE RESULTADOS FINANCIEROS Y OPERATIVOS</t>
  </si>
  <si>
    <t>La información financiera está expresada en miles de dólares estadounidenses.</t>
  </si>
  <si>
    <t>A. Liquidez</t>
  </si>
  <si>
    <t>Expresado en US$000 al 31 de Diciembre | al 31 de Diciembre</t>
  </si>
  <si>
    <t>2025 2025</t>
  </si>
  <si>
    <t>Flujos de efectivo de las actividades de operacién</t>
  </si>
  <si>
    <t>Utilidad antes del impuesto (172) (1,711)</t>
  </si>
  <si>
    <t>Partidas para conciliar la utilidad neta con el efectivo</t>
  </si>
  <si>
    <t>neto provisto por las actividades de operación: 27,596 28,437</t>
  </si>
  <si>
    <t>Cambios en activos y pasivos de operación 1,053 1,422</t>
  </si>
  <si>
    <t>Efectivo neto provisto por las actividades de operación 28,477 28,148</t>
  </si>
  <si>
    <t>Efectivo neto provisto en las actividades de inversión 1,467 2,151</t>
  </si>
  <si>
    <t>Efectivo neto utilizado en las actividades de financiamiento (28,866) (43,577)</t>
  </si>
  <si>
    <t>Variación neta de efectivo y equivalentes de efectivo 1,078 (13,278)|</t>
  </si>
  <si>
    <t>Efectivo y equivalentes de efectivo al inicio de año 4,119 17,397</t>
  </si>
  <si>
    <t>Efectivo y equivalentes de efectivo al final del período 5,197 4,119</t>
  </si>
  <si>
    <t>El efectivo neto de la compañía al 31 de diciembre de 2025 y 31 de diciembre de 2024 fue</t>
  </si>
  <si>
    <t>de US$ 5,197 y US$ 4,119 respectivamente, lo que representa un aumento de US$ 1,078</t>
  </si>
  <si>
    <t>durante el período. Las variaciones del flujo de caja neto son explicadas a continuación:</t>
  </si>
  <si>
    <t>Al 31 de diciembre de 2025, la compañía presentó una pérdida antes de impuesto de US$</t>
  </si>
  <si>
    <t>172, un aumento de US$ 1,539 en relación con el mismo período del 2024 debido a</t>
  </si>
  <si>
    <t>menores gastos explicados en los resultados de las operaciones.</t>
  </si>
  <si>
    <t>El efectivo neto provisto por las actividades de operación presentó un aumento de US$</t>
  </si>
  <si>
    <t>330, compuesto principalmente por: a) aumento en las cuentas por pagar por US$ 2,010,</t>
  </si>
  <si>
    <t>```</t>
  </si>
  <si>
    <t>## PDF Page 11</t>
  </si>
  <si>
    <t>```text</t>
  </si>
  <si>
    <t>b) aumento de US$ 1,774 en gastos pagados por adelantado; parcialmente compensado por</t>
  </si>
  <si>
    <t>el aumento en las cuentas por cobrar por US$ 4,160.</t>
  </si>
  <si>
    <t>El efectivo neto provisto en las actividades de inversión muestra una disminución de US$</t>
  </si>
  <si>
    <t>683, relacionado principalmente a mayores adiciones de planta y equipo en comparación</t>
  </si>
  <si>
    <t>al mismo período en 2024.</t>
  </si>
  <si>
    <t>El flujo de efectivo utilizado en las actividades de financiamiento presentó como resultado</t>
  </si>
  <si>
    <t>una disminución por US$ 14,710 el cual se atribuye principalmente al pago de dividendos</t>
  </si>
  <si>
    <t>y reducción de capital no realizados en el 2025 en comparación al mismo período en 2024.</t>
  </si>
  <si>
    <t>Recursos de Capital</t>
  </si>
  <si>
    <t>Al 31 de diciembre de 2025 se mantiene un saldo de inventarios de aspas relacionados</t>
  </si>
  <si>
    <t>principalmente a programas de monitoreo de aspas.</t>
  </si>
  <si>
    <t>Resultado de las Operaciones</t>
  </si>
  <si>
    <t>En el siguiente cuadro se presenta un resumen de los resultados de las operaciones de la</t>
  </si>
  <si>
    <t>compañía comparándolo al período anterior:</t>
  </si>
  <si>
    <t>Unidad 2025 2024 VAR % VAR</t>
  </si>
  <si>
    <t>Datos Comerciales</t>
  </si>
  <si>
    <t>Ventas a DISCOS GWh 320.08 27.22 8.5%</t>
  </si>
  <si>
    <t>Ventas contrato a garantes GWh 34.00 4.17 12.3%)</t>
  </si>
  <si>
    <t>Total venta de energia en contratos GWh 354.08 31.39 8.9%</t>
  </si>
  <si>
    <t>Ventas al mercado ocasional GWh 42.71 (15.88) — -37.2%)</t>
  </si>
  <si>
    <t>Compensaciones por pérdidas de transmisión GWh 9.77 0.99 10,2%</t>
  </si>
  <si>
    <t>Total venta de energía GWh 406.56 16.51 4.1%</t>
  </si>
  <si>
    <t>Precios del spot</t>
  </si>
  <si>
    <t>Precio spot promedio del sistema USS/MWh 66.37 104.43 (38.06) -36.4%|</t>
  </si>
  <si>
    <t>Precios de venta al spot USS/MWh 66.44 133.91 (67.47) 50.4%</t>
  </si>
  <si>
    <t>Datos Operativos</t>
  </si>
  <si>
    <t>Generación Total GWh 405.42 16.95 4,2%]</t>
  </si>
  <si>
    <t>Factor de planta % 21.47% 0.01 4.5%]</t>
  </si>
  <si>
    <t>Disponibilidad operativa promedio % 93.66% 0.02 2.5%]</t>
  </si>
  <si>
    <t>Velocidad promedio del viento ms 442 5.05 (0.63) 12.4%</t>
  </si>
  <si>
    <t>Compras de energía al spot GWh 144 1.68 (0.23) -14%]</t>
  </si>
  <si>
    <t>## PDF Page 12</t>
  </si>
  <si>
    <t>Ventas:</t>
  </si>
  <si>
    <t>Los ingresos por ventas de energía registraron una disminución de US$ 249 al cierre del</t>
  </si>
  <si>
    <t>31 de diciembre de 2025, en comparación con el mismo período de 2024. Esta variación</t>
  </si>
  <si>
    <t>se explica principalmente por la disminución de las ventas al mercado ocasional (US$</t>
  </si>
  <si>
    <t>3,937), como consecuencia de la menor cantidad y precio promedio (15.9 GWh y US$</t>
  </si>
  <si>
    <t>67.5/MWh respectivamente). Dicho efecto fue parcialmente compensado por un</t>
  </si>
  <si>
    <t>incremento de US$ 3,484 en las ventas por contrato.</t>
  </si>
  <si>
    <t>Las ventas a contratos de partes relacionadas se refieren a la energía vendida a Grupo</t>
  </si>
  <si>
    <t>Tecnisol quien utiliza esta compra de energía para cubrir sus contratos con grandes clientes.</t>
  </si>
  <si>
    <t>Costos y gastos de operación (Véase Nota 15 según Estados Financieros auditado)</t>
  </si>
  <si>
    <t>Costos de transmisión</t>
  </si>
  <si>
    <t>Los costos de transmisión muestran una disminución de US$ 1,455, esto se debe a que en</t>
  </si>
  <si>
    <t>2024 se realizaron pagos correspondientes a cargos de transmisión de periodos anteriores.</t>
  </si>
  <si>
    <t>En 2025 no se presentaron dichos pagos extraordinarios, reflejándose únicamente los</t>
  </si>
  <si>
    <t>cargos del periodo corriente.</t>
  </si>
  <si>
    <t>Operación y mantenimiento</t>
  </si>
  <si>
    <t>Los costos de operación y mantenimiento presentaron un aumento por US$ 96, atribuible</t>
  </si>
  <si>
    <t>principalmente a las siguientes variaciones: costos de reparación y mantenimiento por US$</t>
  </si>
  <si>
    <t>256, salarios y otros beneficios de colaboradores por US$ 32.</t>
  </si>
  <si>
    <t>Esta variación fue parcialmente compensada por disminuciones en consumo interno de la</t>
  </si>
  <si>
    <t>planta por US$ 126, compras de energía al mercado ocasional por US$54 y seguridad por</t>
  </si>
  <si>
    <t>US$ 11.</t>
  </si>
  <si>
    <t>Gastos generales y administrativos</t>
  </si>
  <si>
    <t>Los costos generales y administrativos aumentaron en US$ 473 en comparación con el</t>
  </si>
  <si>
    <t>período anterior. Esta variación se explica principalmente por el mayor gasto en servicios</t>
  </si>
  <si>
    <t>de administración variable, que alcanzó US$ 967. No obstante, dicho incremento fue</t>
  </si>
  <si>
    <t>parcialmente compensado por reducciones en compensaciones por efecto estela por US$</t>
  </si>
  <si>
    <t>141, cuotas del regulador por US$ 107, honorarios profesionales por US$ 104, costos de</t>
  </si>
  <si>
    <t>seguros por US$ 78, otros gastos por US$ 37 y el cargo por conexión de subestación por</t>
  </si>
  <si>
    <t>US$ 22.</t>
  </si>
  <si>
    <t>Los costos de depreciación y amortización no muestran variaciones significativas con</t>
  </si>
  <si>
    <t>relación al mismo período del 2024.</t>
  </si>
  <si>
    <t>## PDF Page 13</t>
  </si>
  <si>
    <t>D. Análisis de perspectivas</t>
  </si>
  <si>
    <t>Para el año 2025, el Parque Eólico sufrió una disminución en el recurso eólico respecto al</t>
  </si>
  <si>
    <t>año 2024 durante la época seca debido a la transición de las condiciones ENSO neutrales</t>
  </si>
  <si>
    <t>hacia condiciones de La Niña, mientras que durante el año 2024 el fenómeno de "El Niño”</t>
  </si>
  <si>
    <t>estuvo presente durante la época seca. Esta transición provocó una disminución en el</t>
  </si>
  <si>
    <t>recurso viento, resultando en una menor producción con respecto al año anterior donde la</t>
  </si>
  <si>
    <t>producción en los meses de mayor producción se vio afectada positivamente por las</t>
  </si>
  <si>
    <t>condiciones de "El Niño".</t>
  </si>
  <si>
    <t>A nivel de margen variable en el primer trimestre de 2026, se espera que los resultados</t>
  </si>
  <si>
    <t>sean ligeramente mejores a los obtenidos para el mismo período el año anterior, ya que se</t>
  </si>
  <si>
    <t>espera que el 2026 inicie con las condiciones neutrales, lo que representa un escenario</t>
  </si>
  <si>
    <t>promedio de recurso primario del parque y la generación.</t>
  </si>
  <si>
    <t>Según el último reporte de la NOAA se espera que las condiciones de La Niña se</t>
  </si>
  <si>
    <t>mantengan hasta máximo el mes de abril donde las condiciones deben empezar a ir hacia</t>
  </si>
  <si>
    <t>ENSO neutral. A partir de allí se puede dar una transición en el segundo semestre hacia</t>
  </si>
  <si>
    <t>"El Niño". Dadas las condiciones actuales del mercado de hidrocarburos, la composición</t>
  </si>
  <si>
    <t>de la matriz energética en Panamá y los precios del Mercado Ocasional (Spot) se esperan</t>
  </si>
  <si>
    <t>que disminuyan respecto al año anterior debido a la disponibilidad del ciclo combinado</t>
  </si>
  <si>
    <t>de Gatún desde el inicio del año.</t>
  </si>
  <si>
    <t>En referencia a los costos y gastos la compañía estima no tener variaciones importantes</t>
  </si>
  <si>
    <t>en comparación con el año 2024.</t>
  </si>
  <si>
    <t>## PDF Page 14</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</si>
  <si>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</si>
  <si>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</si>
  <si>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</si>
  <si>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</si>
  <si>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</si>
  <si>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</si>
  <si>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</si>
  <si>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</si>
  <si>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Supuestos: 39 cells written, at N11, N12, N13, N14, N15, N16, N17, N18, N19, N20, N21, N22, N25, N26, N27 and 24 more; Source_Register: 5 cells written, at A2, I5, M5, A75, M75; _CHANGELOG: data A1:H31 -&gt; A1:A3 (rows 31 -&gt; 3, columns 8 -&gt; 1), 192 cells written, at A2, A3, B3, C3, D3, E3, F3, G3, H3, A4, B4, C4, D4, E4, F4 and 177 more.
Other actions: clear x1.
Agent: OpenFinmods export</t>
  </si>
  <si>
    <t>Compare against source and review public copy</t>
  </si>
</sst>
</file>

<file path=xl/styles.xml><?xml version="1.0" encoding="utf-8"?>
<styleSheet xmlns="http://schemas.openxmlformats.org/spreadsheetml/2006/main">
  <numFmts count="10">
    <numFmt numFmtId="164" formatCode="#,##0;(#,##0);-"/>
    <numFmt numFmtId="165" formatCode="General"/>
    <numFmt numFmtId="166" formatCode="@"/>
    <numFmt numFmtId="167" formatCode="#,##0;[Red](#,##0);-"/>
    <numFmt numFmtId="168" formatCode="0.0%"/>
    <numFmt numFmtId="169" formatCode="0"/>
    <numFmt numFmtId="170" formatCode="0.00"/>
    <numFmt numFmtId="171" formatCode="#,##0"/>
    <numFmt numFmtId="172" formatCode="yyyy-mm-dd"/>
    <numFmt numFmtId="173" formatCode="yyyy\-mm\-dd hh:mm"/>
  </numFmts>
  <fonts count="18">
    <font>
      <sz val="11"/>
      <color theme="1"/>
      <name val="Calibri"/>
      <family val="2"/>
      <scheme val="minor"/>
    </font>
    <font>
      <sz val="11"/>
      <color rgb="FF000000"/>
      <name val="Calibri"/>
      <family val="2"/>
      <scheme val="minor"/>
    </font>
    <font>
      <b val="0"/>
      <i val="0"/>
      <strike val="0"/>
      <sz val="10"/>
      <color rgb="FF0432FF"/>
      <name val="Arial"/>
    </font>
    <font>
      <b/>
      <i val="0"/>
      <strike val="0"/>
      <sz val="10"/>
      <color rgb="FF0432FF"/>
      <name val="Arial"/>
    </font>
    <font>
      <b val="0"/>
      <i val="0"/>
      <strike val="0"/>
      <sz val="10"/>
      <color rgb="FF000000"/>
      <name val="Arial"/>
    </font>
    <font>
      <b/>
      <i val="0"/>
      <strike val="0"/>
      <sz val="10"/>
      <color rgb="FF000000"/>
      <name val="Arial"/>
    </font>
    <font>
      <b val="0"/>
      <i val="0"/>
      <strike val="0"/>
      <sz val="1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sz val="10"/>
      <color rgb="FF000000"/>
      <name val="Arial"/>
    </font>
    <font>
      <sz val="10"/>
      <name val="Arial"/>
    </font>
    <font>
      <b val="0"/>
      <sz val="10"/>
      <color rgb="FF000000"/>
      <name val="Arial"/>
    </font>
    <font>
      <i/>
      <sz val="10"/>
      <color rgb="FF000000"/>
      <name val="Arial"/>
    </font>
    <font>
      <b/>
      <sz val="10"/>
      <color rgb="FF000000"/>
      <name val="Arial"/>
    </font>
    <font>
      <b val="0"/>
      <i val="0"/>
      <strike val="0"/>
      <sz val="10"/>
      <color rgb="FF000000"/>
      <name val="Arial"/>
      <family val="2"/>
      <scheme val="minor"/>
    </font>
    <font>
      <b/>
      <i val="0"/>
      <strike val="0"/>
      <sz val="10"/>
      <color rgb="FF000000"/>
      <name val="Arial"/>
      <family val="2"/>
      <scheme val="minor"/>
    </font>
  </fonts>
  <fills count="5">
    <fill>
      <patternFill patternType="none"/>
    </fill>
    <fill>
      <patternFill patternType="gray125"/>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s>
  <borders count="4">
    <border/>
    <border>
      <top style="thin">
        <color rgb="FF000000"/>
      </top>
    </border>
    <border>
      <left style="thin">
        <color rgb="FF000000"/>
      </left>
    </border>
    <border>
      <left style="thin">
        <color rgb="FF000000"/>
      </left>
      <top style="thin">
        <color rgb="FF000000"/>
      </top>
    </border>
  </borders>
  <cellStyleXfs count="1">
    <xf numFmtId="0" fontId="1" fillId="0" borderId="0"/>
  </cellStyleXfs>
  <cellXfs count="913">
    <xf numFmtId="0" fontId="1" fillId="0" borderId="0" xfId="0" applyFont="1"/>
    <xf numFmtId="164" fontId="2" fillId="0" borderId="0" xfId="0" applyNumberFormat="1" applyFont="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2" borderId="0" xfId="0" applyNumberFormat="1" applyFont="1" applyFill="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65" fontId="5" fillId="3" borderId="0" xfId="0" applyNumberFormat="1" applyFont="1" applyFill="1" applyAlignment="1">
      <alignment horizontal="right" vertical="bottom" textRotation="0" indent="0" readingOrder="0"/>
    </xf>
    <xf numFmtId="164" fontId="2" fillId="0" borderId="2" xfId="0" applyNumberFormat="1" applyFont="1" applyBorder="1" applyAlignment="1">
      <alignment horizontal="right" vertical="bottom" textRotation="0" indent="0" readingOrder="0"/>
    </xf>
    <xf numFmtId="165" fontId="6" fillId="0" borderId="0" xfId="0" applyNumberFormat="1" applyFont="1"/>
    <xf numFmtId="165" fontId="6" fillId="0" borderId="2" xfId="0" applyNumberFormat="1" applyFont="1" applyBorder="1"/>
    <xf numFmtId="164" fontId="3" fillId="0" borderId="3" xfId="0" applyNumberFormat="1" applyFont="1" applyBorder="1" applyAlignment="1">
      <alignment horizontal="right" vertical="bottom" textRotation="0" indent="0" readingOrder="0"/>
    </xf>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8" fillId="0" borderId="0" xfId="0" applyNumberFormat="1" applyFont="1"/>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8" fillId="0" borderId="0" xfId="0" applyNumberFormat="1" applyFont="1"/>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8" fillId="0" borderId="0" xfId="0" applyNumberFormat="1" applyFont="1"/>
    <xf numFmtId="168"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6" fillId="0" borderId="0" xfId="0" applyNumberFormat="1" applyFont="1"/>
    <xf numFmtId="165" fontId="6" fillId="0" borderId="2" xfId="0" applyNumberFormat="1" applyFont="1" applyBorder="1"/>
    <xf numFmtId="169" fontId="4" fillId="0" borderId="0" xfId="0" applyNumberFormat="1" applyFont="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6" fillId="3" borderId="0" xfId="0" applyNumberFormat="1" applyFont="1" applyFill="1"/>
    <xf numFmtId="168" fontId="2" fillId="4" borderId="0" xfId="0" applyNumberFormat="1" applyFont="1" applyFill="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3" borderId="2" xfId="0" applyNumberFormat="1" applyFont="1" applyFill="1" applyBorder="1"/>
    <xf numFmtId="168" fontId="4" fillId="0" borderId="2" xfId="0" applyNumberFormat="1" applyFont="1" applyBorder="1" applyAlignment="1">
      <alignment horizontal="right" vertical="bottom" textRotation="0" indent="0" readingOrder="0"/>
    </xf>
    <xf numFmtId="165" fontId="6" fillId="2" borderId="0" xfId="0" applyNumberFormat="1" applyFont="1" applyFill="1"/>
    <xf numFmtId="165" fontId="5" fillId="3" borderId="2"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6" fillId="3" borderId="0" xfId="0" applyNumberFormat="1" applyFont="1" applyFill="1"/>
    <xf numFmtId="164" fontId="5" fillId="0" borderId="1" xfId="0" applyNumberFormat="1" applyFont="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4" fontId="5" fillId="0" borderId="3"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0" borderId="0" xfId="0" applyNumberFormat="1" applyFont="1"/>
    <xf numFmtId="165" fontId="5"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3"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2" xfId="0" applyNumberFormat="1" applyFont="1" applyFill="1" applyBorder="1"/>
    <xf numFmtId="165" fontId="5" fillId="3" borderId="2" xfId="0" applyNumberFormat="1" applyFont="1" applyFill="1" applyBorder="1" applyAlignment="1">
      <alignment horizontal="right" vertical="bottom" textRotation="0" indent="0" readingOrder="0"/>
    </xf>
    <xf numFmtId="165" fontId="6" fillId="0" borderId="2" xfId="0" applyNumberFormat="1" applyFont="1" applyBorder="1"/>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8" fillId="0" borderId="0" xfId="0" applyNumberFormat="1" applyFont="1"/>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5" fontId="6" fillId="3" borderId="0" xfId="0" applyNumberFormat="1" applyFont="1" applyFill="1"/>
    <xf numFmtId="168" fontId="4" fillId="0" borderId="0" xfId="0" applyNumberFormat="1" applyFont="1" applyAlignment="1">
      <alignment horizontal="right" vertical="bottom" textRotation="0" indent="0" readingOrder="0"/>
    </xf>
    <xf numFmtId="165" fontId="6" fillId="0" borderId="0" xfId="0" applyNumberFormat="1" applyFont="1"/>
    <xf numFmtId="168" fontId="2" fillId="4" borderId="0" xfId="0" applyNumberFormat="1" applyFont="1" applyFill="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3" borderId="2" xfId="0" applyNumberFormat="1" applyFont="1" applyFill="1" applyBorder="1"/>
    <xf numFmtId="168" fontId="4" fillId="0" borderId="2" xfId="0" applyNumberFormat="1" applyFont="1" applyBorder="1" applyAlignment="1">
      <alignment horizontal="right" vertical="bottom" textRotation="0" indent="0" readingOrder="0"/>
    </xf>
    <xf numFmtId="165" fontId="6" fillId="2" borderId="0" xfId="0" applyNumberFormat="1" applyFont="1" applyFill="1"/>
    <xf numFmtId="165" fontId="6" fillId="0" borderId="2" xfId="0" applyNumberFormat="1" applyFont="1" applyBorder="1"/>
    <xf numFmtId="168" fontId="2" fillId="4" borderId="2" xfId="0" applyNumberFormat="1" applyFont="1" applyFill="1" applyBorder="1" applyAlignment="1">
      <alignment horizontal="right" vertical="bottom" textRotation="0" indent="0" readingOrder="0"/>
    </xf>
    <xf numFmtId="165" fontId="5" fillId="3" borderId="2"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5" fillId="0" borderId="3" xfId="0" applyNumberFormat="1" applyFont="1" applyBorder="1" applyAlignment="1">
      <alignment horizontal="right" vertical="bottom" textRotation="0" indent="0" readingOrder="0"/>
    </xf>
    <xf numFmtId="165" fontId="6" fillId="0" borderId="0" xfId="0" applyNumberFormat="1" applyFont="1"/>
    <xf numFmtId="165" fontId="5" fillId="3" borderId="0" xfId="0" applyNumberFormat="1" applyFont="1" applyFill="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6" fillId="3" borderId="2" xfId="0" applyNumberFormat="1" applyFont="1" applyFill="1" applyBorder="1"/>
    <xf numFmtId="165" fontId="5" fillId="0" borderId="1" xfId="0" applyNumberFormat="1" applyFont="1" applyBorder="1" applyAlignment="1">
      <alignment horizontal="left" vertical="bottom" textRotation="0" indent="0" readingOrder="0"/>
    </xf>
    <xf numFmtId="165" fontId="6" fillId="2" borderId="0" xfId="0" applyNumberFormat="1" applyFont="1" applyFill="1"/>
    <xf numFmtId="165" fontId="6" fillId="3" borderId="0" xfId="0" applyNumberFormat="1" applyFont="1" applyFill="1"/>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0" borderId="2" xfId="0" applyNumberFormat="1" applyFont="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5" fillId="0" borderId="0" xfId="0" applyNumberFormat="1" applyFont="1"/>
    <xf numFmtId="164"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5" fontId="6" fillId="0" borderId="0" xfId="0" applyNumberFormat="1" applyFont="1"/>
    <xf numFmtId="168" fontId="2" fillId="4" borderId="0" xfId="0" applyNumberFormat="1" applyFont="1" applyFill="1" applyAlignment="1">
      <alignment horizontal="right" vertical="bottom" textRotation="0" indent="0" readingOrder="0"/>
    </xf>
    <xf numFmtId="165" fontId="6" fillId="2" borderId="0" xfId="0" applyNumberFormat="1" applyFont="1" applyFill="1"/>
    <xf numFmtId="164" fontId="7" fillId="0" borderId="0" xfId="0" applyNumberFormat="1" applyFont="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8" fontId="4" fillId="0" borderId="2" xfId="0" applyNumberFormat="1" applyFont="1" applyBorder="1" applyAlignment="1">
      <alignment horizontal="right" vertical="bottom" textRotation="0" indent="0" readingOrder="0"/>
    </xf>
    <xf numFmtId="165" fontId="6" fillId="3" borderId="0" xfId="0" applyNumberFormat="1" applyFont="1" applyFill="1"/>
    <xf numFmtId="165" fontId="5" fillId="3" borderId="2"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0" borderId="2" xfId="0" applyNumberFormat="1" applyFont="1" applyBorder="1"/>
    <xf numFmtId="169" fontId="4" fillId="0" borderId="0" xfId="0" applyNumberFormat="1" applyFont="1" applyAlignment="1">
      <alignment horizontal="right" vertical="bottom" textRotation="0" indent="0" readingOrder="0"/>
    </xf>
    <xf numFmtId="165" fontId="6" fillId="3" borderId="2" xfId="0" applyNumberFormat="1" applyFont="1" applyFill="1" applyBorder="1"/>
    <xf numFmtId="169" fontId="4"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2" borderId="0" xfId="0" applyNumberFormat="1" applyFont="1" applyFill="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0" xfId="0" applyNumberFormat="1" applyFont="1"/>
    <xf numFmtId="165" fontId="5"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3" borderId="2" xfId="0" applyNumberFormat="1" applyFont="1" applyFill="1" applyBorder="1"/>
    <xf numFmtId="165" fontId="6" fillId="0" borderId="2" xfId="0" applyNumberFormat="1" applyFont="1" applyBorder="1"/>
    <xf numFmtId="164" fontId="7"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2" borderId="0" xfId="0" applyNumberFormat="1" applyFont="1" applyFill="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0" xfId="0" applyNumberFormat="1" applyFont="1"/>
    <xf numFmtId="165" fontId="5"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3" borderId="2" xfId="0" applyNumberFormat="1" applyFont="1" applyFill="1" applyBorder="1"/>
    <xf numFmtId="165" fontId="6" fillId="0" borderId="2" xfId="0" applyNumberFormat="1" applyFont="1" applyBorder="1"/>
    <xf numFmtId="164" fontId="7"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2" borderId="0" xfId="0" applyNumberFormat="1" applyFont="1" applyFill="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0" xfId="0" applyNumberFormat="1" applyFont="1"/>
    <xf numFmtId="165" fontId="5"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3" borderId="2" xfId="0" applyNumberFormat="1" applyFont="1" applyFill="1" applyBorder="1"/>
    <xf numFmtId="165" fontId="6" fillId="0" borderId="2" xfId="0" applyNumberFormat="1" applyFont="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4" fontId="4" fillId="0" borderId="0" xfId="0" applyNumberFormat="1" applyFont="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6" fillId="0" borderId="0" xfId="0" applyNumberFormat="1" applyFont="1"/>
    <xf numFmtId="168" fontId="2" fillId="4" borderId="0" xfId="0" applyNumberFormat="1" applyFont="1" applyFill="1" applyAlignment="1">
      <alignment horizontal="right" vertical="bottom" textRotation="0" indent="0" readingOrder="0"/>
    </xf>
    <xf numFmtId="165" fontId="6" fillId="3" borderId="0" xfId="0" applyNumberFormat="1" applyFont="1" applyFill="1"/>
    <xf numFmtId="168"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3" borderId="2"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0" borderId="2" xfId="0" applyNumberFormat="1" applyFont="1" applyBorder="1"/>
    <xf numFmtId="169" fontId="4" fillId="0" borderId="0" xfId="0" applyNumberFormat="1" applyFont="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6" fillId="3" borderId="2" xfId="0" applyNumberFormat="1" applyFont="1" applyFill="1" applyBorder="1"/>
    <xf numFmtId="165" fontId="6" fillId="2" borderId="0" xfId="0" applyNumberFormat="1" applyFont="1" applyFill="1"/>
    <xf numFmtId="169" fontId="4"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2" borderId="0" xfId="0" applyNumberFormat="1" applyFont="1" applyFill="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6" fillId="0" borderId="0" xfId="0" applyNumberFormat="1" applyFont="1"/>
    <xf numFmtId="165" fontId="5"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3" borderId="2" xfId="0" applyNumberFormat="1" applyFont="1" applyFill="1" applyBorder="1"/>
    <xf numFmtId="165" fontId="6" fillId="0" borderId="2" xfId="0" applyNumberFormat="1" applyFont="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6" fillId="0" borderId="0" xfId="0" applyNumberFormat="1" applyFont="1"/>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3" borderId="2" xfId="0" applyNumberFormat="1" applyFont="1" applyFill="1" applyBorder="1"/>
    <xf numFmtId="165" fontId="6" fillId="0" borderId="2" xfId="0" applyNumberFormat="1" applyFont="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6" fillId="0" borderId="0" xfId="0" applyNumberFormat="1" applyFont="1"/>
    <xf numFmtId="168" fontId="7" fillId="0" borderId="0" xfId="0" applyNumberFormat="1" applyFont="1" applyAlignment="1">
      <alignment horizontal="right" vertical="bottom" textRotation="0" indent="0" readingOrder="0"/>
    </xf>
    <xf numFmtId="165" fontId="6" fillId="2" borderId="0" xfId="0" applyNumberFormat="1" applyFont="1" applyFill="1"/>
    <xf numFmtId="168" fontId="4" fillId="0" borderId="2" xfId="0" applyNumberFormat="1" applyFont="1" applyBorder="1" applyAlignment="1">
      <alignment horizontal="right" vertical="bottom" textRotation="0" indent="0" readingOrder="0"/>
    </xf>
    <xf numFmtId="165" fontId="6" fillId="3" borderId="0" xfId="0" applyNumberFormat="1" applyFont="1" applyFill="1"/>
    <xf numFmtId="168" fontId="2" fillId="4"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6" fillId="3" borderId="2" xfId="0" applyNumberFormat="1" applyFont="1" applyFill="1" applyBorder="1"/>
    <xf numFmtId="165" fontId="5" fillId="3" borderId="0" xfId="0" applyNumberFormat="1" applyFont="1" applyFill="1" applyAlignment="1">
      <alignment horizontal="right" vertical="bottom" textRotation="0" indent="0" readingOrder="0"/>
    </xf>
    <xf numFmtId="165" fontId="6" fillId="0" borderId="2" xfId="0" applyNumberFormat="1" applyFont="1" applyBorder="1"/>
    <xf numFmtId="165" fontId="5" fillId="3" borderId="2" xfId="0" applyNumberFormat="1" applyFont="1" applyFill="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6" fillId="2" borderId="0" xfId="0" applyNumberFormat="1" applyFont="1" applyFill="1"/>
    <xf numFmtId="164" fontId="7"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0" borderId="0" xfId="0" applyNumberFormat="1" applyFont="1"/>
    <xf numFmtId="165" fontId="5" fillId="2" borderId="0" xfId="0" applyNumberFormat="1" applyFont="1" applyFill="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6" fillId="3" borderId="0" xfId="0" applyNumberFormat="1" applyFont="1" applyFill="1"/>
    <xf numFmtId="165" fontId="5" fillId="0" borderId="1" xfId="0" applyNumberFormat="1" applyFont="1" applyBorder="1" applyAlignment="1">
      <alignment horizontal="left" vertical="bottom" textRotation="0" indent="0" readingOrder="0"/>
    </xf>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3" borderId="2" xfId="0" applyNumberFormat="1" applyFont="1" applyFill="1" applyBorder="1"/>
    <xf numFmtId="165" fontId="6" fillId="0" borderId="2" xfId="0" applyNumberFormat="1" applyFont="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5" fillId="2" borderId="0" xfId="0" applyNumberFormat="1" applyFont="1" applyFill="1" applyAlignment="1">
      <alignment horizontal="left" vertical="top" textRotation="0" wrapText="1" indent="0" readingOrder="0"/>
    </xf>
    <xf numFmtId="165" fontId="5" fillId="0" borderId="0" xfId="0" applyNumberFormat="1" applyFont="1"/>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4" fontId="4" fillId="0" borderId="0" xfId="0" applyNumberFormat="1" applyFont="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5" fontId="6" fillId="0" borderId="2" xfId="0" applyNumberFormat="1" applyFont="1" applyBorder="1"/>
    <xf numFmtId="171" fontId="2" fillId="4" borderId="0" xfId="0" applyNumberFormat="1" applyFont="1" applyFill="1" applyAlignment="1">
      <alignment horizontal="right" vertical="bottom" textRotation="0" indent="0" readingOrder="0"/>
    </xf>
    <xf numFmtId="165" fontId="6" fillId="0" borderId="0" xfId="0" applyNumberFormat="1" applyFont="1"/>
    <xf numFmtId="165" fontId="5" fillId="3" borderId="2" xfId="0" applyNumberFormat="1" applyFont="1" applyFill="1" applyBorder="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3" borderId="0" xfId="0" applyNumberFormat="1" applyFont="1" applyFill="1"/>
    <xf numFmtId="171" fontId="4" fillId="0" borderId="2" xfId="0" applyNumberFormat="1" applyFont="1" applyBorder="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6" fillId="2" borderId="0" xfId="0" applyNumberFormat="1" applyFont="1" applyFill="1"/>
    <xf numFmtId="165" fontId="6" fillId="3" borderId="2" xfId="0" applyNumberFormat="1" applyFont="1" applyFill="1" applyBorder="1"/>
    <xf numFmtId="171" fontId="2" fillId="0" borderId="0" xfId="0" applyNumberFormat="1" applyFont="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70" fontId="2" fillId="4" borderId="2" xfId="0" applyNumberFormat="1" applyFont="1" applyFill="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71"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71" fontId="5" fillId="0" borderId="3"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0" borderId="0" xfId="0" applyNumberFormat="1" applyFont="1"/>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2" xfId="0" applyNumberFormat="1" applyFont="1" applyBorder="1"/>
    <xf numFmtId="165" fontId="4"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5" fontId="5"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5" fontId="6" fillId="2" borderId="0" xfId="0" applyNumberFormat="1" applyFont="1" applyFill="1"/>
    <xf numFmtId="164" fontId="5" fillId="0" borderId="1" xfId="0" applyNumberFormat="1" applyFont="1" applyBorder="1" applyAlignment="1">
      <alignment horizontal="right" vertical="bottom" textRotation="0" indent="0" readingOrder="0"/>
    </xf>
    <xf numFmtId="171" fontId="2" fillId="4"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3" borderId="0" xfId="0" applyNumberFormat="1" applyFont="1" applyFill="1"/>
    <xf numFmtId="169" fontId="2" fillId="4" borderId="0" xfId="0" applyNumberFormat="1" applyFont="1" applyFill="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1"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0" borderId="2" xfId="0" applyNumberFormat="1" applyFont="1" applyBorder="1"/>
    <xf numFmtId="165" fontId="5" fillId="3"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3" borderId="2" xfId="0" applyNumberFormat="1" applyFont="1" applyFill="1" applyBorder="1"/>
    <xf numFmtId="171" fontId="2" fillId="0" borderId="0" xfId="0" applyNumberFormat="1" applyFont="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71"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71" fontId="5" fillId="0" borderId="3"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0" borderId="0" xfId="0" applyNumberFormat="1" applyFont="1"/>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2" xfId="0" applyNumberFormat="1" applyFont="1" applyBorder="1"/>
    <xf numFmtId="165" fontId="4"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5" fontId="5"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5" fontId="6" fillId="2" borderId="0" xfId="0" applyNumberFormat="1" applyFont="1" applyFill="1"/>
    <xf numFmtId="164" fontId="5" fillId="0" borderId="1" xfId="0" applyNumberFormat="1" applyFont="1" applyBorder="1" applyAlignment="1">
      <alignment horizontal="right" vertical="bottom" textRotation="0" indent="0" readingOrder="0"/>
    </xf>
    <xf numFmtId="171" fontId="2" fillId="4"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3" borderId="0" xfId="0" applyNumberFormat="1" applyFont="1" applyFill="1"/>
    <xf numFmtId="169" fontId="2" fillId="4" borderId="0" xfId="0" applyNumberFormat="1" applyFont="1" applyFill="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1"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0" borderId="2" xfId="0" applyNumberFormat="1" applyFont="1" applyBorder="1"/>
    <xf numFmtId="165" fontId="5" fillId="3"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3" borderId="2" xfId="0" applyNumberFormat="1" applyFont="1" applyFill="1" applyBorder="1"/>
    <xf numFmtId="171" fontId="2" fillId="0" borderId="0" xfId="0" applyNumberFormat="1" applyFont="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71"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71" fontId="5" fillId="0" borderId="3"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0" borderId="0" xfId="0" applyNumberFormat="1" applyFont="1"/>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2" xfId="0" applyNumberFormat="1" applyFont="1" applyBorder="1"/>
    <xf numFmtId="165" fontId="4"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5" fontId="5"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5" fontId="6" fillId="2" borderId="0" xfId="0" applyNumberFormat="1" applyFont="1" applyFill="1"/>
    <xf numFmtId="164" fontId="5" fillId="0" borderId="1" xfId="0" applyNumberFormat="1" applyFont="1" applyBorder="1" applyAlignment="1">
      <alignment horizontal="right" vertical="bottom" textRotation="0" indent="0" readingOrder="0"/>
    </xf>
    <xf numFmtId="171" fontId="2" fillId="4"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3" borderId="0" xfId="0" applyNumberFormat="1" applyFont="1" applyFill="1"/>
    <xf numFmtId="169" fontId="2" fillId="4" borderId="0" xfId="0" applyNumberFormat="1" applyFont="1" applyFill="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1"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0" borderId="2" xfId="0" applyNumberFormat="1" applyFont="1" applyBorder="1"/>
    <xf numFmtId="165" fontId="5" fillId="3"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3" borderId="2" xfId="0" applyNumberFormat="1" applyFont="1" applyFill="1" applyBorder="1"/>
    <xf numFmtId="171" fontId="2" fillId="0" borderId="0" xfId="0" applyNumberFormat="1" applyFont="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71"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71" fontId="5" fillId="0" borderId="3"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0" borderId="0" xfId="0" applyNumberFormat="1" applyFont="1"/>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2" xfId="0" applyNumberFormat="1" applyFont="1" applyBorder="1"/>
    <xf numFmtId="165" fontId="4"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5" fontId="5"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5" fontId="6" fillId="2" borderId="0" xfId="0" applyNumberFormat="1" applyFont="1" applyFill="1"/>
    <xf numFmtId="164" fontId="5" fillId="0" borderId="1" xfId="0" applyNumberFormat="1" applyFont="1" applyBorder="1" applyAlignment="1">
      <alignment horizontal="right" vertical="bottom" textRotation="0" indent="0" readingOrder="0"/>
    </xf>
    <xf numFmtId="171" fontId="2" fillId="4"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3" borderId="0" xfId="0" applyNumberFormat="1" applyFont="1" applyFill="1"/>
    <xf numFmtId="169" fontId="2" fillId="4" borderId="0" xfId="0" applyNumberFormat="1" applyFont="1" applyFill="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1"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0" borderId="2" xfId="0" applyNumberFormat="1" applyFont="1" applyBorder="1"/>
    <xf numFmtId="165" fontId="5" fillId="3"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3" borderId="2" xfId="0" applyNumberFormat="1" applyFont="1" applyFill="1" applyBorder="1"/>
    <xf numFmtId="171" fontId="2" fillId="0" borderId="0" xfId="0" applyNumberFormat="1" applyFont="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71"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71" fontId="5" fillId="0" borderId="3"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0" borderId="0" xfId="0" applyNumberFormat="1" applyFont="1"/>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2" xfId="0" applyNumberFormat="1" applyFont="1" applyBorder="1"/>
    <xf numFmtId="165" fontId="4"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5" fontId="5"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5" fontId="6" fillId="2" borderId="0" xfId="0" applyNumberFormat="1" applyFont="1" applyFill="1"/>
    <xf numFmtId="164" fontId="5" fillId="0" borderId="1" xfId="0" applyNumberFormat="1" applyFont="1" applyBorder="1" applyAlignment="1">
      <alignment horizontal="right" vertical="bottom" textRotation="0" indent="0" readingOrder="0"/>
    </xf>
    <xf numFmtId="171" fontId="2" fillId="4"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3" borderId="0" xfId="0" applyNumberFormat="1" applyFont="1" applyFill="1"/>
    <xf numFmtId="169" fontId="2" fillId="4" borderId="0" xfId="0" applyNumberFormat="1" applyFont="1" applyFill="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1" fontId="4" fillId="0" borderId="2"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0" borderId="2" xfId="0" applyNumberFormat="1" applyFont="1" applyBorder="1"/>
    <xf numFmtId="165" fontId="5" fillId="3"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3" borderId="2" xfId="0" applyNumberFormat="1" applyFont="1" applyFill="1" applyBorder="1"/>
    <xf numFmtId="171" fontId="2" fillId="0" borderId="0" xfId="0" applyNumberFormat="1" applyFont="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71"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71" fontId="5" fillId="0" borderId="3"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6" fillId="0" borderId="0" xfId="0" applyNumberFormat="1" applyFont="1"/>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6" fillId="0" borderId="2" xfId="0" applyNumberFormat="1" applyFont="1" applyBorder="1"/>
    <xf numFmtId="165" fontId="4"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5" fillId="0" borderId="1" xfId="0" applyNumberFormat="1" applyFont="1" applyBorder="1" applyAlignment="1">
      <alignment horizontal="left" vertical="bottom" textRotation="0" indent="0" readingOrder="0"/>
    </xf>
    <xf numFmtId="165" fontId="5" fillId="2" borderId="0" xfId="0" applyNumberFormat="1" applyFont="1" applyFill="1" applyAlignment="1">
      <alignment horizontal="left" vertical="bottom" textRotation="0" indent="0" readingOrder="0"/>
    </xf>
    <xf numFmtId="165" fontId="5"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4" fontId="7" fillId="0" borderId="2" xfId="0" applyNumberFormat="1" applyFont="1" applyBorder="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5" fontId="6" fillId="0" borderId="0" xfId="0" applyNumberFormat="1" applyFont="1"/>
    <xf numFmtId="169" fontId="4" fillId="0" borderId="0" xfId="0" applyNumberFormat="1" applyFont="1" applyAlignment="1">
      <alignment horizontal="right" vertical="bottom" textRotation="0" indent="0" readingOrder="0"/>
    </xf>
    <xf numFmtId="165" fontId="6" fillId="2" borderId="0" xfId="0" applyNumberFormat="1" applyFont="1" applyFill="1"/>
    <xf numFmtId="171" fontId="5" fillId="0" borderId="1" xfId="0" applyNumberFormat="1" applyFont="1" applyBorder="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3" borderId="0" xfId="0" applyNumberFormat="1" applyFont="1" applyFill="1"/>
    <xf numFmtId="165" fontId="5" fillId="3"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6" fillId="3" borderId="2" xfId="0" applyNumberFormat="1" applyFont="1" applyFill="1" applyBorder="1"/>
    <xf numFmtId="164" fontId="4" fillId="0" borderId="2" xfId="0" applyNumberFormat="1" applyFont="1" applyBorder="1" applyAlignment="1">
      <alignment horizontal="right" vertical="bottom" textRotation="0" indent="0" readingOrder="0"/>
    </xf>
    <xf numFmtId="165" fontId="6" fillId="0" borderId="2" xfId="0" applyNumberFormat="1" applyFont="1" applyBorder="1"/>
    <xf numFmtId="165" fontId="5" fillId="3" borderId="2" xfId="0" applyNumberFormat="1" applyFont="1" applyFill="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5" fillId="2" borderId="0" xfId="0" applyNumberFormat="1" applyFont="1" applyFill="1" applyAlignment="1">
      <alignment horizontal="left" vertical="top" textRotation="0" wrapText="1" indent="0" readingOrder="0"/>
    </xf>
    <xf numFmtId="165" fontId="4" fillId="0" borderId="0" xfId="0" applyNumberFormat="1" applyFont="1"/>
    <xf numFmtId="165" fontId="5" fillId="3" borderId="0" xfId="0" applyNumberFormat="1" applyFont="1" applyFill="1" applyAlignment="1">
      <alignment horizontal="left" vertical="top" textRotation="0" wrapText="1" indent="0" readingOrder="0"/>
    </xf>
    <xf numFmtId="165" fontId="5" fillId="0" borderId="0" xfId="0" applyNumberFormat="1" applyFont="1"/>
    <xf numFmtId="165" fontId="6" fillId="0" borderId="0" xfId="0" applyNumberFormat="1" applyFont="1"/>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71" fontId="4"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5" fontId="5" fillId="3" borderId="0" xfId="0" applyNumberFormat="1" applyFont="1" applyFill="1" applyAlignment="1">
      <alignment horizontal="right" vertical="bottom" textRotation="0" indent="0" readingOrder="0"/>
    </xf>
    <xf numFmtId="165" fontId="6" fillId="3" borderId="0" xfId="0" applyNumberFormat="1" applyFont="1" applyFill="1"/>
    <xf numFmtId="169" fontId="4" fillId="0" borderId="0" xfId="0" applyNumberFormat="1" applyFont="1" applyAlignment="1">
      <alignment horizontal="right" vertical="bottom" textRotation="0" indent="0" readingOrder="0"/>
    </xf>
    <xf numFmtId="165" fontId="6" fillId="2" borderId="0" xfId="0" applyNumberFormat="1" applyFont="1" applyFill="1"/>
    <xf numFmtId="171" fontId="5" fillId="0" borderId="1" xfId="0" applyNumberFormat="1" applyFont="1" applyBorder="1" applyAlignment="1">
      <alignment horizontal="right" vertical="bottom" textRotation="0" indent="0" readingOrder="0"/>
    </xf>
    <xf numFmtId="165" fontId="6" fillId="0" borderId="2" xfId="0" applyNumberFormat="1" applyFont="1" applyBorder="1"/>
    <xf numFmtId="165" fontId="5" fillId="2" borderId="0" xfId="0" applyNumberFormat="1" applyFont="1" applyFill="1" applyAlignment="1">
      <alignment horizontal="right" vertical="bottom" textRotation="0" indent="0" readingOrder="0"/>
    </xf>
    <xf numFmtId="165" fontId="6" fillId="3" borderId="2" xfId="0" applyNumberFormat="1" applyFont="1" applyFill="1" applyBorder="1"/>
    <xf numFmtId="164" fontId="4" fillId="0" borderId="2" xfId="0" applyNumberFormat="1" applyFont="1" applyBorder="1" applyAlignment="1">
      <alignment horizontal="right" vertical="bottom" textRotation="0" indent="0" readingOrder="0"/>
    </xf>
    <xf numFmtId="165" fontId="5" fillId="3" borderId="2" xfId="0" applyNumberFormat="1" applyFont="1" applyFill="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5" fontId="5" fillId="0" borderId="1" xfId="0" applyNumberFormat="1" applyFont="1" applyBorder="1" applyAlignment="1">
      <alignment horizontal="left" vertical="bottom" textRotation="0" indent="0" readingOrder="0"/>
    </xf>
    <xf numFmtId="165" fontId="6" fillId="0" borderId="0" xfId="0" applyNumberFormat="1" applyFont="1"/>
    <xf numFmtId="165" fontId="4"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5" fontId="6" fillId="2" borderId="0" xfId="0" applyNumberFormat="1" applyFont="1" applyFill="1"/>
    <xf numFmtId="165" fontId="6" fillId="3" borderId="0" xfId="0" applyNumberFormat="1" applyFont="1" applyFill="1"/>
    <xf numFmtId="165" fontId="6" fillId="0" borderId="2" xfId="0" applyNumberFormat="1" applyFont="1" applyBorder="1"/>
    <xf numFmtId="165" fontId="5" fillId="3" borderId="0" xfId="0" applyNumberFormat="1" applyFont="1" applyFill="1" applyAlignment="1">
      <alignment horizontal="right" vertical="bottom" textRotation="0" indent="0" readingOrder="0"/>
    </xf>
    <xf numFmtId="165" fontId="5" fillId="3" borderId="2" xfId="0" applyNumberFormat="1" applyFont="1" applyFill="1" applyBorder="1" applyAlignment="1">
      <alignment horizontal="right" vertical="bottom" textRotation="0" indent="0" readingOrder="0"/>
    </xf>
    <xf numFmtId="165" fontId="6" fillId="3" borderId="2" xfId="0" applyNumberFormat="1" applyFont="1" applyFill="1" applyBorder="1"/>
    <xf numFmtId="164" fontId="7"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4" fillId="0" borderId="0" xfId="0" applyNumberFormat="1" applyFont="1"/>
    <xf numFmtId="164" fontId="7" fillId="0" borderId="0" xfId="0" applyNumberFormat="1" applyFont="1" applyAlignment="1">
      <alignment horizontal="right" vertical="bottom" textRotation="0" indent="0" readingOrder="0"/>
    </xf>
    <xf numFmtId="165" fontId="4" fillId="0" borderId="0" xfId="0" applyNumberFormat="1" applyFont="1" applyAlignment="1">
      <alignment horizontal="center" vertical="bottom" textRotation="0" indent="0" readingOrder="0"/>
    </xf>
    <xf numFmtId="165" fontId="5" fillId="3" borderId="2" xfId="0" applyNumberFormat="1" applyFont="1" applyFill="1" applyBorder="1" applyAlignment="1">
      <alignment horizontal="left" vertical="bottom" textRotation="0" indent="0" readingOrder="0"/>
    </xf>
    <xf numFmtId="165" fontId="5" fillId="3" borderId="2" xfId="0" applyNumberFormat="1" applyFont="1" applyFill="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5" fillId="0" borderId="0" xfId="0" applyNumberFormat="1" applyFont="1" applyAlignment="1">
      <alignment horizontal="center" vertical="bottom" textRotation="0" indent="0" readingOrder="0"/>
    </xf>
    <xf numFmtId="164" fontId="4" fillId="0" borderId="2" xfId="0" applyNumberFormat="1" applyFont="1" applyBorder="1" applyAlignment="1">
      <alignment horizontal="right" vertical="bottom" textRotation="0" indent="0" readingOrder="0"/>
    </xf>
    <xf numFmtId="165" fontId="6" fillId="0" borderId="0" xfId="0" applyNumberFormat="1" applyFont="1"/>
    <xf numFmtId="168" fontId="4" fillId="0" borderId="0" xfId="0" applyNumberFormat="1" applyFont="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5" fillId="0" borderId="1" xfId="0" applyNumberFormat="1" applyFont="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5" fontId="5" fillId="2"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5" fontId="6" fillId="2" borderId="0" xfId="0" applyNumberFormat="1" applyFont="1" applyFill="1"/>
    <xf numFmtId="168" fontId="2" fillId="4" borderId="0" xfId="0" applyNumberFormat="1" applyFont="1" applyFill="1" applyAlignment="1">
      <alignment horizontal="right" vertical="bottom" textRotation="0" indent="0" readingOrder="0"/>
    </xf>
    <xf numFmtId="165" fontId="6" fillId="3" borderId="2" xfId="0" applyNumberFormat="1" applyFont="1" applyFill="1" applyBorder="1"/>
    <xf numFmtId="164" fontId="2" fillId="4" borderId="0" xfId="0" applyNumberFormat="1" applyFont="1" applyFill="1" applyAlignment="1">
      <alignment horizontal="right" vertical="bottom" textRotation="0" indent="0" readingOrder="0"/>
    </xf>
    <xf numFmtId="165" fontId="6" fillId="0" borderId="2" xfId="0" applyNumberFormat="1" applyFont="1" applyBorder="1"/>
    <xf numFmtId="170" fontId="5" fillId="0" borderId="1" xfId="0" applyNumberFormat="1" applyFont="1" applyBorder="1" applyAlignment="1">
      <alignment horizontal="right" vertical="bottom" textRotation="0" indent="0" readingOrder="0"/>
    </xf>
    <xf numFmtId="164" fontId="5" fillId="0" borderId="3" xfId="0" applyNumberFormat="1" applyFont="1" applyBorder="1" applyAlignment="1">
      <alignment horizontal="right" vertical="bottom" textRotation="0" indent="0" readingOrder="0"/>
    </xf>
    <xf numFmtId="165" fontId="5" fillId="2" borderId="0" xfId="0" applyNumberFormat="1" applyFont="1" applyFill="1" applyAlignment="1">
      <alignment horizontal="left" vertical="bottom" textRotation="0" indent="0" readingOrder="0"/>
    </xf>
    <xf numFmtId="168" fontId="2" fillId="0" borderId="0" xfId="0" applyNumberFormat="1" applyFont="1" applyAlignment="1">
      <alignment horizontal="right" vertical="bottom" textRotation="0" indent="0" readingOrder="0"/>
    </xf>
    <xf numFmtId="165" fontId="5" fillId="0" borderId="1" xfId="0" applyNumberFormat="1" applyFont="1" applyBorder="1" applyAlignment="1">
      <alignment horizontal="left" vertical="bottom" textRotation="0" indent="0" readingOrder="0"/>
    </xf>
    <xf numFmtId="165" fontId="6" fillId="3" borderId="0" xfId="0" applyNumberFormat="1" applyFont="1" applyFill="1"/>
    <xf numFmtId="165" fontId="5" fillId="3" borderId="0" xfId="0" applyNumberFormat="1" applyFont="1" applyFill="1" applyAlignment="1">
      <alignment horizontal="right" vertical="bottom" textRotation="0" indent="0" readingOrder="0"/>
    </xf>
    <xf numFmtId="170" fontId="5" fillId="0" borderId="3" xfId="0" applyNumberFormat="1" applyFont="1" applyBorder="1" applyAlignment="1">
      <alignment horizontal="right" vertical="bottom" textRotation="0" indent="0" readingOrder="0"/>
    </xf>
    <xf numFmtId="170" fontId="2" fillId="0" borderId="0" xfId="0" applyNumberFormat="1" applyFont="1" applyAlignment="1">
      <alignment horizontal="right" vertical="bottom" textRotation="0" indent="0" readingOrder="0"/>
    </xf>
    <xf numFmtId="168" fontId="2" fillId="0" borderId="2" xfId="0" applyNumberFormat="1" applyFont="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2" fillId="0" borderId="0" xfId="0" applyNumberFormat="1" applyFont="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4" fontId="2" fillId="4" borderId="2" xfId="0" applyNumberFormat="1" applyFont="1" applyFill="1" applyBorder="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65" fontId="5" fillId="3" borderId="2" xfId="0" applyNumberFormat="1" applyFont="1" applyFill="1" applyBorder="1" applyAlignment="1">
      <alignment horizontal="right" vertical="bottom" textRotation="0" indent="0" readingOrder="0"/>
    </xf>
    <xf numFmtId="165" fontId="4" fillId="0" borderId="0" xfId="0" applyNumberFormat="1" applyFont="1"/>
    <xf numFmtId="165" fontId="5" fillId="0" borderId="0" xfId="0" applyNumberFormat="1" applyFont="1" applyAlignment="1">
      <alignment horizontal="center" vertical="bottom" textRotation="0" indent="0" readingOrder="0"/>
    </xf>
    <xf numFmtId="172" fontId="4" fillId="0" borderId="0" xfId="0" applyNumberFormat="1" applyFont="1"/>
    <xf numFmtId="165" fontId="5" fillId="0" borderId="0" xfId="0" applyNumberFormat="1" applyFont="1"/>
    <xf numFmtId="165" fontId="9" fillId="0" borderId="0" xfId="0" applyNumberFormat="1" applyFont="1" applyAlignment="1">
      <alignment horizontal="center" vertical="bottom" textRotation="0" indent="0" readingOrder="0"/>
    </xf>
    <xf numFmtId="165" fontId="4" fillId="0" borderId="0" xfId="0" applyNumberFormat="1" applyFont="1"/>
    <xf numFmtId="165" fontId="5" fillId="0" borderId="0" xfId="0" applyNumberFormat="1" applyFont="1"/>
    <xf numFmtId="165" fontId="4" fillId="0" borderId="0" xfId="0" applyNumberFormat="1" applyFont="1" applyAlignment="1">
      <alignment horizontal="left" vertical="bottom" textRotation="0" indent="0" readingOrder="0"/>
    </xf>
    <xf numFmtId="165" fontId="5" fillId="2" borderId="0" xfId="0" applyNumberFormat="1" applyFont="1" applyFill="1" applyAlignment="1">
      <alignment horizontal="center" vertical="bottom" textRotation="0" indent="0" readingOrder="0"/>
    </xf>
    <xf numFmtId="165" fontId="6" fillId="0" borderId="0" xfId="0" applyNumberFormat="1" applyFont="1"/>
    <xf numFmtId="164" fontId="4" fillId="0" borderId="0" xfId="0" applyNumberFormat="1" applyFont="1" applyAlignment="1">
      <alignment horizontal="right" vertical="bottom" textRotation="0" indent="0" readingOrder="0"/>
    </xf>
    <xf numFmtId="165" fontId="6" fillId="3" borderId="0" xfId="0" applyNumberFormat="1" applyFont="1" applyFill="1"/>
    <xf numFmtId="168" fontId="4" fillId="0" borderId="0" xfId="0" applyNumberFormat="1" applyFont="1" applyAlignment="1">
      <alignment horizontal="right" vertical="bottom" textRotation="0" indent="0" readingOrder="0"/>
    </xf>
    <xf numFmtId="171" fontId="4"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5" fillId="3" borderId="0" xfId="0" applyNumberFormat="1" applyFont="1" applyFill="1" applyAlignment="1">
      <alignment horizontal="center" vertical="bottom" textRotation="0" indent="0" readingOrder="0"/>
    </xf>
    <xf numFmtId="170" fontId="4" fillId="0" borderId="0" xfId="0" applyNumberFormat="1" applyFont="1" applyAlignment="1">
      <alignment horizontal="right" vertical="bottom" textRotation="0" indent="0" readingOrder="0"/>
    </xf>
    <xf numFmtId="170" fontId="2" fillId="0" borderId="0" xfId="0" applyNumberFormat="1" applyFont="1" applyAlignment="1">
      <alignment horizontal="right" vertical="bottom" textRotation="0" indent="0" readingOrder="0"/>
    </xf>
    <xf numFmtId="165" fontId="5" fillId="3" borderId="0" xfId="0" applyNumberFormat="1" applyFont="1" applyFill="1" applyAlignment="1">
      <alignment horizontal="center" vertical="bottom" textRotation="0" indent="0" readingOrder="0"/>
    </xf>
    <xf numFmtId="164" fontId="5" fillId="0" borderId="1" xfId="0" applyNumberFormat="1" applyFont="1" applyBorder="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2" borderId="0" xfId="0" applyNumberFormat="1" applyFont="1" applyFill="1"/>
    <xf numFmtId="165" fontId="5" fillId="2" borderId="0" xfId="0" applyNumberFormat="1" applyFont="1" applyFill="1" applyAlignment="1">
      <alignment horizontal="center" vertical="bottom" textRotation="0" indent="0" readingOrder="0"/>
    </xf>
    <xf numFmtId="171" fontId="3" fillId="0" borderId="1" xfId="0" applyNumberFormat="1" applyFont="1" applyBorder="1" applyAlignment="1">
      <alignment horizontal="right" vertical="bottom" textRotation="0" indent="0" readingOrder="0"/>
    </xf>
    <xf numFmtId="171" fontId="2" fillId="0" borderId="0" xfId="0" applyNumberFormat="1" applyFont="1" applyAlignment="1">
      <alignment horizontal="right" vertical="bottom" textRotation="0" indent="0" readingOrder="0"/>
    </xf>
    <xf numFmtId="171" fontId="2" fillId="4" borderId="0" xfId="0" applyNumberFormat="1" applyFont="1" applyFill="1" applyAlignment="1">
      <alignment horizontal="right" vertical="bottom" textRotation="0" indent="0" readingOrder="0"/>
    </xf>
    <xf numFmtId="165" fontId="5" fillId="3" borderId="2" xfId="0" applyNumberFormat="1" applyFont="1" applyFill="1" applyBorder="1" applyAlignment="1">
      <alignment horizontal="center" vertical="bottom" textRotation="0" indent="0" readingOrder="0"/>
    </xf>
    <xf numFmtId="165" fontId="6" fillId="0" borderId="2" xfId="0" applyNumberFormat="1" applyFont="1" applyBorder="1"/>
    <xf numFmtId="164" fontId="4" fillId="0" borderId="2" xfId="0" applyNumberFormat="1" applyFont="1" applyBorder="1" applyAlignment="1">
      <alignment horizontal="right" vertical="bottom" textRotation="0" indent="0" readingOrder="0"/>
    </xf>
    <xf numFmtId="165" fontId="5" fillId="3" borderId="2" xfId="0" applyNumberFormat="1" applyFont="1" applyFill="1" applyBorder="1" applyAlignment="1">
      <alignment horizontal="center" vertical="bottom" textRotation="0" indent="0" readingOrder="0"/>
    </xf>
    <xf numFmtId="165" fontId="6" fillId="3" borderId="2" xfId="0" applyNumberFormat="1" applyFont="1" applyFill="1" applyBorder="1"/>
    <xf numFmtId="169"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6" fillId="0" borderId="0" xfId="0" applyNumberFormat="1" applyFont="1"/>
    <xf numFmtId="164" fontId="4" fillId="0" borderId="0" xfId="0" applyNumberFormat="1" applyFont="1" applyAlignment="1">
      <alignment horizontal="right" vertical="bottom" textRotation="0" indent="0" readingOrder="0"/>
    </xf>
    <xf numFmtId="165" fontId="6" fillId="3" borderId="0" xfId="0" applyNumberFormat="1" applyFont="1" applyFill="1"/>
    <xf numFmtId="171" fontId="4"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5" fillId="3" borderId="0" xfId="0" applyNumberFormat="1" applyFont="1" applyFill="1" applyAlignment="1">
      <alignment horizontal="center" vertical="bottom" textRotation="0" indent="0" readingOrder="0"/>
    </xf>
    <xf numFmtId="170" fontId="4" fillId="0" borderId="0" xfId="0" applyNumberFormat="1" applyFont="1" applyAlignment="1">
      <alignment horizontal="right" vertical="bottom" textRotation="0" indent="0" readingOrder="0"/>
    </xf>
    <xf numFmtId="164" fontId="5" fillId="0" borderId="1" xfId="0" applyNumberFormat="1" applyFont="1" applyBorder="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6" fillId="2" borderId="0" xfId="0" applyNumberFormat="1" applyFont="1" applyFill="1"/>
    <xf numFmtId="165" fontId="5" fillId="2" borderId="0" xfId="0" applyNumberFormat="1" applyFont="1" applyFill="1" applyAlignment="1">
      <alignment horizontal="center" vertical="bottom" textRotation="0" indent="0" readingOrder="0"/>
    </xf>
    <xf numFmtId="165" fontId="6" fillId="0" borderId="2" xfId="0" applyNumberFormat="1" applyFont="1" applyBorder="1"/>
    <xf numFmtId="164" fontId="4" fillId="0" borderId="2" xfId="0" applyNumberFormat="1" applyFont="1" applyBorder="1" applyAlignment="1">
      <alignment horizontal="right" vertical="bottom" textRotation="0" indent="0" readingOrder="0"/>
    </xf>
    <xf numFmtId="165" fontId="5" fillId="3" borderId="2" xfId="0" applyNumberFormat="1" applyFont="1" applyFill="1" applyBorder="1" applyAlignment="1">
      <alignment horizontal="center" vertical="bottom" textRotation="0" indent="0" readingOrder="0"/>
    </xf>
    <xf numFmtId="165" fontId="6" fillId="3" borderId="2" xfId="0" applyNumberFormat="1" applyFont="1" applyFill="1" applyBorder="1"/>
    <xf numFmtId="169"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2" fillId="0" borderId="0" xfId="0" applyNumberFormat="1" applyFont="1" applyAlignment="1">
      <alignment horizontal="right" vertical="bottom" textRotation="0" indent="0" readingOrder="0"/>
    </xf>
    <xf numFmtId="165" fontId="6" fillId="0" borderId="0" xfId="0" applyNumberFormat="1" applyFont="1"/>
    <xf numFmtId="171" fontId="4"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70" fontId="4"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71" fontId="2" fillId="0" borderId="0" xfId="0" applyNumberFormat="1" applyFont="1" applyAlignment="1">
      <alignment horizontal="right" vertical="bottom" textRotation="0" indent="0" readingOrder="0"/>
    </xf>
    <xf numFmtId="165" fontId="6" fillId="3" borderId="0" xfId="0" applyNumberFormat="1" applyFont="1" applyFill="1"/>
    <xf numFmtId="168" fontId="4" fillId="0" borderId="0" xfId="0" applyNumberFormat="1" applyFont="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5" fontId="6" fillId="2" borderId="0" xfId="0" applyNumberFormat="1" applyFont="1" applyFill="1"/>
    <xf numFmtId="164" fontId="2" fillId="4" borderId="0" xfId="0" applyNumberFormat="1" applyFont="1" applyFill="1" applyAlignment="1">
      <alignment horizontal="right" vertical="bottom" textRotation="0" indent="0" readingOrder="0"/>
    </xf>
    <xf numFmtId="165" fontId="6" fillId="0" borderId="2" xfId="0" applyNumberFormat="1" applyFont="1" applyBorder="1"/>
    <xf numFmtId="165" fontId="5" fillId="2" borderId="0" xfId="0" applyNumberFormat="1" applyFont="1" applyFill="1" applyAlignment="1">
      <alignment horizontal="center" vertical="bottom" textRotation="0" indent="0" readingOrder="0"/>
    </xf>
    <xf numFmtId="171" fontId="2" fillId="4"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5" fillId="3" borderId="0" xfId="0" applyNumberFormat="1" applyFont="1" applyFill="1" applyAlignment="1">
      <alignment horizontal="center" vertical="bottom" textRotation="0" indent="0" readingOrder="0"/>
    </xf>
    <xf numFmtId="165" fontId="6" fillId="3" borderId="2" xfId="0" applyNumberFormat="1" applyFont="1" applyFill="1" applyBorder="1"/>
    <xf numFmtId="164" fontId="5"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3" borderId="2" xfId="0" applyNumberFormat="1" applyFont="1" applyFill="1" applyBorder="1" applyAlignment="1">
      <alignment horizontal="center" vertical="bottom" textRotation="0" indent="0" readingOrder="0"/>
    </xf>
    <xf numFmtId="0" fontId="11" fillId="0" borderId="0" xfId="0" applyFont="1" applyAlignment="1">
      <alignment horizontal="left"/>
    </xf>
    <xf numFmtId="0" fontId="12" fillId="0" borderId="0" xfId="0" applyFont="1"/>
    <xf numFmtId="164" fontId="13" fillId="0" borderId="0" xfId="0" applyNumberFormat="1" applyFont="1" applyAlignment="1">
      <alignment horizontal="right"/>
    </xf>
    <xf numFmtId="0" fontId="14" fillId="0" borderId="0" xfId="0" applyFont="1" applyAlignment="1">
      <alignment horizontal="left"/>
    </xf>
    <xf numFmtId="170" fontId="13" fillId="0" borderId="0" xfId="0" applyNumberFormat="1" applyFont="1" applyAlignment="1">
      <alignment horizontal="right"/>
    </xf>
    <xf numFmtId="0" fontId="12" fillId="3" borderId="0" xfId="0" applyFont="1" applyFill="1"/>
    <xf numFmtId="168" fontId="13" fillId="0" borderId="0" xfId="0" applyNumberFormat="1" applyFont="1" applyAlignment="1">
      <alignment horizontal="right"/>
    </xf>
    <xf numFmtId="169" fontId="13" fillId="0" borderId="2" xfId="0" applyNumberFormat="1" applyFont="1" applyBorder="1" applyAlignment="1">
      <alignment horizontal="right"/>
    </xf>
    <xf numFmtId="0" fontId="12" fillId="2" borderId="0" xfId="0" applyFont="1" applyFill="1"/>
    <xf numFmtId="0" fontId="12" fillId="0" borderId="2" xfId="0" applyFont="1" applyBorder="1"/>
    <xf numFmtId="0" fontId="15" fillId="2" borderId="0" xfId="0" applyFont="1" applyFill="1" applyAlignment="1">
      <alignment horizontal="center"/>
    </xf>
    <xf numFmtId="169" fontId="13" fillId="0" borderId="0" xfId="0" applyNumberFormat="1" applyFont="1" applyAlignment="1">
      <alignment horizontal="right"/>
    </xf>
    <xf numFmtId="0" fontId="15" fillId="3" borderId="0" xfId="0" applyFont="1" applyFill="1" applyAlignment="1">
      <alignment horizontal="center"/>
    </xf>
    <xf numFmtId="0" fontId="12" fillId="3" borderId="2" xfId="0" applyFont="1" applyFill="1" applyBorder="1"/>
    <xf numFmtId="170" fontId="2" fillId="0" borderId="2" xfId="0" applyNumberFormat="1" applyFont="1" applyBorder="1" applyAlignment="1">
      <alignment horizontal="right" vertical="bottom" textRotation="0" indent="0" readingOrder="0"/>
    </xf>
    <xf numFmtId="164" fontId="13" fillId="0" borderId="2" xfId="0" applyNumberFormat="1" applyFont="1" applyBorder="1" applyAlignment="1">
      <alignment horizontal="right"/>
    </xf>
    <xf numFmtId="0" fontId="15" fillId="3" borderId="2" xfId="0" applyFont="1" applyFill="1" applyBorder="1" applyAlignment="1">
      <alignment horizontal="center"/>
    </xf>
    <xf numFmtId="0" fontId="16" fillId="0" borderId="0" xfId="0" applyFont="1" applyFill="1" applyAlignment="1" applyProtection="1">
      <alignment vertical="top"/>
      <protection locked="1" hidden="0"/>
    </xf>
    <xf numFmtId="0" fontId="17" fillId="0" borderId="0" xfId="0" applyFont="1" applyFill="1" applyProtection="1">
      <protection locked="1" hidden="0"/>
    </xf>
    <xf numFmtId="173" fontId="16"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2"/>
  <sheetViews>
    <sheetView showGridLines="0" tabSelected="1" workbookViewId="0"/>
  </sheetViews>
  <sheetFormatPr defaultColWidth="8.375" defaultRowHeight="15"/>
  <cols>
    <col min="1" max="1" width="43.125" customWidth="1"/>
    <col min="2" max="11" width="12.5" customWidth="1"/>
  </cols>
  <sheetData>
    <row r="1">
      <c r="A1" s="803" t="s">
        <v>0</v>
      </c>
      <c r="B1" s="4"/>
      <c r="C1" s="4"/>
      <c r="D1" s="4"/>
      <c r="E1" s="4"/>
      <c r="F1" s="4"/>
      <c r="G1" s="11"/>
      <c r="H1" s="6"/>
      <c r="I1" s="6"/>
      <c r="J1" s="6"/>
      <c r="K1" s="6"/>
    </row>
    <row r="2">
      <c r="A2" s="869" t="s">
        <v>1</v>
      </c>
      <c r="G2" s="9"/>
    </row>
    <row r="3">
      <c r="A3" s="869" t="s">
        <v>2</v>
      </c>
      <c r="G3" s="9"/>
    </row>
    <row r="4">
      <c r="A4" s="8"/>
      <c r="B4" s="8"/>
      <c r="C4" s="8"/>
      <c r="D4" s="8"/>
      <c r="E4" s="8"/>
      <c r="F4" s="8"/>
      <c r="G4" s="9"/>
      <c r="H4" s="8"/>
      <c r="I4" s="8"/>
      <c r="J4" s="8"/>
      <c r="K4" s="8"/>
    </row>
    <row r="5">
      <c r="A5" s="803" t="s">
        <v>3</v>
      </c>
      <c r="B5" s="884" t="s">
        <v>4</v>
      </c>
      <c r="C5" s="884" t="s">
        <v>5</v>
      </c>
      <c r="D5" s="884" t="s">
        <v>6</v>
      </c>
      <c r="E5" s="884" t="s">
        <v>7</v>
      </c>
      <c r="F5" s="884" t="s">
        <v>8</v>
      </c>
      <c r="G5" s="892" t="s">
        <v>9</v>
      </c>
      <c r="H5" s="887" t="s">
        <v>10</v>
      </c>
      <c r="I5" s="887" t="s">
        <v>11</v>
      </c>
      <c r="J5" s="887" t="s">
        <v>12</v>
      </c>
      <c r="K5" s="887" t="s">
        <v>13</v>
      </c>
    </row>
    <row r="6">
      <c r="A6" s="803" t="s">
        <v>14</v>
      </c>
      <c r="B6" s="4"/>
      <c r="C6" s="4"/>
      <c r="D6" s="4"/>
      <c r="E6" s="4"/>
      <c r="F6" s="4"/>
      <c r="G6" s="11"/>
      <c r="H6" s="6"/>
      <c r="I6" s="6"/>
      <c r="J6" s="6"/>
      <c r="K6" s="6"/>
    </row>
    <row r="7">
      <c r="A7" s="869" t="s">
        <v>15</v>
      </c>
      <c r="B7" s="870">
        <v>42036085</v>
      </c>
      <c r="C7" s="870">
        <v>40987418</v>
      </c>
      <c r="D7" s="870">
        <v>54587421</v>
      </c>
      <c r="E7" s="870">
        <v>42653811</v>
      </c>
      <c r="F7" s="870">
        <v>42404701</v>
      </c>
      <c r="G7" s="7"/>
      <c r="H7" s="1"/>
      <c r="I7" s="1"/>
      <c r="J7" s="1"/>
      <c r="K7" s="1"/>
    </row>
    <row r="8">
      <c r="A8" s="869" t="s">
        <v>16</v>
      </c>
      <c r="B8" s="870">
        <v>-22857327</v>
      </c>
      <c r="C8" s="870">
        <v>-21858853</v>
      </c>
      <c r="D8" s="870">
        <v>-25573871</v>
      </c>
      <c r="E8" s="870">
        <v>-25736347</v>
      </c>
      <c r="F8" s="870">
        <v>-24413955</v>
      </c>
      <c r="G8" s="7"/>
      <c r="H8" s="1"/>
      <c r="I8" s="1"/>
      <c r="J8" s="1"/>
      <c r="K8" s="1"/>
    </row>
    <row r="9">
      <c r="A9" s="805" t="s">
        <v>17</v>
      </c>
      <c r="B9" s="814">
        <v>19178758</v>
      </c>
      <c r="C9" s="814">
        <v>19128565</v>
      </c>
      <c r="D9" s="814">
        <v>29013550</v>
      </c>
      <c r="E9" s="814">
        <v>16917464</v>
      </c>
      <c r="F9" s="814">
        <v>17990746</v>
      </c>
      <c r="G9" s="10"/>
      <c r="H9" s="2"/>
      <c r="I9" s="2"/>
      <c r="J9" s="2"/>
      <c r="K9" s="2"/>
    </row>
    <row r="10">
      <c r="A10" s="869" t="s">
        <v>18</v>
      </c>
      <c r="B10" s="870">
        <v>-3266942</v>
      </c>
      <c r="C10" s="870">
        <v>-3405988</v>
      </c>
      <c r="D10" s="870">
        <v>-4482435</v>
      </c>
      <c r="E10" s="870">
        <v>-3436087</v>
      </c>
      <c r="F10" s="870">
        <v>-3908720</v>
      </c>
      <c r="G10" s="7"/>
      <c r="H10" s="1"/>
      <c r="I10" s="1"/>
      <c r="J10" s="1"/>
      <c r="K10" s="1"/>
    </row>
    <row r="11">
      <c r="A11" s="805" t="s">
        <v>19</v>
      </c>
      <c r="B11" s="814">
        <v>15911816</v>
      </c>
      <c r="C11" s="814">
        <v>15722577</v>
      </c>
      <c r="D11" s="814">
        <v>24531115</v>
      </c>
      <c r="E11" s="814">
        <v>13481377</v>
      </c>
      <c r="F11" s="814">
        <v>14082026</v>
      </c>
      <c r="G11" s="10"/>
      <c r="H11" s="2"/>
      <c r="I11" s="2"/>
      <c r="J11" s="2"/>
      <c r="K11" s="2"/>
    </row>
    <row r="12">
      <c r="A12" s="869" t="s">
        <v>20</v>
      </c>
      <c r="B12" s="870">
        <v>-14126147</v>
      </c>
      <c r="C12" s="870">
        <v>-9881077</v>
      </c>
      <c r="D12" s="870">
        <v>-16142876</v>
      </c>
      <c r="E12" s="870">
        <v>-15193459</v>
      </c>
      <c r="F12" s="870">
        <v>-14336109</v>
      </c>
      <c r="G12" s="7"/>
      <c r="H12" s="1"/>
      <c r="I12" s="1"/>
      <c r="J12" s="1"/>
      <c r="K12" s="1"/>
    </row>
    <row r="13">
      <c r="A13" s="869" t="s">
        <v>21</v>
      </c>
      <c r="B13" s="870">
        <v>34397</v>
      </c>
      <c r="C13" s="870">
        <v>130429</v>
      </c>
      <c r="D13" s="870">
        <v>6770</v>
      </c>
      <c r="E13" s="870">
        <v>1010</v>
      </c>
      <c r="F13" s="870">
        <v>81975</v>
      </c>
      <c r="G13" s="7"/>
      <c r="H13" s="1"/>
      <c r="I13" s="1"/>
      <c r="J13" s="1"/>
      <c r="K13" s="1"/>
    </row>
    <row r="14">
      <c r="A14" s="805" t="s">
        <v>22</v>
      </c>
      <c r="B14" s="814">
        <v>1820066</v>
      </c>
      <c r="C14" s="814">
        <v>5971929</v>
      </c>
      <c r="D14" s="814">
        <v>8395009</v>
      </c>
      <c r="E14" s="814">
        <v>-1711072</v>
      </c>
      <c r="F14" s="814">
        <v>-172108</v>
      </c>
      <c r="G14" s="10"/>
      <c r="H14" s="2"/>
      <c r="I14" s="2"/>
      <c r="J14" s="2"/>
      <c r="K14" s="2"/>
    </row>
    <row r="15">
      <c r="A15" s="869" t="s">
        <v>23</v>
      </c>
      <c r="B15" s="870">
        <v>-2683428</v>
      </c>
      <c r="C15" s="870">
        <v>599370</v>
      </c>
      <c r="D15" s="870">
        <v>-820467</v>
      </c>
      <c r="E15" s="870">
        <v>-681267</v>
      </c>
      <c r="F15" s="870">
        <v>-497187</v>
      </c>
      <c r="G15" s="7"/>
      <c r="H15" s="1"/>
      <c r="I15" s="1"/>
      <c r="J15" s="1"/>
      <c r="K15" s="1"/>
    </row>
    <row r="16">
      <c r="A16" s="805" t="s">
        <v>24</v>
      </c>
      <c r="B16" s="814">
        <v>-863362</v>
      </c>
      <c r="C16" s="814">
        <v>6571299</v>
      </c>
      <c r="D16" s="814">
        <v>7574542</v>
      </c>
      <c r="E16" s="814">
        <v>-2392339</v>
      </c>
      <c r="F16" s="814">
        <v>-669295</v>
      </c>
      <c r="G16" s="10"/>
      <c r="H16" s="2"/>
      <c r="I16" s="2"/>
      <c r="J16" s="2"/>
      <c r="K16" s="2"/>
    </row>
    <row r="17">
      <c r="A17" s="8"/>
      <c r="B17" s="8"/>
      <c r="C17" s="8"/>
      <c r="D17" s="8"/>
      <c r="E17" s="8"/>
      <c r="F17" s="8"/>
      <c r="G17" s="9"/>
      <c r="H17" s="8"/>
      <c r="I17" s="8"/>
      <c r="J17" s="8"/>
      <c r="K17" s="8"/>
    </row>
    <row r="18">
      <c r="A18" s="803" t="s">
        <v>3</v>
      </c>
      <c r="B18" s="884" t="s">
        <v>4</v>
      </c>
      <c r="C18" s="884" t="s">
        <v>5</v>
      </c>
      <c r="D18" s="884" t="s">
        <v>6</v>
      </c>
      <c r="E18" s="884" t="s">
        <v>7</v>
      </c>
      <c r="F18" s="884" t="s">
        <v>8</v>
      </c>
      <c r="G18" s="892" t="s">
        <v>9</v>
      </c>
      <c r="H18" s="887" t="s">
        <v>10</v>
      </c>
      <c r="I18" s="887" t="s">
        <v>11</v>
      </c>
      <c r="J18" s="887" t="s">
        <v>12</v>
      </c>
      <c r="K18" s="887" t="s">
        <v>13</v>
      </c>
    </row>
    <row r="19">
      <c r="A19" s="803" t="s">
        <v>25</v>
      </c>
      <c r="B19" s="4"/>
      <c r="C19" s="4"/>
      <c r="D19" s="4"/>
      <c r="E19" s="4"/>
      <c r="F19" s="4"/>
      <c r="G19" s="11"/>
      <c r="H19" s="6"/>
      <c r="I19" s="6"/>
      <c r="J19" s="6"/>
      <c r="K19" s="6"/>
    </row>
    <row r="20">
      <c r="A20" s="869" t="s">
        <v>26</v>
      </c>
      <c r="B20" s="870">
        <v>5485501</v>
      </c>
      <c r="C20" s="870">
        <v>5490195</v>
      </c>
      <c r="D20" s="870">
        <v>17396949</v>
      </c>
      <c r="E20" s="870">
        <v>4118908</v>
      </c>
      <c r="F20" s="870">
        <v>5197344</v>
      </c>
      <c r="G20" s="7"/>
      <c r="H20" s="1"/>
      <c r="I20" s="1"/>
      <c r="J20" s="1"/>
      <c r="K20" s="1"/>
    </row>
    <row r="21">
      <c r="A21" s="869" t="s">
        <v>27</v>
      </c>
      <c r="B21" s="870">
        <v>8440721</v>
      </c>
      <c r="C21" s="870">
        <v>6989164</v>
      </c>
      <c r="D21" s="870">
        <v>7127866</v>
      </c>
      <c r="E21" s="870">
        <v>3904545</v>
      </c>
      <c r="F21" s="870">
        <v>4837614</v>
      </c>
      <c r="G21" s="7"/>
      <c r="H21" s="1"/>
      <c r="I21" s="1"/>
      <c r="J21" s="1"/>
      <c r="K21" s="1"/>
    </row>
    <row r="22">
      <c r="A22" s="869" t="s">
        <v>28</v>
      </c>
      <c r="B22" s="870">
        <v>898932</v>
      </c>
      <c r="C22" s="870">
        <v>996982</v>
      </c>
      <c r="D22" s="870">
        <v>1138080</v>
      </c>
      <c r="E22" s="870">
        <v>1239674</v>
      </c>
      <c r="F22" s="870">
        <v>1332322</v>
      </c>
      <c r="G22" s="7"/>
      <c r="H22" s="1"/>
      <c r="I22" s="1"/>
      <c r="J22" s="1"/>
      <c r="K22" s="1"/>
    </row>
    <row r="23">
      <c r="A23" s="869" t="s">
        <v>29</v>
      </c>
      <c r="B23" s="870">
        <v>1954336</v>
      </c>
      <c r="C23" s="870">
        <v>4991808</v>
      </c>
      <c r="D23" s="870">
        <v>1291507</v>
      </c>
      <c r="E23" s="870">
        <v>1963129</v>
      </c>
      <c r="F23" s="870">
        <v>860787</v>
      </c>
      <c r="G23" s="7"/>
      <c r="H23" s="1"/>
      <c r="I23" s="1"/>
      <c r="J23" s="1"/>
      <c r="K23" s="1"/>
    </row>
    <row r="24">
      <c r="A24" s="869" t="s">
        <v>30</v>
      </c>
      <c r="B24" s="870">
        <v>38791</v>
      </c>
      <c r="C24" s="870">
        <v>40685</v>
      </c>
      <c r="D24" s="870">
        <v>51726</v>
      </c>
      <c r="E24" s="870">
        <v>71702</v>
      </c>
      <c r="F24" s="870">
        <v>84203</v>
      </c>
      <c r="G24" s="7"/>
      <c r="H24" s="1"/>
      <c r="I24" s="1"/>
      <c r="J24" s="1"/>
      <c r="K24" s="1"/>
    </row>
    <row r="25">
      <c r="A25" s="805" t="s">
        <v>31</v>
      </c>
      <c r="B25" s="814">
        <v>16818281</v>
      </c>
      <c r="C25" s="814">
        <v>18508834</v>
      </c>
      <c r="D25" s="814">
        <v>27006128</v>
      </c>
      <c r="E25" s="814">
        <v>11297958</v>
      </c>
      <c r="F25" s="814">
        <v>12312270</v>
      </c>
      <c r="G25" s="10"/>
      <c r="H25" s="2"/>
      <c r="I25" s="2"/>
      <c r="J25" s="2"/>
      <c r="K25" s="2"/>
    </row>
    <row r="26">
      <c r="A26" s="869" t="s">
        <v>32</v>
      </c>
      <c r="B26" s="870">
        <v>216209163</v>
      </c>
      <c r="C26" s="870">
        <v>202848696</v>
      </c>
      <c r="D26" s="870">
        <v>193996920</v>
      </c>
      <c r="E26" s="870">
        <v>180311071</v>
      </c>
      <c r="F26" s="870">
        <v>167298071</v>
      </c>
      <c r="G26" s="7"/>
      <c r="H26" s="1"/>
      <c r="I26" s="1"/>
      <c r="J26" s="1"/>
      <c r="K26" s="1"/>
    </row>
    <row r="27">
      <c r="A27" s="869" t="s">
        <v>33</v>
      </c>
      <c r="B27" s="870">
        <v>20000000</v>
      </c>
      <c r="C27" s="870">
        <v>20000000</v>
      </c>
      <c r="D27" s="870">
        <v>20000000</v>
      </c>
      <c r="E27" s="870">
        <v>20000000</v>
      </c>
      <c r="F27" s="870">
        <v>20000000</v>
      </c>
      <c r="G27" s="7"/>
      <c r="H27" s="1"/>
      <c r="I27" s="1"/>
      <c r="J27" s="1"/>
      <c r="K27" s="1"/>
    </row>
    <row r="28">
      <c r="A28" s="869" t="s">
        <v>28</v>
      </c>
      <c r="B28" s="870">
        <v>21480114</v>
      </c>
      <c r="C28" s="870">
        <v>20483131</v>
      </c>
      <c r="D28" s="870">
        <v>19345052</v>
      </c>
      <c r="E28" s="870">
        <v>18105378</v>
      </c>
      <c r="F28" s="870">
        <v>16773057</v>
      </c>
      <c r="G28" s="7"/>
      <c r="H28" s="1"/>
      <c r="I28" s="1"/>
      <c r="J28" s="1"/>
      <c r="K28" s="1"/>
    </row>
    <row r="29">
      <c r="A29" s="869" t="s">
        <v>34</v>
      </c>
      <c r="B29" s="870">
        <v>109685</v>
      </c>
      <c r="C29" s="870">
        <v>105268</v>
      </c>
      <c r="D29" s="870">
        <v>100851</v>
      </c>
      <c r="E29" s="870">
        <v>96435</v>
      </c>
      <c r="F29" s="870">
        <v>92018</v>
      </c>
      <c r="G29" s="7"/>
      <c r="H29" s="1"/>
      <c r="I29" s="1"/>
      <c r="J29" s="1"/>
      <c r="K29" s="1"/>
    </row>
    <row r="30">
      <c r="A30" s="869" t="s">
        <v>35</v>
      </c>
      <c r="B30" s="1"/>
      <c r="C30" s="870">
        <v>13934</v>
      </c>
      <c r="D30" s="870">
        <v>17359</v>
      </c>
      <c r="E30" s="870">
        <v>21782</v>
      </c>
      <c r="F30" s="870">
        <v>26510</v>
      </c>
      <c r="G30" s="7"/>
      <c r="H30" s="1"/>
      <c r="I30" s="1"/>
      <c r="J30" s="1"/>
      <c r="K30" s="1"/>
    </row>
    <row r="31">
      <c r="A31" s="805" t="s">
        <v>36</v>
      </c>
      <c r="B31" s="814">
        <v>257798962</v>
      </c>
      <c r="C31" s="814">
        <v>243451029</v>
      </c>
      <c r="D31" s="814">
        <v>233460182</v>
      </c>
      <c r="E31" s="814">
        <v>218534666</v>
      </c>
      <c r="F31" s="814">
        <v>204189656</v>
      </c>
      <c r="G31" s="10"/>
      <c r="H31" s="2"/>
      <c r="I31" s="2"/>
      <c r="J31" s="2"/>
      <c r="K31" s="2"/>
    </row>
    <row r="32">
      <c r="A32" s="805" t="s">
        <v>37</v>
      </c>
      <c r="B32" s="814">
        <v>274617243</v>
      </c>
      <c r="C32" s="814">
        <v>261959863</v>
      </c>
      <c r="D32" s="814">
        <v>260466310</v>
      </c>
      <c r="E32" s="814">
        <v>229832624</v>
      </c>
      <c r="F32" s="814">
        <v>216501926</v>
      </c>
      <c r="G32" s="10"/>
      <c r="H32" s="2"/>
      <c r="I32" s="2"/>
      <c r="J32" s="2"/>
      <c r="K32" s="2"/>
    </row>
    <row r="33">
      <c r="A33" s="869" t="s">
        <v>38</v>
      </c>
      <c r="B33" s="870">
        <v>14299859</v>
      </c>
      <c r="C33" s="870">
        <v>15240126</v>
      </c>
      <c r="D33" s="870">
        <v>16627445</v>
      </c>
      <c r="E33" s="870">
        <v>17584115</v>
      </c>
      <c r="F33" s="870">
        <v>18400181</v>
      </c>
      <c r="G33" s="7"/>
      <c r="H33" s="1"/>
      <c r="I33" s="1"/>
      <c r="J33" s="1"/>
      <c r="K33" s="1"/>
    </row>
    <row r="34">
      <c r="A34" s="869" t="s">
        <v>39</v>
      </c>
      <c r="B34" s="870">
        <v>2652919</v>
      </c>
      <c r="C34" s="870">
        <v>1285733</v>
      </c>
      <c r="D34" s="870">
        <v>2536737</v>
      </c>
      <c r="E34" s="870">
        <v>1419947</v>
      </c>
      <c r="F34" s="870">
        <v>2311149</v>
      </c>
      <c r="G34" s="7"/>
      <c r="H34" s="1"/>
      <c r="I34" s="1"/>
      <c r="J34" s="1"/>
      <c r="K34" s="1"/>
    </row>
    <row r="35">
      <c r="A35" s="869" t="s">
        <v>40</v>
      </c>
      <c r="B35" s="870">
        <v>157731</v>
      </c>
      <c r="C35" s="870">
        <v>192094</v>
      </c>
      <c r="D35" s="870">
        <v>229888</v>
      </c>
      <c r="E35" s="870">
        <v>271410</v>
      </c>
      <c r="F35" s="870">
        <v>316983</v>
      </c>
      <c r="G35" s="7"/>
      <c r="H35" s="1"/>
      <c r="I35" s="1"/>
      <c r="J35" s="1"/>
      <c r="K35" s="1"/>
    </row>
    <row r="36">
      <c r="A36" s="805" t="s">
        <v>41</v>
      </c>
      <c r="B36" s="814">
        <v>17110509</v>
      </c>
      <c r="C36" s="814">
        <v>16717953</v>
      </c>
      <c r="D36" s="814">
        <v>19394070</v>
      </c>
      <c r="E36" s="814">
        <v>19275472</v>
      </c>
      <c r="F36" s="814">
        <v>21028313</v>
      </c>
      <c r="G36" s="10"/>
      <c r="H36" s="2"/>
      <c r="I36" s="2"/>
      <c r="J36" s="2"/>
      <c r="K36" s="2"/>
    </row>
    <row r="37">
      <c r="A37" s="869" t="s">
        <v>40</v>
      </c>
      <c r="B37" s="870">
        <v>8232437</v>
      </c>
      <c r="C37" s="870">
        <v>8040342</v>
      </c>
      <c r="D37" s="870">
        <v>7810454</v>
      </c>
      <c r="E37" s="870">
        <v>7539044</v>
      </c>
      <c r="F37" s="870">
        <v>7222062</v>
      </c>
      <c r="G37" s="7"/>
      <c r="H37" s="1"/>
      <c r="I37" s="1"/>
      <c r="J37" s="1"/>
      <c r="K37" s="1"/>
    </row>
    <row r="38">
      <c r="A38" s="869" t="s">
        <v>42</v>
      </c>
      <c r="B38" s="870">
        <v>1204764</v>
      </c>
      <c r="C38" s="870">
        <v>605394</v>
      </c>
      <c r="D38" s="870">
        <v>1425861</v>
      </c>
      <c r="E38" s="870">
        <v>2107128</v>
      </c>
      <c r="F38" s="870">
        <v>2604315</v>
      </c>
      <c r="G38" s="7"/>
      <c r="H38" s="1"/>
      <c r="I38" s="1"/>
      <c r="J38" s="1"/>
      <c r="K38" s="1"/>
    </row>
    <row r="39">
      <c r="A39" s="869" t="s">
        <v>43</v>
      </c>
      <c r="B39" s="870">
        <v>0</v>
      </c>
      <c r="C39" s="870">
        <v>347922</v>
      </c>
      <c r="D39" s="870">
        <v>374016</v>
      </c>
      <c r="E39" s="870">
        <v>402067</v>
      </c>
      <c r="F39" s="870">
        <v>432222</v>
      </c>
      <c r="G39" s="7"/>
      <c r="H39" s="1"/>
      <c r="I39" s="1"/>
      <c r="J39" s="1"/>
      <c r="K39" s="1"/>
    </row>
    <row r="40">
      <c r="A40" s="869" t="s">
        <v>38</v>
      </c>
      <c r="B40" s="870">
        <v>234949078</v>
      </c>
      <c r="C40" s="870">
        <v>224181572</v>
      </c>
      <c r="D40" s="870">
        <v>211820687</v>
      </c>
      <c r="E40" s="870">
        <v>198290030</v>
      </c>
      <c r="F40" s="870">
        <v>183665429</v>
      </c>
      <c r="G40" s="7"/>
      <c r="H40" s="1"/>
      <c r="I40" s="1"/>
      <c r="J40" s="1"/>
      <c r="K40" s="1"/>
    </row>
    <row r="41">
      <c r="A41" s="869" t="s">
        <v>44</v>
      </c>
      <c r="B41" s="870">
        <v>7625074</v>
      </c>
      <c r="C41" s="1"/>
      <c r="D41" s="1"/>
      <c r="E41" s="1"/>
      <c r="F41" s="1"/>
      <c r="G41" s="7"/>
      <c r="H41" s="1"/>
      <c r="I41" s="1"/>
      <c r="J41" s="1"/>
      <c r="K41" s="1"/>
    </row>
    <row r="42">
      <c r="A42" s="805" t="s">
        <v>45</v>
      </c>
      <c r="B42" s="814">
        <v>252011353</v>
      </c>
      <c r="C42" s="814">
        <v>233175230</v>
      </c>
      <c r="D42" s="814">
        <v>221431018</v>
      </c>
      <c r="E42" s="814">
        <v>208338269</v>
      </c>
      <c r="F42" s="814">
        <v>193924028</v>
      </c>
      <c r="G42" s="10"/>
      <c r="H42" s="2"/>
      <c r="I42" s="2"/>
      <c r="J42" s="2"/>
      <c r="K42" s="2"/>
    </row>
    <row r="43">
      <c r="A43" s="805" t="s">
        <v>46</v>
      </c>
      <c r="B43" s="814">
        <v>269121862</v>
      </c>
      <c r="C43" s="814">
        <v>249893183</v>
      </c>
      <c r="D43" s="814">
        <v>240825088</v>
      </c>
      <c r="E43" s="814">
        <v>227613741</v>
      </c>
      <c r="F43" s="814">
        <v>214952341</v>
      </c>
      <c r="G43" s="10"/>
      <c r="H43" s="2"/>
      <c r="I43" s="2"/>
      <c r="J43" s="2"/>
      <c r="K43" s="2"/>
    </row>
    <row r="44">
      <c r="A44" s="869" t="s">
        <v>47</v>
      </c>
      <c r="B44" s="870">
        <v>1050</v>
      </c>
      <c r="C44" s="870">
        <v>1050</v>
      </c>
      <c r="D44" s="870">
        <v>1050</v>
      </c>
      <c r="E44" s="870">
        <v>1050</v>
      </c>
      <c r="F44" s="870">
        <v>1050</v>
      </c>
      <c r="G44" s="7"/>
      <c r="H44" s="1"/>
      <c r="I44" s="1"/>
      <c r="J44" s="1"/>
      <c r="K44" s="1"/>
    </row>
    <row r="45">
      <c r="A45" s="869" t="s">
        <v>48</v>
      </c>
      <c r="B45" s="870">
        <v>55974250</v>
      </c>
      <c r="C45" s="870">
        <v>55974250</v>
      </c>
      <c r="D45" s="870">
        <v>55974250</v>
      </c>
      <c r="E45" s="870">
        <v>48518792</v>
      </c>
      <c r="F45" s="870">
        <v>48518792</v>
      </c>
      <c r="G45" s="7"/>
      <c r="H45" s="1"/>
      <c r="I45" s="1"/>
      <c r="J45" s="1"/>
      <c r="K45" s="1"/>
    </row>
    <row r="46">
      <c r="A46" s="869" t="s">
        <v>49</v>
      </c>
      <c r="B46" s="870">
        <v>-50345915</v>
      </c>
      <c r="C46" s="870">
        <v>-43774616</v>
      </c>
      <c r="D46" s="870">
        <v>-36200074</v>
      </c>
      <c r="E46" s="870">
        <v>-46166955</v>
      </c>
      <c r="F46" s="870">
        <v>-46836250</v>
      </c>
      <c r="G46" s="7"/>
      <c r="H46" s="1"/>
      <c r="I46" s="1"/>
      <c r="J46" s="1"/>
      <c r="K46" s="1"/>
    </row>
    <row r="47">
      <c r="A47" s="869" t="s">
        <v>50</v>
      </c>
      <c r="B47" s="870">
        <v>-134004</v>
      </c>
      <c r="C47" s="870">
        <v>-134004</v>
      </c>
      <c r="D47" s="870">
        <v>-134004</v>
      </c>
      <c r="E47" s="870">
        <v>-134004</v>
      </c>
      <c r="F47" s="870">
        <v>-134007</v>
      </c>
      <c r="G47" s="7"/>
      <c r="H47" s="1"/>
      <c r="I47" s="1"/>
      <c r="J47" s="1"/>
      <c r="K47" s="1"/>
    </row>
    <row r="48">
      <c r="A48" s="805" t="s">
        <v>51</v>
      </c>
      <c r="B48" s="814">
        <v>5495381</v>
      </c>
      <c r="C48" s="814">
        <v>12066680</v>
      </c>
      <c r="D48" s="814">
        <v>19641222</v>
      </c>
      <c r="E48" s="814">
        <v>2218883</v>
      </c>
      <c r="F48" s="814">
        <v>1549585</v>
      </c>
      <c r="G48" s="10"/>
      <c r="H48" s="2"/>
      <c r="I48" s="2"/>
      <c r="J48" s="2"/>
      <c r="K48" s="2"/>
    </row>
    <row r="49">
      <c r="A49" s="805" t="s">
        <v>52</v>
      </c>
      <c r="B49" s="814">
        <v>274617243</v>
      </c>
      <c r="C49" s="814">
        <v>261959863</v>
      </c>
      <c r="D49" s="814">
        <v>260466310</v>
      </c>
      <c r="E49" s="814">
        <v>229832624</v>
      </c>
      <c r="F49" s="814">
        <v>216501926</v>
      </c>
      <c r="G49" s="10"/>
      <c r="H49" s="2"/>
      <c r="I49" s="2"/>
      <c r="J49" s="2"/>
      <c r="K49" s="2"/>
    </row>
    <row r="50">
      <c r="A50" s="8"/>
      <c r="B50" s="8"/>
      <c r="C50" s="8"/>
      <c r="D50" s="8"/>
      <c r="E50" s="8"/>
      <c r="F50" s="8"/>
      <c r="G50" s="9"/>
      <c r="H50" s="8"/>
      <c r="I50" s="8"/>
      <c r="J50" s="8"/>
      <c r="K50" s="8"/>
    </row>
    <row r="51">
      <c r="A51" s="803" t="s">
        <v>3</v>
      </c>
      <c r="B51" s="884" t="s">
        <v>4</v>
      </c>
      <c r="C51" s="884" t="s">
        <v>5</v>
      </c>
      <c r="D51" s="884" t="s">
        <v>6</v>
      </c>
      <c r="E51" s="884" t="s">
        <v>7</v>
      </c>
      <c r="F51" s="884" t="s">
        <v>8</v>
      </c>
      <c r="G51" s="892" t="s">
        <v>9</v>
      </c>
      <c r="H51" s="887" t="s">
        <v>10</v>
      </c>
      <c r="I51" s="887" t="s">
        <v>11</v>
      </c>
      <c r="J51" s="887" t="s">
        <v>12</v>
      </c>
      <c r="K51" s="887" t="s">
        <v>13</v>
      </c>
    </row>
    <row r="52">
      <c r="A52" s="803" t="s">
        <v>53</v>
      </c>
      <c r="B52" s="4"/>
      <c r="C52" s="4"/>
      <c r="D52" s="4"/>
      <c r="E52" s="4"/>
      <c r="F52" s="4"/>
      <c r="G52" s="11"/>
      <c r="H52" s="6"/>
      <c r="I52" s="6"/>
      <c r="J52" s="6"/>
      <c r="K52" s="6"/>
    </row>
    <row r="53">
      <c r="A53" s="869" t="s">
        <v>54</v>
      </c>
      <c r="B53" s="870">
        <v>1820066</v>
      </c>
      <c r="C53" s="870">
        <v>5971929</v>
      </c>
      <c r="D53" s="870">
        <v>8395009</v>
      </c>
      <c r="E53" s="870">
        <v>-1711072</v>
      </c>
      <c r="F53" s="870">
        <v>-172108</v>
      </c>
      <c r="G53" s="7"/>
      <c r="H53" s="1"/>
      <c r="I53" s="1"/>
      <c r="J53" s="1"/>
      <c r="K53" s="1"/>
    </row>
    <row r="54">
      <c r="A54" s="869" t="s">
        <v>55</v>
      </c>
      <c r="B54" s="870">
        <v>13917163</v>
      </c>
      <c r="C54" s="870">
        <v>13936348</v>
      </c>
      <c r="D54" s="870">
        <v>13947153</v>
      </c>
      <c r="E54" s="870">
        <v>13994812</v>
      </c>
      <c r="F54" s="870">
        <v>14031702</v>
      </c>
      <c r="G54" s="7"/>
      <c r="H54" s="1"/>
      <c r="I54" s="1"/>
      <c r="J54" s="1"/>
      <c r="K54" s="1"/>
    </row>
    <row r="55">
      <c r="A55" s="869" t="s">
        <v>56</v>
      </c>
      <c r="B55" s="870">
        <v>461118</v>
      </c>
      <c r="C55" s="870">
        <v>488495</v>
      </c>
      <c r="D55" s="870">
        <v>488115</v>
      </c>
      <c r="E55" s="870">
        <v>465343</v>
      </c>
      <c r="F55" s="870">
        <v>417400</v>
      </c>
      <c r="G55" s="7"/>
      <c r="H55" s="1"/>
      <c r="I55" s="1"/>
      <c r="J55" s="1"/>
      <c r="K55" s="1"/>
    </row>
    <row r="56">
      <c r="A56" s="869" t="s">
        <v>57</v>
      </c>
      <c r="B56" s="870">
        <v>19633409</v>
      </c>
      <c r="C56" s="870">
        <v>17427534</v>
      </c>
      <c r="D56" s="870">
        <v>16034326</v>
      </c>
      <c r="E56" s="870">
        <v>15277290</v>
      </c>
      <c r="F56" s="870">
        <v>14368965</v>
      </c>
      <c r="G56" s="7"/>
      <c r="H56" s="1"/>
      <c r="I56" s="1"/>
      <c r="J56" s="1"/>
      <c r="K56" s="1"/>
    </row>
    <row r="57">
      <c r="A57" s="869" t="s">
        <v>58</v>
      </c>
      <c r="B57" s="870">
        <v>-1491219</v>
      </c>
      <c r="C57" s="870">
        <v>-1429818</v>
      </c>
      <c r="D57" s="870">
        <v>-1366104</v>
      </c>
      <c r="E57" s="870">
        <v>-1300441</v>
      </c>
      <c r="F57" s="870">
        <v>-1221639</v>
      </c>
      <c r="G57" s="7"/>
      <c r="H57" s="1"/>
      <c r="I57" s="1"/>
      <c r="J57" s="1"/>
      <c r="K57" s="1"/>
    </row>
    <row r="58">
      <c r="A58" s="869" t="s">
        <v>59</v>
      </c>
      <c r="B58" s="870">
        <v>-4708923</v>
      </c>
      <c r="C58" s="870">
        <v>-7338074</v>
      </c>
      <c r="D58" s="1"/>
      <c r="E58" s="1"/>
      <c r="F58" s="1"/>
      <c r="G58" s="7"/>
      <c r="H58" s="1"/>
      <c r="I58" s="1"/>
      <c r="J58" s="1"/>
      <c r="K58" s="1"/>
    </row>
    <row r="59">
      <c r="A59" s="869" t="s">
        <v>27</v>
      </c>
      <c r="B59" s="870">
        <v>-11432</v>
      </c>
      <c r="C59" s="870">
        <v>1436789</v>
      </c>
      <c r="D59" s="870">
        <v>-156919</v>
      </c>
      <c r="E59" s="870">
        <v>3206463</v>
      </c>
      <c r="F59" s="870">
        <v>-953435</v>
      </c>
      <c r="G59" s="7"/>
      <c r="H59" s="1"/>
      <c r="I59" s="1"/>
      <c r="J59" s="1"/>
      <c r="K59" s="1"/>
    </row>
    <row r="60">
      <c r="A60" s="869" t="s">
        <v>60</v>
      </c>
      <c r="B60" s="870">
        <v>-2200385</v>
      </c>
      <c r="C60" s="870">
        <v>-608700</v>
      </c>
      <c r="D60" s="870">
        <v>1301174</v>
      </c>
      <c r="E60" s="870">
        <v>-1088704</v>
      </c>
      <c r="F60" s="870">
        <v>921357</v>
      </c>
      <c r="G60" s="7"/>
      <c r="H60" s="1"/>
      <c r="I60" s="1"/>
      <c r="J60" s="1"/>
      <c r="K60" s="1"/>
    </row>
    <row r="61">
      <c r="A61" s="869" t="s">
        <v>61</v>
      </c>
      <c r="B61" s="870">
        <v>-1320164</v>
      </c>
      <c r="C61" s="870">
        <v>-3051406</v>
      </c>
      <c r="D61" s="870">
        <v>3696876</v>
      </c>
      <c r="E61" s="870">
        <v>-676045</v>
      </c>
      <c r="F61" s="870">
        <v>1097614</v>
      </c>
      <c r="G61" s="7"/>
      <c r="H61" s="1"/>
      <c r="I61" s="1"/>
      <c r="J61" s="1"/>
      <c r="K61" s="1"/>
    </row>
    <row r="62">
      <c r="A62" s="869" t="s">
        <v>30</v>
      </c>
      <c r="B62" s="870">
        <v>-16578</v>
      </c>
      <c r="C62" s="870">
        <v>-1894</v>
      </c>
      <c r="D62" s="870">
        <v>-11041</v>
      </c>
      <c r="E62" s="870">
        <v>-19976</v>
      </c>
      <c r="F62" s="870">
        <v>-12501</v>
      </c>
      <c r="G62" s="7"/>
      <c r="H62" s="1"/>
      <c r="I62" s="1"/>
      <c r="J62" s="1"/>
      <c r="K62" s="1"/>
    </row>
    <row r="63">
      <c r="A63" s="869" t="s">
        <v>62</v>
      </c>
      <c r="B63" s="870">
        <v>-946740</v>
      </c>
      <c r="C63" s="1"/>
      <c r="D63" s="1"/>
      <c r="E63" s="1"/>
      <c r="F63" s="1"/>
      <c r="G63" s="7"/>
      <c r="H63" s="1"/>
      <c r="I63" s="1"/>
      <c r="J63" s="1"/>
      <c r="K63" s="1"/>
    </row>
    <row r="64">
      <c r="A64" s="805" t="s">
        <v>63</v>
      </c>
      <c r="B64" s="814">
        <v>25136315</v>
      </c>
      <c r="C64" s="814">
        <v>26831203</v>
      </c>
      <c r="D64" s="814">
        <v>42328589</v>
      </c>
      <c r="E64" s="814">
        <v>28147670</v>
      </c>
      <c r="F64" s="814">
        <v>28477355</v>
      </c>
      <c r="G64" s="10"/>
      <c r="H64" s="2"/>
      <c r="I64" s="2"/>
      <c r="J64" s="2"/>
      <c r="K64" s="2"/>
    </row>
    <row r="65">
      <c r="A65" s="869" t="s">
        <v>64</v>
      </c>
      <c r="B65" s="870">
        <v>-93485</v>
      </c>
      <c r="C65" s="870">
        <v>-556464</v>
      </c>
      <c r="D65" s="870">
        <v>-5097893</v>
      </c>
      <c r="E65" s="870">
        <v>-282082</v>
      </c>
      <c r="F65" s="870">
        <v>-984285</v>
      </c>
      <c r="G65" s="7"/>
      <c r="H65" s="1"/>
      <c r="I65" s="1"/>
      <c r="J65" s="1"/>
      <c r="K65" s="1"/>
    </row>
    <row r="66">
      <c r="A66" s="869" t="s">
        <v>65</v>
      </c>
      <c r="B66" s="870">
        <v>-125421</v>
      </c>
      <c r="C66" s="870">
        <v>-15000</v>
      </c>
      <c r="D66" s="870">
        <v>-17143</v>
      </c>
      <c r="E66" s="870">
        <v>-22500</v>
      </c>
      <c r="F66" s="870">
        <v>-30000</v>
      </c>
      <c r="G66" s="7"/>
      <c r="H66" s="1"/>
      <c r="I66" s="1"/>
      <c r="J66" s="1"/>
      <c r="K66" s="1"/>
    </row>
    <row r="67">
      <c r="A67" s="869" t="s">
        <v>66</v>
      </c>
      <c r="B67" s="870">
        <v>885999</v>
      </c>
      <c r="C67" s="870">
        <v>898933</v>
      </c>
      <c r="D67" s="870">
        <v>996981</v>
      </c>
      <c r="E67" s="870">
        <v>1138080</v>
      </c>
      <c r="F67" s="870">
        <v>1239673</v>
      </c>
      <c r="G67" s="7"/>
      <c r="H67" s="1"/>
      <c r="I67" s="1"/>
      <c r="J67" s="1"/>
      <c r="K67" s="1"/>
    </row>
    <row r="68">
      <c r="A68" s="869" t="s">
        <v>67</v>
      </c>
      <c r="B68" s="870">
        <v>1178171</v>
      </c>
      <c r="C68" s="870">
        <v>1444586</v>
      </c>
      <c r="D68" s="870">
        <v>1384321</v>
      </c>
      <c r="E68" s="870">
        <v>1317299</v>
      </c>
      <c r="F68" s="870">
        <v>1242005</v>
      </c>
      <c r="G68" s="7"/>
      <c r="H68" s="1"/>
      <c r="I68" s="1"/>
      <c r="J68" s="1"/>
      <c r="K68" s="1"/>
    </row>
    <row r="69">
      <c r="A69" s="805" t="s">
        <v>68</v>
      </c>
      <c r="B69" s="814">
        <v>1845264</v>
      </c>
      <c r="C69" s="814">
        <v>1772055</v>
      </c>
      <c r="D69" s="814">
        <v>-2733734</v>
      </c>
      <c r="E69" s="814">
        <v>2150797</v>
      </c>
      <c r="F69" s="814">
        <v>1467393</v>
      </c>
      <c r="G69" s="10"/>
      <c r="H69" s="2"/>
      <c r="I69" s="2"/>
      <c r="J69" s="2"/>
      <c r="K69" s="2"/>
    </row>
    <row r="70">
      <c r="A70" s="869" t="s">
        <v>69</v>
      </c>
      <c r="B70" s="870">
        <v>-10003000</v>
      </c>
      <c r="C70" s="870">
        <v>-10149000</v>
      </c>
      <c r="D70" s="870">
        <v>-11256000</v>
      </c>
      <c r="E70" s="870">
        <v>-12849000</v>
      </c>
      <c r="F70" s="870">
        <v>-13996000</v>
      </c>
      <c r="G70" s="7"/>
      <c r="H70" s="1"/>
      <c r="I70" s="1"/>
      <c r="J70" s="1"/>
      <c r="K70" s="1"/>
    </row>
    <row r="71">
      <c r="A71" s="869" t="s">
        <v>70</v>
      </c>
      <c r="B71" s="870">
        <v>-16123503</v>
      </c>
      <c r="C71" s="870">
        <v>-18004832</v>
      </c>
      <c r="D71" s="870">
        <v>-15629088</v>
      </c>
      <c r="E71" s="870">
        <v>-14872390</v>
      </c>
      <c r="F71" s="870">
        <v>-14022320</v>
      </c>
      <c r="G71" s="7"/>
      <c r="H71" s="1"/>
      <c r="I71" s="1"/>
      <c r="J71" s="1"/>
      <c r="K71" s="1"/>
    </row>
    <row r="72">
      <c r="A72" s="869" t="s">
        <v>71</v>
      </c>
      <c r="B72" s="1"/>
      <c r="C72" s="1"/>
      <c r="D72" s="870">
        <v>-610919</v>
      </c>
      <c r="E72" s="870">
        <v>-595230</v>
      </c>
      <c r="F72" s="870">
        <v>-576580</v>
      </c>
      <c r="G72" s="7"/>
      <c r="H72" s="1"/>
      <c r="I72" s="1"/>
      <c r="J72" s="1"/>
      <c r="K72" s="1"/>
    </row>
    <row r="73">
      <c r="A73" s="869" t="s">
        <v>72</v>
      </c>
      <c r="B73" s="870">
        <v>0</v>
      </c>
      <c r="C73" s="870">
        <v>-287000</v>
      </c>
      <c r="D73" s="1"/>
      <c r="E73" s="1"/>
      <c r="F73" s="1"/>
      <c r="G73" s="7"/>
      <c r="H73" s="1"/>
      <c r="I73" s="1"/>
      <c r="J73" s="1"/>
      <c r="K73" s="1"/>
    </row>
    <row r="74">
      <c r="A74" s="869" t="s">
        <v>73</v>
      </c>
      <c r="B74" s="1"/>
      <c r="C74" s="1"/>
      <c r="D74" s="870">
        <v>0</v>
      </c>
      <c r="E74" s="870">
        <v>-7574542</v>
      </c>
      <c r="F74" s="870">
        <v>0</v>
      </c>
      <c r="G74" s="7"/>
      <c r="H74" s="1"/>
      <c r="I74" s="1"/>
      <c r="J74" s="1"/>
      <c r="K74" s="1"/>
    </row>
    <row r="75">
      <c r="A75" s="869" t="s">
        <v>74</v>
      </c>
      <c r="B75" s="870">
        <v>-10000000</v>
      </c>
      <c r="C75" s="1"/>
      <c r="D75" s="870">
        <v>0</v>
      </c>
      <c r="E75" s="870">
        <v>-7455458</v>
      </c>
      <c r="F75" s="870">
        <v>0</v>
      </c>
      <c r="G75" s="7"/>
      <c r="H75" s="1"/>
      <c r="I75" s="1"/>
      <c r="J75" s="1"/>
      <c r="K75" s="1"/>
    </row>
    <row r="76">
      <c r="A76" s="869" t="s">
        <v>75</v>
      </c>
      <c r="B76" s="870">
        <v>-126524</v>
      </c>
      <c r="C76" s="870">
        <v>-157732</v>
      </c>
      <c r="D76" s="870">
        <v>-192094</v>
      </c>
      <c r="E76" s="870">
        <v>-229888</v>
      </c>
      <c r="F76" s="870">
        <v>-271409</v>
      </c>
      <c r="G76" s="7"/>
      <c r="H76" s="1"/>
      <c r="I76" s="1"/>
      <c r="J76" s="1"/>
      <c r="K76" s="1"/>
    </row>
    <row r="77">
      <c r="A77" s="869" t="s">
        <v>50</v>
      </c>
      <c r="B77" s="870">
        <v>-114851</v>
      </c>
      <c r="C77" s="1"/>
      <c r="D77" s="1"/>
      <c r="E77" s="870">
        <v>0</v>
      </c>
      <c r="F77" s="870">
        <v>-3</v>
      </c>
      <c r="G77" s="7"/>
      <c r="H77" s="1"/>
      <c r="I77" s="1"/>
      <c r="J77" s="1"/>
      <c r="K77" s="1"/>
    </row>
    <row r="78">
      <c r="A78" s="805" t="s">
        <v>76</v>
      </c>
      <c r="B78" s="814">
        <v>-36367878</v>
      </c>
      <c r="C78" s="814">
        <v>-28598564</v>
      </c>
      <c r="D78" s="814">
        <v>-27688101</v>
      </c>
      <c r="E78" s="814">
        <v>-43576508</v>
      </c>
      <c r="F78" s="814">
        <v>-28866312</v>
      </c>
      <c r="G78" s="10"/>
      <c r="H78" s="2"/>
      <c r="I78" s="2"/>
      <c r="J78" s="2"/>
      <c r="K78" s="2"/>
    </row>
    <row r="79">
      <c r="A79" s="869" t="s">
        <v>77</v>
      </c>
      <c r="B79" s="870">
        <v>-9386299</v>
      </c>
      <c r="C79" s="870">
        <v>4694</v>
      </c>
      <c r="D79" s="870">
        <v>11906754</v>
      </c>
      <c r="E79" s="870">
        <v>-13278041</v>
      </c>
      <c r="F79" s="870">
        <v>1078436</v>
      </c>
      <c r="G79" s="7"/>
      <c r="H79" s="1"/>
      <c r="I79" s="1"/>
      <c r="J79" s="1"/>
      <c r="K79" s="1"/>
    </row>
    <row r="80">
      <c r="A80" s="869" t="s">
        <v>78</v>
      </c>
      <c r="B80" s="870">
        <v>14871800</v>
      </c>
      <c r="C80" s="870">
        <v>5485501</v>
      </c>
      <c r="D80" s="870">
        <v>5490195</v>
      </c>
      <c r="E80" s="870">
        <v>17396949</v>
      </c>
      <c r="F80" s="870">
        <v>4118908</v>
      </c>
      <c r="G80" s="7"/>
      <c r="H80" s="1"/>
      <c r="I80" s="1"/>
      <c r="J80" s="1"/>
      <c r="K80" s="1"/>
    </row>
    <row r="81">
      <c r="A81" s="805" t="s">
        <v>79</v>
      </c>
      <c r="B81" s="814">
        <v>5485501</v>
      </c>
      <c r="C81" s="814">
        <v>5490195</v>
      </c>
      <c r="D81" s="814">
        <v>17396949</v>
      </c>
      <c r="E81" s="814">
        <v>4118908</v>
      </c>
      <c r="F81" s="814">
        <v>5197344</v>
      </c>
      <c r="G81" s="10"/>
      <c r="H81" s="2"/>
      <c r="I81" s="2"/>
      <c r="J81" s="2"/>
      <c r="K81" s="2"/>
    </row>
    <row r="82">
      <c r="A82" s="8"/>
      <c r="B82" s="8"/>
      <c r="C82" s="8"/>
      <c r="D82" s="8"/>
      <c r="E82" s="8"/>
      <c r="F82" s="8"/>
      <c r="G82" s="9"/>
      <c r="H82" s="8"/>
      <c r="I82" s="8"/>
      <c r="J82" s="8"/>
      <c r="K82" s="8"/>
    </row>
  </sheetData>
</worksheet>
</file>

<file path=xl/worksheets/sheet2.xml><?xml version="1.0" encoding="utf-8"?>
<worksheet xmlns="http://schemas.openxmlformats.org/spreadsheetml/2006/main" xmlns:r="http://schemas.openxmlformats.org/officeDocument/2006/relationships">
  <dimension ref="A1:Q58"/>
  <sheetViews>
    <sheetView showGridLines="0" topLeftCell="A9"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803" t="s">
        <v>0</v>
      </c>
      <c r="B1" s="903"/>
      <c r="C1" s="903"/>
      <c r="D1" s="903"/>
      <c r="E1" s="903"/>
      <c r="F1" s="903"/>
      <c r="G1" s="909"/>
      <c r="H1" s="905"/>
      <c r="I1" s="905"/>
      <c r="J1" s="905"/>
      <c r="K1" s="905"/>
      <c r="L1" s="893"/>
      <c r="M1" s="893"/>
      <c r="N1" s="896"/>
      <c r="O1" s="893"/>
      <c r="P1" s="893"/>
      <c r="Q1" s="896"/>
    </row>
    <row r="2">
      <c r="A2" s="894"/>
      <c r="B2" s="894"/>
      <c r="C2" s="894"/>
      <c r="D2" s="894"/>
      <c r="E2" s="894"/>
      <c r="F2" s="894"/>
      <c r="G2" s="902"/>
      <c r="H2" s="894"/>
      <c r="I2" s="894"/>
      <c r="J2" s="894"/>
      <c r="K2" s="894"/>
      <c r="L2" s="893"/>
      <c r="M2" s="893"/>
      <c r="N2" s="896"/>
      <c r="O2" s="893"/>
      <c r="P2" s="893"/>
      <c r="Q2" s="896"/>
    </row>
    <row r="3">
      <c r="A3" s="869" t="s">
        <v>80</v>
      </c>
      <c r="G3" s="902"/>
      <c r="L3" s="893"/>
      <c r="M3" s="893"/>
      <c r="N3" s="896"/>
      <c r="O3" s="893"/>
      <c r="P3" s="893"/>
      <c r="Q3" s="896"/>
    </row>
    <row r="4">
      <c r="A4" s="869" t="s">
        <v>81</v>
      </c>
      <c r="G4" s="902"/>
      <c r="L4" s="893"/>
      <c r="M4" s="893"/>
      <c r="N4" s="896"/>
      <c r="O4" s="893"/>
      <c r="P4" s="893"/>
      <c r="Q4" s="896"/>
    </row>
    <row r="5">
      <c r="A5" s="869" t="s">
        <v>82</v>
      </c>
      <c r="B5" s="904"/>
      <c r="C5" s="665">
        <v>1</v>
      </c>
      <c r="D5" s="904"/>
      <c r="E5" s="904"/>
      <c r="F5" s="904"/>
      <c r="G5" s="900"/>
      <c r="H5" s="904"/>
      <c r="I5" s="904"/>
      <c r="J5" s="904"/>
      <c r="K5" s="904"/>
      <c r="L5" s="893"/>
      <c r="M5" s="869" t="s">
        <v>83</v>
      </c>
      <c r="N5" s="874" t="s">
        <v>84</v>
      </c>
      <c r="O5" s="893"/>
      <c r="P5" s="893"/>
      <c r="Q5" s="874" t="s">
        <v>85</v>
      </c>
    </row>
    <row r="6">
      <c r="A6" s="869" t="s">
        <v>86</v>
      </c>
      <c r="B6" s="895"/>
      <c r="C6" s="873" t="str">
        <f>CHOOSE($C$5,"Base","Bull","Bear")</f>
        <v>Base</v>
      </c>
      <c r="D6" s="895"/>
      <c r="E6" s="895"/>
      <c r="F6" s="895"/>
      <c r="G6" s="908"/>
      <c r="H6" s="895"/>
      <c r="I6" s="895"/>
      <c r="J6" s="895"/>
      <c r="K6" s="895"/>
      <c r="L6" s="893"/>
      <c r="M6" s="869" t="s">
        <v>87</v>
      </c>
      <c r="N6" s="874" t="s">
        <v>84</v>
      </c>
      <c r="O6" s="893"/>
      <c r="P6" s="893"/>
      <c r="Q6" s="874" t="s">
        <v>88</v>
      </c>
    </row>
    <row r="7">
      <c r="A7" s="894"/>
      <c r="B7" s="894"/>
      <c r="C7" s="894"/>
      <c r="D7" s="894"/>
      <c r="E7" s="894"/>
      <c r="F7" s="894"/>
      <c r="G7" s="902"/>
      <c r="H7" s="894"/>
      <c r="I7" s="894"/>
      <c r="J7" s="894"/>
      <c r="K7" s="894"/>
      <c r="L7" s="893"/>
      <c r="M7" s="893"/>
      <c r="N7" s="896"/>
      <c r="O7" s="893"/>
      <c r="P7" s="893"/>
      <c r="Q7" s="896"/>
    </row>
    <row r="8">
      <c r="A8" s="803" t="s">
        <v>3</v>
      </c>
      <c r="B8" s="884" t="s">
        <v>4</v>
      </c>
      <c r="C8" s="884" t="s">
        <v>5</v>
      </c>
      <c r="D8" s="884" t="s">
        <v>6</v>
      </c>
      <c r="E8" s="884" t="s">
        <v>7</v>
      </c>
      <c r="F8" s="884" t="s">
        <v>8</v>
      </c>
      <c r="G8" s="892" t="s">
        <v>9</v>
      </c>
      <c r="H8" s="887" t="s">
        <v>10</v>
      </c>
      <c r="I8" s="887" t="s">
        <v>11</v>
      </c>
      <c r="J8" s="887" t="s">
        <v>12</v>
      </c>
      <c r="K8" s="887" t="s">
        <v>13</v>
      </c>
      <c r="L8" s="893"/>
      <c r="M8" s="782" t="s">
        <v>89</v>
      </c>
      <c r="N8" s="782" t="s">
        <v>90</v>
      </c>
      <c r="O8" s="893"/>
      <c r="P8" s="893"/>
      <c r="Q8" s="782" t="s">
        <v>91</v>
      </c>
    </row>
    <row r="9">
      <c r="A9" s="894"/>
      <c r="B9" s="894"/>
      <c r="C9" s="894"/>
      <c r="D9" s="894"/>
      <c r="E9" s="894"/>
      <c r="F9" s="894"/>
      <c r="G9" s="902"/>
      <c r="H9" s="894"/>
      <c r="I9" s="894"/>
      <c r="J9" s="894"/>
      <c r="K9" s="894"/>
      <c r="L9" s="893"/>
      <c r="M9" s="893"/>
      <c r="N9" s="896"/>
      <c r="O9" s="893"/>
      <c r="P9" s="893"/>
      <c r="Q9" s="896"/>
    </row>
    <row r="10">
      <c r="A10" s="803" t="s">
        <v>92</v>
      </c>
      <c r="B10" s="901"/>
      <c r="C10" s="901"/>
      <c r="D10" s="901"/>
      <c r="E10" s="901"/>
      <c r="F10" s="901"/>
      <c r="G10" s="906"/>
      <c r="H10" s="898"/>
      <c r="I10" s="898"/>
      <c r="J10" s="898"/>
      <c r="K10" s="898"/>
      <c r="L10" s="893"/>
      <c r="M10" s="893"/>
      <c r="N10" s="893"/>
      <c r="O10" s="893"/>
      <c r="P10" s="893"/>
      <c r="Q10" s="893"/>
    </row>
    <row r="11">
      <c r="A11" s="869" t="s">
        <v>93</v>
      </c>
      <c r="B11" s="804">
        <v>0.2304</v>
      </c>
      <c r="C11" s="804">
        <v>0.2028</v>
      </c>
      <c r="D11" s="804">
        <v>0.2838</v>
      </c>
      <c r="E11" s="804">
        <v>0.2147</v>
      </c>
      <c r="F11" s="804">
        <v>0.2243</v>
      </c>
      <c r="G11" s="811">
        <f>CHOOSE($C$5,G13,G14,G12)</f>
        <v>0.215</v>
      </c>
      <c r="H11" s="879">
        <f>CHOOSE($C$5,H13,H14,H12)</f>
        <v>0.215</v>
      </c>
      <c r="I11" s="879">
        <f>CHOOSE($C$5,I13,I14,I12)</f>
        <v>0.215</v>
      </c>
      <c r="J11" s="879">
        <f>CHOOSE($C$5,J13,J14,J12)</f>
        <v>0.21</v>
      </c>
      <c r="K11" s="879">
        <f>CHOOSE($C$5,K13,K14,K12)</f>
        <v>0.21</v>
      </c>
      <c r="L11" s="893"/>
      <c r="M11" s="869" t="s">
        <v>94</v>
      </c>
      <c r="N11" s="874" t="s">
        <v>95</v>
      </c>
      <c r="O11" s="893"/>
      <c r="P11" s="893"/>
      <c r="Q11" s="874" t="s">
        <v>88</v>
      </c>
    </row>
    <row r="12">
      <c r="A12" s="869" t="s">
        <v>96</v>
      </c>
      <c r="B12" s="899"/>
      <c r="C12" s="899"/>
      <c r="D12" s="899"/>
      <c r="E12" s="899"/>
      <c r="F12" s="899"/>
      <c r="G12" s="791">
        <v>0.195</v>
      </c>
      <c r="H12" s="838">
        <v>0.195</v>
      </c>
      <c r="I12" s="838">
        <v>0.195</v>
      </c>
      <c r="J12" s="838">
        <v>0.195</v>
      </c>
      <c r="K12" s="838">
        <v>0.19</v>
      </c>
      <c r="L12" s="893"/>
      <c r="M12" s="869" t="s">
        <v>94</v>
      </c>
      <c r="N12" s="874" t="s">
        <v>95</v>
      </c>
      <c r="O12" s="893"/>
      <c r="P12" s="893"/>
      <c r="Q12" s="874" t="s">
        <v>97</v>
      </c>
    </row>
    <row r="13">
      <c r="A13" s="869" t="s">
        <v>98</v>
      </c>
      <c r="B13" s="899"/>
      <c r="C13" s="899"/>
      <c r="D13" s="899"/>
      <c r="E13" s="899"/>
      <c r="F13" s="899"/>
      <c r="G13" s="791">
        <v>0.215</v>
      </c>
      <c r="H13" s="838">
        <v>0.215</v>
      </c>
      <c r="I13" s="838">
        <v>0.215</v>
      </c>
      <c r="J13" s="838">
        <v>0.21</v>
      </c>
      <c r="K13" s="838">
        <v>0.21</v>
      </c>
      <c r="L13" s="893"/>
      <c r="M13" s="869" t="s">
        <v>94</v>
      </c>
      <c r="N13" s="874" t="s">
        <v>95</v>
      </c>
      <c r="O13" s="893"/>
      <c r="P13" s="893"/>
      <c r="Q13" s="874" t="s">
        <v>97</v>
      </c>
    </row>
    <row r="14">
      <c r="A14" s="869" t="s">
        <v>99</v>
      </c>
      <c r="B14" s="899"/>
      <c r="C14" s="899"/>
      <c r="D14" s="899"/>
      <c r="E14" s="899"/>
      <c r="F14" s="899"/>
      <c r="G14" s="791">
        <v>0.245</v>
      </c>
      <c r="H14" s="838">
        <v>0.245</v>
      </c>
      <c r="I14" s="838">
        <v>0.245</v>
      </c>
      <c r="J14" s="838">
        <v>0.24</v>
      </c>
      <c r="K14" s="838">
        <v>0.24</v>
      </c>
      <c r="L14" s="893"/>
      <c r="M14" s="869" t="s">
        <v>94</v>
      </c>
      <c r="N14" s="874" t="s">
        <v>95</v>
      </c>
      <c r="O14" s="893"/>
      <c r="P14" s="893"/>
      <c r="Q14" s="874" t="s">
        <v>97</v>
      </c>
    </row>
    <row r="15">
      <c r="A15" s="869" t="s">
        <v>100</v>
      </c>
      <c r="B15" s="838">
        <v>0.9381</v>
      </c>
      <c r="C15" s="838">
        <v>0.957</v>
      </c>
      <c r="D15" s="838">
        <v>0.9337</v>
      </c>
      <c r="E15" s="838">
        <v>0.9366</v>
      </c>
      <c r="F15" s="838">
        <v>0.9597</v>
      </c>
      <c r="G15" s="791">
        <v>0.96</v>
      </c>
      <c r="H15" s="838">
        <v>0.96</v>
      </c>
      <c r="I15" s="838">
        <v>0.96</v>
      </c>
      <c r="J15" s="838">
        <v>0.96</v>
      </c>
      <c r="K15" s="838">
        <v>0.96</v>
      </c>
      <c r="L15" s="893"/>
      <c r="M15" s="869" t="s">
        <v>94</v>
      </c>
      <c r="N15" s="874" t="s">
        <v>95</v>
      </c>
      <c r="O15" s="893"/>
      <c r="P15" s="893"/>
      <c r="Q15" s="874" t="s">
        <v>85</v>
      </c>
    </row>
    <row r="16">
      <c r="A16" s="869" t="s">
        <v>101</v>
      </c>
      <c r="B16" s="882">
        <v>8760</v>
      </c>
      <c r="C16" s="882">
        <v>8760</v>
      </c>
      <c r="D16" s="882">
        <v>8760</v>
      </c>
      <c r="E16" s="882">
        <v>8784</v>
      </c>
      <c r="F16" s="882">
        <v>8760</v>
      </c>
      <c r="G16" s="815">
        <v>8760</v>
      </c>
      <c r="H16" s="882">
        <v>8760</v>
      </c>
      <c r="I16" s="882">
        <v>8760</v>
      </c>
      <c r="J16" s="882">
        <v>8760</v>
      </c>
      <c r="K16" s="882">
        <v>8760</v>
      </c>
      <c r="L16" s="893"/>
      <c r="M16" s="869" t="s">
        <v>102</v>
      </c>
      <c r="N16" s="874" t="s">
        <v>95</v>
      </c>
      <c r="O16" s="893"/>
      <c r="P16" s="893"/>
      <c r="Q16" s="874" t="s">
        <v>85</v>
      </c>
    </row>
    <row r="17">
      <c r="A17" s="869" t="s">
        <v>103</v>
      </c>
      <c r="B17" s="895"/>
      <c r="C17" s="895"/>
      <c r="D17" s="895"/>
      <c r="E17" s="895"/>
      <c r="F17" s="895"/>
      <c r="G17" s="891">
        <f>62.5*G16*G11</f>
        <v>117712.5</v>
      </c>
      <c r="H17" s="873">
        <f>62.5*H16*H11</f>
        <v>117712.5</v>
      </c>
      <c r="I17" s="873">
        <f>62.5*I16*I11</f>
        <v>117712.5</v>
      </c>
      <c r="J17" s="873">
        <f>62.5*J16*J11</f>
        <v>114975</v>
      </c>
      <c r="K17" s="873">
        <f>62.5*K16*K11</f>
        <v>114975</v>
      </c>
      <c r="L17" s="893"/>
      <c r="M17" s="869" t="s">
        <v>104</v>
      </c>
      <c r="N17" s="874" t="s">
        <v>95</v>
      </c>
      <c r="O17" s="893"/>
      <c r="P17" s="893"/>
      <c r="Q17" s="874" t="s">
        <v>105</v>
      </c>
    </row>
    <row r="18">
      <c r="A18" s="869" t="s">
        <v>106</v>
      </c>
      <c r="B18" s="895"/>
      <c r="C18" s="895"/>
      <c r="D18" s="895"/>
      <c r="E18" s="895"/>
      <c r="F18" s="895"/>
      <c r="G18" s="891">
        <f>52.5*G16*G11</f>
        <v>98878.5</v>
      </c>
      <c r="H18" s="873">
        <f>52.5*H16*H11</f>
        <v>98878.5</v>
      </c>
      <c r="I18" s="873">
        <f>52.5*I16*I11</f>
        <v>98878.5</v>
      </c>
      <c r="J18" s="873">
        <f>52.5*J16*J11</f>
        <v>96579</v>
      </c>
      <c r="K18" s="873">
        <f>52.5*K16*K11</f>
        <v>96579</v>
      </c>
      <c r="L18" s="893"/>
      <c r="M18" s="869" t="s">
        <v>104</v>
      </c>
      <c r="N18" s="874" t="s">
        <v>95</v>
      </c>
      <c r="O18" s="893"/>
      <c r="P18" s="893"/>
      <c r="Q18" s="874" t="s">
        <v>105</v>
      </c>
    </row>
    <row r="19">
      <c r="A19" s="869" t="s">
        <v>107</v>
      </c>
      <c r="B19" s="895"/>
      <c r="C19" s="895"/>
      <c r="D19" s="895"/>
      <c r="E19" s="895"/>
      <c r="F19" s="895"/>
      <c r="G19" s="891">
        <f>50*G16*G11</f>
        <v>94170</v>
      </c>
      <c r="H19" s="873">
        <f>50*H16*H11</f>
        <v>94170</v>
      </c>
      <c r="I19" s="873">
        <f>50*I16*I11</f>
        <v>94170</v>
      </c>
      <c r="J19" s="873">
        <f>50*J16*J11</f>
        <v>91980</v>
      </c>
      <c r="K19" s="873">
        <f>50*K16*K11</f>
        <v>91980</v>
      </c>
      <c r="L19" s="893"/>
      <c r="M19" s="869" t="s">
        <v>104</v>
      </c>
      <c r="N19" s="874" t="s">
        <v>95</v>
      </c>
      <c r="O19" s="893"/>
      <c r="P19" s="893"/>
      <c r="Q19" s="874" t="s">
        <v>105</v>
      </c>
    </row>
    <row r="20">
      <c r="A20" s="869" t="s">
        <v>108</v>
      </c>
      <c r="B20" s="895"/>
      <c r="C20" s="895"/>
      <c r="D20" s="895"/>
      <c r="E20" s="895"/>
      <c r="F20" s="895"/>
      <c r="G20" s="891">
        <f>17.5*G16*G11</f>
        <v>32959.5</v>
      </c>
      <c r="H20" s="873">
        <f>17.5*H16*H11</f>
        <v>32959.5</v>
      </c>
      <c r="I20" s="873">
        <f>17.5*I16*I11</f>
        <v>32959.5</v>
      </c>
      <c r="J20" s="873">
        <f>17.5*J16*J11</f>
        <v>32193</v>
      </c>
      <c r="K20" s="873">
        <f>17.5*K16*K11</f>
        <v>32193</v>
      </c>
      <c r="L20" s="893"/>
      <c r="M20" s="869" t="s">
        <v>104</v>
      </c>
      <c r="N20" s="874" t="s">
        <v>95</v>
      </c>
      <c r="O20" s="893"/>
      <c r="P20" s="893"/>
      <c r="Q20" s="874" t="s">
        <v>105</v>
      </c>
    </row>
    <row r="21">
      <c r="A21" s="869" t="s">
        <v>109</v>
      </c>
      <c r="B21" s="895"/>
      <c r="C21" s="895"/>
      <c r="D21" s="895"/>
      <c r="E21" s="895"/>
      <c r="F21" s="895"/>
      <c r="G21" s="891">
        <f>32.5*G16*G11</f>
        <v>61210.5</v>
      </c>
      <c r="H21" s="873">
        <f>32.5*H16*H11</f>
        <v>61210.5</v>
      </c>
      <c r="I21" s="873">
        <f>32.5*I16*I11</f>
        <v>61210.5</v>
      </c>
      <c r="J21" s="873">
        <f>32.5*J16*J11</f>
        <v>59787</v>
      </c>
      <c r="K21" s="873">
        <f>32.5*K16*K11</f>
        <v>59787</v>
      </c>
      <c r="L21" s="893"/>
      <c r="M21" s="869" t="s">
        <v>104</v>
      </c>
      <c r="N21" s="874" t="s">
        <v>95</v>
      </c>
      <c r="O21" s="893"/>
      <c r="P21" s="893"/>
      <c r="Q21" s="874" t="s">
        <v>105</v>
      </c>
    </row>
    <row r="22">
      <c r="A22" s="805" t="s">
        <v>110</v>
      </c>
      <c r="B22" s="814">
        <v>433950</v>
      </c>
      <c r="C22" s="814">
        <v>381870</v>
      </c>
      <c r="D22" s="814">
        <v>534600</v>
      </c>
      <c r="E22" s="814">
        <v>405420</v>
      </c>
      <c r="F22" s="814">
        <v>422370</v>
      </c>
      <c r="G22" s="802">
        <f>G17+G18+G19+G20+G21</f>
        <v>404931</v>
      </c>
      <c r="H22" s="889">
        <f>H17+H18+H19+H20+H21</f>
        <v>404931</v>
      </c>
      <c r="I22" s="889">
        <f>I17+I18+I19+I20+I21</f>
        <v>404931</v>
      </c>
      <c r="J22" s="889">
        <f>J17+J18+J19+J20+J21</f>
        <v>395514</v>
      </c>
      <c r="K22" s="889">
        <f>K17+K18+K19+K20+K21</f>
        <v>395514</v>
      </c>
      <c r="L22" s="893"/>
      <c r="M22" s="869" t="s">
        <v>111</v>
      </c>
      <c r="N22" s="874" t="s">
        <v>95</v>
      </c>
      <c r="O22" s="893"/>
      <c r="P22" s="893"/>
      <c r="Q22" s="874" t="s">
        <v>112</v>
      </c>
    </row>
    <row r="23">
      <c r="A23" s="894"/>
      <c r="B23" s="894"/>
      <c r="C23" s="894"/>
      <c r="D23" s="894"/>
      <c r="E23" s="894"/>
      <c r="F23" s="894"/>
      <c r="G23" s="902"/>
      <c r="H23" s="894"/>
      <c r="I23" s="894"/>
      <c r="J23" s="894"/>
      <c r="K23" s="894"/>
      <c r="L23" s="893"/>
      <c r="M23" s="893"/>
      <c r="N23" s="896"/>
      <c r="O23" s="893"/>
      <c r="P23" s="893"/>
      <c r="Q23" s="896"/>
    </row>
    <row r="24">
      <c r="A24" s="803" t="s">
        <v>113</v>
      </c>
      <c r="B24" s="901"/>
      <c r="C24" s="901"/>
      <c r="D24" s="901"/>
      <c r="E24" s="901"/>
      <c r="F24" s="901"/>
      <c r="G24" s="906"/>
      <c r="H24" s="898"/>
      <c r="I24" s="898"/>
      <c r="J24" s="898"/>
      <c r="K24" s="898"/>
      <c r="L24" s="893"/>
      <c r="M24" s="893"/>
      <c r="N24" s="893"/>
      <c r="O24" s="893"/>
      <c r="P24" s="893"/>
      <c r="Q24" s="893"/>
    </row>
    <row r="25">
      <c r="A25" s="869" t="s">
        <v>114</v>
      </c>
      <c r="B25" s="897"/>
      <c r="C25" s="897"/>
      <c r="D25" s="897"/>
      <c r="E25" s="897"/>
      <c r="F25" s="897"/>
      <c r="G25" s="795">
        <v>112.359</v>
      </c>
      <c r="H25" s="792">
        <v>112.921</v>
      </c>
      <c r="I25" s="792">
        <v>113.485</v>
      </c>
      <c r="J25" s="792">
        <v>114.053</v>
      </c>
      <c r="K25" s="792">
        <v>114.623</v>
      </c>
      <c r="L25" s="893"/>
      <c r="M25" s="869" t="s">
        <v>111</v>
      </c>
      <c r="N25" s="874" t="s">
        <v>95</v>
      </c>
      <c r="O25" s="893"/>
      <c r="P25" s="893"/>
      <c r="Q25" s="874" t="s">
        <v>85</v>
      </c>
    </row>
    <row r="26">
      <c r="A26" s="869" t="s">
        <v>115</v>
      </c>
      <c r="B26" s="835">
        <v>74.16</v>
      </c>
      <c r="C26" s="835">
        <v>148.76</v>
      </c>
      <c r="D26" s="835">
        <v>112.45</v>
      </c>
      <c r="E26" s="835">
        <v>133.91</v>
      </c>
      <c r="F26" s="835">
        <v>66.44</v>
      </c>
      <c r="G26" s="816">
        <f>CHOOSE($C$5,G28,G29,G27)</f>
        <v>60</v>
      </c>
      <c r="H26" s="875">
        <f>CHOOSE($C$5,H28,H29,H27)</f>
        <v>57</v>
      </c>
      <c r="I26" s="875">
        <f>CHOOSE($C$5,I28,I29,I27)</f>
        <v>54</v>
      </c>
      <c r="J26" s="875">
        <f>CHOOSE($C$5,J28,J29,J27)</f>
        <v>51</v>
      </c>
      <c r="K26" s="875">
        <f>CHOOSE($C$5,K28,K29,K27)</f>
        <v>50</v>
      </c>
      <c r="L26" s="893"/>
      <c r="M26" s="869" t="s">
        <v>111</v>
      </c>
      <c r="N26" s="874" t="s">
        <v>95</v>
      </c>
      <c r="O26" s="893"/>
      <c r="P26" s="893"/>
      <c r="Q26" s="874" t="s">
        <v>88</v>
      </c>
    </row>
    <row r="27">
      <c r="A27" s="869" t="s">
        <v>96</v>
      </c>
      <c r="B27" s="897"/>
      <c r="C27" s="897"/>
      <c r="D27" s="897"/>
      <c r="E27" s="897"/>
      <c r="F27" s="897"/>
      <c r="G27" s="795">
        <v>50</v>
      </c>
      <c r="H27" s="792">
        <v>47</v>
      </c>
      <c r="I27" s="792">
        <v>44</v>
      </c>
      <c r="J27" s="792">
        <v>41</v>
      </c>
      <c r="K27" s="792">
        <v>40</v>
      </c>
      <c r="L27" s="893"/>
      <c r="M27" s="869" t="s">
        <v>87</v>
      </c>
      <c r="N27" s="874" t="s">
        <v>95</v>
      </c>
      <c r="O27" s="893"/>
      <c r="P27" s="893"/>
      <c r="Q27" s="874" t="s">
        <v>97</v>
      </c>
    </row>
    <row r="28">
      <c r="A28" s="869" t="s">
        <v>98</v>
      </c>
      <c r="B28" s="897"/>
      <c r="C28" s="897"/>
      <c r="D28" s="897"/>
      <c r="E28" s="897"/>
      <c r="F28" s="897"/>
      <c r="G28" s="795">
        <v>60</v>
      </c>
      <c r="H28" s="792">
        <v>57</v>
      </c>
      <c r="I28" s="792">
        <v>54</v>
      </c>
      <c r="J28" s="792">
        <v>51</v>
      </c>
      <c r="K28" s="792">
        <v>50</v>
      </c>
      <c r="L28" s="893"/>
      <c r="M28" s="869" t="s">
        <v>87</v>
      </c>
      <c r="N28" s="874" t="s">
        <v>95</v>
      </c>
      <c r="O28" s="893"/>
      <c r="P28" s="893"/>
      <c r="Q28" s="874" t="s">
        <v>97</v>
      </c>
    </row>
    <row r="29">
      <c r="A29" s="869" t="s">
        <v>99</v>
      </c>
      <c r="B29" s="897"/>
      <c r="C29" s="897"/>
      <c r="D29" s="897"/>
      <c r="E29" s="897"/>
      <c r="F29" s="897"/>
      <c r="G29" s="795">
        <v>70</v>
      </c>
      <c r="H29" s="792">
        <v>67</v>
      </c>
      <c r="I29" s="792">
        <v>64</v>
      </c>
      <c r="J29" s="792">
        <v>61</v>
      </c>
      <c r="K29" s="792">
        <v>60</v>
      </c>
      <c r="L29" s="893"/>
      <c r="M29" s="869" t="s">
        <v>87</v>
      </c>
      <c r="N29" s="874" t="s">
        <v>95</v>
      </c>
      <c r="O29" s="893"/>
      <c r="P29" s="893"/>
      <c r="Q29" s="874" t="s">
        <v>97</v>
      </c>
    </row>
    <row r="30">
      <c r="A30" s="869" t="s">
        <v>116</v>
      </c>
      <c r="B30" s="897"/>
      <c r="C30" s="897"/>
      <c r="D30" s="897"/>
      <c r="E30" s="897"/>
      <c r="F30" s="897"/>
      <c r="G30" s="795">
        <v>73.3</v>
      </c>
      <c r="H30" s="792">
        <v>73.3</v>
      </c>
      <c r="I30" s="792">
        <v>73.3</v>
      </c>
      <c r="J30" s="792">
        <v>73.3</v>
      </c>
      <c r="K30" s="792">
        <v>73.3</v>
      </c>
      <c r="L30" s="893"/>
      <c r="M30" s="869" t="s">
        <v>111</v>
      </c>
      <c r="N30" s="874" t="s">
        <v>95</v>
      </c>
      <c r="O30" s="893"/>
      <c r="P30" s="893"/>
      <c r="Q30" s="874" t="s">
        <v>85</v>
      </c>
    </row>
    <row r="31">
      <c r="A31" s="894"/>
      <c r="B31" s="894"/>
      <c r="C31" s="894"/>
      <c r="D31" s="894"/>
      <c r="E31" s="894"/>
      <c r="F31" s="894"/>
      <c r="G31" s="902"/>
      <c r="H31" s="894"/>
      <c r="I31" s="894"/>
      <c r="J31" s="894"/>
      <c r="K31" s="894"/>
      <c r="L31" s="893"/>
      <c r="M31" s="893"/>
      <c r="N31" s="896"/>
      <c r="O31" s="893"/>
      <c r="P31" s="893"/>
      <c r="Q31" s="896"/>
    </row>
    <row r="32">
      <c r="A32" s="803" t="s">
        <v>117</v>
      </c>
      <c r="B32" s="901"/>
      <c r="C32" s="901"/>
      <c r="D32" s="901"/>
      <c r="E32" s="901"/>
      <c r="F32" s="901"/>
      <c r="G32" s="906"/>
      <c r="H32" s="898"/>
      <c r="I32" s="898"/>
      <c r="J32" s="898"/>
      <c r="K32" s="898"/>
      <c r="L32" s="893"/>
      <c r="M32" s="893"/>
      <c r="N32" s="893"/>
      <c r="O32" s="893"/>
      <c r="P32" s="893"/>
      <c r="Q32" s="893"/>
    </row>
    <row r="33">
      <c r="A33" s="869" t="s">
        <v>118</v>
      </c>
      <c r="B33" s="870">
        <v>337870</v>
      </c>
      <c r="C33" s="870">
        <v>299330</v>
      </c>
      <c r="D33" s="870">
        <v>418780</v>
      </c>
      <c r="E33" s="870">
        <v>320080</v>
      </c>
      <c r="F33" s="870">
        <v>347300</v>
      </c>
      <c r="G33" s="891">
        <f>1*G17+1*G18+1*G20+1*G21</f>
        <v>310761</v>
      </c>
      <c r="H33" s="873">
        <f>1*H17+1*H18+1*H20+1*H21</f>
        <v>310761</v>
      </c>
      <c r="I33" s="873">
        <f>1*I17+1*I18+1*I20+1*I21</f>
        <v>310761</v>
      </c>
      <c r="J33" s="873">
        <f>0.5*J17+0.5*J18+1*J20+1*J21</f>
        <v>197757</v>
      </c>
      <c r="K33" s="873">
        <f>1*K20+1*K21</f>
        <v>91980</v>
      </c>
      <c r="L33" s="893"/>
      <c r="M33" s="869" t="s">
        <v>111</v>
      </c>
      <c r="N33" s="874" t="s">
        <v>95</v>
      </c>
      <c r="O33" s="893"/>
      <c r="P33" s="893"/>
      <c r="Q33" s="874" t="s">
        <v>105</v>
      </c>
    </row>
    <row r="34">
      <c r="A34" s="869" t="s">
        <v>119</v>
      </c>
      <c r="B34" s="882">
        <v>27870</v>
      </c>
      <c r="C34" s="882">
        <v>24710</v>
      </c>
      <c r="D34" s="882">
        <v>43220</v>
      </c>
      <c r="E34" s="882">
        <v>34000</v>
      </c>
      <c r="F34" s="882">
        <v>38160</v>
      </c>
      <c r="G34" s="815">
        <v>34000</v>
      </c>
      <c r="H34" s="882">
        <v>34000</v>
      </c>
      <c r="I34" s="882">
        <v>34000</v>
      </c>
      <c r="J34" s="882">
        <v>34000</v>
      </c>
      <c r="K34" s="882">
        <v>34000</v>
      </c>
      <c r="L34" s="893"/>
      <c r="M34" s="869" t="s">
        <v>111</v>
      </c>
      <c r="N34" s="874" t="s">
        <v>95</v>
      </c>
      <c r="O34" s="893"/>
      <c r="P34" s="893"/>
      <c r="Q34" s="874" t="s">
        <v>85</v>
      </c>
    </row>
    <row r="35">
      <c r="A35" s="869" t="s">
        <v>120</v>
      </c>
      <c r="B35" s="870">
        <v>56140</v>
      </c>
      <c r="C35" s="870">
        <v>49820</v>
      </c>
      <c r="D35" s="870">
        <v>61470</v>
      </c>
      <c r="E35" s="870">
        <v>42710</v>
      </c>
      <c r="F35" s="870">
        <v>26840</v>
      </c>
      <c r="G35" s="891">
        <f>MAX(0,G22-G33-G34)</f>
        <v>60170</v>
      </c>
      <c r="H35" s="873">
        <f>MAX(0,H22-H33-H34)</f>
        <v>60170</v>
      </c>
      <c r="I35" s="873">
        <f>MAX(0,I22-I33-I34)</f>
        <v>60170</v>
      </c>
      <c r="J35" s="873">
        <f>MAX(0,J22-J33-J34)</f>
        <v>163757</v>
      </c>
      <c r="K35" s="873">
        <f>MAX(0,K22-K33-K34)</f>
        <v>269534</v>
      </c>
      <c r="L35" s="893"/>
      <c r="M35" s="869" t="s">
        <v>111</v>
      </c>
      <c r="N35" s="874" t="s">
        <v>95</v>
      </c>
      <c r="O35" s="893"/>
      <c r="P35" s="893"/>
      <c r="Q35" s="874" t="s">
        <v>105</v>
      </c>
    </row>
    <row r="36">
      <c r="A36" s="894"/>
      <c r="B36" s="894"/>
      <c r="C36" s="894"/>
      <c r="D36" s="894"/>
      <c r="E36" s="894"/>
      <c r="F36" s="894"/>
      <c r="G36" s="902"/>
      <c r="H36" s="894"/>
      <c r="I36" s="894"/>
      <c r="J36" s="894"/>
      <c r="K36" s="894"/>
      <c r="L36" s="893"/>
      <c r="M36" s="893"/>
      <c r="N36" s="896"/>
      <c r="O36" s="893"/>
      <c r="P36" s="893"/>
      <c r="Q36" s="896"/>
    </row>
    <row r="37">
      <c r="A37" s="803" t="s">
        <v>121</v>
      </c>
      <c r="B37" s="901"/>
      <c r="C37" s="901"/>
      <c r="D37" s="901"/>
      <c r="E37" s="901"/>
      <c r="F37" s="901"/>
      <c r="G37" s="906"/>
      <c r="H37" s="898"/>
      <c r="I37" s="898"/>
      <c r="J37" s="898"/>
      <c r="K37" s="898"/>
      <c r="L37" s="893"/>
      <c r="M37" s="893"/>
      <c r="N37" s="893"/>
      <c r="O37" s="893"/>
      <c r="P37" s="893"/>
      <c r="Q37" s="893"/>
    </row>
    <row r="38">
      <c r="A38" s="869" t="s">
        <v>122</v>
      </c>
      <c r="B38" s="890">
        <f>EEFF!B7</f>
        <v>42036085</v>
      </c>
      <c r="C38" s="890">
        <f>EEFF!C7</f>
        <v>40987418</v>
      </c>
      <c r="D38" s="890">
        <f>EEFF!D7</f>
        <v>54587421</v>
      </c>
      <c r="E38" s="890">
        <f>EEFF!E7</f>
        <v>42653811</v>
      </c>
      <c r="F38" s="890">
        <f>EEFF!F7</f>
        <v>42404701</v>
      </c>
      <c r="G38" s="908"/>
      <c r="H38" s="895"/>
      <c r="I38" s="895"/>
      <c r="J38" s="895"/>
      <c r="K38" s="895"/>
      <c r="L38" s="893"/>
      <c r="M38" s="869" t="s">
        <v>111</v>
      </c>
      <c r="N38" s="874" t="s">
        <v>123</v>
      </c>
      <c r="O38" s="893"/>
      <c r="P38" s="893"/>
      <c r="Q38" s="874" t="s">
        <v>124</v>
      </c>
    </row>
    <row r="39">
      <c r="A39" s="869" t="s">
        <v>125</v>
      </c>
      <c r="B39" s="895"/>
      <c r="C39" s="895"/>
      <c r="D39" s="895"/>
      <c r="E39" s="895"/>
      <c r="F39" s="895"/>
      <c r="G39" s="891">
        <f>G33*G25</f>
        <v>34916795.199</v>
      </c>
      <c r="H39" s="873">
        <f>H33*H25</f>
        <v>35091442.881000005</v>
      </c>
      <c r="I39" s="873">
        <f>I33*I25</f>
        <v>35266712.085</v>
      </c>
      <c r="J39" s="873">
        <f>J33*J25</f>
        <v>22554779.121</v>
      </c>
      <c r="K39" s="873">
        <f>K33*K25</f>
        <v>10543023.540000001</v>
      </c>
      <c r="L39" s="893"/>
      <c r="M39" s="869" t="s">
        <v>87</v>
      </c>
      <c r="N39" s="874" t="s">
        <v>95</v>
      </c>
      <c r="O39" s="893"/>
      <c r="P39" s="893"/>
      <c r="Q39" s="874" t="s">
        <v>105</v>
      </c>
    </row>
    <row r="40">
      <c r="A40" s="869" t="s">
        <v>126</v>
      </c>
      <c r="B40" s="870">
        <v>1819919</v>
      </c>
      <c r="C40" s="870">
        <v>1613353</v>
      </c>
      <c r="D40" s="870">
        <v>2822042</v>
      </c>
      <c r="E40" s="870">
        <v>2220153</v>
      </c>
      <c r="F40" s="870">
        <v>2492069</v>
      </c>
      <c r="G40" s="891">
        <f>G34*G30</f>
        <v>2492200</v>
      </c>
      <c r="H40" s="873">
        <f>H34*H30</f>
        <v>2492200</v>
      </c>
      <c r="I40" s="873">
        <f>I34*I30</f>
        <v>2492200</v>
      </c>
      <c r="J40" s="873">
        <f>J34*J30</f>
        <v>2492200</v>
      </c>
      <c r="K40" s="873">
        <f>K34*K30</f>
        <v>2492200</v>
      </c>
      <c r="L40" s="893"/>
      <c r="M40" s="869" t="s">
        <v>87</v>
      </c>
      <c r="N40" s="874" t="s">
        <v>95</v>
      </c>
      <c r="O40" s="893"/>
      <c r="P40" s="893"/>
      <c r="Q40" s="874" t="s">
        <v>105</v>
      </c>
    </row>
    <row r="41">
      <c r="A41" s="869" t="s">
        <v>127</v>
      </c>
      <c r="B41" s="873">
        <f>B35*B26</f>
        <v>4163342.4</v>
      </c>
      <c r="C41" s="873">
        <f>C35*C26</f>
        <v>7411223.199999999</v>
      </c>
      <c r="D41" s="873">
        <f>D35*D26</f>
        <v>6912301.5</v>
      </c>
      <c r="E41" s="873">
        <f>E35*E26</f>
        <v>5719296.1</v>
      </c>
      <c r="F41" s="873">
        <f>F35*F26</f>
        <v>1783249.5999999999</v>
      </c>
      <c r="G41" s="891">
        <f>G35*G26</f>
        <v>3610200</v>
      </c>
      <c r="H41" s="873">
        <f>H35*H26</f>
        <v>3429690</v>
      </c>
      <c r="I41" s="873">
        <f>I35*I26</f>
        <v>3249180</v>
      </c>
      <c r="J41" s="873">
        <f>J35*J26</f>
        <v>8351607</v>
      </c>
      <c r="K41" s="873">
        <f>K35*K26</f>
        <v>13476700</v>
      </c>
      <c r="L41" s="893"/>
      <c r="M41" s="869" t="s">
        <v>87</v>
      </c>
      <c r="N41" s="874" t="s">
        <v>95</v>
      </c>
      <c r="O41" s="893"/>
      <c r="P41" s="893"/>
      <c r="Q41" s="874" t="s">
        <v>105</v>
      </c>
    </row>
    <row r="42">
      <c r="A42" s="869" t="s">
        <v>128</v>
      </c>
      <c r="B42" s="895"/>
      <c r="C42" s="895"/>
      <c r="D42" s="895"/>
      <c r="E42" s="895"/>
      <c r="F42" s="895"/>
      <c r="G42" s="815">
        <v>700000</v>
      </c>
      <c r="H42" s="882">
        <v>700000</v>
      </c>
      <c r="I42" s="882">
        <v>700000</v>
      </c>
      <c r="J42" s="882">
        <v>700000</v>
      </c>
      <c r="K42" s="882">
        <v>700000</v>
      </c>
      <c r="L42" s="893"/>
      <c r="M42" s="869" t="s">
        <v>87</v>
      </c>
      <c r="N42" s="874" t="s">
        <v>95</v>
      </c>
      <c r="O42" s="893"/>
      <c r="P42" s="893"/>
      <c r="Q42" s="874" t="s">
        <v>85</v>
      </c>
    </row>
    <row r="43">
      <c r="A43" s="869" t="s">
        <v>129</v>
      </c>
      <c r="B43" s="897"/>
      <c r="C43" s="897"/>
      <c r="D43" s="897"/>
      <c r="E43" s="897"/>
      <c r="F43" s="897"/>
      <c r="G43" s="907">
        <v>49.5</v>
      </c>
      <c r="H43" s="835">
        <v>49.5</v>
      </c>
      <c r="I43" s="835">
        <v>49.5</v>
      </c>
      <c r="J43" s="835">
        <v>49.5</v>
      </c>
      <c r="K43" s="835">
        <v>49.5</v>
      </c>
      <c r="L43" s="893"/>
      <c r="M43" s="869" t="s">
        <v>111</v>
      </c>
      <c r="N43" s="874" t="s">
        <v>95</v>
      </c>
      <c r="O43" s="893"/>
      <c r="P43" s="893"/>
      <c r="Q43" s="874" t="s">
        <v>130</v>
      </c>
    </row>
    <row r="44">
      <c r="A44" s="805" t="s">
        <v>131</v>
      </c>
      <c r="B44" s="889">
        <f>B38</f>
        <v>42036085</v>
      </c>
      <c r="C44" s="889">
        <f>C38</f>
        <v>40987418</v>
      </c>
      <c r="D44" s="889">
        <f>D38</f>
        <v>54587421</v>
      </c>
      <c r="E44" s="889">
        <f>E38</f>
        <v>42653811</v>
      </c>
      <c r="F44" s="889">
        <f>F38</f>
        <v>42404701</v>
      </c>
      <c r="G44" s="802">
        <f>G39+G40+G41+G42</f>
        <v>41719195.199</v>
      </c>
      <c r="H44" s="889">
        <f>H39+H40+H41+H42</f>
        <v>41713332.881000005</v>
      </c>
      <c r="I44" s="889">
        <f>I39+I40+I41+I42</f>
        <v>41708092.085</v>
      </c>
      <c r="J44" s="889">
        <f>J39+J40+J41+J42</f>
        <v>34098586.121</v>
      </c>
      <c r="K44" s="889">
        <f>K39+K40+K41+K42</f>
        <v>27211923.54</v>
      </c>
      <c r="L44" s="893"/>
      <c r="M44" s="869" t="s">
        <v>111</v>
      </c>
      <c r="N44" s="874" t="s">
        <v>95</v>
      </c>
      <c r="O44" s="893"/>
      <c r="P44" s="893"/>
      <c r="Q44" s="874" t="s">
        <v>112</v>
      </c>
    </row>
    <row r="45">
      <c r="A45" s="894"/>
      <c r="B45" s="894"/>
      <c r="C45" s="894"/>
      <c r="D45" s="894"/>
      <c r="E45" s="894"/>
      <c r="F45" s="894"/>
      <c r="G45" s="902"/>
      <c r="H45" s="894"/>
      <c r="I45" s="894"/>
      <c r="J45" s="894"/>
      <c r="K45" s="894"/>
      <c r="L45" s="893"/>
      <c r="M45" s="893"/>
      <c r="N45" s="896"/>
      <c r="O45" s="893"/>
      <c r="P45" s="893"/>
      <c r="Q45" s="896"/>
    </row>
    <row r="46">
      <c r="A46" s="803" t="s">
        <v>132</v>
      </c>
      <c r="B46" s="901"/>
      <c r="C46" s="901"/>
      <c r="D46" s="901"/>
      <c r="E46" s="901"/>
      <c r="F46" s="901"/>
      <c r="G46" s="906"/>
      <c r="H46" s="898"/>
      <c r="I46" s="898"/>
      <c r="J46" s="898"/>
      <c r="K46" s="898"/>
      <c r="L46" s="893"/>
      <c r="M46" s="893"/>
      <c r="N46" s="893"/>
      <c r="O46" s="893"/>
      <c r="P46" s="893"/>
      <c r="Q46" s="893"/>
    </row>
    <row r="47">
      <c r="A47" s="869" t="s">
        <v>133</v>
      </c>
      <c r="B47" s="875">
        <f>B48/B22</f>
        <v>16.80394054614587</v>
      </c>
      <c r="C47" s="875">
        <f>C48/C22</f>
        <v>16.44107156885851</v>
      </c>
      <c r="D47" s="875">
        <f>D48/D22</f>
        <v>14.581163486719042</v>
      </c>
      <c r="E47" s="875">
        <f>E48/E22</f>
        <v>17.057488530412904</v>
      </c>
      <c r="F47" s="875">
        <f>F48/F22</f>
        <v>16.980289793309183</v>
      </c>
      <c r="G47" s="795">
        <v>17</v>
      </c>
      <c r="H47" s="792">
        <v>17</v>
      </c>
      <c r="I47" s="792">
        <v>17</v>
      </c>
      <c r="J47" s="792">
        <v>17</v>
      </c>
      <c r="K47" s="792">
        <v>17</v>
      </c>
      <c r="L47" s="893"/>
      <c r="M47" s="869" t="s">
        <v>111</v>
      </c>
      <c r="N47" s="874" t="s">
        <v>95</v>
      </c>
      <c r="O47" s="893"/>
      <c r="P47" s="893"/>
      <c r="Q47" s="874" t="s">
        <v>105</v>
      </c>
    </row>
    <row r="48">
      <c r="A48" s="869" t="s">
        <v>134</v>
      </c>
      <c r="B48" s="870">
        <v>7292070</v>
      </c>
      <c r="C48" s="870">
        <v>6278352</v>
      </c>
      <c r="D48" s="870">
        <v>7795090</v>
      </c>
      <c r="E48" s="870">
        <v>6915447</v>
      </c>
      <c r="F48" s="870">
        <v>7171965</v>
      </c>
      <c r="G48" s="891">
        <f>G47*G22</f>
        <v>6883827</v>
      </c>
      <c r="H48" s="873">
        <f>H47*H22</f>
        <v>6883827</v>
      </c>
      <c r="I48" s="873">
        <f>I47*I22</f>
        <v>6883827</v>
      </c>
      <c r="J48" s="873">
        <f>J47*J22</f>
        <v>6723738</v>
      </c>
      <c r="K48" s="873">
        <f>K47*K22</f>
        <v>6723738</v>
      </c>
      <c r="L48" s="893"/>
      <c r="M48" s="869" t="s">
        <v>87</v>
      </c>
      <c r="N48" s="874" t="s">
        <v>95</v>
      </c>
      <c r="O48" s="893"/>
      <c r="P48" s="893"/>
      <c r="Q48" s="874" t="s">
        <v>105</v>
      </c>
    </row>
    <row r="49">
      <c r="A49" s="869" t="s">
        <v>135</v>
      </c>
      <c r="B49" s="882">
        <v>569159</v>
      </c>
      <c r="C49" s="882">
        <v>534132</v>
      </c>
      <c r="D49" s="882">
        <v>471510</v>
      </c>
      <c r="E49" s="882">
        <v>466858</v>
      </c>
      <c r="F49" s="882">
        <v>444576</v>
      </c>
      <c r="G49" s="815">
        <v>445000</v>
      </c>
      <c r="H49" s="882">
        <v>445000</v>
      </c>
      <c r="I49" s="882">
        <v>445000</v>
      </c>
      <c r="J49" s="882">
        <v>445000</v>
      </c>
      <c r="K49" s="882">
        <v>445000</v>
      </c>
      <c r="L49" s="893"/>
      <c r="M49" s="869" t="s">
        <v>87</v>
      </c>
      <c r="N49" s="874" t="s">
        <v>95</v>
      </c>
      <c r="O49" s="893"/>
      <c r="P49" s="893"/>
      <c r="Q49" s="874" t="s">
        <v>85</v>
      </c>
    </row>
    <row r="50">
      <c r="A50" s="869" t="s">
        <v>136</v>
      </c>
      <c r="B50" s="882">
        <v>512088</v>
      </c>
      <c r="C50" s="882">
        <v>637229</v>
      </c>
      <c r="D50" s="882">
        <v>820324</v>
      </c>
      <c r="E50" s="882">
        <v>392259</v>
      </c>
      <c r="F50" s="882">
        <v>250877</v>
      </c>
      <c r="G50" s="815">
        <v>258000</v>
      </c>
      <c r="H50" s="882">
        <v>265000</v>
      </c>
      <c r="I50" s="882">
        <v>273000</v>
      </c>
      <c r="J50" s="882">
        <v>281000</v>
      </c>
      <c r="K50" s="882">
        <v>290000</v>
      </c>
      <c r="L50" s="893"/>
      <c r="M50" s="869" t="s">
        <v>87</v>
      </c>
      <c r="N50" s="874" t="s">
        <v>95</v>
      </c>
      <c r="O50" s="893"/>
      <c r="P50" s="893"/>
      <c r="Q50" s="874" t="s">
        <v>85</v>
      </c>
    </row>
    <row r="51">
      <c r="A51" s="869" t="s">
        <v>137</v>
      </c>
      <c r="B51" s="895"/>
      <c r="C51" s="895"/>
      <c r="D51" s="895"/>
      <c r="E51" s="895"/>
      <c r="F51" s="895"/>
      <c r="G51" s="815">
        <v>645000</v>
      </c>
      <c r="H51" s="882">
        <v>645000</v>
      </c>
      <c r="I51" s="882">
        <v>645000</v>
      </c>
      <c r="J51" s="882">
        <v>645000</v>
      </c>
      <c r="K51" s="882">
        <v>645000</v>
      </c>
      <c r="L51" s="893"/>
      <c r="M51" s="869" t="s">
        <v>87</v>
      </c>
      <c r="N51" s="874" t="s">
        <v>95</v>
      </c>
      <c r="O51" s="893"/>
      <c r="P51" s="893"/>
      <c r="Q51" s="874" t="s">
        <v>85</v>
      </c>
    </row>
    <row r="52">
      <c r="A52" s="869" t="s">
        <v>138</v>
      </c>
      <c r="B52" s="882">
        <v>842589</v>
      </c>
      <c r="C52" s="882">
        <v>905626</v>
      </c>
      <c r="D52" s="882">
        <v>987481</v>
      </c>
      <c r="E52" s="882">
        <v>1054607</v>
      </c>
      <c r="F52" s="882">
        <v>976273</v>
      </c>
      <c r="G52" s="815">
        <v>500000</v>
      </c>
      <c r="H52" s="882">
        <v>500000</v>
      </c>
      <c r="I52" s="882">
        <v>500000</v>
      </c>
      <c r="J52" s="882">
        <v>500000</v>
      </c>
      <c r="K52" s="882">
        <v>500000</v>
      </c>
      <c r="L52" s="893"/>
      <c r="M52" s="869" t="s">
        <v>87</v>
      </c>
      <c r="N52" s="874" t="s">
        <v>95</v>
      </c>
      <c r="O52" s="893"/>
      <c r="P52" s="893"/>
      <c r="Q52" s="874" t="s">
        <v>85</v>
      </c>
    </row>
    <row r="53">
      <c r="A53" s="869" t="s">
        <v>139</v>
      </c>
      <c r="B53" s="882">
        <v>13917163</v>
      </c>
      <c r="C53" s="882">
        <v>13936348</v>
      </c>
      <c r="D53" s="882">
        <v>13947153</v>
      </c>
      <c r="E53" s="882">
        <v>13994812</v>
      </c>
      <c r="F53" s="882">
        <v>14031702</v>
      </c>
      <c r="G53" s="815">
        <v>14000000</v>
      </c>
      <c r="H53" s="882">
        <v>14000000</v>
      </c>
      <c r="I53" s="882">
        <v>14000000</v>
      </c>
      <c r="J53" s="882">
        <v>14000000</v>
      </c>
      <c r="K53" s="882">
        <v>14000000</v>
      </c>
      <c r="L53" s="893"/>
      <c r="M53" s="869" t="s">
        <v>87</v>
      </c>
      <c r="N53" s="874" t="s">
        <v>95</v>
      </c>
      <c r="O53" s="893"/>
      <c r="P53" s="893"/>
      <c r="Q53" s="874" t="s">
        <v>85</v>
      </c>
    </row>
    <row r="54">
      <c r="A54" s="805" t="s">
        <v>140</v>
      </c>
      <c r="B54" s="876">
        <f>-EEFF!B8</f>
        <v>22857327</v>
      </c>
      <c r="C54" s="876">
        <f>-EEFF!C8</f>
        <v>21858853</v>
      </c>
      <c r="D54" s="876">
        <f>-EEFF!D8</f>
        <v>25573871</v>
      </c>
      <c r="E54" s="876">
        <f>-EEFF!E8</f>
        <v>25736347</v>
      </c>
      <c r="F54" s="876">
        <f>-EEFF!F8</f>
        <v>24413955</v>
      </c>
      <c r="G54" s="802">
        <f>G48+G49+G50+G51+G52+G53</f>
        <v>22731827</v>
      </c>
      <c r="H54" s="889">
        <f>H48+H49+H50+H51+H52+H53</f>
        <v>22738827</v>
      </c>
      <c r="I54" s="889">
        <f>I48+I49+I50+I51+I52+I53</f>
        <v>22746827</v>
      </c>
      <c r="J54" s="889">
        <f>J48+J49+J50+J51+J52+J53</f>
        <v>22594738</v>
      </c>
      <c r="K54" s="889">
        <f>K48+K49+K50+K51+K52+K53</f>
        <v>22603738</v>
      </c>
      <c r="L54" s="893"/>
      <c r="M54" s="869" t="s">
        <v>111</v>
      </c>
      <c r="N54" s="874" t="s">
        <v>95</v>
      </c>
      <c r="O54" s="893"/>
      <c r="P54" s="893"/>
      <c r="Q54" s="874" t="s">
        <v>112</v>
      </c>
    </row>
    <row r="55">
      <c r="A55" s="869" t="s">
        <v>141</v>
      </c>
      <c r="B55" s="882">
        <v>322500</v>
      </c>
      <c r="C55" s="882">
        <v>322500</v>
      </c>
      <c r="D55" s="882">
        <v>1290000</v>
      </c>
      <c r="E55" s="882">
        <v>322500</v>
      </c>
      <c r="F55" s="882">
        <v>1290000</v>
      </c>
      <c r="G55" s="815">
        <v>1290000</v>
      </c>
      <c r="H55" s="882">
        <v>1290000</v>
      </c>
      <c r="I55" s="882">
        <v>1290000</v>
      </c>
      <c r="J55" s="882">
        <v>1290000</v>
      </c>
      <c r="K55" s="882">
        <v>1290000</v>
      </c>
      <c r="L55" s="893"/>
      <c r="M55" s="869" t="s">
        <v>87</v>
      </c>
      <c r="N55" s="874" t="s">
        <v>95</v>
      </c>
      <c r="O55" s="893"/>
      <c r="P55" s="893"/>
      <c r="Q55" s="874" t="s">
        <v>85</v>
      </c>
    </row>
    <row r="56">
      <c r="A56" s="869" t="s">
        <v>142</v>
      </c>
      <c r="B56" s="882">
        <v>860729</v>
      </c>
      <c r="C56" s="882">
        <v>703317</v>
      </c>
      <c r="D56" s="882">
        <v>2784099</v>
      </c>
      <c r="E56" s="882">
        <v>3573302</v>
      </c>
      <c r="F56" s="882">
        <v>2117820</v>
      </c>
      <c r="G56" s="815">
        <v>2120000</v>
      </c>
      <c r="H56" s="882">
        <v>2120000</v>
      </c>
      <c r="I56" s="882">
        <v>2120000</v>
      </c>
      <c r="J56" s="882">
        <v>2120000</v>
      </c>
      <c r="K56" s="882">
        <v>2120000</v>
      </c>
      <c r="L56" s="893"/>
      <c r="M56" s="869" t="s">
        <v>87</v>
      </c>
      <c r="N56" s="874" t="s">
        <v>95</v>
      </c>
      <c r="O56" s="893"/>
      <c r="P56" s="893"/>
      <c r="Q56" s="874" t="s">
        <v>85</v>
      </c>
    </row>
    <row r="57">
      <c r="A57" s="869" t="s">
        <v>143</v>
      </c>
      <c r="B57" s="895"/>
      <c r="C57" s="895"/>
      <c r="D57" s="895"/>
      <c r="E57" s="895"/>
      <c r="F57" s="895"/>
      <c r="G57" s="815">
        <v>250000</v>
      </c>
      <c r="H57" s="882">
        <v>250000</v>
      </c>
      <c r="I57" s="882">
        <v>250000</v>
      </c>
      <c r="J57" s="882">
        <v>250000</v>
      </c>
      <c r="K57" s="882">
        <v>250000</v>
      </c>
      <c r="L57" s="893"/>
      <c r="M57" s="869" t="s">
        <v>87</v>
      </c>
      <c r="N57" s="874" t="s">
        <v>95</v>
      </c>
      <c r="O57" s="893"/>
      <c r="P57" s="893"/>
      <c r="Q57" s="874" t="s">
        <v>85</v>
      </c>
    </row>
    <row r="58">
      <c r="A58" s="805" t="s">
        <v>144</v>
      </c>
      <c r="B58" s="876">
        <f>-EEFF!B10</f>
        <v>3266942</v>
      </c>
      <c r="C58" s="876">
        <f>-EEFF!C10</f>
        <v>3405988</v>
      </c>
      <c r="D58" s="876">
        <f>-EEFF!D10</f>
        <v>4482435</v>
      </c>
      <c r="E58" s="876">
        <f>-EEFF!E10</f>
        <v>3436087</v>
      </c>
      <c r="F58" s="876">
        <f>-EEFF!F10</f>
        <v>3908720</v>
      </c>
      <c r="G58" s="802">
        <f>G55+G56+G57</f>
        <v>3660000</v>
      </c>
      <c r="H58" s="889">
        <f>H55+H56+H57</f>
        <v>3660000</v>
      </c>
      <c r="I58" s="889">
        <f>I55+I56+I57</f>
        <v>3660000</v>
      </c>
      <c r="J58" s="889">
        <f>J55+J56+J57</f>
        <v>3660000</v>
      </c>
      <c r="K58" s="889">
        <f>K55+K56+K57</f>
        <v>3660000</v>
      </c>
      <c r="L58" s="893"/>
      <c r="M58" s="869" t="s">
        <v>87</v>
      </c>
      <c r="N58" s="874" t="s">
        <v>95</v>
      </c>
      <c r="O58" s="893"/>
      <c r="P58" s="893"/>
      <c r="Q58" s="874" t="s">
        <v>112</v>
      </c>
    </row>
  </sheetData>
</worksheet>
</file>

<file path=xl/worksheets/sheet3.xml><?xml version="1.0" encoding="utf-8"?>
<worksheet xmlns="http://schemas.openxmlformats.org/spreadsheetml/2006/main" xmlns:r="http://schemas.openxmlformats.org/officeDocument/2006/relationships">
  <dimension ref="A1:T835"/>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824" t="s">
        <v>0</v>
      </c>
    </row>
    <row r="2">
      <c r="A2" s="823" t="s">
        <v>145</v>
      </c>
    </row>
    <row r="3">
      <c r="A3" s="823" t="s">
        <v>146</v>
      </c>
    </row>
    <row r="5">
      <c r="A5" s="731" t="s">
        <v>147</v>
      </c>
      <c r="B5" s="731" t="s">
        <v>148</v>
      </c>
      <c r="C5" s="731" t="s">
        <v>149</v>
      </c>
      <c r="D5" s="731" t="s">
        <v>150</v>
      </c>
      <c r="E5" s="731" t="s">
        <v>151</v>
      </c>
      <c r="F5" s="731" t="s">
        <v>152</v>
      </c>
      <c r="G5" s="731" t="s">
        <v>153</v>
      </c>
      <c r="H5" s="731" t="s">
        <v>154</v>
      </c>
      <c r="I5" s="731" t="s">
        <v>155</v>
      </c>
      <c r="J5" s="731" t="s">
        <v>156</v>
      </c>
      <c r="K5" s="731" t="s">
        <v>157</v>
      </c>
      <c r="L5" s="731" t="s">
        <v>158</v>
      </c>
      <c r="M5" s="731" t="s">
        <v>159</v>
      </c>
      <c r="N5" s="731" t="s">
        <v>160</v>
      </c>
      <c r="O5" s="731" t="s">
        <v>161</v>
      </c>
      <c r="P5" s="733" t="s">
        <v>162</v>
      </c>
      <c r="Q5" s="733" t="s">
        <v>163</v>
      </c>
      <c r="R5" s="731" t="s">
        <v>164</v>
      </c>
      <c r="S5" s="731" t="s">
        <v>165</v>
      </c>
      <c r="T5" s="731" t="s">
        <v>166</v>
      </c>
    </row>
    <row r="6">
      <c r="A6" s="728" t="s">
        <v>167</v>
      </c>
      <c r="B6" s="728" t="s">
        <v>168</v>
      </c>
      <c r="C6" s="728" t="s">
        <v>169</v>
      </c>
      <c r="D6" s="728" t="s">
        <v>170</v>
      </c>
      <c r="E6" s="728" t="s">
        <v>171</v>
      </c>
      <c r="F6" s="727" t="s">
        <v>171</v>
      </c>
      <c r="G6" s="728" t="s">
        <v>172</v>
      </c>
      <c r="H6" s="727"/>
      <c r="I6" s="727" t="s">
        <v>173</v>
      </c>
      <c r="J6" s="727" t="s">
        <v>174</v>
      </c>
      <c r="K6" s="729"/>
      <c r="L6" s="728" t="s">
        <v>175</v>
      </c>
      <c r="M6" s="728" t="s">
        <v>176</v>
      </c>
      <c r="N6" s="727" t="s">
        <v>177</v>
      </c>
      <c r="O6" s="727"/>
      <c r="P6" s="727" t="s">
        <v>178</v>
      </c>
      <c r="Q6" s="727"/>
      <c r="R6" s="730"/>
      <c r="S6" s="727"/>
      <c r="T6" s="728" t="s">
        <v>179</v>
      </c>
    </row>
    <row r="7" ht="34.5">
      <c r="A7" s="728" t="s">
        <v>167</v>
      </c>
      <c r="B7" s="728" t="s">
        <v>168</v>
      </c>
      <c r="C7" s="728" t="s">
        <v>169</v>
      </c>
      <c r="D7" s="728" t="s">
        <v>170</v>
      </c>
      <c r="E7" s="728" t="s">
        <v>171</v>
      </c>
      <c r="F7" s="727" t="s">
        <v>171</v>
      </c>
      <c r="G7" s="728" t="s">
        <v>180</v>
      </c>
      <c r="H7" s="727"/>
      <c r="I7" s="727" t="s">
        <v>181</v>
      </c>
      <c r="J7" s="727" t="s">
        <v>182</v>
      </c>
      <c r="K7" s="729"/>
      <c r="L7" s="728" t="s">
        <v>175</v>
      </c>
      <c r="M7" s="728" t="s">
        <v>176</v>
      </c>
      <c r="N7" s="727"/>
      <c r="O7" s="727" t="s">
        <v>183</v>
      </c>
      <c r="P7" s="727"/>
      <c r="Q7" s="727"/>
      <c r="R7" s="730"/>
      <c r="S7" s="727"/>
      <c r="T7" s="728" t="s">
        <v>179</v>
      </c>
    </row>
    <row r="8" ht="34.5">
      <c r="A8" s="728" t="s">
        <v>167</v>
      </c>
      <c r="B8" s="728" t="s">
        <v>168</v>
      </c>
      <c r="C8" s="728" t="s">
        <v>169</v>
      </c>
      <c r="D8" s="728" t="s">
        <v>170</v>
      </c>
      <c r="E8" s="728" t="s">
        <v>171</v>
      </c>
      <c r="F8" s="727" t="s">
        <v>171</v>
      </c>
      <c r="G8" s="728" t="s">
        <v>172</v>
      </c>
      <c r="H8" s="727"/>
      <c r="I8" s="727" t="s">
        <v>184</v>
      </c>
      <c r="J8" s="727" t="s">
        <v>185</v>
      </c>
      <c r="K8" s="729">
        <v>215</v>
      </c>
      <c r="L8" s="728" t="s">
        <v>175</v>
      </c>
      <c r="M8" s="728" t="s">
        <v>104</v>
      </c>
      <c r="N8" s="727"/>
      <c r="O8" s="727" t="s">
        <v>186</v>
      </c>
      <c r="P8" s="727" t="s">
        <v>187</v>
      </c>
      <c r="Q8" s="727"/>
      <c r="R8" s="730"/>
      <c r="S8" s="727"/>
      <c r="T8" s="728" t="s">
        <v>179</v>
      </c>
    </row>
    <row r="9" ht="34.5">
      <c r="A9" s="728" t="s">
        <v>167</v>
      </c>
      <c r="B9" s="728" t="s">
        <v>168</v>
      </c>
      <c r="C9" s="728" t="s">
        <v>169</v>
      </c>
      <c r="D9" s="728" t="s">
        <v>170</v>
      </c>
      <c r="E9" s="728" t="s">
        <v>171</v>
      </c>
      <c r="F9" s="727" t="s">
        <v>171</v>
      </c>
      <c r="G9" s="728" t="s">
        <v>172</v>
      </c>
      <c r="H9" s="727"/>
      <c r="I9" s="727" t="s">
        <v>188</v>
      </c>
      <c r="J9" s="727" t="s">
        <v>189</v>
      </c>
      <c r="K9" s="729"/>
      <c r="L9" s="728" t="s">
        <v>175</v>
      </c>
      <c r="M9" s="728" t="s">
        <v>176</v>
      </c>
      <c r="N9" s="727"/>
      <c r="O9" s="727"/>
      <c r="P9" s="727"/>
      <c r="Q9" s="727"/>
      <c r="R9" s="730"/>
      <c r="S9" s="727"/>
      <c r="T9" s="728" t="s">
        <v>179</v>
      </c>
    </row>
    <row r="10" ht="34.5">
      <c r="A10" s="728" t="s">
        <v>167</v>
      </c>
      <c r="B10" s="728" t="s">
        <v>168</v>
      </c>
      <c r="C10" s="728" t="s">
        <v>169</v>
      </c>
      <c r="D10" s="728" t="s">
        <v>170</v>
      </c>
      <c r="E10" s="728" t="s">
        <v>171</v>
      </c>
      <c r="F10" s="727" t="s">
        <v>171</v>
      </c>
      <c r="G10" s="728" t="s">
        <v>190</v>
      </c>
      <c r="H10" s="727"/>
      <c r="I10" s="727" t="s">
        <v>191</v>
      </c>
      <c r="J10" s="727" t="s">
        <v>192</v>
      </c>
      <c r="K10" s="729"/>
      <c r="L10" s="728" t="s">
        <v>175</v>
      </c>
      <c r="M10" s="728" t="s">
        <v>176</v>
      </c>
      <c r="N10" s="727" t="s">
        <v>193</v>
      </c>
      <c r="O10" s="727"/>
      <c r="P10" s="727"/>
      <c r="Q10" s="727"/>
      <c r="R10" s="730"/>
      <c r="S10" s="727"/>
      <c r="T10" s="728" t="s">
        <v>179</v>
      </c>
    </row>
    <row r="11" ht="34.5">
      <c r="A11" s="728" t="s">
        <v>167</v>
      </c>
      <c r="B11" s="728" t="s">
        <v>168</v>
      </c>
      <c r="C11" s="728" t="s">
        <v>194</v>
      </c>
      <c r="D11" s="728" t="s">
        <v>170</v>
      </c>
      <c r="E11" s="728" t="s">
        <v>195</v>
      </c>
      <c r="F11" s="727" t="s">
        <v>195</v>
      </c>
      <c r="G11" s="728" t="s">
        <v>196</v>
      </c>
      <c r="H11" s="727"/>
      <c r="I11" s="727" t="s">
        <v>197</v>
      </c>
      <c r="J11" s="727" t="s">
        <v>198</v>
      </c>
      <c r="K11" s="729"/>
      <c r="L11" s="728" t="s">
        <v>175</v>
      </c>
      <c r="M11" s="728" t="s">
        <v>176</v>
      </c>
      <c r="N11" s="727"/>
      <c r="O11" s="727"/>
      <c r="P11" s="727"/>
      <c r="Q11" s="727" t="s">
        <v>199</v>
      </c>
      <c r="R11" s="730"/>
      <c r="S11" s="727"/>
      <c r="T11" s="728" t="s">
        <v>179</v>
      </c>
    </row>
    <row r="12" ht="34.5">
      <c r="A12" s="728" t="s">
        <v>167</v>
      </c>
      <c r="B12" s="728" t="s">
        <v>168</v>
      </c>
      <c r="C12" s="728" t="s">
        <v>194</v>
      </c>
      <c r="D12" s="728" t="s">
        <v>170</v>
      </c>
      <c r="E12" s="728" t="s">
        <v>195</v>
      </c>
      <c r="F12" s="727" t="s">
        <v>195</v>
      </c>
      <c r="G12" s="728" t="s">
        <v>196</v>
      </c>
      <c r="H12" s="727"/>
      <c r="I12" s="727" t="s">
        <v>200</v>
      </c>
      <c r="J12" s="727" t="s">
        <v>201</v>
      </c>
      <c r="K12" s="729"/>
      <c r="L12" s="728" t="s">
        <v>175</v>
      </c>
      <c r="M12" s="728" t="s">
        <v>176</v>
      </c>
      <c r="N12" s="727" t="s">
        <v>202</v>
      </c>
      <c r="O12" s="727"/>
      <c r="P12" s="727"/>
      <c r="Q12" s="727"/>
      <c r="R12" s="730"/>
      <c r="S12" s="727"/>
      <c r="T12" s="728" t="s">
        <v>179</v>
      </c>
    </row>
    <row r="13" ht="34.5">
      <c r="A13" s="728" t="s">
        <v>167</v>
      </c>
      <c r="B13" s="728" t="s">
        <v>168</v>
      </c>
      <c r="C13" s="728" t="s">
        <v>194</v>
      </c>
      <c r="D13" s="728" t="s">
        <v>170</v>
      </c>
      <c r="E13" s="728" t="s">
        <v>195</v>
      </c>
      <c r="F13" s="727" t="s">
        <v>195</v>
      </c>
      <c r="G13" s="728" t="s">
        <v>196</v>
      </c>
      <c r="H13" s="727"/>
      <c r="I13" s="727" t="s">
        <v>203</v>
      </c>
      <c r="J13" s="727" t="s">
        <v>204</v>
      </c>
      <c r="K13" s="729"/>
      <c r="L13" s="728" t="s">
        <v>175</v>
      </c>
      <c r="M13" s="728" t="s">
        <v>176</v>
      </c>
      <c r="N13" s="727"/>
      <c r="O13" s="727"/>
      <c r="P13" s="727"/>
      <c r="Q13" s="727"/>
      <c r="R13" s="730"/>
      <c r="S13" s="727"/>
      <c r="T13" s="728" t="s">
        <v>179</v>
      </c>
    </row>
    <row r="14" ht="34.5">
      <c r="A14" s="728" t="s">
        <v>167</v>
      </c>
      <c r="B14" s="728" t="s">
        <v>168</v>
      </c>
      <c r="C14" s="728" t="s">
        <v>205</v>
      </c>
      <c r="D14" s="728" t="s">
        <v>170</v>
      </c>
      <c r="E14" s="728" t="s">
        <v>195</v>
      </c>
      <c r="F14" s="727" t="s">
        <v>195</v>
      </c>
      <c r="G14" s="728" t="s">
        <v>196</v>
      </c>
      <c r="H14" s="727"/>
      <c r="I14" s="727" t="s">
        <v>206</v>
      </c>
      <c r="J14" s="727" t="s">
        <v>207</v>
      </c>
      <c r="K14" s="729"/>
      <c r="L14" s="728" t="s">
        <v>175</v>
      </c>
      <c r="M14" s="728" t="s">
        <v>176</v>
      </c>
      <c r="N14" s="727" t="s">
        <v>208</v>
      </c>
      <c r="O14" s="727"/>
      <c r="P14" s="727"/>
      <c r="Q14" s="727"/>
      <c r="R14" s="730"/>
      <c r="S14" s="727"/>
      <c r="T14" s="728" t="s">
        <v>179</v>
      </c>
    </row>
    <row r="15" ht="34.5">
      <c r="A15" s="728" t="s">
        <v>167</v>
      </c>
      <c r="B15" s="728" t="s">
        <v>168</v>
      </c>
      <c r="C15" s="728" t="s">
        <v>205</v>
      </c>
      <c r="D15" s="728" t="s">
        <v>170</v>
      </c>
      <c r="E15" s="728" t="s">
        <v>195</v>
      </c>
      <c r="F15" s="727" t="s">
        <v>195</v>
      </c>
      <c r="G15" s="728" t="s">
        <v>196</v>
      </c>
      <c r="H15" s="727"/>
      <c r="I15" s="727" t="s">
        <v>209</v>
      </c>
      <c r="J15" s="727" t="s">
        <v>210</v>
      </c>
      <c r="K15" s="729"/>
      <c r="L15" s="728" t="s">
        <v>175</v>
      </c>
      <c r="M15" s="728" t="s">
        <v>176</v>
      </c>
      <c r="N15" s="727" t="s">
        <v>208</v>
      </c>
      <c r="O15" s="727"/>
      <c r="P15" s="727"/>
      <c r="Q15" s="727"/>
      <c r="R15" s="730"/>
      <c r="S15" s="727"/>
      <c r="T15" s="728" t="s">
        <v>179</v>
      </c>
    </row>
    <row r="16" ht="34.5">
      <c r="A16" s="728" t="s">
        <v>167</v>
      </c>
      <c r="B16" s="728" t="s">
        <v>168</v>
      </c>
      <c r="C16" s="728" t="s">
        <v>205</v>
      </c>
      <c r="D16" s="728" t="s">
        <v>170</v>
      </c>
      <c r="E16" s="728" t="s">
        <v>195</v>
      </c>
      <c r="F16" s="727" t="s">
        <v>195</v>
      </c>
      <c r="G16" s="728" t="s">
        <v>196</v>
      </c>
      <c r="H16" s="727"/>
      <c r="I16" s="727" t="s">
        <v>211</v>
      </c>
      <c r="J16" s="727" t="s">
        <v>212</v>
      </c>
      <c r="K16" s="729"/>
      <c r="L16" s="728" t="s">
        <v>175</v>
      </c>
      <c r="M16" s="728" t="s">
        <v>176</v>
      </c>
      <c r="N16" s="727" t="s">
        <v>213</v>
      </c>
      <c r="O16" s="727"/>
      <c r="P16" s="727"/>
      <c r="Q16" s="727" t="s">
        <v>214</v>
      </c>
      <c r="R16" s="730"/>
      <c r="S16" s="727"/>
      <c r="T16" s="728" t="s">
        <v>179</v>
      </c>
    </row>
    <row r="17" ht="34.5">
      <c r="A17" s="728" t="s">
        <v>167</v>
      </c>
      <c r="B17" s="728" t="s">
        <v>168</v>
      </c>
      <c r="C17" s="728" t="s">
        <v>215</v>
      </c>
      <c r="D17" s="728" t="s">
        <v>170</v>
      </c>
      <c r="E17" s="728" t="s">
        <v>195</v>
      </c>
      <c r="F17" s="727" t="s">
        <v>195</v>
      </c>
      <c r="G17" s="728" t="s">
        <v>196</v>
      </c>
      <c r="H17" s="727"/>
      <c r="I17" s="727" t="s">
        <v>216</v>
      </c>
      <c r="J17" s="727" t="s">
        <v>217</v>
      </c>
      <c r="K17" s="729"/>
      <c r="L17" s="728" t="s">
        <v>175</v>
      </c>
      <c r="M17" s="728" t="s">
        <v>176</v>
      </c>
      <c r="N17" s="727"/>
      <c r="O17" s="727"/>
      <c r="P17" s="727"/>
      <c r="Q17" s="727" t="s">
        <v>218</v>
      </c>
      <c r="R17" s="730"/>
      <c r="S17" s="727"/>
      <c r="T17" s="728" t="s">
        <v>179</v>
      </c>
    </row>
    <row r="18" ht="34.5">
      <c r="A18" s="728" t="s">
        <v>167</v>
      </c>
      <c r="B18" s="728" t="s">
        <v>168</v>
      </c>
      <c r="C18" s="728" t="s">
        <v>215</v>
      </c>
      <c r="D18" s="728" t="s">
        <v>170</v>
      </c>
      <c r="E18" s="728" t="s">
        <v>195</v>
      </c>
      <c r="F18" s="727" t="s">
        <v>195</v>
      </c>
      <c r="G18" s="728" t="s">
        <v>219</v>
      </c>
      <c r="H18" s="727"/>
      <c r="I18" s="727" t="s">
        <v>220</v>
      </c>
      <c r="J18" s="727" t="s">
        <v>221</v>
      </c>
      <c r="K18" s="729"/>
      <c r="L18" s="728" t="s">
        <v>175</v>
      </c>
      <c r="M18" s="728" t="s">
        <v>176</v>
      </c>
      <c r="N18" s="727"/>
      <c r="O18" s="727"/>
      <c r="P18" s="727"/>
      <c r="Q18" s="727" t="s">
        <v>222</v>
      </c>
      <c r="R18" s="730"/>
      <c r="S18" s="727"/>
      <c r="T18" s="728" t="s">
        <v>179</v>
      </c>
    </row>
    <row r="19" ht="34.5">
      <c r="A19" s="728" t="s">
        <v>167</v>
      </c>
      <c r="B19" s="728" t="s">
        <v>168</v>
      </c>
      <c r="C19" s="728" t="s">
        <v>215</v>
      </c>
      <c r="D19" s="728" t="s">
        <v>170</v>
      </c>
      <c r="E19" s="728" t="s">
        <v>195</v>
      </c>
      <c r="F19" s="727" t="s">
        <v>195</v>
      </c>
      <c r="G19" s="728" t="s">
        <v>223</v>
      </c>
      <c r="H19" s="727"/>
      <c r="I19" s="727" t="s">
        <v>224</v>
      </c>
      <c r="J19" s="727" t="s">
        <v>225</v>
      </c>
      <c r="K19" s="729"/>
      <c r="L19" s="728" t="s">
        <v>175</v>
      </c>
      <c r="M19" s="728" t="s">
        <v>176</v>
      </c>
      <c r="N19" s="727"/>
      <c r="O19" s="727"/>
      <c r="P19" s="727" t="s">
        <v>226</v>
      </c>
      <c r="Q19" s="727"/>
      <c r="R19" s="730"/>
      <c r="S19" s="727"/>
      <c r="T19" s="728" t="s">
        <v>179</v>
      </c>
    </row>
    <row r="20" ht="34.5">
      <c r="A20" s="728" t="s">
        <v>167</v>
      </c>
      <c r="B20" s="728" t="s">
        <v>168</v>
      </c>
      <c r="C20" s="728" t="s">
        <v>215</v>
      </c>
      <c r="D20" s="728" t="s">
        <v>170</v>
      </c>
      <c r="E20" s="728" t="s">
        <v>195</v>
      </c>
      <c r="F20" s="727" t="s">
        <v>195</v>
      </c>
      <c r="G20" s="728" t="s">
        <v>227</v>
      </c>
      <c r="H20" s="727"/>
      <c r="I20" s="727" t="s">
        <v>228</v>
      </c>
      <c r="J20" s="727" t="s">
        <v>229</v>
      </c>
      <c r="K20" s="729"/>
      <c r="L20" s="728" t="s">
        <v>175</v>
      </c>
      <c r="M20" s="728" t="s">
        <v>176</v>
      </c>
      <c r="N20" s="727"/>
      <c r="O20" s="727"/>
      <c r="P20" s="727"/>
      <c r="Q20" s="727"/>
      <c r="R20" s="730"/>
      <c r="S20" s="727"/>
      <c r="T20" s="728" t="s">
        <v>179</v>
      </c>
    </row>
    <row r="21" ht="34.5">
      <c r="A21" s="728" t="s">
        <v>167</v>
      </c>
      <c r="B21" s="728" t="s">
        <v>168</v>
      </c>
      <c r="C21" s="728" t="s">
        <v>230</v>
      </c>
      <c r="D21" s="728" t="s">
        <v>170</v>
      </c>
      <c r="E21" s="728" t="s">
        <v>195</v>
      </c>
      <c r="F21" s="727" t="s">
        <v>195</v>
      </c>
      <c r="G21" s="728" t="s">
        <v>231</v>
      </c>
      <c r="H21" s="727"/>
      <c r="I21" s="727" t="s">
        <v>232</v>
      </c>
      <c r="J21" s="727" t="s">
        <v>233</v>
      </c>
      <c r="K21" s="729"/>
      <c r="L21" s="728" t="s">
        <v>175</v>
      </c>
      <c r="M21" s="728" t="s">
        <v>176</v>
      </c>
      <c r="N21" s="727"/>
      <c r="O21" s="727"/>
      <c r="P21" s="727" t="s">
        <v>234</v>
      </c>
      <c r="Q21" s="727"/>
      <c r="R21" s="730"/>
      <c r="S21" s="727"/>
      <c r="T21" s="728" t="s">
        <v>179</v>
      </c>
    </row>
    <row r="22" ht="34.5">
      <c r="A22" s="728" t="s">
        <v>167</v>
      </c>
      <c r="B22" s="728" t="s">
        <v>168</v>
      </c>
      <c r="C22" s="728" t="s">
        <v>235</v>
      </c>
      <c r="D22" s="728" t="s">
        <v>236</v>
      </c>
      <c r="E22" s="728" t="s">
        <v>195</v>
      </c>
      <c r="F22" s="727" t="s">
        <v>195</v>
      </c>
      <c r="G22" s="728" t="s">
        <v>231</v>
      </c>
      <c r="H22" s="727"/>
      <c r="I22" s="727" t="s">
        <v>237</v>
      </c>
      <c r="J22" s="727" t="s">
        <v>238</v>
      </c>
      <c r="K22" s="729"/>
      <c r="L22" s="728" t="s">
        <v>175</v>
      </c>
      <c r="M22" s="728" t="s">
        <v>94</v>
      </c>
      <c r="N22" s="727" t="s">
        <v>239</v>
      </c>
      <c r="O22" s="727"/>
      <c r="P22" s="727" t="s">
        <v>240</v>
      </c>
      <c r="Q22" s="727"/>
      <c r="R22" s="730"/>
      <c r="S22" s="727"/>
      <c r="T22" s="728" t="s">
        <v>179</v>
      </c>
    </row>
    <row r="23" ht="34.5">
      <c r="A23" s="728" t="s">
        <v>167</v>
      </c>
      <c r="B23" s="728" t="s">
        <v>168</v>
      </c>
      <c r="C23" s="728" t="s">
        <v>235</v>
      </c>
      <c r="D23" s="728" t="s">
        <v>236</v>
      </c>
      <c r="E23" s="728" t="s">
        <v>195</v>
      </c>
      <c r="F23" s="727" t="s">
        <v>195</v>
      </c>
      <c r="G23" s="728" t="s">
        <v>231</v>
      </c>
      <c r="H23" s="727"/>
      <c r="I23" s="727" t="s">
        <v>237</v>
      </c>
      <c r="J23" s="727" t="s">
        <v>241</v>
      </c>
      <c r="K23" s="729"/>
      <c r="L23" s="728" t="s">
        <v>175</v>
      </c>
      <c r="M23" s="728" t="s">
        <v>94</v>
      </c>
      <c r="N23" s="727" t="s">
        <v>242</v>
      </c>
      <c r="O23" s="727"/>
      <c r="P23" s="727"/>
      <c r="Q23" s="727"/>
      <c r="R23" s="730"/>
      <c r="S23" s="727"/>
      <c r="T23" s="728" t="s">
        <v>179</v>
      </c>
    </row>
    <row r="24" ht="34.5">
      <c r="A24" s="728" t="s">
        <v>167</v>
      </c>
      <c r="B24" s="728" t="s">
        <v>168</v>
      </c>
      <c r="C24" s="728" t="s">
        <v>235</v>
      </c>
      <c r="D24" s="728" t="s">
        <v>236</v>
      </c>
      <c r="E24" s="728" t="s">
        <v>195</v>
      </c>
      <c r="F24" s="727" t="s">
        <v>195</v>
      </c>
      <c r="G24" s="728" t="s">
        <v>231</v>
      </c>
      <c r="H24" s="727"/>
      <c r="I24" s="727" t="s">
        <v>237</v>
      </c>
      <c r="J24" s="727" t="s">
        <v>243</v>
      </c>
      <c r="K24" s="729"/>
      <c r="L24" s="728" t="s">
        <v>175</v>
      </c>
      <c r="M24" s="728" t="s">
        <v>94</v>
      </c>
      <c r="N24" s="727" t="s">
        <v>239</v>
      </c>
      <c r="O24" s="727"/>
      <c r="P24" s="727"/>
      <c r="Q24" s="727"/>
      <c r="R24" s="730"/>
      <c r="S24" s="727"/>
      <c r="T24" s="728" t="s">
        <v>179</v>
      </c>
    </row>
    <row r="25" ht="34.5">
      <c r="A25" s="728" t="s">
        <v>167</v>
      </c>
      <c r="B25" s="728" t="s">
        <v>168</v>
      </c>
      <c r="C25" s="728" t="s">
        <v>235</v>
      </c>
      <c r="D25" s="728" t="s">
        <v>236</v>
      </c>
      <c r="E25" s="728" t="s">
        <v>195</v>
      </c>
      <c r="F25" s="727" t="s">
        <v>195</v>
      </c>
      <c r="G25" s="728" t="s">
        <v>231</v>
      </c>
      <c r="H25" s="727"/>
      <c r="I25" s="727" t="s">
        <v>237</v>
      </c>
      <c r="J25" s="727" t="s">
        <v>244</v>
      </c>
      <c r="K25" s="729"/>
      <c r="L25" s="728" t="s">
        <v>175</v>
      </c>
      <c r="M25" s="728" t="s">
        <v>94</v>
      </c>
      <c r="N25" s="727" t="s">
        <v>239</v>
      </c>
      <c r="O25" s="727"/>
      <c r="P25" s="727"/>
      <c r="Q25" s="727"/>
      <c r="R25" s="730"/>
      <c r="S25" s="727"/>
      <c r="T25" s="728" t="s">
        <v>179</v>
      </c>
    </row>
    <row r="26" ht="34.5">
      <c r="A26" s="728" t="s">
        <v>167</v>
      </c>
      <c r="B26" s="728" t="s">
        <v>168</v>
      </c>
      <c r="C26" s="728" t="s">
        <v>235</v>
      </c>
      <c r="D26" s="728" t="s">
        <v>236</v>
      </c>
      <c r="E26" s="728" t="s">
        <v>195</v>
      </c>
      <c r="F26" s="727" t="s">
        <v>195</v>
      </c>
      <c r="G26" s="728" t="s">
        <v>231</v>
      </c>
      <c r="H26" s="727"/>
      <c r="I26" s="727" t="s">
        <v>237</v>
      </c>
      <c r="J26" s="727" t="s">
        <v>245</v>
      </c>
      <c r="K26" s="729"/>
      <c r="L26" s="728" t="s">
        <v>175</v>
      </c>
      <c r="M26" s="728" t="s">
        <v>94</v>
      </c>
      <c r="N26" s="727" t="s">
        <v>246</v>
      </c>
      <c r="O26" s="727"/>
      <c r="P26" s="727" t="s">
        <v>247</v>
      </c>
      <c r="Q26" s="727"/>
      <c r="R26" s="730"/>
      <c r="S26" s="727"/>
      <c r="T26" s="728" t="s">
        <v>179</v>
      </c>
    </row>
    <row r="27" ht="34.5">
      <c r="A27" s="728" t="s">
        <v>167</v>
      </c>
      <c r="B27" s="728" t="s">
        <v>168</v>
      </c>
      <c r="C27" s="728" t="s">
        <v>235</v>
      </c>
      <c r="D27" s="728" t="s">
        <v>236</v>
      </c>
      <c r="E27" s="728" t="s">
        <v>195</v>
      </c>
      <c r="F27" s="727" t="s">
        <v>195</v>
      </c>
      <c r="G27" s="728" t="s">
        <v>231</v>
      </c>
      <c r="H27" s="727"/>
      <c r="I27" s="727" t="s">
        <v>237</v>
      </c>
      <c r="J27" s="727" t="s">
        <v>248</v>
      </c>
      <c r="K27" s="729"/>
      <c r="L27" s="728" t="s">
        <v>175</v>
      </c>
      <c r="M27" s="728" t="s">
        <v>94</v>
      </c>
      <c r="N27" s="727" t="s">
        <v>249</v>
      </c>
      <c r="O27" s="727"/>
      <c r="P27" s="727"/>
      <c r="Q27" s="727"/>
      <c r="R27" s="730"/>
      <c r="S27" s="727"/>
      <c r="T27" s="728" t="s">
        <v>179</v>
      </c>
    </row>
    <row r="28" ht="34.5">
      <c r="A28" s="728" t="s">
        <v>167</v>
      </c>
      <c r="B28" s="728" t="s">
        <v>168</v>
      </c>
      <c r="C28" s="728" t="s">
        <v>230</v>
      </c>
      <c r="D28" s="728" t="s">
        <v>170</v>
      </c>
      <c r="E28" s="728" t="s">
        <v>195</v>
      </c>
      <c r="F28" s="727" t="s">
        <v>195</v>
      </c>
      <c r="G28" s="728" t="s">
        <v>30</v>
      </c>
      <c r="H28" s="727"/>
      <c r="I28" s="727" t="s">
        <v>30</v>
      </c>
      <c r="J28" s="727" t="s">
        <v>250</v>
      </c>
      <c r="K28" s="729"/>
      <c r="L28" s="728" t="s">
        <v>175</v>
      </c>
      <c r="M28" s="728" t="s">
        <v>176</v>
      </c>
      <c r="N28" s="727"/>
      <c r="O28" s="727"/>
      <c r="P28" s="727" t="s">
        <v>251</v>
      </c>
      <c r="Q28" s="727"/>
      <c r="R28" s="730"/>
      <c r="S28" s="727"/>
      <c r="T28" s="728" t="s">
        <v>179</v>
      </c>
    </row>
    <row r="29" ht="34.5">
      <c r="A29" s="728" t="s">
        <v>167</v>
      </c>
      <c r="B29" s="728" t="s">
        <v>168</v>
      </c>
      <c r="C29" s="728" t="s">
        <v>230</v>
      </c>
      <c r="D29" s="728" t="s">
        <v>170</v>
      </c>
      <c r="E29" s="728" t="s">
        <v>195</v>
      </c>
      <c r="F29" s="727" t="s">
        <v>195</v>
      </c>
      <c r="G29" s="728" t="s">
        <v>196</v>
      </c>
      <c r="H29" s="727"/>
      <c r="I29" s="727" t="s">
        <v>252</v>
      </c>
      <c r="J29" s="727" t="s">
        <v>253</v>
      </c>
      <c r="K29" s="729"/>
      <c r="L29" s="728" t="s">
        <v>175</v>
      </c>
      <c r="M29" s="728" t="s">
        <v>176</v>
      </c>
      <c r="N29" s="727"/>
      <c r="O29" s="727"/>
      <c r="P29" s="727"/>
      <c r="Q29" s="727"/>
      <c r="R29" s="730"/>
      <c r="S29" s="727"/>
      <c r="T29" s="728" t="s">
        <v>179</v>
      </c>
    </row>
    <row r="30" ht="34.5">
      <c r="A30" s="728" t="s">
        <v>167</v>
      </c>
      <c r="B30" s="728" t="s">
        <v>168</v>
      </c>
      <c r="C30" s="728" t="s">
        <v>230</v>
      </c>
      <c r="D30" s="728" t="s">
        <v>170</v>
      </c>
      <c r="E30" s="728" t="s">
        <v>195</v>
      </c>
      <c r="F30" s="727" t="s">
        <v>195</v>
      </c>
      <c r="G30" s="728" t="s">
        <v>254</v>
      </c>
      <c r="H30" s="727"/>
      <c r="I30" s="727" t="s">
        <v>255</v>
      </c>
      <c r="J30" s="727" t="s">
        <v>256</v>
      </c>
      <c r="K30" s="729"/>
      <c r="L30" s="728" t="s">
        <v>175</v>
      </c>
      <c r="M30" s="728" t="s">
        <v>176</v>
      </c>
      <c r="N30" s="727"/>
      <c r="O30" s="727"/>
      <c r="P30" s="727" t="s">
        <v>257</v>
      </c>
      <c r="Q30" s="727"/>
      <c r="R30" s="730"/>
      <c r="S30" s="727"/>
      <c r="T30" s="728" t="s">
        <v>179</v>
      </c>
    </row>
    <row r="31" ht="34.5">
      <c r="A31" s="728" t="s">
        <v>167</v>
      </c>
      <c r="B31" s="728" t="s">
        <v>168</v>
      </c>
      <c r="C31" s="728" t="s">
        <v>230</v>
      </c>
      <c r="D31" s="728" t="s">
        <v>170</v>
      </c>
      <c r="E31" s="728" t="s">
        <v>195</v>
      </c>
      <c r="F31" s="727" t="s">
        <v>195</v>
      </c>
      <c r="G31" s="728" t="s">
        <v>258</v>
      </c>
      <c r="H31" s="727"/>
      <c r="I31" s="727" t="s">
        <v>259</v>
      </c>
      <c r="J31" s="727" t="s">
        <v>260</v>
      </c>
      <c r="K31" s="729"/>
      <c r="L31" s="728" t="s">
        <v>175</v>
      </c>
      <c r="M31" s="728" t="s">
        <v>176</v>
      </c>
      <c r="N31" s="727" t="s">
        <v>261</v>
      </c>
      <c r="O31" s="727"/>
      <c r="P31" s="727" t="s">
        <v>262</v>
      </c>
      <c r="Q31" s="727"/>
      <c r="R31" s="730"/>
      <c r="S31" s="727"/>
      <c r="T31" s="728" t="s">
        <v>179</v>
      </c>
    </row>
    <row r="32" ht="34.5">
      <c r="A32" s="728" t="s">
        <v>167</v>
      </c>
      <c r="B32" s="728" t="s">
        <v>168</v>
      </c>
      <c r="C32" s="728" t="s">
        <v>230</v>
      </c>
      <c r="D32" s="728" t="s">
        <v>170</v>
      </c>
      <c r="E32" s="728" t="s">
        <v>195</v>
      </c>
      <c r="F32" s="727" t="s">
        <v>195</v>
      </c>
      <c r="G32" s="728" t="s">
        <v>258</v>
      </c>
      <c r="H32" s="727"/>
      <c r="I32" s="727" t="s">
        <v>33</v>
      </c>
      <c r="J32" s="727" t="s">
        <v>263</v>
      </c>
      <c r="K32" s="729"/>
      <c r="L32" s="728" t="s">
        <v>175</v>
      </c>
      <c r="M32" s="728" t="s">
        <v>176</v>
      </c>
      <c r="N32" s="727"/>
      <c r="O32" s="727"/>
      <c r="P32" s="727" t="s">
        <v>264</v>
      </c>
      <c r="Q32" s="727"/>
      <c r="R32" s="730"/>
      <c r="S32" s="727"/>
      <c r="T32" s="728" t="s">
        <v>179</v>
      </c>
    </row>
    <row r="33" ht="34.5">
      <c r="A33" s="728" t="s">
        <v>167</v>
      </c>
      <c r="B33" s="728" t="s">
        <v>168</v>
      </c>
      <c r="C33" s="728" t="s">
        <v>230</v>
      </c>
      <c r="D33" s="728" t="s">
        <v>170</v>
      </c>
      <c r="E33" s="728" t="s">
        <v>195</v>
      </c>
      <c r="F33" s="727" t="s">
        <v>195</v>
      </c>
      <c r="G33" s="728" t="s">
        <v>265</v>
      </c>
      <c r="H33" s="727"/>
      <c r="I33" s="727" t="s">
        <v>266</v>
      </c>
      <c r="J33" s="727" t="s">
        <v>267</v>
      </c>
      <c r="K33" s="729"/>
      <c r="L33" s="728" t="s">
        <v>175</v>
      </c>
      <c r="M33" s="728" t="s">
        <v>176</v>
      </c>
      <c r="N33" s="727"/>
      <c r="O33" s="727"/>
      <c r="P33" s="727"/>
      <c r="Q33" s="727"/>
      <c r="R33" s="730"/>
      <c r="S33" s="727"/>
      <c r="T33" s="728" t="s">
        <v>179</v>
      </c>
    </row>
    <row r="34" ht="34.5">
      <c r="A34" s="728" t="s">
        <v>167</v>
      </c>
      <c r="B34" s="728" t="s">
        <v>168</v>
      </c>
      <c r="C34" s="728" t="s">
        <v>230</v>
      </c>
      <c r="D34" s="728" t="s">
        <v>170</v>
      </c>
      <c r="E34" s="728" t="s">
        <v>195</v>
      </c>
      <c r="F34" s="727" t="s">
        <v>195</v>
      </c>
      <c r="G34" s="728" t="s">
        <v>231</v>
      </c>
      <c r="H34" s="727"/>
      <c r="I34" s="727" t="s">
        <v>268</v>
      </c>
      <c r="J34" s="727" t="s">
        <v>269</v>
      </c>
      <c r="K34" s="729"/>
      <c r="L34" s="728" t="s">
        <v>175</v>
      </c>
      <c r="M34" s="728" t="s">
        <v>176</v>
      </c>
      <c r="N34" s="727"/>
      <c r="O34" s="727"/>
      <c r="P34" s="727" t="s">
        <v>270</v>
      </c>
      <c r="Q34" s="727"/>
      <c r="R34" s="730"/>
      <c r="S34" s="727"/>
      <c r="T34" s="728" t="s">
        <v>179</v>
      </c>
    </row>
    <row r="35" ht="34.5">
      <c r="A35" s="728" t="s">
        <v>167</v>
      </c>
      <c r="B35" s="728" t="s">
        <v>168</v>
      </c>
      <c r="C35" s="728" t="s">
        <v>230</v>
      </c>
      <c r="D35" s="728" t="s">
        <v>170</v>
      </c>
      <c r="E35" s="728" t="s">
        <v>195</v>
      </c>
      <c r="F35" s="727" t="s">
        <v>195</v>
      </c>
      <c r="G35" s="728" t="s">
        <v>254</v>
      </c>
      <c r="H35" s="727"/>
      <c r="I35" s="727" t="s">
        <v>271</v>
      </c>
      <c r="J35" s="727" t="s">
        <v>272</v>
      </c>
      <c r="K35" s="729"/>
      <c r="L35" s="728" t="s">
        <v>175</v>
      </c>
      <c r="M35" s="728" t="s">
        <v>176</v>
      </c>
      <c r="N35" s="727"/>
      <c r="O35" s="727"/>
      <c r="P35" s="727" t="s">
        <v>273</v>
      </c>
      <c r="Q35" s="727"/>
      <c r="R35" s="730"/>
      <c r="S35" s="727"/>
      <c r="T35" s="728" t="s">
        <v>179</v>
      </c>
    </row>
    <row r="36" ht="34.5">
      <c r="A36" s="728" t="s">
        <v>167</v>
      </c>
      <c r="B36" s="728" t="s">
        <v>168</v>
      </c>
      <c r="C36" s="728" t="s">
        <v>230</v>
      </c>
      <c r="D36" s="728" t="s">
        <v>170</v>
      </c>
      <c r="E36" s="728" t="s">
        <v>195</v>
      </c>
      <c r="F36" s="727" t="s">
        <v>195</v>
      </c>
      <c r="G36" s="728" t="s">
        <v>274</v>
      </c>
      <c r="H36" s="727"/>
      <c r="I36" s="727" t="s">
        <v>275</v>
      </c>
      <c r="J36" s="727" t="s">
        <v>276</v>
      </c>
      <c r="K36" s="729"/>
      <c r="L36" s="728" t="s">
        <v>175</v>
      </c>
      <c r="M36" s="728" t="s">
        <v>176</v>
      </c>
      <c r="N36" s="727"/>
      <c r="O36" s="727"/>
      <c r="P36" s="727"/>
      <c r="Q36" s="727"/>
      <c r="R36" s="730"/>
      <c r="S36" s="727"/>
      <c r="T36" s="728" t="s">
        <v>179</v>
      </c>
    </row>
    <row r="37" ht="34.5">
      <c r="A37" s="728" t="s">
        <v>167</v>
      </c>
      <c r="B37" s="728" t="s">
        <v>168</v>
      </c>
      <c r="C37" s="728" t="s">
        <v>230</v>
      </c>
      <c r="D37" s="728" t="s">
        <v>170</v>
      </c>
      <c r="E37" s="728" t="s">
        <v>195</v>
      </c>
      <c r="F37" s="727" t="s">
        <v>195</v>
      </c>
      <c r="G37" s="728" t="s">
        <v>277</v>
      </c>
      <c r="H37" s="727"/>
      <c r="I37" s="727" t="s">
        <v>278</v>
      </c>
      <c r="J37" s="727" t="s">
        <v>279</v>
      </c>
      <c r="K37" s="729"/>
      <c r="L37" s="728" t="s">
        <v>175</v>
      </c>
      <c r="M37" s="728" t="s">
        <v>176</v>
      </c>
      <c r="N37" s="727"/>
      <c r="O37" s="727"/>
      <c r="P37" s="727" t="s">
        <v>280</v>
      </c>
      <c r="Q37" s="727"/>
      <c r="R37" s="730"/>
      <c r="S37" s="727"/>
      <c r="T37" s="728" t="s">
        <v>179</v>
      </c>
    </row>
    <row r="38" ht="34.5">
      <c r="A38" s="728" t="s">
        <v>167</v>
      </c>
      <c r="B38" s="728" t="s">
        <v>168</v>
      </c>
      <c r="C38" s="728" t="s">
        <v>230</v>
      </c>
      <c r="D38" s="728" t="s">
        <v>170</v>
      </c>
      <c r="E38" s="728" t="s">
        <v>195</v>
      </c>
      <c r="F38" s="727" t="s">
        <v>195</v>
      </c>
      <c r="G38" s="728" t="s">
        <v>281</v>
      </c>
      <c r="H38" s="727"/>
      <c r="I38" s="727" t="s">
        <v>282</v>
      </c>
      <c r="J38" s="727" t="s">
        <v>283</v>
      </c>
      <c r="K38" s="729">
        <v>41351</v>
      </c>
      <c r="L38" s="728" t="s">
        <v>175</v>
      </c>
      <c r="M38" s="728" t="s">
        <v>176</v>
      </c>
      <c r="N38" s="727" t="s">
        <v>284</v>
      </c>
      <c r="O38" s="727"/>
      <c r="P38" s="727" t="s">
        <v>285</v>
      </c>
      <c r="Q38" s="727"/>
      <c r="R38" s="730"/>
      <c r="S38" s="727"/>
      <c r="T38" s="728" t="s">
        <v>179</v>
      </c>
    </row>
    <row r="39" ht="34.5">
      <c r="A39" s="728" t="s">
        <v>167</v>
      </c>
      <c r="B39" s="728" t="s">
        <v>168</v>
      </c>
      <c r="C39" s="728" t="s">
        <v>230</v>
      </c>
      <c r="D39" s="728" t="s">
        <v>170</v>
      </c>
      <c r="E39" s="728" t="s">
        <v>195</v>
      </c>
      <c r="F39" s="727" t="s">
        <v>195</v>
      </c>
      <c r="G39" s="728" t="s">
        <v>286</v>
      </c>
      <c r="H39" s="727"/>
      <c r="I39" s="727" t="s">
        <v>287</v>
      </c>
      <c r="J39" s="727" t="s">
        <v>288</v>
      </c>
      <c r="K39" s="729"/>
      <c r="L39" s="728" t="s">
        <v>175</v>
      </c>
      <c r="M39" s="728" t="s">
        <v>176</v>
      </c>
      <c r="N39" s="727"/>
      <c r="O39" s="727"/>
      <c r="P39" s="727"/>
      <c r="Q39" s="727"/>
      <c r="R39" s="730"/>
      <c r="S39" s="727"/>
      <c r="T39" s="728" t="s">
        <v>179</v>
      </c>
    </row>
    <row r="40" ht="34.5">
      <c r="A40" s="728" t="s">
        <v>167</v>
      </c>
      <c r="B40" s="728" t="s">
        <v>168</v>
      </c>
      <c r="C40" s="728" t="s">
        <v>230</v>
      </c>
      <c r="D40" s="728" t="s">
        <v>170</v>
      </c>
      <c r="E40" s="728" t="s">
        <v>195</v>
      </c>
      <c r="F40" s="727" t="s">
        <v>195</v>
      </c>
      <c r="G40" s="728" t="s">
        <v>289</v>
      </c>
      <c r="H40" s="727"/>
      <c r="I40" s="727" t="s">
        <v>290</v>
      </c>
      <c r="J40" s="727" t="s">
        <v>291</v>
      </c>
      <c r="K40" s="729"/>
      <c r="L40" s="728" t="s">
        <v>175</v>
      </c>
      <c r="M40" s="728" t="s">
        <v>292</v>
      </c>
      <c r="N40" s="727"/>
      <c r="O40" s="727"/>
      <c r="P40" s="727" t="s">
        <v>293</v>
      </c>
      <c r="Q40" s="727" t="s">
        <v>294</v>
      </c>
      <c r="R40" s="730"/>
      <c r="S40" s="727"/>
      <c r="T40" s="728" t="s">
        <v>179</v>
      </c>
    </row>
    <row r="41" ht="34.5">
      <c r="A41" s="728" t="s">
        <v>167</v>
      </c>
      <c r="B41" s="728" t="s">
        <v>168</v>
      </c>
      <c r="C41" s="728" t="s">
        <v>295</v>
      </c>
      <c r="D41" s="728" t="s">
        <v>170</v>
      </c>
      <c r="E41" s="728" t="s">
        <v>296</v>
      </c>
      <c r="F41" s="727" t="s">
        <v>296</v>
      </c>
      <c r="G41" s="728" t="s">
        <v>297</v>
      </c>
      <c r="H41" s="727"/>
      <c r="I41" s="727" t="s">
        <v>298</v>
      </c>
      <c r="J41" s="727" t="s">
        <v>299</v>
      </c>
      <c r="K41" s="729"/>
      <c r="L41" s="728" t="s">
        <v>175</v>
      </c>
      <c r="M41" s="728" t="s">
        <v>176</v>
      </c>
      <c r="N41" s="727"/>
      <c r="O41" s="727"/>
      <c r="P41" s="727"/>
      <c r="Q41" s="727"/>
      <c r="R41" s="730"/>
      <c r="S41" s="727"/>
      <c r="T41" s="728" t="s">
        <v>179</v>
      </c>
    </row>
    <row r="42" ht="34.5">
      <c r="A42" s="728" t="s">
        <v>167</v>
      </c>
      <c r="B42" s="728" t="s">
        <v>168</v>
      </c>
      <c r="C42" s="728" t="s">
        <v>295</v>
      </c>
      <c r="D42" s="728" t="s">
        <v>170</v>
      </c>
      <c r="E42" s="728" t="s">
        <v>296</v>
      </c>
      <c r="F42" s="727" t="s">
        <v>296</v>
      </c>
      <c r="G42" s="728" t="s">
        <v>297</v>
      </c>
      <c r="H42" s="727"/>
      <c r="I42" s="727" t="s">
        <v>300</v>
      </c>
      <c r="J42" s="727" t="s">
        <v>301</v>
      </c>
      <c r="K42" s="729"/>
      <c r="L42" s="728" t="s">
        <v>175</v>
      </c>
      <c r="M42" s="728" t="s">
        <v>176</v>
      </c>
      <c r="N42" s="727"/>
      <c r="O42" s="727"/>
      <c r="P42" s="727"/>
      <c r="Q42" s="727"/>
      <c r="R42" s="730"/>
      <c r="S42" s="727"/>
      <c r="T42" s="728" t="s">
        <v>179</v>
      </c>
    </row>
    <row r="43" ht="34.5">
      <c r="A43" s="728" t="s">
        <v>167</v>
      </c>
      <c r="B43" s="728" t="s">
        <v>168</v>
      </c>
      <c r="C43" s="728" t="s">
        <v>302</v>
      </c>
      <c r="D43" s="728" t="s">
        <v>170</v>
      </c>
      <c r="E43" s="728" t="s">
        <v>296</v>
      </c>
      <c r="F43" s="727" t="s">
        <v>296</v>
      </c>
      <c r="G43" s="728" t="s">
        <v>297</v>
      </c>
      <c r="H43" s="727"/>
      <c r="I43" s="727" t="s">
        <v>303</v>
      </c>
      <c r="J43" s="727" t="s">
        <v>304</v>
      </c>
      <c r="K43" s="729"/>
      <c r="L43" s="728" t="s">
        <v>175</v>
      </c>
      <c r="M43" s="728" t="s">
        <v>176</v>
      </c>
      <c r="N43" s="727"/>
      <c r="O43" s="727"/>
      <c r="P43" s="727" t="s">
        <v>305</v>
      </c>
      <c r="Q43" s="727"/>
      <c r="R43" s="730"/>
      <c r="S43" s="727"/>
      <c r="T43" s="728" t="s">
        <v>179</v>
      </c>
    </row>
    <row r="44" ht="34.5">
      <c r="A44" s="728" t="s">
        <v>167</v>
      </c>
      <c r="B44" s="728" t="s">
        <v>168</v>
      </c>
      <c r="C44" s="728" t="s">
        <v>302</v>
      </c>
      <c r="D44" s="728" t="s">
        <v>170</v>
      </c>
      <c r="E44" s="728" t="s">
        <v>296</v>
      </c>
      <c r="F44" s="727" t="s">
        <v>296</v>
      </c>
      <c r="G44" s="728" t="s">
        <v>297</v>
      </c>
      <c r="H44" s="727"/>
      <c r="I44" s="727" t="s">
        <v>306</v>
      </c>
      <c r="J44" s="727" t="s">
        <v>307</v>
      </c>
      <c r="K44" s="729"/>
      <c r="L44" s="728" t="s">
        <v>175</v>
      </c>
      <c r="M44" s="728" t="s">
        <v>176</v>
      </c>
      <c r="N44" s="727" t="s">
        <v>308</v>
      </c>
      <c r="O44" s="727"/>
      <c r="P44" s="727" t="s">
        <v>309</v>
      </c>
      <c r="Q44" s="727" t="s">
        <v>310</v>
      </c>
      <c r="R44" s="730"/>
      <c r="S44" s="727"/>
      <c r="T44" s="728" t="s">
        <v>179</v>
      </c>
    </row>
    <row r="45" ht="34.5">
      <c r="A45" s="728" t="s">
        <v>167</v>
      </c>
      <c r="B45" s="728" t="s">
        <v>168</v>
      </c>
      <c r="C45" s="728" t="s">
        <v>302</v>
      </c>
      <c r="D45" s="728" t="s">
        <v>170</v>
      </c>
      <c r="E45" s="728" t="s">
        <v>296</v>
      </c>
      <c r="F45" s="727" t="s">
        <v>296</v>
      </c>
      <c r="G45" s="728" t="s">
        <v>297</v>
      </c>
      <c r="H45" s="727"/>
      <c r="I45" s="727" t="s">
        <v>311</v>
      </c>
      <c r="J45" s="727" t="s">
        <v>312</v>
      </c>
      <c r="K45" s="729"/>
      <c r="L45" s="728" t="s">
        <v>175</v>
      </c>
      <c r="M45" s="728" t="s">
        <v>176</v>
      </c>
      <c r="N45" s="727"/>
      <c r="O45" s="727"/>
      <c r="P45" s="727"/>
      <c r="Q45" s="727"/>
      <c r="R45" s="730"/>
      <c r="S45" s="727"/>
      <c r="T45" s="728" t="s">
        <v>179</v>
      </c>
    </row>
    <row r="46" ht="34.5">
      <c r="A46" s="728" t="s">
        <v>167</v>
      </c>
      <c r="B46" s="728" t="s">
        <v>168</v>
      </c>
      <c r="C46" s="728" t="s">
        <v>313</v>
      </c>
      <c r="D46" s="728" t="s">
        <v>170</v>
      </c>
      <c r="E46" s="728" t="s">
        <v>296</v>
      </c>
      <c r="F46" s="727" t="s">
        <v>296</v>
      </c>
      <c r="G46" s="728" t="s">
        <v>286</v>
      </c>
      <c r="H46" s="727"/>
      <c r="I46" s="727" t="s">
        <v>314</v>
      </c>
      <c r="J46" s="727" t="s">
        <v>315</v>
      </c>
      <c r="K46" s="729"/>
      <c r="L46" s="728" t="s">
        <v>175</v>
      </c>
      <c r="M46" s="728" t="s">
        <v>176</v>
      </c>
      <c r="N46" s="727"/>
      <c r="O46" s="727"/>
      <c r="P46" s="727" t="s">
        <v>316</v>
      </c>
      <c r="Q46" s="727"/>
      <c r="R46" s="730"/>
      <c r="S46" s="727"/>
      <c r="T46" s="728" t="s">
        <v>179</v>
      </c>
    </row>
    <row r="47" ht="34.5">
      <c r="A47" s="728" t="s">
        <v>167</v>
      </c>
      <c r="B47" s="728" t="s">
        <v>168</v>
      </c>
      <c r="C47" s="728" t="s">
        <v>313</v>
      </c>
      <c r="D47" s="728" t="s">
        <v>170</v>
      </c>
      <c r="E47" s="728" t="s">
        <v>296</v>
      </c>
      <c r="F47" s="727" t="s">
        <v>296</v>
      </c>
      <c r="G47" s="728" t="s">
        <v>317</v>
      </c>
      <c r="H47" s="727"/>
      <c r="I47" s="727" t="s">
        <v>318</v>
      </c>
      <c r="J47" s="727" t="s">
        <v>319</v>
      </c>
      <c r="K47" s="729"/>
      <c r="L47" s="728" t="s">
        <v>175</v>
      </c>
      <c r="M47" s="728" t="s">
        <v>176</v>
      </c>
      <c r="N47" s="727"/>
      <c r="O47" s="727"/>
      <c r="P47" s="727"/>
      <c r="Q47" s="727"/>
      <c r="R47" s="730"/>
      <c r="S47" s="727"/>
      <c r="T47" s="728" t="s">
        <v>179</v>
      </c>
    </row>
    <row r="48" ht="34.5">
      <c r="A48" s="728" t="s">
        <v>167</v>
      </c>
      <c r="B48" s="728" t="s">
        <v>168</v>
      </c>
      <c r="C48" s="728" t="s">
        <v>302</v>
      </c>
      <c r="D48" s="728" t="s">
        <v>320</v>
      </c>
      <c r="E48" s="728" t="s">
        <v>296</v>
      </c>
      <c r="F48" s="727" t="s">
        <v>296</v>
      </c>
      <c r="G48" s="728" t="s">
        <v>297</v>
      </c>
      <c r="H48" s="727"/>
      <c r="I48" s="727" t="s">
        <v>321</v>
      </c>
      <c r="J48" s="727" t="s">
        <v>322</v>
      </c>
      <c r="K48" s="729">
        <v>5128577</v>
      </c>
      <c r="L48" s="728" t="s">
        <v>175</v>
      </c>
      <c r="M48" s="728" t="s">
        <v>176</v>
      </c>
      <c r="N48" s="727"/>
      <c r="O48" s="727"/>
      <c r="P48" s="727"/>
      <c r="Q48" s="727"/>
      <c r="R48" s="730"/>
      <c r="S48" s="727"/>
      <c r="T48" s="728" t="s">
        <v>179</v>
      </c>
    </row>
    <row r="49" ht="34.5">
      <c r="A49" s="728" t="s">
        <v>167</v>
      </c>
      <c r="B49" s="728" t="s">
        <v>168</v>
      </c>
      <c r="C49" s="728" t="s">
        <v>302</v>
      </c>
      <c r="D49" s="728" t="s">
        <v>320</v>
      </c>
      <c r="E49" s="728" t="s">
        <v>296</v>
      </c>
      <c r="F49" s="727" t="s">
        <v>296</v>
      </c>
      <c r="G49" s="728" t="s">
        <v>297</v>
      </c>
      <c r="H49" s="727"/>
      <c r="I49" s="727" t="s">
        <v>321</v>
      </c>
      <c r="J49" s="727" t="s">
        <v>323</v>
      </c>
      <c r="K49" s="729">
        <v>67367</v>
      </c>
      <c r="L49" s="728" t="s">
        <v>175</v>
      </c>
      <c r="M49" s="728" t="s">
        <v>176</v>
      </c>
      <c r="N49" s="727"/>
      <c r="O49" s="727"/>
      <c r="P49" s="727"/>
      <c r="Q49" s="727"/>
      <c r="R49" s="730"/>
      <c r="S49" s="727"/>
      <c r="T49" s="728" t="s">
        <v>179</v>
      </c>
    </row>
    <row r="50" ht="34.5">
      <c r="A50" s="728" t="s">
        <v>167</v>
      </c>
      <c r="B50" s="728" t="s">
        <v>168</v>
      </c>
      <c r="C50" s="728" t="s">
        <v>302</v>
      </c>
      <c r="D50" s="728" t="s">
        <v>320</v>
      </c>
      <c r="E50" s="728" t="s">
        <v>296</v>
      </c>
      <c r="F50" s="727" t="s">
        <v>296</v>
      </c>
      <c r="G50" s="728" t="s">
        <v>297</v>
      </c>
      <c r="H50" s="727"/>
      <c r="I50" s="727" t="s">
        <v>321</v>
      </c>
      <c r="J50" s="727" t="s">
        <v>324</v>
      </c>
      <c r="K50" s="729">
        <v>5195944</v>
      </c>
      <c r="L50" s="728" t="s">
        <v>175</v>
      </c>
      <c r="M50" s="728" t="s">
        <v>176</v>
      </c>
      <c r="N50" s="727"/>
      <c r="O50" s="727"/>
      <c r="P50" s="727"/>
      <c r="Q50" s="727"/>
      <c r="R50" s="730"/>
      <c r="S50" s="727" t="s">
        <v>325</v>
      </c>
      <c r="T50" s="728" t="s">
        <v>179</v>
      </c>
    </row>
    <row r="51" ht="34.5">
      <c r="A51" s="728" t="s">
        <v>326</v>
      </c>
      <c r="B51" s="728" t="s">
        <v>168</v>
      </c>
      <c r="C51" s="728" t="s">
        <v>302</v>
      </c>
      <c r="D51" s="728" t="s">
        <v>320</v>
      </c>
      <c r="E51" s="728" t="s">
        <v>296</v>
      </c>
      <c r="F51" s="727" t="s">
        <v>296</v>
      </c>
      <c r="G51" s="728" t="s">
        <v>297</v>
      </c>
      <c r="H51" s="727"/>
      <c r="I51" s="727" t="s">
        <v>321</v>
      </c>
      <c r="J51" s="727" t="s">
        <v>322</v>
      </c>
      <c r="K51" s="729">
        <v>4022162</v>
      </c>
      <c r="L51" s="728" t="s">
        <v>175</v>
      </c>
      <c r="M51" s="728" t="s">
        <v>176</v>
      </c>
      <c r="N51" s="727"/>
      <c r="O51" s="727"/>
      <c r="P51" s="727"/>
      <c r="Q51" s="727"/>
      <c r="R51" s="730"/>
      <c r="S51" s="727"/>
      <c r="T51" s="728" t="s">
        <v>179</v>
      </c>
    </row>
    <row r="52" ht="34.5">
      <c r="A52" s="728" t="s">
        <v>326</v>
      </c>
      <c r="B52" s="728" t="s">
        <v>168</v>
      </c>
      <c r="C52" s="728" t="s">
        <v>302</v>
      </c>
      <c r="D52" s="728" t="s">
        <v>320</v>
      </c>
      <c r="E52" s="728" t="s">
        <v>296</v>
      </c>
      <c r="F52" s="727" t="s">
        <v>296</v>
      </c>
      <c r="G52" s="728" t="s">
        <v>297</v>
      </c>
      <c r="H52" s="727"/>
      <c r="I52" s="727" t="s">
        <v>321</v>
      </c>
      <c r="J52" s="727" t="s">
        <v>323</v>
      </c>
      <c r="K52" s="729">
        <v>95346</v>
      </c>
      <c r="L52" s="728" t="s">
        <v>175</v>
      </c>
      <c r="M52" s="728" t="s">
        <v>176</v>
      </c>
      <c r="N52" s="727"/>
      <c r="O52" s="727"/>
      <c r="P52" s="727"/>
      <c r="Q52" s="727"/>
      <c r="R52" s="730"/>
      <c r="S52" s="727"/>
      <c r="T52" s="728" t="s">
        <v>179</v>
      </c>
    </row>
    <row r="53" ht="34.5">
      <c r="A53" s="728" t="s">
        <v>326</v>
      </c>
      <c r="B53" s="728" t="s">
        <v>168</v>
      </c>
      <c r="C53" s="728" t="s">
        <v>302</v>
      </c>
      <c r="D53" s="728" t="s">
        <v>320</v>
      </c>
      <c r="E53" s="728" t="s">
        <v>296</v>
      </c>
      <c r="F53" s="727" t="s">
        <v>296</v>
      </c>
      <c r="G53" s="728" t="s">
        <v>297</v>
      </c>
      <c r="H53" s="727"/>
      <c r="I53" s="727" t="s">
        <v>321</v>
      </c>
      <c r="J53" s="727" t="s">
        <v>324</v>
      </c>
      <c r="K53" s="729">
        <v>4117508</v>
      </c>
      <c r="L53" s="728" t="s">
        <v>175</v>
      </c>
      <c r="M53" s="728" t="s">
        <v>176</v>
      </c>
      <c r="N53" s="727"/>
      <c r="O53" s="727"/>
      <c r="P53" s="727"/>
      <c r="Q53" s="727"/>
      <c r="R53" s="730"/>
      <c r="S53" s="727" t="s">
        <v>325</v>
      </c>
      <c r="T53" s="728" t="s">
        <v>179</v>
      </c>
    </row>
    <row r="54" ht="34.5">
      <c r="A54" s="728" t="s">
        <v>327</v>
      </c>
      <c r="B54" s="728" t="s">
        <v>328</v>
      </c>
      <c r="C54" s="728" t="s">
        <v>302</v>
      </c>
      <c r="D54" s="728" t="s">
        <v>320</v>
      </c>
      <c r="E54" s="728" t="s">
        <v>296</v>
      </c>
      <c r="F54" s="727" t="s">
        <v>296</v>
      </c>
      <c r="G54" s="728" t="s">
        <v>297</v>
      </c>
      <c r="H54" s="727"/>
      <c r="I54" s="727" t="s">
        <v>321</v>
      </c>
      <c r="J54" s="727" t="s">
        <v>329</v>
      </c>
      <c r="K54" s="729">
        <v>2237142</v>
      </c>
      <c r="L54" s="728" t="s">
        <v>175</v>
      </c>
      <c r="M54" s="728" t="s">
        <v>176</v>
      </c>
      <c r="N54" s="727"/>
      <c r="O54" s="727"/>
      <c r="P54" s="727"/>
      <c r="Q54" s="727"/>
      <c r="R54" s="730"/>
      <c r="S54" s="727"/>
      <c r="T54" s="728" t="s">
        <v>179</v>
      </c>
    </row>
    <row r="55" ht="34.5">
      <c r="A55" s="728" t="s">
        <v>327</v>
      </c>
      <c r="B55" s="728" t="s">
        <v>328</v>
      </c>
      <c r="C55" s="728" t="s">
        <v>302</v>
      </c>
      <c r="D55" s="728" t="s">
        <v>320</v>
      </c>
      <c r="E55" s="728" t="s">
        <v>296</v>
      </c>
      <c r="F55" s="727" t="s">
        <v>296</v>
      </c>
      <c r="G55" s="728" t="s">
        <v>297</v>
      </c>
      <c r="H55" s="727"/>
      <c r="I55" s="727" t="s">
        <v>321</v>
      </c>
      <c r="J55" s="727" t="s">
        <v>330</v>
      </c>
      <c r="K55" s="729">
        <v>15158407</v>
      </c>
      <c r="L55" s="728" t="s">
        <v>175</v>
      </c>
      <c r="M55" s="728" t="s">
        <v>176</v>
      </c>
      <c r="N55" s="727"/>
      <c r="O55" s="727"/>
      <c r="P55" s="727"/>
      <c r="Q55" s="727"/>
      <c r="R55" s="730"/>
      <c r="S55" s="727"/>
      <c r="T55" s="728" t="s">
        <v>179</v>
      </c>
    </row>
    <row r="56" ht="34.5">
      <c r="A56" s="728" t="s">
        <v>327</v>
      </c>
      <c r="B56" s="728" t="s">
        <v>328</v>
      </c>
      <c r="C56" s="728" t="s">
        <v>302</v>
      </c>
      <c r="D56" s="728" t="s">
        <v>320</v>
      </c>
      <c r="E56" s="728" t="s">
        <v>296</v>
      </c>
      <c r="F56" s="727" t="s">
        <v>296</v>
      </c>
      <c r="G56" s="728" t="s">
        <v>297</v>
      </c>
      <c r="H56" s="727"/>
      <c r="I56" s="727" t="s">
        <v>321</v>
      </c>
      <c r="J56" s="727" t="s">
        <v>331</v>
      </c>
      <c r="K56" s="729">
        <v>17395549</v>
      </c>
      <c r="L56" s="728" t="s">
        <v>175</v>
      </c>
      <c r="M56" s="728" t="s">
        <v>176</v>
      </c>
      <c r="N56" s="727"/>
      <c r="O56" s="727"/>
      <c r="P56" s="727"/>
      <c r="Q56" s="727"/>
      <c r="R56" s="730"/>
      <c r="S56" s="727" t="s">
        <v>332</v>
      </c>
      <c r="T56" s="728" t="s">
        <v>179</v>
      </c>
    </row>
    <row r="57" ht="34.5">
      <c r="A57" s="728" t="s">
        <v>333</v>
      </c>
      <c r="B57" s="728" t="s">
        <v>334</v>
      </c>
      <c r="C57" s="728" t="s">
        <v>335</v>
      </c>
      <c r="D57" s="728" t="s">
        <v>320</v>
      </c>
      <c r="E57" s="728" t="s">
        <v>296</v>
      </c>
      <c r="F57" s="727" t="s">
        <v>296</v>
      </c>
      <c r="G57" s="728" t="s">
        <v>297</v>
      </c>
      <c r="H57" s="727"/>
      <c r="I57" s="727" t="s">
        <v>321</v>
      </c>
      <c r="J57" s="727" t="s">
        <v>336</v>
      </c>
      <c r="K57" s="729">
        <v>5323019</v>
      </c>
      <c r="L57" s="728" t="s">
        <v>175</v>
      </c>
      <c r="M57" s="728" t="s">
        <v>176</v>
      </c>
      <c r="N57" s="727"/>
      <c r="O57" s="727"/>
      <c r="P57" s="727"/>
      <c r="Q57" s="727"/>
      <c r="R57" s="730"/>
      <c r="S57" s="727"/>
      <c r="T57" s="728" t="s">
        <v>179</v>
      </c>
    </row>
    <row r="58" ht="34.5">
      <c r="A58" s="728" t="s">
        <v>333</v>
      </c>
      <c r="B58" s="728" t="s">
        <v>334</v>
      </c>
      <c r="C58" s="728" t="s">
        <v>335</v>
      </c>
      <c r="D58" s="728" t="s">
        <v>320</v>
      </c>
      <c r="E58" s="728" t="s">
        <v>296</v>
      </c>
      <c r="F58" s="727" t="s">
        <v>296</v>
      </c>
      <c r="G58" s="728" t="s">
        <v>297</v>
      </c>
      <c r="H58" s="727"/>
      <c r="I58" s="727" t="s">
        <v>321</v>
      </c>
      <c r="J58" s="727" t="s">
        <v>337</v>
      </c>
      <c r="K58" s="729">
        <v>165776</v>
      </c>
      <c r="L58" s="728" t="s">
        <v>175</v>
      </c>
      <c r="M58" s="728" t="s">
        <v>176</v>
      </c>
      <c r="N58" s="727"/>
      <c r="O58" s="727"/>
      <c r="P58" s="727"/>
      <c r="Q58" s="727"/>
      <c r="R58" s="730"/>
      <c r="S58" s="727"/>
      <c r="T58" s="728" t="s">
        <v>179</v>
      </c>
    </row>
    <row r="59" ht="34.5">
      <c r="A59" s="728" t="s">
        <v>333</v>
      </c>
      <c r="B59" s="728" t="s">
        <v>334</v>
      </c>
      <c r="C59" s="728" t="s">
        <v>335</v>
      </c>
      <c r="D59" s="728" t="s">
        <v>320</v>
      </c>
      <c r="E59" s="728" t="s">
        <v>296</v>
      </c>
      <c r="F59" s="727" t="s">
        <v>296</v>
      </c>
      <c r="G59" s="728" t="s">
        <v>297</v>
      </c>
      <c r="H59" s="727"/>
      <c r="I59" s="727" t="s">
        <v>321</v>
      </c>
      <c r="J59" s="727" t="s">
        <v>331</v>
      </c>
      <c r="K59" s="729">
        <v>5488795</v>
      </c>
      <c r="L59" s="728" t="s">
        <v>175</v>
      </c>
      <c r="M59" s="728" t="s">
        <v>176</v>
      </c>
      <c r="N59" s="727"/>
      <c r="O59" s="727"/>
      <c r="P59" s="727"/>
      <c r="Q59" s="727"/>
      <c r="R59" s="730"/>
      <c r="S59" s="727" t="s">
        <v>332</v>
      </c>
      <c r="T59" s="728" t="s">
        <v>179</v>
      </c>
    </row>
    <row r="60" ht="34.5">
      <c r="A60" s="728" t="s">
        <v>338</v>
      </c>
      <c r="B60" s="728" t="s">
        <v>339</v>
      </c>
      <c r="C60" s="728" t="s">
        <v>302</v>
      </c>
      <c r="D60" s="728" t="s">
        <v>320</v>
      </c>
      <c r="E60" s="728" t="s">
        <v>296</v>
      </c>
      <c r="F60" s="727" t="s">
        <v>296</v>
      </c>
      <c r="G60" s="728" t="s">
        <v>297</v>
      </c>
      <c r="H60" s="727"/>
      <c r="I60" s="727" t="s">
        <v>321</v>
      </c>
      <c r="J60" s="727" t="s">
        <v>340</v>
      </c>
      <c r="K60" s="729">
        <v>5484101</v>
      </c>
      <c r="L60" s="728" t="s">
        <v>175</v>
      </c>
      <c r="M60" s="728" t="s">
        <v>176</v>
      </c>
      <c r="N60" s="727"/>
      <c r="O60" s="727"/>
      <c r="P60" s="727"/>
      <c r="Q60" s="727"/>
      <c r="R60" s="730"/>
      <c r="S60" s="727"/>
      <c r="T60" s="728" t="s">
        <v>179</v>
      </c>
    </row>
    <row r="61" ht="34.5">
      <c r="A61" s="728" t="s">
        <v>167</v>
      </c>
      <c r="B61" s="728" t="s">
        <v>168</v>
      </c>
      <c r="C61" s="728" t="s">
        <v>335</v>
      </c>
      <c r="D61" s="728" t="s">
        <v>341</v>
      </c>
      <c r="E61" s="728" t="s">
        <v>296</v>
      </c>
      <c r="F61" s="727" t="s">
        <v>296</v>
      </c>
      <c r="G61" s="728" t="s">
        <v>297</v>
      </c>
      <c r="H61" s="727"/>
      <c r="I61" s="727" t="s">
        <v>342</v>
      </c>
      <c r="J61" s="727" t="s">
        <v>343</v>
      </c>
      <c r="K61" s="729">
        <v>296566539</v>
      </c>
      <c r="L61" s="728" t="s">
        <v>175</v>
      </c>
      <c r="M61" s="728" t="s">
        <v>176</v>
      </c>
      <c r="N61" s="727" t="s">
        <v>344</v>
      </c>
      <c r="O61" s="727"/>
      <c r="P61" s="727"/>
      <c r="Q61" s="727" t="s">
        <v>345</v>
      </c>
      <c r="R61" s="730"/>
      <c r="S61" s="727"/>
      <c r="T61" s="728" t="s">
        <v>179</v>
      </c>
    </row>
    <row r="62" ht="34.5">
      <c r="A62" s="728" t="s">
        <v>167</v>
      </c>
      <c r="B62" s="728" t="s">
        <v>168</v>
      </c>
      <c r="C62" s="728" t="s">
        <v>335</v>
      </c>
      <c r="D62" s="728" t="s">
        <v>341</v>
      </c>
      <c r="E62" s="728" t="s">
        <v>296</v>
      </c>
      <c r="F62" s="727" t="s">
        <v>296</v>
      </c>
      <c r="G62" s="728" t="s">
        <v>297</v>
      </c>
      <c r="H62" s="727"/>
      <c r="I62" s="727" t="s">
        <v>342</v>
      </c>
      <c r="J62" s="727" t="s">
        <v>346</v>
      </c>
      <c r="K62" s="729">
        <v>11608358</v>
      </c>
      <c r="L62" s="728" t="s">
        <v>175</v>
      </c>
      <c r="M62" s="728" t="s">
        <v>176</v>
      </c>
      <c r="N62" s="727" t="s">
        <v>344</v>
      </c>
      <c r="O62" s="727"/>
      <c r="P62" s="727"/>
      <c r="Q62" s="727" t="s">
        <v>345</v>
      </c>
      <c r="R62" s="730"/>
      <c r="S62" s="727"/>
      <c r="T62" s="728" t="s">
        <v>179</v>
      </c>
    </row>
    <row r="63" ht="34.5">
      <c r="A63" s="728" t="s">
        <v>167</v>
      </c>
      <c r="B63" s="728" t="s">
        <v>168</v>
      </c>
      <c r="C63" s="728" t="s">
        <v>335</v>
      </c>
      <c r="D63" s="728" t="s">
        <v>341</v>
      </c>
      <c r="E63" s="728" t="s">
        <v>296</v>
      </c>
      <c r="F63" s="727" t="s">
        <v>296</v>
      </c>
      <c r="G63" s="728" t="s">
        <v>297</v>
      </c>
      <c r="H63" s="727"/>
      <c r="I63" s="727" t="s">
        <v>342</v>
      </c>
      <c r="J63" s="727" t="s">
        <v>347</v>
      </c>
      <c r="K63" s="729">
        <v>2311149</v>
      </c>
      <c r="L63" s="728" t="s">
        <v>175</v>
      </c>
      <c r="M63" s="728" t="s">
        <v>176</v>
      </c>
      <c r="N63" s="727" t="s">
        <v>344</v>
      </c>
      <c r="O63" s="727"/>
      <c r="P63" s="727"/>
      <c r="Q63" s="727" t="s">
        <v>345</v>
      </c>
      <c r="R63" s="730"/>
      <c r="S63" s="727"/>
      <c r="T63" s="728" t="s">
        <v>179</v>
      </c>
    </row>
    <row r="64" ht="34.5">
      <c r="A64" s="728" t="s">
        <v>326</v>
      </c>
      <c r="B64" s="728" t="s">
        <v>168</v>
      </c>
      <c r="C64" s="728" t="s">
        <v>335</v>
      </c>
      <c r="D64" s="728" t="s">
        <v>341</v>
      </c>
      <c r="E64" s="728" t="s">
        <v>296</v>
      </c>
      <c r="F64" s="727" t="s">
        <v>296</v>
      </c>
      <c r="G64" s="728" t="s">
        <v>297</v>
      </c>
      <c r="H64" s="727"/>
      <c r="I64" s="727" t="s">
        <v>342</v>
      </c>
      <c r="J64" s="727" t="s">
        <v>348</v>
      </c>
      <c r="K64" s="729">
        <v>324584858</v>
      </c>
      <c r="L64" s="728" t="s">
        <v>175</v>
      </c>
      <c r="M64" s="728" t="s">
        <v>176</v>
      </c>
      <c r="N64" s="727" t="s">
        <v>344</v>
      </c>
      <c r="O64" s="727"/>
      <c r="P64" s="727"/>
      <c r="Q64" s="727" t="s">
        <v>345</v>
      </c>
      <c r="R64" s="730"/>
      <c r="S64" s="727"/>
      <c r="T64" s="728" t="s">
        <v>179</v>
      </c>
    </row>
    <row r="65" ht="34.5">
      <c r="A65" s="728" t="s">
        <v>326</v>
      </c>
      <c r="B65" s="728" t="s">
        <v>168</v>
      </c>
      <c r="C65" s="728" t="s">
        <v>335</v>
      </c>
      <c r="D65" s="728" t="s">
        <v>341</v>
      </c>
      <c r="E65" s="728" t="s">
        <v>296</v>
      </c>
      <c r="F65" s="727" t="s">
        <v>296</v>
      </c>
      <c r="G65" s="728" t="s">
        <v>297</v>
      </c>
      <c r="H65" s="727"/>
      <c r="I65" s="727" t="s">
        <v>342</v>
      </c>
      <c r="J65" s="727" t="s">
        <v>349</v>
      </c>
      <c r="K65" s="729">
        <v>12456347</v>
      </c>
      <c r="L65" s="728" t="s">
        <v>175</v>
      </c>
      <c r="M65" s="728" t="s">
        <v>176</v>
      </c>
      <c r="N65" s="727" t="s">
        <v>344</v>
      </c>
      <c r="O65" s="727"/>
      <c r="P65" s="727"/>
      <c r="Q65" s="727" t="s">
        <v>345</v>
      </c>
      <c r="R65" s="730"/>
      <c r="S65" s="727"/>
      <c r="T65" s="728" t="s">
        <v>179</v>
      </c>
    </row>
    <row r="66" ht="34.5">
      <c r="A66" s="728" t="s">
        <v>326</v>
      </c>
      <c r="B66" s="728" t="s">
        <v>168</v>
      </c>
      <c r="C66" s="728" t="s">
        <v>335</v>
      </c>
      <c r="D66" s="728" t="s">
        <v>341</v>
      </c>
      <c r="E66" s="728" t="s">
        <v>296</v>
      </c>
      <c r="F66" s="727" t="s">
        <v>296</v>
      </c>
      <c r="G66" s="728" t="s">
        <v>297</v>
      </c>
      <c r="H66" s="727"/>
      <c r="I66" s="727" t="s">
        <v>342</v>
      </c>
      <c r="J66" s="727" t="s">
        <v>350</v>
      </c>
      <c r="K66" s="729">
        <v>1419947</v>
      </c>
      <c r="L66" s="728" t="s">
        <v>175</v>
      </c>
      <c r="M66" s="728" t="s">
        <v>176</v>
      </c>
      <c r="N66" s="727" t="s">
        <v>344</v>
      </c>
      <c r="O66" s="727"/>
      <c r="P66" s="727"/>
      <c r="Q66" s="727" t="s">
        <v>345</v>
      </c>
      <c r="R66" s="730"/>
      <c r="S66" s="727"/>
      <c r="T66" s="728" t="s">
        <v>179</v>
      </c>
    </row>
    <row r="67" ht="34.5">
      <c r="A67" s="728" t="s">
        <v>327</v>
      </c>
      <c r="B67" s="728" t="s">
        <v>328</v>
      </c>
      <c r="C67" s="728" t="s">
        <v>335</v>
      </c>
      <c r="D67" s="728" t="s">
        <v>341</v>
      </c>
      <c r="E67" s="728" t="s">
        <v>296</v>
      </c>
      <c r="F67" s="727" t="s">
        <v>296</v>
      </c>
      <c r="G67" s="728" t="s">
        <v>297</v>
      </c>
      <c r="H67" s="727"/>
      <c r="I67" s="727" t="s">
        <v>342</v>
      </c>
      <c r="J67" s="727" t="s">
        <v>351</v>
      </c>
      <c r="K67" s="729">
        <v>352306248</v>
      </c>
      <c r="L67" s="728" t="s">
        <v>175</v>
      </c>
      <c r="M67" s="728" t="s">
        <v>176</v>
      </c>
      <c r="N67" s="727" t="s">
        <v>344</v>
      </c>
      <c r="O67" s="727"/>
      <c r="P67" s="727"/>
      <c r="Q67" s="727" t="s">
        <v>345</v>
      </c>
      <c r="R67" s="730"/>
      <c r="S67" s="727"/>
      <c r="T67" s="728" t="s">
        <v>179</v>
      </c>
    </row>
    <row r="68" ht="34.5">
      <c r="A68" s="728" t="s">
        <v>327</v>
      </c>
      <c r="B68" s="728" t="s">
        <v>328</v>
      </c>
      <c r="C68" s="728" t="s">
        <v>335</v>
      </c>
      <c r="D68" s="728" t="s">
        <v>341</v>
      </c>
      <c r="E68" s="728" t="s">
        <v>296</v>
      </c>
      <c r="F68" s="727" t="s">
        <v>296</v>
      </c>
      <c r="G68" s="728" t="s">
        <v>297</v>
      </c>
      <c r="H68" s="727"/>
      <c r="I68" s="727" t="s">
        <v>342</v>
      </c>
      <c r="J68" s="727" t="s">
        <v>352</v>
      </c>
      <c r="K68" s="729">
        <v>13281465</v>
      </c>
      <c r="L68" s="728" t="s">
        <v>175</v>
      </c>
      <c r="M68" s="728" t="s">
        <v>176</v>
      </c>
      <c r="N68" s="727" t="s">
        <v>344</v>
      </c>
      <c r="O68" s="727"/>
      <c r="P68" s="727"/>
      <c r="Q68" s="727" t="s">
        <v>345</v>
      </c>
      <c r="R68" s="730"/>
      <c r="S68" s="727"/>
      <c r="T68" s="728" t="s">
        <v>179</v>
      </c>
    </row>
    <row r="69" ht="34.5">
      <c r="A69" s="728" t="s">
        <v>327</v>
      </c>
      <c r="B69" s="728" t="s">
        <v>328</v>
      </c>
      <c r="C69" s="728" t="s">
        <v>335</v>
      </c>
      <c r="D69" s="728" t="s">
        <v>341</v>
      </c>
      <c r="E69" s="728" t="s">
        <v>296</v>
      </c>
      <c r="F69" s="727" t="s">
        <v>296</v>
      </c>
      <c r="G69" s="728" t="s">
        <v>297</v>
      </c>
      <c r="H69" s="727"/>
      <c r="I69" s="727" t="s">
        <v>342</v>
      </c>
      <c r="J69" s="727" t="s">
        <v>353</v>
      </c>
      <c r="K69" s="729">
        <v>2536737</v>
      </c>
      <c r="L69" s="728" t="s">
        <v>175</v>
      </c>
      <c r="M69" s="728" t="s">
        <v>176</v>
      </c>
      <c r="N69" s="727" t="s">
        <v>344</v>
      </c>
      <c r="O69" s="727"/>
      <c r="P69" s="727"/>
      <c r="Q69" s="727" t="s">
        <v>345</v>
      </c>
      <c r="R69" s="730"/>
      <c r="S69" s="727"/>
      <c r="T69" s="728" t="s">
        <v>179</v>
      </c>
    </row>
    <row r="70" ht="34.5">
      <c r="A70" s="728" t="s">
        <v>333</v>
      </c>
      <c r="B70" s="728" t="s">
        <v>334</v>
      </c>
      <c r="C70" s="728" t="s">
        <v>354</v>
      </c>
      <c r="D70" s="728" t="s">
        <v>341</v>
      </c>
      <c r="E70" s="728" t="s">
        <v>296</v>
      </c>
      <c r="F70" s="727" t="s">
        <v>296</v>
      </c>
      <c r="G70" s="728" t="s">
        <v>297</v>
      </c>
      <c r="H70" s="727"/>
      <c r="I70" s="727" t="s">
        <v>342</v>
      </c>
      <c r="J70" s="727" t="s">
        <v>355</v>
      </c>
      <c r="K70" s="729">
        <v>379191336</v>
      </c>
      <c r="L70" s="728" t="s">
        <v>175</v>
      </c>
      <c r="M70" s="728" t="s">
        <v>176</v>
      </c>
      <c r="N70" s="727" t="s">
        <v>344</v>
      </c>
      <c r="O70" s="727"/>
      <c r="P70" s="727"/>
      <c r="Q70" s="727" t="s">
        <v>345</v>
      </c>
      <c r="R70" s="730"/>
      <c r="S70" s="727"/>
      <c r="T70" s="728" t="s">
        <v>179</v>
      </c>
    </row>
    <row r="71" ht="34.5">
      <c r="A71" s="728" t="s">
        <v>333</v>
      </c>
      <c r="B71" s="728" t="s">
        <v>334</v>
      </c>
      <c r="C71" s="728" t="s">
        <v>354</v>
      </c>
      <c r="D71" s="728" t="s">
        <v>341</v>
      </c>
      <c r="E71" s="728" t="s">
        <v>296</v>
      </c>
      <c r="F71" s="727" t="s">
        <v>296</v>
      </c>
      <c r="G71" s="728" t="s">
        <v>297</v>
      </c>
      <c r="H71" s="727"/>
      <c r="I71" s="727" t="s">
        <v>342</v>
      </c>
      <c r="J71" s="727" t="s">
        <v>356</v>
      </c>
      <c r="K71" s="729">
        <v>14084478</v>
      </c>
      <c r="L71" s="728" t="s">
        <v>175</v>
      </c>
      <c r="M71" s="728" t="s">
        <v>176</v>
      </c>
      <c r="N71" s="727" t="s">
        <v>344</v>
      </c>
      <c r="O71" s="727"/>
      <c r="P71" s="727"/>
      <c r="Q71" s="727" t="s">
        <v>345</v>
      </c>
      <c r="R71" s="730"/>
      <c r="S71" s="727"/>
      <c r="T71" s="728" t="s">
        <v>179</v>
      </c>
    </row>
    <row r="72" ht="34.5">
      <c r="A72" s="728" t="s">
        <v>333</v>
      </c>
      <c r="B72" s="728" t="s">
        <v>334</v>
      </c>
      <c r="C72" s="728" t="s">
        <v>354</v>
      </c>
      <c r="D72" s="728" t="s">
        <v>341</v>
      </c>
      <c r="E72" s="728" t="s">
        <v>296</v>
      </c>
      <c r="F72" s="727" t="s">
        <v>296</v>
      </c>
      <c r="G72" s="728" t="s">
        <v>297</v>
      </c>
      <c r="H72" s="727"/>
      <c r="I72" s="727" t="s">
        <v>342</v>
      </c>
      <c r="J72" s="727" t="s">
        <v>357</v>
      </c>
      <c r="K72" s="729">
        <v>1285733</v>
      </c>
      <c r="L72" s="728" t="s">
        <v>175</v>
      </c>
      <c r="M72" s="728" t="s">
        <v>176</v>
      </c>
      <c r="N72" s="727" t="s">
        <v>344</v>
      </c>
      <c r="O72" s="727"/>
      <c r="P72" s="727"/>
      <c r="Q72" s="727" t="s">
        <v>345</v>
      </c>
      <c r="R72" s="730"/>
      <c r="S72" s="727"/>
      <c r="T72" s="728" t="s">
        <v>179</v>
      </c>
    </row>
    <row r="73" ht="34.5">
      <c r="A73" s="728" t="s">
        <v>338</v>
      </c>
      <c r="B73" s="728" t="s">
        <v>339</v>
      </c>
      <c r="C73" s="728" t="s">
        <v>335</v>
      </c>
      <c r="D73" s="728" t="s">
        <v>341</v>
      </c>
      <c r="E73" s="728" t="s">
        <v>296</v>
      </c>
      <c r="F73" s="727" t="s">
        <v>296</v>
      </c>
      <c r="G73" s="728" t="s">
        <v>297</v>
      </c>
      <c r="H73" s="727"/>
      <c r="I73" s="727" t="s">
        <v>342</v>
      </c>
      <c r="J73" s="727" t="s">
        <v>358</v>
      </c>
      <c r="K73" s="729">
        <v>405649811</v>
      </c>
      <c r="L73" s="728" t="s">
        <v>175</v>
      </c>
      <c r="M73" s="728" t="s">
        <v>176</v>
      </c>
      <c r="N73" s="727" t="s">
        <v>344</v>
      </c>
      <c r="O73" s="727"/>
      <c r="P73" s="727"/>
      <c r="Q73" s="727" t="s">
        <v>345</v>
      </c>
      <c r="R73" s="730"/>
      <c r="S73" s="727"/>
      <c r="T73" s="728" t="s">
        <v>179</v>
      </c>
    </row>
    <row r="74" ht="34.5">
      <c r="A74" s="728" t="s">
        <v>338</v>
      </c>
      <c r="B74" s="728" t="s">
        <v>339</v>
      </c>
      <c r="C74" s="728" t="s">
        <v>335</v>
      </c>
      <c r="D74" s="728" t="s">
        <v>341</v>
      </c>
      <c r="E74" s="728" t="s">
        <v>296</v>
      </c>
      <c r="F74" s="727" t="s">
        <v>296</v>
      </c>
      <c r="G74" s="728" t="s">
        <v>297</v>
      </c>
      <c r="H74" s="727"/>
      <c r="I74" s="727" t="s">
        <v>342</v>
      </c>
      <c r="J74" s="727" t="s">
        <v>359</v>
      </c>
      <c r="K74" s="729">
        <v>14866121</v>
      </c>
      <c r="L74" s="728" t="s">
        <v>175</v>
      </c>
      <c r="M74" s="728" t="s">
        <v>176</v>
      </c>
      <c r="N74" s="727" t="s">
        <v>344</v>
      </c>
      <c r="O74" s="727"/>
      <c r="P74" s="727"/>
      <c r="Q74" s="727" t="s">
        <v>345</v>
      </c>
      <c r="R74" s="730"/>
      <c r="S74" s="727"/>
      <c r="T74" s="728" t="s">
        <v>179</v>
      </c>
    </row>
    <row r="75" ht="34.5">
      <c r="A75" s="728" t="s">
        <v>338</v>
      </c>
      <c r="B75" s="728" t="s">
        <v>339</v>
      </c>
      <c r="C75" s="728" t="s">
        <v>335</v>
      </c>
      <c r="D75" s="728" t="s">
        <v>341</v>
      </c>
      <c r="E75" s="728" t="s">
        <v>296</v>
      </c>
      <c r="F75" s="727" t="s">
        <v>296</v>
      </c>
      <c r="G75" s="728" t="s">
        <v>297</v>
      </c>
      <c r="H75" s="727"/>
      <c r="I75" s="727" t="s">
        <v>342</v>
      </c>
      <c r="J75" s="727" t="s">
        <v>360</v>
      </c>
      <c r="K75" s="729">
        <v>2652919</v>
      </c>
      <c r="L75" s="728" t="s">
        <v>175</v>
      </c>
      <c r="M75" s="728" t="s">
        <v>176</v>
      </c>
      <c r="N75" s="727" t="s">
        <v>344</v>
      </c>
      <c r="O75" s="727"/>
      <c r="P75" s="727"/>
      <c r="Q75" s="727" t="s">
        <v>345</v>
      </c>
      <c r="R75" s="730"/>
      <c r="S75" s="727"/>
      <c r="T75" s="728" t="s">
        <v>179</v>
      </c>
    </row>
    <row r="76" ht="34.5">
      <c r="A76" s="728" t="s">
        <v>167</v>
      </c>
      <c r="B76" s="728" t="s">
        <v>168</v>
      </c>
      <c r="C76" s="728" t="s">
        <v>354</v>
      </c>
      <c r="D76" s="728" t="s">
        <v>361</v>
      </c>
      <c r="E76" s="728" t="s">
        <v>296</v>
      </c>
      <c r="F76" s="727" t="s">
        <v>296</v>
      </c>
      <c r="G76" s="728" t="s">
        <v>254</v>
      </c>
      <c r="H76" s="727" t="s">
        <v>26</v>
      </c>
      <c r="I76" s="727" t="s">
        <v>362</v>
      </c>
      <c r="J76" s="727" t="s">
        <v>26</v>
      </c>
      <c r="K76" s="729">
        <v>5197344</v>
      </c>
      <c r="L76" s="728" t="s">
        <v>175</v>
      </c>
      <c r="M76" s="728" t="s">
        <v>176</v>
      </c>
      <c r="N76" s="727"/>
      <c r="O76" s="727"/>
      <c r="P76" s="727"/>
      <c r="Q76" s="727"/>
      <c r="R76" s="730" t="s">
        <v>363</v>
      </c>
      <c r="S76" s="727"/>
      <c r="T76" s="728" t="s">
        <v>179</v>
      </c>
    </row>
    <row r="77" ht="34.5">
      <c r="A77" s="728" t="s">
        <v>167</v>
      </c>
      <c r="B77" s="728" t="s">
        <v>168</v>
      </c>
      <c r="C77" s="728" t="s">
        <v>354</v>
      </c>
      <c r="D77" s="728" t="s">
        <v>361</v>
      </c>
      <c r="E77" s="728" t="s">
        <v>296</v>
      </c>
      <c r="F77" s="727" t="s">
        <v>296</v>
      </c>
      <c r="G77" s="728" t="s">
        <v>254</v>
      </c>
      <c r="H77" s="727"/>
      <c r="I77" s="727" t="s">
        <v>362</v>
      </c>
      <c r="J77" s="727" t="s">
        <v>38</v>
      </c>
      <c r="K77" s="729">
        <v>-204411000</v>
      </c>
      <c r="L77" s="728" t="s">
        <v>175</v>
      </c>
      <c r="M77" s="728" t="s">
        <v>176</v>
      </c>
      <c r="N77" s="727"/>
      <c r="O77" s="727"/>
      <c r="P77" s="727"/>
      <c r="Q77" s="727"/>
      <c r="R77" s="730"/>
      <c r="S77" s="727"/>
      <c r="T77" s="728" t="s">
        <v>179</v>
      </c>
    </row>
    <row r="78" ht="34.5">
      <c r="A78" s="728" t="s">
        <v>167</v>
      </c>
      <c r="B78" s="728" t="s">
        <v>168</v>
      </c>
      <c r="C78" s="728" t="s">
        <v>354</v>
      </c>
      <c r="D78" s="728" t="s">
        <v>361</v>
      </c>
      <c r="E78" s="728" t="s">
        <v>296</v>
      </c>
      <c r="F78" s="727" t="s">
        <v>296</v>
      </c>
      <c r="G78" s="728" t="s">
        <v>254</v>
      </c>
      <c r="H78" s="727"/>
      <c r="I78" s="727" t="s">
        <v>362</v>
      </c>
      <c r="J78" s="727" t="s">
        <v>40</v>
      </c>
      <c r="K78" s="729">
        <v>-7539045</v>
      </c>
      <c r="L78" s="728" t="s">
        <v>175</v>
      </c>
      <c r="M78" s="728" t="s">
        <v>176</v>
      </c>
      <c r="N78" s="727"/>
      <c r="O78" s="727"/>
      <c r="P78" s="727"/>
      <c r="Q78" s="727"/>
      <c r="R78" s="730"/>
      <c r="S78" s="727"/>
      <c r="T78" s="728" t="s">
        <v>179</v>
      </c>
    </row>
    <row r="79" ht="34.5">
      <c r="A79" s="728" t="s">
        <v>167</v>
      </c>
      <c r="B79" s="728" t="s">
        <v>168</v>
      </c>
      <c r="C79" s="728" t="s">
        <v>354</v>
      </c>
      <c r="D79" s="728" t="s">
        <v>361</v>
      </c>
      <c r="E79" s="728" t="s">
        <v>296</v>
      </c>
      <c r="F79" s="727" t="s">
        <v>296</v>
      </c>
      <c r="G79" s="728" t="s">
        <v>254</v>
      </c>
      <c r="H79" s="727"/>
      <c r="I79" s="727" t="s">
        <v>362</v>
      </c>
      <c r="J79" s="727" t="s">
        <v>364</v>
      </c>
      <c r="K79" s="729">
        <v>-206752701</v>
      </c>
      <c r="L79" s="728" t="s">
        <v>175</v>
      </c>
      <c r="M79" s="728" t="s">
        <v>176</v>
      </c>
      <c r="N79" s="727"/>
      <c r="O79" s="727"/>
      <c r="P79" s="727"/>
      <c r="Q79" s="727" t="s">
        <v>365</v>
      </c>
      <c r="R79" s="730"/>
      <c r="S79" s="727" t="s">
        <v>366</v>
      </c>
      <c r="T79" s="728" t="s">
        <v>179</v>
      </c>
    </row>
    <row r="80" ht="34.5">
      <c r="A80" s="728" t="s">
        <v>326</v>
      </c>
      <c r="B80" s="728" t="s">
        <v>168</v>
      </c>
      <c r="C80" s="728" t="s">
        <v>354</v>
      </c>
      <c r="D80" s="728" t="s">
        <v>361</v>
      </c>
      <c r="E80" s="728" t="s">
        <v>296</v>
      </c>
      <c r="F80" s="727" t="s">
        <v>296</v>
      </c>
      <c r="G80" s="728" t="s">
        <v>254</v>
      </c>
      <c r="H80" s="727" t="s">
        <v>26</v>
      </c>
      <c r="I80" s="727" t="s">
        <v>362</v>
      </c>
      <c r="J80" s="727" t="s">
        <v>26</v>
      </c>
      <c r="K80" s="729">
        <v>4118908</v>
      </c>
      <c r="L80" s="728" t="s">
        <v>175</v>
      </c>
      <c r="M80" s="728" t="s">
        <v>176</v>
      </c>
      <c r="N80" s="727"/>
      <c r="O80" s="727"/>
      <c r="P80" s="727"/>
      <c r="Q80" s="727"/>
      <c r="R80" s="730" t="s">
        <v>367</v>
      </c>
      <c r="S80" s="727"/>
      <c r="T80" s="728" t="s">
        <v>179</v>
      </c>
    </row>
    <row r="81" ht="34.5">
      <c r="A81" s="728" t="s">
        <v>326</v>
      </c>
      <c r="B81" s="728" t="s">
        <v>168</v>
      </c>
      <c r="C81" s="728" t="s">
        <v>354</v>
      </c>
      <c r="D81" s="728" t="s">
        <v>361</v>
      </c>
      <c r="E81" s="728" t="s">
        <v>296</v>
      </c>
      <c r="F81" s="727" t="s">
        <v>296</v>
      </c>
      <c r="G81" s="728" t="s">
        <v>254</v>
      </c>
      <c r="H81" s="727"/>
      <c r="I81" s="727" t="s">
        <v>362</v>
      </c>
      <c r="J81" s="727" t="s">
        <v>38</v>
      </c>
      <c r="K81" s="729">
        <v>-218407000</v>
      </c>
      <c r="L81" s="728" t="s">
        <v>175</v>
      </c>
      <c r="M81" s="728" t="s">
        <v>176</v>
      </c>
      <c r="N81" s="727"/>
      <c r="O81" s="727"/>
      <c r="P81" s="727"/>
      <c r="Q81" s="727"/>
      <c r="R81" s="730"/>
      <c r="S81" s="727"/>
      <c r="T81" s="728" t="s">
        <v>179</v>
      </c>
    </row>
    <row r="82" ht="34.5">
      <c r="A82" s="728" t="s">
        <v>326</v>
      </c>
      <c r="B82" s="728" t="s">
        <v>168</v>
      </c>
      <c r="C82" s="728" t="s">
        <v>354</v>
      </c>
      <c r="D82" s="728" t="s">
        <v>361</v>
      </c>
      <c r="E82" s="728" t="s">
        <v>296</v>
      </c>
      <c r="F82" s="727" t="s">
        <v>296</v>
      </c>
      <c r="G82" s="728" t="s">
        <v>254</v>
      </c>
      <c r="H82" s="727"/>
      <c r="I82" s="727" t="s">
        <v>362</v>
      </c>
      <c r="J82" s="727" t="s">
        <v>40</v>
      </c>
      <c r="K82" s="729">
        <v>-7810454</v>
      </c>
      <c r="L82" s="728" t="s">
        <v>175</v>
      </c>
      <c r="M82" s="728" t="s">
        <v>176</v>
      </c>
      <c r="N82" s="727"/>
      <c r="O82" s="727"/>
      <c r="P82" s="727"/>
      <c r="Q82" s="727"/>
      <c r="R82" s="730"/>
      <c r="S82" s="727"/>
      <c r="T82" s="728" t="s">
        <v>179</v>
      </c>
    </row>
    <row r="83" ht="34.5">
      <c r="A83" s="728" t="s">
        <v>326</v>
      </c>
      <c r="B83" s="728" t="s">
        <v>168</v>
      </c>
      <c r="C83" s="728" t="s">
        <v>354</v>
      </c>
      <c r="D83" s="728" t="s">
        <v>361</v>
      </c>
      <c r="E83" s="728" t="s">
        <v>296</v>
      </c>
      <c r="F83" s="727" t="s">
        <v>296</v>
      </c>
      <c r="G83" s="728" t="s">
        <v>254</v>
      </c>
      <c r="H83" s="727"/>
      <c r="I83" s="727" t="s">
        <v>362</v>
      </c>
      <c r="J83" s="727" t="s">
        <v>364</v>
      </c>
      <c r="K83" s="729">
        <v>-222098546</v>
      </c>
      <c r="L83" s="728" t="s">
        <v>175</v>
      </c>
      <c r="M83" s="728" t="s">
        <v>176</v>
      </c>
      <c r="N83" s="727"/>
      <c r="O83" s="727"/>
      <c r="P83" s="727"/>
      <c r="Q83" s="727" t="s">
        <v>365</v>
      </c>
      <c r="R83" s="730"/>
      <c r="S83" s="727" t="s">
        <v>366</v>
      </c>
      <c r="T83" s="728" t="s">
        <v>179</v>
      </c>
    </row>
    <row r="84" ht="34.5">
      <c r="A84" s="728" t="s">
        <v>327</v>
      </c>
      <c r="B84" s="728" t="s">
        <v>328</v>
      </c>
      <c r="C84" s="728" t="s">
        <v>354</v>
      </c>
      <c r="D84" s="728" t="s">
        <v>361</v>
      </c>
      <c r="E84" s="728" t="s">
        <v>296</v>
      </c>
      <c r="F84" s="727" t="s">
        <v>296</v>
      </c>
      <c r="G84" s="728" t="s">
        <v>254</v>
      </c>
      <c r="H84" s="727" t="s">
        <v>26</v>
      </c>
      <c r="I84" s="727" t="s">
        <v>362</v>
      </c>
      <c r="J84" s="727" t="s">
        <v>26</v>
      </c>
      <c r="K84" s="729">
        <v>17396949</v>
      </c>
      <c r="L84" s="728" t="s">
        <v>175</v>
      </c>
      <c r="M84" s="728" t="s">
        <v>176</v>
      </c>
      <c r="N84" s="727"/>
      <c r="O84" s="727"/>
      <c r="P84" s="727"/>
      <c r="Q84" s="727"/>
      <c r="R84" s="730" t="s">
        <v>368</v>
      </c>
      <c r="S84" s="727"/>
      <c r="T84" s="728" t="s">
        <v>179</v>
      </c>
    </row>
    <row r="85" ht="34.5">
      <c r="A85" s="728" t="s">
        <v>327</v>
      </c>
      <c r="B85" s="728" t="s">
        <v>328</v>
      </c>
      <c r="C85" s="728" t="s">
        <v>354</v>
      </c>
      <c r="D85" s="728" t="s">
        <v>361</v>
      </c>
      <c r="E85" s="728" t="s">
        <v>296</v>
      </c>
      <c r="F85" s="727" t="s">
        <v>296</v>
      </c>
      <c r="G85" s="728" t="s">
        <v>254</v>
      </c>
      <c r="H85" s="727"/>
      <c r="I85" s="727" t="s">
        <v>362</v>
      </c>
      <c r="J85" s="727" t="s">
        <v>38</v>
      </c>
      <c r="K85" s="729">
        <v>-231256000</v>
      </c>
      <c r="L85" s="728" t="s">
        <v>175</v>
      </c>
      <c r="M85" s="728" t="s">
        <v>176</v>
      </c>
      <c r="N85" s="727"/>
      <c r="O85" s="727"/>
      <c r="P85" s="727"/>
      <c r="Q85" s="727"/>
      <c r="R85" s="730"/>
      <c r="S85" s="727"/>
      <c r="T85" s="728" t="s">
        <v>179</v>
      </c>
    </row>
    <row r="86" ht="34.5">
      <c r="A86" s="728" t="s">
        <v>327</v>
      </c>
      <c r="B86" s="728" t="s">
        <v>328</v>
      </c>
      <c r="C86" s="728" t="s">
        <v>354</v>
      </c>
      <c r="D86" s="728" t="s">
        <v>361</v>
      </c>
      <c r="E86" s="728" t="s">
        <v>296</v>
      </c>
      <c r="F86" s="727" t="s">
        <v>296</v>
      </c>
      <c r="G86" s="728" t="s">
        <v>254</v>
      </c>
      <c r="H86" s="727"/>
      <c r="I86" s="727" t="s">
        <v>362</v>
      </c>
      <c r="J86" s="727" t="s">
        <v>40</v>
      </c>
      <c r="K86" s="729">
        <v>-8040342</v>
      </c>
      <c r="L86" s="728" t="s">
        <v>175</v>
      </c>
      <c r="M86" s="728" t="s">
        <v>176</v>
      </c>
      <c r="N86" s="727"/>
      <c r="O86" s="727"/>
      <c r="P86" s="727"/>
      <c r="Q86" s="727"/>
      <c r="R86" s="730"/>
      <c r="S86" s="727"/>
      <c r="T86" s="728" t="s">
        <v>179</v>
      </c>
    </row>
    <row r="87" ht="34.5">
      <c r="A87" s="728" t="s">
        <v>327</v>
      </c>
      <c r="B87" s="728" t="s">
        <v>328</v>
      </c>
      <c r="C87" s="728" t="s">
        <v>354</v>
      </c>
      <c r="D87" s="728" t="s">
        <v>361</v>
      </c>
      <c r="E87" s="728" t="s">
        <v>296</v>
      </c>
      <c r="F87" s="727" t="s">
        <v>296</v>
      </c>
      <c r="G87" s="728" t="s">
        <v>254</v>
      </c>
      <c r="H87" s="727"/>
      <c r="I87" s="727" t="s">
        <v>362</v>
      </c>
      <c r="J87" s="727" t="s">
        <v>364</v>
      </c>
      <c r="K87" s="729">
        <v>-221899393</v>
      </c>
      <c r="L87" s="728" t="s">
        <v>175</v>
      </c>
      <c r="M87" s="728" t="s">
        <v>176</v>
      </c>
      <c r="N87" s="727"/>
      <c r="O87" s="727"/>
      <c r="P87" s="727"/>
      <c r="Q87" s="727"/>
      <c r="R87" s="730"/>
      <c r="S87" s="727" t="s">
        <v>369</v>
      </c>
      <c r="T87" s="728" t="s">
        <v>179</v>
      </c>
    </row>
    <row r="88" ht="34.5">
      <c r="A88" s="728" t="s">
        <v>333</v>
      </c>
      <c r="B88" s="728" t="s">
        <v>334</v>
      </c>
      <c r="C88" s="728" t="s">
        <v>354</v>
      </c>
      <c r="D88" s="728" t="s">
        <v>361</v>
      </c>
      <c r="E88" s="728" t="s">
        <v>296</v>
      </c>
      <c r="F88" s="727" t="s">
        <v>296</v>
      </c>
      <c r="G88" s="728" t="s">
        <v>254</v>
      </c>
      <c r="H88" s="727" t="s">
        <v>26</v>
      </c>
      <c r="I88" s="727" t="s">
        <v>362</v>
      </c>
      <c r="J88" s="727" t="s">
        <v>26</v>
      </c>
      <c r="K88" s="729">
        <v>5490195</v>
      </c>
      <c r="L88" s="728" t="s">
        <v>175</v>
      </c>
      <c r="M88" s="728" t="s">
        <v>176</v>
      </c>
      <c r="N88" s="727"/>
      <c r="O88" s="727"/>
      <c r="P88" s="727"/>
      <c r="Q88" s="727"/>
      <c r="R88" s="730" t="s">
        <v>370</v>
      </c>
      <c r="S88" s="727"/>
      <c r="T88" s="728" t="s">
        <v>179</v>
      </c>
    </row>
    <row r="89" ht="34.5">
      <c r="A89" s="728" t="s">
        <v>333</v>
      </c>
      <c r="B89" s="728" t="s">
        <v>334</v>
      </c>
      <c r="C89" s="728" t="s">
        <v>354</v>
      </c>
      <c r="D89" s="728" t="s">
        <v>361</v>
      </c>
      <c r="E89" s="728" t="s">
        <v>296</v>
      </c>
      <c r="F89" s="727" t="s">
        <v>296</v>
      </c>
      <c r="G89" s="728" t="s">
        <v>254</v>
      </c>
      <c r="H89" s="727"/>
      <c r="I89" s="727" t="s">
        <v>362</v>
      </c>
      <c r="J89" s="727" t="s">
        <v>38</v>
      </c>
      <c r="K89" s="729">
        <v>-242512000</v>
      </c>
      <c r="L89" s="728" t="s">
        <v>175</v>
      </c>
      <c r="M89" s="728" t="s">
        <v>176</v>
      </c>
      <c r="N89" s="727"/>
      <c r="O89" s="727"/>
      <c r="P89" s="727"/>
      <c r="Q89" s="727"/>
      <c r="R89" s="730"/>
      <c r="S89" s="727"/>
      <c r="T89" s="728" t="s">
        <v>179</v>
      </c>
    </row>
    <row r="90" ht="34.5">
      <c r="A90" s="728" t="s">
        <v>333</v>
      </c>
      <c r="B90" s="728" t="s">
        <v>334</v>
      </c>
      <c r="C90" s="728" t="s">
        <v>354</v>
      </c>
      <c r="D90" s="728" t="s">
        <v>361</v>
      </c>
      <c r="E90" s="728" t="s">
        <v>296</v>
      </c>
      <c r="F90" s="727" t="s">
        <v>296</v>
      </c>
      <c r="G90" s="728" t="s">
        <v>254</v>
      </c>
      <c r="H90" s="727"/>
      <c r="I90" s="727" t="s">
        <v>362</v>
      </c>
      <c r="J90" s="727" t="s">
        <v>40</v>
      </c>
      <c r="K90" s="729">
        <v>-8232436</v>
      </c>
      <c r="L90" s="728" t="s">
        <v>175</v>
      </c>
      <c r="M90" s="728" t="s">
        <v>176</v>
      </c>
      <c r="N90" s="727"/>
      <c r="O90" s="727"/>
      <c r="P90" s="727"/>
      <c r="Q90" s="727"/>
      <c r="R90" s="730"/>
      <c r="S90" s="727"/>
      <c r="T90" s="728" t="s">
        <v>179</v>
      </c>
    </row>
    <row r="91" ht="34.5">
      <c r="A91" s="728" t="s">
        <v>333</v>
      </c>
      <c r="B91" s="728" t="s">
        <v>334</v>
      </c>
      <c r="C91" s="728" t="s">
        <v>354</v>
      </c>
      <c r="D91" s="728" t="s">
        <v>361</v>
      </c>
      <c r="E91" s="728" t="s">
        <v>296</v>
      </c>
      <c r="F91" s="727" t="s">
        <v>296</v>
      </c>
      <c r="G91" s="728" t="s">
        <v>254</v>
      </c>
      <c r="H91" s="727"/>
      <c r="I91" s="727" t="s">
        <v>362</v>
      </c>
      <c r="J91" s="727" t="s">
        <v>364</v>
      </c>
      <c r="K91" s="729">
        <v>-245254241</v>
      </c>
      <c r="L91" s="728" t="s">
        <v>175</v>
      </c>
      <c r="M91" s="728" t="s">
        <v>176</v>
      </c>
      <c r="N91" s="727"/>
      <c r="O91" s="727"/>
      <c r="P91" s="727"/>
      <c r="Q91" s="727"/>
      <c r="R91" s="730"/>
      <c r="S91" s="727" t="s">
        <v>369</v>
      </c>
      <c r="T91" s="728" t="s">
        <v>179</v>
      </c>
    </row>
    <row r="92" ht="34.5">
      <c r="A92" s="728" t="s">
        <v>338</v>
      </c>
      <c r="B92" s="728" t="s">
        <v>339</v>
      </c>
      <c r="C92" s="728" t="s">
        <v>335</v>
      </c>
      <c r="D92" s="728" t="s">
        <v>361</v>
      </c>
      <c r="E92" s="728" t="s">
        <v>296</v>
      </c>
      <c r="F92" s="727" t="s">
        <v>296</v>
      </c>
      <c r="G92" s="728" t="s">
        <v>254</v>
      </c>
      <c r="H92" s="727" t="s">
        <v>26</v>
      </c>
      <c r="I92" s="727" t="s">
        <v>362</v>
      </c>
      <c r="J92" s="727" t="s">
        <v>26</v>
      </c>
      <c r="K92" s="729">
        <v>5485501</v>
      </c>
      <c r="L92" s="728" t="s">
        <v>175</v>
      </c>
      <c r="M92" s="728" t="s">
        <v>176</v>
      </c>
      <c r="N92" s="727"/>
      <c r="O92" s="727"/>
      <c r="P92" s="727"/>
      <c r="Q92" s="727"/>
      <c r="R92" s="730" t="s">
        <v>371</v>
      </c>
      <c r="S92" s="727"/>
      <c r="T92" s="728" t="s">
        <v>179</v>
      </c>
    </row>
    <row r="93" ht="34.5">
      <c r="A93" s="728" t="s">
        <v>338</v>
      </c>
      <c r="B93" s="728" t="s">
        <v>339</v>
      </c>
      <c r="C93" s="728" t="s">
        <v>335</v>
      </c>
      <c r="D93" s="728" t="s">
        <v>361</v>
      </c>
      <c r="E93" s="728" t="s">
        <v>296</v>
      </c>
      <c r="F93" s="727" t="s">
        <v>296</v>
      </c>
      <c r="G93" s="728" t="s">
        <v>254</v>
      </c>
      <c r="H93" s="727"/>
      <c r="I93" s="727" t="s">
        <v>362</v>
      </c>
      <c r="J93" s="727" t="s">
        <v>38</v>
      </c>
      <c r="K93" s="729">
        <v>-252661000</v>
      </c>
      <c r="L93" s="728" t="s">
        <v>175</v>
      </c>
      <c r="M93" s="728" t="s">
        <v>176</v>
      </c>
      <c r="N93" s="727"/>
      <c r="O93" s="727"/>
      <c r="P93" s="727"/>
      <c r="Q93" s="727"/>
      <c r="R93" s="730"/>
      <c r="S93" s="727"/>
      <c r="T93" s="728" t="s">
        <v>179</v>
      </c>
    </row>
    <row r="94" ht="34.5">
      <c r="A94" s="728" t="s">
        <v>338</v>
      </c>
      <c r="B94" s="728" t="s">
        <v>339</v>
      </c>
      <c r="C94" s="728" t="s">
        <v>335</v>
      </c>
      <c r="D94" s="728" t="s">
        <v>361</v>
      </c>
      <c r="E94" s="728" t="s">
        <v>296</v>
      </c>
      <c r="F94" s="727" t="s">
        <v>296</v>
      </c>
      <c r="G94" s="728" t="s">
        <v>254</v>
      </c>
      <c r="H94" s="727"/>
      <c r="I94" s="727" t="s">
        <v>362</v>
      </c>
      <c r="J94" s="727" t="s">
        <v>40</v>
      </c>
      <c r="K94" s="729">
        <v>-8390168</v>
      </c>
      <c r="L94" s="728" t="s">
        <v>175</v>
      </c>
      <c r="M94" s="728" t="s">
        <v>176</v>
      </c>
      <c r="N94" s="727"/>
      <c r="O94" s="727"/>
      <c r="P94" s="727"/>
      <c r="Q94" s="727"/>
      <c r="R94" s="730"/>
      <c r="S94" s="727"/>
      <c r="T94" s="728" t="s">
        <v>179</v>
      </c>
    </row>
    <row r="95" ht="34.5">
      <c r="A95" s="728" t="s">
        <v>338</v>
      </c>
      <c r="B95" s="728" t="s">
        <v>339</v>
      </c>
      <c r="C95" s="728" t="s">
        <v>335</v>
      </c>
      <c r="D95" s="728" t="s">
        <v>361</v>
      </c>
      <c r="E95" s="728" t="s">
        <v>296</v>
      </c>
      <c r="F95" s="727" t="s">
        <v>296</v>
      </c>
      <c r="G95" s="728" t="s">
        <v>254</v>
      </c>
      <c r="H95" s="727"/>
      <c r="I95" s="727" t="s">
        <v>362</v>
      </c>
      <c r="J95" s="727" t="s">
        <v>364</v>
      </c>
      <c r="K95" s="729">
        <v>-255565667</v>
      </c>
      <c r="L95" s="728" t="s">
        <v>175</v>
      </c>
      <c r="M95" s="728" t="s">
        <v>176</v>
      </c>
      <c r="N95" s="727"/>
      <c r="O95" s="727"/>
      <c r="P95" s="727"/>
      <c r="Q95" s="727"/>
      <c r="R95" s="730"/>
      <c r="S95" s="727" t="s">
        <v>369</v>
      </c>
      <c r="T95" s="728" t="s">
        <v>179</v>
      </c>
    </row>
    <row r="96" ht="34.5">
      <c r="A96" s="728" t="s">
        <v>167</v>
      </c>
      <c r="B96" s="728" t="s">
        <v>168</v>
      </c>
      <c r="C96" s="728" t="s">
        <v>354</v>
      </c>
      <c r="D96" s="728" t="s">
        <v>372</v>
      </c>
      <c r="E96" s="728" t="s">
        <v>296</v>
      </c>
      <c r="F96" s="727" t="s">
        <v>296</v>
      </c>
      <c r="G96" s="728" t="s">
        <v>254</v>
      </c>
      <c r="H96" s="727"/>
      <c r="I96" s="727" t="s">
        <v>373</v>
      </c>
      <c r="J96" s="727" t="s">
        <v>374</v>
      </c>
      <c r="K96" s="729">
        <v>-221899393</v>
      </c>
      <c r="L96" s="728" t="s">
        <v>175</v>
      </c>
      <c r="M96" s="728" t="s">
        <v>176</v>
      </c>
      <c r="N96" s="727"/>
      <c r="O96" s="727"/>
      <c r="P96" s="727"/>
      <c r="Q96" s="727" t="s">
        <v>375</v>
      </c>
      <c r="R96" s="730"/>
      <c r="S96" s="727"/>
      <c r="T96" s="728" t="s">
        <v>179</v>
      </c>
    </row>
    <row r="97" ht="34.5">
      <c r="A97" s="728" t="s">
        <v>167</v>
      </c>
      <c r="B97" s="728" t="s">
        <v>168</v>
      </c>
      <c r="C97" s="728" t="s">
        <v>354</v>
      </c>
      <c r="D97" s="728" t="s">
        <v>372</v>
      </c>
      <c r="E97" s="728" t="s">
        <v>296</v>
      </c>
      <c r="F97" s="727" t="s">
        <v>296</v>
      </c>
      <c r="G97" s="728" t="s">
        <v>254</v>
      </c>
      <c r="H97" s="727"/>
      <c r="I97" s="727" t="s">
        <v>373</v>
      </c>
      <c r="J97" s="727" t="s">
        <v>376</v>
      </c>
      <c r="K97" s="729">
        <v>13078888</v>
      </c>
      <c r="L97" s="728" t="s">
        <v>175</v>
      </c>
      <c r="M97" s="728" t="s">
        <v>176</v>
      </c>
      <c r="N97" s="727"/>
      <c r="O97" s="727"/>
      <c r="P97" s="727"/>
      <c r="Q97" s="727" t="s">
        <v>375</v>
      </c>
      <c r="R97" s="730"/>
      <c r="S97" s="727"/>
      <c r="T97" s="728" t="s">
        <v>179</v>
      </c>
    </row>
    <row r="98" ht="34.5">
      <c r="A98" s="728" t="s">
        <v>167</v>
      </c>
      <c r="B98" s="728" t="s">
        <v>168</v>
      </c>
      <c r="C98" s="728" t="s">
        <v>354</v>
      </c>
      <c r="D98" s="728" t="s">
        <v>372</v>
      </c>
      <c r="E98" s="728" t="s">
        <v>296</v>
      </c>
      <c r="F98" s="727" t="s">
        <v>296</v>
      </c>
      <c r="G98" s="728" t="s">
        <v>254</v>
      </c>
      <c r="H98" s="727"/>
      <c r="I98" s="727" t="s">
        <v>373</v>
      </c>
      <c r="J98" s="727" t="s">
        <v>377</v>
      </c>
      <c r="K98" s="729">
        <v>-13278041</v>
      </c>
      <c r="L98" s="728" t="s">
        <v>175</v>
      </c>
      <c r="M98" s="728" t="s">
        <v>176</v>
      </c>
      <c r="N98" s="727"/>
      <c r="O98" s="727"/>
      <c r="P98" s="727"/>
      <c r="Q98" s="727" t="s">
        <v>375</v>
      </c>
      <c r="R98" s="730"/>
      <c r="S98" s="727"/>
      <c r="T98" s="728" t="s">
        <v>179</v>
      </c>
    </row>
    <row r="99" ht="34.5">
      <c r="A99" s="728" t="s">
        <v>167</v>
      </c>
      <c r="B99" s="728" t="s">
        <v>168</v>
      </c>
      <c r="C99" s="728" t="s">
        <v>354</v>
      </c>
      <c r="D99" s="728" t="s">
        <v>372</v>
      </c>
      <c r="E99" s="728" t="s">
        <v>296</v>
      </c>
      <c r="F99" s="727" t="s">
        <v>296</v>
      </c>
      <c r="G99" s="728" t="s">
        <v>254</v>
      </c>
      <c r="H99" s="727"/>
      <c r="I99" s="727" t="s">
        <v>373</v>
      </c>
      <c r="J99" s="727" t="s">
        <v>378</v>
      </c>
      <c r="K99" s="729">
        <v>-222098546</v>
      </c>
      <c r="L99" s="728" t="s">
        <v>175</v>
      </c>
      <c r="M99" s="728" t="s">
        <v>176</v>
      </c>
      <c r="N99" s="727"/>
      <c r="O99" s="727"/>
      <c r="P99" s="727"/>
      <c r="Q99" s="727" t="s">
        <v>375</v>
      </c>
      <c r="R99" s="730"/>
      <c r="S99" s="727"/>
      <c r="T99" s="728" t="s">
        <v>179</v>
      </c>
    </row>
    <row r="100" ht="34.5">
      <c r="A100" s="728" t="s">
        <v>167</v>
      </c>
      <c r="B100" s="728" t="s">
        <v>168</v>
      </c>
      <c r="C100" s="728" t="s">
        <v>354</v>
      </c>
      <c r="D100" s="728" t="s">
        <v>372</v>
      </c>
      <c r="E100" s="728" t="s">
        <v>296</v>
      </c>
      <c r="F100" s="727" t="s">
        <v>296</v>
      </c>
      <c r="G100" s="728" t="s">
        <v>254</v>
      </c>
      <c r="H100" s="727"/>
      <c r="I100" s="727" t="s">
        <v>373</v>
      </c>
      <c r="J100" s="727" t="s">
        <v>379</v>
      </c>
      <c r="K100" s="729">
        <v>14267409</v>
      </c>
      <c r="L100" s="728" t="s">
        <v>175</v>
      </c>
      <c r="M100" s="728" t="s">
        <v>176</v>
      </c>
      <c r="N100" s="727"/>
      <c r="O100" s="727"/>
      <c r="P100" s="727"/>
      <c r="Q100" s="727" t="s">
        <v>375</v>
      </c>
      <c r="R100" s="730"/>
      <c r="S100" s="727"/>
      <c r="T100" s="728" t="s">
        <v>179</v>
      </c>
    </row>
    <row r="101" ht="34.5">
      <c r="A101" s="728" t="s">
        <v>167</v>
      </c>
      <c r="B101" s="728" t="s">
        <v>168</v>
      </c>
      <c r="C101" s="728" t="s">
        <v>354</v>
      </c>
      <c r="D101" s="728" t="s">
        <v>372</v>
      </c>
      <c r="E101" s="728" t="s">
        <v>296</v>
      </c>
      <c r="F101" s="727" t="s">
        <v>296</v>
      </c>
      <c r="G101" s="728" t="s">
        <v>254</v>
      </c>
      <c r="H101" s="727"/>
      <c r="I101" s="727" t="s">
        <v>373</v>
      </c>
      <c r="J101" s="727" t="s">
        <v>380</v>
      </c>
      <c r="K101" s="729">
        <v>1078436</v>
      </c>
      <c r="L101" s="728" t="s">
        <v>175</v>
      </c>
      <c r="M101" s="728" t="s">
        <v>176</v>
      </c>
      <c r="N101" s="727"/>
      <c r="O101" s="727"/>
      <c r="P101" s="727"/>
      <c r="Q101" s="727" t="s">
        <v>375</v>
      </c>
      <c r="R101" s="730"/>
      <c r="S101" s="727"/>
      <c r="T101" s="728" t="s">
        <v>179</v>
      </c>
    </row>
    <row r="102" ht="34.5">
      <c r="A102" s="728" t="s">
        <v>167</v>
      </c>
      <c r="B102" s="728" t="s">
        <v>168</v>
      </c>
      <c r="C102" s="728" t="s">
        <v>354</v>
      </c>
      <c r="D102" s="728" t="s">
        <v>372</v>
      </c>
      <c r="E102" s="728" t="s">
        <v>296</v>
      </c>
      <c r="F102" s="727" t="s">
        <v>296</v>
      </c>
      <c r="G102" s="728" t="s">
        <v>254</v>
      </c>
      <c r="H102" s="727"/>
      <c r="I102" s="727" t="s">
        <v>373</v>
      </c>
      <c r="J102" s="727" t="s">
        <v>381</v>
      </c>
      <c r="K102" s="729">
        <v>-206752701</v>
      </c>
      <c r="L102" s="728" t="s">
        <v>175</v>
      </c>
      <c r="M102" s="728" t="s">
        <v>176</v>
      </c>
      <c r="N102" s="727"/>
      <c r="O102" s="727"/>
      <c r="P102" s="727"/>
      <c r="Q102" s="727" t="s">
        <v>375</v>
      </c>
      <c r="R102" s="730"/>
      <c r="S102" s="727"/>
      <c r="T102" s="728" t="s">
        <v>179</v>
      </c>
    </row>
    <row r="103" ht="34.5">
      <c r="A103" s="728" t="s">
        <v>338</v>
      </c>
      <c r="B103" s="728" t="s">
        <v>339</v>
      </c>
      <c r="C103" s="728" t="s">
        <v>354</v>
      </c>
      <c r="D103" s="728" t="s">
        <v>372</v>
      </c>
      <c r="E103" s="728" t="s">
        <v>296</v>
      </c>
      <c r="F103" s="727" t="s">
        <v>296</v>
      </c>
      <c r="G103" s="728" t="s">
        <v>254</v>
      </c>
      <c r="H103" s="727"/>
      <c r="I103" s="727" t="s">
        <v>373</v>
      </c>
      <c r="J103" s="727" t="s">
        <v>382</v>
      </c>
      <c r="K103" s="729">
        <v>-256308892</v>
      </c>
      <c r="L103" s="728" t="s">
        <v>175</v>
      </c>
      <c r="M103" s="728" t="s">
        <v>176</v>
      </c>
      <c r="N103" s="727"/>
      <c r="O103" s="727"/>
      <c r="P103" s="727"/>
      <c r="Q103" s="727" t="s">
        <v>375</v>
      </c>
      <c r="R103" s="730"/>
      <c r="S103" s="727"/>
      <c r="T103" s="728" t="s">
        <v>179</v>
      </c>
    </row>
    <row r="104" ht="34.5">
      <c r="A104" s="728" t="s">
        <v>338</v>
      </c>
      <c r="B104" s="728" t="s">
        <v>339</v>
      </c>
      <c r="C104" s="728" t="s">
        <v>354</v>
      </c>
      <c r="D104" s="728" t="s">
        <v>372</v>
      </c>
      <c r="E104" s="728" t="s">
        <v>296</v>
      </c>
      <c r="F104" s="727" t="s">
        <v>296</v>
      </c>
      <c r="G104" s="728" t="s">
        <v>254</v>
      </c>
      <c r="H104" s="727"/>
      <c r="I104" s="727" t="s">
        <v>373</v>
      </c>
      <c r="J104" s="727" t="s">
        <v>383</v>
      </c>
      <c r="K104" s="729">
        <v>10129524</v>
      </c>
      <c r="L104" s="728" t="s">
        <v>175</v>
      </c>
      <c r="M104" s="728" t="s">
        <v>176</v>
      </c>
      <c r="N104" s="727"/>
      <c r="O104" s="727"/>
      <c r="P104" s="727"/>
      <c r="Q104" s="727" t="s">
        <v>375</v>
      </c>
      <c r="R104" s="730"/>
      <c r="S104" s="727"/>
      <c r="T104" s="728" t="s">
        <v>179</v>
      </c>
    </row>
    <row r="105" ht="34.5">
      <c r="A105" s="728" t="s">
        <v>338</v>
      </c>
      <c r="B105" s="728" t="s">
        <v>339</v>
      </c>
      <c r="C105" s="728" t="s">
        <v>354</v>
      </c>
      <c r="D105" s="728" t="s">
        <v>372</v>
      </c>
      <c r="E105" s="728" t="s">
        <v>296</v>
      </c>
      <c r="F105" s="727" t="s">
        <v>296</v>
      </c>
      <c r="G105" s="728" t="s">
        <v>254</v>
      </c>
      <c r="H105" s="727"/>
      <c r="I105" s="727" t="s">
        <v>373</v>
      </c>
      <c r="J105" s="727" t="s">
        <v>384</v>
      </c>
      <c r="K105" s="729">
        <v>-9386299</v>
      </c>
      <c r="L105" s="728" t="s">
        <v>175</v>
      </c>
      <c r="M105" s="728" t="s">
        <v>176</v>
      </c>
      <c r="N105" s="727"/>
      <c r="O105" s="727"/>
      <c r="P105" s="727"/>
      <c r="Q105" s="727" t="s">
        <v>375</v>
      </c>
      <c r="R105" s="730"/>
      <c r="S105" s="727"/>
      <c r="T105" s="728" t="s">
        <v>179</v>
      </c>
    </row>
    <row r="106" ht="34.5">
      <c r="A106" s="728" t="s">
        <v>338</v>
      </c>
      <c r="B106" s="728" t="s">
        <v>339</v>
      </c>
      <c r="C106" s="728" t="s">
        <v>354</v>
      </c>
      <c r="D106" s="728" t="s">
        <v>372</v>
      </c>
      <c r="E106" s="728" t="s">
        <v>296</v>
      </c>
      <c r="F106" s="727" t="s">
        <v>296</v>
      </c>
      <c r="G106" s="728" t="s">
        <v>254</v>
      </c>
      <c r="H106" s="727"/>
      <c r="I106" s="727" t="s">
        <v>373</v>
      </c>
      <c r="J106" s="727" t="s">
        <v>385</v>
      </c>
      <c r="K106" s="729">
        <v>-255565667</v>
      </c>
      <c r="L106" s="728" t="s">
        <v>175</v>
      </c>
      <c r="M106" s="728" t="s">
        <v>176</v>
      </c>
      <c r="N106" s="727"/>
      <c r="O106" s="727"/>
      <c r="P106" s="727"/>
      <c r="Q106" s="727" t="s">
        <v>375</v>
      </c>
      <c r="R106" s="730"/>
      <c r="S106" s="727"/>
      <c r="T106" s="728" t="s">
        <v>179</v>
      </c>
    </row>
    <row r="107" ht="34.5">
      <c r="A107" s="728" t="s">
        <v>167</v>
      </c>
      <c r="B107" s="728" t="s">
        <v>168</v>
      </c>
      <c r="C107" s="728" t="s">
        <v>313</v>
      </c>
      <c r="D107" s="728" t="s">
        <v>386</v>
      </c>
      <c r="E107" s="728" t="s">
        <v>296</v>
      </c>
      <c r="F107" s="727" t="s">
        <v>296</v>
      </c>
      <c r="G107" s="728" t="s">
        <v>297</v>
      </c>
      <c r="H107" s="727"/>
      <c r="I107" s="727" t="s">
        <v>387</v>
      </c>
      <c r="J107" s="727" t="s">
        <v>388</v>
      </c>
      <c r="K107" s="729">
        <v>204411000</v>
      </c>
      <c r="L107" s="728" t="s">
        <v>175</v>
      </c>
      <c r="M107" s="728" t="s">
        <v>176</v>
      </c>
      <c r="N107" s="727"/>
      <c r="O107" s="727"/>
      <c r="P107" s="727"/>
      <c r="Q107" s="727"/>
      <c r="R107" s="730"/>
      <c r="S107" s="727"/>
      <c r="T107" s="728" t="s">
        <v>179</v>
      </c>
    </row>
    <row r="108" ht="34.5">
      <c r="A108" s="728" t="s">
        <v>167</v>
      </c>
      <c r="B108" s="728" t="s">
        <v>168</v>
      </c>
      <c r="C108" s="728" t="s">
        <v>313</v>
      </c>
      <c r="D108" s="728" t="s">
        <v>386</v>
      </c>
      <c r="E108" s="728" t="s">
        <v>296</v>
      </c>
      <c r="F108" s="727" t="s">
        <v>296</v>
      </c>
      <c r="G108" s="728" t="s">
        <v>297</v>
      </c>
      <c r="H108" s="727"/>
      <c r="I108" s="727" t="s">
        <v>387</v>
      </c>
      <c r="J108" s="727" t="s">
        <v>389</v>
      </c>
      <c r="K108" s="729">
        <v>28195703</v>
      </c>
      <c r="L108" s="728" t="s">
        <v>175</v>
      </c>
      <c r="M108" s="728" t="s">
        <v>176</v>
      </c>
      <c r="N108" s="727"/>
      <c r="O108" s="727"/>
      <c r="P108" s="727"/>
      <c r="Q108" s="727" t="s">
        <v>390</v>
      </c>
      <c r="R108" s="730"/>
      <c r="S108" s="727"/>
      <c r="T108" s="728" t="s">
        <v>179</v>
      </c>
    </row>
    <row r="109" ht="34.5">
      <c r="A109" s="728" t="s">
        <v>167</v>
      </c>
      <c r="B109" s="728" t="s">
        <v>168</v>
      </c>
      <c r="C109" s="728" t="s">
        <v>313</v>
      </c>
      <c r="D109" s="728" t="s">
        <v>386</v>
      </c>
      <c r="E109" s="728" t="s">
        <v>296</v>
      </c>
      <c r="F109" s="727" t="s">
        <v>296</v>
      </c>
      <c r="G109" s="728" t="s">
        <v>297</v>
      </c>
      <c r="H109" s="727" t="s">
        <v>24</v>
      </c>
      <c r="I109" s="727" t="s">
        <v>387</v>
      </c>
      <c r="J109" s="727" t="s">
        <v>24</v>
      </c>
      <c r="K109" s="729">
        <v>-669295</v>
      </c>
      <c r="L109" s="728" t="s">
        <v>175</v>
      </c>
      <c r="M109" s="728" t="s">
        <v>176</v>
      </c>
      <c r="N109" s="727"/>
      <c r="O109" s="727"/>
      <c r="P109" s="727"/>
      <c r="Q109" s="727"/>
      <c r="R109" s="730" t="s">
        <v>391</v>
      </c>
      <c r="S109" s="727"/>
      <c r="T109" s="728" t="s">
        <v>179</v>
      </c>
    </row>
    <row r="110" ht="34.5">
      <c r="A110" s="728" t="s">
        <v>167</v>
      </c>
      <c r="B110" s="728" t="s">
        <v>168</v>
      </c>
      <c r="C110" s="728" t="s">
        <v>313</v>
      </c>
      <c r="D110" s="728" t="s">
        <v>386</v>
      </c>
      <c r="E110" s="728" t="s">
        <v>296</v>
      </c>
      <c r="F110" s="727" t="s">
        <v>296</v>
      </c>
      <c r="G110" s="728" t="s">
        <v>297</v>
      </c>
      <c r="H110" s="727"/>
      <c r="I110" s="727" t="s">
        <v>387</v>
      </c>
      <c r="J110" s="727" t="s">
        <v>392</v>
      </c>
      <c r="K110" s="729">
        <v>14031702</v>
      </c>
      <c r="L110" s="728" t="s">
        <v>175</v>
      </c>
      <c r="M110" s="728" t="s">
        <v>176</v>
      </c>
      <c r="N110" s="727"/>
      <c r="O110" s="727"/>
      <c r="P110" s="727"/>
      <c r="Q110" s="727"/>
      <c r="R110" s="730"/>
      <c r="S110" s="727"/>
      <c r="T110" s="728" t="s">
        <v>179</v>
      </c>
    </row>
    <row r="111" ht="34.5">
      <c r="A111" s="728" t="s">
        <v>167</v>
      </c>
      <c r="B111" s="728" t="s">
        <v>168</v>
      </c>
      <c r="C111" s="728" t="s">
        <v>313</v>
      </c>
      <c r="D111" s="728" t="s">
        <v>386</v>
      </c>
      <c r="E111" s="728" t="s">
        <v>296</v>
      </c>
      <c r="F111" s="727" t="s">
        <v>296</v>
      </c>
      <c r="G111" s="728" t="s">
        <v>297</v>
      </c>
      <c r="H111" s="727"/>
      <c r="I111" s="727" t="s">
        <v>387</v>
      </c>
      <c r="J111" s="727" t="s">
        <v>393</v>
      </c>
      <c r="K111" s="729">
        <v>14336109</v>
      </c>
      <c r="L111" s="728" t="s">
        <v>175</v>
      </c>
      <c r="M111" s="728" t="s">
        <v>176</v>
      </c>
      <c r="N111" s="727"/>
      <c r="O111" s="727"/>
      <c r="P111" s="727"/>
      <c r="Q111" s="727"/>
      <c r="R111" s="730"/>
      <c r="S111" s="727"/>
      <c r="T111" s="728" t="s">
        <v>179</v>
      </c>
    </row>
    <row r="112" ht="34.5">
      <c r="A112" s="728" t="s">
        <v>167</v>
      </c>
      <c r="B112" s="728" t="s">
        <v>168</v>
      </c>
      <c r="C112" s="728" t="s">
        <v>313</v>
      </c>
      <c r="D112" s="728" t="s">
        <v>386</v>
      </c>
      <c r="E112" s="728" t="s">
        <v>296</v>
      </c>
      <c r="F112" s="727" t="s">
        <v>296</v>
      </c>
      <c r="G112" s="728" t="s">
        <v>297</v>
      </c>
      <c r="H112" s="727"/>
      <c r="I112" s="727" t="s">
        <v>387</v>
      </c>
      <c r="J112" s="727" t="s">
        <v>394</v>
      </c>
      <c r="K112" s="729">
        <v>497187</v>
      </c>
      <c r="L112" s="728" t="s">
        <v>175</v>
      </c>
      <c r="M112" s="728" t="s">
        <v>176</v>
      </c>
      <c r="N112" s="727"/>
      <c r="O112" s="727"/>
      <c r="P112" s="727"/>
      <c r="Q112" s="727"/>
      <c r="R112" s="730"/>
      <c r="S112" s="727"/>
      <c r="T112" s="728" t="s">
        <v>179</v>
      </c>
    </row>
    <row r="113" ht="34.5">
      <c r="A113" s="728" t="s">
        <v>167</v>
      </c>
      <c r="B113" s="728" t="s">
        <v>168</v>
      </c>
      <c r="C113" s="728" t="s">
        <v>313</v>
      </c>
      <c r="D113" s="728" t="s">
        <v>386</v>
      </c>
      <c r="E113" s="728" t="s">
        <v>296</v>
      </c>
      <c r="F113" s="727" t="s">
        <v>296</v>
      </c>
      <c r="G113" s="728" t="s">
        <v>297</v>
      </c>
      <c r="H113" s="727"/>
      <c r="I113" s="727" t="s">
        <v>387</v>
      </c>
      <c r="J113" s="727" t="s">
        <v>395</v>
      </c>
      <c r="K113" s="729">
        <v>7.25</v>
      </c>
      <c r="L113" s="728" t="s">
        <v>175</v>
      </c>
      <c r="M113" s="728" t="s">
        <v>176</v>
      </c>
      <c r="N113" s="727"/>
      <c r="O113" s="727"/>
      <c r="P113" s="727"/>
      <c r="Q113" s="727" t="s">
        <v>396</v>
      </c>
      <c r="R113" s="730"/>
      <c r="S113" s="727"/>
      <c r="T113" s="728" t="s">
        <v>179</v>
      </c>
    </row>
    <row r="114" ht="34.5">
      <c r="A114" s="728" t="s">
        <v>326</v>
      </c>
      <c r="B114" s="728" t="s">
        <v>168</v>
      </c>
      <c r="C114" s="728" t="s">
        <v>313</v>
      </c>
      <c r="D114" s="728" t="s">
        <v>386</v>
      </c>
      <c r="E114" s="728" t="s">
        <v>296</v>
      </c>
      <c r="F114" s="727" t="s">
        <v>296</v>
      </c>
      <c r="G114" s="728" t="s">
        <v>297</v>
      </c>
      <c r="H114" s="727"/>
      <c r="I114" s="727" t="s">
        <v>387</v>
      </c>
      <c r="J114" s="727" t="s">
        <v>388</v>
      </c>
      <c r="K114" s="729">
        <v>218407000</v>
      </c>
      <c r="L114" s="728" t="s">
        <v>175</v>
      </c>
      <c r="M114" s="728" t="s">
        <v>176</v>
      </c>
      <c r="N114" s="727"/>
      <c r="O114" s="727"/>
      <c r="P114" s="727"/>
      <c r="Q114" s="727"/>
      <c r="R114" s="730"/>
      <c r="S114" s="727"/>
      <c r="T114" s="728" t="s">
        <v>179</v>
      </c>
    </row>
    <row r="115" ht="34.5">
      <c r="A115" s="728" t="s">
        <v>326</v>
      </c>
      <c r="B115" s="728" t="s">
        <v>168</v>
      </c>
      <c r="C115" s="728" t="s">
        <v>313</v>
      </c>
      <c r="D115" s="728" t="s">
        <v>386</v>
      </c>
      <c r="E115" s="728" t="s">
        <v>296</v>
      </c>
      <c r="F115" s="727" t="s">
        <v>296</v>
      </c>
      <c r="G115" s="728" t="s">
        <v>297</v>
      </c>
      <c r="H115" s="727"/>
      <c r="I115" s="727" t="s">
        <v>387</v>
      </c>
      <c r="J115" s="727" t="s">
        <v>389</v>
      </c>
      <c r="K115" s="729">
        <v>27477199</v>
      </c>
      <c r="L115" s="728" t="s">
        <v>175</v>
      </c>
      <c r="M115" s="728" t="s">
        <v>176</v>
      </c>
      <c r="N115" s="727"/>
      <c r="O115" s="727"/>
      <c r="P115" s="727"/>
      <c r="Q115" s="727" t="s">
        <v>390</v>
      </c>
      <c r="R115" s="730"/>
      <c r="S115" s="727"/>
      <c r="T115" s="728" t="s">
        <v>179</v>
      </c>
    </row>
    <row r="116" ht="34.5">
      <c r="A116" s="728" t="s">
        <v>326</v>
      </c>
      <c r="B116" s="728" t="s">
        <v>168</v>
      </c>
      <c r="C116" s="728" t="s">
        <v>313</v>
      </c>
      <c r="D116" s="728" t="s">
        <v>386</v>
      </c>
      <c r="E116" s="728" t="s">
        <v>296</v>
      </c>
      <c r="F116" s="727" t="s">
        <v>296</v>
      </c>
      <c r="G116" s="728" t="s">
        <v>297</v>
      </c>
      <c r="H116" s="727" t="s">
        <v>24</v>
      </c>
      <c r="I116" s="727" t="s">
        <v>387</v>
      </c>
      <c r="J116" s="727" t="s">
        <v>24</v>
      </c>
      <c r="K116" s="729">
        <v>-2392339</v>
      </c>
      <c r="L116" s="728" t="s">
        <v>175</v>
      </c>
      <c r="M116" s="728" t="s">
        <v>176</v>
      </c>
      <c r="N116" s="727"/>
      <c r="O116" s="727"/>
      <c r="P116" s="727"/>
      <c r="Q116" s="727"/>
      <c r="R116" s="730" t="s">
        <v>397</v>
      </c>
      <c r="S116" s="727"/>
      <c r="T116" s="728" t="s">
        <v>179</v>
      </c>
    </row>
    <row r="117" ht="34.5">
      <c r="A117" s="728" t="s">
        <v>326</v>
      </c>
      <c r="B117" s="728" t="s">
        <v>168</v>
      </c>
      <c r="C117" s="728" t="s">
        <v>313</v>
      </c>
      <c r="D117" s="728" t="s">
        <v>386</v>
      </c>
      <c r="E117" s="728" t="s">
        <v>296</v>
      </c>
      <c r="F117" s="727" t="s">
        <v>296</v>
      </c>
      <c r="G117" s="728" t="s">
        <v>297</v>
      </c>
      <c r="H117" s="727"/>
      <c r="I117" s="727" t="s">
        <v>387</v>
      </c>
      <c r="J117" s="727" t="s">
        <v>392</v>
      </c>
      <c r="K117" s="729">
        <v>13994812</v>
      </c>
      <c r="L117" s="728" t="s">
        <v>175</v>
      </c>
      <c r="M117" s="728" t="s">
        <v>176</v>
      </c>
      <c r="N117" s="727"/>
      <c r="O117" s="727"/>
      <c r="P117" s="727"/>
      <c r="Q117" s="727"/>
      <c r="R117" s="730"/>
      <c r="S117" s="727"/>
      <c r="T117" s="728" t="s">
        <v>179</v>
      </c>
    </row>
    <row r="118" ht="34.5">
      <c r="A118" s="728" t="s">
        <v>326</v>
      </c>
      <c r="B118" s="728" t="s">
        <v>168</v>
      </c>
      <c r="C118" s="728" t="s">
        <v>313</v>
      </c>
      <c r="D118" s="728" t="s">
        <v>386</v>
      </c>
      <c r="E118" s="728" t="s">
        <v>296</v>
      </c>
      <c r="F118" s="727" t="s">
        <v>296</v>
      </c>
      <c r="G118" s="728" t="s">
        <v>297</v>
      </c>
      <c r="H118" s="727"/>
      <c r="I118" s="727" t="s">
        <v>387</v>
      </c>
      <c r="J118" s="727" t="s">
        <v>393</v>
      </c>
      <c r="K118" s="729">
        <v>15193459</v>
      </c>
      <c r="L118" s="728" t="s">
        <v>175</v>
      </c>
      <c r="M118" s="728" t="s">
        <v>176</v>
      </c>
      <c r="N118" s="727"/>
      <c r="O118" s="727"/>
      <c r="P118" s="727"/>
      <c r="Q118" s="727"/>
      <c r="R118" s="730"/>
      <c r="S118" s="727"/>
      <c r="T118" s="728" t="s">
        <v>179</v>
      </c>
    </row>
    <row r="119" ht="34.5">
      <c r="A119" s="728" t="s">
        <v>326</v>
      </c>
      <c r="B119" s="728" t="s">
        <v>168</v>
      </c>
      <c r="C119" s="728" t="s">
        <v>313</v>
      </c>
      <c r="D119" s="728" t="s">
        <v>386</v>
      </c>
      <c r="E119" s="728" t="s">
        <v>296</v>
      </c>
      <c r="F119" s="727" t="s">
        <v>296</v>
      </c>
      <c r="G119" s="728" t="s">
        <v>297</v>
      </c>
      <c r="H119" s="727"/>
      <c r="I119" s="727" t="s">
        <v>387</v>
      </c>
      <c r="J119" s="727" t="s">
        <v>394</v>
      </c>
      <c r="K119" s="729">
        <v>681267</v>
      </c>
      <c r="L119" s="728" t="s">
        <v>175</v>
      </c>
      <c r="M119" s="728" t="s">
        <v>176</v>
      </c>
      <c r="N119" s="727"/>
      <c r="O119" s="727"/>
      <c r="P119" s="727"/>
      <c r="Q119" s="727"/>
      <c r="R119" s="730"/>
      <c r="S119" s="727"/>
      <c r="T119" s="728" t="s">
        <v>179</v>
      </c>
    </row>
    <row r="120" ht="34.5">
      <c r="A120" s="728" t="s">
        <v>326</v>
      </c>
      <c r="B120" s="728" t="s">
        <v>168</v>
      </c>
      <c r="C120" s="728" t="s">
        <v>313</v>
      </c>
      <c r="D120" s="728" t="s">
        <v>386</v>
      </c>
      <c r="E120" s="728" t="s">
        <v>296</v>
      </c>
      <c r="F120" s="727" t="s">
        <v>296</v>
      </c>
      <c r="G120" s="728" t="s">
        <v>297</v>
      </c>
      <c r="H120" s="727"/>
      <c r="I120" s="727" t="s">
        <v>387</v>
      </c>
      <c r="J120" s="727" t="s">
        <v>395</v>
      </c>
      <c r="K120" s="729">
        <v>7.95</v>
      </c>
      <c r="L120" s="728" t="s">
        <v>175</v>
      </c>
      <c r="M120" s="728" t="s">
        <v>176</v>
      </c>
      <c r="N120" s="727"/>
      <c r="O120" s="727"/>
      <c r="P120" s="727"/>
      <c r="Q120" s="727" t="s">
        <v>396</v>
      </c>
      <c r="R120" s="730"/>
      <c r="S120" s="727"/>
      <c r="T120" s="728" t="s">
        <v>179</v>
      </c>
    </row>
    <row r="121" ht="34.5">
      <c r="A121" s="728" t="s">
        <v>327</v>
      </c>
      <c r="B121" s="728" t="s">
        <v>328</v>
      </c>
      <c r="C121" s="728" t="s">
        <v>313</v>
      </c>
      <c r="D121" s="728" t="s">
        <v>386</v>
      </c>
      <c r="E121" s="728" t="s">
        <v>296</v>
      </c>
      <c r="F121" s="727" t="s">
        <v>296</v>
      </c>
      <c r="G121" s="728" t="s">
        <v>297</v>
      </c>
      <c r="H121" s="727"/>
      <c r="I121" s="727" t="s">
        <v>387</v>
      </c>
      <c r="J121" s="727" t="s">
        <v>388</v>
      </c>
      <c r="K121" s="729">
        <v>231256000</v>
      </c>
      <c r="L121" s="728" t="s">
        <v>175</v>
      </c>
      <c r="M121" s="728" t="s">
        <v>176</v>
      </c>
      <c r="N121" s="727"/>
      <c r="O121" s="727"/>
      <c r="P121" s="727"/>
      <c r="Q121" s="727"/>
      <c r="R121" s="730"/>
      <c r="S121" s="727"/>
      <c r="T121" s="728" t="s">
        <v>179</v>
      </c>
    </row>
    <row r="122" ht="34.5">
      <c r="A122" s="728" t="s">
        <v>327</v>
      </c>
      <c r="B122" s="728" t="s">
        <v>328</v>
      </c>
      <c r="C122" s="728" t="s">
        <v>313</v>
      </c>
      <c r="D122" s="728" t="s">
        <v>386</v>
      </c>
      <c r="E122" s="728" t="s">
        <v>296</v>
      </c>
      <c r="F122" s="727" t="s">
        <v>296</v>
      </c>
      <c r="G122" s="728" t="s">
        <v>297</v>
      </c>
      <c r="H122" s="727"/>
      <c r="I122" s="727" t="s">
        <v>387</v>
      </c>
      <c r="J122" s="727" t="s">
        <v>389</v>
      </c>
      <c r="K122" s="729">
        <v>38485038</v>
      </c>
      <c r="L122" s="728" t="s">
        <v>175</v>
      </c>
      <c r="M122" s="728" t="s">
        <v>176</v>
      </c>
      <c r="N122" s="727"/>
      <c r="O122" s="727"/>
      <c r="P122" s="727"/>
      <c r="Q122" s="727"/>
      <c r="R122" s="730"/>
      <c r="S122" s="727"/>
      <c r="T122" s="728" t="s">
        <v>179</v>
      </c>
    </row>
    <row r="123" ht="34.5">
      <c r="A123" s="728" t="s">
        <v>327</v>
      </c>
      <c r="B123" s="728" t="s">
        <v>328</v>
      </c>
      <c r="C123" s="728" t="s">
        <v>313</v>
      </c>
      <c r="D123" s="728" t="s">
        <v>386</v>
      </c>
      <c r="E123" s="728" t="s">
        <v>296</v>
      </c>
      <c r="F123" s="727" t="s">
        <v>296</v>
      </c>
      <c r="G123" s="728" t="s">
        <v>297</v>
      </c>
      <c r="H123" s="727" t="s">
        <v>24</v>
      </c>
      <c r="I123" s="727" t="s">
        <v>387</v>
      </c>
      <c r="J123" s="727" t="s">
        <v>398</v>
      </c>
      <c r="K123" s="729">
        <v>7574542</v>
      </c>
      <c r="L123" s="728" t="s">
        <v>175</v>
      </c>
      <c r="M123" s="728" t="s">
        <v>176</v>
      </c>
      <c r="N123" s="727"/>
      <c r="O123" s="727"/>
      <c r="P123" s="727"/>
      <c r="Q123" s="727"/>
      <c r="R123" s="730" t="s">
        <v>399</v>
      </c>
      <c r="S123" s="727"/>
      <c r="T123" s="728" t="s">
        <v>179</v>
      </c>
    </row>
    <row r="124" ht="34.5">
      <c r="A124" s="728" t="s">
        <v>327</v>
      </c>
      <c r="B124" s="728" t="s">
        <v>328</v>
      </c>
      <c r="C124" s="728" t="s">
        <v>313</v>
      </c>
      <c r="D124" s="728" t="s">
        <v>386</v>
      </c>
      <c r="E124" s="728" t="s">
        <v>296</v>
      </c>
      <c r="F124" s="727" t="s">
        <v>296</v>
      </c>
      <c r="G124" s="728" t="s">
        <v>297</v>
      </c>
      <c r="H124" s="727"/>
      <c r="I124" s="727" t="s">
        <v>387</v>
      </c>
      <c r="J124" s="727" t="s">
        <v>392</v>
      </c>
      <c r="K124" s="729">
        <v>13947153</v>
      </c>
      <c r="L124" s="728" t="s">
        <v>175</v>
      </c>
      <c r="M124" s="728" t="s">
        <v>176</v>
      </c>
      <c r="N124" s="727"/>
      <c r="O124" s="727"/>
      <c r="P124" s="727"/>
      <c r="Q124" s="727"/>
      <c r="R124" s="730"/>
      <c r="S124" s="727"/>
      <c r="T124" s="728" t="s">
        <v>179</v>
      </c>
    </row>
    <row r="125" ht="34.5">
      <c r="A125" s="728" t="s">
        <v>327</v>
      </c>
      <c r="B125" s="728" t="s">
        <v>328</v>
      </c>
      <c r="C125" s="728" t="s">
        <v>313</v>
      </c>
      <c r="D125" s="728" t="s">
        <v>386</v>
      </c>
      <c r="E125" s="728" t="s">
        <v>296</v>
      </c>
      <c r="F125" s="727" t="s">
        <v>296</v>
      </c>
      <c r="G125" s="728" t="s">
        <v>297</v>
      </c>
      <c r="H125" s="727"/>
      <c r="I125" s="727" t="s">
        <v>387</v>
      </c>
      <c r="J125" s="727" t="s">
        <v>393</v>
      </c>
      <c r="K125" s="729">
        <v>16142876</v>
      </c>
      <c r="L125" s="728" t="s">
        <v>175</v>
      </c>
      <c r="M125" s="728" t="s">
        <v>176</v>
      </c>
      <c r="N125" s="727"/>
      <c r="O125" s="727"/>
      <c r="P125" s="727"/>
      <c r="Q125" s="727"/>
      <c r="R125" s="730"/>
      <c r="S125" s="727"/>
      <c r="T125" s="728" t="s">
        <v>179</v>
      </c>
    </row>
    <row r="126" ht="34.5">
      <c r="A126" s="728" t="s">
        <v>327</v>
      </c>
      <c r="B126" s="728" t="s">
        <v>328</v>
      </c>
      <c r="C126" s="728" t="s">
        <v>313</v>
      </c>
      <c r="D126" s="728" t="s">
        <v>386</v>
      </c>
      <c r="E126" s="728" t="s">
        <v>296</v>
      </c>
      <c r="F126" s="727" t="s">
        <v>296</v>
      </c>
      <c r="G126" s="728" t="s">
        <v>297</v>
      </c>
      <c r="H126" s="727"/>
      <c r="I126" s="727" t="s">
        <v>387</v>
      </c>
      <c r="J126" s="727" t="s">
        <v>394</v>
      </c>
      <c r="K126" s="729">
        <v>820467</v>
      </c>
      <c r="L126" s="728" t="s">
        <v>175</v>
      </c>
      <c r="M126" s="728" t="s">
        <v>176</v>
      </c>
      <c r="N126" s="727"/>
      <c r="O126" s="727"/>
      <c r="P126" s="727"/>
      <c r="Q126" s="727"/>
      <c r="R126" s="730"/>
      <c r="S126" s="727"/>
      <c r="T126" s="728" t="s">
        <v>179</v>
      </c>
    </row>
    <row r="127" ht="34.5">
      <c r="A127" s="728" t="s">
        <v>327</v>
      </c>
      <c r="B127" s="728" t="s">
        <v>328</v>
      </c>
      <c r="C127" s="728" t="s">
        <v>313</v>
      </c>
      <c r="D127" s="728" t="s">
        <v>386</v>
      </c>
      <c r="E127" s="728" t="s">
        <v>296</v>
      </c>
      <c r="F127" s="727" t="s">
        <v>296</v>
      </c>
      <c r="G127" s="728" t="s">
        <v>297</v>
      </c>
      <c r="H127" s="727"/>
      <c r="I127" s="727" t="s">
        <v>387</v>
      </c>
      <c r="J127" s="727" t="s">
        <v>395</v>
      </c>
      <c r="K127" s="729">
        <v>6.01</v>
      </c>
      <c r="L127" s="728" t="s">
        <v>175</v>
      </c>
      <c r="M127" s="728" t="s">
        <v>176</v>
      </c>
      <c r="N127" s="727"/>
      <c r="O127" s="727"/>
      <c r="P127" s="727"/>
      <c r="Q127" s="727"/>
      <c r="R127" s="730"/>
      <c r="S127" s="727"/>
      <c r="T127" s="728" t="s">
        <v>179</v>
      </c>
    </row>
    <row r="128" ht="34.5">
      <c r="A128" s="728" t="s">
        <v>333</v>
      </c>
      <c r="B128" s="728" t="s">
        <v>334</v>
      </c>
      <c r="C128" s="728" t="s">
        <v>313</v>
      </c>
      <c r="D128" s="728" t="s">
        <v>386</v>
      </c>
      <c r="E128" s="728" t="s">
        <v>296</v>
      </c>
      <c r="F128" s="727" t="s">
        <v>296</v>
      </c>
      <c r="G128" s="728" t="s">
        <v>297</v>
      </c>
      <c r="H128" s="727"/>
      <c r="I128" s="727" t="s">
        <v>387</v>
      </c>
      <c r="J128" s="727" t="s">
        <v>388</v>
      </c>
      <c r="K128" s="729">
        <v>242512000</v>
      </c>
      <c r="L128" s="728" t="s">
        <v>175</v>
      </c>
      <c r="M128" s="728" t="s">
        <v>176</v>
      </c>
      <c r="N128" s="727"/>
      <c r="O128" s="727"/>
      <c r="P128" s="727"/>
      <c r="Q128" s="727"/>
      <c r="R128" s="730"/>
      <c r="S128" s="727"/>
      <c r="T128" s="728" t="s">
        <v>179</v>
      </c>
    </row>
    <row r="129" ht="34.5">
      <c r="A129" s="728" t="s">
        <v>333</v>
      </c>
      <c r="B129" s="728" t="s">
        <v>334</v>
      </c>
      <c r="C129" s="728" t="s">
        <v>313</v>
      </c>
      <c r="D129" s="728" t="s">
        <v>386</v>
      </c>
      <c r="E129" s="728" t="s">
        <v>296</v>
      </c>
      <c r="F129" s="727" t="s">
        <v>296</v>
      </c>
      <c r="G129" s="728" t="s">
        <v>297</v>
      </c>
      <c r="H129" s="727"/>
      <c r="I129" s="727" t="s">
        <v>387</v>
      </c>
      <c r="J129" s="727" t="s">
        <v>389</v>
      </c>
      <c r="K129" s="729">
        <v>29789354</v>
      </c>
      <c r="L129" s="728" t="s">
        <v>175</v>
      </c>
      <c r="M129" s="728" t="s">
        <v>176</v>
      </c>
      <c r="N129" s="727"/>
      <c r="O129" s="727"/>
      <c r="P129" s="727"/>
      <c r="Q129" s="727"/>
      <c r="R129" s="730"/>
      <c r="S129" s="727"/>
      <c r="T129" s="728" t="s">
        <v>179</v>
      </c>
    </row>
    <row r="130" ht="34.5">
      <c r="A130" s="728" t="s">
        <v>333</v>
      </c>
      <c r="B130" s="728" t="s">
        <v>334</v>
      </c>
      <c r="C130" s="728" t="s">
        <v>313</v>
      </c>
      <c r="D130" s="728" t="s">
        <v>386</v>
      </c>
      <c r="E130" s="728" t="s">
        <v>296</v>
      </c>
      <c r="F130" s="727" t="s">
        <v>296</v>
      </c>
      <c r="G130" s="728" t="s">
        <v>297</v>
      </c>
      <c r="H130" s="727" t="s">
        <v>24</v>
      </c>
      <c r="I130" s="727" t="s">
        <v>387</v>
      </c>
      <c r="J130" s="727" t="s">
        <v>400</v>
      </c>
      <c r="K130" s="729">
        <v>6571299</v>
      </c>
      <c r="L130" s="728" t="s">
        <v>175</v>
      </c>
      <c r="M130" s="728" t="s">
        <v>176</v>
      </c>
      <c r="N130" s="727"/>
      <c r="O130" s="727"/>
      <c r="P130" s="727"/>
      <c r="Q130" s="727"/>
      <c r="R130" s="730" t="s">
        <v>401</v>
      </c>
      <c r="S130" s="727"/>
      <c r="T130" s="728" t="s">
        <v>179</v>
      </c>
    </row>
    <row r="131" ht="34.5">
      <c r="A131" s="728" t="s">
        <v>333</v>
      </c>
      <c r="B131" s="728" t="s">
        <v>334</v>
      </c>
      <c r="C131" s="728" t="s">
        <v>313</v>
      </c>
      <c r="D131" s="728" t="s">
        <v>386</v>
      </c>
      <c r="E131" s="728" t="s">
        <v>296</v>
      </c>
      <c r="F131" s="727" t="s">
        <v>296</v>
      </c>
      <c r="G131" s="728" t="s">
        <v>297</v>
      </c>
      <c r="H131" s="727"/>
      <c r="I131" s="727" t="s">
        <v>387</v>
      </c>
      <c r="J131" s="727" t="s">
        <v>402</v>
      </c>
      <c r="K131" s="729">
        <v>13936348</v>
      </c>
      <c r="L131" s="728" t="s">
        <v>175</v>
      </c>
      <c r="M131" s="728" t="s">
        <v>176</v>
      </c>
      <c r="N131" s="727"/>
      <c r="O131" s="727"/>
      <c r="P131" s="727"/>
      <c r="Q131" s="727"/>
      <c r="R131" s="730"/>
      <c r="S131" s="727"/>
      <c r="T131" s="728" t="s">
        <v>179</v>
      </c>
    </row>
    <row r="132" ht="34.5">
      <c r="A132" s="728" t="s">
        <v>333</v>
      </c>
      <c r="B132" s="728" t="s">
        <v>334</v>
      </c>
      <c r="C132" s="728" t="s">
        <v>313</v>
      </c>
      <c r="D132" s="728" t="s">
        <v>386</v>
      </c>
      <c r="E132" s="728" t="s">
        <v>296</v>
      </c>
      <c r="F132" s="727" t="s">
        <v>296</v>
      </c>
      <c r="G132" s="728" t="s">
        <v>297</v>
      </c>
      <c r="H132" s="727"/>
      <c r="I132" s="727" t="s">
        <v>387</v>
      </c>
      <c r="J132" s="727" t="s">
        <v>393</v>
      </c>
      <c r="K132" s="729">
        <v>9881077</v>
      </c>
      <c r="L132" s="728" t="s">
        <v>175</v>
      </c>
      <c r="M132" s="728" t="s">
        <v>176</v>
      </c>
      <c r="N132" s="727"/>
      <c r="O132" s="727"/>
      <c r="P132" s="727"/>
      <c r="Q132" s="727"/>
      <c r="R132" s="730"/>
      <c r="S132" s="727"/>
      <c r="T132" s="728" t="s">
        <v>179</v>
      </c>
    </row>
    <row r="133" ht="34.5">
      <c r="A133" s="728" t="s">
        <v>333</v>
      </c>
      <c r="B133" s="728" t="s">
        <v>334</v>
      </c>
      <c r="C133" s="728" t="s">
        <v>313</v>
      </c>
      <c r="D133" s="728" t="s">
        <v>386</v>
      </c>
      <c r="E133" s="728" t="s">
        <v>296</v>
      </c>
      <c r="F133" s="727" t="s">
        <v>296</v>
      </c>
      <c r="G133" s="728" t="s">
        <v>297</v>
      </c>
      <c r="H133" s="727"/>
      <c r="I133" s="727" t="s">
        <v>387</v>
      </c>
      <c r="J133" s="727" t="s">
        <v>394</v>
      </c>
      <c r="K133" s="729">
        <v>-599370</v>
      </c>
      <c r="L133" s="728" t="s">
        <v>175</v>
      </c>
      <c r="M133" s="728" t="s">
        <v>176</v>
      </c>
      <c r="N133" s="727"/>
      <c r="O133" s="727"/>
      <c r="P133" s="727"/>
      <c r="Q133" s="727"/>
      <c r="R133" s="730"/>
      <c r="S133" s="727"/>
      <c r="T133" s="728" t="s">
        <v>179</v>
      </c>
    </row>
    <row r="134" ht="34.5">
      <c r="A134" s="728" t="s">
        <v>333</v>
      </c>
      <c r="B134" s="728" t="s">
        <v>334</v>
      </c>
      <c r="C134" s="728" t="s">
        <v>313</v>
      </c>
      <c r="D134" s="728" t="s">
        <v>386</v>
      </c>
      <c r="E134" s="728" t="s">
        <v>296</v>
      </c>
      <c r="F134" s="727" t="s">
        <v>296</v>
      </c>
      <c r="G134" s="728" t="s">
        <v>297</v>
      </c>
      <c r="H134" s="727"/>
      <c r="I134" s="727" t="s">
        <v>387</v>
      </c>
      <c r="J134" s="727" t="s">
        <v>395</v>
      </c>
      <c r="K134" s="729">
        <v>8.14</v>
      </c>
      <c r="L134" s="728" t="s">
        <v>175</v>
      </c>
      <c r="M134" s="728" t="s">
        <v>176</v>
      </c>
      <c r="N134" s="727"/>
      <c r="O134" s="727"/>
      <c r="P134" s="727"/>
      <c r="Q134" s="727"/>
      <c r="R134" s="730"/>
      <c r="S134" s="727"/>
      <c r="T134" s="728" t="s">
        <v>179</v>
      </c>
    </row>
    <row r="135" ht="34.5">
      <c r="A135" s="728" t="s">
        <v>338</v>
      </c>
      <c r="B135" s="728" t="s">
        <v>339</v>
      </c>
      <c r="C135" s="728" t="s">
        <v>354</v>
      </c>
      <c r="D135" s="728" t="s">
        <v>386</v>
      </c>
      <c r="E135" s="728" t="s">
        <v>296</v>
      </c>
      <c r="F135" s="727" t="s">
        <v>296</v>
      </c>
      <c r="G135" s="728" t="s">
        <v>297</v>
      </c>
      <c r="H135" s="727"/>
      <c r="I135" s="727" t="s">
        <v>387</v>
      </c>
      <c r="J135" s="727" t="s">
        <v>388</v>
      </c>
      <c r="K135" s="729">
        <v>252661000</v>
      </c>
      <c r="L135" s="728" t="s">
        <v>175</v>
      </c>
      <c r="M135" s="728" t="s">
        <v>176</v>
      </c>
      <c r="N135" s="727"/>
      <c r="O135" s="727"/>
      <c r="P135" s="727"/>
      <c r="Q135" s="727"/>
      <c r="R135" s="730"/>
      <c r="S135" s="727"/>
      <c r="T135" s="728" t="s">
        <v>179</v>
      </c>
    </row>
    <row r="136" ht="34.5">
      <c r="A136" s="728" t="s">
        <v>338</v>
      </c>
      <c r="B136" s="728" t="s">
        <v>339</v>
      </c>
      <c r="C136" s="728" t="s">
        <v>354</v>
      </c>
      <c r="D136" s="728" t="s">
        <v>386</v>
      </c>
      <c r="E136" s="728" t="s">
        <v>296</v>
      </c>
      <c r="F136" s="727" t="s">
        <v>296</v>
      </c>
      <c r="G136" s="728" t="s">
        <v>297</v>
      </c>
      <c r="H136" s="727"/>
      <c r="I136" s="727" t="s">
        <v>387</v>
      </c>
      <c r="J136" s="727" t="s">
        <v>389</v>
      </c>
      <c r="K136" s="729">
        <v>29863376</v>
      </c>
      <c r="L136" s="728" t="s">
        <v>175</v>
      </c>
      <c r="M136" s="728" t="s">
        <v>176</v>
      </c>
      <c r="N136" s="727"/>
      <c r="O136" s="727"/>
      <c r="P136" s="727"/>
      <c r="Q136" s="727"/>
      <c r="R136" s="730"/>
      <c r="S136" s="727"/>
      <c r="T136" s="728" t="s">
        <v>179</v>
      </c>
    </row>
    <row r="137" ht="34.5">
      <c r="A137" s="728" t="s">
        <v>338</v>
      </c>
      <c r="B137" s="728" t="s">
        <v>339</v>
      </c>
      <c r="C137" s="728" t="s">
        <v>354</v>
      </c>
      <c r="D137" s="728" t="s">
        <v>386</v>
      </c>
      <c r="E137" s="728" t="s">
        <v>296</v>
      </c>
      <c r="F137" s="727" t="s">
        <v>296</v>
      </c>
      <c r="G137" s="728" t="s">
        <v>297</v>
      </c>
      <c r="H137" s="727" t="s">
        <v>24</v>
      </c>
      <c r="I137" s="727" t="s">
        <v>387</v>
      </c>
      <c r="J137" s="727" t="s">
        <v>403</v>
      </c>
      <c r="K137" s="729">
        <v>-863362</v>
      </c>
      <c r="L137" s="728" t="s">
        <v>175</v>
      </c>
      <c r="M137" s="728" t="s">
        <v>176</v>
      </c>
      <c r="N137" s="727"/>
      <c r="O137" s="727"/>
      <c r="P137" s="727"/>
      <c r="Q137" s="727"/>
      <c r="R137" s="730" t="s">
        <v>404</v>
      </c>
      <c r="S137" s="727"/>
      <c r="T137" s="728" t="s">
        <v>179</v>
      </c>
    </row>
    <row r="138" ht="34.5">
      <c r="A138" s="728" t="s">
        <v>338</v>
      </c>
      <c r="B138" s="728" t="s">
        <v>339</v>
      </c>
      <c r="C138" s="728" t="s">
        <v>354</v>
      </c>
      <c r="D138" s="728" t="s">
        <v>386</v>
      </c>
      <c r="E138" s="728" t="s">
        <v>296</v>
      </c>
      <c r="F138" s="727" t="s">
        <v>296</v>
      </c>
      <c r="G138" s="728" t="s">
        <v>297</v>
      </c>
      <c r="H138" s="727"/>
      <c r="I138" s="727" t="s">
        <v>387</v>
      </c>
      <c r="J138" s="727" t="s">
        <v>402</v>
      </c>
      <c r="K138" s="729">
        <v>13917163</v>
      </c>
      <c r="L138" s="728" t="s">
        <v>175</v>
      </c>
      <c r="M138" s="728" t="s">
        <v>176</v>
      </c>
      <c r="N138" s="727"/>
      <c r="O138" s="727"/>
      <c r="P138" s="727"/>
      <c r="Q138" s="727"/>
      <c r="R138" s="730"/>
      <c r="S138" s="727"/>
      <c r="T138" s="728" t="s">
        <v>179</v>
      </c>
    </row>
    <row r="139" ht="34.5">
      <c r="A139" s="728" t="s">
        <v>338</v>
      </c>
      <c r="B139" s="728" t="s">
        <v>339</v>
      </c>
      <c r="C139" s="728" t="s">
        <v>354</v>
      </c>
      <c r="D139" s="728" t="s">
        <v>386</v>
      </c>
      <c r="E139" s="728" t="s">
        <v>296</v>
      </c>
      <c r="F139" s="727" t="s">
        <v>296</v>
      </c>
      <c r="G139" s="728" t="s">
        <v>297</v>
      </c>
      <c r="H139" s="727"/>
      <c r="I139" s="727" t="s">
        <v>387</v>
      </c>
      <c r="J139" s="727" t="s">
        <v>393</v>
      </c>
      <c r="K139" s="729">
        <v>14126147</v>
      </c>
      <c r="L139" s="728" t="s">
        <v>175</v>
      </c>
      <c r="M139" s="728" t="s">
        <v>176</v>
      </c>
      <c r="N139" s="727"/>
      <c r="O139" s="727"/>
      <c r="P139" s="727"/>
      <c r="Q139" s="727"/>
      <c r="R139" s="730"/>
      <c r="S139" s="727"/>
      <c r="T139" s="728" t="s">
        <v>179</v>
      </c>
    </row>
    <row r="140" ht="34.5">
      <c r="A140" s="728" t="s">
        <v>338</v>
      </c>
      <c r="B140" s="728" t="s">
        <v>339</v>
      </c>
      <c r="C140" s="728" t="s">
        <v>354</v>
      </c>
      <c r="D140" s="728" t="s">
        <v>386</v>
      </c>
      <c r="E140" s="728" t="s">
        <v>296</v>
      </c>
      <c r="F140" s="727" t="s">
        <v>296</v>
      </c>
      <c r="G140" s="728" t="s">
        <v>297</v>
      </c>
      <c r="H140" s="727"/>
      <c r="I140" s="727" t="s">
        <v>387</v>
      </c>
      <c r="J140" s="727" t="s">
        <v>394</v>
      </c>
      <c r="K140" s="729">
        <v>2683428</v>
      </c>
      <c r="L140" s="728" t="s">
        <v>175</v>
      </c>
      <c r="M140" s="728" t="s">
        <v>176</v>
      </c>
      <c r="N140" s="727"/>
      <c r="O140" s="727"/>
      <c r="P140" s="727"/>
      <c r="Q140" s="727"/>
      <c r="R140" s="730"/>
      <c r="S140" s="727"/>
      <c r="T140" s="728" t="s">
        <v>179</v>
      </c>
    </row>
    <row r="141" ht="34.5">
      <c r="A141" s="728" t="s">
        <v>338</v>
      </c>
      <c r="B141" s="728" t="s">
        <v>339</v>
      </c>
      <c r="C141" s="728" t="s">
        <v>354</v>
      </c>
      <c r="D141" s="728" t="s">
        <v>386</v>
      </c>
      <c r="E141" s="728" t="s">
        <v>296</v>
      </c>
      <c r="F141" s="727" t="s">
        <v>296</v>
      </c>
      <c r="G141" s="728" t="s">
        <v>297</v>
      </c>
      <c r="H141" s="727"/>
      <c r="I141" s="727" t="s">
        <v>387</v>
      </c>
      <c r="J141" s="727" t="s">
        <v>405</v>
      </c>
      <c r="K141" s="729">
        <v>8.46</v>
      </c>
      <c r="L141" s="728" t="s">
        <v>175</v>
      </c>
      <c r="M141" s="728" t="s">
        <v>176</v>
      </c>
      <c r="N141" s="727"/>
      <c r="O141" s="727"/>
      <c r="P141" s="727"/>
      <c r="Q141" s="727"/>
      <c r="R141" s="730"/>
      <c r="S141" s="727"/>
      <c r="T141" s="728" t="s">
        <v>179</v>
      </c>
    </row>
    <row r="142" ht="34.5">
      <c r="A142" s="728" t="s">
        <v>167</v>
      </c>
      <c r="B142" s="728" t="s">
        <v>168</v>
      </c>
      <c r="C142" s="728" t="s">
        <v>406</v>
      </c>
      <c r="D142" s="728" t="s">
        <v>170</v>
      </c>
      <c r="E142" s="728" t="s">
        <v>407</v>
      </c>
      <c r="F142" s="727" t="s">
        <v>407</v>
      </c>
      <c r="G142" s="728" t="s">
        <v>196</v>
      </c>
      <c r="H142" s="727"/>
      <c r="I142" s="727" t="s">
        <v>408</v>
      </c>
      <c r="J142" s="727" t="s">
        <v>409</v>
      </c>
      <c r="K142" s="729"/>
      <c r="L142" s="728" t="s">
        <v>175</v>
      </c>
      <c r="M142" s="728" t="s">
        <v>176</v>
      </c>
      <c r="N142" s="727"/>
      <c r="O142" s="727"/>
      <c r="P142" s="727"/>
      <c r="Q142" s="727"/>
      <c r="R142" s="730"/>
      <c r="S142" s="727"/>
      <c r="T142" s="728" t="s">
        <v>179</v>
      </c>
    </row>
    <row r="143" ht="34.5">
      <c r="A143" s="728" t="s">
        <v>167</v>
      </c>
      <c r="B143" s="728" t="s">
        <v>168</v>
      </c>
      <c r="C143" s="728" t="s">
        <v>406</v>
      </c>
      <c r="D143" s="728" t="s">
        <v>170</v>
      </c>
      <c r="E143" s="728" t="s">
        <v>407</v>
      </c>
      <c r="F143" s="727" t="s">
        <v>407</v>
      </c>
      <c r="G143" s="728" t="s">
        <v>231</v>
      </c>
      <c r="H143" s="727"/>
      <c r="I143" s="727" t="s">
        <v>410</v>
      </c>
      <c r="J143" s="727" t="s">
        <v>411</v>
      </c>
      <c r="K143" s="729"/>
      <c r="L143" s="728" t="s">
        <v>175</v>
      </c>
      <c r="M143" s="728" t="s">
        <v>176</v>
      </c>
      <c r="N143" s="727"/>
      <c r="O143" s="727"/>
      <c r="P143" s="727" t="s">
        <v>412</v>
      </c>
      <c r="Q143" s="727"/>
      <c r="R143" s="730"/>
      <c r="S143" s="727"/>
      <c r="T143" s="728" t="s">
        <v>179</v>
      </c>
    </row>
    <row r="144" ht="34.5">
      <c r="A144" s="728" t="s">
        <v>167</v>
      </c>
      <c r="B144" s="728" t="s">
        <v>168</v>
      </c>
      <c r="C144" s="728" t="s">
        <v>413</v>
      </c>
      <c r="D144" s="728" t="s">
        <v>170</v>
      </c>
      <c r="E144" s="728" t="s">
        <v>407</v>
      </c>
      <c r="F144" s="727" t="s">
        <v>407</v>
      </c>
      <c r="G144" s="728" t="s">
        <v>277</v>
      </c>
      <c r="H144" s="727"/>
      <c r="I144" s="727" t="s">
        <v>414</v>
      </c>
      <c r="J144" s="727" t="s">
        <v>415</v>
      </c>
      <c r="K144" s="729"/>
      <c r="L144" s="728" t="s">
        <v>175</v>
      </c>
      <c r="M144" s="728" t="s">
        <v>176</v>
      </c>
      <c r="N144" s="727"/>
      <c r="O144" s="727"/>
      <c r="P144" s="727"/>
      <c r="Q144" s="727"/>
      <c r="R144" s="730"/>
      <c r="S144" s="727"/>
      <c r="T144" s="728" t="s">
        <v>179</v>
      </c>
    </row>
    <row r="145" ht="34.5">
      <c r="A145" s="728" t="s">
        <v>167</v>
      </c>
      <c r="B145" s="728" t="s">
        <v>168</v>
      </c>
      <c r="C145" s="728" t="s">
        <v>413</v>
      </c>
      <c r="D145" s="728" t="s">
        <v>170</v>
      </c>
      <c r="E145" s="728" t="s">
        <v>407</v>
      </c>
      <c r="F145" s="727" t="s">
        <v>407</v>
      </c>
      <c r="G145" s="728" t="s">
        <v>258</v>
      </c>
      <c r="H145" s="727"/>
      <c r="I145" s="727" t="s">
        <v>416</v>
      </c>
      <c r="J145" s="727" t="s">
        <v>417</v>
      </c>
      <c r="K145" s="729"/>
      <c r="L145" s="728" t="s">
        <v>175</v>
      </c>
      <c r="M145" s="728" t="s">
        <v>176</v>
      </c>
      <c r="N145" s="727"/>
      <c r="O145" s="727"/>
      <c r="P145" s="727" t="s">
        <v>418</v>
      </c>
      <c r="Q145" s="727"/>
      <c r="R145" s="730"/>
      <c r="S145" s="727"/>
      <c r="T145" s="728" t="s">
        <v>179</v>
      </c>
    </row>
    <row r="146" ht="34.5">
      <c r="A146" s="728" t="s">
        <v>167</v>
      </c>
      <c r="B146" s="728" t="s">
        <v>168</v>
      </c>
      <c r="C146" s="728" t="s">
        <v>413</v>
      </c>
      <c r="D146" s="728" t="s">
        <v>170</v>
      </c>
      <c r="E146" s="728" t="s">
        <v>407</v>
      </c>
      <c r="F146" s="727" t="s">
        <v>407</v>
      </c>
      <c r="G146" s="728" t="s">
        <v>231</v>
      </c>
      <c r="H146" s="727"/>
      <c r="I146" s="727" t="s">
        <v>419</v>
      </c>
      <c r="J146" s="727" t="s">
        <v>420</v>
      </c>
      <c r="K146" s="729"/>
      <c r="L146" s="728" t="s">
        <v>175</v>
      </c>
      <c r="M146" s="728" t="s">
        <v>176</v>
      </c>
      <c r="N146" s="727"/>
      <c r="O146" s="727"/>
      <c r="P146" s="727" t="s">
        <v>421</v>
      </c>
      <c r="Q146" s="727"/>
      <c r="R146" s="730"/>
      <c r="S146" s="727"/>
      <c r="T146" s="728" t="s">
        <v>179</v>
      </c>
    </row>
    <row r="147" ht="34.5">
      <c r="A147" s="728" t="s">
        <v>167</v>
      </c>
      <c r="B147" s="728" t="s">
        <v>168</v>
      </c>
      <c r="C147" s="728" t="s">
        <v>422</v>
      </c>
      <c r="D147" s="728" t="s">
        <v>423</v>
      </c>
      <c r="E147" s="728" t="s">
        <v>424</v>
      </c>
      <c r="F147" s="727" t="s">
        <v>424</v>
      </c>
      <c r="G147" s="728" t="s">
        <v>227</v>
      </c>
      <c r="H147" s="727"/>
      <c r="I147" s="727"/>
      <c r="J147" s="727" t="s">
        <v>425</v>
      </c>
      <c r="K147" s="729">
        <v>4193444</v>
      </c>
      <c r="L147" s="728" t="s">
        <v>175</v>
      </c>
      <c r="M147" s="728" t="s">
        <v>176</v>
      </c>
      <c r="N147" s="727"/>
      <c r="O147" s="727"/>
      <c r="P147" s="727"/>
      <c r="Q147" s="727"/>
      <c r="R147" s="730"/>
      <c r="S147" s="727"/>
      <c r="T147" s="728" t="s">
        <v>179</v>
      </c>
    </row>
    <row r="148" ht="34.5">
      <c r="A148" s="728" t="s">
        <v>167</v>
      </c>
      <c r="B148" s="728" t="s">
        <v>168</v>
      </c>
      <c r="C148" s="728" t="s">
        <v>422</v>
      </c>
      <c r="D148" s="728" t="s">
        <v>423</v>
      </c>
      <c r="E148" s="728" t="s">
        <v>424</v>
      </c>
      <c r="F148" s="727" t="s">
        <v>424</v>
      </c>
      <c r="G148" s="728" t="s">
        <v>227</v>
      </c>
      <c r="H148" s="727"/>
      <c r="I148" s="727"/>
      <c r="J148" s="727" t="s">
        <v>426</v>
      </c>
      <c r="K148" s="729">
        <v>937236</v>
      </c>
      <c r="L148" s="728" t="s">
        <v>175</v>
      </c>
      <c r="M148" s="728" t="s">
        <v>176</v>
      </c>
      <c r="N148" s="727"/>
      <c r="O148" s="727"/>
      <c r="P148" s="727"/>
      <c r="Q148" s="727"/>
      <c r="R148" s="730"/>
      <c r="S148" s="727"/>
      <c r="T148" s="728" t="s">
        <v>179</v>
      </c>
    </row>
    <row r="149" ht="34.5">
      <c r="A149" s="728" t="s">
        <v>167</v>
      </c>
      <c r="B149" s="728" t="s">
        <v>168</v>
      </c>
      <c r="C149" s="728" t="s">
        <v>422</v>
      </c>
      <c r="D149" s="728" t="s">
        <v>423</v>
      </c>
      <c r="E149" s="728" t="s">
        <v>424</v>
      </c>
      <c r="F149" s="727" t="s">
        <v>424</v>
      </c>
      <c r="G149" s="728" t="s">
        <v>227</v>
      </c>
      <c r="H149" s="727"/>
      <c r="I149" s="727"/>
      <c r="J149" s="727" t="s">
        <v>427</v>
      </c>
      <c r="K149" s="729">
        <v>65264</v>
      </c>
      <c r="L149" s="728" t="s">
        <v>175</v>
      </c>
      <c r="M149" s="728" t="s">
        <v>176</v>
      </c>
      <c r="N149" s="727"/>
      <c r="O149" s="727"/>
      <c r="P149" s="727"/>
      <c r="Q149" s="727"/>
      <c r="R149" s="730"/>
      <c r="S149" s="727"/>
      <c r="T149" s="728" t="s">
        <v>179</v>
      </c>
    </row>
    <row r="150" ht="34.5">
      <c r="A150" s="728" t="s">
        <v>167</v>
      </c>
      <c r="B150" s="728" t="s">
        <v>168</v>
      </c>
      <c r="C150" s="728" t="s">
        <v>422</v>
      </c>
      <c r="D150" s="728" t="s">
        <v>423</v>
      </c>
      <c r="E150" s="728" t="s">
        <v>424</v>
      </c>
      <c r="F150" s="727" t="s">
        <v>424</v>
      </c>
      <c r="G150" s="728" t="s">
        <v>227</v>
      </c>
      <c r="H150" s="727"/>
      <c r="I150" s="727"/>
      <c r="J150" s="727" t="s">
        <v>428</v>
      </c>
      <c r="K150" s="729">
        <v>1400</v>
      </c>
      <c r="L150" s="728" t="s">
        <v>175</v>
      </c>
      <c r="M150" s="728" t="s">
        <v>176</v>
      </c>
      <c r="N150" s="727"/>
      <c r="O150" s="727"/>
      <c r="P150" s="727"/>
      <c r="Q150" s="727"/>
      <c r="R150" s="730"/>
      <c r="S150" s="727"/>
      <c r="T150" s="728" t="s">
        <v>179</v>
      </c>
    </row>
    <row r="151" ht="34.5">
      <c r="A151" s="728" t="s">
        <v>167</v>
      </c>
      <c r="B151" s="728" t="s">
        <v>168</v>
      </c>
      <c r="C151" s="728" t="s">
        <v>422</v>
      </c>
      <c r="D151" s="728" t="s">
        <v>423</v>
      </c>
      <c r="E151" s="728" t="s">
        <v>424</v>
      </c>
      <c r="F151" s="727" t="s">
        <v>424</v>
      </c>
      <c r="G151" s="728" t="s">
        <v>227</v>
      </c>
      <c r="H151" s="727" t="s">
        <v>26</v>
      </c>
      <c r="I151" s="727"/>
      <c r="J151" s="727" t="s">
        <v>429</v>
      </c>
      <c r="K151" s="729">
        <v>5197344</v>
      </c>
      <c r="L151" s="728" t="s">
        <v>175</v>
      </c>
      <c r="M151" s="728" t="s">
        <v>176</v>
      </c>
      <c r="N151" s="727"/>
      <c r="O151" s="727"/>
      <c r="P151" s="727"/>
      <c r="Q151" s="727"/>
      <c r="R151" s="730" t="s">
        <v>363</v>
      </c>
      <c r="S151" s="727" t="s">
        <v>332</v>
      </c>
      <c r="T151" s="728" t="s">
        <v>179</v>
      </c>
    </row>
    <row r="152" ht="34.5">
      <c r="A152" s="728" t="s">
        <v>326</v>
      </c>
      <c r="B152" s="728" t="s">
        <v>168</v>
      </c>
      <c r="C152" s="728" t="s">
        <v>422</v>
      </c>
      <c r="D152" s="728" t="s">
        <v>423</v>
      </c>
      <c r="E152" s="728" t="s">
        <v>424</v>
      </c>
      <c r="F152" s="727" t="s">
        <v>424</v>
      </c>
      <c r="G152" s="728" t="s">
        <v>227</v>
      </c>
      <c r="H152" s="727"/>
      <c r="I152" s="727"/>
      <c r="J152" s="727" t="s">
        <v>425</v>
      </c>
      <c r="K152" s="729">
        <v>2907937</v>
      </c>
      <c r="L152" s="728" t="s">
        <v>175</v>
      </c>
      <c r="M152" s="728" t="s">
        <v>176</v>
      </c>
      <c r="N152" s="727"/>
      <c r="O152" s="727"/>
      <c r="P152" s="727"/>
      <c r="Q152" s="727"/>
      <c r="R152" s="730"/>
      <c r="S152" s="727"/>
      <c r="T152" s="728" t="s">
        <v>179</v>
      </c>
    </row>
    <row r="153" ht="34.5">
      <c r="A153" s="728" t="s">
        <v>326</v>
      </c>
      <c r="B153" s="728" t="s">
        <v>168</v>
      </c>
      <c r="C153" s="728" t="s">
        <v>422</v>
      </c>
      <c r="D153" s="728" t="s">
        <v>423</v>
      </c>
      <c r="E153" s="728" t="s">
        <v>424</v>
      </c>
      <c r="F153" s="727" t="s">
        <v>424</v>
      </c>
      <c r="G153" s="728" t="s">
        <v>227</v>
      </c>
      <c r="H153" s="727"/>
      <c r="I153" s="727"/>
      <c r="J153" s="727" t="s">
        <v>426</v>
      </c>
      <c r="K153" s="729">
        <v>1207475</v>
      </c>
      <c r="L153" s="728" t="s">
        <v>175</v>
      </c>
      <c r="M153" s="728" t="s">
        <v>176</v>
      </c>
      <c r="N153" s="727"/>
      <c r="O153" s="727"/>
      <c r="P153" s="727"/>
      <c r="Q153" s="727"/>
      <c r="R153" s="730"/>
      <c r="S153" s="727"/>
      <c r="T153" s="728" t="s">
        <v>179</v>
      </c>
    </row>
    <row r="154" ht="34.5">
      <c r="A154" s="728" t="s">
        <v>326</v>
      </c>
      <c r="B154" s="728" t="s">
        <v>168</v>
      </c>
      <c r="C154" s="728" t="s">
        <v>422</v>
      </c>
      <c r="D154" s="728" t="s">
        <v>423</v>
      </c>
      <c r="E154" s="728" t="s">
        <v>424</v>
      </c>
      <c r="F154" s="727" t="s">
        <v>424</v>
      </c>
      <c r="G154" s="728" t="s">
        <v>227</v>
      </c>
      <c r="H154" s="727"/>
      <c r="I154" s="727"/>
      <c r="J154" s="727" t="s">
        <v>427</v>
      </c>
      <c r="K154" s="729">
        <v>2096</v>
      </c>
      <c r="L154" s="728" t="s">
        <v>175</v>
      </c>
      <c r="M154" s="728" t="s">
        <v>176</v>
      </c>
      <c r="N154" s="727"/>
      <c r="O154" s="727"/>
      <c r="P154" s="727"/>
      <c r="Q154" s="727"/>
      <c r="R154" s="730"/>
      <c r="S154" s="727"/>
      <c r="T154" s="728" t="s">
        <v>179</v>
      </c>
    </row>
    <row r="155" ht="34.5">
      <c r="A155" s="728" t="s">
        <v>326</v>
      </c>
      <c r="B155" s="728" t="s">
        <v>168</v>
      </c>
      <c r="C155" s="728" t="s">
        <v>422</v>
      </c>
      <c r="D155" s="728" t="s">
        <v>423</v>
      </c>
      <c r="E155" s="728" t="s">
        <v>424</v>
      </c>
      <c r="F155" s="727" t="s">
        <v>424</v>
      </c>
      <c r="G155" s="728" t="s">
        <v>227</v>
      </c>
      <c r="H155" s="727"/>
      <c r="I155" s="727"/>
      <c r="J155" s="727" t="s">
        <v>428</v>
      </c>
      <c r="K155" s="729">
        <v>1400</v>
      </c>
      <c r="L155" s="728" t="s">
        <v>175</v>
      </c>
      <c r="M155" s="728" t="s">
        <v>176</v>
      </c>
      <c r="N155" s="727"/>
      <c r="O155" s="727"/>
      <c r="P155" s="727"/>
      <c r="Q155" s="727"/>
      <c r="R155" s="730"/>
      <c r="S155" s="727"/>
      <c r="T155" s="728" t="s">
        <v>179</v>
      </c>
    </row>
    <row r="156" ht="34.5">
      <c r="A156" s="728" t="s">
        <v>326</v>
      </c>
      <c r="B156" s="728" t="s">
        <v>168</v>
      </c>
      <c r="C156" s="728" t="s">
        <v>422</v>
      </c>
      <c r="D156" s="728" t="s">
        <v>423</v>
      </c>
      <c r="E156" s="728" t="s">
        <v>424</v>
      </c>
      <c r="F156" s="727" t="s">
        <v>424</v>
      </c>
      <c r="G156" s="728" t="s">
        <v>227</v>
      </c>
      <c r="H156" s="727" t="s">
        <v>26</v>
      </c>
      <c r="I156" s="727"/>
      <c r="J156" s="727" t="s">
        <v>429</v>
      </c>
      <c r="K156" s="729">
        <v>4118908</v>
      </c>
      <c r="L156" s="728" t="s">
        <v>175</v>
      </c>
      <c r="M156" s="728" t="s">
        <v>176</v>
      </c>
      <c r="N156" s="727"/>
      <c r="O156" s="727"/>
      <c r="P156" s="727"/>
      <c r="Q156" s="727"/>
      <c r="R156" s="730" t="s">
        <v>367</v>
      </c>
      <c r="S156" s="727" t="s">
        <v>332</v>
      </c>
      <c r="T156" s="728" t="s">
        <v>179</v>
      </c>
    </row>
    <row r="157" ht="34.5">
      <c r="A157" s="728" t="s">
        <v>327</v>
      </c>
      <c r="B157" s="728" t="s">
        <v>328</v>
      </c>
      <c r="C157" s="728" t="s">
        <v>422</v>
      </c>
      <c r="D157" s="728" t="s">
        <v>423</v>
      </c>
      <c r="E157" s="728" t="s">
        <v>424</v>
      </c>
      <c r="F157" s="727" t="s">
        <v>424</v>
      </c>
      <c r="G157" s="728" t="s">
        <v>227</v>
      </c>
      <c r="H157" s="727"/>
      <c r="I157" s="727"/>
      <c r="J157" s="727" t="s">
        <v>425</v>
      </c>
      <c r="K157" s="729">
        <v>2252455</v>
      </c>
      <c r="L157" s="728" t="s">
        <v>175</v>
      </c>
      <c r="M157" s="728" t="s">
        <v>176</v>
      </c>
      <c r="N157" s="727"/>
      <c r="O157" s="727"/>
      <c r="P157" s="727"/>
      <c r="Q157" s="727"/>
      <c r="R157" s="730"/>
      <c r="S157" s="727"/>
      <c r="T157" s="728" t="s">
        <v>179</v>
      </c>
    </row>
    <row r="158" ht="34.5">
      <c r="A158" s="728" t="s">
        <v>327</v>
      </c>
      <c r="B158" s="728" t="s">
        <v>328</v>
      </c>
      <c r="C158" s="728" t="s">
        <v>422</v>
      </c>
      <c r="D158" s="728" t="s">
        <v>423</v>
      </c>
      <c r="E158" s="728" t="s">
        <v>424</v>
      </c>
      <c r="F158" s="727" t="s">
        <v>424</v>
      </c>
      <c r="G158" s="728" t="s">
        <v>227</v>
      </c>
      <c r="H158" s="727"/>
      <c r="I158" s="727"/>
      <c r="J158" s="727" t="s">
        <v>430</v>
      </c>
      <c r="K158" s="729">
        <v>15142289</v>
      </c>
      <c r="L158" s="728" t="s">
        <v>175</v>
      </c>
      <c r="M158" s="728" t="s">
        <v>176</v>
      </c>
      <c r="N158" s="727"/>
      <c r="O158" s="727"/>
      <c r="P158" s="727"/>
      <c r="Q158" s="727"/>
      <c r="R158" s="730"/>
      <c r="S158" s="727" t="s">
        <v>431</v>
      </c>
      <c r="T158" s="728" t="s">
        <v>179</v>
      </c>
    </row>
    <row r="159" ht="34.5">
      <c r="A159" s="728" t="s">
        <v>327</v>
      </c>
      <c r="B159" s="728" t="s">
        <v>328</v>
      </c>
      <c r="C159" s="728" t="s">
        <v>422</v>
      </c>
      <c r="D159" s="728" t="s">
        <v>423</v>
      </c>
      <c r="E159" s="728" t="s">
        <v>424</v>
      </c>
      <c r="F159" s="727" t="s">
        <v>424</v>
      </c>
      <c r="G159" s="728" t="s">
        <v>227</v>
      </c>
      <c r="H159" s="727"/>
      <c r="I159" s="727"/>
      <c r="J159" s="727" t="s">
        <v>432</v>
      </c>
      <c r="K159" s="729">
        <v>805</v>
      </c>
      <c r="L159" s="728" t="s">
        <v>175</v>
      </c>
      <c r="M159" s="728" t="s">
        <v>176</v>
      </c>
      <c r="N159" s="727"/>
      <c r="O159" s="727"/>
      <c r="P159" s="727"/>
      <c r="Q159" s="727"/>
      <c r="R159" s="730"/>
      <c r="S159" s="727"/>
      <c r="T159" s="728" t="s">
        <v>179</v>
      </c>
    </row>
    <row r="160" ht="34.5">
      <c r="A160" s="728" t="s">
        <v>327</v>
      </c>
      <c r="B160" s="728" t="s">
        <v>328</v>
      </c>
      <c r="C160" s="728" t="s">
        <v>422</v>
      </c>
      <c r="D160" s="728" t="s">
        <v>423</v>
      </c>
      <c r="E160" s="728" t="s">
        <v>424</v>
      </c>
      <c r="F160" s="727" t="s">
        <v>424</v>
      </c>
      <c r="G160" s="728" t="s">
        <v>227</v>
      </c>
      <c r="H160" s="727"/>
      <c r="I160" s="727"/>
      <c r="J160" s="727" t="s">
        <v>428</v>
      </c>
      <c r="K160" s="729">
        <v>1400</v>
      </c>
      <c r="L160" s="728" t="s">
        <v>175</v>
      </c>
      <c r="M160" s="728" t="s">
        <v>176</v>
      </c>
      <c r="N160" s="727"/>
      <c r="O160" s="727"/>
      <c r="P160" s="727"/>
      <c r="Q160" s="727"/>
      <c r="R160" s="730"/>
      <c r="S160" s="727"/>
      <c r="T160" s="728" t="s">
        <v>179</v>
      </c>
    </row>
    <row r="161" ht="34.5">
      <c r="A161" s="728" t="s">
        <v>327</v>
      </c>
      <c r="B161" s="728" t="s">
        <v>328</v>
      </c>
      <c r="C161" s="728" t="s">
        <v>422</v>
      </c>
      <c r="D161" s="728" t="s">
        <v>423</v>
      </c>
      <c r="E161" s="728" t="s">
        <v>424</v>
      </c>
      <c r="F161" s="727" t="s">
        <v>424</v>
      </c>
      <c r="G161" s="728" t="s">
        <v>227</v>
      </c>
      <c r="H161" s="727" t="s">
        <v>26</v>
      </c>
      <c r="I161" s="727"/>
      <c r="J161" s="727" t="s">
        <v>429</v>
      </c>
      <c r="K161" s="729">
        <v>17396949</v>
      </c>
      <c r="L161" s="728" t="s">
        <v>175</v>
      </c>
      <c r="M161" s="728" t="s">
        <v>176</v>
      </c>
      <c r="N161" s="727"/>
      <c r="O161" s="727"/>
      <c r="P161" s="727"/>
      <c r="Q161" s="727"/>
      <c r="R161" s="730" t="s">
        <v>368</v>
      </c>
      <c r="S161" s="727" t="s">
        <v>332</v>
      </c>
      <c r="T161" s="728" t="s">
        <v>179</v>
      </c>
    </row>
    <row r="162" ht="34.5">
      <c r="A162" s="728" t="s">
        <v>333</v>
      </c>
      <c r="B162" s="728" t="s">
        <v>334</v>
      </c>
      <c r="C162" s="728" t="s">
        <v>422</v>
      </c>
      <c r="D162" s="728" t="s">
        <v>423</v>
      </c>
      <c r="E162" s="728" t="s">
        <v>424</v>
      </c>
      <c r="F162" s="727" t="s">
        <v>424</v>
      </c>
      <c r="G162" s="728" t="s">
        <v>227</v>
      </c>
      <c r="H162" s="727"/>
      <c r="I162" s="727"/>
      <c r="J162" s="727" t="s">
        <v>426</v>
      </c>
      <c r="K162" s="729">
        <v>2800884</v>
      </c>
      <c r="L162" s="728" t="s">
        <v>175</v>
      </c>
      <c r="M162" s="728" t="s">
        <v>176</v>
      </c>
      <c r="N162" s="727"/>
      <c r="O162" s="727"/>
      <c r="P162" s="727"/>
      <c r="Q162" s="727"/>
      <c r="R162" s="730"/>
      <c r="S162" s="727"/>
      <c r="T162" s="728" t="s">
        <v>179</v>
      </c>
    </row>
    <row r="163" ht="34.5">
      <c r="A163" s="728" t="s">
        <v>333</v>
      </c>
      <c r="B163" s="728" t="s">
        <v>334</v>
      </c>
      <c r="C163" s="728" t="s">
        <v>422</v>
      </c>
      <c r="D163" s="728" t="s">
        <v>423</v>
      </c>
      <c r="E163" s="728" t="s">
        <v>424</v>
      </c>
      <c r="F163" s="727" t="s">
        <v>424</v>
      </c>
      <c r="G163" s="728" t="s">
        <v>227</v>
      </c>
      <c r="H163" s="727"/>
      <c r="I163" s="727"/>
      <c r="J163" s="727" t="s">
        <v>425</v>
      </c>
      <c r="K163" s="729">
        <v>2685382</v>
      </c>
      <c r="L163" s="728" t="s">
        <v>175</v>
      </c>
      <c r="M163" s="728" t="s">
        <v>176</v>
      </c>
      <c r="N163" s="727"/>
      <c r="O163" s="727"/>
      <c r="P163" s="727"/>
      <c r="Q163" s="727"/>
      <c r="R163" s="730"/>
      <c r="S163" s="727"/>
      <c r="T163" s="728" t="s">
        <v>179</v>
      </c>
    </row>
    <row r="164" ht="34.5">
      <c r="A164" s="728" t="s">
        <v>333</v>
      </c>
      <c r="B164" s="728" t="s">
        <v>334</v>
      </c>
      <c r="C164" s="728" t="s">
        <v>422</v>
      </c>
      <c r="D164" s="728" t="s">
        <v>423</v>
      </c>
      <c r="E164" s="728" t="s">
        <v>424</v>
      </c>
      <c r="F164" s="727" t="s">
        <v>424</v>
      </c>
      <c r="G164" s="728" t="s">
        <v>227</v>
      </c>
      <c r="H164" s="727"/>
      <c r="I164" s="727"/>
      <c r="J164" s="727" t="s">
        <v>428</v>
      </c>
      <c r="K164" s="729">
        <v>1400</v>
      </c>
      <c r="L164" s="728" t="s">
        <v>175</v>
      </c>
      <c r="M164" s="728" t="s">
        <v>176</v>
      </c>
      <c r="N164" s="727"/>
      <c r="O164" s="727"/>
      <c r="P164" s="727"/>
      <c r="Q164" s="727"/>
      <c r="R164" s="730"/>
      <c r="S164" s="727"/>
      <c r="T164" s="728" t="s">
        <v>179</v>
      </c>
    </row>
    <row r="165" ht="34.5">
      <c r="A165" s="728" t="s">
        <v>333</v>
      </c>
      <c r="B165" s="728" t="s">
        <v>334</v>
      </c>
      <c r="C165" s="728" t="s">
        <v>422</v>
      </c>
      <c r="D165" s="728" t="s">
        <v>423</v>
      </c>
      <c r="E165" s="728" t="s">
        <v>424</v>
      </c>
      <c r="F165" s="727" t="s">
        <v>424</v>
      </c>
      <c r="G165" s="728" t="s">
        <v>227</v>
      </c>
      <c r="H165" s="727"/>
      <c r="I165" s="727"/>
      <c r="J165" s="727" t="s">
        <v>433</v>
      </c>
      <c r="K165" s="729">
        <v>2529</v>
      </c>
      <c r="L165" s="728" t="s">
        <v>175</v>
      </c>
      <c r="M165" s="728" t="s">
        <v>176</v>
      </c>
      <c r="N165" s="727"/>
      <c r="O165" s="727"/>
      <c r="P165" s="727"/>
      <c r="Q165" s="727"/>
      <c r="R165" s="730"/>
      <c r="S165" s="727"/>
      <c r="T165" s="728" t="s">
        <v>179</v>
      </c>
    </row>
    <row r="166" ht="34.5">
      <c r="A166" s="728" t="s">
        <v>333</v>
      </c>
      <c r="B166" s="728" t="s">
        <v>334</v>
      </c>
      <c r="C166" s="728" t="s">
        <v>422</v>
      </c>
      <c r="D166" s="728" t="s">
        <v>423</v>
      </c>
      <c r="E166" s="728" t="s">
        <v>424</v>
      </c>
      <c r="F166" s="727" t="s">
        <v>424</v>
      </c>
      <c r="G166" s="728" t="s">
        <v>227</v>
      </c>
      <c r="H166" s="727" t="s">
        <v>26</v>
      </c>
      <c r="I166" s="727"/>
      <c r="J166" s="727" t="s">
        <v>429</v>
      </c>
      <c r="K166" s="729">
        <v>5490195</v>
      </c>
      <c r="L166" s="728" t="s">
        <v>175</v>
      </c>
      <c r="M166" s="728" t="s">
        <v>176</v>
      </c>
      <c r="N166" s="727"/>
      <c r="O166" s="727"/>
      <c r="P166" s="727"/>
      <c r="Q166" s="727"/>
      <c r="R166" s="730" t="s">
        <v>370</v>
      </c>
      <c r="S166" s="727" t="s">
        <v>332</v>
      </c>
      <c r="T166" s="728" t="s">
        <v>179</v>
      </c>
    </row>
    <row r="167" ht="34.5">
      <c r="A167" s="728" t="s">
        <v>338</v>
      </c>
      <c r="B167" s="728" t="s">
        <v>339</v>
      </c>
      <c r="C167" s="728" t="s">
        <v>413</v>
      </c>
      <c r="D167" s="728" t="s">
        <v>423</v>
      </c>
      <c r="E167" s="728" t="s">
        <v>424</v>
      </c>
      <c r="F167" s="727" t="s">
        <v>424</v>
      </c>
      <c r="G167" s="728" t="s">
        <v>227</v>
      </c>
      <c r="H167" s="727"/>
      <c r="I167" s="727"/>
      <c r="J167" s="727" t="s">
        <v>426</v>
      </c>
      <c r="K167" s="729">
        <v>3107059</v>
      </c>
      <c r="L167" s="728" t="s">
        <v>175</v>
      </c>
      <c r="M167" s="728" t="s">
        <v>176</v>
      </c>
      <c r="N167" s="727"/>
      <c r="O167" s="727"/>
      <c r="P167" s="727"/>
      <c r="Q167" s="727"/>
      <c r="R167" s="730"/>
      <c r="S167" s="727"/>
      <c r="T167" s="728" t="s">
        <v>179</v>
      </c>
    </row>
    <row r="168" ht="34.5">
      <c r="A168" s="728" t="s">
        <v>338</v>
      </c>
      <c r="B168" s="728" t="s">
        <v>339</v>
      </c>
      <c r="C168" s="728" t="s">
        <v>413</v>
      </c>
      <c r="D168" s="728" t="s">
        <v>423</v>
      </c>
      <c r="E168" s="728" t="s">
        <v>424</v>
      </c>
      <c r="F168" s="727" t="s">
        <v>424</v>
      </c>
      <c r="G168" s="728" t="s">
        <v>227</v>
      </c>
      <c r="H168" s="727"/>
      <c r="I168" s="727"/>
      <c r="J168" s="727" t="s">
        <v>425</v>
      </c>
      <c r="K168" s="729">
        <v>2260728</v>
      </c>
      <c r="L168" s="728" t="s">
        <v>175</v>
      </c>
      <c r="M168" s="728" t="s">
        <v>176</v>
      </c>
      <c r="N168" s="727"/>
      <c r="O168" s="727"/>
      <c r="P168" s="727"/>
      <c r="Q168" s="727"/>
      <c r="R168" s="730"/>
      <c r="S168" s="727"/>
      <c r="T168" s="728" t="s">
        <v>179</v>
      </c>
    </row>
    <row r="169" ht="34.5">
      <c r="A169" s="728" t="s">
        <v>338</v>
      </c>
      <c r="B169" s="728" t="s">
        <v>339</v>
      </c>
      <c r="C169" s="728" t="s">
        <v>413</v>
      </c>
      <c r="D169" s="728" t="s">
        <v>423</v>
      </c>
      <c r="E169" s="728" t="s">
        <v>424</v>
      </c>
      <c r="F169" s="727" t="s">
        <v>424</v>
      </c>
      <c r="G169" s="728" t="s">
        <v>227</v>
      </c>
      <c r="H169" s="727"/>
      <c r="I169" s="727"/>
      <c r="J169" s="727" t="s">
        <v>434</v>
      </c>
      <c r="K169" s="729">
        <v>116314</v>
      </c>
      <c r="L169" s="728" t="s">
        <v>175</v>
      </c>
      <c r="M169" s="728" t="s">
        <v>176</v>
      </c>
      <c r="N169" s="727"/>
      <c r="O169" s="727"/>
      <c r="P169" s="727"/>
      <c r="Q169" s="727"/>
      <c r="R169" s="730"/>
      <c r="S169" s="727"/>
      <c r="T169" s="728" t="s">
        <v>179</v>
      </c>
    </row>
    <row r="170" ht="34.5">
      <c r="A170" s="728" t="s">
        <v>338</v>
      </c>
      <c r="B170" s="728" t="s">
        <v>339</v>
      </c>
      <c r="C170" s="728" t="s">
        <v>413</v>
      </c>
      <c r="D170" s="728" t="s">
        <v>423</v>
      </c>
      <c r="E170" s="728" t="s">
        <v>424</v>
      </c>
      <c r="F170" s="727" t="s">
        <v>424</v>
      </c>
      <c r="G170" s="728" t="s">
        <v>227</v>
      </c>
      <c r="H170" s="727"/>
      <c r="I170" s="727"/>
      <c r="J170" s="727" t="s">
        <v>428</v>
      </c>
      <c r="K170" s="729">
        <v>1400</v>
      </c>
      <c r="L170" s="728" t="s">
        <v>175</v>
      </c>
      <c r="M170" s="728" t="s">
        <v>176</v>
      </c>
      <c r="N170" s="727"/>
      <c r="O170" s="727"/>
      <c r="P170" s="727"/>
      <c r="Q170" s="727"/>
      <c r="R170" s="730"/>
      <c r="S170" s="727"/>
      <c r="T170" s="728" t="s">
        <v>179</v>
      </c>
    </row>
    <row r="171" ht="34.5">
      <c r="A171" s="728" t="s">
        <v>338</v>
      </c>
      <c r="B171" s="728" t="s">
        <v>339</v>
      </c>
      <c r="C171" s="728" t="s">
        <v>413</v>
      </c>
      <c r="D171" s="728" t="s">
        <v>423</v>
      </c>
      <c r="E171" s="728" t="s">
        <v>424</v>
      </c>
      <c r="F171" s="727" t="s">
        <v>424</v>
      </c>
      <c r="G171" s="728" t="s">
        <v>227</v>
      </c>
      <c r="H171" s="727" t="s">
        <v>26</v>
      </c>
      <c r="I171" s="727"/>
      <c r="J171" s="727" t="s">
        <v>429</v>
      </c>
      <c r="K171" s="729">
        <v>5485501</v>
      </c>
      <c r="L171" s="728" t="s">
        <v>175</v>
      </c>
      <c r="M171" s="728" t="s">
        <v>176</v>
      </c>
      <c r="N171" s="727"/>
      <c r="O171" s="727"/>
      <c r="P171" s="727"/>
      <c r="Q171" s="727"/>
      <c r="R171" s="730" t="s">
        <v>371</v>
      </c>
      <c r="S171" s="727" t="s">
        <v>332</v>
      </c>
      <c r="T171" s="728" t="s">
        <v>179</v>
      </c>
    </row>
    <row r="172" ht="34.5">
      <c r="A172" s="728" t="s">
        <v>167</v>
      </c>
      <c r="B172" s="728" t="s">
        <v>168</v>
      </c>
      <c r="C172" s="728" t="s">
        <v>422</v>
      </c>
      <c r="D172" s="728" t="s">
        <v>435</v>
      </c>
      <c r="E172" s="728" t="s">
        <v>436</v>
      </c>
      <c r="F172" s="727" t="s">
        <v>436</v>
      </c>
      <c r="G172" s="728" t="s">
        <v>254</v>
      </c>
      <c r="H172" s="727"/>
      <c r="I172" s="727" t="s">
        <v>437</v>
      </c>
      <c r="J172" s="727" t="s">
        <v>438</v>
      </c>
      <c r="K172" s="729">
        <v>4160315</v>
      </c>
      <c r="L172" s="728" t="s">
        <v>175</v>
      </c>
      <c r="M172" s="728" t="s">
        <v>176</v>
      </c>
      <c r="N172" s="727"/>
      <c r="O172" s="727"/>
      <c r="P172" s="727"/>
      <c r="Q172" s="727" t="s">
        <v>439</v>
      </c>
      <c r="R172" s="730"/>
      <c r="S172" s="727"/>
      <c r="T172" s="728" t="s">
        <v>179</v>
      </c>
    </row>
    <row r="173" ht="34.5">
      <c r="A173" s="728" t="s">
        <v>167</v>
      </c>
      <c r="B173" s="728" t="s">
        <v>168</v>
      </c>
      <c r="C173" s="728" t="s">
        <v>422</v>
      </c>
      <c r="D173" s="728" t="s">
        <v>435</v>
      </c>
      <c r="E173" s="728" t="s">
        <v>436</v>
      </c>
      <c r="F173" s="727" t="s">
        <v>436</v>
      </c>
      <c r="G173" s="728" t="s">
        <v>254</v>
      </c>
      <c r="H173" s="727"/>
      <c r="I173" s="727" t="s">
        <v>437</v>
      </c>
      <c r="J173" s="727" t="s">
        <v>440</v>
      </c>
      <c r="K173" s="729">
        <v>65264</v>
      </c>
      <c r="L173" s="728" t="s">
        <v>175</v>
      </c>
      <c r="M173" s="728" t="s">
        <v>176</v>
      </c>
      <c r="N173" s="727"/>
      <c r="O173" s="727"/>
      <c r="P173" s="727"/>
      <c r="Q173" s="727"/>
      <c r="R173" s="730"/>
      <c r="S173" s="727"/>
      <c r="T173" s="728" t="s">
        <v>179</v>
      </c>
    </row>
    <row r="174" ht="34.5">
      <c r="A174" s="728" t="s">
        <v>167</v>
      </c>
      <c r="B174" s="728" t="s">
        <v>168</v>
      </c>
      <c r="C174" s="728" t="s">
        <v>422</v>
      </c>
      <c r="D174" s="728" t="s">
        <v>435</v>
      </c>
      <c r="E174" s="728" t="s">
        <v>436</v>
      </c>
      <c r="F174" s="727" t="s">
        <v>436</v>
      </c>
      <c r="G174" s="728" t="s">
        <v>254</v>
      </c>
      <c r="H174" s="727"/>
      <c r="I174" s="727" t="s">
        <v>437</v>
      </c>
      <c r="J174" s="727" t="s">
        <v>441</v>
      </c>
      <c r="K174" s="729">
        <v>30129</v>
      </c>
      <c r="L174" s="728" t="s">
        <v>175</v>
      </c>
      <c r="M174" s="728" t="s">
        <v>176</v>
      </c>
      <c r="N174" s="727"/>
      <c r="O174" s="727"/>
      <c r="P174" s="727"/>
      <c r="Q174" s="727"/>
      <c r="R174" s="730"/>
      <c r="S174" s="727"/>
      <c r="T174" s="728" t="s">
        <v>179</v>
      </c>
    </row>
    <row r="175" ht="34.5">
      <c r="A175" s="728" t="s">
        <v>167</v>
      </c>
      <c r="B175" s="728" t="s">
        <v>168</v>
      </c>
      <c r="C175" s="728" t="s">
        <v>422</v>
      </c>
      <c r="D175" s="728" t="s">
        <v>435</v>
      </c>
      <c r="E175" s="728" t="s">
        <v>436</v>
      </c>
      <c r="F175" s="727" t="s">
        <v>436</v>
      </c>
      <c r="G175" s="728" t="s">
        <v>254</v>
      </c>
      <c r="H175" s="727"/>
      <c r="I175" s="727" t="s">
        <v>437</v>
      </c>
      <c r="J175" s="727" t="s">
        <v>442</v>
      </c>
      <c r="K175" s="729">
        <v>600</v>
      </c>
      <c r="L175" s="728" t="s">
        <v>175</v>
      </c>
      <c r="M175" s="728" t="s">
        <v>176</v>
      </c>
      <c r="N175" s="727"/>
      <c r="O175" s="727"/>
      <c r="P175" s="727"/>
      <c r="Q175" s="727"/>
      <c r="R175" s="730"/>
      <c r="S175" s="727"/>
      <c r="T175" s="728" t="s">
        <v>179</v>
      </c>
    </row>
    <row r="176" ht="34.5">
      <c r="A176" s="728" t="s">
        <v>167</v>
      </c>
      <c r="B176" s="728" t="s">
        <v>168</v>
      </c>
      <c r="C176" s="728" t="s">
        <v>422</v>
      </c>
      <c r="D176" s="728" t="s">
        <v>435</v>
      </c>
      <c r="E176" s="728" t="s">
        <v>436</v>
      </c>
      <c r="F176" s="727" t="s">
        <v>436</v>
      </c>
      <c r="G176" s="728" t="s">
        <v>254</v>
      </c>
      <c r="H176" s="727"/>
      <c r="I176" s="727" t="s">
        <v>437</v>
      </c>
      <c r="J176" s="727" t="s">
        <v>443</v>
      </c>
      <c r="K176" s="729">
        <v>600</v>
      </c>
      <c r="L176" s="728" t="s">
        <v>175</v>
      </c>
      <c r="M176" s="728" t="s">
        <v>176</v>
      </c>
      <c r="N176" s="727"/>
      <c r="O176" s="727"/>
      <c r="P176" s="727"/>
      <c r="Q176" s="727"/>
      <c r="R176" s="730"/>
      <c r="S176" s="727"/>
      <c r="T176" s="728" t="s">
        <v>179</v>
      </c>
    </row>
    <row r="177" ht="34.5">
      <c r="A177" s="728" t="s">
        <v>167</v>
      </c>
      <c r="B177" s="728" t="s">
        <v>168</v>
      </c>
      <c r="C177" s="728" t="s">
        <v>422</v>
      </c>
      <c r="D177" s="728" t="s">
        <v>435</v>
      </c>
      <c r="E177" s="728" t="s">
        <v>436</v>
      </c>
      <c r="F177" s="727" t="s">
        <v>436</v>
      </c>
      <c r="G177" s="728" t="s">
        <v>254</v>
      </c>
      <c r="H177" s="727"/>
      <c r="I177" s="727" t="s">
        <v>437</v>
      </c>
      <c r="J177" s="727" t="s">
        <v>444</v>
      </c>
      <c r="K177" s="729">
        <v>600</v>
      </c>
      <c r="L177" s="728" t="s">
        <v>175</v>
      </c>
      <c r="M177" s="728" t="s">
        <v>176</v>
      </c>
      <c r="N177" s="727"/>
      <c r="O177" s="727"/>
      <c r="P177" s="727"/>
      <c r="Q177" s="727"/>
      <c r="R177" s="730"/>
      <c r="S177" s="727"/>
      <c r="T177" s="728" t="s">
        <v>179</v>
      </c>
    </row>
    <row r="178" ht="34.5">
      <c r="A178" s="728" t="s">
        <v>167</v>
      </c>
      <c r="B178" s="728" t="s">
        <v>168</v>
      </c>
      <c r="C178" s="728" t="s">
        <v>422</v>
      </c>
      <c r="D178" s="728" t="s">
        <v>435</v>
      </c>
      <c r="E178" s="728" t="s">
        <v>436</v>
      </c>
      <c r="F178" s="727" t="s">
        <v>436</v>
      </c>
      <c r="G178" s="728" t="s">
        <v>254</v>
      </c>
      <c r="H178" s="727"/>
      <c r="I178" s="727" t="s">
        <v>437</v>
      </c>
      <c r="J178" s="727" t="s">
        <v>445</v>
      </c>
      <c r="K178" s="729">
        <v>600</v>
      </c>
      <c r="L178" s="728" t="s">
        <v>175</v>
      </c>
      <c r="M178" s="728" t="s">
        <v>176</v>
      </c>
      <c r="N178" s="727"/>
      <c r="O178" s="727"/>
      <c r="P178" s="727"/>
      <c r="Q178" s="727"/>
      <c r="R178" s="730"/>
      <c r="S178" s="727"/>
      <c r="T178" s="728" t="s">
        <v>179</v>
      </c>
    </row>
    <row r="179" ht="34.5">
      <c r="A179" s="728" t="s">
        <v>167</v>
      </c>
      <c r="B179" s="728" t="s">
        <v>168</v>
      </c>
      <c r="C179" s="728" t="s">
        <v>422</v>
      </c>
      <c r="D179" s="728" t="s">
        <v>435</v>
      </c>
      <c r="E179" s="728" t="s">
        <v>436</v>
      </c>
      <c r="F179" s="727" t="s">
        <v>436</v>
      </c>
      <c r="G179" s="728" t="s">
        <v>254</v>
      </c>
      <c r="H179" s="727"/>
      <c r="I179" s="727" t="s">
        <v>437</v>
      </c>
      <c r="J179" s="727" t="s">
        <v>446</v>
      </c>
      <c r="K179" s="729">
        <v>600</v>
      </c>
      <c r="L179" s="728" t="s">
        <v>175</v>
      </c>
      <c r="M179" s="728" t="s">
        <v>176</v>
      </c>
      <c r="N179" s="727"/>
      <c r="O179" s="727"/>
      <c r="P179" s="727"/>
      <c r="Q179" s="727"/>
      <c r="R179" s="730"/>
      <c r="S179" s="727"/>
      <c r="T179" s="728" t="s">
        <v>179</v>
      </c>
    </row>
    <row r="180" ht="34.5">
      <c r="A180" s="728" t="s">
        <v>167</v>
      </c>
      <c r="B180" s="728" t="s">
        <v>168</v>
      </c>
      <c r="C180" s="728" t="s">
        <v>422</v>
      </c>
      <c r="D180" s="728" t="s">
        <v>435</v>
      </c>
      <c r="E180" s="728" t="s">
        <v>436</v>
      </c>
      <c r="F180" s="727" t="s">
        <v>436</v>
      </c>
      <c r="G180" s="728" t="s">
        <v>254</v>
      </c>
      <c r="H180" s="727"/>
      <c r="I180" s="727" t="s">
        <v>437</v>
      </c>
      <c r="J180" s="727" t="s">
        <v>447</v>
      </c>
      <c r="K180" s="729">
        <v>4258708</v>
      </c>
      <c r="L180" s="728" t="s">
        <v>175</v>
      </c>
      <c r="M180" s="728" t="s">
        <v>176</v>
      </c>
      <c r="N180" s="727"/>
      <c r="O180" s="727"/>
      <c r="P180" s="727"/>
      <c r="Q180" s="727"/>
      <c r="R180" s="730"/>
      <c r="S180" s="727" t="s">
        <v>332</v>
      </c>
      <c r="T180" s="728" t="s">
        <v>179</v>
      </c>
    </row>
    <row r="181" ht="34.5">
      <c r="A181" s="728" t="s">
        <v>326</v>
      </c>
      <c r="B181" s="728" t="s">
        <v>168</v>
      </c>
      <c r="C181" s="728" t="s">
        <v>422</v>
      </c>
      <c r="D181" s="728" t="s">
        <v>435</v>
      </c>
      <c r="E181" s="728" t="s">
        <v>436</v>
      </c>
      <c r="F181" s="727" t="s">
        <v>436</v>
      </c>
      <c r="G181" s="728" t="s">
        <v>254</v>
      </c>
      <c r="H181" s="727"/>
      <c r="I181" s="727" t="s">
        <v>437</v>
      </c>
      <c r="J181" s="727" t="s">
        <v>438</v>
      </c>
      <c r="K181" s="729">
        <v>2877373</v>
      </c>
      <c r="L181" s="728" t="s">
        <v>175</v>
      </c>
      <c r="M181" s="728" t="s">
        <v>176</v>
      </c>
      <c r="N181" s="727"/>
      <c r="O181" s="727"/>
      <c r="P181" s="727"/>
      <c r="Q181" s="727" t="s">
        <v>439</v>
      </c>
      <c r="R181" s="730"/>
      <c r="S181" s="727"/>
      <c r="T181" s="728" t="s">
        <v>179</v>
      </c>
    </row>
    <row r="182" ht="34.5">
      <c r="A182" s="728" t="s">
        <v>326</v>
      </c>
      <c r="B182" s="728" t="s">
        <v>168</v>
      </c>
      <c r="C182" s="728" t="s">
        <v>422</v>
      </c>
      <c r="D182" s="728" t="s">
        <v>435</v>
      </c>
      <c r="E182" s="728" t="s">
        <v>436</v>
      </c>
      <c r="F182" s="727" t="s">
        <v>436</v>
      </c>
      <c r="G182" s="728" t="s">
        <v>254</v>
      </c>
      <c r="H182" s="727"/>
      <c r="I182" s="727" t="s">
        <v>437</v>
      </c>
      <c r="J182" s="727" t="s">
        <v>440</v>
      </c>
      <c r="K182" s="729">
        <v>2096</v>
      </c>
      <c r="L182" s="728" t="s">
        <v>175</v>
      </c>
      <c r="M182" s="728" t="s">
        <v>176</v>
      </c>
      <c r="N182" s="727"/>
      <c r="O182" s="727"/>
      <c r="P182" s="727"/>
      <c r="Q182" s="727"/>
      <c r="R182" s="730"/>
      <c r="S182" s="727"/>
      <c r="T182" s="728" t="s">
        <v>179</v>
      </c>
    </row>
    <row r="183" ht="34.5">
      <c r="A183" s="728" t="s">
        <v>326</v>
      </c>
      <c r="B183" s="728" t="s">
        <v>168</v>
      </c>
      <c r="C183" s="728" t="s">
        <v>422</v>
      </c>
      <c r="D183" s="728" t="s">
        <v>435</v>
      </c>
      <c r="E183" s="728" t="s">
        <v>436</v>
      </c>
      <c r="F183" s="727" t="s">
        <v>436</v>
      </c>
      <c r="G183" s="728" t="s">
        <v>254</v>
      </c>
      <c r="H183" s="727"/>
      <c r="I183" s="727" t="s">
        <v>437</v>
      </c>
      <c r="J183" s="727" t="s">
        <v>441</v>
      </c>
      <c r="K183" s="729">
        <v>27564</v>
      </c>
      <c r="L183" s="728" t="s">
        <v>175</v>
      </c>
      <c r="M183" s="728" t="s">
        <v>176</v>
      </c>
      <c r="N183" s="727"/>
      <c r="O183" s="727"/>
      <c r="P183" s="727"/>
      <c r="Q183" s="727"/>
      <c r="R183" s="730"/>
      <c r="S183" s="727"/>
      <c r="T183" s="728" t="s">
        <v>179</v>
      </c>
    </row>
    <row r="184" ht="34.5">
      <c r="A184" s="728" t="s">
        <v>326</v>
      </c>
      <c r="B184" s="728" t="s">
        <v>168</v>
      </c>
      <c r="C184" s="728" t="s">
        <v>422</v>
      </c>
      <c r="D184" s="728" t="s">
        <v>435</v>
      </c>
      <c r="E184" s="728" t="s">
        <v>436</v>
      </c>
      <c r="F184" s="727" t="s">
        <v>436</v>
      </c>
      <c r="G184" s="728" t="s">
        <v>254</v>
      </c>
      <c r="H184" s="727"/>
      <c r="I184" s="727" t="s">
        <v>437</v>
      </c>
      <c r="J184" s="727" t="s">
        <v>442</v>
      </c>
      <c r="K184" s="729">
        <v>600</v>
      </c>
      <c r="L184" s="728" t="s">
        <v>175</v>
      </c>
      <c r="M184" s="728" t="s">
        <v>176</v>
      </c>
      <c r="N184" s="727"/>
      <c r="O184" s="727"/>
      <c r="P184" s="727"/>
      <c r="Q184" s="727"/>
      <c r="R184" s="730"/>
      <c r="S184" s="727"/>
      <c r="T184" s="728" t="s">
        <v>179</v>
      </c>
    </row>
    <row r="185" ht="34.5">
      <c r="A185" s="728" t="s">
        <v>326</v>
      </c>
      <c r="B185" s="728" t="s">
        <v>168</v>
      </c>
      <c r="C185" s="728" t="s">
        <v>422</v>
      </c>
      <c r="D185" s="728" t="s">
        <v>435</v>
      </c>
      <c r="E185" s="728" t="s">
        <v>436</v>
      </c>
      <c r="F185" s="727" t="s">
        <v>436</v>
      </c>
      <c r="G185" s="728" t="s">
        <v>254</v>
      </c>
      <c r="H185" s="727"/>
      <c r="I185" s="727" t="s">
        <v>437</v>
      </c>
      <c r="J185" s="727" t="s">
        <v>443</v>
      </c>
      <c r="K185" s="729">
        <v>600</v>
      </c>
      <c r="L185" s="728" t="s">
        <v>175</v>
      </c>
      <c r="M185" s="728" t="s">
        <v>176</v>
      </c>
      <c r="N185" s="727"/>
      <c r="O185" s="727"/>
      <c r="P185" s="727"/>
      <c r="Q185" s="727"/>
      <c r="R185" s="730"/>
      <c r="S185" s="727"/>
      <c r="T185" s="728" t="s">
        <v>179</v>
      </c>
    </row>
    <row r="186" ht="34.5">
      <c r="A186" s="728" t="s">
        <v>326</v>
      </c>
      <c r="B186" s="728" t="s">
        <v>168</v>
      </c>
      <c r="C186" s="728" t="s">
        <v>422</v>
      </c>
      <c r="D186" s="728" t="s">
        <v>435</v>
      </c>
      <c r="E186" s="728" t="s">
        <v>436</v>
      </c>
      <c r="F186" s="727" t="s">
        <v>436</v>
      </c>
      <c r="G186" s="728" t="s">
        <v>254</v>
      </c>
      <c r="H186" s="727"/>
      <c r="I186" s="727" t="s">
        <v>437</v>
      </c>
      <c r="J186" s="727" t="s">
        <v>444</v>
      </c>
      <c r="K186" s="729">
        <v>600</v>
      </c>
      <c r="L186" s="728" t="s">
        <v>175</v>
      </c>
      <c r="M186" s="728" t="s">
        <v>176</v>
      </c>
      <c r="N186" s="727"/>
      <c r="O186" s="727"/>
      <c r="P186" s="727"/>
      <c r="Q186" s="727"/>
      <c r="R186" s="730"/>
      <c r="S186" s="727"/>
      <c r="T186" s="728" t="s">
        <v>179</v>
      </c>
    </row>
    <row r="187" ht="34.5">
      <c r="A187" s="728" t="s">
        <v>326</v>
      </c>
      <c r="B187" s="728" t="s">
        <v>168</v>
      </c>
      <c r="C187" s="728" t="s">
        <v>422</v>
      </c>
      <c r="D187" s="728" t="s">
        <v>435</v>
      </c>
      <c r="E187" s="728" t="s">
        <v>436</v>
      </c>
      <c r="F187" s="727" t="s">
        <v>436</v>
      </c>
      <c r="G187" s="728" t="s">
        <v>254</v>
      </c>
      <c r="H187" s="727"/>
      <c r="I187" s="727" t="s">
        <v>437</v>
      </c>
      <c r="J187" s="727" t="s">
        <v>445</v>
      </c>
      <c r="K187" s="729">
        <v>600</v>
      </c>
      <c r="L187" s="728" t="s">
        <v>175</v>
      </c>
      <c r="M187" s="728" t="s">
        <v>176</v>
      </c>
      <c r="N187" s="727"/>
      <c r="O187" s="727"/>
      <c r="P187" s="727"/>
      <c r="Q187" s="727"/>
      <c r="R187" s="730"/>
      <c r="S187" s="727"/>
      <c r="T187" s="728" t="s">
        <v>179</v>
      </c>
    </row>
    <row r="188" ht="34.5">
      <c r="A188" s="728" t="s">
        <v>326</v>
      </c>
      <c r="B188" s="728" t="s">
        <v>168</v>
      </c>
      <c r="C188" s="728" t="s">
        <v>422</v>
      </c>
      <c r="D188" s="728" t="s">
        <v>435</v>
      </c>
      <c r="E188" s="728" t="s">
        <v>436</v>
      </c>
      <c r="F188" s="727" t="s">
        <v>436</v>
      </c>
      <c r="G188" s="728" t="s">
        <v>254</v>
      </c>
      <c r="H188" s="727"/>
      <c r="I188" s="727" t="s">
        <v>437</v>
      </c>
      <c r="J188" s="727" t="s">
        <v>446</v>
      </c>
      <c r="K188" s="729">
        <v>600</v>
      </c>
      <c r="L188" s="728" t="s">
        <v>175</v>
      </c>
      <c r="M188" s="728" t="s">
        <v>176</v>
      </c>
      <c r="N188" s="727"/>
      <c r="O188" s="727"/>
      <c r="P188" s="727"/>
      <c r="Q188" s="727"/>
      <c r="R188" s="730"/>
      <c r="S188" s="727"/>
      <c r="T188" s="728" t="s">
        <v>179</v>
      </c>
    </row>
    <row r="189" ht="34.5">
      <c r="A189" s="728" t="s">
        <v>326</v>
      </c>
      <c r="B189" s="728" t="s">
        <v>168</v>
      </c>
      <c r="C189" s="728" t="s">
        <v>422</v>
      </c>
      <c r="D189" s="728" t="s">
        <v>435</v>
      </c>
      <c r="E189" s="728" t="s">
        <v>436</v>
      </c>
      <c r="F189" s="727" t="s">
        <v>436</v>
      </c>
      <c r="G189" s="728" t="s">
        <v>254</v>
      </c>
      <c r="H189" s="727"/>
      <c r="I189" s="727" t="s">
        <v>437</v>
      </c>
      <c r="J189" s="727" t="s">
        <v>447</v>
      </c>
      <c r="K189" s="729">
        <v>2910033</v>
      </c>
      <c r="L189" s="728" t="s">
        <v>175</v>
      </c>
      <c r="M189" s="728" t="s">
        <v>176</v>
      </c>
      <c r="N189" s="727"/>
      <c r="O189" s="727"/>
      <c r="P189" s="727"/>
      <c r="Q189" s="727"/>
      <c r="R189" s="730"/>
      <c r="S189" s="727" t="s">
        <v>332</v>
      </c>
      <c r="T189" s="728" t="s">
        <v>179</v>
      </c>
    </row>
    <row r="190" ht="34.5">
      <c r="A190" s="728" t="s">
        <v>327</v>
      </c>
      <c r="B190" s="728" t="s">
        <v>328</v>
      </c>
      <c r="C190" s="728" t="s">
        <v>422</v>
      </c>
      <c r="D190" s="728" t="s">
        <v>435</v>
      </c>
      <c r="E190" s="728" t="s">
        <v>436</v>
      </c>
      <c r="F190" s="727" t="s">
        <v>436</v>
      </c>
      <c r="G190" s="728" t="s">
        <v>254</v>
      </c>
      <c r="H190" s="727"/>
      <c r="I190" s="727" t="s">
        <v>437</v>
      </c>
      <c r="J190" s="727" t="s">
        <v>438</v>
      </c>
      <c r="K190" s="729">
        <v>2169838</v>
      </c>
      <c r="L190" s="728" t="s">
        <v>175</v>
      </c>
      <c r="M190" s="728" t="s">
        <v>176</v>
      </c>
      <c r="N190" s="727"/>
      <c r="O190" s="727"/>
      <c r="P190" s="727"/>
      <c r="Q190" s="727"/>
      <c r="R190" s="730"/>
      <c r="S190" s="727"/>
      <c r="T190" s="728" t="s">
        <v>179</v>
      </c>
    </row>
    <row r="191" ht="34.5">
      <c r="A191" s="728" t="s">
        <v>327</v>
      </c>
      <c r="B191" s="728" t="s">
        <v>328</v>
      </c>
      <c r="C191" s="728" t="s">
        <v>422</v>
      </c>
      <c r="D191" s="728" t="s">
        <v>435</v>
      </c>
      <c r="E191" s="728" t="s">
        <v>436</v>
      </c>
      <c r="F191" s="727" t="s">
        <v>436</v>
      </c>
      <c r="G191" s="728" t="s">
        <v>254</v>
      </c>
      <c r="H191" s="727"/>
      <c r="I191" s="727" t="s">
        <v>437</v>
      </c>
      <c r="J191" s="727" t="s">
        <v>441</v>
      </c>
      <c r="K191" s="729">
        <v>79617</v>
      </c>
      <c r="L191" s="728" t="s">
        <v>175</v>
      </c>
      <c r="M191" s="728" t="s">
        <v>176</v>
      </c>
      <c r="N191" s="727"/>
      <c r="O191" s="727"/>
      <c r="P191" s="727"/>
      <c r="Q191" s="727"/>
      <c r="R191" s="730"/>
      <c r="S191" s="727"/>
      <c r="T191" s="728" t="s">
        <v>179</v>
      </c>
    </row>
    <row r="192" ht="34.5">
      <c r="A192" s="728" t="s">
        <v>327</v>
      </c>
      <c r="B192" s="728" t="s">
        <v>328</v>
      </c>
      <c r="C192" s="728" t="s">
        <v>422</v>
      </c>
      <c r="D192" s="728" t="s">
        <v>435</v>
      </c>
      <c r="E192" s="728" t="s">
        <v>436</v>
      </c>
      <c r="F192" s="727" t="s">
        <v>436</v>
      </c>
      <c r="G192" s="728" t="s">
        <v>254</v>
      </c>
      <c r="H192" s="727"/>
      <c r="I192" s="727" t="s">
        <v>437</v>
      </c>
      <c r="J192" s="727" t="s">
        <v>440</v>
      </c>
      <c r="K192" s="729">
        <v>805</v>
      </c>
      <c r="L192" s="728" t="s">
        <v>175</v>
      </c>
      <c r="M192" s="728" t="s">
        <v>176</v>
      </c>
      <c r="N192" s="727"/>
      <c r="O192" s="727"/>
      <c r="P192" s="727"/>
      <c r="Q192" s="727"/>
      <c r="R192" s="730"/>
      <c r="S192" s="727"/>
      <c r="T192" s="728" t="s">
        <v>179</v>
      </c>
    </row>
    <row r="193" ht="34.5">
      <c r="A193" s="728" t="s">
        <v>327</v>
      </c>
      <c r="B193" s="728" t="s">
        <v>328</v>
      </c>
      <c r="C193" s="728" t="s">
        <v>422</v>
      </c>
      <c r="D193" s="728" t="s">
        <v>435</v>
      </c>
      <c r="E193" s="728" t="s">
        <v>436</v>
      </c>
      <c r="F193" s="727" t="s">
        <v>436</v>
      </c>
      <c r="G193" s="728" t="s">
        <v>254</v>
      </c>
      <c r="H193" s="727"/>
      <c r="I193" s="727" t="s">
        <v>437</v>
      </c>
      <c r="J193" s="727" t="s">
        <v>442</v>
      </c>
      <c r="K193" s="729">
        <v>600</v>
      </c>
      <c r="L193" s="728" t="s">
        <v>175</v>
      </c>
      <c r="M193" s="728" t="s">
        <v>176</v>
      </c>
      <c r="N193" s="727"/>
      <c r="O193" s="727"/>
      <c r="P193" s="727"/>
      <c r="Q193" s="727"/>
      <c r="R193" s="730"/>
      <c r="S193" s="727"/>
      <c r="T193" s="728" t="s">
        <v>179</v>
      </c>
    </row>
    <row r="194" ht="34.5">
      <c r="A194" s="728" t="s">
        <v>327</v>
      </c>
      <c r="B194" s="728" t="s">
        <v>328</v>
      </c>
      <c r="C194" s="728" t="s">
        <v>422</v>
      </c>
      <c r="D194" s="728" t="s">
        <v>435</v>
      </c>
      <c r="E194" s="728" t="s">
        <v>436</v>
      </c>
      <c r="F194" s="727" t="s">
        <v>436</v>
      </c>
      <c r="G194" s="728" t="s">
        <v>254</v>
      </c>
      <c r="H194" s="727"/>
      <c r="I194" s="727" t="s">
        <v>437</v>
      </c>
      <c r="J194" s="727" t="s">
        <v>443</v>
      </c>
      <c r="K194" s="729">
        <v>600</v>
      </c>
      <c r="L194" s="728" t="s">
        <v>175</v>
      </c>
      <c r="M194" s="728" t="s">
        <v>176</v>
      </c>
      <c r="N194" s="727"/>
      <c r="O194" s="727"/>
      <c r="P194" s="727"/>
      <c r="Q194" s="727"/>
      <c r="R194" s="730"/>
      <c r="S194" s="727"/>
      <c r="T194" s="728" t="s">
        <v>179</v>
      </c>
    </row>
    <row r="195" ht="34.5">
      <c r="A195" s="728" t="s">
        <v>327</v>
      </c>
      <c r="B195" s="728" t="s">
        <v>328</v>
      </c>
      <c r="C195" s="728" t="s">
        <v>422</v>
      </c>
      <c r="D195" s="728" t="s">
        <v>435</v>
      </c>
      <c r="E195" s="728" t="s">
        <v>436</v>
      </c>
      <c r="F195" s="727" t="s">
        <v>436</v>
      </c>
      <c r="G195" s="728" t="s">
        <v>254</v>
      </c>
      <c r="H195" s="727"/>
      <c r="I195" s="727" t="s">
        <v>437</v>
      </c>
      <c r="J195" s="727" t="s">
        <v>444</v>
      </c>
      <c r="K195" s="729">
        <v>600</v>
      </c>
      <c r="L195" s="728" t="s">
        <v>175</v>
      </c>
      <c r="M195" s="728" t="s">
        <v>176</v>
      </c>
      <c r="N195" s="727"/>
      <c r="O195" s="727"/>
      <c r="P195" s="727"/>
      <c r="Q195" s="727"/>
      <c r="R195" s="730"/>
      <c r="S195" s="727"/>
      <c r="T195" s="728" t="s">
        <v>179</v>
      </c>
    </row>
    <row r="196" ht="34.5">
      <c r="A196" s="728" t="s">
        <v>327</v>
      </c>
      <c r="B196" s="728" t="s">
        <v>328</v>
      </c>
      <c r="C196" s="728" t="s">
        <v>422</v>
      </c>
      <c r="D196" s="728" t="s">
        <v>435</v>
      </c>
      <c r="E196" s="728" t="s">
        <v>436</v>
      </c>
      <c r="F196" s="727" t="s">
        <v>436</v>
      </c>
      <c r="G196" s="728" t="s">
        <v>254</v>
      </c>
      <c r="H196" s="727"/>
      <c r="I196" s="727" t="s">
        <v>437</v>
      </c>
      <c r="J196" s="727" t="s">
        <v>445</v>
      </c>
      <c r="K196" s="729">
        <v>600</v>
      </c>
      <c r="L196" s="728" t="s">
        <v>175</v>
      </c>
      <c r="M196" s="728" t="s">
        <v>176</v>
      </c>
      <c r="N196" s="727"/>
      <c r="O196" s="727"/>
      <c r="P196" s="727"/>
      <c r="Q196" s="727"/>
      <c r="R196" s="730"/>
      <c r="S196" s="727"/>
      <c r="T196" s="728" t="s">
        <v>179</v>
      </c>
    </row>
    <row r="197" ht="34.5">
      <c r="A197" s="728" t="s">
        <v>327</v>
      </c>
      <c r="B197" s="728" t="s">
        <v>328</v>
      </c>
      <c r="C197" s="728" t="s">
        <v>422</v>
      </c>
      <c r="D197" s="728" t="s">
        <v>435</v>
      </c>
      <c r="E197" s="728" t="s">
        <v>436</v>
      </c>
      <c r="F197" s="727" t="s">
        <v>436</v>
      </c>
      <c r="G197" s="728" t="s">
        <v>254</v>
      </c>
      <c r="H197" s="727"/>
      <c r="I197" s="727" t="s">
        <v>437</v>
      </c>
      <c r="J197" s="727" t="s">
        <v>446</v>
      </c>
      <c r="K197" s="729">
        <v>600</v>
      </c>
      <c r="L197" s="728" t="s">
        <v>175</v>
      </c>
      <c r="M197" s="728" t="s">
        <v>176</v>
      </c>
      <c r="N197" s="727"/>
      <c r="O197" s="727"/>
      <c r="P197" s="727"/>
      <c r="Q197" s="727"/>
      <c r="R197" s="730"/>
      <c r="S197" s="727"/>
      <c r="T197" s="728" t="s">
        <v>179</v>
      </c>
    </row>
    <row r="198" ht="34.5">
      <c r="A198" s="728" t="s">
        <v>327</v>
      </c>
      <c r="B198" s="728" t="s">
        <v>328</v>
      </c>
      <c r="C198" s="728" t="s">
        <v>422</v>
      </c>
      <c r="D198" s="728" t="s">
        <v>435</v>
      </c>
      <c r="E198" s="728" t="s">
        <v>436</v>
      </c>
      <c r="F198" s="727" t="s">
        <v>436</v>
      </c>
      <c r="G198" s="728" t="s">
        <v>254</v>
      </c>
      <c r="H198" s="727"/>
      <c r="I198" s="727" t="s">
        <v>437</v>
      </c>
      <c r="J198" s="727" t="s">
        <v>447</v>
      </c>
      <c r="K198" s="729">
        <v>2253260</v>
      </c>
      <c r="L198" s="728" t="s">
        <v>175</v>
      </c>
      <c r="M198" s="728" t="s">
        <v>176</v>
      </c>
      <c r="N198" s="727"/>
      <c r="O198" s="727"/>
      <c r="P198" s="727"/>
      <c r="Q198" s="727"/>
      <c r="R198" s="730"/>
      <c r="S198" s="727" t="s">
        <v>332</v>
      </c>
      <c r="T198" s="728" t="s">
        <v>179</v>
      </c>
    </row>
    <row r="199" ht="34.5">
      <c r="A199" s="728" t="s">
        <v>333</v>
      </c>
      <c r="B199" s="728" t="s">
        <v>334</v>
      </c>
      <c r="C199" s="728" t="s">
        <v>422</v>
      </c>
      <c r="D199" s="728" t="s">
        <v>435</v>
      </c>
      <c r="E199" s="728" t="s">
        <v>436</v>
      </c>
      <c r="F199" s="727" t="s">
        <v>436</v>
      </c>
      <c r="G199" s="728" t="s">
        <v>254</v>
      </c>
      <c r="H199" s="727"/>
      <c r="I199" s="727" t="s">
        <v>437</v>
      </c>
      <c r="J199" s="727" t="s">
        <v>438</v>
      </c>
      <c r="K199" s="729">
        <v>2588165</v>
      </c>
      <c r="L199" s="728" t="s">
        <v>175</v>
      </c>
      <c r="M199" s="728" t="s">
        <v>176</v>
      </c>
      <c r="N199" s="727"/>
      <c r="O199" s="727"/>
      <c r="P199" s="727"/>
      <c r="Q199" s="727"/>
      <c r="R199" s="730"/>
      <c r="S199" s="727"/>
      <c r="T199" s="728" t="s">
        <v>179</v>
      </c>
    </row>
    <row r="200" ht="34.5">
      <c r="A200" s="728" t="s">
        <v>333</v>
      </c>
      <c r="B200" s="728" t="s">
        <v>334</v>
      </c>
      <c r="C200" s="728" t="s">
        <v>422</v>
      </c>
      <c r="D200" s="728" t="s">
        <v>435</v>
      </c>
      <c r="E200" s="728" t="s">
        <v>436</v>
      </c>
      <c r="F200" s="727" t="s">
        <v>436</v>
      </c>
      <c r="G200" s="728" t="s">
        <v>254</v>
      </c>
      <c r="H200" s="727"/>
      <c r="I200" s="727" t="s">
        <v>437</v>
      </c>
      <c r="J200" s="727" t="s">
        <v>441</v>
      </c>
      <c r="K200" s="729">
        <v>94217</v>
      </c>
      <c r="L200" s="728" t="s">
        <v>175</v>
      </c>
      <c r="M200" s="728" t="s">
        <v>176</v>
      </c>
      <c r="N200" s="727"/>
      <c r="O200" s="727"/>
      <c r="P200" s="727"/>
      <c r="Q200" s="727"/>
      <c r="R200" s="730"/>
      <c r="S200" s="727"/>
      <c r="T200" s="728" t="s">
        <v>179</v>
      </c>
    </row>
    <row r="201" ht="34.5">
      <c r="A201" s="728" t="s">
        <v>333</v>
      </c>
      <c r="B201" s="728" t="s">
        <v>334</v>
      </c>
      <c r="C201" s="728" t="s">
        <v>422</v>
      </c>
      <c r="D201" s="728" t="s">
        <v>435</v>
      </c>
      <c r="E201" s="728" t="s">
        <v>436</v>
      </c>
      <c r="F201" s="727" t="s">
        <v>436</v>
      </c>
      <c r="G201" s="728" t="s">
        <v>254</v>
      </c>
      <c r="H201" s="727"/>
      <c r="I201" s="727" t="s">
        <v>437</v>
      </c>
      <c r="J201" s="727" t="s">
        <v>440</v>
      </c>
      <c r="K201" s="729">
        <v>2529</v>
      </c>
      <c r="L201" s="728" t="s">
        <v>175</v>
      </c>
      <c r="M201" s="728" t="s">
        <v>176</v>
      </c>
      <c r="N201" s="727"/>
      <c r="O201" s="727"/>
      <c r="P201" s="727"/>
      <c r="Q201" s="727"/>
      <c r="R201" s="730"/>
      <c r="S201" s="727"/>
      <c r="T201" s="728" t="s">
        <v>179</v>
      </c>
    </row>
    <row r="202" ht="34.5">
      <c r="A202" s="728" t="s">
        <v>333</v>
      </c>
      <c r="B202" s="728" t="s">
        <v>334</v>
      </c>
      <c r="C202" s="728" t="s">
        <v>422</v>
      </c>
      <c r="D202" s="728" t="s">
        <v>435</v>
      </c>
      <c r="E202" s="728" t="s">
        <v>436</v>
      </c>
      <c r="F202" s="727" t="s">
        <v>436</v>
      </c>
      <c r="G202" s="728" t="s">
        <v>254</v>
      </c>
      <c r="H202" s="727"/>
      <c r="I202" s="727" t="s">
        <v>437</v>
      </c>
      <c r="J202" s="727" t="s">
        <v>442</v>
      </c>
      <c r="K202" s="729">
        <v>600</v>
      </c>
      <c r="L202" s="728" t="s">
        <v>175</v>
      </c>
      <c r="M202" s="728" t="s">
        <v>176</v>
      </c>
      <c r="N202" s="727"/>
      <c r="O202" s="727"/>
      <c r="P202" s="727"/>
      <c r="Q202" s="727"/>
      <c r="R202" s="730"/>
      <c r="S202" s="727"/>
      <c r="T202" s="728" t="s">
        <v>179</v>
      </c>
    </row>
    <row r="203" ht="34.5">
      <c r="A203" s="728" t="s">
        <v>333</v>
      </c>
      <c r="B203" s="728" t="s">
        <v>334</v>
      </c>
      <c r="C203" s="728" t="s">
        <v>422</v>
      </c>
      <c r="D203" s="728" t="s">
        <v>435</v>
      </c>
      <c r="E203" s="728" t="s">
        <v>436</v>
      </c>
      <c r="F203" s="727" t="s">
        <v>436</v>
      </c>
      <c r="G203" s="728" t="s">
        <v>254</v>
      </c>
      <c r="H203" s="727"/>
      <c r="I203" s="727" t="s">
        <v>437</v>
      </c>
      <c r="J203" s="727" t="s">
        <v>443</v>
      </c>
      <c r="K203" s="729">
        <v>600</v>
      </c>
      <c r="L203" s="728" t="s">
        <v>175</v>
      </c>
      <c r="M203" s="728" t="s">
        <v>176</v>
      </c>
      <c r="N203" s="727"/>
      <c r="O203" s="727"/>
      <c r="P203" s="727"/>
      <c r="Q203" s="727"/>
      <c r="R203" s="730"/>
      <c r="S203" s="727"/>
      <c r="T203" s="728" t="s">
        <v>179</v>
      </c>
    </row>
    <row r="204" ht="34.5">
      <c r="A204" s="728" t="s">
        <v>333</v>
      </c>
      <c r="B204" s="728" t="s">
        <v>334</v>
      </c>
      <c r="C204" s="728" t="s">
        <v>422</v>
      </c>
      <c r="D204" s="728" t="s">
        <v>435</v>
      </c>
      <c r="E204" s="728" t="s">
        <v>436</v>
      </c>
      <c r="F204" s="727" t="s">
        <v>436</v>
      </c>
      <c r="G204" s="728" t="s">
        <v>254</v>
      </c>
      <c r="H204" s="727"/>
      <c r="I204" s="727" t="s">
        <v>437</v>
      </c>
      <c r="J204" s="727" t="s">
        <v>444</v>
      </c>
      <c r="K204" s="729">
        <v>600</v>
      </c>
      <c r="L204" s="728" t="s">
        <v>175</v>
      </c>
      <c r="M204" s="728" t="s">
        <v>176</v>
      </c>
      <c r="N204" s="727"/>
      <c r="O204" s="727"/>
      <c r="P204" s="727"/>
      <c r="Q204" s="727"/>
      <c r="R204" s="730"/>
      <c r="S204" s="727"/>
      <c r="T204" s="728" t="s">
        <v>179</v>
      </c>
    </row>
    <row r="205" ht="34.5">
      <c r="A205" s="728" t="s">
        <v>333</v>
      </c>
      <c r="B205" s="728" t="s">
        <v>334</v>
      </c>
      <c r="C205" s="728" t="s">
        <v>422</v>
      </c>
      <c r="D205" s="728" t="s">
        <v>435</v>
      </c>
      <c r="E205" s="728" t="s">
        <v>436</v>
      </c>
      <c r="F205" s="727" t="s">
        <v>436</v>
      </c>
      <c r="G205" s="728" t="s">
        <v>254</v>
      </c>
      <c r="H205" s="727"/>
      <c r="I205" s="727" t="s">
        <v>437</v>
      </c>
      <c r="J205" s="727" t="s">
        <v>445</v>
      </c>
      <c r="K205" s="729">
        <v>600</v>
      </c>
      <c r="L205" s="728" t="s">
        <v>175</v>
      </c>
      <c r="M205" s="728" t="s">
        <v>176</v>
      </c>
      <c r="N205" s="727"/>
      <c r="O205" s="727"/>
      <c r="P205" s="727"/>
      <c r="Q205" s="727"/>
      <c r="R205" s="730"/>
      <c r="S205" s="727"/>
      <c r="T205" s="728" t="s">
        <v>179</v>
      </c>
    </row>
    <row r="206" ht="34.5">
      <c r="A206" s="728" t="s">
        <v>333</v>
      </c>
      <c r="B206" s="728" t="s">
        <v>334</v>
      </c>
      <c r="C206" s="728" t="s">
        <v>422</v>
      </c>
      <c r="D206" s="728" t="s">
        <v>435</v>
      </c>
      <c r="E206" s="728" t="s">
        <v>436</v>
      </c>
      <c r="F206" s="727" t="s">
        <v>436</v>
      </c>
      <c r="G206" s="728" t="s">
        <v>254</v>
      </c>
      <c r="H206" s="727"/>
      <c r="I206" s="727" t="s">
        <v>437</v>
      </c>
      <c r="J206" s="727" t="s">
        <v>446</v>
      </c>
      <c r="K206" s="729">
        <v>600</v>
      </c>
      <c r="L206" s="728" t="s">
        <v>175</v>
      </c>
      <c r="M206" s="728" t="s">
        <v>176</v>
      </c>
      <c r="N206" s="727"/>
      <c r="O206" s="727"/>
      <c r="P206" s="727"/>
      <c r="Q206" s="727"/>
      <c r="R206" s="730"/>
      <c r="S206" s="727"/>
      <c r="T206" s="728" t="s">
        <v>179</v>
      </c>
    </row>
    <row r="207" ht="34.5">
      <c r="A207" s="728" t="s">
        <v>333</v>
      </c>
      <c r="B207" s="728" t="s">
        <v>334</v>
      </c>
      <c r="C207" s="728" t="s">
        <v>422</v>
      </c>
      <c r="D207" s="728" t="s">
        <v>435</v>
      </c>
      <c r="E207" s="728" t="s">
        <v>436</v>
      </c>
      <c r="F207" s="727" t="s">
        <v>436</v>
      </c>
      <c r="G207" s="728" t="s">
        <v>254</v>
      </c>
      <c r="H207" s="727"/>
      <c r="I207" s="727" t="s">
        <v>437</v>
      </c>
      <c r="J207" s="727" t="s">
        <v>447</v>
      </c>
      <c r="K207" s="729">
        <v>2687911</v>
      </c>
      <c r="L207" s="728" t="s">
        <v>175</v>
      </c>
      <c r="M207" s="728" t="s">
        <v>176</v>
      </c>
      <c r="N207" s="727"/>
      <c r="O207" s="727"/>
      <c r="P207" s="727"/>
      <c r="Q207" s="727"/>
      <c r="R207" s="730"/>
      <c r="S207" s="727" t="s">
        <v>332</v>
      </c>
      <c r="T207" s="728" t="s">
        <v>179</v>
      </c>
    </row>
    <row r="208" ht="34.5">
      <c r="A208" s="728" t="s">
        <v>338</v>
      </c>
      <c r="B208" s="728" t="s">
        <v>339</v>
      </c>
      <c r="C208" s="728" t="s">
        <v>413</v>
      </c>
      <c r="D208" s="728" t="s">
        <v>435</v>
      </c>
      <c r="E208" s="728" t="s">
        <v>436</v>
      </c>
      <c r="F208" s="727" t="s">
        <v>436</v>
      </c>
      <c r="G208" s="728" t="s">
        <v>254</v>
      </c>
      <c r="H208" s="727"/>
      <c r="I208" s="727" t="s">
        <v>437</v>
      </c>
      <c r="J208" s="727" t="s">
        <v>438</v>
      </c>
      <c r="K208" s="729">
        <v>2218317</v>
      </c>
      <c r="L208" s="728" t="s">
        <v>175</v>
      </c>
      <c r="M208" s="728" t="s">
        <v>176</v>
      </c>
      <c r="N208" s="727"/>
      <c r="O208" s="727"/>
      <c r="P208" s="727"/>
      <c r="Q208" s="727"/>
      <c r="R208" s="730"/>
      <c r="S208" s="727"/>
      <c r="T208" s="728" t="s">
        <v>179</v>
      </c>
    </row>
    <row r="209" ht="34.5">
      <c r="A209" s="728" t="s">
        <v>338</v>
      </c>
      <c r="B209" s="728" t="s">
        <v>339</v>
      </c>
      <c r="C209" s="728" t="s">
        <v>413</v>
      </c>
      <c r="D209" s="728" t="s">
        <v>435</v>
      </c>
      <c r="E209" s="728" t="s">
        <v>436</v>
      </c>
      <c r="F209" s="727" t="s">
        <v>436</v>
      </c>
      <c r="G209" s="728" t="s">
        <v>254</v>
      </c>
      <c r="H209" s="727"/>
      <c r="I209" s="727" t="s">
        <v>437</v>
      </c>
      <c r="J209" s="727" t="s">
        <v>441</v>
      </c>
      <c r="K209" s="729">
        <v>39411</v>
      </c>
      <c r="L209" s="728" t="s">
        <v>175</v>
      </c>
      <c r="M209" s="728" t="s">
        <v>176</v>
      </c>
      <c r="N209" s="727"/>
      <c r="O209" s="727"/>
      <c r="P209" s="727"/>
      <c r="Q209" s="727"/>
      <c r="R209" s="730"/>
      <c r="S209" s="727"/>
      <c r="T209" s="728" t="s">
        <v>179</v>
      </c>
    </row>
    <row r="210" ht="34.5">
      <c r="A210" s="728" t="s">
        <v>338</v>
      </c>
      <c r="B210" s="728" t="s">
        <v>339</v>
      </c>
      <c r="C210" s="728" t="s">
        <v>413</v>
      </c>
      <c r="D210" s="728" t="s">
        <v>435</v>
      </c>
      <c r="E210" s="728" t="s">
        <v>436</v>
      </c>
      <c r="F210" s="727" t="s">
        <v>436</v>
      </c>
      <c r="G210" s="728" t="s">
        <v>254</v>
      </c>
      <c r="H210" s="727"/>
      <c r="I210" s="727" t="s">
        <v>437</v>
      </c>
      <c r="J210" s="727" t="s">
        <v>440</v>
      </c>
      <c r="K210" s="729">
        <v>116314</v>
      </c>
      <c r="L210" s="728" t="s">
        <v>175</v>
      </c>
      <c r="M210" s="728" t="s">
        <v>176</v>
      </c>
      <c r="N210" s="727"/>
      <c r="O210" s="727"/>
      <c r="P210" s="727"/>
      <c r="Q210" s="727"/>
      <c r="R210" s="730"/>
      <c r="S210" s="727"/>
      <c r="T210" s="728" t="s">
        <v>179</v>
      </c>
    </row>
    <row r="211" ht="34.5">
      <c r="A211" s="728" t="s">
        <v>338</v>
      </c>
      <c r="B211" s="728" t="s">
        <v>339</v>
      </c>
      <c r="C211" s="728" t="s">
        <v>413</v>
      </c>
      <c r="D211" s="728" t="s">
        <v>435</v>
      </c>
      <c r="E211" s="728" t="s">
        <v>436</v>
      </c>
      <c r="F211" s="727" t="s">
        <v>436</v>
      </c>
      <c r="G211" s="728" t="s">
        <v>254</v>
      </c>
      <c r="H211" s="727"/>
      <c r="I211" s="727" t="s">
        <v>437</v>
      </c>
      <c r="J211" s="727" t="s">
        <v>442</v>
      </c>
      <c r="K211" s="729">
        <v>600</v>
      </c>
      <c r="L211" s="728" t="s">
        <v>175</v>
      </c>
      <c r="M211" s="728" t="s">
        <v>176</v>
      </c>
      <c r="N211" s="727"/>
      <c r="O211" s="727"/>
      <c r="P211" s="727"/>
      <c r="Q211" s="727"/>
      <c r="R211" s="730"/>
      <c r="S211" s="727"/>
      <c r="T211" s="728" t="s">
        <v>179</v>
      </c>
    </row>
    <row r="212" ht="34.5">
      <c r="A212" s="728" t="s">
        <v>338</v>
      </c>
      <c r="B212" s="728" t="s">
        <v>339</v>
      </c>
      <c r="C212" s="728" t="s">
        <v>413</v>
      </c>
      <c r="D212" s="728" t="s">
        <v>435</v>
      </c>
      <c r="E212" s="728" t="s">
        <v>436</v>
      </c>
      <c r="F212" s="727" t="s">
        <v>436</v>
      </c>
      <c r="G212" s="728" t="s">
        <v>254</v>
      </c>
      <c r="H212" s="727"/>
      <c r="I212" s="727" t="s">
        <v>437</v>
      </c>
      <c r="J212" s="727" t="s">
        <v>448</v>
      </c>
      <c r="K212" s="729">
        <v>600</v>
      </c>
      <c r="L212" s="728" t="s">
        <v>175</v>
      </c>
      <c r="M212" s="728" t="s">
        <v>176</v>
      </c>
      <c r="N212" s="727"/>
      <c r="O212" s="727"/>
      <c r="P212" s="727"/>
      <c r="Q212" s="727"/>
      <c r="R212" s="730"/>
      <c r="S212" s="727"/>
      <c r="T212" s="728" t="s">
        <v>179</v>
      </c>
    </row>
    <row r="213" ht="34.5">
      <c r="A213" s="728" t="s">
        <v>338</v>
      </c>
      <c r="B213" s="728" t="s">
        <v>339</v>
      </c>
      <c r="C213" s="728" t="s">
        <v>413</v>
      </c>
      <c r="D213" s="728" t="s">
        <v>435</v>
      </c>
      <c r="E213" s="728" t="s">
        <v>436</v>
      </c>
      <c r="F213" s="727" t="s">
        <v>436</v>
      </c>
      <c r="G213" s="728" t="s">
        <v>254</v>
      </c>
      <c r="H213" s="727"/>
      <c r="I213" s="727" t="s">
        <v>437</v>
      </c>
      <c r="J213" s="727" t="s">
        <v>449</v>
      </c>
      <c r="K213" s="729">
        <v>600</v>
      </c>
      <c r="L213" s="728" t="s">
        <v>175</v>
      </c>
      <c r="M213" s="728" t="s">
        <v>176</v>
      </c>
      <c r="N213" s="727"/>
      <c r="O213" s="727"/>
      <c r="P213" s="727"/>
      <c r="Q213" s="727"/>
      <c r="R213" s="730"/>
      <c r="S213" s="727"/>
      <c r="T213" s="728" t="s">
        <v>179</v>
      </c>
    </row>
    <row r="214" ht="34.5">
      <c r="A214" s="728" t="s">
        <v>338</v>
      </c>
      <c r="B214" s="728" t="s">
        <v>339</v>
      </c>
      <c r="C214" s="728" t="s">
        <v>413</v>
      </c>
      <c r="D214" s="728" t="s">
        <v>435</v>
      </c>
      <c r="E214" s="728" t="s">
        <v>436</v>
      </c>
      <c r="F214" s="727" t="s">
        <v>436</v>
      </c>
      <c r="G214" s="728" t="s">
        <v>254</v>
      </c>
      <c r="H214" s="727"/>
      <c r="I214" s="727" t="s">
        <v>437</v>
      </c>
      <c r="J214" s="727" t="s">
        <v>445</v>
      </c>
      <c r="K214" s="729">
        <v>600</v>
      </c>
      <c r="L214" s="728" t="s">
        <v>175</v>
      </c>
      <c r="M214" s="728" t="s">
        <v>176</v>
      </c>
      <c r="N214" s="727"/>
      <c r="O214" s="727"/>
      <c r="P214" s="727"/>
      <c r="Q214" s="727"/>
      <c r="R214" s="730"/>
      <c r="S214" s="727"/>
      <c r="T214" s="728" t="s">
        <v>179</v>
      </c>
    </row>
    <row r="215" ht="34.5">
      <c r="A215" s="728" t="s">
        <v>338</v>
      </c>
      <c r="B215" s="728" t="s">
        <v>339</v>
      </c>
      <c r="C215" s="728" t="s">
        <v>413</v>
      </c>
      <c r="D215" s="728" t="s">
        <v>435</v>
      </c>
      <c r="E215" s="728" t="s">
        <v>436</v>
      </c>
      <c r="F215" s="727" t="s">
        <v>436</v>
      </c>
      <c r="G215" s="728" t="s">
        <v>254</v>
      </c>
      <c r="H215" s="727"/>
      <c r="I215" s="727" t="s">
        <v>437</v>
      </c>
      <c r="J215" s="727" t="s">
        <v>446</v>
      </c>
      <c r="K215" s="729">
        <v>600</v>
      </c>
      <c r="L215" s="728" t="s">
        <v>175</v>
      </c>
      <c r="M215" s="728" t="s">
        <v>176</v>
      </c>
      <c r="N215" s="727"/>
      <c r="O215" s="727"/>
      <c r="P215" s="727"/>
      <c r="Q215" s="727"/>
      <c r="R215" s="730"/>
      <c r="S215" s="727"/>
      <c r="T215" s="728" t="s">
        <v>179</v>
      </c>
    </row>
    <row r="216" ht="34.5">
      <c r="A216" s="728" t="s">
        <v>338</v>
      </c>
      <c r="B216" s="728" t="s">
        <v>339</v>
      </c>
      <c r="C216" s="728" t="s">
        <v>413</v>
      </c>
      <c r="D216" s="728" t="s">
        <v>435</v>
      </c>
      <c r="E216" s="728" t="s">
        <v>436</v>
      </c>
      <c r="F216" s="727" t="s">
        <v>436</v>
      </c>
      <c r="G216" s="728" t="s">
        <v>254</v>
      </c>
      <c r="H216" s="727"/>
      <c r="I216" s="727" t="s">
        <v>437</v>
      </c>
      <c r="J216" s="727" t="s">
        <v>447</v>
      </c>
      <c r="K216" s="729">
        <v>2377042</v>
      </c>
      <c r="L216" s="728" t="s">
        <v>175</v>
      </c>
      <c r="M216" s="728" t="s">
        <v>176</v>
      </c>
      <c r="N216" s="727"/>
      <c r="O216" s="727"/>
      <c r="P216" s="727"/>
      <c r="Q216" s="727"/>
      <c r="R216" s="730"/>
      <c r="S216" s="727" t="s">
        <v>332</v>
      </c>
      <c r="T216" s="728" t="s">
        <v>179</v>
      </c>
    </row>
    <row r="217" ht="34.5">
      <c r="A217" s="728" t="s">
        <v>167</v>
      </c>
      <c r="B217" s="728" t="s">
        <v>168</v>
      </c>
      <c r="C217" s="728" t="s">
        <v>450</v>
      </c>
      <c r="D217" s="728" t="s">
        <v>170</v>
      </c>
      <c r="E217" s="728" t="s">
        <v>436</v>
      </c>
      <c r="F217" s="727" t="s">
        <v>436</v>
      </c>
      <c r="G217" s="728" t="s">
        <v>451</v>
      </c>
      <c r="H217" s="727"/>
      <c r="I217" s="727" t="s">
        <v>452</v>
      </c>
      <c r="J217" s="727" t="s">
        <v>453</v>
      </c>
      <c r="K217" s="729"/>
      <c r="L217" s="728" t="s">
        <v>175</v>
      </c>
      <c r="M217" s="728" t="s">
        <v>176</v>
      </c>
      <c r="N217" s="727"/>
      <c r="O217" s="727" t="s">
        <v>454</v>
      </c>
      <c r="P217" s="727" t="s">
        <v>455</v>
      </c>
      <c r="Q217" s="727"/>
      <c r="R217" s="730"/>
      <c r="S217" s="727"/>
      <c r="T217" s="728" t="s">
        <v>179</v>
      </c>
    </row>
    <row r="218" ht="34.5">
      <c r="A218" s="728" t="s">
        <v>167</v>
      </c>
      <c r="B218" s="728" t="s">
        <v>168</v>
      </c>
      <c r="C218" s="728" t="s">
        <v>450</v>
      </c>
      <c r="D218" s="728" t="s">
        <v>170</v>
      </c>
      <c r="E218" s="728" t="s">
        <v>436</v>
      </c>
      <c r="F218" s="727" t="s">
        <v>436</v>
      </c>
      <c r="G218" s="728" t="s">
        <v>451</v>
      </c>
      <c r="H218" s="727"/>
      <c r="I218" s="727" t="s">
        <v>456</v>
      </c>
      <c r="J218" s="727" t="s">
        <v>457</v>
      </c>
      <c r="K218" s="729">
        <v>1000000</v>
      </c>
      <c r="L218" s="728" t="s">
        <v>175</v>
      </c>
      <c r="M218" s="728" t="s">
        <v>176</v>
      </c>
      <c r="N218" s="727"/>
      <c r="O218" s="727" t="s">
        <v>454</v>
      </c>
      <c r="P218" s="727" t="s">
        <v>458</v>
      </c>
      <c r="Q218" s="727"/>
      <c r="R218" s="730"/>
      <c r="S218" s="727"/>
      <c r="T218" s="728" t="s">
        <v>179</v>
      </c>
    </row>
    <row r="219" ht="34.5">
      <c r="A219" s="728" t="s">
        <v>167</v>
      </c>
      <c r="B219" s="728" t="s">
        <v>168</v>
      </c>
      <c r="C219" s="728" t="s">
        <v>450</v>
      </c>
      <c r="D219" s="728" t="s">
        <v>170</v>
      </c>
      <c r="E219" s="728" t="s">
        <v>436</v>
      </c>
      <c r="F219" s="727" t="s">
        <v>436</v>
      </c>
      <c r="G219" s="728" t="s">
        <v>451</v>
      </c>
      <c r="H219" s="727"/>
      <c r="I219" s="727" t="s">
        <v>459</v>
      </c>
      <c r="J219" s="727" t="s">
        <v>460</v>
      </c>
      <c r="K219" s="729"/>
      <c r="L219" s="728" t="s">
        <v>175</v>
      </c>
      <c r="M219" s="728" t="s">
        <v>176</v>
      </c>
      <c r="N219" s="727"/>
      <c r="O219" s="727" t="s">
        <v>454</v>
      </c>
      <c r="P219" s="727"/>
      <c r="Q219" s="727" t="s">
        <v>461</v>
      </c>
      <c r="R219" s="730"/>
      <c r="S219" s="727"/>
      <c r="T219" s="728" t="s">
        <v>179</v>
      </c>
    </row>
    <row r="220" ht="34.5">
      <c r="A220" s="728" t="s">
        <v>167</v>
      </c>
      <c r="B220" s="728" t="s">
        <v>168</v>
      </c>
      <c r="C220" s="728" t="s">
        <v>462</v>
      </c>
      <c r="D220" s="728" t="s">
        <v>170</v>
      </c>
      <c r="E220" s="728" t="s">
        <v>463</v>
      </c>
      <c r="F220" s="727" t="s">
        <v>463</v>
      </c>
      <c r="G220" s="728" t="s">
        <v>223</v>
      </c>
      <c r="H220" s="727"/>
      <c r="I220" s="727" t="s">
        <v>464</v>
      </c>
      <c r="J220" s="727" t="s">
        <v>465</v>
      </c>
      <c r="K220" s="729"/>
      <c r="L220" s="728" t="s">
        <v>175</v>
      </c>
      <c r="M220" s="728" t="s">
        <v>176</v>
      </c>
      <c r="N220" s="727"/>
      <c r="O220" s="727"/>
      <c r="P220" s="727" t="s">
        <v>466</v>
      </c>
      <c r="Q220" s="727"/>
      <c r="R220" s="730"/>
      <c r="S220" s="727"/>
      <c r="T220" s="728" t="s">
        <v>179</v>
      </c>
    </row>
    <row r="221" ht="34.5">
      <c r="A221" s="728" t="s">
        <v>167</v>
      </c>
      <c r="B221" s="728" t="s">
        <v>168</v>
      </c>
      <c r="C221" s="728" t="s">
        <v>462</v>
      </c>
      <c r="D221" s="728" t="s">
        <v>467</v>
      </c>
      <c r="E221" s="728" t="s">
        <v>463</v>
      </c>
      <c r="F221" s="727" t="s">
        <v>463</v>
      </c>
      <c r="G221" s="728" t="s">
        <v>223</v>
      </c>
      <c r="H221" s="727"/>
      <c r="I221" s="727"/>
      <c r="J221" s="727" t="s">
        <v>468</v>
      </c>
      <c r="K221" s="729">
        <v>4303051</v>
      </c>
      <c r="L221" s="728" t="s">
        <v>175</v>
      </c>
      <c r="M221" s="728" t="s">
        <v>176</v>
      </c>
      <c r="N221" s="727"/>
      <c r="O221" s="727"/>
      <c r="P221" s="727"/>
      <c r="Q221" s="727"/>
      <c r="R221" s="730"/>
      <c r="S221" s="727"/>
      <c r="T221" s="728" t="s">
        <v>179</v>
      </c>
    </row>
    <row r="222" ht="34.5">
      <c r="A222" s="728" t="s">
        <v>167</v>
      </c>
      <c r="B222" s="728" t="s">
        <v>168</v>
      </c>
      <c r="C222" s="728" t="s">
        <v>462</v>
      </c>
      <c r="D222" s="728" t="s">
        <v>467</v>
      </c>
      <c r="E222" s="728" t="s">
        <v>463</v>
      </c>
      <c r="F222" s="727" t="s">
        <v>463</v>
      </c>
      <c r="G222" s="728" t="s">
        <v>223</v>
      </c>
      <c r="H222" s="727"/>
      <c r="I222" s="727"/>
      <c r="J222" s="727" t="s">
        <v>469</v>
      </c>
      <c r="K222" s="729">
        <v>297446</v>
      </c>
      <c r="L222" s="728" t="s">
        <v>175</v>
      </c>
      <c r="M222" s="728" t="s">
        <v>176</v>
      </c>
      <c r="N222" s="727"/>
      <c r="O222" s="727"/>
      <c r="P222" s="727"/>
      <c r="Q222" s="727"/>
      <c r="R222" s="730"/>
      <c r="S222" s="727"/>
      <c r="T222" s="728" t="s">
        <v>179</v>
      </c>
    </row>
    <row r="223" ht="34.5">
      <c r="A223" s="728" t="s">
        <v>167</v>
      </c>
      <c r="B223" s="728" t="s">
        <v>168</v>
      </c>
      <c r="C223" s="728" t="s">
        <v>462</v>
      </c>
      <c r="D223" s="728" t="s">
        <v>467</v>
      </c>
      <c r="E223" s="728" t="s">
        <v>463</v>
      </c>
      <c r="F223" s="727" t="s">
        <v>463</v>
      </c>
      <c r="G223" s="728" t="s">
        <v>223</v>
      </c>
      <c r="H223" s="727"/>
      <c r="I223" s="727"/>
      <c r="J223" s="727" t="s">
        <v>470</v>
      </c>
      <c r="K223" s="729">
        <v>237117</v>
      </c>
      <c r="L223" s="728" t="s">
        <v>175</v>
      </c>
      <c r="M223" s="728" t="s">
        <v>176</v>
      </c>
      <c r="N223" s="727"/>
      <c r="O223" s="727"/>
      <c r="P223" s="727"/>
      <c r="Q223" s="727"/>
      <c r="R223" s="730"/>
      <c r="S223" s="727"/>
      <c r="T223" s="728" t="s">
        <v>179</v>
      </c>
    </row>
    <row r="224" ht="34.5">
      <c r="A224" s="728" t="s">
        <v>167</v>
      </c>
      <c r="B224" s="728" t="s">
        <v>168</v>
      </c>
      <c r="C224" s="728" t="s">
        <v>462</v>
      </c>
      <c r="D224" s="728" t="s">
        <v>467</v>
      </c>
      <c r="E224" s="728" t="s">
        <v>463</v>
      </c>
      <c r="F224" s="727" t="s">
        <v>463</v>
      </c>
      <c r="G224" s="728" t="s">
        <v>223</v>
      </c>
      <c r="H224" s="727" t="s">
        <v>27</v>
      </c>
      <c r="I224" s="727"/>
      <c r="J224" s="727" t="s">
        <v>471</v>
      </c>
      <c r="K224" s="729">
        <v>4837614</v>
      </c>
      <c r="L224" s="728" t="s">
        <v>175</v>
      </c>
      <c r="M224" s="728" t="s">
        <v>176</v>
      </c>
      <c r="N224" s="727"/>
      <c r="O224" s="727"/>
      <c r="P224" s="727"/>
      <c r="Q224" s="727"/>
      <c r="R224" s="730" t="s">
        <v>472</v>
      </c>
      <c r="S224" s="727" t="s">
        <v>332</v>
      </c>
      <c r="T224" s="728" t="s">
        <v>179</v>
      </c>
    </row>
    <row r="225" ht="34.5">
      <c r="A225" s="728" t="s">
        <v>326</v>
      </c>
      <c r="B225" s="728" t="s">
        <v>168</v>
      </c>
      <c r="C225" s="728" t="s">
        <v>462</v>
      </c>
      <c r="D225" s="728" t="s">
        <v>467</v>
      </c>
      <c r="E225" s="728" t="s">
        <v>463</v>
      </c>
      <c r="F225" s="727" t="s">
        <v>463</v>
      </c>
      <c r="G225" s="728" t="s">
        <v>223</v>
      </c>
      <c r="H225" s="727"/>
      <c r="I225" s="727"/>
      <c r="J225" s="727" t="s">
        <v>468</v>
      </c>
      <c r="K225" s="729">
        <v>3227690</v>
      </c>
      <c r="L225" s="728" t="s">
        <v>175</v>
      </c>
      <c r="M225" s="728" t="s">
        <v>176</v>
      </c>
      <c r="N225" s="727"/>
      <c r="O225" s="727"/>
      <c r="P225" s="727"/>
      <c r="Q225" s="727"/>
      <c r="R225" s="730"/>
      <c r="S225" s="727"/>
      <c r="T225" s="728" t="s">
        <v>179</v>
      </c>
    </row>
    <row r="226" ht="34.5">
      <c r="A226" s="728" t="s">
        <v>326</v>
      </c>
      <c r="B226" s="728" t="s">
        <v>168</v>
      </c>
      <c r="C226" s="728" t="s">
        <v>462</v>
      </c>
      <c r="D226" s="728" t="s">
        <v>467</v>
      </c>
      <c r="E226" s="728" t="s">
        <v>463</v>
      </c>
      <c r="F226" s="727" t="s">
        <v>463</v>
      </c>
      <c r="G226" s="728" t="s">
        <v>223</v>
      </c>
      <c r="H226" s="727"/>
      <c r="I226" s="727"/>
      <c r="J226" s="727" t="s">
        <v>469</v>
      </c>
      <c r="K226" s="729">
        <v>317812</v>
      </c>
      <c r="L226" s="728" t="s">
        <v>175</v>
      </c>
      <c r="M226" s="728" t="s">
        <v>176</v>
      </c>
      <c r="N226" s="727"/>
      <c r="O226" s="727"/>
      <c r="P226" s="727"/>
      <c r="Q226" s="727"/>
      <c r="R226" s="730"/>
      <c r="S226" s="727"/>
      <c r="T226" s="728" t="s">
        <v>179</v>
      </c>
    </row>
    <row r="227" ht="34.5">
      <c r="A227" s="728" t="s">
        <v>326</v>
      </c>
      <c r="B227" s="728" t="s">
        <v>168</v>
      </c>
      <c r="C227" s="728" t="s">
        <v>462</v>
      </c>
      <c r="D227" s="728" t="s">
        <v>467</v>
      </c>
      <c r="E227" s="728" t="s">
        <v>463</v>
      </c>
      <c r="F227" s="727" t="s">
        <v>463</v>
      </c>
      <c r="G227" s="728" t="s">
        <v>223</v>
      </c>
      <c r="H227" s="727"/>
      <c r="I227" s="727"/>
      <c r="J227" s="727" t="s">
        <v>470</v>
      </c>
      <c r="K227" s="729">
        <v>359043</v>
      </c>
      <c r="L227" s="728" t="s">
        <v>175</v>
      </c>
      <c r="M227" s="728" t="s">
        <v>176</v>
      </c>
      <c r="N227" s="727"/>
      <c r="O227" s="727"/>
      <c r="P227" s="727"/>
      <c r="Q227" s="727"/>
      <c r="R227" s="730"/>
      <c r="S227" s="727"/>
      <c r="T227" s="728" t="s">
        <v>179</v>
      </c>
    </row>
    <row r="228" ht="34.5">
      <c r="A228" s="728" t="s">
        <v>326</v>
      </c>
      <c r="B228" s="728" t="s">
        <v>168</v>
      </c>
      <c r="C228" s="728" t="s">
        <v>462</v>
      </c>
      <c r="D228" s="728" t="s">
        <v>467</v>
      </c>
      <c r="E228" s="728" t="s">
        <v>463</v>
      </c>
      <c r="F228" s="727" t="s">
        <v>463</v>
      </c>
      <c r="G228" s="728" t="s">
        <v>223</v>
      </c>
      <c r="H228" s="727" t="s">
        <v>27</v>
      </c>
      <c r="I228" s="727"/>
      <c r="J228" s="727" t="s">
        <v>471</v>
      </c>
      <c r="K228" s="729">
        <v>3904545</v>
      </c>
      <c r="L228" s="728" t="s">
        <v>175</v>
      </c>
      <c r="M228" s="728" t="s">
        <v>176</v>
      </c>
      <c r="N228" s="727"/>
      <c r="O228" s="727"/>
      <c r="P228" s="727"/>
      <c r="Q228" s="727"/>
      <c r="R228" s="730" t="s">
        <v>473</v>
      </c>
      <c r="S228" s="727" t="s">
        <v>332</v>
      </c>
      <c r="T228" s="728" t="s">
        <v>179</v>
      </c>
    </row>
    <row r="229" ht="34.5">
      <c r="A229" s="728" t="s">
        <v>327</v>
      </c>
      <c r="B229" s="728" t="s">
        <v>328</v>
      </c>
      <c r="C229" s="728" t="s">
        <v>462</v>
      </c>
      <c r="D229" s="728" t="s">
        <v>467</v>
      </c>
      <c r="E229" s="728" t="s">
        <v>463</v>
      </c>
      <c r="F229" s="727" t="s">
        <v>463</v>
      </c>
      <c r="G229" s="728" t="s">
        <v>223</v>
      </c>
      <c r="H229" s="727"/>
      <c r="I229" s="727"/>
      <c r="J229" s="727" t="s">
        <v>468</v>
      </c>
      <c r="K229" s="729">
        <v>6343999</v>
      </c>
      <c r="L229" s="728" t="s">
        <v>175</v>
      </c>
      <c r="M229" s="728" t="s">
        <v>176</v>
      </c>
      <c r="N229" s="727"/>
      <c r="O229" s="727"/>
      <c r="P229" s="727"/>
      <c r="Q229" s="727"/>
      <c r="R229" s="730"/>
      <c r="S229" s="727"/>
      <c r="T229" s="728" t="s">
        <v>179</v>
      </c>
    </row>
    <row r="230" ht="34.5">
      <c r="A230" s="728" t="s">
        <v>327</v>
      </c>
      <c r="B230" s="728" t="s">
        <v>328</v>
      </c>
      <c r="C230" s="728" t="s">
        <v>462</v>
      </c>
      <c r="D230" s="728" t="s">
        <v>467</v>
      </c>
      <c r="E230" s="728" t="s">
        <v>463</v>
      </c>
      <c r="F230" s="727" t="s">
        <v>463</v>
      </c>
      <c r="G230" s="728" t="s">
        <v>223</v>
      </c>
      <c r="H230" s="727"/>
      <c r="I230" s="727"/>
      <c r="J230" s="727" t="s">
        <v>470</v>
      </c>
      <c r="K230" s="729">
        <v>448935</v>
      </c>
      <c r="L230" s="728" t="s">
        <v>175</v>
      </c>
      <c r="M230" s="728" t="s">
        <v>176</v>
      </c>
      <c r="N230" s="727"/>
      <c r="O230" s="727"/>
      <c r="P230" s="727"/>
      <c r="Q230" s="727"/>
      <c r="R230" s="730"/>
      <c r="S230" s="727"/>
      <c r="T230" s="728" t="s">
        <v>179</v>
      </c>
    </row>
    <row r="231" ht="34.5">
      <c r="A231" s="728" t="s">
        <v>327</v>
      </c>
      <c r="B231" s="728" t="s">
        <v>328</v>
      </c>
      <c r="C231" s="728" t="s">
        <v>462</v>
      </c>
      <c r="D231" s="728" t="s">
        <v>467</v>
      </c>
      <c r="E231" s="728" t="s">
        <v>463</v>
      </c>
      <c r="F231" s="727" t="s">
        <v>463</v>
      </c>
      <c r="G231" s="728" t="s">
        <v>223</v>
      </c>
      <c r="H231" s="727"/>
      <c r="I231" s="727"/>
      <c r="J231" s="727" t="s">
        <v>469</v>
      </c>
      <c r="K231" s="729">
        <v>334670</v>
      </c>
      <c r="L231" s="728" t="s">
        <v>175</v>
      </c>
      <c r="M231" s="728" t="s">
        <v>176</v>
      </c>
      <c r="N231" s="727"/>
      <c r="O231" s="727"/>
      <c r="P231" s="727"/>
      <c r="Q231" s="727"/>
      <c r="R231" s="730"/>
      <c r="S231" s="727"/>
      <c r="T231" s="728" t="s">
        <v>179</v>
      </c>
    </row>
    <row r="232" ht="34.5">
      <c r="A232" s="728" t="s">
        <v>327</v>
      </c>
      <c r="B232" s="728" t="s">
        <v>328</v>
      </c>
      <c r="C232" s="728" t="s">
        <v>462</v>
      </c>
      <c r="D232" s="728" t="s">
        <v>467</v>
      </c>
      <c r="E232" s="728" t="s">
        <v>463</v>
      </c>
      <c r="F232" s="727" t="s">
        <v>463</v>
      </c>
      <c r="G232" s="728" t="s">
        <v>223</v>
      </c>
      <c r="H232" s="727"/>
      <c r="I232" s="727"/>
      <c r="J232" s="727" t="s">
        <v>172</v>
      </c>
      <c r="K232" s="729">
        <v>262</v>
      </c>
      <c r="L232" s="728" t="s">
        <v>175</v>
      </c>
      <c r="M232" s="728" t="s">
        <v>176</v>
      </c>
      <c r="N232" s="727"/>
      <c r="O232" s="727"/>
      <c r="P232" s="727"/>
      <c r="Q232" s="727"/>
      <c r="R232" s="730"/>
      <c r="S232" s="727"/>
      <c r="T232" s="728" t="s">
        <v>179</v>
      </c>
    </row>
    <row r="233" ht="34.5">
      <c r="A233" s="728" t="s">
        <v>327</v>
      </c>
      <c r="B233" s="728" t="s">
        <v>328</v>
      </c>
      <c r="C233" s="728" t="s">
        <v>462</v>
      </c>
      <c r="D233" s="728" t="s">
        <v>467</v>
      </c>
      <c r="E233" s="728" t="s">
        <v>463</v>
      </c>
      <c r="F233" s="727" t="s">
        <v>463</v>
      </c>
      <c r="G233" s="728" t="s">
        <v>223</v>
      </c>
      <c r="H233" s="727" t="s">
        <v>27</v>
      </c>
      <c r="I233" s="727"/>
      <c r="J233" s="727" t="s">
        <v>471</v>
      </c>
      <c r="K233" s="729">
        <v>7127866</v>
      </c>
      <c r="L233" s="728" t="s">
        <v>175</v>
      </c>
      <c r="M233" s="728" t="s">
        <v>176</v>
      </c>
      <c r="N233" s="727"/>
      <c r="O233" s="727"/>
      <c r="P233" s="727"/>
      <c r="Q233" s="727"/>
      <c r="R233" s="730" t="s">
        <v>474</v>
      </c>
      <c r="S233" s="727" t="s">
        <v>332</v>
      </c>
      <c r="T233" s="728" t="s">
        <v>179</v>
      </c>
    </row>
    <row r="234" ht="34.5">
      <c r="A234" s="728" t="s">
        <v>333</v>
      </c>
      <c r="B234" s="728" t="s">
        <v>334</v>
      </c>
      <c r="C234" s="728" t="s">
        <v>462</v>
      </c>
      <c r="D234" s="728" t="s">
        <v>467</v>
      </c>
      <c r="E234" s="728" t="s">
        <v>463</v>
      </c>
      <c r="F234" s="727" t="s">
        <v>463</v>
      </c>
      <c r="G234" s="728" t="s">
        <v>223</v>
      </c>
      <c r="H234" s="727"/>
      <c r="I234" s="727"/>
      <c r="J234" s="727" t="s">
        <v>468</v>
      </c>
      <c r="K234" s="729">
        <v>6240818</v>
      </c>
      <c r="L234" s="728" t="s">
        <v>175</v>
      </c>
      <c r="M234" s="728" t="s">
        <v>176</v>
      </c>
      <c r="N234" s="727"/>
      <c r="O234" s="727"/>
      <c r="P234" s="727"/>
      <c r="Q234" s="727"/>
      <c r="R234" s="730"/>
      <c r="S234" s="727"/>
      <c r="T234" s="728" t="s">
        <v>179</v>
      </c>
    </row>
    <row r="235" ht="34.5">
      <c r="A235" s="728" t="s">
        <v>333</v>
      </c>
      <c r="B235" s="728" t="s">
        <v>334</v>
      </c>
      <c r="C235" s="728" t="s">
        <v>462</v>
      </c>
      <c r="D235" s="728" t="s">
        <v>467</v>
      </c>
      <c r="E235" s="728" t="s">
        <v>463</v>
      </c>
      <c r="F235" s="727" t="s">
        <v>463</v>
      </c>
      <c r="G235" s="728" t="s">
        <v>223</v>
      </c>
      <c r="H235" s="727"/>
      <c r="I235" s="727"/>
      <c r="J235" s="727" t="s">
        <v>475</v>
      </c>
      <c r="K235" s="729">
        <v>368327</v>
      </c>
      <c r="L235" s="728" t="s">
        <v>175</v>
      </c>
      <c r="M235" s="728" t="s">
        <v>176</v>
      </c>
      <c r="N235" s="727"/>
      <c r="O235" s="727"/>
      <c r="P235" s="727"/>
      <c r="Q235" s="727"/>
      <c r="R235" s="730"/>
      <c r="S235" s="727"/>
      <c r="T235" s="728" t="s">
        <v>179</v>
      </c>
    </row>
    <row r="236" ht="34.5">
      <c r="A236" s="728" t="s">
        <v>333</v>
      </c>
      <c r="B236" s="728" t="s">
        <v>334</v>
      </c>
      <c r="C236" s="728" t="s">
        <v>462</v>
      </c>
      <c r="D236" s="728" t="s">
        <v>467</v>
      </c>
      <c r="E236" s="728" t="s">
        <v>463</v>
      </c>
      <c r="F236" s="727" t="s">
        <v>463</v>
      </c>
      <c r="G236" s="728" t="s">
        <v>223</v>
      </c>
      <c r="H236" s="727"/>
      <c r="I236" s="727"/>
      <c r="J236" s="727" t="s">
        <v>476</v>
      </c>
      <c r="K236" s="729">
        <v>352888</v>
      </c>
      <c r="L236" s="728" t="s">
        <v>175</v>
      </c>
      <c r="M236" s="728" t="s">
        <v>176</v>
      </c>
      <c r="N236" s="727"/>
      <c r="O236" s="727"/>
      <c r="P236" s="727"/>
      <c r="Q236" s="727"/>
      <c r="R236" s="730"/>
      <c r="S236" s="727"/>
      <c r="T236" s="728" t="s">
        <v>179</v>
      </c>
    </row>
    <row r="237" ht="34.5">
      <c r="A237" s="728" t="s">
        <v>333</v>
      </c>
      <c r="B237" s="728" t="s">
        <v>334</v>
      </c>
      <c r="C237" s="728" t="s">
        <v>462</v>
      </c>
      <c r="D237" s="728" t="s">
        <v>467</v>
      </c>
      <c r="E237" s="728" t="s">
        <v>463</v>
      </c>
      <c r="F237" s="727" t="s">
        <v>463</v>
      </c>
      <c r="G237" s="728" t="s">
        <v>223</v>
      </c>
      <c r="H237" s="727"/>
      <c r="I237" s="727"/>
      <c r="J237" s="727" t="s">
        <v>172</v>
      </c>
      <c r="K237" s="729">
        <v>27131</v>
      </c>
      <c r="L237" s="728" t="s">
        <v>175</v>
      </c>
      <c r="M237" s="728" t="s">
        <v>176</v>
      </c>
      <c r="N237" s="727"/>
      <c r="O237" s="727"/>
      <c r="P237" s="727"/>
      <c r="Q237" s="727"/>
      <c r="R237" s="730"/>
      <c r="S237" s="727"/>
      <c r="T237" s="728" t="s">
        <v>179</v>
      </c>
    </row>
    <row r="238" ht="34.5">
      <c r="A238" s="728" t="s">
        <v>333</v>
      </c>
      <c r="B238" s="728" t="s">
        <v>334</v>
      </c>
      <c r="C238" s="728" t="s">
        <v>462</v>
      </c>
      <c r="D238" s="728" t="s">
        <v>467</v>
      </c>
      <c r="E238" s="728" t="s">
        <v>463</v>
      </c>
      <c r="F238" s="727" t="s">
        <v>463</v>
      </c>
      <c r="G238" s="728" t="s">
        <v>223</v>
      </c>
      <c r="H238" s="727" t="s">
        <v>27</v>
      </c>
      <c r="I238" s="727"/>
      <c r="J238" s="727" t="s">
        <v>471</v>
      </c>
      <c r="K238" s="729">
        <v>6989164</v>
      </c>
      <c r="L238" s="728" t="s">
        <v>175</v>
      </c>
      <c r="M238" s="728" t="s">
        <v>176</v>
      </c>
      <c r="N238" s="727"/>
      <c r="O238" s="727"/>
      <c r="P238" s="727"/>
      <c r="Q238" s="727"/>
      <c r="R238" s="730" t="s">
        <v>477</v>
      </c>
      <c r="S238" s="727" t="s">
        <v>332</v>
      </c>
      <c r="T238" s="728" t="s">
        <v>179</v>
      </c>
    </row>
    <row r="239" ht="34.5">
      <c r="A239" s="728" t="s">
        <v>338</v>
      </c>
      <c r="B239" s="728" t="s">
        <v>339</v>
      </c>
      <c r="C239" s="728" t="s">
        <v>450</v>
      </c>
      <c r="D239" s="728" t="s">
        <v>467</v>
      </c>
      <c r="E239" s="728" t="s">
        <v>463</v>
      </c>
      <c r="F239" s="727" t="s">
        <v>463</v>
      </c>
      <c r="G239" s="728" t="s">
        <v>223</v>
      </c>
      <c r="H239" s="727"/>
      <c r="I239" s="727"/>
      <c r="J239" s="727" t="s">
        <v>468</v>
      </c>
      <c r="K239" s="729">
        <v>7704815</v>
      </c>
      <c r="L239" s="728" t="s">
        <v>175</v>
      </c>
      <c r="M239" s="728" t="s">
        <v>176</v>
      </c>
      <c r="N239" s="727"/>
      <c r="O239" s="727"/>
      <c r="P239" s="727"/>
      <c r="Q239" s="727"/>
      <c r="R239" s="730"/>
      <c r="S239" s="727"/>
      <c r="T239" s="728" t="s">
        <v>179</v>
      </c>
    </row>
    <row r="240" ht="34.5">
      <c r="A240" s="728" t="s">
        <v>338</v>
      </c>
      <c r="B240" s="728" t="s">
        <v>339</v>
      </c>
      <c r="C240" s="728" t="s">
        <v>450</v>
      </c>
      <c r="D240" s="728" t="s">
        <v>467</v>
      </c>
      <c r="E240" s="728" t="s">
        <v>463</v>
      </c>
      <c r="F240" s="727" t="s">
        <v>463</v>
      </c>
      <c r="G240" s="728" t="s">
        <v>223</v>
      </c>
      <c r="H240" s="727"/>
      <c r="I240" s="727"/>
      <c r="J240" s="727" t="s">
        <v>475</v>
      </c>
      <c r="K240" s="729">
        <v>341108</v>
      </c>
      <c r="L240" s="728" t="s">
        <v>175</v>
      </c>
      <c r="M240" s="728" t="s">
        <v>176</v>
      </c>
      <c r="N240" s="727"/>
      <c r="O240" s="727"/>
      <c r="P240" s="727"/>
      <c r="Q240" s="727"/>
      <c r="R240" s="730"/>
      <c r="S240" s="727"/>
      <c r="T240" s="728" t="s">
        <v>179</v>
      </c>
    </row>
    <row r="241" ht="34.5">
      <c r="A241" s="728" t="s">
        <v>338</v>
      </c>
      <c r="B241" s="728" t="s">
        <v>339</v>
      </c>
      <c r="C241" s="728" t="s">
        <v>450</v>
      </c>
      <c r="D241" s="728" t="s">
        <v>467</v>
      </c>
      <c r="E241" s="728" t="s">
        <v>463</v>
      </c>
      <c r="F241" s="727" t="s">
        <v>463</v>
      </c>
      <c r="G241" s="728" t="s">
        <v>223</v>
      </c>
      <c r="H241" s="727"/>
      <c r="I241" s="727"/>
      <c r="J241" s="727" t="s">
        <v>476</v>
      </c>
      <c r="K241" s="729">
        <v>367656</v>
      </c>
      <c r="L241" s="728" t="s">
        <v>175</v>
      </c>
      <c r="M241" s="728" t="s">
        <v>176</v>
      </c>
      <c r="N241" s="727"/>
      <c r="O241" s="727"/>
      <c r="P241" s="727"/>
      <c r="Q241" s="727"/>
      <c r="R241" s="730"/>
      <c r="S241" s="727"/>
      <c r="T241" s="728" t="s">
        <v>179</v>
      </c>
    </row>
    <row r="242" ht="34.5">
      <c r="A242" s="728" t="s">
        <v>338</v>
      </c>
      <c r="B242" s="728" t="s">
        <v>339</v>
      </c>
      <c r="C242" s="728" t="s">
        <v>450</v>
      </c>
      <c r="D242" s="728" t="s">
        <v>467</v>
      </c>
      <c r="E242" s="728" t="s">
        <v>463</v>
      </c>
      <c r="F242" s="727" t="s">
        <v>463</v>
      </c>
      <c r="G242" s="728" t="s">
        <v>223</v>
      </c>
      <c r="H242" s="727"/>
      <c r="I242" s="727"/>
      <c r="J242" s="727" t="s">
        <v>172</v>
      </c>
      <c r="K242" s="729">
        <v>27142</v>
      </c>
      <c r="L242" s="728" t="s">
        <v>175</v>
      </c>
      <c r="M242" s="728" t="s">
        <v>176</v>
      </c>
      <c r="N242" s="727"/>
      <c r="O242" s="727"/>
      <c r="P242" s="727"/>
      <c r="Q242" s="727"/>
      <c r="R242" s="730"/>
      <c r="S242" s="727"/>
      <c r="T242" s="728" t="s">
        <v>179</v>
      </c>
    </row>
    <row r="243" ht="34.5">
      <c r="A243" s="728" t="s">
        <v>338</v>
      </c>
      <c r="B243" s="728" t="s">
        <v>339</v>
      </c>
      <c r="C243" s="728" t="s">
        <v>450</v>
      </c>
      <c r="D243" s="728" t="s">
        <v>467</v>
      </c>
      <c r="E243" s="728" t="s">
        <v>463</v>
      </c>
      <c r="F243" s="727" t="s">
        <v>463</v>
      </c>
      <c r="G243" s="728" t="s">
        <v>223</v>
      </c>
      <c r="H243" s="727" t="s">
        <v>27</v>
      </c>
      <c r="I243" s="727"/>
      <c r="J243" s="727" t="s">
        <v>471</v>
      </c>
      <c r="K243" s="729">
        <v>8440721</v>
      </c>
      <c r="L243" s="728" t="s">
        <v>175</v>
      </c>
      <c r="M243" s="728" t="s">
        <v>176</v>
      </c>
      <c r="N243" s="727"/>
      <c r="O243" s="727"/>
      <c r="P243" s="727"/>
      <c r="Q243" s="727"/>
      <c r="R243" s="730" t="s">
        <v>478</v>
      </c>
      <c r="S243" s="727" t="s">
        <v>332</v>
      </c>
      <c r="T243" s="728" t="s">
        <v>179</v>
      </c>
    </row>
    <row r="244" ht="34.5">
      <c r="A244" s="728" t="s">
        <v>167</v>
      </c>
      <c r="B244" s="728" t="s">
        <v>168</v>
      </c>
      <c r="C244" s="728" t="s">
        <v>479</v>
      </c>
      <c r="D244" s="728" t="s">
        <v>170</v>
      </c>
      <c r="E244" s="728" t="s">
        <v>480</v>
      </c>
      <c r="F244" s="727" t="s">
        <v>480</v>
      </c>
      <c r="G244" s="728" t="s">
        <v>231</v>
      </c>
      <c r="H244" s="727"/>
      <c r="I244" s="727" t="s">
        <v>481</v>
      </c>
      <c r="J244" s="727" t="s">
        <v>482</v>
      </c>
      <c r="K244" s="729"/>
      <c r="L244" s="728" t="s">
        <v>175</v>
      </c>
      <c r="M244" s="728" t="s">
        <v>176</v>
      </c>
      <c r="N244" s="727"/>
      <c r="O244" s="727"/>
      <c r="P244" s="727" t="s">
        <v>483</v>
      </c>
      <c r="Q244" s="727"/>
      <c r="R244" s="730"/>
      <c r="S244" s="727"/>
      <c r="T244" s="728" t="s">
        <v>179</v>
      </c>
    </row>
    <row r="245" ht="34.5">
      <c r="A245" s="728" t="s">
        <v>326</v>
      </c>
      <c r="B245" s="728" t="s">
        <v>168</v>
      </c>
      <c r="C245" s="728" t="s">
        <v>479</v>
      </c>
      <c r="D245" s="728" t="s">
        <v>484</v>
      </c>
      <c r="E245" s="728" t="s">
        <v>480</v>
      </c>
      <c r="F245" s="727" t="s">
        <v>480</v>
      </c>
      <c r="G245" s="728" t="s">
        <v>231</v>
      </c>
      <c r="H245" s="727"/>
      <c r="I245" s="727" t="s">
        <v>485</v>
      </c>
      <c r="J245" s="727" t="s">
        <v>486</v>
      </c>
      <c r="K245" s="729">
        <v>335085361</v>
      </c>
      <c r="L245" s="728" t="s">
        <v>175</v>
      </c>
      <c r="M245" s="728" t="s">
        <v>176</v>
      </c>
      <c r="N245" s="727"/>
      <c r="O245" s="727"/>
      <c r="P245" s="727"/>
      <c r="Q245" s="727"/>
      <c r="R245" s="730"/>
      <c r="S245" s="727" t="s">
        <v>487</v>
      </c>
      <c r="T245" s="728" t="s">
        <v>179</v>
      </c>
    </row>
    <row r="246" ht="34.5">
      <c r="A246" s="728" t="s">
        <v>326</v>
      </c>
      <c r="B246" s="728" t="s">
        <v>168</v>
      </c>
      <c r="C246" s="728" t="s">
        <v>479</v>
      </c>
      <c r="D246" s="728" t="s">
        <v>484</v>
      </c>
      <c r="E246" s="728" t="s">
        <v>480</v>
      </c>
      <c r="F246" s="727" t="s">
        <v>480</v>
      </c>
      <c r="G246" s="728" t="s">
        <v>231</v>
      </c>
      <c r="H246" s="727"/>
      <c r="I246" s="727" t="s">
        <v>485</v>
      </c>
      <c r="J246" s="727" t="s">
        <v>488</v>
      </c>
      <c r="K246" s="729">
        <v>282082</v>
      </c>
      <c r="L246" s="728" t="s">
        <v>175</v>
      </c>
      <c r="M246" s="728" t="s">
        <v>176</v>
      </c>
      <c r="N246" s="727"/>
      <c r="O246" s="727"/>
      <c r="P246" s="727"/>
      <c r="Q246" s="727" t="s">
        <v>489</v>
      </c>
      <c r="R246" s="730"/>
      <c r="S246" s="727" t="s">
        <v>487</v>
      </c>
      <c r="T246" s="728" t="s">
        <v>179</v>
      </c>
    </row>
    <row r="247" ht="34.5">
      <c r="A247" s="728" t="s">
        <v>326</v>
      </c>
      <c r="B247" s="728" t="s">
        <v>168</v>
      </c>
      <c r="C247" s="728" t="s">
        <v>479</v>
      </c>
      <c r="D247" s="728" t="s">
        <v>484</v>
      </c>
      <c r="E247" s="728" t="s">
        <v>480</v>
      </c>
      <c r="F247" s="727" t="s">
        <v>480</v>
      </c>
      <c r="G247" s="728" t="s">
        <v>231</v>
      </c>
      <c r="H247" s="727"/>
      <c r="I247" s="727" t="s">
        <v>485</v>
      </c>
      <c r="J247" s="727" t="s">
        <v>490</v>
      </c>
      <c r="K247" s="729">
        <v>-35</v>
      </c>
      <c r="L247" s="728" t="s">
        <v>175</v>
      </c>
      <c r="M247" s="728" t="s">
        <v>176</v>
      </c>
      <c r="N247" s="727"/>
      <c r="O247" s="727"/>
      <c r="P247" s="727"/>
      <c r="Q247" s="727"/>
      <c r="R247" s="730"/>
      <c r="S247" s="727" t="s">
        <v>487</v>
      </c>
      <c r="T247" s="728" t="s">
        <v>179</v>
      </c>
    </row>
    <row r="248" ht="34.5">
      <c r="A248" s="728" t="s">
        <v>326</v>
      </c>
      <c r="B248" s="728" t="s">
        <v>168</v>
      </c>
      <c r="C248" s="728" t="s">
        <v>479</v>
      </c>
      <c r="D248" s="728" t="s">
        <v>484</v>
      </c>
      <c r="E248" s="728" t="s">
        <v>480</v>
      </c>
      <c r="F248" s="727" t="s">
        <v>480</v>
      </c>
      <c r="G248" s="728" t="s">
        <v>231</v>
      </c>
      <c r="H248" s="727"/>
      <c r="I248" s="727" t="s">
        <v>485</v>
      </c>
      <c r="J248" s="727" t="s">
        <v>491</v>
      </c>
      <c r="K248" s="729">
        <v>335367408</v>
      </c>
      <c r="L248" s="728" t="s">
        <v>175</v>
      </c>
      <c r="M248" s="728" t="s">
        <v>176</v>
      </c>
      <c r="N248" s="727"/>
      <c r="O248" s="727"/>
      <c r="P248" s="727"/>
      <c r="Q248" s="727"/>
      <c r="R248" s="730"/>
      <c r="S248" s="727" t="s">
        <v>487</v>
      </c>
      <c r="T248" s="728" t="s">
        <v>179</v>
      </c>
    </row>
    <row r="249" ht="34.5">
      <c r="A249" s="728" t="s">
        <v>326</v>
      </c>
      <c r="B249" s="728" t="s">
        <v>168</v>
      </c>
      <c r="C249" s="728" t="s">
        <v>479</v>
      </c>
      <c r="D249" s="728" t="s">
        <v>484</v>
      </c>
      <c r="E249" s="728" t="s">
        <v>480</v>
      </c>
      <c r="F249" s="727" t="s">
        <v>480</v>
      </c>
      <c r="G249" s="728" t="s">
        <v>231</v>
      </c>
      <c r="H249" s="727"/>
      <c r="I249" s="727" t="s">
        <v>485</v>
      </c>
      <c r="J249" s="727" t="s">
        <v>492</v>
      </c>
      <c r="K249" s="729">
        <v>-141088441</v>
      </c>
      <c r="L249" s="728" t="s">
        <v>175</v>
      </c>
      <c r="M249" s="728" t="s">
        <v>176</v>
      </c>
      <c r="N249" s="727"/>
      <c r="O249" s="727"/>
      <c r="P249" s="727"/>
      <c r="Q249" s="727"/>
      <c r="R249" s="730"/>
      <c r="S249" s="727" t="s">
        <v>487</v>
      </c>
      <c r="T249" s="728" t="s">
        <v>179</v>
      </c>
    </row>
    <row r="250" ht="34.5">
      <c r="A250" s="728" t="s">
        <v>326</v>
      </c>
      <c r="B250" s="728" t="s">
        <v>168</v>
      </c>
      <c r="C250" s="728" t="s">
        <v>479</v>
      </c>
      <c r="D250" s="728" t="s">
        <v>484</v>
      </c>
      <c r="E250" s="728" t="s">
        <v>480</v>
      </c>
      <c r="F250" s="727" t="s">
        <v>480</v>
      </c>
      <c r="G250" s="728" t="s">
        <v>231</v>
      </c>
      <c r="H250" s="727"/>
      <c r="I250" s="727" t="s">
        <v>485</v>
      </c>
      <c r="J250" s="727" t="s">
        <v>493</v>
      </c>
      <c r="K250" s="729">
        <v>-13967896</v>
      </c>
      <c r="L250" s="728" t="s">
        <v>175</v>
      </c>
      <c r="M250" s="728" t="s">
        <v>176</v>
      </c>
      <c r="N250" s="727"/>
      <c r="O250" s="727"/>
      <c r="P250" s="727"/>
      <c r="Q250" s="727" t="s">
        <v>494</v>
      </c>
      <c r="R250" s="730"/>
      <c r="S250" s="727" t="s">
        <v>487</v>
      </c>
      <c r="T250" s="728" t="s">
        <v>179</v>
      </c>
    </row>
    <row r="251" ht="34.5">
      <c r="A251" s="728" t="s">
        <v>326</v>
      </c>
      <c r="B251" s="728" t="s">
        <v>168</v>
      </c>
      <c r="C251" s="728" t="s">
        <v>479</v>
      </c>
      <c r="D251" s="728" t="s">
        <v>484</v>
      </c>
      <c r="E251" s="728" t="s">
        <v>480</v>
      </c>
      <c r="F251" s="727" t="s">
        <v>480</v>
      </c>
      <c r="G251" s="728" t="s">
        <v>231</v>
      </c>
      <c r="H251" s="727"/>
      <c r="I251" s="727" t="s">
        <v>485</v>
      </c>
      <c r="J251" s="727" t="s">
        <v>495</v>
      </c>
      <c r="K251" s="729">
        <v>-155056337</v>
      </c>
      <c r="L251" s="728" t="s">
        <v>175</v>
      </c>
      <c r="M251" s="728" t="s">
        <v>176</v>
      </c>
      <c r="N251" s="727"/>
      <c r="O251" s="727"/>
      <c r="P251" s="727"/>
      <c r="Q251" s="727"/>
      <c r="R251" s="730"/>
      <c r="S251" s="727" t="s">
        <v>487</v>
      </c>
      <c r="T251" s="728" t="s">
        <v>179</v>
      </c>
    </row>
    <row r="252" ht="34.5">
      <c r="A252" s="728" t="s">
        <v>326</v>
      </c>
      <c r="B252" s="728" t="s">
        <v>168</v>
      </c>
      <c r="C252" s="728" t="s">
        <v>479</v>
      </c>
      <c r="D252" s="728" t="s">
        <v>484</v>
      </c>
      <c r="E252" s="728" t="s">
        <v>480</v>
      </c>
      <c r="F252" s="727" t="s">
        <v>480</v>
      </c>
      <c r="G252" s="728" t="s">
        <v>231</v>
      </c>
      <c r="H252" s="727" t="s">
        <v>32</v>
      </c>
      <c r="I252" s="727" t="s">
        <v>485</v>
      </c>
      <c r="J252" s="727" t="s">
        <v>496</v>
      </c>
      <c r="K252" s="729">
        <v>180311071</v>
      </c>
      <c r="L252" s="728" t="s">
        <v>175</v>
      </c>
      <c r="M252" s="728" t="s">
        <v>176</v>
      </c>
      <c r="N252" s="727"/>
      <c r="O252" s="727"/>
      <c r="P252" s="727"/>
      <c r="Q252" s="727"/>
      <c r="R252" s="730" t="s">
        <v>497</v>
      </c>
      <c r="S252" s="727" t="s">
        <v>487</v>
      </c>
      <c r="T252" s="728" t="s">
        <v>179</v>
      </c>
    </row>
    <row r="253" ht="34.5">
      <c r="A253" s="728" t="s">
        <v>327</v>
      </c>
      <c r="B253" s="728" t="s">
        <v>328</v>
      </c>
      <c r="C253" s="728" t="s">
        <v>479</v>
      </c>
      <c r="D253" s="728" t="s">
        <v>484</v>
      </c>
      <c r="E253" s="728" t="s">
        <v>480</v>
      </c>
      <c r="F253" s="727" t="s">
        <v>480</v>
      </c>
      <c r="G253" s="728" t="s">
        <v>231</v>
      </c>
      <c r="H253" s="727"/>
      <c r="I253" s="727" t="s">
        <v>498</v>
      </c>
      <c r="J253" s="727" t="s">
        <v>499</v>
      </c>
      <c r="K253" s="729">
        <v>330011544</v>
      </c>
      <c r="L253" s="728" t="s">
        <v>175</v>
      </c>
      <c r="M253" s="728" t="s">
        <v>176</v>
      </c>
      <c r="N253" s="727"/>
      <c r="O253" s="727"/>
      <c r="P253" s="727"/>
      <c r="Q253" s="727"/>
      <c r="R253" s="730"/>
      <c r="S253" s="727" t="s">
        <v>487</v>
      </c>
      <c r="T253" s="728" t="s">
        <v>179</v>
      </c>
    </row>
    <row r="254" ht="34.5">
      <c r="A254" s="728" t="s">
        <v>327</v>
      </c>
      <c r="B254" s="728" t="s">
        <v>328</v>
      </c>
      <c r="C254" s="728" t="s">
        <v>479</v>
      </c>
      <c r="D254" s="728" t="s">
        <v>484</v>
      </c>
      <c r="E254" s="728" t="s">
        <v>480</v>
      </c>
      <c r="F254" s="727" t="s">
        <v>480</v>
      </c>
      <c r="G254" s="728" t="s">
        <v>231</v>
      </c>
      <c r="H254" s="727"/>
      <c r="I254" s="727" t="s">
        <v>498</v>
      </c>
      <c r="J254" s="727" t="s">
        <v>488</v>
      </c>
      <c r="K254" s="729">
        <v>5097893</v>
      </c>
      <c r="L254" s="728" t="s">
        <v>175</v>
      </c>
      <c r="M254" s="728" t="s">
        <v>176</v>
      </c>
      <c r="N254" s="727"/>
      <c r="O254" s="727"/>
      <c r="P254" s="727"/>
      <c r="Q254" s="727" t="s">
        <v>500</v>
      </c>
      <c r="R254" s="730"/>
      <c r="S254" s="727" t="s">
        <v>487</v>
      </c>
      <c r="T254" s="728" t="s">
        <v>179</v>
      </c>
    </row>
    <row r="255" ht="34.5">
      <c r="A255" s="728" t="s">
        <v>327</v>
      </c>
      <c r="B255" s="728" t="s">
        <v>328</v>
      </c>
      <c r="C255" s="728" t="s">
        <v>479</v>
      </c>
      <c r="D255" s="728" t="s">
        <v>484</v>
      </c>
      <c r="E255" s="728" t="s">
        <v>480</v>
      </c>
      <c r="F255" s="727" t="s">
        <v>480</v>
      </c>
      <c r="G255" s="728" t="s">
        <v>231</v>
      </c>
      <c r="H255" s="727"/>
      <c r="I255" s="727" t="s">
        <v>498</v>
      </c>
      <c r="J255" s="727" t="s">
        <v>501</v>
      </c>
      <c r="K255" s="729">
        <v>-24076</v>
      </c>
      <c r="L255" s="728" t="s">
        <v>175</v>
      </c>
      <c r="M255" s="728" t="s">
        <v>176</v>
      </c>
      <c r="N255" s="727"/>
      <c r="O255" s="727"/>
      <c r="P255" s="727"/>
      <c r="Q255" s="727"/>
      <c r="R255" s="730"/>
      <c r="S255" s="727" t="s">
        <v>487</v>
      </c>
      <c r="T255" s="728" t="s">
        <v>179</v>
      </c>
    </row>
    <row r="256" ht="34.5">
      <c r="A256" s="728" t="s">
        <v>327</v>
      </c>
      <c r="B256" s="728" t="s">
        <v>328</v>
      </c>
      <c r="C256" s="728" t="s">
        <v>479</v>
      </c>
      <c r="D256" s="728" t="s">
        <v>484</v>
      </c>
      <c r="E256" s="728" t="s">
        <v>480</v>
      </c>
      <c r="F256" s="727" t="s">
        <v>480</v>
      </c>
      <c r="G256" s="728" t="s">
        <v>231</v>
      </c>
      <c r="H256" s="727"/>
      <c r="I256" s="727" t="s">
        <v>498</v>
      </c>
      <c r="J256" s="727" t="s">
        <v>502</v>
      </c>
      <c r="K256" s="729">
        <v>335085361</v>
      </c>
      <c r="L256" s="728" t="s">
        <v>175</v>
      </c>
      <c r="M256" s="728" t="s">
        <v>176</v>
      </c>
      <c r="N256" s="727"/>
      <c r="O256" s="727"/>
      <c r="P256" s="727"/>
      <c r="Q256" s="727"/>
      <c r="R256" s="730"/>
      <c r="S256" s="727" t="s">
        <v>487</v>
      </c>
      <c r="T256" s="728" t="s">
        <v>179</v>
      </c>
    </row>
    <row r="257" ht="34.5">
      <c r="A257" s="728" t="s">
        <v>327</v>
      </c>
      <c r="B257" s="728" t="s">
        <v>328</v>
      </c>
      <c r="C257" s="728" t="s">
        <v>479</v>
      </c>
      <c r="D257" s="728" t="s">
        <v>484</v>
      </c>
      <c r="E257" s="728" t="s">
        <v>480</v>
      </c>
      <c r="F257" s="727" t="s">
        <v>480</v>
      </c>
      <c r="G257" s="728" t="s">
        <v>231</v>
      </c>
      <c r="H257" s="727"/>
      <c r="I257" s="727" t="s">
        <v>498</v>
      </c>
      <c r="J257" s="727" t="s">
        <v>503</v>
      </c>
      <c r="K257" s="729">
        <v>-127162848</v>
      </c>
      <c r="L257" s="728" t="s">
        <v>175</v>
      </c>
      <c r="M257" s="728" t="s">
        <v>176</v>
      </c>
      <c r="N257" s="727"/>
      <c r="O257" s="727"/>
      <c r="P257" s="727"/>
      <c r="Q257" s="727"/>
      <c r="R257" s="730"/>
      <c r="S257" s="727" t="s">
        <v>487</v>
      </c>
      <c r="T257" s="728" t="s">
        <v>179</v>
      </c>
    </row>
    <row r="258" ht="34.5">
      <c r="A258" s="728" t="s">
        <v>327</v>
      </c>
      <c r="B258" s="728" t="s">
        <v>328</v>
      </c>
      <c r="C258" s="728" t="s">
        <v>479</v>
      </c>
      <c r="D258" s="728" t="s">
        <v>484</v>
      </c>
      <c r="E258" s="728" t="s">
        <v>480</v>
      </c>
      <c r="F258" s="727" t="s">
        <v>480</v>
      </c>
      <c r="G258" s="728" t="s">
        <v>231</v>
      </c>
      <c r="H258" s="727"/>
      <c r="I258" s="727" t="s">
        <v>498</v>
      </c>
      <c r="J258" s="727" t="s">
        <v>493</v>
      </c>
      <c r="K258" s="729">
        <v>-13925593</v>
      </c>
      <c r="L258" s="728" t="s">
        <v>175</v>
      </c>
      <c r="M258" s="728" t="s">
        <v>176</v>
      </c>
      <c r="N258" s="727"/>
      <c r="O258" s="727"/>
      <c r="P258" s="727"/>
      <c r="Q258" s="727"/>
      <c r="R258" s="730"/>
      <c r="S258" s="727" t="s">
        <v>487</v>
      </c>
      <c r="T258" s="728" t="s">
        <v>179</v>
      </c>
    </row>
    <row r="259" ht="34.5">
      <c r="A259" s="728" t="s">
        <v>327</v>
      </c>
      <c r="B259" s="728" t="s">
        <v>328</v>
      </c>
      <c r="C259" s="728" t="s">
        <v>479</v>
      </c>
      <c r="D259" s="728" t="s">
        <v>484</v>
      </c>
      <c r="E259" s="728" t="s">
        <v>480</v>
      </c>
      <c r="F259" s="727" t="s">
        <v>480</v>
      </c>
      <c r="G259" s="728" t="s">
        <v>231</v>
      </c>
      <c r="H259" s="727"/>
      <c r="I259" s="727" t="s">
        <v>498</v>
      </c>
      <c r="J259" s="727" t="s">
        <v>504</v>
      </c>
      <c r="K259" s="729">
        <v>-141088441</v>
      </c>
      <c r="L259" s="728" t="s">
        <v>175</v>
      </c>
      <c r="M259" s="728" t="s">
        <v>176</v>
      </c>
      <c r="N259" s="727"/>
      <c r="O259" s="727"/>
      <c r="P259" s="727"/>
      <c r="Q259" s="727"/>
      <c r="R259" s="730"/>
      <c r="S259" s="727" t="s">
        <v>487</v>
      </c>
      <c r="T259" s="728" t="s">
        <v>179</v>
      </c>
    </row>
    <row r="260" ht="34.5">
      <c r="A260" s="728" t="s">
        <v>327</v>
      </c>
      <c r="B260" s="728" t="s">
        <v>328</v>
      </c>
      <c r="C260" s="728" t="s">
        <v>479</v>
      </c>
      <c r="D260" s="728" t="s">
        <v>484</v>
      </c>
      <c r="E260" s="728" t="s">
        <v>480</v>
      </c>
      <c r="F260" s="727" t="s">
        <v>480</v>
      </c>
      <c r="G260" s="728" t="s">
        <v>231</v>
      </c>
      <c r="H260" s="727" t="s">
        <v>32</v>
      </c>
      <c r="I260" s="727" t="s">
        <v>498</v>
      </c>
      <c r="J260" s="727" t="s">
        <v>505</v>
      </c>
      <c r="K260" s="729">
        <v>193996920</v>
      </c>
      <c r="L260" s="728" t="s">
        <v>175</v>
      </c>
      <c r="M260" s="728" t="s">
        <v>176</v>
      </c>
      <c r="N260" s="727"/>
      <c r="O260" s="727"/>
      <c r="P260" s="727"/>
      <c r="Q260" s="727"/>
      <c r="R260" s="730" t="s">
        <v>506</v>
      </c>
      <c r="S260" s="727" t="s">
        <v>487</v>
      </c>
      <c r="T260" s="728" t="s">
        <v>179</v>
      </c>
    </row>
    <row r="261" ht="34.5">
      <c r="A261" s="728" t="s">
        <v>333</v>
      </c>
      <c r="B261" s="728" t="s">
        <v>334</v>
      </c>
      <c r="C261" s="728" t="s">
        <v>479</v>
      </c>
      <c r="D261" s="728" t="s">
        <v>484</v>
      </c>
      <c r="E261" s="728" t="s">
        <v>480</v>
      </c>
      <c r="F261" s="727" t="s">
        <v>480</v>
      </c>
      <c r="G261" s="728" t="s">
        <v>231</v>
      </c>
      <c r="H261" s="727"/>
      <c r="I261" s="727" t="s">
        <v>507</v>
      </c>
      <c r="J261" s="727" t="s">
        <v>508</v>
      </c>
      <c r="K261" s="729">
        <v>329455080</v>
      </c>
      <c r="L261" s="728" t="s">
        <v>175</v>
      </c>
      <c r="M261" s="728" t="s">
        <v>176</v>
      </c>
      <c r="N261" s="727"/>
      <c r="O261" s="727"/>
      <c r="P261" s="727"/>
      <c r="Q261" s="727"/>
      <c r="R261" s="730"/>
      <c r="S261" s="727" t="s">
        <v>487</v>
      </c>
      <c r="T261" s="728" t="s">
        <v>179</v>
      </c>
    </row>
    <row r="262" ht="34.5">
      <c r="A262" s="728" t="s">
        <v>333</v>
      </c>
      <c r="B262" s="728" t="s">
        <v>334</v>
      </c>
      <c r="C262" s="728" t="s">
        <v>479</v>
      </c>
      <c r="D262" s="728" t="s">
        <v>484</v>
      </c>
      <c r="E262" s="728" t="s">
        <v>480</v>
      </c>
      <c r="F262" s="727" t="s">
        <v>480</v>
      </c>
      <c r="G262" s="728" t="s">
        <v>231</v>
      </c>
      <c r="H262" s="727"/>
      <c r="I262" s="727" t="s">
        <v>507</v>
      </c>
      <c r="J262" s="727" t="s">
        <v>488</v>
      </c>
      <c r="K262" s="729">
        <v>556464</v>
      </c>
      <c r="L262" s="728" t="s">
        <v>175</v>
      </c>
      <c r="M262" s="728" t="s">
        <v>176</v>
      </c>
      <c r="N262" s="727"/>
      <c r="O262" s="727"/>
      <c r="P262" s="727"/>
      <c r="Q262" s="727" t="s">
        <v>509</v>
      </c>
      <c r="R262" s="730"/>
      <c r="S262" s="727" t="s">
        <v>487</v>
      </c>
      <c r="T262" s="728" t="s">
        <v>179</v>
      </c>
    </row>
    <row r="263" ht="34.5">
      <c r="A263" s="728" t="s">
        <v>333</v>
      </c>
      <c r="B263" s="728" t="s">
        <v>334</v>
      </c>
      <c r="C263" s="728" t="s">
        <v>479</v>
      </c>
      <c r="D263" s="728" t="s">
        <v>484</v>
      </c>
      <c r="E263" s="728" t="s">
        <v>480</v>
      </c>
      <c r="F263" s="727" t="s">
        <v>480</v>
      </c>
      <c r="G263" s="728" t="s">
        <v>231</v>
      </c>
      <c r="H263" s="727"/>
      <c r="I263" s="727" t="s">
        <v>507</v>
      </c>
      <c r="J263" s="727" t="s">
        <v>510</v>
      </c>
      <c r="K263" s="729">
        <v>330011544</v>
      </c>
      <c r="L263" s="728" t="s">
        <v>175</v>
      </c>
      <c r="M263" s="728" t="s">
        <v>176</v>
      </c>
      <c r="N263" s="727"/>
      <c r="O263" s="727"/>
      <c r="P263" s="727"/>
      <c r="Q263" s="727"/>
      <c r="R263" s="730"/>
      <c r="S263" s="727" t="s">
        <v>487</v>
      </c>
      <c r="T263" s="728" t="s">
        <v>179</v>
      </c>
    </row>
    <row r="264" ht="34.5">
      <c r="A264" s="728" t="s">
        <v>333</v>
      </c>
      <c r="B264" s="728" t="s">
        <v>334</v>
      </c>
      <c r="C264" s="728" t="s">
        <v>479</v>
      </c>
      <c r="D264" s="728" t="s">
        <v>484</v>
      </c>
      <c r="E264" s="728" t="s">
        <v>480</v>
      </c>
      <c r="F264" s="727" t="s">
        <v>480</v>
      </c>
      <c r="G264" s="728" t="s">
        <v>231</v>
      </c>
      <c r="H264" s="727"/>
      <c r="I264" s="727" t="s">
        <v>507</v>
      </c>
      <c r="J264" s="727" t="s">
        <v>511</v>
      </c>
      <c r="K264" s="729">
        <v>-113245917</v>
      </c>
      <c r="L264" s="728" t="s">
        <v>175</v>
      </c>
      <c r="M264" s="728" t="s">
        <v>176</v>
      </c>
      <c r="N264" s="727"/>
      <c r="O264" s="727"/>
      <c r="P264" s="727"/>
      <c r="Q264" s="727"/>
      <c r="R264" s="730"/>
      <c r="S264" s="727" t="s">
        <v>487</v>
      </c>
      <c r="T264" s="728" t="s">
        <v>179</v>
      </c>
    </row>
    <row r="265" ht="34.5">
      <c r="A265" s="728" t="s">
        <v>333</v>
      </c>
      <c r="B265" s="728" t="s">
        <v>334</v>
      </c>
      <c r="C265" s="728" t="s">
        <v>479</v>
      </c>
      <c r="D265" s="728" t="s">
        <v>484</v>
      </c>
      <c r="E265" s="728" t="s">
        <v>480</v>
      </c>
      <c r="F265" s="727" t="s">
        <v>480</v>
      </c>
      <c r="G265" s="728" t="s">
        <v>231</v>
      </c>
      <c r="H265" s="727"/>
      <c r="I265" s="727" t="s">
        <v>507</v>
      </c>
      <c r="J265" s="727" t="s">
        <v>493</v>
      </c>
      <c r="K265" s="729">
        <v>-13916931</v>
      </c>
      <c r="L265" s="728" t="s">
        <v>175</v>
      </c>
      <c r="M265" s="728" t="s">
        <v>176</v>
      </c>
      <c r="N265" s="727"/>
      <c r="O265" s="727"/>
      <c r="P265" s="727"/>
      <c r="Q265" s="727"/>
      <c r="R265" s="730"/>
      <c r="S265" s="727" t="s">
        <v>487</v>
      </c>
      <c r="T265" s="728" t="s">
        <v>179</v>
      </c>
    </row>
    <row r="266" ht="34.5">
      <c r="A266" s="728" t="s">
        <v>333</v>
      </c>
      <c r="B266" s="728" t="s">
        <v>334</v>
      </c>
      <c r="C266" s="728" t="s">
        <v>479</v>
      </c>
      <c r="D266" s="728" t="s">
        <v>484</v>
      </c>
      <c r="E266" s="728" t="s">
        <v>480</v>
      </c>
      <c r="F266" s="727" t="s">
        <v>480</v>
      </c>
      <c r="G266" s="728" t="s">
        <v>231</v>
      </c>
      <c r="H266" s="727"/>
      <c r="I266" s="727" t="s">
        <v>507</v>
      </c>
      <c r="J266" s="727" t="s">
        <v>512</v>
      </c>
      <c r="K266" s="729">
        <v>-127162848</v>
      </c>
      <c r="L266" s="728" t="s">
        <v>175</v>
      </c>
      <c r="M266" s="728" t="s">
        <v>176</v>
      </c>
      <c r="N266" s="727"/>
      <c r="O266" s="727"/>
      <c r="P266" s="727"/>
      <c r="Q266" s="727"/>
      <c r="R266" s="730"/>
      <c r="S266" s="727" t="s">
        <v>487</v>
      </c>
      <c r="T266" s="728" t="s">
        <v>179</v>
      </c>
    </row>
    <row r="267" ht="34.5">
      <c r="A267" s="728" t="s">
        <v>333</v>
      </c>
      <c r="B267" s="728" t="s">
        <v>334</v>
      </c>
      <c r="C267" s="728" t="s">
        <v>479</v>
      </c>
      <c r="D267" s="728" t="s">
        <v>484</v>
      </c>
      <c r="E267" s="728" t="s">
        <v>480</v>
      </c>
      <c r="F267" s="727" t="s">
        <v>480</v>
      </c>
      <c r="G267" s="728" t="s">
        <v>231</v>
      </c>
      <c r="H267" s="727" t="s">
        <v>32</v>
      </c>
      <c r="I267" s="727" t="s">
        <v>507</v>
      </c>
      <c r="J267" s="727" t="s">
        <v>513</v>
      </c>
      <c r="K267" s="729">
        <v>202848696</v>
      </c>
      <c r="L267" s="728" t="s">
        <v>175</v>
      </c>
      <c r="M267" s="728" t="s">
        <v>176</v>
      </c>
      <c r="N267" s="727"/>
      <c r="O267" s="727"/>
      <c r="P267" s="727"/>
      <c r="Q267" s="727"/>
      <c r="R267" s="730" t="s">
        <v>514</v>
      </c>
      <c r="S267" s="727" t="s">
        <v>487</v>
      </c>
      <c r="T267" s="728" t="s">
        <v>179</v>
      </c>
    </row>
    <row r="268" ht="34.5">
      <c r="A268" s="728" t="s">
        <v>167</v>
      </c>
      <c r="B268" s="728" t="s">
        <v>168</v>
      </c>
      <c r="C268" s="728" t="s">
        <v>479</v>
      </c>
      <c r="D268" s="728" t="s">
        <v>484</v>
      </c>
      <c r="E268" s="728" t="s">
        <v>480</v>
      </c>
      <c r="F268" s="727" t="s">
        <v>480</v>
      </c>
      <c r="G268" s="728" t="s">
        <v>231</v>
      </c>
      <c r="H268" s="727"/>
      <c r="I268" s="727" t="s">
        <v>515</v>
      </c>
      <c r="J268" s="727" t="s">
        <v>516</v>
      </c>
      <c r="K268" s="729"/>
      <c r="L268" s="728" t="s">
        <v>175</v>
      </c>
      <c r="M268" s="728" t="s">
        <v>176</v>
      </c>
      <c r="N268" s="727"/>
      <c r="O268" s="727"/>
      <c r="P268" s="727"/>
      <c r="Q268" s="727"/>
      <c r="R268" s="730"/>
      <c r="S268" s="727" t="s">
        <v>517</v>
      </c>
      <c r="T268" s="728" t="s">
        <v>518</v>
      </c>
    </row>
    <row r="269" ht="34.5">
      <c r="A269" s="728" t="s">
        <v>167</v>
      </c>
      <c r="B269" s="728" t="s">
        <v>168</v>
      </c>
      <c r="C269" s="728" t="s">
        <v>479</v>
      </c>
      <c r="D269" s="728" t="s">
        <v>484</v>
      </c>
      <c r="E269" s="728" t="s">
        <v>480</v>
      </c>
      <c r="F269" s="727" t="s">
        <v>480</v>
      </c>
      <c r="G269" s="728" t="s">
        <v>231</v>
      </c>
      <c r="H269" s="727" t="s">
        <v>32</v>
      </c>
      <c r="I269" s="727" t="s">
        <v>519</v>
      </c>
      <c r="J269" s="727" t="s">
        <v>520</v>
      </c>
      <c r="K269" s="729">
        <v>167298071</v>
      </c>
      <c r="L269" s="728" t="s">
        <v>175</v>
      </c>
      <c r="M269" s="728" t="s">
        <v>176</v>
      </c>
      <c r="N269" s="727"/>
      <c r="O269" s="727"/>
      <c r="P269" s="727"/>
      <c r="Q269" s="727"/>
      <c r="R269" s="730" t="s">
        <v>521</v>
      </c>
      <c r="S269" s="727" t="s">
        <v>522</v>
      </c>
      <c r="T269" s="728" t="s">
        <v>179</v>
      </c>
    </row>
    <row r="270" ht="34.5">
      <c r="A270" s="728" t="s">
        <v>338</v>
      </c>
      <c r="B270" s="728" t="s">
        <v>339</v>
      </c>
      <c r="C270" s="728" t="s">
        <v>462</v>
      </c>
      <c r="D270" s="728" t="s">
        <v>523</v>
      </c>
      <c r="E270" s="728" t="s">
        <v>480</v>
      </c>
      <c r="F270" s="727" t="s">
        <v>480</v>
      </c>
      <c r="G270" s="728" t="s">
        <v>231</v>
      </c>
      <c r="H270" s="727"/>
      <c r="I270" s="727" t="s">
        <v>524</v>
      </c>
      <c r="J270" s="727" t="s">
        <v>525</v>
      </c>
      <c r="K270" s="729"/>
      <c r="L270" s="728" t="s">
        <v>175</v>
      </c>
      <c r="M270" s="728" t="s">
        <v>176</v>
      </c>
      <c r="N270" s="727"/>
      <c r="O270" s="727"/>
      <c r="P270" s="727"/>
      <c r="Q270" s="727"/>
      <c r="R270" s="730"/>
      <c r="S270" s="727" t="s">
        <v>526</v>
      </c>
      <c r="T270" s="728" t="s">
        <v>518</v>
      </c>
    </row>
    <row r="271" ht="34.5">
      <c r="A271" s="728" t="s">
        <v>338</v>
      </c>
      <c r="B271" s="728" t="s">
        <v>339</v>
      </c>
      <c r="C271" s="728" t="s">
        <v>462</v>
      </c>
      <c r="D271" s="728" t="s">
        <v>523</v>
      </c>
      <c r="E271" s="728" t="s">
        <v>480</v>
      </c>
      <c r="F271" s="727" t="s">
        <v>480</v>
      </c>
      <c r="G271" s="728" t="s">
        <v>231</v>
      </c>
      <c r="H271" s="727" t="s">
        <v>32</v>
      </c>
      <c r="I271" s="727" t="s">
        <v>527</v>
      </c>
      <c r="J271" s="727" t="s">
        <v>528</v>
      </c>
      <c r="K271" s="729">
        <v>216209163</v>
      </c>
      <c r="L271" s="728" t="s">
        <v>175</v>
      </c>
      <c r="M271" s="728" t="s">
        <v>176</v>
      </c>
      <c r="N271" s="727"/>
      <c r="O271" s="727"/>
      <c r="P271" s="727"/>
      <c r="Q271" s="727"/>
      <c r="R271" s="730" t="s">
        <v>529</v>
      </c>
      <c r="S271" s="727" t="s">
        <v>530</v>
      </c>
      <c r="T271" s="728" t="s">
        <v>179</v>
      </c>
    </row>
    <row r="272" ht="34.5">
      <c r="A272" s="728" t="s">
        <v>167</v>
      </c>
      <c r="B272" s="728" t="s">
        <v>168</v>
      </c>
      <c r="C272" s="728" t="s">
        <v>531</v>
      </c>
      <c r="D272" s="728" t="s">
        <v>170</v>
      </c>
      <c r="E272" s="728" t="s">
        <v>532</v>
      </c>
      <c r="F272" s="727" t="s">
        <v>532</v>
      </c>
      <c r="G272" s="728" t="s">
        <v>254</v>
      </c>
      <c r="H272" s="727"/>
      <c r="I272" s="727" t="s">
        <v>533</v>
      </c>
      <c r="J272" s="727" t="s">
        <v>534</v>
      </c>
      <c r="K272" s="729"/>
      <c r="L272" s="728" t="s">
        <v>175</v>
      </c>
      <c r="M272" s="728" t="s">
        <v>176</v>
      </c>
      <c r="N272" s="727" t="s">
        <v>535</v>
      </c>
      <c r="O272" s="727"/>
      <c r="P272" s="727" t="s">
        <v>536</v>
      </c>
      <c r="Q272" s="727"/>
      <c r="R272" s="730"/>
      <c r="S272" s="727"/>
      <c r="T272" s="728" t="s">
        <v>179</v>
      </c>
    </row>
    <row r="273" ht="34.5">
      <c r="A273" s="728" t="s">
        <v>167</v>
      </c>
      <c r="B273" s="728" t="s">
        <v>168</v>
      </c>
      <c r="C273" s="728" t="s">
        <v>531</v>
      </c>
      <c r="D273" s="728" t="s">
        <v>537</v>
      </c>
      <c r="E273" s="728" t="s">
        <v>532</v>
      </c>
      <c r="F273" s="727" t="s">
        <v>532</v>
      </c>
      <c r="G273" s="728" t="s">
        <v>254</v>
      </c>
      <c r="H273" s="727"/>
      <c r="I273" s="727" t="s">
        <v>538</v>
      </c>
      <c r="J273" s="727" t="s">
        <v>539</v>
      </c>
      <c r="K273" s="729">
        <v>8687492</v>
      </c>
      <c r="L273" s="728" t="s">
        <v>175</v>
      </c>
      <c r="M273" s="728" t="s">
        <v>176</v>
      </c>
      <c r="N273" s="727"/>
      <c r="O273" s="727"/>
      <c r="P273" s="727"/>
      <c r="Q273" s="727"/>
      <c r="R273" s="730"/>
      <c r="S273" s="727"/>
      <c r="T273" s="728" t="s">
        <v>179</v>
      </c>
    </row>
    <row r="274" ht="34.5">
      <c r="A274" s="728" t="s">
        <v>167</v>
      </c>
      <c r="B274" s="728" t="s">
        <v>168</v>
      </c>
      <c r="C274" s="728" t="s">
        <v>531</v>
      </c>
      <c r="D274" s="728" t="s">
        <v>537</v>
      </c>
      <c r="E274" s="728" t="s">
        <v>532</v>
      </c>
      <c r="F274" s="727" t="s">
        <v>532</v>
      </c>
      <c r="G274" s="728" t="s">
        <v>254</v>
      </c>
      <c r="H274" s="727"/>
      <c r="I274" s="727" t="s">
        <v>538</v>
      </c>
      <c r="J274" s="727" t="s">
        <v>540</v>
      </c>
      <c r="K274" s="729">
        <v>-3266702</v>
      </c>
      <c r="L274" s="728" t="s">
        <v>175</v>
      </c>
      <c r="M274" s="728" t="s">
        <v>176</v>
      </c>
      <c r="N274" s="727"/>
      <c r="O274" s="727"/>
      <c r="P274" s="727"/>
      <c r="Q274" s="727"/>
      <c r="R274" s="730"/>
      <c r="S274" s="727"/>
      <c r="T274" s="728" t="s">
        <v>179</v>
      </c>
    </row>
    <row r="275" ht="34.5">
      <c r="A275" s="728" t="s">
        <v>167</v>
      </c>
      <c r="B275" s="728" t="s">
        <v>168</v>
      </c>
      <c r="C275" s="728" t="s">
        <v>531</v>
      </c>
      <c r="D275" s="728" t="s">
        <v>537</v>
      </c>
      <c r="E275" s="728" t="s">
        <v>532</v>
      </c>
      <c r="F275" s="727" t="s">
        <v>532</v>
      </c>
      <c r="G275" s="728" t="s">
        <v>254</v>
      </c>
      <c r="H275" s="727"/>
      <c r="I275" s="727" t="s">
        <v>538</v>
      </c>
      <c r="J275" s="727" t="s">
        <v>541</v>
      </c>
      <c r="K275" s="729">
        <v>5420790</v>
      </c>
      <c r="L275" s="728" t="s">
        <v>175</v>
      </c>
      <c r="M275" s="728" t="s">
        <v>176</v>
      </c>
      <c r="N275" s="727"/>
      <c r="O275" s="727"/>
      <c r="P275" s="727"/>
      <c r="Q275" s="727"/>
      <c r="R275" s="730"/>
      <c r="S275" s="727" t="s">
        <v>542</v>
      </c>
      <c r="T275" s="728" t="s">
        <v>179</v>
      </c>
    </row>
    <row r="276" ht="34.5">
      <c r="A276" s="728" t="s">
        <v>167</v>
      </c>
      <c r="B276" s="728" t="s">
        <v>168</v>
      </c>
      <c r="C276" s="728" t="s">
        <v>531</v>
      </c>
      <c r="D276" s="728" t="s">
        <v>537</v>
      </c>
      <c r="E276" s="728" t="s">
        <v>532</v>
      </c>
      <c r="F276" s="727" t="s">
        <v>532</v>
      </c>
      <c r="G276" s="728" t="s">
        <v>254</v>
      </c>
      <c r="H276" s="727" t="s">
        <v>543</v>
      </c>
      <c r="I276" s="727" t="s">
        <v>40</v>
      </c>
      <c r="J276" s="727" t="s">
        <v>544</v>
      </c>
      <c r="K276" s="729">
        <v>316983</v>
      </c>
      <c r="L276" s="728" t="s">
        <v>175</v>
      </c>
      <c r="M276" s="728" t="s">
        <v>176</v>
      </c>
      <c r="N276" s="727"/>
      <c r="O276" s="727"/>
      <c r="P276" s="727"/>
      <c r="Q276" s="727"/>
      <c r="R276" s="730" t="s">
        <v>545</v>
      </c>
      <c r="S276" s="727"/>
      <c r="T276" s="728" t="s">
        <v>179</v>
      </c>
    </row>
    <row r="277" ht="34.5">
      <c r="A277" s="728" t="s">
        <v>167</v>
      </c>
      <c r="B277" s="728" t="s">
        <v>168</v>
      </c>
      <c r="C277" s="728" t="s">
        <v>531</v>
      </c>
      <c r="D277" s="728" t="s">
        <v>537</v>
      </c>
      <c r="E277" s="728" t="s">
        <v>532</v>
      </c>
      <c r="F277" s="727" t="s">
        <v>532</v>
      </c>
      <c r="G277" s="728" t="s">
        <v>254</v>
      </c>
      <c r="H277" s="727" t="s">
        <v>546</v>
      </c>
      <c r="I277" s="727" t="s">
        <v>40</v>
      </c>
      <c r="J277" s="727" t="s">
        <v>547</v>
      </c>
      <c r="K277" s="729">
        <v>7222062</v>
      </c>
      <c r="L277" s="728" t="s">
        <v>175</v>
      </c>
      <c r="M277" s="728" t="s">
        <v>176</v>
      </c>
      <c r="N277" s="727"/>
      <c r="O277" s="727"/>
      <c r="P277" s="727"/>
      <c r="Q277" s="727"/>
      <c r="R277" s="730" t="s">
        <v>548</v>
      </c>
      <c r="S277" s="727"/>
      <c r="T277" s="728" t="s">
        <v>179</v>
      </c>
    </row>
    <row r="278" ht="34.5">
      <c r="A278" s="728" t="s">
        <v>167</v>
      </c>
      <c r="B278" s="728" t="s">
        <v>168</v>
      </c>
      <c r="C278" s="728" t="s">
        <v>531</v>
      </c>
      <c r="D278" s="728" t="s">
        <v>537</v>
      </c>
      <c r="E278" s="728" t="s">
        <v>532</v>
      </c>
      <c r="F278" s="727" t="s">
        <v>532</v>
      </c>
      <c r="G278" s="728" t="s">
        <v>254</v>
      </c>
      <c r="H278" s="727"/>
      <c r="I278" s="727" t="s">
        <v>40</v>
      </c>
      <c r="J278" s="727" t="s">
        <v>549</v>
      </c>
      <c r="K278" s="729">
        <v>7539045</v>
      </c>
      <c r="L278" s="728" t="s">
        <v>175</v>
      </c>
      <c r="M278" s="728" t="s">
        <v>176</v>
      </c>
      <c r="N278" s="727"/>
      <c r="O278" s="727"/>
      <c r="P278" s="727"/>
      <c r="Q278" s="727"/>
      <c r="R278" s="730"/>
      <c r="S278" s="727" t="s">
        <v>332</v>
      </c>
      <c r="T278" s="728" t="s">
        <v>179</v>
      </c>
    </row>
    <row r="279" ht="34.5">
      <c r="A279" s="728" t="s">
        <v>326</v>
      </c>
      <c r="B279" s="728" t="s">
        <v>168</v>
      </c>
      <c r="C279" s="728" t="s">
        <v>531</v>
      </c>
      <c r="D279" s="728" t="s">
        <v>537</v>
      </c>
      <c r="E279" s="728" t="s">
        <v>532</v>
      </c>
      <c r="F279" s="727" t="s">
        <v>532</v>
      </c>
      <c r="G279" s="728" t="s">
        <v>254</v>
      </c>
      <c r="H279" s="727"/>
      <c r="I279" s="727" t="s">
        <v>538</v>
      </c>
      <c r="J279" s="727" t="s">
        <v>539</v>
      </c>
      <c r="K279" s="729">
        <v>8687492</v>
      </c>
      <c r="L279" s="728" t="s">
        <v>175</v>
      </c>
      <c r="M279" s="728" t="s">
        <v>176</v>
      </c>
      <c r="N279" s="727"/>
      <c r="O279" s="727"/>
      <c r="P279" s="727"/>
      <c r="Q279" s="727"/>
      <c r="R279" s="730"/>
      <c r="S279" s="727"/>
      <c r="T279" s="728" t="s">
        <v>179</v>
      </c>
    </row>
    <row r="280" ht="34.5">
      <c r="A280" s="728" t="s">
        <v>326</v>
      </c>
      <c r="B280" s="728" t="s">
        <v>168</v>
      </c>
      <c r="C280" s="728" t="s">
        <v>531</v>
      </c>
      <c r="D280" s="728" t="s">
        <v>537</v>
      </c>
      <c r="E280" s="728" t="s">
        <v>532</v>
      </c>
      <c r="F280" s="727" t="s">
        <v>532</v>
      </c>
      <c r="G280" s="728" t="s">
        <v>254</v>
      </c>
      <c r="H280" s="727"/>
      <c r="I280" s="727" t="s">
        <v>538</v>
      </c>
      <c r="J280" s="727" t="s">
        <v>540</v>
      </c>
      <c r="K280" s="729">
        <v>-2799110</v>
      </c>
      <c r="L280" s="728" t="s">
        <v>175</v>
      </c>
      <c r="M280" s="728" t="s">
        <v>176</v>
      </c>
      <c r="N280" s="727"/>
      <c r="O280" s="727"/>
      <c r="P280" s="727"/>
      <c r="Q280" s="727"/>
      <c r="R280" s="730"/>
      <c r="S280" s="727"/>
      <c r="T280" s="728" t="s">
        <v>179</v>
      </c>
    </row>
    <row r="281" ht="34.5">
      <c r="A281" s="728" t="s">
        <v>326</v>
      </c>
      <c r="B281" s="728" t="s">
        <v>168</v>
      </c>
      <c r="C281" s="728" t="s">
        <v>531</v>
      </c>
      <c r="D281" s="728" t="s">
        <v>537</v>
      </c>
      <c r="E281" s="728" t="s">
        <v>532</v>
      </c>
      <c r="F281" s="727" t="s">
        <v>532</v>
      </c>
      <c r="G281" s="728" t="s">
        <v>254</v>
      </c>
      <c r="H281" s="727"/>
      <c r="I281" s="727" t="s">
        <v>538</v>
      </c>
      <c r="J281" s="727" t="s">
        <v>541</v>
      </c>
      <c r="K281" s="729">
        <v>5888382</v>
      </c>
      <c r="L281" s="728" t="s">
        <v>175</v>
      </c>
      <c r="M281" s="728" t="s">
        <v>176</v>
      </c>
      <c r="N281" s="727"/>
      <c r="O281" s="727"/>
      <c r="P281" s="727"/>
      <c r="Q281" s="727"/>
      <c r="R281" s="730"/>
      <c r="S281" s="727" t="s">
        <v>542</v>
      </c>
      <c r="T281" s="728" t="s">
        <v>179</v>
      </c>
    </row>
    <row r="282" ht="34.5">
      <c r="A282" s="728" t="s">
        <v>326</v>
      </c>
      <c r="B282" s="728" t="s">
        <v>168</v>
      </c>
      <c r="C282" s="728" t="s">
        <v>531</v>
      </c>
      <c r="D282" s="728" t="s">
        <v>537</v>
      </c>
      <c r="E282" s="728" t="s">
        <v>532</v>
      </c>
      <c r="F282" s="727" t="s">
        <v>532</v>
      </c>
      <c r="G282" s="728" t="s">
        <v>254</v>
      </c>
      <c r="H282" s="727" t="s">
        <v>543</v>
      </c>
      <c r="I282" s="727" t="s">
        <v>40</v>
      </c>
      <c r="J282" s="727" t="s">
        <v>544</v>
      </c>
      <c r="K282" s="729">
        <v>271410</v>
      </c>
      <c r="L282" s="728" t="s">
        <v>175</v>
      </c>
      <c r="M282" s="728" t="s">
        <v>176</v>
      </c>
      <c r="N282" s="727"/>
      <c r="O282" s="727"/>
      <c r="P282" s="727"/>
      <c r="Q282" s="727"/>
      <c r="R282" s="730" t="s">
        <v>550</v>
      </c>
      <c r="S282" s="727"/>
      <c r="T282" s="728" t="s">
        <v>179</v>
      </c>
    </row>
    <row r="283" ht="34.5">
      <c r="A283" s="728" t="s">
        <v>326</v>
      </c>
      <c r="B283" s="728" t="s">
        <v>168</v>
      </c>
      <c r="C283" s="728" t="s">
        <v>531</v>
      </c>
      <c r="D283" s="728" t="s">
        <v>537</v>
      </c>
      <c r="E283" s="728" t="s">
        <v>532</v>
      </c>
      <c r="F283" s="727" t="s">
        <v>532</v>
      </c>
      <c r="G283" s="728" t="s">
        <v>254</v>
      </c>
      <c r="H283" s="727" t="s">
        <v>546</v>
      </c>
      <c r="I283" s="727" t="s">
        <v>40</v>
      </c>
      <c r="J283" s="727" t="s">
        <v>547</v>
      </c>
      <c r="K283" s="729">
        <v>7539044</v>
      </c>
      <c r="L283" s="728" t="s">
        <v>175</v>
      </c>
      <c r="M283" s="728" t="s">
        <v>176</v>
      </c>
      <c r="N283" s="727"/>
      <c r="O283" s="727"/>
      <c r="P283" s="727"/>
      <c r="Q283" s="727"/>
      <c r="R283" s="730" t="s">
        <v>551</v>
      </c>
      <c r="S283" s="727"/>
      <c r="T283" s="728" t="s">
        <v>179</v>
      </c>
    </row>
    <row r="284" ht="34.5">
      <c r="A284" s="728" t="s">
        <v>326</v>
      </c>
      <c r="B284" s="728" t="s">
        <v>168</v>
      </c>
      <c r="C284" s="728" t="s">
        <v>531</v>
      </c>
      <c r="D284" s="728" t="s">
        <v>537</v>
      </c>
      <c r="E284" s="728" t="s">
        <v>532</v>
      </c>
      <c r="F284" s="727" t="s">
        <v>532</v>
      </c>
      <c r="G284" s="728" t="s">
        <v>254</v>
      </c>
      <c r="H284" s="727"/>
      <c r="I284" s="727" t="s">
        <v>40</v>
      </c>
      <c r="J284" s="727" t="s">
        <v>549</v>
      </c>
      <c r="K284" s="729">
        <v>7810454</v>
      </c>
      <c r="L284" s="728" t="s">
        <v>175</v>
      </c>
      <c r="M284" s="728" t="s">
        <v>176</v>
      </c>
      <c r="N284" s="727"/>
      <c r="O284" s="727"/>
      <c r="P284" s="727"/>
      <c r="Q284" s="727"/>
      <c r="R284" s="730"/>
      <c r="S284" s="727" t="s">
        <v>332</v>
      </c>
      <c r="T284" s="728" t="s">
        <v>179</v>
      </c>
    </row>
    <row r="285" ht="34.5">
      <c r="A285" s="728" t="s">
        <v>327</v>
      </c>
      <c r="B285" s="728" t="s">
        <v>328</v>
      </c>
      <c r="C285" s="728" t="s">
        <v>531</v>
      </c>
      <c r="D285" s="728" t="s">
        <v>523</v>
      </c>
      <c r="E285" s="728" t="s">
        <v>532</v>
      </c>
      <c r="F285" s="727" t="s">
        <v>532</v>
      </c>
      <c r="G285" s="728" t="s">
        <v>254</v>
      </c>
      <c r="H285" s="727"/>
      <c r="I285" s="727" t="s">
        <v>538</v>
      </c>
      <c r="J285" s="727" t="s">
        <v>539</v>
      </c>
      <c r="K285" s="729">
        <v>8687492</v>
      </c>
      <c r="L285" s="728" t="s">
        <v>175</v>
      </c>
      <c r="M285" s="728" t="s">
        <v>176</v>
      </c>
      <c r="N285" s="727"/>
      <c r="O285" s="727"/>
      <c r="P285" s="727"/>
      <c r="Q285" s="727"/>
      <c r="R285" s="730"/>
      <c r="S285" s="727"/>
      <c r="T285" s="728" t="s">
        <v>179</v>
      </c>
    </row>
    <row r="286" ht="34.5">
      <c r="A286" s="728" t="s">
        <v>327</v>
      </c>
      <c r="B286" s="728" t="s">
        <v>328</v>
      </c>
      <c r="C286" s="728" t="s">
        <v>531</v>
      </c>
      <c r="D286" s="728" t="s">
        <v>523</v>
      </c>
      <c r="E286" s="728" t="s">
        <v>532</v>
      </c>
      <c r="F286" s="727" t="s">
        <v>532</v>
      </c>
      <c r="G286" s="728" t="s">
        <v>254</v>
      </c>
      <c r="H286" s="727"/>
      <c r="I286" s="727" t="s">
        <v>538</v>
      </c>
      <c r="J286" s="727" t="s">
        <v>540</v>
      </c>
      <c r="K286" s="729">
        <v>-2331518</v>
      </c>
      <c r="L286" s="728" t="s">
        <v>175</v>
      </c>
      <c r="M286" s="728" t="s">
        <v>176</v>
      </c>
      <c r="N286" s="727"/>
      <c r="O286" s="727"/>
      <c r="P286" s="727"/>
      <c r="Q286" s="727"/>
      <c r="R286" s="730"/>
      <c r="S286" s="727"/>
      <c r="T286" s="728" t="s">
        <v>179</v>
      </c>
    </row>
    <row r="287" ht="34.5">
      <c r="A287" s="728" t="s">
        <v>327</v>
      </c>
      <c r="B287" s="728" t="s">
        <v>328</v>
      </c>
      <c r="C287" s="728" t="s">
        <v>531</v>
      </c>
      <c r="D287" s="728" t="s">
        <v>523</v>
      </c>
      <c r="E287" s="728" t="s">
        <v>532</v>
      </c>
      <c r="F287" s="727" t="s">
        <v>532</v>
      </c>
      <c r="G287" s="728" t="s">
        <v>254</v>
      </c>
      <c r="H287" s="727"/>
      <c r="I287" s="727" t="s">
        <v>538</v>
      </c>
      <c r="J287" s="727" t="s">
        <v>541</v>
      </c>
      <c r="K287" s="729">
        <v>6355974</v>
      </c>
      <c r="L287" s="728" t="s">
        <v>175</v>
      </c>
      <c r="M287" s="728" t="s">
        <v>176</v>
      </c>
      <c r="N287" s="727"/>
      <c r="O287" s="727"/>
      <c r="P287" s="727"/>
      <c r="Q287" s="727"/>
      <c r="R287" s="730"/>
      <c r="S287" s="727"/>
      <c r="T287" s="728" t="s">
        <v>179</v>
      </c>
    </row>
    <row r="288" ht="34.5">
      <c r="A288" s="728" t="s">
        <v>327</v>
      </c>
      <c r="B288" s="728" t="s">
        <v>328</v>
      </c>
      <c r="C288" s="728" t="s">
        <v>531</v>
      </c>
      <c r="D288" s="728" t="s">
        <v>523</v>
      </c>
      <c r="E288" s="728" t="s">
        <v>532</v>
      </c>
      <c r="F288" s="727" t="s">
        <v>532</v>
      </c>
      <c r="G288" s="728" t="s">
        <v>254</v>
      </c>
      <c r="H288" s="727" t="s">
        <v>543</v>
      </c>
      <c r="I288" s="727" t="s">
        <v>40</v>
      </c>
      <c r="J288" s="727" t="s">
        <v>544</v>
      </c>
      <c r="K288" s="729">
        <v>229888</v>
      </c>
      <c r="L288" s="728" t="s">
        <v>175</v>
      </c>
      <c r="M288" s="728" t="s">
        <v>176</v>
      </c>
      <c r="N288" s="727"/>
      <c r="O288" s="727"/>
      <c r="P288" s="727"/>
      <c r="Q288" s="727"/>
      <c r="R288" s="730" t="s">
        <v>552</v>
      </c>
      <c r="S288" s="727"/>
      <c r="T288" s="728" t="s">
        <v>179</v>
      </c>
    </row>
    <row r="289" ht="34.5">
      <c r="A289" s="728" t="s">
        <v>327</v>
      </c>
      <c r="B289" s="728" t="s">
        <v>328</v>
      </c>
      <c r="C289" s="728" t="s">
        <v>531</v>
      </c>
      <c r="D289" s="728" t="s">
        <v>523</v>
      </c>
      <c r="E289" s="728" t="s">
        <v>532</v>
      </c>
      <c r="F289" s="727" t="s">
        <v>532</v>
      </c>
      <c r="G289" s="728" t="s">
        <v>254</v>
      </c>
      <c r="H289" s="727" t="s">
        <v>546</v>
      </c>
      <c r="I289" s="727" t="s">
        <v>40</v>
      </c>
      <c r="J289" s="727" t="s">
        <v>547</v>
      </c>
      <c r="K289" s="729">
        <v>7810454</v>
      </c>
      <c r="L289" s="728" t="s">
        <v>175</v>
      </c>
      <c r="M289" s="728" t="s">
        <v>176</v>
      </c>
      <c r="N289" s="727"/>
      <c r="O289" s="727"/>
      <c r="P289" s="727"/>
      <c r="Q289" s="727"/>
      <c r="R289" s="730" t="s">
        <v>553</v>
      </c>
      <c r="S289" s="727"/>
      <c r="T289" s="728" t="s">
        <v>179</v>
      </c>
    </row>
    <row r="290" ht="34.5">
      <c r="A290" s="728" t="s">
        <v>327</v>
      </c>
      <c r="B290" s="728" t="s">
        <v>328</v>
      </c>
      <c r="C290" s="728" t="s">
        <v>531</v>
      </c>
      <c r="D290" s="728" t="s">
        <v>523</v>
      </c>
      <c r="E290" s="728" t="s">
        <v>532</v>
      </c>
      <c r="F290" s="727" t="s">
        <v>532</v>
      </c>
      <c r="G290" s="728" t="s">
        <v>254</v>
      </c>
      <c r="H290" s="727"/>
      <c r="I290" s="727" t="s">
        <v>40</v>
      </c>
      <c r="J290" s="727" t="s">
        <v>549</v>
      </c>
      <c r="K290" s="729">
        <v>8040342</v>
      </c>
      <c r="L290" s="728" t="s">
        <v>175</v>
      </c>
      <c r="M290" s="728" t="s">
        <v>176</v>
      </c>
      <c r="N290" s="727"/>
      <c r="O290" s="727"/>
      <c r="P290" s="727"/>
      <c r="Q290" s="727"/>
      <c r="R290" s="730"/>
      <c r="S290" s="727" t="s">
        <v>332</v>
      </c>
      <c r="T290" s="728" t="s">
        <v>179</v>
      </c>
    </row>
    <row r="291" ht="34.5">
      <c r="A291" s="728" t="s">
        <v>333</v>
      </c>
      <c r="B291" s="728" t="s">
        <v>334</v>
      </c>
      <c r="C291" s="728" t="s">
        <v>531</v>
      </c>
      <c r="D291" s="728" t="s">
        <v>523</v>
      </c>
      <c r="E291" s="728" t="s">
        <v>532</v>
      </c>
      <c r="F291" s="727" t="s">
        <v>532</v>
      </c>
      <c r="G291" s="728" t="s">
        <v>254</v>
      </c>
      <c r="H291" s="727"/>
      <c r="I291" s="727" t="s">
        <v>538</v>
      </c>
      <c r="J291" s="727" t="s">
        <v>539</v>
      </c>
      <c r="K291" s="729">
        <v>8687492</v>
      </c>
      <c r="L291" s="728" t="s">
        <v>175</v>
      </c>
      <c r="M291" s="728" t="s">
        <v>176</v>
      </c>
      <c r="N291" s="727"/>
      <c r="O291" s="727"/>
      <c r="P291" s="727"/>
      <c r="Q291" s="727"/>
      <c r="R291" s="730"/>
      <c r="S291" s="727"/>
      <c r="T291" s="728" t="s">
        <v>179</v>
      </c>
    </row>
    <row r="292" ht="34.5">
      <c r="A292" s="728" t="s">
        <v>333</v>
      </c>
      <c r="B292" s="728" t="s">
        <v>334</v>
      </c>
      <c r="C292" s="728" t="s">
        <v>531</v>
      </c>
      <c r="D292" s="728" t="s">
        <v>523</v>
      </c>
      <c r="E292" s="728" t="s">
        <v>532</v>
      </c>
      <c r="F292" s="727" t="s">
        <v>532</v>
      </c>
      <c r="G292" s="728" t="s">
        <v>254</v>
      </c>
      <c r="H292" s="727"/>
      <c r="I292" s="727" t="s">
        <v>538</v>
      </c>
      <c r="J292" s="727" t="s">
        <v>540</v>
      </c>
      <c r="K292" s="729">
        <v>-1863926</v>
      </c>
      <c r="L292" s="728" t="s">
        <v>175</v>
      </c>
      <c r="M292" s="728" t="s">
        <v>176</v>
      </c>
      <c r="N292" s="727"/>
      <c r="O292" s="727"/>
      <c r="P292" s="727"/>
      <c r="Q292" s="727"/>
      <c r="R292" s="730"/>
      <c r="S292" s="727"/>
      <c r="T292" s="728" t="s">
        <v>179</v>
      </c>
    </row>
    <row r="293" ht="34.5">
      <c r="A293" s="728" t="s">
        <v>333</v>
      </c>
      <c r="B293" s="728" t="s">
        <v>334</v>
      </c>
      <c r="C293" s="728" t="s">
        <v>531</v>
      </c>
      <c r="D293" s="728" t="s">
        <v>523</v>
      </c>
      <c r="E293" s="728" t="s">
        <v>532</v>
      </c>
      <c r="F293" s="727" t="s">
        <v>532</v>
      </c>
      <c r="G293" s="728" t="s">
        <v>254</v>
      </c>
      <c r="H293" s="727"/>
      <c r="I293" s="727" t="s">
        <v>538</v>
      </c>
      <c r="J293" s="727" t="s">
        <v>541</v>
      </c>
      <c r="K293" s="729">
        <v>6823566</v>
      </c>
      <c r="L293" s="728" t="s">
        <v>175</v>
      </c>
      <c r="M293" s="728" t="s">
        <v>176</v>
      </c>
      <c r="N293" s="727"/>
      <c r="O293" s="727"/>
      <c r="P293" s="727"/>
      <c r="Q293" s="727"/>
      <c r="R293" s="730"/>
      <c r="S293" s="727"/>
      <c r="T293" s="728" t="s">
        <v>179</v>
      </c>
    </row>
    <row r="294" ht="34.5">
      <c r="A294" s="728" t="s">
        <v>333</v>
      </c>
      <c r="B294" s="728" t="s">
        <v>334</v>
      </c>
      <c r="C294" s="728" t="s">
        <v>531</v>
      </c>
      <c r="D294" s="728" t="s">
        <v>523</v>
      </c>
      <c r="E294" s="728" t="s">
        <v>532</v>
      </c>
      <c r="F294" s="727" t="s">
        <v>532</v>
      </c>
      <c r="G294" s="728" t="s">
        <v>254</v>
      </c>
      <c r="H294" s="727" t="s">
        <v>543</v>
      </c>
      <c r="I294" s="727" t="s">
        <v>40</v>
      </c>
      <c r="J294" s="727" t="s">
        <v>544</v>
      </c>
      <c r="K294" s="729">
        <v>192094</v>
      </c>
      <c r="L294" s="728" t="s">
        <v>175</v>
      </c>
      <c r="M294" s="728" t="s">
        <v>176</v>
      </c>
      <c r="N294" s="727"/>
      <c r="O294" s="727"/>
      <c r="P294" s="727"/>
      <c r="Q294" s="727"/>
      <c r="R294" s="730" t="s">
        <v>554</v>
      </c>
      <c r="S294" s="727"/>
      <c r="T294" s="728" t="s">
        <v>179</v>
      </c>
    </row>
    <row r="295" ht="34.5">
      <c r="A295" s="728" t="s">
        <v>333</v>
      </c>
      <c r="B295" s="728" t="s">
        <v>334</v>
      </c>
      <c r="C295" s="728" t="s">
        <v>531</v>
      </c>
      <c r="D295" s="728" t="s">
        <v>523</v>
      </c>
      <c r="E295" s="728" t="s">
        <v>532</v>
      </c>
      <c r="F295" s="727" t="s">
        <v>532</v>
      </c>
      <c r="G295" s="728" t="s">
        <v>254</v>
      </c>
      <c r="H295" s="727" t="s">
        <v>546</v>
      </c>
      <c r="I295" s="727" t="s">
        <v>40</v>
      </c>
      <c r="J295" s="727" t="s">
        <v>547</v>
      </c>
      <c r="K295" s="729">
        <v>8040342</v>
      </c>
      <c r="L295" s="728" t="s">
        <v>175</v>
      </c>
      <c r="M295" s="728" t="s">
        <v>176</v>
      </c>
      <c r="N295" s="727"/>
      <c r="O295" s="727"/>
      <c r="P295" s="727"/>
      <c r="Q295" s="727"/>
      <c r="R295" s="730" t="s">
        <v>555</v>
      </c>
      <c r="S295" s="727"/>
      <c r="T295" s="728" t="s">
        <v>179</v>
      </c>
    </row>
    <row r="296" ht="34.5">
      <c r="A296" s="728" t="s">
        <v>333</v>
      </c>
      <c r="B296" s="728" t="s">
        <v>334</v>
      </c>
      <c r="C296" s="728" t="s">
        <v>531</v>
      </c>
      <c r="D296" s="728" t="s">
        <v>523</v>
      </c>
      <c r="E296" s="728" t="s">
        <v>532</v>
      </c>
      <c r="F296" s="727" t="s">
        <v>532</v>
      </c>
      <c r="G296" s="728" t="s">
        <v>254</v>
      </c>
      <c r="H296" s="727"/>
      <c r="I296" s="727" t="s">
        <v>40</v>
      </c>
      <c r="J296" s="727" t="s">
        <v>549</v>
      </c>
      <c r="K296" s="729">
        <v>8232436</v>
      </c>
      <c r="L296" s="728" t="s">
        <v>175</v>
      </c>
      <c r="M296" s="728" t="s">
        <v>176</v>
      </c>
      <c r="N296" s="727"/>
      <c r="O296" s="727"/>
      <c r="P296" s="727"/>
      <c r="Q296" s="727"/>
      <c r="R296" s="730"/>
      <c r="S296" s="727" t="s">
        <v>332</v>
      </c>
      <c r="T296" s="728" t="s">
        <v>179</v>
      </c>
    </row>
    <row r="297" ht="34.5">
      <c r="A297" s="728" t="s">
        <v>338</v>
      </c>
      <c r="B297" s="728" t="s">
        <v>339</v>
      </c>
      <c r="C297" s="728" t="s">
        <v>462</v>
      </c>
      <c r="D297" s="728" t="s">
        <v>537</v>
      </c>
      <c r="E297" s="728" t="s">
        <v>532</v>
      </c>
      <c r="F297" s="727" t="s">
        <v>532</v>
      </c>
      <c r="G297" s="728" t="s">
        <v>254</v>
      </c>
      <c r="H297" s="727"/>
      <c r="I297" s="727" t="s">
        <v>538</v>
      </c>
      <c r="J297" s="727" t="s">
        <v>539</v>
      </c>
      <c r="K297" s="729">
        <v>8687492</v>
      </c>
      <c r="L297" s="728" t="s">
        <v>175</v>
      </c>
      <c r="M297" s="728" t="s">
        <v>176</v>
      </c>
      <c r="N297" s="727"/>
      <c r="O297" s="727"/>
      <c r="P297" s="727"/>
      <c r="Q297" s="727"/>
      <c r="R297" s="730"/>
      <c r="S297" s="727"/>
      <c r="T297" s="728" t="s">
        <v>179</v>
      </c>
    </row>
    <row r="298" ht="34.5">
      <c r="A298" s="728" t="s">
        <v>338</v>
      </c>
      <c r="B298" s="728" t="s">
        <v>339</v>
      </c>
      <c r="C298" s="728" t="s">
        <v>462</v>
      </c>
      <c r="D298" s="728" t="s">
        <v>537</v>
      </c>
      <c r="E298" s="728" t="s">
        <v>532</v>
      </c>
      <c r="F298" s="727" t="s">
        <v>532</v>
      </c>
      <c r="G298" s="728" t="s">
        <v>254</v>
      </c>
      <c r="H298" s="727"/>
      <c r="I298" s="727" t="s">
        <v>538</v>
      </c>
      <c r="J298" s="727" t="s">
        <v>540</v>
      </c>
      <c r="K298" s="729">
        <v>-1396334</v>
      </c>
      <c r="L298" s="728" t="s">
        <v>175</v>
      </c>
      <c r="M298" s="728" t="s">
        <v>176</v>
      </c>
      <c r="N298" s="727"/>
      <c r="O298" s="727"/>
      <c r="P298" s="727"/>
      <c r="Q298" s="727"/>
      <c r="R298" s="730"/>
      <c r="S298" s="727"/>
      <c r="T298" s="728" t="s">
        <v>179</v>
      </c>
    </row>
    <row r="299" ht="34.5">
      <c r="A299" s="728" t="s">
        <v>338</v>
      </c>
      <c r="B299" s="728" t="s">
        <v>339</v>
      </c>
      <c r="C299" s="728" t="s">
        <v>462</v>
      </c>
      <c r="D299" s="728" t="s">
        <v>537</v>
      </c>
      <c r="E299" s="728" t="s">
        <v>532</v>
      </c>
      <c r="F299" s="727" t="s">
        <v>532</v>
      </c>
      <c r="G299" s="728" t="s">
        <v>254</v>
      </c>
      <c r="H299" s="727"/>
      <c r="I299" s="727" t="s">
        <v>538</v>
      </c>
      <c r="J299" s="727" t="s">
        <v>541</v>
      </c>
      <c r="K299" s="729">
        <v>7291158</v>
      </c>
      <c r="L299" s="728" t="s">
        <v>175</v>
      </c>
      <c r="M299" s="728" t="s">
        <v>176</v>
      </c>
      <c r="N299" s="727"/>
      <c r="O299" s="727"/>
      <c r="P299" s="727"/>
      <c r="Q299" s="727"/>
      <c r="R299" s="730"/>
      <c r="S299" s="727"/>
      <c r="T299" s="728" t="s">
        <v>179</v>
      </c>
    </row>
    <row r="300" ht="34.5">
      <c r="A300" s="728" t="s">
        <v>338</v>
      </c>
      <c r="B300" s="728" t="s">
        <v>339</v>
      </c>
      <c r="C300" s="728" t="s">
        <v>462</v>
      </c>
      <c r="D300" s="728" t="s">
        <v>537</v>
      </c>
      <c r="E300" s="728" t="s">
        <v>532</v>
      </c>
      <c r="F300" s="727" t="s">
        <v>532</v>
      </c>
      <c r="G300" s="728" t="s">
        <v>254</v>
      </c>
      <c r="H300" s="727" t="s">
        <v>543</v>
      </c>
      <c r="I300" s="727" t="s">
        <v>40</v>
      </c>
      <c r="J300" s="727" t="s">
        <v>544</v>
      </c>
      <c r="K300" s="729">
        <v>157731</v>
      </c>
      <c r="L300" s="728" t="s">
        <v>175</v>
      </c>
      <c r="M300" s="728" t="s">
        <v>176</v>
      </c>
      <c r="N300" s="727"/>
      <c r="O300" s="727"/>
      <c r="P300" s="727"/>
      <c r="Q300" s="727"/>
      <c r="R300" s="730" t="s">
        <v>556</v>
      </c>
      <c r="S300" s="727"/>
      <c r="T300" s="728" t="s">
        <v>179</v>
      </c>
    </row>
    <row r="301" ht="34.5">
      <c r="A301" s="728" t="s">
        <v>338</v>
      </c>
      <c r="B301" s="728" t="s">
        <v>339</v>
      </c>
      <c r="C301" s="728" t="s">
        <v>462</v>
      </c>
      <c r="D301" s="728" t="s">
        <v>537</v>
      </c>
      <c r="E301" s="728" t="s">
        <v>532</v>
      </c>
      <c r="F301" s="727" t="s">
        <v>532</v>
      </c>
      <c r="G301" s="728" t="s">
        <v>254</v>
      </c>
      <c r="H301" s="727" t="s">
        <v>546</v>
      </c>
      <c r="I301" s="727" t="s">
        <v>40</v>
      </c>
      <c r="J301" s="727" t="s">
        <v>547</v>
      </c>
      <c r="K301" s="729">
        <v>8232437</v>
      </c>
      <c r="L301" s="728" t="s">
        <v>175</v>
      </c>
      <c r="M301" s="728" t="s">
        <v>176</v>
      </c>
      <c r="N301" s="727"/>
      <c r="O301" s="727"/>
      <c r="P301" s="727"/>
      <c r="Q301" s="727"/>
      <c r="R301" s="730" t="s">
        <v>557</v>
      </c>
      <c r="S301" s="727"/>
      <c r="T301" s="728" t="s">
        <v>179</v>
      </c>
    </row>
    <row r="302" ht="34.5">
      <c r="A302" s="728" t="s">
        <v>338</v>
      </c>
      <c r="B302" s="728" t="s">
        <v>339</v>
      </c>
      <c r="C302" s="728" t="s">
        <v>462</v>
      </c>
      <c r="D302" s="728" t="s">
        <v>537</v>
      </c>
      <c r="E302" s="728" t="s">
        <v>532</v>
      </c>
      <c r="F302" s="727" t="s">
        <v>532</v>
      </c>
      <c r="G302" s="728" t="s">
        <v>254</v>
      </c>
      <c r="H302" s="727"/>
      <c r="I302" s="727" t="s">
        <v>40</v>
      </c>
      <c r="J302" s="727" t="s">
        <v>549</v>
      </c>
      <c r="K302" s="729">
        <v>8390168</v>
      </c>
      <c r="L302" s="728" t="s">
        <v>175</v>
      </c>
      <c r="M302" s="728" t="s">
        <v>176</v>
      </c>
      <c r="N302" s="727"/>
      <c r="O302" s="727"/>
      <c r="P302" s="727"/>
      <c r="Q302" s="727"/>
      <c r="R302" s="730"/>
      <c r="S302" s="727" t="s">
        <v>332</v>
      </c>
      <c r="T302" s="728" t="s">
        <v>179</v>
      </c>
    </row>
    <row r="303" ht="34.5">
      <c r="A303" s="728" t="s">
        <v>167</v>
      </c>
      <c r="B303" s="728" t="s">
        <v>168</v>
      </c>
      <c r="C303" s="728" t="s">
        <v>531</v>
      </c>
      <c r="D303" s="728" t="s">
        <v>558</v>
      </c>
      <c r="E303" s="728" t="s">
        <v>532</v>
      </c>
      <c r="F303" s="727" t="s">
        <v>532</v>
      </c>
      <c r="G303" s="728" t="s">
        <v>254</v>
      </c>
      <c r="H303" s="727"/>
      <c r="I303" s="727" t="s">
        <v>559</v>
      </c>
      <c r="J303" s="727" t="s">
        <v>560</v>
      </c>
      <c r="K303" s="729">
        <v>7810454</v>
      </c>
      <c r="L303" s="728" t="s">
        <v>175</v>
      </c>
      <c r="M303" s="728" t="s">
        <v>176</v>
      </c>
      <c r="N303" s="727"/>
      <c r="O303" s="727"/>
      <c r="P303" s="727"/>
      <c r="Q303" s="727"/>
      <c r="R303" s="730"/>
      <c r="S303" s="727"/>
      <c r="T303" s="728" t="s">
        <v>179</v>
      </c>
    </row>
    <row r="304" ht="34.5">
      <c r="A304" s="728" t="s">
        <v>167</v>
      </c>
      <c r="B304" s="728" t="s">
        <v>168</v>
      </c>
      <c r="C304" s="728" t="s">
        <v>531</v>
      </c>
      <c r="D304" s="728" t="s">
        <v>558</v>
      </c>
      <c r="E304" s="728" t="s">
        <v>532</v>
      </c>
      <c r="F304" s="727" t="s">
        <v>532</v>
      </c>
      <c r="G304" s="728" t="s">
        <v>254</v>
      </c>
      <c r="H304" s="727"/>
      <c r="I304" s="727" t="s">
        <v>559</v>
      </c>
      <c r="J304" s="727" t="s">
        <v>561</v>
      </c>
      <c r="K304" s="729">
        <v>-271409</v>
      </c>
      <c r="L304" s="728" t="s">
        <v>175</v>
      </c>
      <c r="M304" s="728" t="s">
        <v>176</v>
      </c>
      <c r="N304" s="727"/>
      <c r="O304" s="727"/>
      <c r="P304" s="727"/>
      <c r="Q304" s="727"/>
      <c r="R304" s="730"/>
      <c r="S304" s="727"/>
      <c r="T304" s="728" t="s">
        <v>179</v>
      </c>
    </row>
    <row r="305" ht="34.5">
      <c r="A305" s="728" t="s">
        <v>167</v>
      </c>
      <c r="B305" s="728" t="s">
        <v>168</v>
      </c>
      <c r="C305" s="728" t="s">
        <v>531</v>
      </c>
      <c r="D305" s="728" t="s">
        <v>558</v>
      </c>
      <c r="E305" s="728" t="s">
        <v>532</v>
      </c>
      <c r="F305" s="727" t="s">
        <v>532</v>
      </c>
      <c r="G305" s="728" t="s">
        <v>254</v>
      </c>
      <c r="H305" s="727"/>
      <c r="I305" s="727" t="s">
        <v>559</v>
      </c>
      <c r="J305" s="727" t="s">
        <v>562</v>
      </c>
      <c r="K305" s="729">
        <v>7539045</v>
      </c>
      <c r="L305" s="728" t="s">
        <v>175</v>
      </c>
      <c r="M305" s="728" t="s">
        <v>176</v>
      </c>
      <c r="N305" s="727"/>
      <c r="O305" s="727"/>
      <c r="P305" s="727"/>
      <c r="Q305" s="727"/>
      <c r="R305" s="730"/>
      <c r="S305" s="727" t="s">
        <v>332</v>
      </c>
      <c r="T305" s="728" t="s">
        <v>179</v>
      </c>
    </row>
    <row r="306" ht="34.5">
      <c r="A306" s="728" t="s">
        <v>326</v>
      </c>
      <c r="B306" s="728" t="s">
        <v>168</v>
      </c>
      <c r="C306" s="728" t="s">
        <v>531</v>
      </c>
      <c r="D306" s="728" t="s">
        <v>558</v>
      </c>
      <c r="E306" s="728" t="s">
        <v>532</v>
      </c>
      <c r="F306" s="727" t="s">
        <v>532</v>
      </c>
      <c r="G306" s="728" t="s">
        <v>254</v>
      </c>
      <c r="H306" s="727"/>
      <c r="I306" s="727" t="s">
        <v>559</v>
      </c>
      <c r="J306" s="727" t="s">
        <v>560</v>
      </c>
      <c r="K306" s="729">
        <v>8040342</v>
      </c>
      <c r="L306" s="728" t="s">
        <v>175</v>
      </c>
      <c r="M306" s="728" t="s">
        <v>176</v>
      </c>
      <c r="N306" s="727"/>
      <c r="O306" s="727"/>
      <c r="P306" s="727"/>
      <c r="Q306" s="727"/>
      <c r="R306" s="730"/>
      <c r="S306" s="727"/>
      <c r="T306" s="728" t="s">
        <v>179</v>
      </c>
    </row>
    <row r="307" ht="34.5">
      <c r="A307" s="728" t="s">
        <v>326</v>
      </c>
      <c r="B307" s="728" t="s">
        <v>168</v>
      </c>
      <c r="C307" s="728" t="s">
        <v>531</v>
      </c>
      <c r="D307" s="728" t="s">
        <v>558</v>
      </c>
      <c r="E307" s="728" t="s">
        <v>532</v>
      </c>
      <c r="F307" s="727" t="s">
        <v>532</v>
      </c>
      <c r="G307" s="728" t="s">
        <v>254</v>
      </c>
      <c r="H307" s="727"/>
      <c r="I307" s="727" t="s">
        <v>559</v>
      </c>
      <c r="J307" s="727" t="s">
        <v>561</v>
      </c>
      <c r="K307" s="729">
        <v>-229888</v>
      </c>
      <c r="L307" s="728" t="s">
        <v>175</v>
      </c>
      <c r="M307" s="728" t="s">
        <v>176</v>
      </c>
      <c r="N307" s="727"/>
      <c r="O307" s="727"/>
      <c r="P307" s="727"/>
      <c r="Q307" s="727"/>
      <c r="R307" s="730"/>
      <c r="S307" s="727"/>
      <c r="T307" s="728" t="s">
        <v>179</v>
      </c>
    </row>
    <row r="308" ht="34.5">
      <c r="A308" s="728" t="s">
        <v>326</v>
      </c>
      <c r="B308" s="728" t="s">
        <v>168</v>
      </c>
      <c r="C308" s="728" t="s">
        <v>531</v>
      </c>
      <c r="D308" s="728" t="s">
        <v>558</v>
      </c>
      <c r="E308" s="728" t="s">
        <v>532</v>
      </c>
      <c r="F308" s="727" t="s">
        <v>532</v>
      </c>
      <c r="G308" s="728" t="s">
        <v>254</v>
      </c>
      <c r="H308" s="727"/>
      <c r="I308" s="727" t="s">
        <v>559</v>
      </c>
      <c r="J308" s="727" t="s">
        <v>562</v>
      </c>
      <c r="K308" s="729">
        <v>7810454</v>
      </c>
      <c r="L308" s="728" t="s">
        <v>175</v>
      </c>
      <c r="M308" s="728" t="s">
        <v>176</v>
      </c>
      <c r="N308" s="727"/>
      <c r="O308" s="727"/>
      <c r="P308" s="727"/>
      <c r="Q308" s="727"/>
      <c r="R308" s="730"/>
      <c r="S308" s="727" t="s">
        <v>332</v>
      </c>
      <c r="T308" s="728" t="s">
        <v>179</v>
      </c>
    </row>
    <row r="309" ht="34.5">
      <c r="A309" s="728" t="s">
        <v>327</v>
      </c>
      <c r="B309" s="728" t="s">
        <v>328</v>
      </c>
      <c r="C309" s="728" t="s">
        <v>531</v>
      </c>
      <c r="D309" s="728" t="s">
        <v>537</v>
      </c>
      <c r="E309" s="728" t="s">
        <v>532</v>
      </c>
      <c r="F309" s="727" t="s">
        <v>532</v>
      </c>
      <c r="G309" s="728" t="s">
        <v>254</v>
      </c>
      <c r="H309" s="727"/>
      <c r="I309" s="727" t="s">
        <v>559</v>
      </c>
      <c r="J309" s="727" t="s">
        <v>560</v>
      </c>
      <c r="K309" s="729">
        <v>8040342</v>
      </c>
      <c r="L309" s="728" t="s">
        <v>175</v>
      </c>
      <c r="M309" s="728" t="s">
        <v>176</v>
      </c>
      <c r="N309" s="727"/>
      <c r="O309" s="727"/>
      <c r="P309" s="727"/>
      <c r="Q309" s="727"/>
      <c r="R309" s="730"/>
      <c r="S309" s="727"/>
      <c r="T309" s="728" t="s">
        <v>179</v>
      </c>
    </row>
    <row r="310" ht="34.5">
      <c r="A310" s="728" t="s">
        <v>327</v>
      </c>
      <c r="B310" s="728" t="s">
        <v>328</v>
      </c>
      <c r="C310" s="728" t="s">
        <v>531</v>
      </c>
      <c r="D310" s="728" t="s">
        <v>537</v>
      </c>
      <c r="E310" s="728" t="s">
        <v>532</v>
      </c>
      <c r="F310" s="727" t="s">
        <v>532</v>
      </c>
      <c r="G310" s="728" t="s">
        <v>254</v>
      </c>
      <c r="H310" s="727"/>
      <c r="I310" s="727" t="s">
        <v>559</v>
      </c>
      <c r="J310" s="727" t="s">
        <v>561</v>
      </c>
      <c r="K310" s="729">
        <v>-229888</v>
      </c>
      <c r="L310" s="728" t="s">
        <v>175</v>
      </c>
      <c r="M310" s="728" t="s">
        <v>176</v>
      </c>
      <c r="N310" s="727"/>
      <c r="O310" s="727"/>
      <c r="P310" s="727"/>
      <c r="Q310" s="727"/>
      <c r="R310" s="730"/>
      <c r="S310" s="727"/>
      <c r="T310" s="728" t="s">
        <v>179</v>
      </c>
    </row>
    <row r="311" ht="34.5">
      <c r="A311" s="728" t="s">
        <v>327</v>
      </c>
      <c r="B311" s="728" t="s">
        <v>328</v>
      </c>
      <c r="C311" s="728" t="s">
        <v>531</v>
      </c>
      <c r="D311" s="728" t="s">
        <v>537</v>
      </c>
      <c r="E311" s="728" t="s">
        <v>532</v>
      </c>
      <c r="F311" s="727" t="s">
        <v>532</v>
      </c>
      <c r="G311" s="728" t="s">
        <v>254</v>
      </c>
      <c r="H311" s="727"/>
      <c r="I311" s="727" t="s">
        <v>559</v>
      </c>
      <c r="J311" s="727" t="s">
        <v>562</v>
      </c>
      <c r="K311" s="729">
        <v>8040342</v>
      </c>
      <c r="L311" s="728" t="s">
        <v>175</v>
      </c>
      <c r="M311" s="728" t="s">
        <v>176</v>
      </c>
      <c r="N311" s="727"/>
      <c r="O311" s="727"/>
      <c r="P311" s="727"/>
      <c r="Q311" s="727"/>
      <c r="R311" s="730"/>
      <c r="S311" s="727" t="s">
        <v>563</v>
      </c>
      <c r="T311" s="728" t="s">
        <v>179</v>
      </c>
    </row>
    <row r="312" ht="34.5">
      <c r="A312" s="728" t="s">
        <v>333</v>
      </c>
      <c r="B312" s="728" t="s">
        <v>334</v>
      </c>
      <c r="C312" s="728" t="s">
        <v>531</v>
      </c>
      <c r="D312" s="728" t="s">
        <v>537</v>
      </c>
      <c r="E312" s="728" t="s">
        <v>532</v>
      </c>
      <c r="F312" s="727" t="s">
        <v>532</v>
      </c>
      <c r="G312" s="728" t="s">
        <v>254</v>
      </c>
      <c r="H312" s="727"/>
      <c r="I312" s="727" t="s">
        <v>559</v>
      </c>
      <c r="J312" s="727" t="s">
        <v>560</v>
      </c>
      <c r="K312" s="729">
        <v>8390168</v>
      </c>
      <c r="L312" s="728" t="s">
        <v>175</v>
      </c>
      <c r="M312" s="728" t="s">
        <v>176</v>
      </c>
      <c r="N312" s="727"/>
      <c r="O312" s="727"/>
      <c r="P312" s="727"/>
      <c r="Q312" s="727"/>
      <c r="R312" s="730"/>
      <c r="S312" s="727"/>
      <c r="T312" s="728" t="s">
        <v>179</v>
      </c>
    </row>
    <row r="313" ht="34.5">
      <c r="A313" s="728" t="s">
        <v>333</v>
      </c>
      <c r="B313" s="728" t="s">
        <v>334</v>
      </c>
      <c r="C313" s="728" t="s">
        <v>531</v>
      </c>
      <c r="D313" s="728" t="s">
        <v>537</v>
      </c>
      <c r="E313" s="728" t="s">
        <v>532</v>
      </c>
      <c r="F313" s="727" t="s">
        <v>532</v>
      </c>
      <c r="G313" s="728" t="s">
        <v>254</v>
      </c>
      <c r="H313" s="727"/>
      <c r="I313" s="727" t="s">
        <v>559</v>
      </c>
      <c r="J313" s="727" t="s">
        <v>561</v>
      </c>
      <c r="K313" s="729">
        <v>-781646</v>
      </c>
      <c r="L313" s="728" t="s">
        <v>175</v>
      </c>
      <c r="M313" s="728" t="s">
        <v>176</v>
      </c>
      <c r="N313" s="727"/>
      <c r="O313" s="727"/>
      <c r="P313" s="727"/>
      <c r="Q313" s="727"/>
      <c r="R313" s="730"/>
      <c r="S313" s="727"/>
      <c r="T313" s="728" t="s">
        <v>179</v>
      </c>
    </row>
    <row r="314" ht="34.5">
      <c r="A314" s="728" t="s">
        <v>333</v>
      </c>
      <c r="B314" s="728" t="s">
        <v>334</v>
      </c>
      <c r="C314" s="728" t="s">
        <v>531</v>
      </c>
      <c r="D314" s="728" t="s">
        <v>537</v>
      </c>
      <c r="E314" s="728" t="s">
        <v>532</v>
      </c>
      <c r="F314" s="727" t="s">
        <v>532</v>
      </c>
      <c r="G314" s="728" t="s">
        <v>254</v>
      </c>
      <c r="H314" s="727"/>
      <c r="I314" s="727" t="s">
        <v>559</v>
      </c>
      <c r="J314" s="727" t="s">
        <v>274</v>
      </c>
      <c r="K314" s="729">
        <v>623914</v>
      </c>
      <c r="L314" s="728" t="s">
        <v>175</v>
      </c>
      <c r="M314" s="728" t="s">
        <v>176</v>
      </c>
      <c r="N314" s="727"/>
      <c r="O314" s="727"/>
      <c r="P314" s="727"/>
      <c r="Q314" s="727"/>
      <c r="R314" s="730"/>
      <c r="S314" s="727"/>
      <c r="T314" s="728" t="s">
        <v>179</v>
      </c>
    </row>
    <row r="315" ht="34.5">
      <c r="A315" s="728" t="s">
        <v>333</v>
      </c>
      <c r="B315" s="728" t="s">
        <v>334</v>
      </c>
      <c r="C315" s="728" t="s">
        <v>531</v>
      </c>
      <c r="D315" s="728" t="s">
        <v>537</v>
      </c>
      <c r="E315" s="728" t="s">
        <v>532</v>
      </c>
      <c r="F315" s="727" t="s">
        <v>532</v>
      </c>
      <c r="G315" s="728" t="s">
        <v>254</v>
      </c>
      <c r="H315" s="727"/>
      <c r="I315" s="727" t="s">
        <v>559</v>
      </c>
      <c r="J315" s="727" t="s">
        <v>562</v>
      </c>
      <c r="K315" s="729">
        <v>8232436</v>
      </c>
      <c r="L315" s="728" t="s">
        <v>175</v>
      </c>
      <c r="M315" s="728" t="s">
        <v>176</v>
      </c>
      <c r="N315" s="727"/>
      <c r="O315" s="727"/>
      <c r="P315" s="727"/>
      <c r="Q315" s="727"/>
      <c r="R315" s="730"/>
      <c r="S315" s="727" t="s">
        <v>332</v>
      </c>
      <c r="T315" s="728" t="s">
        <v>179</v>
      </c>
    </row>
    <row r="316" ht="34.5">
      <c r="A316" s="728" t="s">
        <v>338</v>
      </c>
      <c r="B316" s="728" t="s">
        <v>339</v>
      </c>
      <c r="C316" s="728" t="s">
        <v>479</v>
      </c>
      <c r="D316" s="728" t="s">
        <v>558</v>
      </c>
      <c r="E316" s="728" t="s">
        <v>532</v>
      </c>
      <c r="F316" s="727" t="s">
        <v>532</v>
      </c>
      <c r="G316" s="728" t="s">
        <v>254</v>
      </c>
      <c r="H316" s="727"/>
      <c r="I316" s="727" t="s">
        <v>559</v>
      </c>
      <c r="J316" s="727" t="s">
        <v>560</v>
      </c>
      <c r="K316" s="729">
        <v>8516692</v>
      </c>
      <c r="L316" s="728" t="s">
        <v>175</v>
      </c>
      <c r="M316" s="728" t="s">
        <v>176</v>
      </c>
      <c r="N316" s="727"/>
      <c r="O316" s="727"/>
      <c r="P316" s="727"/>
      <c r="Q316" s="727"/>
      <c r="R316" s="730"/>
      <c r="S316" s="727"/>
      <c r="T316" s="728" t="s">
        <v>179</v>
      </c>
    </row>
    <row r="317" ht="34.5">
      <c r="A317" s="728" t="s">
        <v>338</v>
      </c>
      <c r="B317" s="728" t="s">
        <v>339</v>
      </c>
      <c r="C317" s="728" t="s">
        <v>479</v>
      </c>
      <c r="D317" s="728" t="s">
        <v>558</v>
      </c>
      <c r="E317" s="728" t="s">
        <v>532</v>
      </c>
      <c r="F317" s="727" t="s">
        <v>532</v>
      </c>
      <c r="G317" s="728" t="s">
        <v>254</v>
      </c>
      <c r="H317" s="727"/>
      <c r="I317" s="727" t="s">
        <v>559</v>
      </c>
      <c r="J317" s="727" t="s">
        <v>561</v>
      </c>
      <c r="K317" s="729">
        <v>-760985</v>
      </c>
      <c r="L317" s="728" t="s">
        <v>175</v>
      </c>
      <c r="M317" s="728" t="s">
        <v>176</v>
      </c>
      <c r="N317" s="727"/>
      <c r="O317" s="727"/>
      <c r="P317" s="727"/>
      <c r="Q317" s="727"/>
      <c r="R317" s="730"/>
      <c r="S317" s="727"/>
      <c r="T317" s="728" t="s">
        <v>179</v>
      </c>
    </row>
    <row r="318" ht="34.5">
      <c r="A318" s="728" t="s">
        <v>338</v>
      </c>
      <c r="B318" s="728" t="s">
        <v>339</v>
      </c>
      <c r="C318" s="728" t="s">
        <v>479</v>
      </c>
      <c r="D318" s="728" t="s">
        <v>558</v>
      </c>
      <c r="E318" s="728" t="s">
        <v>532</v>
      </c>
      <c r="F318" s="727" t="s">
        <v>532</v>
      </c>
      <c r="G318" s="728" t="s">
        <v>254</v>
      </c>
      <c r="H318" s="727"/>
      <c r="I318" s="727" t="s">
        <v>559</v>
      </c>
      <c r="J318" s="727" t="s">
        <v>274</v>
      </c>
      <c r="K318" s="729">
        <v>634461</v>
      </c>
      <c r="L318" s="728" t="s">
        <v>175</v>
      </c>
      <c r="M318" s="728" t="s">
        <v>176</v>
      </c>
      <c r="N318" s="727"/>
      <c r="O318" s="727"/>
      <c r="P318" s="727"/>
      <c r="Q318" s="727"/>
      <c r="R318" s="730"/>
      <c r="S318" s="727"/>
      <c r="T318" s="728" t="s">
        <v>179</v>
      </c>
    </row>
    <row r="319" ht="34.5">
      <c r="A319" s="728" t="s">
        <v>338</v>
      </c>
      <c r="B319" s="728" t="s">
        <v>339</v>
      </c>
      <c r="C319" s="728" t="s">
        <v>479</v>
      </c>
      <c r="D319" s="728" t="s">
        <v>558</v>
      </c>
      <c r="E319" s="728" t="s">
        <v>532</v>
      </c>
      <c r="F319" s="727" t="s">
        <v>532</v>
      </c>
      <c r="G319" s="728" t="s">
        <v>254</v>
      </c>
      <c r="H319" s="727"/>
      <c r="I319" s="727" t="s">
        <v>559</v>
      </c>
      <c r="J319" s="727" t="s">
        <v>562</v>
      </c>
      <c r="K319" s="729">
        <v>8390168</v>
      </c>
      <c r="L319" s="728" t="s">
        <v>175</v>
      </c>
      <c r="M319" s="728" t="s">
        <v>176</v>
      </c>
      <c r="N319" s="727"/>
      <c r="O319" s="727"/>
      <c r="P319" s="727"/>
      <c r="Q319" s="727"/>
      <c r="R319" s="730"/>
      <c r="S319" s="727" t="s">
        <v>332</v>
      </c>
      <c r="T319" s="728" t="s">
        <v>179</v>
      </c>
    </row>
    <row r="320" ht="34.5">
      <c r="A320" s="728" t="s">
        <v>167</v>
      </c>
      <c r="B320" s="728" t="s">
        <v>168</v>
      </c>
      <c r="C320" s="728" t="s">
        <v>564</v>
      </c>
      <c r="D320" s="728" t="s">
        <v>565</v>
      </c>
      <c r="E320" s="728" t="s">
        <v>532</v>
      </c>
      <c r="F320" s="727" t="s">
        <v>532</v>
      </c>
      <c r="G320" s="728" t="s">
        <v>254</v>
      </c>
      <c r="H320" s="727"/>
      <c r="I320" s="727" t="s">
        <v>566</v>
      </c>
      <c r="J320" s="727" t="s">
        <v>567</v>
      </c>
      <c r="K320" s="729">
        <v>467592</v>
      </c>
      <c r="L320" s="728" t="s">
        <v>175</v>
      </c>
      <c r="M320" s="728" t="s">
        <v>176</v>
      </c>
      <c r="N320" s="727"/>
      <c r="O320" s="727"/>
      <c r="P320" s="727"/>
      <c r="Q320" s="727"/>
      <c r="R320" s="730"/>
      <c r="S320" s="727"/>
      <c r="T320" s="728" t="s">
        <v>179</v>
      </c>
    </row>
    <row r="321" ht="34.5">
      <c r="A321" s="728" t="s">
        <v>167</v>
      </c>
      <c r="B321" s="728" t="s">
        <v>168</v>
      </c>
      <c r="C321" s="728" t="s">
        <v>564</v>
      </c>
      <c r="D321" s="728" t="s">
        <v>565</v>
      </c>
      <c r="E321" s="728" t="s">
        <v>532</v>
      </c>
      <c r="F321" s="727" t="s">
        <v>532</v>
      </c>
      <c r="G321" s="728" t="s">
        <v>254</v>
      </c>
      <c r="H321" s="727"/>
      <c r="I321" s="727" t="s">
        <v>566</v>
      </c>
      <c r="J321" s="727" t="s">
        <v>568</v>
      </c>
      <c r="K321" s="729">
        <v>576580</v>
      </c>
      <c r="L321" s="728" t="s">
        <v>175</v>
      </c>
      <c r="M321" s="728" t="s">
        <v>176</v>
      </c>
      <c r="N321" s="727"/>
      <c r="O321" s="727"/>
      <c r="P321" s="727"/>
      <c r="Q321" s="727"/>
      <c r="R321" s="730"/>
      <c r="S321" s="727"/>
      <c r="T321" s="728" t="s">
        <v>179</v>
      </c>
    </row>
    <row r="322" ht="34.5">
      <c r="A322" s="728" t="s">
        <v>326</v>
      </c>
      <c r="B322" s="728" t="s">
        <v>168</v>
      </c>
      <c r="C322" s="728" t="s">
        <v>564</v>
      </c>
      <c r="D322" s="728" t="s">
        <v>565</v>
      </c>
      <c r="E322" s="728" t="s">
        <v>532</v>
      </c>
      <c r="F322" s="727" t="s">
        <v>532</v>
      </c>
      <c r="G322" s="728" t="s">
        <v>254</v>
      </c>
      <c r="H322" s="727"/>
      <c r="I322" s="727" t="s">
        <v>566</v>
      </c>
      <c r="J322" s="727" t="s">
        <v>567</v>
      </c>
      <c r="K322" s="729">
        <v>467592</v>
      </c>
      <c r="L322" s="728" t="s">
        <v>175</v>
      </c>
      <c r="M322" s="728" t="s">
        <v>176</v>
      </c>
      <c r="N322" s="727"/>
      <c r="O322" s="727"/>
      <c r="P322" s="727"/>
      <c r="Q322" s="727"/>
      <c r="R322" s="730"/>
      <c r="S322" s="727"/>
      <c r="T322" s="728" t="s">
        <v>179</v>
      </c>
    </row>
    <row r="323" ht="34.5">
      <c r="A323" s="728" t="s">
        <v>326</v>
      </c>
      <c r="B323" s="728" t="s">
        <v>168</v>
      </c>
      <c r="C323" s="728" t="s">
        <v>564</v>
      </c>
      <c r="D323" s="728" t="s">
        <v>565</v>
      </c>
      <c r="E323" s="728" t="s">
        <v>532</v>
      </c>
      <c r="F323" s="727" t="s">
        <v>532</v>
      </c>
      <c r="G323" s="728" t="s">
        <v>254</v>
      </c>
      <c r="H323" s="727"/>
      <c r="I323" s="727" t="s">
        <v>566</v>
      </c>
      <c r="J323" s="727" t="s">
        <v>568</v>
      </c>
      <c r="K323" s="729">
        <v>595230</v>
      </c>
      <c r="L323" s="728" t="s">
        <v>175</v>
      </c>
      <c r="M323" s="728" t="s">
        <v>176</v>
      </c>
      <c r="N323" s="727"/>
      <c r="O323" s="727"/>
      <c r="P323" s="727"/>
      <c r="Q323" s="727"/>
      <c r="R323" s="730"/>
      <c r="S323" s="727"/>
      <c r="T323" s="728" t="s">
        <v>179</v>
      </c>
    </row>
    <row r="324" ht="34.5">
      <c r="A324" s="728" t="s">
        <v>327</v>
      </c>
      <c r="B324" s="728" t="s">
        <v>328</v>
      </c>
      <c r="C324" s="728" t="s">
        <v>564</v>
      </c>
      <c r="D324" s="728" t="s">
        <v>558</v>
      </c>
      <c r="E324" s="728" t="s">
        <v>532</v>
      </c>
      <c r="F324" s="727" t="s">
        <v>532</v>
      </c>
      <c r="G324" s="728" t="s">
        <v>254</v>
      </c>
      <c r="H324" s="727"/>
      <c r="I324" s="727" t="s">
        <v>566</v>
      </c>
      <c r="J324" s="727" t="s">
        <v>569</v>
      </c>
      <c r="K324" s="729">
        <v>467592</v>
      </c>
      <c r="L324" s="728" t="s">
        <v>175</v>
      </c>
      <c r="M324" s="728" t="s">
        <v>176</v>
      </c>
      <c r="N324" s="727"/>
      <c r="O324" s="727"/>
      <c r="P324" s="727"/>
      <c r="Q324" s="727"/>
      <c r="R324" s="730"/>
      <c r="S324" s="727"/>
      <c r="T324" s="728" t="s">
        <v>179</v>
      </c>
    </row>
    <row r="325" ht="34.5">
      <c r="A325" s="728" t="s">
        <v>327</v>
      </c>
      <c r="B325" s="728" t="s">
        <v>328</v>
      </c>
      <c r="C325" s="728" t="s">
        <v>564</v>
      </c>
      <c r="D325" s="728" t="s">
        <v>558</v>
      </c>
      <c r="E325" s="728" t="s">
        <v>532</v>
      </c>
      <c r="F325" s="727" t="s">
        <v>532</v>
      </c>
      <c r="G325" s="728" t="s">
        <v>254</v>
      </c>
      <c r="H325" s="727"/>
      <c r="I325" s="727" t="s">
        <v>566</v>
      </c>
      <c r="J325" s="727" t="s">
        <v>570</v>
      </c>
      <c r="K325" s="729">
        <v>610919</v>
      </c>
      <c r="L325" s="728" t="s">
        <v>175</v>
      </c>
      <c r="M325" s="728" t="s">
        <v>176</v>
      </c>
      <c r="N325" s="727"/>
      <c r="O325" s="727"/>
      <c r="P325" s="727"/>
      <c r="Q325" s="727"/>
      <c r="R325" s="730"/>
      <c r="S325" s="727"/>
      <c r="T325" s="728" t="s">
        <v>179</v>
      </c>
    </row>
    <row r="326" ht="34.5">
      <c r="A326" s="728" t="s">
        <v>167</v>
      </c>
      <c r="B326" s="728" t="s">
        <v>168</v>
      </c>
      <c r="C326" s="728" t="s">
        <v>564</v>
      </c>
      <c r="D326" s="728" t="s">
        <v>170</v>
      </c>
      <c r="E326" s="728" t="s">
        <v>571</v>
      </c>
      <c r="F326" s="727" t="s">
        <v>571</v>
      </c>
      <c r="G326" s="728" t="s">
        <v>258</v>
      </c>
      <c r="H326" s="727"/>
      <c r="I326" s="727" t="s">
        <v>572</v>
      </c>
      <c r="J326" s="727" t="s">
        <v>573</v>
      </c>
      <c r="K326" s="729"/>
      <c r="L326" s="728" t="s">
        <v>175</v>
      </c>
      <c r="M326" s="728" t="s">
        <v>176</v>
      </c>
      <c r="N326" s="727" t="s">
        <v>261</v>
      </c>
      <c r="O326" s="727"/>
      <c r="P326" s="727"/>
      <c r="Q326" s="727"/>
      <c r="R326" s="730"/>
      <c r="S326" s="727"/>
      <c r="T326" s="728" t="s">
        <v>179</v>
      </c>
    </row>
    <row r="327" ht="34.5">
      <c r="A327" s="728" t="s">
        <v>167</v>
      </c>
      <c r="B327" s="728" t="s">
        <v>168</v>
      </c>
      <c r="C327" s="728" t="s">
        <v>564</v>
      </c>
      <c r="D327" s="728" t="s">
        <v>574</v>
      </c>
      <c r="E327" s="728" t="s">
        <v>571</v>
      </c>
      <c r="F327" s="727" t="s">
        <v>571</v>
      </c>
      <c r="G327" s="728" t="s">
        <v>258</v>
      </c>
      <c r="H327" s="727"/>
      <c r="I327" s="727" t="s">
        <v>575</v>
      </c>
      <c r="J327" s="727" t="s">
        <v>576</v>
      </c>
      <c r="K327" s="729">
        <v>227539</v>
      </c>
      <c r="L327" s="728" t="s">
        <v>175</v>
      </c>
      <c r="M327" s="728" t="s">
        <v>176</v>
      </c>
      <c r="N327" s="727"/>
      <c r="O327" s="727"/>
      <c r="P327" s="727"/>
      <c r="Q327" s="727"/>
      <c r="R327" s="730"/>
      <c r="S327" s="727"/>
      <c r="T327" s="728" t="s">
        <v>179</v>
      </c>
    </row>
    <row r="328" ht="34.5">
      <c r="A328" s="728" t="s">
        <v>167</v>
      </c>
      <c r="B328" s="728" t="s">
        <v>168</v>
      </c>
      <c r="C328" s="728" t="s">
        <v>564</v>
      </c>
      <c r="D328" s="728" t="s">
        <v>574</v>
      </c>
      <c r="E328" s="728" t="s">
        <v>571</v>
      </c>
      <c r="F328" s="727" t="s">
        <v>571</v>
      </c>
      <c r="G328" s="728" t="s">
        <v>258</v>
      </c>
      <c r="H328" s="727"/>
      <c r="I328" s="727" t="s">
        <v>575</v>
      </c>
      <c r="J328" s="727" t="s">
        <v>577</v>
      </c>
      <c r="K328" s="729">
        <v>30000</v>
      </c>
      <c r="L328" s="728" t="s">
        <v>175</v>
      </c>
      <c r="M328" s="728" t="s">
        <v>176</v>
      </c>
      <c r="N328" s="727"/>
      <c r="O328" s="727"/>
      <c r="P328" s="727"/>
      <c r="Q328" s="727"/>
      <c r="R328" s="730"/>
      <c r="S328" s="727"/>
      <c r="T328" s="728" t="s">
        <v>179</v>
      </c>
    </row>
    <row r="329" ht="34.5">
      <c r="A329" s="728" t="s">
        <v>167</v>
      </c>
      <c r="B329" s="728" t="s">
        <v>168</v>
      </c>
      <c r="C329" s="728" t="s">
        <v>564</v>
      </c>
      <c r="D329" s="728" t="s">
        <v>574</v>
      </c>
      <c r="E329" s="728" t="s">
        <v>571</v>
      </c>
      <c r="F329" s="727" t="s">
        <v>571</v>
      </c>
      <c r="G329" s="728" t="s">
        <v>258</v>
      </c>
      <c r="H329" s="727"/>
      <c r="I329" s="727" t="s">
        <v>575</v>
      </c>
      <c r="J329" s="727" t="s">
        <v>578</v>
      </c>
      <c r="K329" s="729">
        <v>257539</v>
      </c>
      <c r="L329" s="728" t="s">
        <v>175</v>
      </c>
      <c r="M329" s="728" t="s">
        <v>176</v>
      </c>
      <c r="N329" s="727"/>
      <c r="O329" s="727"/>
      <c r="P329" s="727"/>
      <c r="Q329" s="727"/>
      <c r="R329" s="730"/>
      <c r="S329" s="727"/>
      <c r="T329" s="728" t="s">
        <v>179</v>
      </c>
    </row>
    <row r="330" ht="34.5">
      <c r="A330" s="728" t="s">
        <v>167</v>
      </c>
      <c r="B330" s="728" t="s">
        <v>168</v>
      </c>
      <c r="C330" s="728" t="s">
        <v>564</v>
      </c>
      <c r="D330" s="728" t="s">
        <v>574</v>
      </c>
      <c r="E330" s="728" t="s">
        <v>571</v>
      </c>
      <c r="F330" s="727" t="s">
        <v>571</v>
      </c>
      <c r="G330" s="728" t="s">
        <v>258</v>
      </c>
      <c r="H330" s="727"/>
      <c r="I330" s="727" t="s">
        <v>575</v>
      </c>
      <c r="J330" s="727" t="s">
        <v>579</v>
      </c>
      <c r="K330" s="729">
        <v>-131104</v>
      </c>
      <c r="L330" s="728" t="s">
        <v>175</v>
      </c>
      <c r="M330" s="728" t="s">
        <v>176</v>
      </c>
      <c r="N330" s="727"/>
      <c r="O330" s="727"/>
      <c r="P330" s="727"/>
      <c r="Q330" s="727"/>
      <c r="R330" s="730"/>
      <c r="S330" s="727"/>
      <c r="T330" s="728" t="s">
        <v>179</v>
      </c>
    </row>
    <row r="331" ht="34.5">
      <c r="A331" s="728" t="s">
        <v>167</v>
      </c>
      <c r="B331" s="728" t="s">
        <v>168</v>
      </c>
      <c r="C331" s="728" t="s">
        <v>564</v>
      </c>
      <c r="D331" s="728" t="s">
        <v>574</v>
      </c>
      <c r="E331" s="728" t="s">
        <v>571</v>
      </c>
      <c r="F331" s="727" t="s">
        <v>571</v>
      </c>
      <c r="G331" s="728" t="s">
        <v>258</v>
      </c>
      <c r="H331" s="727"/>
      <c r="I331" s="727" t="s">
        <v>575</v>
      </c>
      <c r="J331" s="727" t="s">
        <v>580</v>
      </c>
      <c r="K331" s="729">
        <v>-34417</v>
      </c>
      <c r="L331" s="728" t="s">
        <v>175</v>
      </c>
      <c r="M331" s="728" t="s">
        <v>176</v>
      </c>
      <c r="N331" s="727"/>
      <c r="O331" s="727"/>
      <c r="P331" s="727"/>
      <c r="Q331" s="727"/>
      <c r="R331" s="730"/>
      <c r="S331" s="727"/>
      <c r="T331" s="728" t="s">
        <v>179</v>
      </c>
    </row>
    <row r="332" ht="34.5">
      <c r="A332" s="728" t="s">
        <v>167</v>
      </c>
      <c r="B332" s="728" t="s">
        <v>168</v>
      </c>
      <c r="C332" s="728" t="s">
        <v>564</v>
      </c>
      <c r="D332" s="728" t="s">
        <v>574</v>
      </c>
      <c r="E332" s="728" t="s">
        <v>571</v>
      </c>
      <c r="F332" s="727" t="s">
        <v>571</v>
      </c>
      <c r="G332" s="728" t="s">
        <v>258</v>
      </c>
      <c r="H332" s="727"/>
      <c r="I332" s="727" t="s">
        <v>575</v>
      </c>
      <c r="J332" s="727" t="s">
        <v>581</v>
      </c>
      <c r="K332" s="729">
        <v>-165521</v>
      </c>
      <c r="L332" s="728" t="s">
        <v>175</v>
      </c>
      <c r="M332" s="728" t="s">
        <v>176</v>
      </c>
      <c r="N332" s="727"/>
      <c r="O332" s="727"/>
      <c r="P332" s="727"/>
      <c r="Q332" s="727"/>
      <c r="R332" s="730"/>
      <c r="S332" s="727"/>
      <c r="T332" s="728" t="s">
        <v>179</v>
      </c>
    </row>
    <row r="333" ht="34.5">
      <c r="A333" s="728" t="s">
        <v>167</v>
      </c>
      <c r="B333" s="728" t="s">
        <v>168</v>
      </c>
      <c r="C333" s="728" t="s">
        <v>564</v>
      </c>
      <c r="D333" s="728" t="s">
        <v>574</v>
      </c>
      <c r="E333" s="728" t="s">
        <v>571</v>
      </c>
      <c r="F333" s="727" t="s">
        <v>571</v>
      </c>
      <c r="G333" s="728" t="s">
        <v>258</v>
      </c>
      <c r="H333" s="727" t="s">
        <v>34</v>
      </c>
      <c r="I333" s="727" t="s">
        <v>575</v>
      </c>
      <c r="J333" s="727" t="s">
        <v>582</v>
      </c>
      <c r="K333" s="729">
        <v>92018</v>
      </c>
      <c r="L333" s="728" t="s">
        <v>175</v>
      </c>
      <c r="M333" s="728" t="s">
        <v>176</v>
      </c>
      <c r="N333" s="727"/>
      <c r="O333" s="727"/>
      <c r="P333" s="727"/>
      <c r="Q333" s="727"/>
      <c r="R333" s="730" t="s">
        <v>583</v>
      </c>
      <c r="S333" s="727" t="s">
        <v>332</v>
      </c>
      <c r="T333" s="728" t="s">
        <v>179</v>
      </c>
    </row>
    <row r="334" ht="34.5">
      <c r="A334" s="728" t="s">
        <v>326</v>
      </c>
      <c r="B334" s="728" t="s">
        <v>168</v>
      </c>
      <c r="C334" s="728" t="s">
        <v>564</v>
      </c>
      <c r="D334" s="728" t="s">
        <v>574</v>
      </c>
      <c r="E334" s="728" t="s">
        <v>571</v>
      </c>
      <c r="F334" s="727" t="s">
        <v>571</v>
      </c>
      <c r="G334" s="728" t="s">
        <v>258</v>
      </c>
      <c r="H334" s="727"/>
      <c r="I334" s="727" t="s">
        <v>575</v>
      </c>
      <c r="J334" s="727" t="s">
        <v>576</v>
      </c>
      <c r="K334" s="729">
        <v>205039</v>
      </c>
      <c r="L334" s="728" t="s">
        <v>175</v>
      </c>
      <c r="M334" s="728" t="s">
        <v>176</v>
      </c>
      <c r="N334" s="727"/>
      <c r="O334" s="727"/>
      <c r="P334" s="727"/>
      <c r="Q334" s="727"/>
      <c r="R334" s="730"/>
      <c r="S334" s="727"/>
      <c r="T334" s="728" t="s">
        <v>179</v>
      </c>
    </row>
    <row r="335" ht="34.5">
      <c r="A335" s="728" t="s">
        <v>326</v>
      </c>
      <c r="B335" s="728" t="s">
        <v>168</v>
      </c>
      <c r="C335" s="728" t="s">
        <v>564</v>
      </c>
      <c r="D335" s="728" t="s">
        <v>574</v>
      </c>
      <c r="E335" s="728" t="s">
        <v>571</v>
      </c>
      <c r="F335" s="727" t="s">
        <v>571</v>
      </c>
      <c r="G335" s="728" t="s">
        <v>258</v>
      </c>
      <c r="H335" s="727"/>
      <c r="I335" s="727" t="s">
        <v>575</v>
      </c>
      <c r="J335" s="727" t="s">
        <v>577</v>
      </c>
      <c r="K335" s="729">
        <v>22500</v>
      </c>
      <c r="L335" s="728" t="s">
        <v>175</v>
      </c>
      <c r="M335" s="728" t="s">
        <v>176</v>
      </c>
      <c r="N335" s="727"/>
      <c r="O335" s="727"/>
      <c r="P335" s="727"/>
      <c r="Q335" s="727"/>
      <c r="R335" s="730"/>
      <c r="S335" s="727"/>
      <c r="T335" s="728" t="s">
        <v>179</v>
      </c>
    </row>
    <row r="336" ht="34.5">
      <c r="A336" s="728" t="s">
        <v>326</v>
      </c>
      <c r="B336" s="728" t="s">
        <v>168</v>
      </c>
      <c r="C336" s="728" t="s">
        <v>564</v>
      </c>
      <c r="D336" s="728" t="s">
        <v>574</v>
      </c>
      <c r="E336" s="728" t="s">
        <v>571</v>
      </c>
      <c r="F336" s="727" t="s">
        <v>571</v>
      </c>
      <c r="G336" s="728" t="s">
        <v>258</v>
      </c>
      <c r="H336" s="727"/>
      <c r="I336" s="727" t="s">
        <v>575</v>
      </c>
      <c r="J336" s="727" t="s">
        <v>578</v>
      </c>
      <c r="K336" s="729">
        <v>227539</v>
      </c>
      <c r="L336" s="728" t="s">
        <v>175</v>
      </c>
      <c r="M336" s="728" t="s">
        <v>176</v>
      </c>
      <c r="N336" s="727"/>
      <c r="O336" s="727"/>
      <c r="P336" s="727"/>
      <c r="Q336" s="727"/>
      <c r="R336" s="730"/>
      <c r="S336" s="727"/>
      <c r="T336" s="728" t="s">
        <v>179</v>
      </c>
    </row>
    <row r="337" ht="34.5">
      <c r="A337" s="728" t="s">
        <v>326</v>
      </c>
      <c r="B337" s="728" t="s">
        <v>168</v>
      </c>
      <c r="C337" s="728" t="s">
        <v>564</v>
      </c>
      <c r="D337" s="728" t="s">
        <v>574</v>
      </c>
      <c r="E337" s="728" t="s">
        <v>571</v>
      </c>
      <c r="F337" s="727" t="s">
        <v>571</v>
      </c>
      <c r="G337" s="728" t="s">
        <v>258</v>
      </c>
      <c r="H337" s="727"/>
      <c r="I337" s="727" t="s">
        <v>575</v>
      </c>
      <c r="J337" s="727" t="s">
        <v>579</v>
      </c>
      <c r="K337" s="729">
        <v>-104188</v>
      </c>
      <c r="L337" s="728" t="s">
        <v>175</v>
      </c>
      <c r="M337" s="728" t="s">
        <v>176</v>
      </c>
      <c r="N337" s="727"/>
      <c r="O337" s="727"/>
      <c r="P337" s="727"/>
      <c r="Q337" s="727"/>
      <c r="R337" s="730"/>
      <c r="S337" s="727"/>
      <c r="T337" s="728" t="s">
        <v>179</v>
      </c>
    </row>
    <row r="338" ht="34.5">
      <c r="A338" s="728" t="s">
        <v>326</v>
      </c>
      <c r="B338" s="728" t="s">
        <v>168</v>
      </c>
      <c r="C338" s="728" t="s">
        <v>564</v>
      </c>
      <c r="D338" s="728" t="s">
        <v>574</v>
      </c>
      <c r="E338" s="728" t="s">
        <v>571</v>
      </c>
      <c r="F338" s="727" t="s">
        <v>571</v>
      </c>
      <c r="G338" s="728" t="s">
        <v>258</v>
      </c>
      <c r="H338" s="727"/>
      <c r="I338" s="727" t="s">
        <v>575</v>
      </c>
      <c r="J338" s="727" t="s">
        <v>580</v>
      </c>
      <c r="K338" s="729">
        <v>-26916</v>
      </c>
      <c r="L338" s="728" t="s">
        <v>175</v>
      </c>
      <c r="M338" s="728" t="s">
        <v>176</v>
      </c>
      <c r="N338" s="727"/>
      <c r="O338" s="727"/>
      <c r="P338" s="727"/>
      <c r="Q338" s="727"/>
      <c r="R338" s="730"/>
      <c r="S338" s="727"/>
      <c r="T338" s="728" t="s">
        <v>179</v>
      </c>
    </row>
    <row r="339" ht="34.5">
      <c r="A339" s="728" t="s">
        <v>326</v>
      </c>
      <c r="B339" s="728" t="s">
        <v>168</v>
      </c>
      <c r="C339" s="728" t="s">
        <v>564</v>
      </c>
      <c r="D339" s="728" t="s">
        <v>574</v>
      </c>
      <c r="E339" s="728" t="s">
        <v>571</v>
      </c>
      <c r="F339" s="727" t="s">
        <v>571</v>
      </c>
      <c r="G339" s="728" t="s">
        <v>258</v>
      </c>
      <c r="H339" s="727"/>
      <c r="I339" s="727" t="s">
        <v>575</v>
      </c>
      <c r="J339" s="727" t="s">
        <v>581</v>
      </c>
      <c r="K339" s="729">
        <v>-131104</v>
      </c>
      <c r="L339" s="728" t="s">
        <v>175</v>
      </c>
      <c r="M339" s="728" t="s">
        <v>176</v>
      </c>
      <c r="N339" s="727"/>
      <c r="O339" s="727"/>
      <c r="P339" s="727"/>
      <c r="Q339" s="727"/>
      <c r="R339" s="730"/>
      <c r="S339" s="727"/>
      <c r="T339" s="728" t="s">
        <v>179</v>
      </c>
    </row>
    <row r="340" ht="34.5">
      <c r="A340" s="728" t="s">
        <v>326</v>
      </c>
      <c r="B340" s="728" t="s">
        <v>168</v>
      </c>
      <c r="C340" s="728" t="s">
        <v>564</v>
      </c>
      <c r="D340" s="728" t="s">
        <v>574</v>
      </c>
      <c r="E340" s="728" t="s">
        <v>571</v>
      </c>
      <c r="F340" s="727" t="s">
        <v>571</v>
      </c>
      <c r="G340" s="728" t="s">
        <v>258</v>
      </c>
      <c r="H340" s="727" t="s">
        <v>34</v>
      </c>
      <c r="I340" s="727" t="s">
        <v>575</v>
      </c>
      <c r="J340" s="727" t="s">
        <v>582</v>
      </c>
      <c r="K340" s="729">
        <v>96435</v>
      </c>
      <c r="L340" s="728" t="s">
        <v>175</v>
      </c>
      <c r="M340" s="728" t="s">
        <v>176</v>
      </c>
      <c r="N340" s="727"/>
      <c r="O340" s="727"/>
      <c r="P340" s="727"/>
      <c r="Q340" s="727"/>
      <c r="R340" s="730" t="s">
        <v>584</v>
      </c>
      <c r="S340" s="727" t="s">
        <v>332</v>
      </c>
      <c r="T340" s="728" t="s">
        <v>179</v>
      </c>
    </row>
    <row r="341" ht="34.5">
      <c r="A341" s="728" t="s">
        <v>327</v>
      </c>
      <c r="B341" s="728" t="s">
        <v>328</v>
      </c>
      <c r="C341" s="728" t="s">
        <v>564</v>
      </c>
      <c r="D341" s="728" t="s">
        <v>565</v>
      </c>
      <c r="E341" s="728" t="s">
        <v>571</v>
      </c>
      <c r="F341" s="727" t="s">
        <v>571</v>
      </c>
      <c r="G341" s="728" t="s">
        <v>258</v>
      </c>
      <c r="H341" s="727"/>
      <c r="I341" s="727" t="s">
        <v>575</v>
      </c>
      <c r="J341" s="727" t="s">
        <v>576</v>
      </c>
      <c r="K341" s="729">
        <v>187896</v>
      </c>
      <c r="L341" s="728" t="s">
        <v>175</v>
      </c>
      <c r="M341" s="728" t="s">
        <v>176</v>
      </c>
      <c r="N341" s="727"/>
      <c r="O341" s="727"/>
      <c r="P341" s="727"/>
      <c r="Q341" s="727"/>
      <c r="R341" s="730"/>
      <c r="S341" s="727"/>
      <c r="T341" s="728" t="s">
        <v>179</v>
      </c>
    </row>
    <row r="342" ht="34.5">
      <c r="A342" s="728" t="s">
        <v>327</v>
      </c>
      <c r="B342" s="728" t="s">
        <v>328</v>
      </c>
      <c r="C342" s="728" t="s">
        <v>564</v>
      </c>
      <c r="D342" s="728" t="s">
        <v>565</v>
      </c>
      <c r="E342" s="728" t="s">
        <v>571</v>
      </c>
      <c r="F342" s="727" t="s">
        <v>571</v>
      </c>
      <c r="G342" s="728" t="s">
        <v>258</v>
      </c>
      <c r="H342" s="727"/>
      <c r="I342" s="727" t="s">
        <v>575</v>
      </c>
      <c r="J342" s="727" t="s">
        <v>577</v>
      </c>
      <c r="K342" s="729">
        <v>17143</v>
      </c>
      <c r="L342" s="728" t="s">
        <v>175</v>
      </c>
      <c r="M342" s="728" t="s">
        <v>176</v>
      </c>
      <c r="N342" s="727"/>
      <c r="O342" s="727"/>
      <c r="P342" s="727"/>
      <c r="Q342" s="727"/>
      <c r="R342" s="730"/>
      <c r="S342" s="727"/>
      <c r="T342" s="728" t="s">
        <v>179</v>
      </c>
    </row>
    <row r="343" ht="34.5">
      <c r="A343" s="728" t="s">
        <v>327</v>
      </c>
      <c r="B343" s="728" t="s">
        <v>328</v>
      </c>
      <c r="C343" s="728" t="s">
        <v>564</v>
      </c>
      <c r="D343" s="728" t="s">
        <v>565</v>
      </c>
      <c r="E343" s="728" t="s">
        <v>571</v>
      </c>
      <c r="F343" s="727" t="s">
        <v>571</v>
      </c>
      <c r="G343" s="728" t="s">
        <v>258</v>
      </c>
      <c r="H343" s="727"/>
      <c r="I343" s="727" t="s">
        <v>575</v>
      </c>
      <c r="J343" s="727" t="s">
        <v>578</v>
      </c>
      <c r="K343" s="729">
        <v>205039</v>
      </c>
      <c r="L343" s="728" t="s">
        <v>175</v>
      </c>
      <c r="M343" s="728" t="s">
        <v>176</v>
      </c>
      <c r="N343" s="727"/>
      <c r="O343" s="727"/>
      <c r="P343" s="727"/>
      <c r="Q343" s="727"/>
      <c r="R343" s="730"/>
      <c r="S343" s="727"/>
      <c r="T343" s="728" t="s">
        <v>179</v>
      </c>
    </row>
    <row r="344" ht="34.5">
      <c r="A344" s="728" t="s">
        <v>327</v>
      </c>
      <c r="B344" s="728" t="s">
        <v>328</v>
      </c>
      <c r="C344" s="728" t="s">
        <v>564</v>
      </c>
      <c r="D344" s="728" t="s">
        <v>565</v>
      </c>
      <c r="E344" s="728" t="s">
        <v>571</v>
      </c>
      <c r="F344" s="727" t="s">
        <v>571</v>
      </c>
      <c r="G344" s="728" t="s">
        <v>258</v>
      </c>
      <c r="H344" s="727"/>
      <c r="I344" s="727" t="s">
        <v>575</v>
      </c>
      <c r="J344" s="727" t="s">
        <v>579</v>
      </c>
      <c r="K344" s="729">
        <v>-82628</v>
      </c>
      <c r="L344" s="728" t="s">
        <v>175</v>
      </c>
      <c r="M344" s="728" t="s">
        <v>176</v>
      </c>
      <c r="N344" s="727"/>
      <c r="O344" s="727"/>
      <c r="P344" s="727"/>
      <c r="Q344" s="727"/>
      <c r="R344" s="730"/>
      <c r="S344" s="727"/>
      <c r="T344" s="728" t="s">
        <v>179</v>
      </c>
    </row>
    <row r="345" ht="34.5">
      <c r="A345" s="728" t="s">
        <v>327</v>
      </c>
      <c r="B345" s="728" t="s">
        <v>328</v>
      </c>
      <c r="C345" s="728" t="s">
        <v>564</v>
      </c>
      <c r="D345" s="728" t="s">
        <v>565</v>
      </c>
      <c r="E345" s="728" t="s">
        <v>571</v>
      </c>
      <c r="F345" s="727" t="s">
        <v>571</v>
      </c>
      <c r="G345" s="728" t="s">
        <v>258</v>
      </c>
      <c r="H345" s="727"/>
      <c r="I345" s="727" t="s">
        <v>575</v>
      </c>
      <c r="J345" s="727" t="s">
        <v>580</v>
      </c>
      <c r="K345" s="729">
        <v>-21560</v>
      </c>
      <c r="L345" s="728" t="s">
        <v>175</v>
      </c>
      <c r="M345" s="728" t="s">
        <v>176</v>
      </c>
      <c r="N345" s="727"/>
      <c r="O345" s="727"/>
      <c r="P345" s="727"/>
      <c r="Q345" s="727"/>
      <c r="R345" s="730"/>
      <c r="S345" s="727"/>
      <c r="T345" s="728" t="s">
        <v>179</v>
      </c>
    </row>
    <row r="346" ht="34.5">
      <c r="A346" s="728" t="s">
        <v>327</v>
      </c>
      <c r="B346" s="728" t="s">
        <v>328</v>
      </c>
      <c r="C346" s="728" t="s">
        <v>564</v>
      </c>
      <c r="D346" s="728" t="s">
        <v>565</v>
      </c>
      <c r="E346" s="728" t="s">
        <v>571</v>
      </c>
      <c r="F346" s="727" t="s">
        <v>571</v>
      </c>
      <c r="G346" s="728" t="s">
        <v>258</v>
      </c>
      <c r="H346" s="727"/>
      <c r="I346" s="727" t="s">
        <v>575</v>
      </c>
      <c r="J346" s="727" t="s">
        <v>581</v>
      </c>
      <c r="K346" s="729">
        <v>-104188</v>
      </c>
      <c r="L346" s="728" t="s">
        <v>175</v>
      </c>
      <c r="M346" s="728" t="s">
        <v>176</v>
      </c>
      <c r="N346" s="727"/>
      <c r="O346" s="727"/>
      <c r="P346" s="727"/>
      <c r="Q346" s="727"/>
      <c r="R346" s="730"/>
      <c r="S346" s="727"/>
      <c r="T346" s="728" t="s">
        <v>179</v>
      </c>
    </row>
    <row r="347" ht="34.5">
      <c r="A347" s="728" t="s">
        <v>327</v>
      </c>
      <c r="B347" s="728" t="s">
        <v>328</v>
      </c>
      <c r="C347" s="728" t="s">
        <v>564</v>
      </c>
      <c r="D347" s="728" t="s">
        <v>565</v>
      </c>
      <c r="E347" s="728" t="s">
        <v>571</v>
      </c>
      <c r="F347" s="727" t="s">
        <v>571</v>
      </c>
      <c r="G347" s="728" t="s">
        <v>258</v>
      </c>
      <c r="H347" s="727" t="s">
        <v>34</v>
      </c>
      <c r="I347" s="727" t="s">
        <v>575</v>
      </c>
      <c r="J347" s="727" t="s">
        <v>582</v>
      </c>
      <c r="K347" s="729">
        <v>100851</v>
      </c>
      <c r="L347" s="728" t="s">
        <v>175</v>
      </c>
      <c r="M347" s="728" t="s">
        <v>176</v>
      </c>
      <c r="N347" s="727"/>
      <c r="O347" s="727"/>
      <c r="P347" s="727"/>
      <c r="Q347" s="727"/>
      <c r="R347" s="730" t="s">
        <v>585</v>
      </c>
      <c r="S347" s="727" t="s">
        <v>332</v>
      </c>
      <c r="T347" s="728" t="s">
        <v>179</v>
      </c>
    </row>
    <row r="348" ht="34.5">
      <c r="A348" s="728" t="s">
        <v>333</v>
      </c>
      <c r="B348" s="728" t="s">
        <v>334</v>
      </c>
      <c r="C348" s="728" t="s">
        <v>564</v>
      </c>
      <c r="D348" s="728" t="s">
        <v>565</v>
      </c>
      <c r="E348" s="728" t="s">
        <v>571</v>
      </c>
      <c r="F348" s="727" t="s">
        <v>571</v>
      </c>
      <c r="G348" s="728" t="s">
        <v>258</v>
      </c>
      <c r="H348" s="727"/>
      <c r="I348" s="727" t="s">
        <v>575</v>
      </c>
      <c r="J348" s="727" t="s">
        <v>576</v>
      </c>
      <c r="K348" s="729">
        <v>172896</v>
      </c>
      <c r="L348" s="728" t="s">
        <v>175</v>
      </c>
      <c r="M348" s="728" t="s">
        <v>176</v>
      </c>
      <c r="N348" s="727"/>
      <c r="O348" s="727"/>
      <c r="P348" s="727"/>
      <c r="Q348" s="727"/>
      <c r="R348" s="730"/>
      <c r="S348" s="727"/>
      <c r="T348" s="728" t="s">
        <v>179</v>
      </c>
    </row>
    <row r="349" ht="34.5">
      <c r="A349" s="728" t="s">
        <v>333</v>
      </c>
      <c r="B349" s="728" t="s">
        <v>334</v>
      </c>
      <c r="C349" s="728" t="s">
        <v>564</v>
      </c>
      <c r="D349" s="728" t="s">
        <v>565</v>
      </c>
      <c r="E349" s="728" t="s">
        <v>571</v>
      </c>
      <c r="F349" s="727" t="s">
        <v>571</v>
      </c>
      <c r="G349" s="728" t="s">
        <v>258</v>
      </c>
      <c r="H349" s="727"/>
      <c r="I349" s="727" t="s">
        <v>575</v>
      </c>
      <c r="J349" s="727" t="s">
        <v>577</v>
      </c>
      <c r="K349" s="729">
        <v>15000</v>
      </c>
      <c r="L349" s="728" t="s">
        <v>175</v>
      </c>
      <c r="M349" s="728" t="s">
        <v>176</v>
      </c>
      <c r="N349" s="727"/>
      <c r="O349" s="727"/>
      <c r="P349" s="727"/>
      <c r="Q349" s="727"/>
      <c r="R349" s="730"/>
      <c r="S349" s="727"/>
      <c r="T349" s="728" t="s">
        <v>179</v>
      </c>
    </row>
    <row r="350" ht="34.5">
      <c r="A350" s="728" t="s">
        <v>333</v>
      </c>
      <c r="B350" s="728" t="s">
        <v>334</v>
      </c>
      <c r="C350" s="728" t="s">
        <v>564</v>
      </c>
      <c r="D350" s="728" t="s">
        <v>565</v>
      </c>
      <c r="E350" s="728" t="s">
        <v>571</v>
      </c>
      <c r="F350" s="727" t="s">
        <v>571</v>
      </c>
      <c r="G350" s="728" t="s">
        <v>258</v>
      </c>
      <c r="H350" s="727"/>
      <c r="I350" s="727" t="s">
        <v>575</v>
      </c>
      <c r="J350" s="727" t="s">
        <v>578</v>
      </c>
      <c r="K350" s="729">
        <v>187896</v>
      </c>
      <c r="L350" s="728" t="s">
        <v>175</v>
      </c>
      <c r="M350" s="728" t="s">
        <v>176</v>
      </c>
      <c r="N350" s="727"/>
      <c r="O350" s="727"/>
      <c r="P350" s="727"/>
      <c r="Q350" s="727"/>
      <c r="R350" s="730"/>
      <c r="S350" s="727"/>
      <c r="T350" s="728" t="s">
        <v>179</v>
      </c>
    </row>
    <row r="351" ht="34.5">
      <c r="A351" s="728" t="s">
        <v>333</v>
      </c>
      <c r="B351" s="728" t="s">
        <v>334</v>
      </c>
      <c r="C351" s="728" t="s">
        <v>564</v>
      </c>
      <c r="D351" s="728" t="s">
        <v>565</v>
      </c>
      <c r="E351" s="728" t="s">
        <v>571</v>
      </c>
      <c r="F351" s="727" t="s">
        <v>571</v>
      </c>
      <c r="G351" s="728" t="s">
        <v>258</v>
      </c>
      <c r="H351" s="727"/>
      <c r="I351" s="727" t="s">
        <v>575</v>
      </c>
      <c r="J351" s="727" t="s">
        <v>579</v>
      </c>
      <c r="K351" s="729">
        <v>-63211</v>
      </c>
      <c r="L351" s="728" t="s">
        <v>175</v>
      </c>
      <c r="M351" s="728" t="s">
        <v>176</v>
      </c>
      <c r="N351" s="727"/>
      <c r="O351" s="727"/>
      <c r="P351" s="727"/>
      <c r="Q351" s="727"/>
      <c r="R351" s="730"/>
      <c r="S351" s="727"/>
      <c r="T351" s="728" t="s">
        <v>179</v>
      </c>
    </row>
    <row r="352" ht="34.5">
      <c r="A352" s="728" t="s">
        <v>333</v>
      </c>
      <c r="B352" s="728" t="s">
        <v>334</v>
      </c>
      <c r="C352" s="728" t="s">
        <v>564</v>
      </c>
      <c r="D352" s="728" t="s">
        <v>565</v>
      </c>
      <c r="E352" s="728" t="s">
        <v>571</v>
      </c>
      <c r="F352" s="727" t="s">
        <v>571</v>
      </c>
      <c r="G352" s="728" t="s">
        <v>258</v>
      </c>
      <c r="H352" s="727"/>
      <c r="I352" s="727" t="s">
        <v>575</v>
      </c>
      <c r="J352" s="727" t="s">
        <v>580</v>
      </c>
      <c r="K352" s="729">
        <v>-19417</v>
      </c>
      <c r="L352" s="728" t="s">
        <v>175</v>
      </c>
      <c r="M352" s="728" t="s">
        <v>176</v>
      </c>
      <c r="N352" s="727"/>
      <c r="O352" s="727"/>
      <c r="P352" s="727"/>
      <c r="Q352" s="727"/>
      <c r="R352" s="730"/>
      <c r="S352" s="727"/>
      <c r="T352" s="728" t="s">
        <v>179</v>
      </c>
    </row>
    <row r="353" ht="34.5">
      <c r="A353" s="728" t="s">
        <v>333</v>
      </c>
      <c r="B353" s="728" t="s">
        <v>334</v>
      </c>
      <c r="C353" s="728" t="s">
        <v>564</v>
      </c>
      <c r="D353" s="728" t="s">
        <v>565</v>
      </c>
      <c r="E353" s="728" t="s">
        <v>571</v>
      </c>
      <c r="F353" s="727" t="s">
        <v>571</v>
      </c>
      <c r="G353" s="728" t="s">
        <v>258</v>
      </c>
      <c r="H353" s="727"/>
      <c r="I353" s="727" t="s">
        <v>575</v>
      </c>
      <c r="J353" s="727" t="s">
        <v>581</v>
      </c>
      <c r="K353" s="729">
        <v>-82628</v>
      </c>
      <c r="L353" s="728" t="s">
        <v>175</v>
      </c>
      <c r="M353" s="728" t="s">
        <v>176</v>
      </c>
      <c r="N353" s="727"/>
      <c r="O353" s="727"/>
      <c r="P353" s="727"/>
      <c r="Q353" s="727"/>
      <c r="R353" s="730"/>
      <c r="S353" s="727"/>
      <c r="T353" s="728" t="s">
        <v>179</v>
      </c>
    </row>
    <row r="354" ht="34.5">
      <c r="A354" s="728" t="s">
        <v>333</v>
      </c>
      <c r="B354" s="728" t="s">
        <v>334</v>
      </c>
      <c r="C354" s="728" t="s">
        <v>564</v>
      </c>
      <c r="D354" s="728" t="s">
        <v>565</v>
      </c>
      <c r="E354" s="728" t="s">
        <v>571</v>
      </c>
      <c r="F354" s="727" t="s">
        <v>571</v>
      </c>
      <c r="G354" s="728" t="s">
        <v>258</v>
      </c>
      <c r="H354" s="727" t="s">
        <v>34</v>
      </c>
      <c r="I354" s="727" t="s">
        <v>575</v>
      </c>
      <c r="J354" s="727" t="s">
        <v>582</v>
      </c>
      <c r="K354" s="729">
        <v>105268</v>
      </c>
      <c r="L354" s="728" t="s">
        <v>175</v>
      </c>
      <c r="M354" s="728" t="s">
        <v>176</v>
      </c>
      <c r="N354" s="727"/>
      <c r="O354" s="727"/>
      <c r="P354" s="727"/>
      <c r="Q354" s="727"/>
      <c r="R354" s="730" t="s">
        <v>586</v>
      </c>
      <c r="S354" s="727" t="s">
        <v>332</v>
      </c>
      <c r="T354" s="728" t="s">
        <v>179</v>
      </c>
    </row>
    <row r="355" ht="34.5">
      <c r="A355" s="728" t="s">
        <v>338</v>
      </c>
      <c r="B355" s="728" t="s">
        <v>339</v>
      </c>
      <c r="C355" s="728" t="s">
        <v>479</v>
      </c>
      <c r="D355" s="728" t="s">
        <v>565</v>
      </c>
      <c r="E355" s="728" t="s">
        <v>571</v>
      </c>
      <c r="F355" s="727" t="s">
        <v>571</v>
      </c>
      <c r="G355" s="728" t="s">
        <v>258</v>
      </c>
      <c r="H355" s="727"/>
      <c r="I355" s="727" t="s">
        <v>575</v>
      </c>
      <c r="J355" s="727" t="s">
        <v>576</v>
      </c>
      <c r="K355" s="729">
        <v>47475</v>
      </c>
      <c r="L355" s="728" t="s">
        <v>175</v>
      </c>
      <c r="M355" s="728" t="s">
        <v>176</v>
      </c>
      <c r="N355" s="727"/>
      <c r="O355" s="727"/>
      <c r="P355" s="727"/>
      <c r="Q355" s="727"/>
      <c r="R355" s="730"/>
      <c r="S355" s="727"/>
      <c r="T355" s="728" t="s">
        <v>179</v>
      </c>
    </row>
    <row r="356" ht="34.5">
      <c r="A356" s="728" t="s">
        <v>338</v>
      </c>
      <c r="B356" s="728" t="s">
        <v>339</v>
      </c>
      <c r="C356" s="728" t="s">
        <v>479</v>
      </c>
      <c r="D356" s="728" t="s">
        <v>565</v>
      </c>
      <c r="E356" s="728" t="s">
        <v>571</v>
      </c>
      <c r="F356" s="727" t="s">
        <v>571</v>
      </c>
      <c r="G356" s="728" t="s">
        <v>258</v>
      </c>
      <c r="H356" s="727"/>
      <c r="I356" s="727" t="s">
        <v>575</v>
      </c>
      <c r="J356" s="727" t="s">
        <v>577</v>
      </c>
      <c r="K356" s="729">
        <v>125421</v>
      </c>
      <c r="L356" s="728" t="s">
        <v>175</v>
      </c>
      <c r="M356" s="728" t="s">
        <v>176</v>
      </c>
      <c r="N356" s="727"/>
      <c r="O356" s="727"/>
      <c r="P356" s="727"/>
      <c r="Q356" s="727"/>
      <c r="R356" s="730"/>
      <c r="S356" s="727"/>
      <c r="T356" s="728" t="s">
        <v>179</v>
      </c>
    </row>
    <row r="357" ht="34.5">
      <c r="A357" s="728" t="s">
        <v>338</v>
      </c>
      <c r="B357" s="728" t="s">
        <v>339</v>
      </c>
      <c r="C357" s="728" t="s">
        <v>479</v>
      </c>
      <c r="D357" s="728" t="s">
        <v>565</v>
      </c>
      <c r="E357" s="728" t="s">
        <v>571</v>
      </c>
      <c r="F357" s="727" t="s">
        <v>571</v>
      </c>
      <c r="G357" s="728" t="s">
        <v>258</v>
      </c>
      <c r="H357" s="727"/>
      <c r="I357" s="727" t="s">
        <v>575</v>
      </c>
      <c r="J357" s="727" t="s">
        <v>578</v>
      </c>
      <c r="K357" s="729">
        <v>172896</v>
      </c>
      <c r="L357" s="728" t="s">
        <v>175</v>
      </c>
      <c r="M357" s="728" t="s">
        <v>176</v>
      </c>
      <c r="N357" s="727"/>
      <c r="O357" s="727"/>
      <c r="P357" s="727"/>
      <c r="Q357" s="727"/>
      <c r="R357" s="730"/>
      <c r="S357" s="727"/>
      <c r="T357" s="728" t="s">
        <v>179</v>
      </c>
    </row>
    <row r="358" ht="34.5">
      <c r="A358" s="728" t="s">
        <v>338</v>
      </c>
      <c r="B358" s="728" t="s">
        <v>339</v>
      </c>
      <c r="C358" s="728" t="s">
        <v>479</v>
      </c>
      <c r="D358" s="728" t="s">
        <v>565</v>
      </c>
      <c r="E358" s="728" t="s">
        <v>571</v>
      </c>
      <c r="F358" s="727" t="s">
        <v>571</v>
      </c>
      <c r="G358" s="728" t="s">
        <v>258</v>
      </c>
      <c r="H358" s="727"/>
      <c r="I358" s="727" t="s">
        <v>575</v>
      </c>
      <c r="J358" s="727" t="s">
        <v>579</v>
      </c>
      <c r="K358" s="729">
        <v>-45318</v>
      </c>
      <c r="L358" s="728" t="s">
        <v>175</v>
      </c>
      <c r="M358" s="728" t="s">
        <v>176</v>
      </c>
      <c r="N358" s="727"/>
      <c r="O358" s="727"/>
      <c r="P358" s="727"/>
      <c r="Q358" s="727"/>
      <c r="R358" s="730"/>
      <c r="S358" s="727"/>
      <c r="T358" s="728" t="s">
        <v>179</v>
      </c>
    </row>
    <row r="359" ht="34.5">
      <c r="A359" s="728" t="s">
        <v>338</v>
      </c>
      <c r="B359" s="728" t="s">
        <v>339</v>
      </c>
      <c r="C359" s="728" t="s">
        <v>479</v>
      </c>
      <c r="D359" s="728" t="s">
        <v>565</v>
      </c>
      <c r="E359" s="728" t="s">
        <v>571</v>
      </c>
      <c r="F359" s="727" t="s">
        <v>571</v>
      </c>
      <c r="G359" s="728" t="s">
        <v>258</v>
      </c>
      <c r="H359" s="727"/>
      <c r="I359" s="727" t="s">
        <v>575</v>
      </c>
      <c r="J359" s="727" t="s">
        <v>580</v>
      </c>
      <c r="K359" s="729">
        <v>-17893</v>
      </c>
      <c r="L359" s="728" t="s">
        <v>175</v>
      </c>
      <c r="M359" s="728" t="s">
        <v>176</v>
      </c>
      <c r="N359" s="727"/>
      <c r="O359" s="727"/>
      <c r="P359" s="727"/>
      <c r="Q359" s="727"/>
      <c r="R359" s="730"/>
      <c r="S359" s="727"/>
      <c r="T359" s="728" t="s">
        <v>179</v>
      </c>
    </row>
    <row r="360" ht="34.5">
      <c r="A360" s="728" t="s">
        <v>338</v>
      </c>
      <c r="B360" s="728" t="s">
        <v>339</v>
      </c>
      <c r="C360" s="728" t="s">
        <v>479</v>
      </c>
      <c r="D360" s="728" t="s">
        <v>565</v>
      </c>
      <c r="E360" s="728" t="s">
        <v>571</v>
      </c>
      <c r="F360" s="727" t="s">
        <v>571</v>
      </c>
      <c r="G360" s="728" t="s">
        <v>258</v>
      </c>
      <c r="H360" s="727"/>
      <c r="I360" s="727" t="s">
        <v>575</v>
      </c>
      <c r="J360" s="727" t="s">
        <v>581</v>
      </c>
      <c r="K360" s="729">
        <v>-63211</v>
      </c>
      <c r="L360" s="728" t="s">
        <v>175</v>
      </c>
      <c r="M360" s="728" t="s">
        <v>176</v>
      </c>
      <c r="N360" s="727"/>
      <c r="O360" s="727"/>
      <c r="P360" s="727"/>
      <c r="Q360" s="727"/>
      <c r="R360" s="730"/>
      <c r="S360" s="727"/>
      <c r="T360" s="728" t="s">
        <v>179</v>
      </c>
    </row>
    <row r="361" ht="34.5">
      <c r="A361" s="728" t="s">
        <v>338</v>
      </c>
      <c r="B361" s="728" t="s">
        <v>339</v>
      </c>
      <c r="C361" s="728" t="s">
        <v>479</v>
      </c>
      <c r="D361" s="728" t="s">
        <v>565</v>
      </c>
      <c r="E361" s="728" t="s">
        <v>571</v>
      </c>
      <c r="F361" s="727" t="s">
        <v>571</v>
      </c>
      <c r="G361" s="728" t="s">
        <v>258</v>
      </c>
      <c r="H361" s="727" t="s">
        <v>34</v>
      </c>
      <c r="I361" s="727" t="s">
        <v>575</v>
      </c>
      <c r="J361" s="727" t="s">
        <v>582</v>
      </c>
      <c r="K361" s="729">
        <v>109685</v>
      </c>
      <c r="L361" s="728" t="s">
        <v>175</v>
      </c>
      <c r="M361" s="728" t="s">
        <v>176</v>
      </c>
      <c r="N361" s="727"/>
      <c r="O361" s="727"/>
      <c r="P361" s="727"/>
      <c r="Q361" s="727"/>
      <c r="R361" s="730" t="s">
        <v>587</v>
      </c>
      <c r="S361" s="727" t="s">
        <v>332</v>
      </c>
      <c r="T361" s="728" t="s">
        <v>179</v>
      </c>
    </row>
    <row r="362" ht="34.5">
      <c r="A362" s="728" t="s">
        <v>167</v>
      </c>
      <c r="B362" s="728" t="s">
        <v>168</v>
      </c>
      <c r="C362" s="728" t="s">
        <v>588</v>
      </c>
      <c r="D362" s="728" t="s">
        <v>170</v>
      </c>
      <c r="E362" s="728" t="s">
        <v>589</v>
      </c>
      <c r="F362" s="727" t="s">
        <v>589</v>
      </c>
      <c r="G362" s="728" t="s">
        <v>258</v>
      </c>
      <c r="H362" s="727"/>
      <c r="I362" s="727" t="s">
        <v>590</v>
      </c>
      <c r="J362" s="727" t="s">
        <v>591</v>
      </c>
      <c r="K362" s="729"/>
      <c r="L362" s="728" t="s">
        <v>175</v>
      </c>
      <c r="M362" s="728" t="s">
        <v>176</v>
      </c>
      <c r="N362" s="727" t="s">
        <v>592</v>
      </c>
      <c r="O362" s="727" t="s">
        <v>593</v>
      </c>
      <c r="P362" s="727"/>
      <c r="Q362" s="727"/>
      <c r="R362" s="730"/>
      <c r="S362" s="727"/>
      <c r="T362" s="728" t="s">
        <v>179</v>
      </c>
    </row>
    <row r="363" ht="34.5">
      <c r="A363" s="728" t="s">
        <v>167</v>
      </c>
      <c r="B363" s="728" t="s">
        <v>168</v>
      </c>
      <c r="C363" s="728" t="s">
        <v>588</v>
      </c>
      <c r="D363" s="728" t="s">
        <v>594</v>
      </c>
      <c r="E363" s="728" t="s">
        <v>589</v>
      </c>
      <c r="F363" s="727" t="s">
        <v>589</v>
      </c>
      <c r="G363" s="728" t="s">
        <v>258</v>
      </c>
      <c r="H363" s="727"/>
      <c r="I363" s="727" t="s">
        <v>595</v>
      </c>
      <c r="J363" s="727" t="s">
        <v>596</v>
      </c>
      <c r="K363" s="729">
        <v>28518361</v>
      </c>
      <c r="L363" s="728" t="s">
        <v>175</v>
      </c>
      <c r="M363" s="728" t="s">
        <v>176</v>
      </c>
      <c r="N363" s="727"/>
      <c r="O363" s="727"/>
      <c r="P363" s="727"/>
      <c r="Q363" s="727"/>
      <c r="R363" s="730"/>
      <c r="S363" s="727"/>
      <c r="T363" s="728" t="s">
        <v>179</v>
      </c>
    </row>
    <row r="364" ht="34.5">
      <c r="A364" s="728" t="s">
        <v>167</v>
      </c>
      <c r="B364" s="728" t="s">
        <v>168</v>
      </c>
      <c r="C364" s="728" t="s">
        <v>588</v>
      </c>
      <c r="D364" s="728" t="s">
        <v>594</v>
      </c>
      <c r="E364" s="728" t="s">
        <v>589</v>
      </c>
      <c r="F364" s="727" t="s">
        <v>589</v>
      </c>
      <c r="G364" s="728" t="s">
        <v>258</v>
      </c>
      <c r="H364" s="727"/>
      <c r="I364" s="727" t="s">
        <v>595</v>
      </c>
      <c r="J364" s="727" t="s">
        <v>597</v>
      </c>
      <c r="K364" s="729">
        <v>-8518361</v>
      </c>
      <c r="L364" s="728" t="s">
        <v>175</v>
      </c>
      <c r="M364" s="728" t="s">
        <v>176</v>
      </c>
      <c r="N364" s="727"/>
      <c r="O364" s="727"/>
      <c r="P364" s="727"/>
      <c r="Q364" s="727"/>
      <c r="R364" s="730"/>
      <c r="S364" s="727"/>
      <c r="T364" s="728" t="s">
        <v>179</v>
      </c>
    </row>
    <row r="365" ht="34.5">
      <c r="A365" s="728" t="s">
        <v>167</v>
      </c>
      <c r="B365" s="728" t="s">
        <v>168</v>
      </c>
      <c r="C365" s="728" t="s">
        <v>588</v>
      </c>
      <c r="D365" s="728" t="s">
        <v>594</v>
      </c>
      <c r="E365" s="728" t="s">
        <v>589</v>
      </c>
      <c r="F365" s="727" t="s">
        <v>589</v>
      </c>
      <c r="G365" s="728" t="s">
        <v>258</v>
      </c>
      <c r="H365" s="727" t="s">
        <v>33</v>
      </c>
      <c r="I365" s="727" t="s">
        <v>595</v>
      </c>
      <c r="J365" s="727" t="s">
        <v>33</v>
      </c>
      <c r="K365" s="729">
        <v>20000000</v>
      </c>
      <c r="L365" s="728" t="s">
        <v>175</v>
      </c>
      <c r="M365" s="728" t="s">
        <v>176</v>
      </c>
      <c r="N365" s="727"/>
      <c r="O365" s="727"/>
      <c r="P365" s="727"/>
      <c r="Q365" s="727"/>
      <c r="R365" s="730" t="s">
        <v>598</v>
      </c>
      <c r="S365" s="727" t="s">
        <v>599</v>
      </c>
      <c r="T365" s="728" t="s">
        <v>179</v>
      </c>
    </row>
    <row r="366" ht="34.5">
      <c r="A366" s="728" t="s">
        <v>167</v>
      </c>
      <c r="B366" s="728" t="s">
        <v>168</v>
      </c>
      <c r="C366" s="728" t="s">
        <v>588</v>
      </c>
      <c r="D366" s="728" t="s">
        <v>170</v>
      </c>
      <c r="E366" s="728" t="s">
        <v>589</v>
      </c>
      <c r="F366" s="727" t="s">
        <v>589</v>
      </c>
      <c r="G366" s="728" t="s">
        <v>258</v>
      </c>
      <c r="H366" s="727"/>
      <c r="I366" s="727" t="s">
        <v>600</v>
      </c>
      <c r="J366" s="727" t="s">
        <v>601</v>
      </c>
      <c r="K366" s="729"/>
      <c r="L366" s="728" t="s">
        <v>175</v>
      </c>
      <c r="M366" s="728" t="s">
        <v>176</v>
      </c>
      <c r="N366" s="727" t="s">
        <v>602</v>
      </c>
      <c r="O366" s="727"/>
      <c r="P366" s="727" t="s">
        <v>603</v>
      </c>
      <c r="Q366" s="727" t="s">
        <v>604</v>
      </c>
      <c r="R366" s="730"/>
      <c r="S366" s="727"/>
      <c r="T366" s="728" t="s">
        <v>179</v>
      </c>
    </row>
    <row r="367" ht="34.5">
      <c r="A367" s="728" t="s">
        <v>167</v>
      </c>
      <c r="B367" s="728" t="s">
        <v>168</v>
      </c>
      <c r="C367" s="728" t="s">
        <v>605</v>
      </c>
      <c r="D367" s="728" t="s">
        <v>606</v>
      </c>
      <c r="E367" s="728" t="s">
        <v>607</v>
      </c>
      <c r="F367" s="727" t="s">
        <v>607</v>
      </c>
      <c r="G367" s="728" t="s">
        <v>265</v>
      </c>
      <c r="H367" s="727"/>
      <c r="I367" s="727"/>
      <c r="J367" s="727" t="s">
        <v>608</v>
      </c>
      <c r="K367" s="729">
        <v>867825</v>
      </c>
      <c r="L367" s="728" t="s">
        <v>175</v>
      </c>
      <c r="M367" s="728" t="s">
        <v>176</v>
      </c>
      <c r="N367" s="727"/>
      <c r="O367" s="727"/>
      <c r="P367" s="727"/>
      <c r="Q367" s="727"/>
      <c r="R367" s="730"/>
      <c r="S367" s="727"/>
      <c r="T367" s="728" t="s">
        <v>179</v>
      </c>
    </row>
    <row r="368" ht="34.5">
      <c r="A368" s="728" t="s">
        <v>167</v>
      </c>
      <c r="B368" s="728" t="s">
        <v>168</v>
      </c>
      <c r="C368" s="728" t="s">
        <v>605</v>
      </c>
      <c r="D368" s="728" t="s">
        <v>606</v>
      </c>
      <c r="E368" s="728" t="s">
        <v>607</v>
      </c>
      <c r="F368" s="727" t="s">
        <v>607</v>
      </c>
      <c r="G368" s="728" t="s">
        <v>265</v>
      </c>
      <c r="H368" s="727"/>
      <c r="I368" s="727"/>
      <c r="J368" s="727" t="s">
        <v>172</v>
      </c>
      <c r="K368" s="729">
        <v>389246</v>
      </c>
      <c r="L368" s="728" t="s">
        <v>175</v>
      </c>
      <c r="M368" s="728" t="s">
        <v>176</v>
      </c>
      <c r="N368" s="727"/>
      <c r="O368" s="727"/>
      <c r="P368" s="727"/>
      <c r="Q368" s="727"/>
      <c r="R368" s="730"/>
      <c r="S368" s="727"/>
      <c r="T368" s="728" t="s">
        <v>179</v>
      </c>
    </row>
    <row r="369" ht="34.5">
      <c r="A369" s="728" t="s">
        <v>167</v>
      </c>
      <c r="B369" s="728" t="s">
        <v>168</v>
      </c>
      <c r="C369" s="728" t="s">
        <v>605</v>
      </c>
      <c r="D369" s="728" t="s">
        <v>606</v>
      </c>
      <c r="E369" s="728" t="s">
        <v>607</v>
      </c>
      <c r="F369" s="727" t="s">
        <v>607</v>
      </c>
      <c r="G369" s="728" t="s">
        <v>265</v>
      </c>
      <c r="H369" s="727"/>
      <c r="I369" s="727"/>
      <c r="J369" s="727" t="s">
        <v>475</v>
      </c>
      <c r="K369" s="729">
        <v>1054078</v>
      </c>
      <c r="L369" s="728" t="s">
        <v>175</v>
      </c>
      <c r="M369" s="728" t="s">
        <v>176</v>
      </c>
      <c r="N369" s="727"/>
      <c r="O369" s="727"/>
      <c r="P369" s="727"/>
      <c r="Q369" s="727"/>
      <c r="R369" s="730"/>
      <c r="S369" s="727"/>
      <c r="T369" s="728" t="s">
        <v>179</v>
      </c>
    </row>
    <row r="370" ht="34.5">
      <c r="A370" s="728" t="s">
        <v>167</v>
      </c>
      <c r="B370" s="728" t="s">
        <v>168</v>
      </c>
      <c r="C370" s="728" t="s">
        <v>605</v>
      </c>
      <c r="D370" s="728" t="s">
        <v>606</v>
      </c>
      <c r="E370" s="728" t="s">
        <v>607</v>
      </c>
      <c r="F370" s="727" t="s">
        <v>607</v>
      </c>
      <c r="G370" s="728" t="s">
        <v>265</v>
      </c>
      <c r="H370" s="727" t="s">
        <v>39</v>
      </c>
      <c r="I370" s="727"/>
      <c r="J370" s="727" t="s">
        <v>609</v>
      </c>
      <c r="K370" s="729">
        <v>2311149</v>
      </c>
      <c r="L370" s="728" t="s">
        <v>175</v>
      </c>
      <c r="M370" s="728" t="s">
        <v>176</v>
      </c>
      <c r="N370" s="727"/>
      <c r="O370" s="727"/>
      <c r="P370" s="727"/>
      <c r="Q370" s="727"/>
      <c r="R370" s="730" t="s">
        <v>610</v>
      </c>
      <c r="S370" s="727" t="s">
        <v>332</v>
      </c>
      <c r="T370" s="728" t="s">
        <v>179</v>
      </c>
    </row>
    <row r="371" ht="34.5">
      <c r="A371" s="728" t="s">
        <v>326</v>
      </c>
      <c r="B371" s="728" t="s">
        <v>168</v>
      </c>
      <c r="C371" s="728" t="s">
        <v>605</v>
      </c>
      <c r="D371" s="728" t="s">
        <v>606</v>
      </c>
      <c r="E371" s="728" t="s">
        <v>607</v>
      </c>
      <c r="F371" s="727" t="s">
        <v>607</v>
      </c>
      <c r="G371" s="728" t="s">
        <v>265</v>
      </c>
      <c r="H371" s="727"/>
      <c r="I371" s="727"/>
      <c r="J371" s="727" t="s">
        <v>608</v>
      </c>
      <c r="K371" s="729">
        <v>1176272</v>
      </c>
      <c r="L371" s="728" t="s">
        <v>175</v>
      </c>
      <c r="M371" s="728" t="s">
        <v>176</v>
      </c>
      <c r="N371" s="727"/>
      <c r="O371" s="727"/>
      <c r="P371" s="727"/>
      <c r="Q371" s="727"/>
      <c r="R371" s="730"/>
      <c r="S371" s="727"/>
      <c r="T371" s="728" t="s">
        <v>179</v>
      </c>
    </row>
    <row r="372" ht="34.5">
      <c r="A372" s="728" t="s">
        <v>326</v>
      </c>
      <c r="B372" s="728" t="s">
        <v>168</v>
      </c>
      <c r="C372" s="728" t="s">
        <v>605</v>
      </c>
      <c r="D372" s="728" t="s">
        <v>606</v>
      </c>
      <c r="E372" s="728" t="s">
        <v>607</v>
      </c>
      <c r="F372" s="727" t="s">
        <v>607</v>
      </c>
      <c r="G372" s="728" t="s">
        <v>265</v>
      </c>
      <c r="H372" s="727"/>
      <c r="I372" s="727"/>
      <c r="J372" s="727" t="s">
        <v>172</v>
      </c>
      <c r="K372" s="729">
        <v>242975</v>
      </c>
      <c r="L372" s="728" t="s">
        <v>175</v>
      </c>
      <c r="M372" s="728" t="s">
        <v>176</v>
      </c>
      <c r="N372" s="727"/>
      <c r="O372" s="727"/>
      <c r="P372" s="727"/>
      <c r="Q372" s="727"/>
      <c r="R372" s="730"/>
      <c r="S372" s="727"/>
      <c r="T372" s="728" t="s">
        <v>179</v>
      </c>
    </row>
    <row r="373" ht="34.5">
      <c r="A373" s="728" t="s">
        <v>326</v>
      </c>
      <c r="B373" s="728" t="s">
        <v>168</v>
      </c>
      <c r="C373" s="728" t="s">
        <v>605</v>
      </c>
      <c r="D373" s="728" t="s">
        <v>606</v>
      </c>
      <c r="E373" s="728" t="s">
        <v>607</v>
      </c>
      <c r="F373" s="727" t="s">
        <v>607</v>
      </c>
      <c r="G373" s="728" t="s">
        <v>265</v>
      </c>
      <c r="H373" s="727"/>
      <c r="I373" s="727"/>
      <c r="J373" s="727" t="s">
        <v>475</v>
      </c>
      <c r="K373" s="729">
        <v>700</v>
      </c>
      <c r="L373" s="728" t="s">
        <v>175</v>
      </c>
      <c r="M373" s="728" t="s">
        <v>176</v>
      </c>
      <c r="N373" s="727"/>
      <c r="O373" s="727"/>
      <c r="P373" s="727"/>
      <c r="Q373" s="727"/>
      <c r="R373" s="730"/>
      <c r="S373" s="727"/>
      <c r="T373" s="728" t="s">
        <v>179</v>
      </c>
    </row>
    <row r="374" ht="34.5">
      <c r="A374" s="728" t="s">
        <v>326</v>
      </c>
      <c r="B374" s="728" t="s">
        <v>168</v>
      </c>
      <c r="C374" s="728" t="s">
        <v>605</v>
      </c>
      <c r="D374" s="728" t="s">
        <v>606</v>
      </c>
      <c r="E374" s="728" t="s">
        <v>607</v>
      </c>
      <c r="F374" s="727" t="s">
        <v>607</v>
      </c>
      <c r="G374" s="728" t="s">
        <v>265</v>
      </c>
      <c r="H374" s="727" t="s">
        <v>39</v>
      </c>
      <c r="I374" s="727"/>
      <c r="J374" s="727" t="s">
        <v>609</v>
      </c>
      <c r="K374" s="729">
        <v>1419947</v>
      </c>
      <c r="L374" s="728" t="s">
        <v>175</v>
      </c>
      <c r="M374" s="728" t="s">
        <v>176</v>
      </c>
      <c r="N374" s="727"/>
      <c r="O374" s="727"/>
      <c r="P374" s="727"/>
      <c r="Q374" s="727"/>
      <c r="R374" s="730" t="s">
        <v>611</v>
      </c>
      <c r="S374" s="727" t="s">
        <v>332</v>
      </c>
      <c r="T374" s="728" t="s">
        <v>179</v>
      </c>
    </row>
    <row r="375" ht="34.5">
      <c r="A375" s="728" t="s">
        <v>327</v>
      </c>
      <c r="B375" s="728" t="s">
        <v>328</v>
      </c>
      <c r="C375" s="728" t="s">
        <v>605</v>
      </c>
      <c r="D375" s="728" t="s">
        <v>594</v>
      </c>
      <c r="E375" s="728" t="s">
        <v>607</v>
      </c>
      <c r="F375" s="727" t="s">
        <v>607</v>
      </c>
      <c r="G375" s="728" t="s">
        <v>265</v>
      </c>
      <c r="H375" s="727"/>
      <c r="I375" s="727"/>
      <c r="J375" s="727" t="s">
        <v>608</v>
      </c>
      <c r="K375" s="729">
        <v>2091158</v>
      </c>
      <c r="L375" s="728" t="s">
        <v>175</v>
      </c>
      <c r="M375" s="728" t="s">
        <v>176</v>
      </c>
      <c r="N375" s="727"/>
      <c r="O375" s="727"/>
      <c r="P375" s="727"/>
      <c r="Q375" s="727"/>
      <c r="R375" s="730"/>
      <c r="S375" s="727"/>
      <c r="T375" s="728" t="s">
        <v>179</v>
      </c>
    </row>
    <row r="376" ht="34.5">
      <c r="A376" s="728" t="s">
        <v>327</v>
      </c>
      <c r="B376" s="728" t="s">
        <v>328</v>
      </c>
      <c r="C376" s="728" t="s">
        <v>605</v>
      </c>
      <c r="D376" s="728" t="s">
        <v>594</v>
      </c>
      <c r="E376" s="728" t="s">
        <v>607</v>
      </c>
      <c r="F376" s="727" t="s">
        <v>607</v>
      </c>
      <c r="G376" s="728" t="s">
        <v>265</v>
      </c>
      <c r="H376" s="727"/>
      <c r="I376" s="727"/>
      <c r="J376" s="727" t="s">
        <v>172</v>
      </c>
      <c r="K376" s="729">
        <v>364808</v>
      </c>
      <c r="L376" s="728" t="s">
        <v>175</v>
      </c>
      <c r="M376" s="728" t="s">
        <v>176</v>
      </c>
      <c r="N376" s="727"/>
      <c r="O376" s="727"/>
      <c r="P376" s="727"/>
      <c r="Q376" s="727"/>
      <c r="R376" s="730"/>
      <c r="S376" s="727"/>
      <c r="T376" s="728" t="s">
        <v>179</v>
      </c>
    </row>
    <row r="377" ht="34.5">
      <c r="A377" s="728" t="s">
        <v>327</v>
      </c>
      <c r="B377" s="728" t="s">
        <v>328</v>
      </c>
      <c r="C377" s="728" t="s">
        <v>605</v>
      </c>
      <c r="D377" s="728" t="s">
        <v>594</v>
      </c>
      <c r="E377" s="728" t="s">
        <v>607</v>
      </c>
      <c r="F377" s="727" t="s">
        <v>607</v>
      </c>
      <c r="G377" s="728" t="s">
        <v>265</v>
      </c>
      <c r="H377" s="727"/>
      <c r="I377" s="727"/>
      <c r="J377" s="727" t="s">
        <v>475</v>
      </c>
      <c r="K377" s="729">
        <v>80771</v>
      </c>
      <c r="L377" s="728" t="s">
        <v>175</v>
      </c>
      <c r="M377" s="728" t="s">
        <v>176</v>
      </c>
      <c r="N377" s="727"/>
      <c r="O377" s="727"/>
      <c r="P377" s="727"/>
      <c r="Q377" s="727"/>
      <c r="R377" s="730"/>
      <c r="S377" s="727"/>
      <c r="T377" s="728" t="s">
        <v>179</v>
      </c>
    </row>
    <row r="378" ht="34.5">
      <c r="A378" s="728" t="s">
        <v>327</v>
      </c>
      <c r="B378" s="728" t="s">
        <v>328</v>
      </c>
      <c r="C378" s="728" t="s">
        <v>605</v>
      </c>
      <c r="D378" s="728" t="s">
        <v>594</v>
      </c>
      <c r="E378" s="728" t="s">
        <v>607</v>
      </c>
      <c r="F378" s="727" t="s">
        <v>607</v>
      </c>
      <c r="G378" s="728" t="s">
        <v>265</v>
      </c>
      <c r="H378" s="727" t="s">
        <v>39</v>
      </c>
      <c r="I378" s="727"/>
      <c r="J378" s="727" t="s">
        <v>609</v>
      </c>
      <c r="K378" s="729">
        <v>2536737</v>
      </c>
      <c r="L378" s="728" t="s">
        <v>175</v>
      </c>
      <c r="M378" s="728" t="s">
        <v>176</v>
      </c>
      <c r="N378" s="727"/>
      <c r="O378" s="727"/>
      <c r="P378" s="727"/>
      <c r="Q378" s="727"/>
      <c r="R378" s="730" t="s">
        <v>612</v>
      </c>
      <c r="S378" s="727" t="s">
        <v>332</v>
      </c>
      <c r="T378" s="728" t="s">
        <v>179</v>
      </c>
    </row>
    <row r="379" ht="34.5">
      <c r="A379" s="728" t="s">
        <v>333</v>
      </c>
      <c r="B379" s="728" t="s">
        <v>334</v>
      </c>
      <c r="C379" s="728" t="s">
        <v>605</v>
      </c>
      <c r="D379" s="728" t="s">
        <v>594</v>
      </c>
      <c r="E379" s="728" t="s">
        <v>607</v>
      </c>
      <c r="F379" s="727" t="s">
        <v>607</v>
      </c>
      <c r="G379" s="728" t="s">
        <v>265</v>
      </c>
      <c r="H379" s="727"/>
      <c r="I379" s="727"/>
      <c r="J379" s="727" t="s">
        <v>608</v>
      </c>
      <c r="K379" s="729">
        <v>995333</v>
      </c>
      <c r="L379" s="728" t="s">
        <v>175</v>
      </c>
      <c r="M379" s="728" t="s">
        <v>176</v>
      </c>
      <c r="N379" s="727"/>
      <c r="O379" s="727"/>
      <c r="P379" s="727"/>
      <c r="Q379" s="727"/>
      <c r="R379" s="730"/>
      <c r="S379" s="727"/>
      <c r="T379" s="728" t="s">
        <v>179</v>
      </c>
    </row>
    <row r="380" ht="34.5">
      <c r="A380" s="728" t="s">
        <v>333</v>
      </c>
      <c r="B380" s="728" t="s">
        <v>334</v>
      </c>
      <c r="C380" s="728" t="s">
        <v>605</v>
      </c>
      <c r="D380" s="728" t="s">
        <v>594</v>
      </c>
      <c r="E380" s="728" t="s">
        <v>607</v>
      </c>
      <c r="F380" s="727" t="s">
        <v>607</v>
      </c>
      <c r="G380" s="728" t="s">
        <v>265</v>
      </c>
      <c r="H380" s="727"/>
      <c r="I380" s="727"/>
      <c r="J380" s="727" t="s">
        <v>172</v>
      </c>
      <c r="K380" s="729">
        <v>290016</v>
      </c>
      <c r="L380" s="728" t="s">
        <v>175</v>
      </c>
      <c r="M380" s="728" t="s">
        <v>176</v>
      </c>
      <c r="N380" s="727"/>
      <c r="O380" s="727"/>
      <c r="P380" s="727"/>
      <c r="Q380" s="727"/>
      <c r="R380" s="730"/>
      <c r="S380" s="727"/>
      <c r="T380" s="728" t="s">
        <v>179</v>
      </c>
    </row>
    <row r="381" ht="34.5">
      <c r="A381" s="728" t="s">
        <v>333</v>
      </c>
      <c r="B381" s="728" t="s">
        <v>334</v>
      </c>
      <c r="C381" s="728" t="s">
        <v>605</v>
      </c>
      <c r="D381" s="728" t="s">
        <v>594</v>
      </c>
      <c r="E381" s="728" t="s">
        <v>607</v>
      </c>
      <c r="F381" s="727" t="s">
        <v>607</v>
      </c>
      <c r="G381" s="728" t="s">
        <v>265</v>
      </c>
      <c r="H381" s="727"/>
      <c r="I381" s="727"/>
      <c r="J381" s="727" t="s">
        <v>475</v>
      </c>
      <c r="K381" s="729">
        <v>384</v>
      </c>
      <c r="L381" s="728" t="s">
        <v>175</v>
      </c>
      <c r="M381" s="728" t="s">
        <v>176</v>
      </c>
      <c r="N381" s="727"/>
      <c r="O381" s="727"/>
      <c r="P381" s="727"/>
      <c r="Q381" s="727"/>
      <c r="R381" s="730"/>
      <c r="S381" s="727"/>
      <c r="T381" s="728" t="s">
        <v>179</v>
      </c>
    </row>
    <row r="382" ht="34.5">
      <c r="A382" s="728" t="s">
        <v>333</v>
      </c>
      <c r="B382" s="728" t="s">
        <v>334</v>
      </c>
      <c r="C382" s="728" t="s">
        <v>605</v>
      </c>
      <c r="D382" s="728" t="s">
        <v>594</v>
      </c>
      <c r="E382" s="728" t="s">
        <v>607</v>
      </c>
      <c r="F382" s="727" t="s">
        <v>607</v>
      </c>
      <c r="G382" s="728" t="s">
        <v>265</v>
      </c>
      <c r="H382" s="727" t="s">
        <v>39</v>
      </c>
      <c r="I382" s="727"/>
      <c r="J382" s="727" t="s">
        <v>609</v>
      </c>
      <c r="K382" s="729">
        <v>1285733</v>
      </c>
      <c r="L382" s="728" t="s">
        <v>175</v>
      </c>
      <c r="M382" s="728" t="s">
        <v>176</v>
      </c>
      <c r="N382" s="727"/>
      <c r="O382" s="727"/>
      <c r="P382" s="727"/>
      <c r="Q382" s="727"/>
      <c r="R382" s="730" t="s">
        <v>613</v>
      </c>
      <c r="S382" s="727" t="s">
        <v>332</v>
      </c>
      <c r="T382" s="728" t="s">
        <v>179</v>
      </c>
    </row>
    <row r="383" ht="34.5">
      <c r="A383" s="728" t="s">
        <v>338</v>
      </c>
      <c r="B383" s="728" t="s">
        <v>339</v>
      </c>
      <c r="C383" s="728" t="s">
        <v>531</v>
      </c>
      <c r="D383" s="728" t="s">
        <v>574</v>
      </c>
      <c r="E383" s="728" t="s">
        <v>607</v>
      </c>
      <c r="F383" s="727" t="s">
        <v>607</v>
      </c>
      <c r="G383" s="728" t="s">
        <v>265</v>
      </c>
      <c r="H383" s="727"/>
      <c r="I383" s="727"/>
      <c r="J383" s="727" t="s">
        <v>608</v>
      </c>
      <c r="K383" s="729">
        <v>994129</v>
      </c>
      <c r="L383" s="728" t="s">
        <v>175</v>
      </c>
      <c r="M383" s="728" t="s">
        <v>176</v>
      </c>
      <c r="N383" s="727"/>
      <c r="O383" s="727"/>
      <c r="P383" s="727"/>
      <c r="Q383" s="727"/>
      <c r="R383" s="730"/>
      <c r="S383" s="727"/>
      <c r="T383" s="728" t="s">
        <v>179</v>
      </c>
    </row>
    <row r="384" ht="34.5">
      <c r="A384" s="728" t="s">
        <v>338</v>
      </c>
      <c r="B384" s="728" t="s">
        <v>339</v>
      </c>
      <c r="C384" s="728" t="s">
        <v>531</v>
      </c>
      <c r="D384" s="728" t="s">
        <v>574</v>
      </c>
      <c r="E384" s="728" t="s">
        <v>607</v>
      </c>
      <c r="F384" s="727" t="s">
        <v>607</v>
      </c>
      <c r="G384" s="728" t="s">
        <v>265</v>
      </c>
      <c r="H384" s="727"/>
      <c r="I384" s="727"/>
      <c r="J384" s="727" t="s">
        <v>172</v>
      </c>
      <c r="K384" s="729">
        <v>279971</v>
      </c>
      <c r="L384" s="728" t="s">
        <v>175</v>
      </c>
      <c r="M384" s="728" t="s">
        <v>176</v>
      </c>
      <c r="N384" s="727"/>
      <c r="O384" s="727"/>
      <c r="P384" s="727"/>
      <c r="Q384" s="727"/>
      <c r="R384" s="730"/>
      <c r="S384" s="727"/>
      <c r="T384" s="728" t="s">
        <v>179</v>
      </c>
    </row>
    <row r="385" ht="34.5">
      <c r="A385" s="728" t="s">
        <v>338</v>
      </c>
      <c r="B385" s="728" t="s">
        <v>339</v>
      </c>
      <c r="C385" s="728" t="s">
        <v>531</v>
      </c>
      <c r="D385" s="728" t="s">
        <v>574</v>
      </c>
      <c r="E385" s="728" t="s">
        <v>607</v>
      </c>
      <c r="F385" s="727" t="s">
        <v>607</v>
      </c>
      <c r="G385" s="728" t="s">
        <v>265</v>
      </c>
      <c r="H385" s="727"/>
      <c r="I385" s="727"/>
      <c r="J385" s="727" t="s">
        <v>475</v>
      </c>
      <c r="K385" s="729">
        <v>968256</v>
      </c>
      <c r="L385" s="728" t="s">
        <v>175</v>
      </c>
      <c r="M385" s="728" t="s">
        <v>176</v>
      </c>
      <c r="N385" s="727"/>
      <c r="O385" s="727"/>
      <c r="P385" s="727"/>
      <c r="Q385" s="727"/>
      <c r="R385" s="730"/>
      <c r="S385" s="727"/>
      <c r="T385" s="728" t="s">
        <v>179</v>
      </c>
    </row>
    <row r="386" ht="34.5">
      <c r="A386" s="728" t="s">
        <v>338</v>
      </c>
      <c r="B386" s="728" t="s">
        <v>339</v>
      </c>
      <c r="C386" s="728" t="s">
        <v>531</v>
      </c>
      <c r="D386" s="728" t="s">
        <v>574</v>
      </c>
      <c r="E386" s="728" t="s">
        <v>607</v>
      </c>
      <c r="F386" s="727" t="s">
        <v>607</v>
      </c>
      <c r="G386" s="728" t="s">
        <v>265</v>
      </c>
      <c r="H386" s="727"/>
      <c r="I386" s="727"/>
      <c r="J386" s="727" t="s">
        <v>614</v>
      </c>
      <c r="K386" s="729">
        <v>410563</v>
      </c>
      <c r="L386" s="728" t="s">
        <v>175</v>
      </c>
      <c r="M386" s="728" t="s">
        <v>176</v>
      </c>
      <c r="N386" s="727"/>
      <c r="O386" s="727"/>
      <c r="P386" s="727"/>
      <c r="Q386" s="727"/>
      <c r="R386" s="730"/>
      <c r="S386" s="727"/>
      <c r="T386" s="728" t="s">
        <v>179</v>
      </c>
    </row>
    <row r="387" ht="34.5">
      <c r="A387" s="728" t="s">
        <v>338</v>
      </c>
      <c r="B387" s="728" t="s">
        <v>339</v>
      </c>
      <c r="C387" s="728" t="s">
        <v>531</v>
      </c>
      <c r="D387" s="728" t="s">
        <v>574</v>
      </c>
      <c r="E387" s="728" t="s">
        <v>607</v>
      </c>
      <c r="F387" s="727" t="s">
        <v>607</v>
      </c>
      <c r="G387" s="728" t="s">
        <v>265</v>
      </c>
      <c r="H387" s="727" t="s">
        <v>39</v>
      </c>
      <c r="I387" s="727"/>
      <c r="J387" s="727" t="s">
        <v>609</v>
      </c>
      <c r="K387" s="729">
        <v>2652919</v>
      </c>
      <c r="L387" s="728" t="s">
        <v>175</v>
      </c>
      <c r="M387" s="728" t="s">
        <v>176</v>
      </c>
      <c r="N387" s="727"/>
      <c r="O387" s="727"/>
      <c r="P387" s="727"/>
      <c r="Q387" s="727"/>
      <c r="R387" s="730" t="s">
        <v>615</v>
      </c>
      <c r="S387" s="727" t="s">
        <v>332</v>
      </c>
      <c r="T387" s="728" t="s">
        <v>179</v>
      </c>
    </row>
    <row r="388" ht="34.5">
      <c r="A388" s="728" t="s">
        <v>167</v>
      </c>
      <c r="B388" s="728" t="s">
        <v>168</v>
      </c>
      <c r="C388" s="728" t="s">
        <v>605</v>
      </c>
      <c r="D388" s="728" t="s">
        <v>170</v>
      </c>
      <c r="E388" s="728" t="s">
        <v>616</v>
      </c>
      <c r="F388" s="727" t="s">
        <v>616</v>
      </c>
      <c r="G388" s="728" t="s">
        <v>254</v>
      </c>
      <c r="H388" s="727"/>
      <c r="I388" s="727" t="s">
        <v>617</v>
      </c>
      <c r="J388" s="727" t="s">
        <v>618</v>
      </c>
      <c r="K388" s="729">
        <v>262664000</v>
      </c>
      <c r="L388" s="728" t="s">
        <v>175</v>
      </c>
      <c r="M388" s="728" t="s">
        <v>176</v>
      </c>
      <c r="N388" s="727" t="s">
        <v>619</v>
      </c>
      <c r="O388" s="727" t="s">
        <v>620</v>
      </c>
      <c r="P388" s="727" t="s">
        <v>621</v>
      </c>
      <c r="Q388" s="727" t="s">
        <v>622</v>
      </c>
      <c r="R388" s="730"/>
      <c r="S388" s="727"/>
      <c r="T388" s="728" t="s">
        <v>179</v>
      </c>
    </row>
    <row r="389" ht="34.5">
      <c r="A389" s="728" t="s">
        <v>167</v>
      </c>
      <c r="B389" s="728" t="s">
        <v>168</v>
      </c>
      <c r="C389" s="728" t="s">
        <v>605</v>
      </c>
      <c r="D389" s="728" t="s">
        <v>170</v>
      </c>
      <c r="E389" s="728" t="s">
        <v>616</v>
      </c>
      <c r="F389" s="727" t="s">
        <v>616</v>
      </c>
      <c r="G389" s="728" t="s">
        <v>451</v>
      </c>
      <c r="H389" s="727"/>
      <c r="I389" s="727" t="s">
        <v>623</v>
      </c>
      <c r="J389" s="727" t="s">
        <v>624</v>
      </c>
      <c r="K389" s="729">
        <v>1.31</v>
      </c>
      <c r="L389" s="728" t="s">
        <v>175</v>
      </c>
      <c r="M389" s="728" t="s">
        <v>625</v>
      </c>
      <c r="N389" s="727" t="s">
        <v>626</v>
      </c>
      <c r="O389" s="727" t="s">
        <v>627</v>
      </c>
      <c r="P389" s="727" t="s">
        <v>628</v>
      </c>
      <c r="Q389" s="727"/>
      <c r="R389" s="730"/>
      <c r="S389" s="727"/>
      <c r="T389" s="728" t="s">
        <v>179</v>
      </c>
    </row>
    <row r="390" ht="34.5">
      <c r="A390" s="728" t="s">
        <v>167</v>
      </c>
      <c r="B390" s="728" t="s">
        <v>168</v>
      </c>
      <c r="C390" s="728" t="s">
        <v>605</v>
      </c>
      <c r="D390" s="728" t="s">
        <v>170</v>
      </c>
      <c r="E390" s="728" t="s">
        <v>616</v>
      </c>
      <c r="F390" s="727" t="s">
        <v>616</v>
      </c>
      <c r="G390" s="728" t="s">
        <v>451</v>
      </c>
      <c r="H390" s="727"/>
      <c r="I390" s="727" t="s">
        <v>629</v>
      </c>
      <c r="J390" s="727" t="s">
        <v>630</v>
      </c>
      <c r="K390" s="729">
        <v>1.2</v>
      </c>
      <c r="L390" s="728" t="s">
        <v>175</v>
      </c>
      <c r="M390" s="728" t="s">
        <v>625</v>
      </c>
      <c r="N390" s="727" t="s">
        <v>631</v>
      </c>
      <c r="O390" s="727" t="s">
        <v>627</v>
      </c>
      <c r="P390" s="727" t="s">
        <v>632</v>
      </c>
      <c r="Q390" s="727"/>
      <c r="R390" s="730"/>
      <c r="S390" s="727"/>
      <c r="T390" s="728" t="s">
        <v>179</v>
      </c>
    </row>
    <row r="391" ht="34.5">
      <c r="A391" s="728" t="s">
        <v>167</v>
      </c>
      <c r="B391" s="728" t="s">
        <v>168</v>
      </c>
      <c r="C391" s="728" t="s">
        <v>605</v>
      </c>
      <c r="D391" s="728" t="s">
        <v>170</v>
      </c>
      <c r="E391" s="728" t="s">
        <v>616</v>
      </c>
      <c r="F391" s="727" t="s">
        <v>616</v>
      </c>
      <c r="G391" s="728" t="s">
        <v>451</v>
      </c>
      <c r="H391" s="727"/>
      <c r="I391" s="727" t="s">
        <v>633</v>
      </c>
      <c r="J391" s="727" t="s">
        <v>634</v>
      </c>
      <c r="K391" s="729"/>
      <c r="L391" s="728" t="s">
        <v>175</v>
      </c>
      <c r="M391" s="728" t="s">
        <v>176</v>
      </c>
      <c r="N391" s="727"/>
      <c r="O391" s="727"/>
      <c r="P391" s="727"/>
      <c r="Q391" s="727"/>
      <c r="R391" s="730"/>
      <c r="S391" s="727"/>
      <c r="T391" s="728" t="s">
        <v>179</v>
      </c>
    </row>
    <row r="392" ht="34.5">
      <c r="A392" s="728" t="s">
        <v>167</v>
      </c>
      <c r="B392" s="728" t="s">
        <v>168</v>
      </c>
      <c r="C392" s="728" t="s">
        <v>635</v>
      </c>
      <c r="D392" s="728" t="s">
        <v>170</v>
      </c>
      <c r="E392" s="728" t="s">
        <v>616</v>
      </c>
      <c r="F392" s="727" t="s">
        <v>616</v>
      </c>
      <c r="G392" s="728" t="s">
        <v>451</v>
      </c>
      <c r="H392" s="727"/>
      <c r="I392" s="727" t="s">
        <v>636</v>
      </c>
      <c r="J392" s="727" t="s">
        <v>637</v>
      </c>
      <c r="K392" s="729"/>
      <c r="L392" s="728" t="s">
        <v>175</v>
      </c>
      <c r="M392" s="728" t="s">
        <v>176</v>
      </c>
      <c r="N392" s="727"/>
      <c r="O392" s="727" t="s">
        <v>638</v>
      </c>
      <c r="P392" s="727"/>
      <c r="Q392" s="727"/>
      <c r="R392" s="730"/>
      <c r="S392" s="727"/>
      <c r="T392" s="728" t="s">
        <v>179</v>
      </c>
    </row>
    <row r="393" ht="34.5">
      <c r="A393" s="728" t="s">
        <v>167</v>
      </c>
      <c r="B393" s="728" t="s">
        <v>168</v>
      </c>
      <c r="C393" s="728" t="s">
        <v>635</v>
      </c>
      <c r="D393" s="728" t="s">
        <v>170</v>
      </c>
      <c r="E393" s="728" t="s">
        <v>616</v>
      </c>
      <c r="F393" s="727" t="s">
        <v>616</v>
      </c>
      <c r="G393" s="728" t="s">
        <v>254</v>
      </c>
      <c r="H393" s="727"/>
      <c r="I393" s="727" t="s">
        <v>639</v>
      </c>
      <c r="J393" s="727" t="s">
        <v>640</v>
      </c>
      <c r="K393" s="729">
        <v>15537000</v>
      </c>
      <c r="L393" s="728" t="s">
        <v>175</v>
      </c>
      <c r="M393" s="728" t="s">
        <v>176</v>
      </c>
      <c r="N393" s="727" t="s">
        <v>641</v>
      </c>
      <c r="O393" s="727" t="s">
        <v>642</v>
      </c>
      <c r="P393" s="727"/>
      <c r="Q393" s="727"/>
      <c r="R393" s="730"/>
      <c r="S393" s="727"/>
      <c r="T393" s="728" t="s">
        <v>179</v>
      </c>
    </row>
    <row r="394" ht="34.5">
      <c r="A394" s="728" t="s">
        <v>167</v>
      </c>
      <c r="B394" s="728" t="s">
        <v>168</v>
      </c>
      <c r="C394" s="728" t="s">
        <v>635</v>
      </c>
      <c r="D394" s="728" t="s">
        <v>170</v>
      </c>
      <c r="E394" s="728" t="s">
        <v>616</v>
      </c>
      <c r="F394" s="727" t="s">
        <v>616</v>
      </c>
      <c r="G394" s="728" t="s">
        <v>451</v>
      </c>
      <c r="H394" s="727"/>
      <c r="I394" s="727" t="s">
        <v>643</v>
      </c>
      <c r="J394" s="727" t="s">
        <v>644</v>
      </c>
      <c r="K394" s="729"/>
      <c r="L394" s="728" t="s">
        <v>175</v>
      </c>
      <c r="M394" s="728" t="s">
        <v>176</v>
      </c>
      <c r="N394" s="727"/>
      <c r="O394" s="727"/>
      <c r="P394" s="727"/>
      <c r="Q394" s="727"/>
      <c r="R394" s="730"/>
      <c r="S394" s="727"/>
      <c r="T394" s="728" t="s">
        <v>179</v>
      </c>
    </row>
    <row r="395" ht="34.5">
      <c r="A395" s="728" t="s">
        <v>167</v>
      </c>
      <c r="B395" s="728" t="s">
        <v>168</v>
      </c>
      <c r="C395" s="728" t="s">
        <v>645</v>
      </c>
      <c r="D395" s="728" t="s">
        <v>170</v>
      </c>
      <c r="E395" s="728" t="s">
        <v>616</v>
      </c>
      <c r="F395" s="727" t="s">
        <v>616</v>
      </c>
      <c r="G395" s="728" t="s">
        <v>254</v>
      </c>
      <c r="H395" s="727"/>
      <c r="I395" s="727" t="s">
        <v>646</v>
      </c>
      <c r="J395" s="727" t="s">
        <v>647</v>
      </c>
      <c r="K395" s="729">
        <v>186028121</v>
      </c>
      <c r="L395" s="728" t="s">
        <v>175</v>
      </c>
      <c r="M395" s="728" t="s">
        <v>176</v>
      </c>
      <c r="N395" s="727" t="s">
        <v>648</v>
      </c>
      <c r="O395" s="727"/>
      <c r="P395" s="727"/>
      <c r="Q395" s="727" t="s">
        <v>649</v>
      </c>
      <c r="R395" s="730"/>
      <c r="S395" s="727"/>
      <c r="T395" s="728" t="s">
        <v>179</v>
      </c>
    </row>
    <row r="396" ht="34.5">
      <c r="A396" s="728" t="s">
        <v>167</v>
      </c>
      <c r="B396" s="728" t="s">
        <v>168</v>
      </c>
      <c r="C396" s="728" t="s">
        <v>635</v>
      </c>
      <c r="D396" s="728" t="s">
        <v>650</v>
      </c>
      <c r="E396" s="728" t="s">
        <v>616</v>
      </c>
      <c r="F396" s="727" t="s">
        <v>616</v>
      </c>
      <c r="G396" s="728" t="s">
        <v>254</v>
      </c>
      <c r="H396" s="727"/>
      <c r="I396" s="727" t="s">
        <v>651</v>
      </c>
      <c r="J396" s="727" t="s">
        <v>652</v>
      </c>
      <c r="K396" s="729">
        <v>204411000</v>
      </c>
      <c r="L396" s="728" t="s">
        <v>175</v>
      </c>
      <c r="M396" s="728" t="s">
        <v>176</v>
      </c>
      <c r="N396" s="727"/>
      <c r="O396" s="727"/>
      <c r="P396" s="727"/>
      <c r="Q396" s="727"/>
      <c r="R396" s="730"/>
      <c r="S396" s="727"/>
      <c r="T396" s="728" t="s">
        <v>179</v>
      </c>
    </row>
    <row r="397" ht="34.5">
      <c r="A397" s="728" t="s">
        <v>167</v>
      </c>
      <c r="B397" s="728" t="s">
        <v>168</v>
      </c>
      <c r="C397" s="728" t="s">
        <v>635</v>
      </c>
      <c r="D397" s="728" t="s">
        <v>650</v>
      </c>
      <c r="E397" s="728" t="s">
        <v>616</v>
      </c>
      <c r="F397" s="727" t="s">
        <v>616</v>
      </c>
      <c r="G397" s="728" t="s">
        <v>254</v>
      </c>
      <c r="H397" s="727"/>
      <c r="I397" s="727" t="s">
        <v>651</v>
      </c>
      <c r="J397" s="727" t="s">
        <v>653</v>
      </c>
      <c r="K397" s="729">
        <v>3358180</v>
      </c>
      <c r="L397" s="728" t="s">
        <v>175</v>
      </c>
      <c r="M397" s="728" t="s">
        <v>176</v>
      </c>
      <c r="N397" s="727"/>
      <c r="O397" s="727"/>
      <c r="P397" s="727"/>
      <c r="Q397" s="727"/>
      <c r="R397" s="730"/>
      <c r="S397" s="727"/>
      <c r="T397" s="728" t="s">
        <v>179</v>
      </c>
    </row>
    <row r="398" ht="34.5">
      <c r="A398" s="728" t="s">
        <v>167</v>
      </c>
      <c r="B398" s="728" t="s">
        <v>168</v>
      </c>
      <c r="C398" s="728" t="s">
        <v>635</v>
      </c>
      <c r="D398" s="728" t="s">
        <v>650</v>
      </c>
      <c r="E398" s="728" t="s">
        <v>616</v>
      </c>
      <c r="F398" s="727" t="s">
        <v>616</v>
      </c>
      <c r="G398" s="728" t="s">
        <v>254</v>
      </c>
      <c r="H398" s="727"/>
      <c r="I398" s="727" t="s">
        <v>651</v>
      </c>
      <c r="J398" s="727" t="s">
        <v>654</v>
      </c>
      <c r="K398" s="729">
        <v>-5703570</v>
      </c>
      <c r="L398" s="728" t="s">
        <v>175</v>
      </c>
      <c r="M398" s="728" t="s">
        <v>176</v>
      </c>
      <c r="N398" s="727"/>
      <c r="O398" s="727"/>
      <c r="P398" s="727"/>
      <c r="Q398" s="727"/>
      <c r="R398" s="730"/>
      <c r="S398" s="727"/>
      <c r="T398" s="728" t="s">
        <v>179</v>
      </c>
    </row>
    <row r="399" ht="34.5">
      <c r="A399" s="728" t="s">
        <v>167</v>
      </c>
      <c r="B399" s="728" t="s">
        <v>168</v>
      </c>
      <c r="C399" s="728" t="s">
        <v>635</v>
      </c>
      <c r="D399" s="728" t="s">
        <v>650</v>
      </c>
      <c r="E399" s="728" t="s">
        <v>616</v>
      </c>
      <c r="F399" s="727" t="s">
        <v>616</v>
      </c>
      <c r="G399" s="728" t="s">
        <v>254</v>
      </c>
      <c r="H399" s="727"/>
      <c r="I399" s="727" t="s">
        <v>651</v>
      </c>
      <c r="J399" s="727" t="s">
        <v>655</v>
      </c>
      <c r="K399" s="729">
        <v>202065610</v>
      </c>
      <c r="L399" s="728" t="s">
        <v>175</v>
      </c>
      <c r="M399" s="728" t="s">
        <v>176</v>
      </c>
      <c r="N399" s="727"/>
      <c r="O399" s="727"/>
      <c r="P399" s="727"/>
      <c r="Q399" s="727"/>
      <c r="R399" s="730"/>
      <c r="S399" s="727"/>
      <c r="T399" s="728" t="s">
        <v>179</v>
      </c>
    </row>
    <row r="400" ht="34.5">
      <c r="A400" s="728" t="s">
        <v>167</v>
      </c>
      <c r="B400" s="728" t="s">
        <v>168</v>
      </c>
      <c r="C400" s="728" t="s">
        <v>635</v>
      </c>
      <c r="D400" s="728" t="s">
        <v>650</v>
      </c>
      <c r="E400" s="728" t="s">
        <v>616</v>
      </c>
      <c r="F400" s="727" t="s">
        <v>616</v>
      </c>
      <c r="G400" s="728" t="s">
        <v>254</v>
      </c>
      <c r="H400" s="727" t="s">
        <v>656</v>
      </c>
      <c r="I400" s="727" t="s">
        <v>651</v>
      </c>
      <c r="J400" s="727" t="s">
        <v>657</v>
      </c>
      <c r="K400" s="729">
        <v>-18400181</v>
      </c>
      <c r="L400" s="728" t="s">
        <v>175</v>
      </c>
      <c r="M400" s="728" t="s">
        <v>176</v>
      </c>
      <c r="N400" s="727"/>
      <c r="O400" s="727"/>
      <c r="P400" s="727"/>
      <c r="Q400" s="727"/>
      <c r="R400" s="730" t="s">
        <v>658</v>
      </c>
      <c r="S400" s="727"/>
      <c r="T400" s="728" t="s">
        <v>179</v>
      </c>
    </row>
    <row r="401" ht="34.5">
      <c r="A401" s="728" t="s">
        <v>167</v>
      </c>
      <c r="B401" s="728" t="s">
        <v>168</v>
      </c>
      <c r="C401" s="728" t="s">
        <v>635</v>
      </c>
      <c r="D401" s="728" t="s">
        <v>650</v>
      </c>
      <c r="E401" s="728" t="s">
        <v>616</v>
      </c>
      <c r="F401" s="727" t="s">
        <v>616</v>
      </c>
      <c r="G401" s="728" t="s">
        <v>254</v>
      </c>
      <c r="H401" s="727" t="s">
        <v>659</v>
      </c>
      <c r="I401" s="727" t="s">
        <v>651</v>
      </c>
      <c r="J401" s="727" t="s">
        <v>38</v>
      </c>
      <c r="K401" s="729">
        <v>183665429</v>
      </c>
      <c r="L401" s="728" t="s">
        <v>175</v>
      </c>
      <c r="M401" s="728" t="s">
        <v>176</v>
      </c>
      <c r="N401" s="727"/>
      <c r="O401" s="727"/>
      <c r="P401" s="727"/>
      <c r="Q401" s="727"/>
      <c r="R401" s="730" t="s">
        <v>660</v>
      </c>
      <c r="S401" s="727" t="s">
        <v>661</v>
      </c>
      <c r="T401" s="728" t="s">
        <v>179</v>
      </c>
    </row>
    <row r="402" ht="34.5">
      <c r="A402" s="728" t="s">
        <v>167</v>
      </c>
      <c r="B402" s="728" t="s">
        <v>168</v>
      </c>
      <c r="C402" s="728" t="s">
        <v>635</v>
      </c>
      <c r="D402" s="728" t="s">
        <v>650</v>
      </c>
      <c r="E402" s="728" t="s">
        <v>616</v>
      </c>
      <c r="F402" s="727" t="s">
        <v>616</v>
      </c>
      <c r="G402" s="728" t="s">
        <v>254</v>
      </c>
      <c r="H402" s="727"/>
      <c r="I402" s="727" t="s">
        <v>662</v>
      </c>
      <c r="J402" s="727" t="s">
        <v>663</v>
      </c>
      <c r="K402" s="729">
        <v>215874145</v>
      </c>
      <c r="L402" s="728" t="s">
        <v>175</v>
      </c>
      <c r="M402" s="728" t="s">
        <v>176</v>
      </c>
      <c r="N402" s="727"/>
      <c r="O402" s="727"/>
      <c r="P402" s="727"/>
      <c r="Q402" s="727"/>
      <c r="R402" s="730"/>
      <c r="S402" s="727"/>
      <c r="T402" s="728" t="s">
        <v>179</v>
      </c>
    </row>
    <row r="403" ht="34.5">
      <c r="A403" s="728" t="s">
        <v>167</v>
      </c>
      <c r="B403" s="728" t="s">
        <v>168</v>
      </c>
      <c r="C403" s="728" t="s">
        <v>635</v>
      </c>
      <c r="D403" s="728" t="s">
        <v>650</v>
      </c>
      <c r="E403" s="728" t="s">
        <v>616</v>
      </c>
      <c r="F403" s="727" t="s">
        <v>616</v>
      </c>
      <c r="G403" s="728" t="s">
        <v>254</v>
      </c>
      <c r="H403" s="727"/>
      <c r="I403" s="727" t="s">
        <v>662</v>
      </c>
      <c r="J403" s="727" t="s">
        <v>664</v>
      </c>
      <c r="K403" s="729">
        <v>-13996000</v>
      </c>
      <c r="L403" s="728" t="s">
        <v>175</v>
      </c>
      <c r="M403" s="728" t="s">
        <v>176</v>
      </c>
      <c r="N403" s="727"/>
      <c r="O403" s="727"/>
      <c r="P403" s="727"/>
      <c r="Q403" s="727" t="s">
        <v>665</v>
      </c>
      <c r="R403" s="730"/>
      <c r="S403" s="727"/>
      <c r="T403" s="728" t="s">
        <v>179</v>
      </c>
    </row>
    <row r="404" ht="34.5">
      <c r="A404" s="728" t="s">
        <v>167</v>
      </c>
      <c r="B404" s="728" t="s">
        <v>168</v>
      </c>
      <c r="C404" s="728" t="s">
        <v>635</v>
      </c>
      <c r="D404" s="728" t="s">
        <v>650</v>
      </c>
      <c r="E404" s="728" t="s">
        <v>616</v>
      </c>
      <c r="F404" s="727" t="s">
        <v>616</v>
      </c>
      <c r="G404" s="728" t="s">
        <v>254</v>
      </c>
      <c r="H404" s="727"/>
      <c r="I404" s="727" t="s">
        <v>662</v>
      </c>
      <c r="J404" s="727" t="s">
        <v>666</v>
      </c>
      <c r="K404" s="729">
        <v>13792385</v>
      </c>
      <c r="L404" s="728" t="s">
        <v>175</v>
      </c>
      <c r="M404" s="728" t="s">
        <v>176</v>
      </c>
      <c r="N404" s="727"/>
      <c r="O404" s="727"/>
      <c r="P404" s="727"/>
      <c r="Q404" s="727"/>
      <c r="R404" s="730"/>
      <c r="S404" s="727"/>
      <c r="T404" s="728" t="s">
        <v>179</v>
      </c>
    </row>
    <row r="405" ht="34.5">
      <c r="A405" s="728" t="s">
        <v>167</v>
      </c>
      <c r="B405" s="728" t="s">
        <v>168</v>
      </c>
      <c r="C405" s="728" t="s">
        <v>635</v>
      </c>
      <c r="D405" s="728" t="s">
        <v>650</v>
      </c>
      <c r="E405" s="728" t="s">
        <v>616</v>
      </c>
      <c r="F405" s="727" t="s">
        <v>616</v>
      </c>
      <c r="G405" s="728" t="s">
        <v>254</v>
      </c>
      <c r="H405" s="727"/>
      <c r="I405" s="727" t="s">
        <v>662</v>
      </c>
      <c r="J405" s="727" t="s">
        <v>667</v>
      </c>
      <c r="K405" s="729">
        <v>-14022320</v>
      </c>
      <c r="L405" s="728" t="s">
        <v>175</v>
      </c>
      <c r="M405" s="728" t="s">
        <v>176</v>
      </c>
      <c r="N405" s="727"/>
      <c r="O405" s="727"/>
      <c r="P405" s="727"/>
      <c r="Q405" s="727"/>
      <c r="R405" s="730"/>
      <c r="S405" s="727"/>
      <c r="T405" s="728" t="s">
        <v>179</v>
      </c>
    </row>
    <row r="406" ht="34.5">
      <c r="A406" s="728" t="s">
        <v>167</v>
      </c>
      <c r="B406" s="728" t="s">
        <v>168</v>
      </c>
      <c r="C406" s="728" t="s">
        <v>635</v>
      </c>
      <c r="D406" s="728" t="s">
        <v>650</v>
      </c>
      <c r="E406" s="728" t="s">
        <v>616</v>
      </c>
      <c r="F406" s="727" t="s">
        <v>616</v>
      </c>
      <c r="G406" s="728" t="s">
        <v>254</v>
      </c>
      <c r="H406" s="727"/>
      <c r="I406" s="727" t="s">
        <v>662</v>
      </c>
      <c r="J406" s="727" t="s">
        <v>668</v>
      </c>
      <c r="K406" s="729">
        <v>417400</v>
      </c>
      <c r="L406" s="728" t="s">
        <v>175</v>
      </c>
      <c r="M406" s="728" t="s">
        <v>176</v>
      </c>
      <c r="N406" s="727"/>
      <c r="O406" s="727"/>
      <c r="P406" s="727"/>
      <c r="Q406" s="727"/>
      <c r="R406" s="730"/>
      <c r="S406" s="727"/>
      <c r="T406" s="728" t="s">
        <v>179</v>
      </c>
    </row>
    <row r="407" ht="34.5">
      <c r="A407" s="728" t="s">
        <v>167</v>
      </c>
      <c r="B407" s="728" t="s">
        <v>168</v>
      </c>
      <c r="C407" s="728" t="s">
        <v>635</v>
      </c>
      <c r="D407" s="728" t="s">
        <v>650</v>
      </c>
      <c r="E407" s="728" t="s">
        <v>616</v>
      </c>
      <c r="F407" s="727" t="s">
        <v>616</v>
      </c>
      <c r="G407" s="728" t="s">
        <v>254</v>
      </c>
      <c r="H407" s="727"/>
      <c r="I407" s="727" t="s">
        <v>662</v>
      </c>
      <c r="J407" s="727" t="s">
        <v>669</v>
      </c>
      <c r="K407" s="729">
        <v>202065610</v>
      </c>
      <c r="L407" s="728" t="s">
        <v>175</v>
      </c>
      <c r="M407" s="728" t="s">
        <v>176</v>
      </c>
      <c r="N407" s="727"/>
      <c r="O407" s="727"/>
      <c r="P407" s="727"/>
      <c r="Q407" s="727"/>
      <c r="R407" s="730"/>
      <c r="S407" s="727" t="s">
        <v>332</v>
      </c>
      <c r="T407" s="728" t="s">
        <v>179</v>
      </c>
    </row>
    <row r="408" ht="34.5">
      <c r="A408" s="728" t="s">
        <v>326</v>
      </c>
      <c r="B408" s="728" t="s">
        <v>168</v>
      </c>
      <c r="C408" s="728" t="s">
        <v>635</v>
      </c>
      <c r="D408" s="728" t="s">
        <v>650</v>
      </c>
      <c r="E408" s="728" t="s">
        <v>616</v>
      </c>
      <c r="F408" s="727" t="s">
        <v>616</v>
      </c>
      <c r="G408" s="728" t="s">
        <v>254</v>
      </c>
      <c r="H408" s="727"/>
      <c r="I408" s="727" t="s">
        <v>651</v>
      </c>
      <c r="J408" s="727" t="s">
        <v>652</v>
      </c>
      <c r="K408" s="729">
        <v>218407000</v>
      </c>
      <c r="L408" s="728" t="s">
        <v>175</v>
      </c>
      <c r="M408" s="728" t="s">
        <v>176</v>
      </c>
      <c r="N408" s="727"/>
      <c r="O408" s="727"/>
      <c r="P408" s="727"/>
      <c r="Q408" s="727"/>
      <c r="R408" s="730"/>
      <c r="S408" s="727"/>
      <c r="T408" s="728" t="s">
        <v>179</v>
      </c>
    </row>
    <row r="409" ht="34.5">
      <c r="A409" s="728" t="s">
        <v>326</v>
      </c>
      <c r="B409" s="728" t="s">
        <v>168</v>
      </c>
      <c r="C409" s="728" t="s">
        <v>635</v>
      </c>
      <c r="D409" s="728" t="s">
        <v>650</v>
      </c>
      <c r="E409" s="728" t="s">
        <v>616</v>
      </c>
      <c r="F409" s="727" t="s">
        <v>616</v>
      </c>
      <c r="G409" s="728" t="s">
        <v>254</v>
      </c>
      <c r="H409" s="727"/>
      <c r="I409" s="727" t="s">
        <v>651</v>
      </c>
      <c r="J409" s="727" t="s">
        <v>653</v>
      </c>
      <c r="K409" s="729">
        <v>3588115</v>
      </c>
      <c r="L409" s="728" t="s">
        <v>175</v>
      </c>
      <c r="M409" s="728" t="s">
        <v>176</v>
      </c>
      <c r="N409" s="727"/>
      <c r="O409" s="727"/>
      <c r="P409" s="727"/>
      <c r="Q409" s="727"/>
      <c r="R409" s="730"/>
      <c r="S409" s="727"/>
      <c r="T409" s="728" t="s">
        <v>179</v>
      </c>
    </row>
    <row r="410" ht="34.5">
      <c r="A410" s="728" t="s">
        <v>326</v>
      </c>
      <c r="B410" s="728" t="s">
        <v>168</v>
      </c>
      <c r="C410" s="728" t="s">
        <v>635</v>
      </c>
      <c r="D410" s="728" t="s">
        <v>650</v>
      </c>
      <c r="E410" s="728" t="s">
        <v>616</v>
      </c>
      <c r="F410" s="727" t="s">
        <v>616</v>
      </c>
      <c r="G410" s="728" t="s">
        <v>254</v>
      </c>
      <c r="H410" s="727"/>
      <c r="I410" s="727" t="s">
        <v>651</v>
      </c>
      <c r="J410" s="727" t="s">
        <v>654</v>
      </c>
      <c r="K410" s="729">
        <v>-6120970</v>
      </c>
      <c r="L410" s="728" t="s">
        <v>175</v>
      </c>
      <c r="M410" s="728" t="s">
        <v>176</v>
      </c>
      <c r="N410" s="727"/>
      <c r="O410" s="727"/>
      <c r="P410" s="727"/>
      <c r="Q410" s="727"/>
      <c r="R410" s="730"/>
      <c r="S410" s="727"/>
      <c r="T410" s="728" t="s">
        <v>179</v>
      </c>
    </row>
    <row r="411" ht="34.5">
      <c r="A411" s="728" t="s">
        <v>326</v>
      </c>
      <c r="B411" s="728" t="s">
        <v>168</v>
      </c>
      <c r="C411" s="728" t="s">
        <v>635</v>
      </c>
      <c r="D411" s="728" t="s">
        <v>650</v>
      </c>
      <c r="E411" s="728" t="s">
        <v>616</v>
      </c>
      <c r="F411" s="727" t="s">
        <v>616</v>
      </c>
      <c r="G411" s="728" t="s">
        <v>254</v>
      </c>
      <c r="H411" s="727"/>
      <c r="I411" s="727" t="s">
        <v>651</v>
      </c>
      <c r="J411" s="727" t="s">
        <v>655</v>
      </c>
      <c r="K411" s="729">
        <v>215874145</v>
      </c>
      <c r="L411" s="728" t="s">
        <v>175</v>
      </c>
      <c r="M411" s="728" t="s">
        <v>176</v>
      </c>
      <c r="N411" s="727"/>
      <c r="O411" s="727"/>
      <c r="P411" s="727"/>
      <c r="Q411" s="727"/>
      <c r="R411" s="730"/>
      <c r="S411" s="727"/>
      <c r="T411" s="728" t="s">
        <v>179</v>
      </c>
    </row>
    <row r="412" ht="34.5">
      <c r="A412" s="728" t="s">
        <v>326</v>
      </c>
      <c r="B412" s="728" t="s">
        <v>168</v>
      </c>
      <c r="C412" s="728" t="s">
        <v>635</v>
      </c>
      <c r="D412" s="728" t="s">
        <v>650</v>
      </c>
      <c r="E412" s="728" t="s">
        <v>616</v>
      </c>
      <c r="F412" s="727" t="s">
        <v>616</v>
      </c>
      <c r="G412" s="728" t="s">
        <v>254</v>
      </c>
      <c r="H412" s="727" t="s">
        <v>656</v>
      </c>
      <c r="I412" s="727" t="s">
        <v>651</v>
      </c>
      <c r="J412" s="727" t="s">
        <v>657</v>
      </c>
      <c r="K412" s="729">
        <v>-17584115</v>
      </c>
      <c r="L412" s="728" t="s">
        <v>175</v>
      </c>
      <c r="M412" s="728" t="s">
        <v>176</v>
      </c>
      <c r="N412" s="727"/>
      <c r="O412" s="727"/>
      <c r="P412" s="727"/>
      <c r="Q412" s="727"/>
      <c r="R412" s="730" t="s">
        <v>670</v>
      </c>
      <c r="S412" s="727"/>
      <c r="T412" s="728" t="s">
        <v>179</v>
      </c>
    </row>
    <row r="413" ht="34.5">
      <c r="A413" s="728" t="s">
        <v>326</v>
      </c>
      <c r="B413" s="728" t="s">
        <v>168</v>
      </c>
      <c r="C413" s="728" t="s">
        <v>635</v>
      </c>
      <c r="D413" s="728" t="s">
        <v>650</v>
      </c>
      <c r="E413" s="728" t="s">
        <v>616</v>
      </c>
      <c r="F413" s="727" t="s">
        <v>616</v>
      </c>
      <c r="G413" s="728" t="s">
        <v>254</v>
      </c>
      <c r="H413" s="727" t="s">
        <v>659</v>
      </c>
      <c r="I413" s="727" t="s">
        <v>651</v>
      </c>
      <c r="J413" s="727" t="s">
        <v>38</v>
      </c>
      <c r="K413" s="729">
        <v>198290030</v>
      </c>
      <c r="L413" s="728" t="s">
        <v>175</v>
      </c>
      <c r="M413" s="728" t="s">
        <v>176</v>
      </c>
      <c r="N413" s="727"/>
      <c r="O413" s="727"/>
      <c r="P413" s="727"/>
      <c r="Q413" s="727"/>
      <c r="R413" s="730" t="s">
        <v>671</v>
      </c>
      <c r="S413" s="727" t="s">
        <v>661</v>
      </c>
      <c r="T413" s="728" t="s">
        <v>179</v>
      </c>
    </row>
    <row r="414" ht="34.5">
      <c r="A414" s="728" t="s">
        <v>326</v>
      </c>
      <c r="B414" s="728" t="s">
        <v>168</v>
      </c>
      <c r="C414" s="728" t="s">
        <v>635</v>
      </c>
      <c r="D414" s="728" t="s">
        <v>650</v>
      </c>
      <c r="E414" s="728" t="s">
        <v>616</v>
      </c>
      <c r="F414" s="727" t="s">
        <v>616</v>
      </c>
      <c r="G414" s="728" t="s">
        <v>254</v>
      </c>
      <c r="H414" s="727"/>
      <c r="I414" s="727" t="s">
        <v>662</v>
      </c>
      <c r="J414" s="727" t="s">
        <v>663</v>
      </c>
      <c r="K414" s="729">
        <v>228448132</v>
      </c>
      <c r="L414" s="728" t="s">
        <v>175</v>
      </c>
      <c r="M414" s="728" t="s">
        <v>176</v>
      </c>
      <c r="N414" s="727"/>
      <c r="O414" s="727"/>
      <c r="P414" s="727"/>
      <c r="Q414" s="727"/>
      <c r="R414" s="730"/>
      <c r="S414" s="727"/>
      <c r="T414" s="728" t="s">
        <v>179</v>
      </c>
    </row>
    <row r="415" ht="34.5">
      <c r="A415" s="728" t="s">
        <v>326</v>
      </c>
      <c r="B415" s="728" t="s">
        <v>168</v>
      </c>
      <c r="C415" s="728" t="s">
        <v>635</v>
      </c>
      <c r="D415" s="728" t="s">
        <v>650</v>
      </c>
      <c r="E415" s="728" t="s">
        <v>616</v>
      </c>
      <c r="F415" s="727" t="s">
        <v>616</v>
      </c>
      <c r="G415" s="728" t="s">
        <v>254</v>
      </c>
      <c r="H415" s="727"/>
      <c r="I415" s="727" t="s">
        <v>662</v>
      </c>
      <c r="J415" s="727" t="s">
        <v>664</v>
      </c>
      <c r="K415" s="729">
        <v>-12849000</v>
      </c>
      <c r="L415" s="728" t="s">
        <v>175</v>
      </c>
      <c r="M415" s="728" t="s">
        <v>176</v>
      </c>
      <c r="N415" s="727"/>
      <c r="O415" s="727"/>
      <c r="P415" s="727"/>
      <c r="Q415" s="727" t="s">
        <v>665</v>
      </c>
      <c r="R415" s="730"/>
      <c r="S415" s="727"/>
      <c r="T415" s="728" t="s">
        <v>179</v>
      </c>
    </row>
    <row r="416" ht="34.5">
      <c r="A416" s="728" t="s">
        <v>326</v>
      </c>
      <c r="B416" s="728" t="s">
        <v>168</v>
      </c>
      <c r="C416" s="728" t="s">
        <v>635</v>
      </c>
      <c r="D416" s="728" t="s">
        <v>650</v>
      </c>
      <c r="E416" s="728" t="s">
        <v>616</v>
      </c>
      <c r="F416" s="727" t="s">
        <v>616</v>
      </c>
      <c r="G416" s="728" t="s">
        <v>254</v>
      </c>
      <c r="H416" s="727"/>
      <c r="I416" s="727" t="s">
        <v>662</v>
      </c>
      <c r="J416" s="727" t="s">
        <v>666</v>
      </c>
      <c r="K416" s="729">
        <v>14682060</v>
      </c>
      <c r="L416" s="728" t="s">
        <v>175</v>
      </c>
      <c r="M416" s="728" t="s">
        <v>176</v>
      </c>
      <c r="N416" s="727"/>
      <c r="O416" s="727"/>
      <c r="P416" s="727"/>
      <c r="Q416" s="727"/>
      <c r="R416" s="730"/>
      <c r="S416" s="727"/>
      <c r="T416" s="728" t="s">
        <v>179</v>
      </c>
    </row>
    <row r="417" ht="34.5">
      <c r="A417" s="728" t="s">
        <v>326</v>
      </c>
      <c r="B417" s="728" t="s">
        <v>168</v>
      </c>
      <c r="C417" s="728" t="s">
        <v>635</v>
      </c>
      <c r="D417" s="728" t="s">
        <v>650</v>
      </c>
      <c r="E417" s="728" t="s">
        <v>616</v>
      </c>
      <c r="F417" s="727" t="s">
        <v>616</v>
      </c>
      <c r="G417" s="728" t="s">
        <v>254</v>
      </c>
      <c r="H417" s="727"/>
      <c r="I417" s="727" t="s">
        <v>662</v>
      </c>
      <c r="J417" s="727" t="s">
        <v>667</v>
      </c>
      <c r="K417" s="729">
        <v>-14872390</v>
      </c>
      <c r="L417" s="728" t="s">
        <v>175</v>
      </c>
      <c r="M417" s="728" t="s">
        <v>176</v>
      </c>
      <c r="N417" s="727"/>
      <c r="O417" s="727"/>
      <c r="P417" s="727"/>
      <c r="Q417" s="727"/>
      <c r="R417" s="730"/>
      <c r="S417" s="727"/>
      <c r="T417" s="728" t="s">
        <v>179</v>
      </c>
    </row>
    <row r="418" ht="34.5">
      <c r="A418" s="728" t="s">
        <v>326</v>
      </c>
      <c r="B418" s="728" t="s">
        <v>168</v>
      </c>
      <c r="C418" s="728" t="s">
        <v>635</v>
      </c>
      <c r="D418" s="728" t="s">
        <v>650</v>
      </c>
      <c r="E418" s="728" t="s">
        <v>616</v>
      </c>
      <c r="F418" s="727" t="s">
        <v>616</v>
      </c>
      <c r="G418" s="728" t="s">
        <v>254</v>
      </c>
      <c r="H418" s="727"/>
      <c r="I418" s="727" t="s">
        <v>662</v>
      </c>
      <c r="J418" s="727" t="s">
        <v>668</v>
      </c>
      <c r="K418" s="729">
        <v>465343</v>
      </c>
      <c r="L418" s="728" t="s">
        <v>175</v>
      </c>
      <c r="M418" s="728" t="s">
        <v>176</v>
      </c>
      <c r="N418" s="727"/>
      <c r="O418" s="727"/>
      <c r="P418" s="727"/>
      <c r="Q418" s="727"/>
      <c r="R418" s="730"/>
      <c r="S418" s="727"/>
      <c r="T418" s="728" t="s">
        <v>179</v>
      </c>
    </row>
    <row r="419" ht="34.5">
      <c r="A419" s="728" t="s">
        <v>326</v>
      </c>
      <c r="B419" s="728" t="s">
        <v>168</v>
      </c>
      <c r="C419" s="728" t="s">
        <v>635</v>
      </c>
      <c r="D419" s="728" t="s">
        <v>650</v>
      </c>
      <c r="E419" s="728" t="s">
        <v>616</v>
      </c>
      <c r="F419" s="727" t="s">
        <v>616</v>
      </c>
      <c r="G419" s="728" t="s">
        <v>254</v>
      </c>
      <c r="H419" s="727"/>
      <c r="I419" s="727" t="s">
        <v>662</v>
      </c>
      <c r="J419" s="727" t="s">
        <v>669</v>
      </c>
      <c r="K419" s="729">
        <v>215874145</v>
      </c>
      <c r="L419" s="728" t="s">
        <v>175</v>
      </c>
      <c r="M419" s="728" t="s">
        <v>176</v>
      </c>
      <c r="N419" s="727"/>
      <c r="O419" s="727"/>
      <c r="P419" s="727"/>
      <c r="Q419" s="727"/>
      <c r="R419" s="730"/>
      <c r="S419" s="727" t="s">
        <v>332</v>
      </c>
      <c r="T419" s="728" t="s">
        <v>179</v>
      </c>
    </row>
    <row r="420" ht="34.5">
      <c r="A420" s="728" t="s">
        <v>327</v>
      </c>
      <c r="B420" s="728" t="s">
        <v>328</v>
      </c>
      <c r="C420" s="728" t="s">
        <v>635</v>
      </c>
      <c r="D420" s="728" t="s">
        <v>606</v>
      </c>
      <c r="E420" s="728" t="s">
        <v>616</v>
      </c>
      <c r="F420" s="727" t="s">
        <v>616</v>
      </c>
      <c r="G420" s="728" t="s">
        <v>254</v>
      </c>
      <c r="H420" s="727"/>
      <c r="I420" s="727" t="s">
        <v>651</v>
      </c>
      <c r="J420" s="727" t="s">
        <v>652</v>
      </c>
      <c r="K420" s="729">
        <v>231256000</v>
      </c>
      <c r="L420" s="728" t="s">
        <v>175</v>
      </c>
      <c r="M420" s="728" t="s">
        <v>176</v>
      </c>
      <c r="N420" s="727"/>
      <c r="O420" s="727"/>
      <c r="P420" s="727"/>
      <c r="Q420" s="727"/>
      <c r="R420" s="730"/>
      <c r="S420" s="727"/>
      <c r="T420" s="728" t="s">
        <v>179</v>
      </c>
    </row>
    <row r="421" ht="34.5">
      <c r="A421" s="728" t="s">
        <v>327</v>
      </c>
      <c r="B421" s="728" t="s">
        <v>328</v>
      </c>
      <c r="C421" s="728" t="s">
        <v>635</v>
      </c>
      <c r="D421" s="728" t="s">
        <v>606</v>
      </c>
      <c r="E421" s="728" t="s">
        <v>616</v>
      </c>
      <c r="F421" s="727" t="s">
        <v>616</v>
      </c>
      <c r="G421" s="728" t="s">
        <v>254</v>
      </c>
      <c r="H421" s="727"/>
      <c r="I421" s="727" t="s">
        <v>651</v>
      </c>
      <c r="J421" s="727" t="s">
        <v>653</v>
      </c>
      <c r="K421" s="729">
        <v>3778445</v>
      </c>
      <c r="L421" s="728" t="s">
        <v>175</v>
      </c>
      <c r="M421" s="728" t="s">
        <v>176</v>
      </c>
      <c r="N421" s="727"/>
      <c r="O421" s="727"/>
      <c r="P421" s="727"/>
      <c r="Q421" s="727"/>
      <c r="R421" s="730"/>
      <c r="S421" s="727"/>
      <c r="T421" s="728" t="s">
        <v>179</v>
      </c>
    </row>
    <row r="422" ht="34.5">
      <c r="A422" s="728" t="s">
        <v>327</v>
      </c>
      <c r="B422" s="728" t="s">
        <v>328</v>
      </c>
      <c r="C422" s="728" t="s">
        <v>635</v>
      </c>
      <c r="D422" s="728" t="s">
        <v>606</v>
      </c>
      <c r="E422" s="728" t="s">
        <v>616</v>
      </c>
      <c r="F422" s="727" t="s">
        <v>616</v>
      </c>
      <c r="G422" s="728" t="s">
        <v>254</v>
      </c>
      <c r="H422" s="727"/>
      <c r="I422" s="727" t="s">
        <v>651</v>
      </c>
      <c r="J422" s="727" t="s">
        <v>654</v>
      </c>
      <c r="K422" s="729">
        <v>-6586313</v>
      </c>
      <c r="L422" s="728" t="s">
        <v>175</v>
      </c>
      <c r="M422" s="728" t="s">
        <v>176</v>
      </c>
      <c r="N422" s="727"/>
      <c r="O422" s="727"/>
      <c r="P422" s="727"/>
      <c r="Q422" s="727"/>
      <c r="R422" s="730"/>
      <c r="S422" s="727"/>
      <c r="T422" s="728" t="s">
        <v>179</v>
      </c>
    </row>
    <row r="423" ht="34.5">
      <c r="A423" s="728" t="s">
        <v>327</v>
      </c>
      <c r="B423" s="728" t="s">
        <v>328</v>
      </c>
      <c r="C423" s="728" t="s">
        <v>635</v>
      </c>
      <c r="D423" s="728" t="s">
        <v>606</v>
      </c>
      <c r="E423" s="728" t="s">
        <v>616</v>
      </c>
      <c r="F423" s="727" t="s">
        <v>616</v>
      </c>
      <c r="G423" s="728" t="s">
        <v>254</v>
      </c>
      <c r="H423" s="727"/>
      <c r="I423" s="727" t="s">
        <v>651</v>
      </c>
      <c r="J423" s="727" t="s">
        <v>655</v>
      </c>
      <c r="K423" s="729">
        <v>228448132</v>
      </c>
      <c r="L423" s="728" t="s">
        <v>175</v>
      </c>
      <c r="M423" s="728" t="s">
        <v>176</v>
      </c>
      <c r="N423" s="727"/>
      <c r="O423" s="727"/>
      <c r="P423" s="727"/>
      <c r="Q423" s="727"/>
      <c r="R423" s="730"/>
      <c r="S423" s="727"/>
      <c r="T423" s="728" t="s">
        <v>179</v>
      </c>
    </row>
    <row r="424" ht="34.5">
      <c r="A424" s="728" t="s">
        <v>327</v>
      </c>
      <c r="B424" s="728" t="s">
        <v>328</v>
      </c>
      <c r="C424" s="728" t="s">
        <v>635</v>
      </c>
      <c r="D424" s="728" t="s">
        <v>606</v>
      </c>
      <c r="E424" s="728" t="s">
        <v>616</v>
      </c>
      <c r="F424" s="727" t="s">
        <v>616</v>
      </c>
      <c r="G424" s="728" t="s">
        <v>254</v>
      </c>
      <c r="H424" s="727" t="s">
        <v>656</v>
      </c>
      <c r="I424" s="727" t="s">
        <v>651</v>
      </c>
      <c r="J424" s="727" t="s">
        <v>657</v>
      </c>
      <c r="K424" s="729">
        <v>-16627445</v>
      </c>
      <c r="L424" s="728" t="s">
        <v>175</v>
      </c>
      <c r="M424" s="728" t="s">
        <v>176</v>
      </c>
      <c r="N424" s="727"/>
      <c r="O424" s="727"/>
      <c r="P424" s="727"/>
      <c r="Q424" s="727"/>
      <c r="R424" s="730" t="s">
        <v>672</v>
      </c>
      <c r="S424" s="727"/>
      <c r="T424" s="728" t="s">
        <v>179</v>
      </c>
    </row>
    <row r="425" ht="34.5">
      <c r="A425" s="728" t="s">
        <v>327</v>
      </c>
      <c r="B425" s="728" t="s">
        <v>328</v>
      </c>
      <c r="C425" s="728" t="s">
        <v>635</v>
      </c>
      <c r="D425" s="728" t="s">
        <v>606</v>
      </c>
      <c r="E425" s="728" t="s">
        <v>616</v>
      </c>
      <c r="F425" s="727" t="s">
        <v>616</v>
      </c>
      <c r="G425" s="728" t="s">
        <v>254</v>
      </c>
      <c r="H425" s="727" t="s">
        <v>659</v>
      </c>
      <c r="I425" s="727" t="s">
        <v>651</v>
      </c>
      <c r="J425" s="727" t="s">
        <v>38</v>
      </c>
      <c r="K425" s="729">
        <v>211820687</v>
      </c>
      <c r="L425" s="728" t="s">
        <v>175</v>
      </c>
      <c r="M425" s="728" t="s">
        <v>176</v>
      </c>
      <c r="N425" s="727"/>
      <c r="O425" s="727"/>
      <c r="P425" s="727"/>
      <c r="Q425" s="727"/>
      <c r="R425" s="730" t="s">
        <v>673</v>
      </c>
      <c r="S425" s="727" t="s">
        <v>661</v>
      </c>
      <c r="T425" s="728" t="s">
        <v>179</v>
      </c>
    </row>
    <row r="426" ht="34.5">
      <c r="A426" s="728" t="s">
        <v>327</v>
      </c>
      <c r="B426" s="728" t="s">
        <v>328</v>
      </c>
      <c r="C426" s="728" t="s">
        <v>635</v>
      </c>
      <c r="D426" s="728" t="s">
        <v>606</v>
      </c>
      <c r="E426" s="728" t="s">
        <v>616</v>
      </c>
      <c r="F426" s="727" t="s">
        <v>616</v>
      </c>
      <c r="G426" s="728" t="s">
        <v>254</v>
      </c>
      <c r="H426" s="727"/>
      <c r="I426" s="727" t="s">
        <v>662</v>
      </c>
      <c r="J426" s="727" t="s">
        <v>663</v>
      </c>
      <c r="K426" s="729">
        <v>239421698</v>
      </c>
      <c r="L426" s="728" t="s">
        <v>175</v>
      </c>
      <c r="M426" s="728" t="s">
        <v>176</v>
      </c>
      <c r="N426" s="727"/>
      <c r="O426" s="727"/>
      <c r="P426" s="727"/>
      <c r="Q426" s="727"/>
      <c r="R426" s="730"/>
      <c r="S426" s="727"/>
      <c r="T426" s="728" t="s">
        <v>179</v>
      </c>
    </row>
    <row r="427" ht="34.5">
      <c r="A427" s="728" t="s">
        <v>327</v>
      </c>
      <c r="B427" s="728" t="s">
        <v>328</v>
      </c>
      <c r="C427" s="728" t="s">
        <v>635</v>
      </c>
      <c r="D427" s="728" t="s">
        <v>606</v>
      </c>
      <c r="E427" s="728" t="s">
        <v>616</v>
      </c>
      <c r="F427" s="727" t="s">
        <v>616</v>
      </c>
      <c r="G427" s="728" t="s">
        <v>254</v>
      </c>
      <c r="H427" s="727"/>
      <c r="I427" s="727" t="s">
        <v>662</v>
      </c>
      <c r="J427" s="727" t="s">
        <v>664</v>
      </c>
      <c r="K427" s="729">
        <v>-11256000</v>
      </c>
      <c r="L427" s="728" t="s">
        <v>175</v>
      </c>
      <c r="M427" s="728" t="s">
        <v>176</v>
      </c>
      <c r="N427" s="727"/>
      <c r="O427" s="727"/>
      <c r="P427" s="727"/>
      <c r="Q427" s="727"/>
      <c r="R427" s="730"/>
      <c r="S427" s="727"/>
      <c r="T427" s="728" t="s">
        <v>179</v>
      </c>
    </row>
    <row r="428" ht="34.5">
      <c r="A428" s="728" t="s">
        <v>327</v>
      </c>
      <c r="B428" s="728" t="s">
        <v>328</v>
      </c>
      <c r="C428" s="728" t="s">
        <v>635</v>
      </c>
      <c r="D428" s="728" t="s">
        <v>606</v>
      </c>
      <c r="E428" s="728" t="s">
        <v>616</v>
      </c>
      <c r="F428" s="727" t="s">
        <v>616</v>
      </c>
      <c r="G428" s="728" t="s">
        <v>254</v>
      </c>
      <c r="H428" s="727"/>
      <c r="I428" s="727" t="s">
        <v>662</v>
      </c>
      <c r="J428" s="727" t="s">
        <v>666</v>
      </c>
      <c r="K428" s="729">
        <v>15423407</v>
      </c>
      <c r="L428" s="728" t="s">
        <v>175</v>
      </c>
      <c r="M428" s="728" t="s">
        <v>176</v>
      </c>
      <c r="N428" s="727"/>
      <c r="O428" s="727"/>
      <c r="P428" s="727"/>
      <c r="Q428" s="727"/>
      <c r="R428" s="730"/>
      <c r="S428" s="727"/>
      <c r="T428" s="728" t="s">
        <v>179</v>
      </c>
    </row>
    <row r="429" ht="34.5">
      <c r="A429" s="728" t="s">
        <v>327</v>
      </c>
      <c r="B429" s="728" t="s">
        <v>328</v>
      </c>
      <c r="C429" s="728" t="s">
        <v>635</v>
      </c>
      <c r="D429" s="728" t="s">
        <v>606</v>
      </c>
      <c r="E429" s="728" t="s">
        <v>616</v>
      </c>
      <c r="F429" s="727" t="s">
        <v>616</v>
      </c>
      <c r="G429" s="728" t="s">
        <v>254</v>
      </c>
      <c r="H429" s="727"/>
      <c r="I429" s="727" t="s">
        <v>662</v>
      </c>
      <c r="J429" s="727" t="s">
        <v>667</v>
      </c>
      <c r="K429" s="729">
        <v>-15629088</v>
      </c>
      <c r="L429" s="728" t="s">
        <v>175</v>
      </c>
      <c r="M429" s="728" t="s">
        <v>176</v>
      </c>
      <c r="N429" s="727"/>
      <c r="O429" s="727"/>
      <c r="P429" s="727"/>
      <c r="Q429" s="727"/>
      <c r="R429" s="730"/>
      <c r="S429" s="727"/>
      <c r="T429" s="728" t="s">
        <v>179</v>
      </c>
    </row>
    <row r="430" ht="34.5">
      <c r="A430" s="728" t="s">
        <v>327</v>
      </c>
      <c r="B430" s="728" t="s">
        <v>328</v>
      </c>
      <c r="C430" s="728" t="s">
        <v>635</v>
      </c>
      <c r="D430" s="728" t="s">
        <v>606</v>
      </c>
      <c r="E430" s="728" t="s">
        <v>616</v>
      </c>
      <c r="F430" s="727" t="s">
        <v>616</v>
      </c>
      <c r="G430" s="728" t="s">
        <v>254</v>
      </c>
      <c r="H430" s="727"/>
      <c r="I430" s="727" t="s">
        <v>662</v>
      </c>
      <c r="J430" s="727" t="s">
        <v>668</v>
      </c>
      <c r="K430" s="729">
        <v>488115</v>
      </c>
      <c r="L430" s="728" t="s">
        <v>175</v>
      </c>
      <c r="M430" s="728" t="s">
        <v>176</v>
      </c>
      <c r="N430" s="727"/>
      <c r="O430" s="727"/>
      <c r="P430" s="727"/>
      <c r="Q430" s="727"/>
      <c r="R430" s="730"/>
      <c r="S430" s="727"/>
      <c r="T430" s="728" t="s">
        <v>179</v>
      </c>
    </row>
    <row r="431" ht="34.5">
      <c r="A431" s="728" t="s">
        <v>327</v>
      </c>
      <c r="B431" s="728" t="s">
        <v>328</v>
      </c>
      <c r="C431" s="728" t="s">
        <v>635</v>
      </c>
      <c r="D431" s="728" t="s">
        <v>606</v>
      </c>
      <c r="E431" s="728" t="s">
        <v>616</v>
      </c>
      <c r="F431" s="727" t="s">
        <v>616</v>
      </c>
      <c r="G431" s="728" t="s">
        <v>254</v>
      </c>
      <c r="H431" s="727"/>
      <c r="I431" s="727" t="s">
        <v>662</v>
      </c>
      <c r="J431" s="727" t="s">
        <v>669</v>
      </c>
      <c r="K431" s="729">
        <v>228448132</v>
      </c>
      <c r="L431" s="728" t="s">
        <v>175</v>
      </c>
      <c r="M431" s="728" t="s">
        <v>176</v>
      </c>
      <c r="N431" s="727"/>
      <c r="O431" s="727"/>
      <c r="P431" s="727"/>
      <c r="Q431" s="727"/>
      <c r="R431" s="730"/>
      <c r="S431" s="727" t="s">
        <v>332</v>
      </c>
      <c r="T431" s="728" t="s">
        <v>179</v>
      </c>
    </row>
    <row r="432" ht="34.5">
      <c r="A432" s="728" t="s">
        <v>333</v>
      </c>
      <c r="B432" s="728" t="s">
        <v>334</v>
      </c>
      <c r="C432" s="728" t="s">
        <v>635</v>
      </c>
      <c r="D432" s="728" t="s">
        <v>606</v>
      </c>
      <c r="E432" s="728" t="s">
        <v>616</v>
      </c>
      <c r="F432" s="727" t="s">
        <v>616</v>
      </c>
      <c r="G432" s="728" t="s">
        <v>254</v>
      </c>
      <c r="H432" s="727"/>
      <c r="I432" s="727" t="s">
        <v>651</v>
      </c>
      <c r="J432" s="727" t="s">
        <v>652</v>
      </c>
      <c r="K432" s="729">
        <v>242512000</v>
      </c>
      <c r="L432" s="728" t="s">
        <v>175</v>
      </c>
      <c r="M432" s="728" t="s">
        <v>176</v>
      </c>
      <c r="N432" s="727"/>
      <c r="O432" s="727"/>
      <c r="P432" s="727"/>
      <c r="Q432" s="727"/>
      <c r="R432" s="730"/>
      <c r="S432" s="727"/>
      <c r="T432" s="728" t="s">
        <v>179</v>
      </c>
    </row>
    <row r="433" ht="34.5">
      <c r="A433" s="728" t="s">
        <v>333</v>
      </c>
      <c r="B433" s="728" t="s">
        <v>334</v>
      </c>
      <c r="C433" s="728" t="s">
        <v>635</v>
      </c>
      <c r="D433" s="728" t="s">
        <v>606</v>
      </c>
      <c r="E433" s="728" t="s">
        <v>616</v>
      </c>
      <c r="F433" s="727" t="s">
        <v>616</v>
      </c>
      <c r="G433" s="728" t="s">
        <v>254</v>
      </c>
      <c r="H433" s="727"/>
      <c r="I433" s="727" t="s">
        <v>651</v>
      </c>
      <c r="J433" s="727" t="s">
        <v>653</v>
      </c>
      <c r="K433" s="729">
        <v>3984126</v>
      </c>
      <c r="L433" s="728" t="s">
        <v>175</v>
      </c>
      <c r="M433" s="728" t="s">
        <v>176</v>
      </c>
      <c r="N433" s="727"/>
      <c r="O433" s="727"/>
      <c r="P433" s="727"/>
      <c r="Q433" s="727"/>
      <c r="R433" s="730"/>
      <c r="S433" s="727"/>
      <c r="T433" s="728" t="s">
        <v>179</v>
      </c>
    </row>
    <row r="434" ht="34.5">
      <c r="A434" s="728" t="s">
        <v>333</v>
      </c>
      <c r="B434" s="728" t="s">
        <v>334</v>
      </c>
      <c r="C434" s="728" t="s">
        <v>635</v>
      </c>
      <c r="D434" s="728" t="s">
        <v>606</v>
      </c>
      <c r="E434" s="728" t="s">
        <v>616</v>
      </c>
      <c r="F434" s="727" t="s">
        <v>616</v>
      </c>
      <c r="G434" s="728" t="s">
        <v>254</v>
      </c>
      <c r="H434" s="727"/>
      <c r="I434" s="727" t="s">
        <v>651</v>
      </c>
      <c r="J434" s="727" t="s">
        <v>654</v>
      </c>
      <c r="K434" s="729">
        <v>-7074428</v>
      </c>
      <c r="L434" s="728" t="s">
        <v>175</v>
      </c>
      <c r="M434" s="728" t="s">
        <v>176</v>
      </c>
      <c r="N434" s="727"/>
      <c r="O434" s="727"/>
      <c r="P434" s="727"/>
      <c r="Q434" s="727"/>
      <c r="R434" s="730"/>
      <c r="S434" s="727"/>
      <c r="T434" s="728" t="s">
        <v>179</v>
      </c>
    </row>
    <row r="435" ht="34.5">
      <c r="A435" s="728" t="s">
        <v>333</v>
      </c>
      <c r="B435" s="728" t="s">
        <v>334</v>
      </c>
      <c r="C435" s="728" t="s">
        <v>635</v>
      </c>
      <c r="D435" s="728" t="s">
        <v>606</v>
      </c>
      <c r="E435" s="728" t="s">
        <v>616</v>
      </c>
      <c r="F435" s="727" t="s">
        <v>616</v>
      </c>
      <c r="G435" s="728" t="s">
        <v>254</v>
      </c>
      <c r="H435" s="727"/>
      <c r="I435" s="727" t="s">
        <v>651</v>
      </c>
      <c r="J435" s="727" t="s">
        <v>655</v>
      </c>
      <c r="K435" s="729">
        <v>239421698</v>
      </c>
      <c r="L435" s="728" t="s">
        <v>175</v>
      </c>
      <c r="M435" s="728" t="s">
        <v>176</v>
      </c>
      <c r="N435" s="727"/>
      <c r="O435" s="727"/>
      <c r="P435" s="727"/>
      <c r="Q435" s="727"/>
      <c r="R435" s="730"/>
      <c r="S435" s="727"/>
      <c r="T435" s="728" t="s">
        <v>179</v>
      </c>
    </row>
    <row r="436" ht="34.5">
      <c r="A436" s="728" t="s">
        <v>333</v>
      </c>
      <c r="B436" s="728" t="s">
        <v>334</v>
      </c>
      <c r="C436" s="728" t="s">
        <v>635</v>
      </c>
      <c r="D436" s="728" t="s">
        <v>606</v>
      </c>
      <c r="E436" s="728" t="s">
        <v>616</v>
      </c>
      <c r="F436" s="727" t="s">
        <v>616</v>
      </c>
      <c r="G436" s="728" t="s">
        <v>254</v>
      </c>
      <c r="H436" s="727" t="s">
        <v>656</v>
      </c>
      <c r="I436" s="727" t="s">
        <v>651</v>
      </c>
      <c r="J436" s="727" t="s">
        <v>657</v>
      </c>
      <c r="K436" s="729">
        <v>-15240126</v>
      </c>
      <c r="L436" s="728" t="s">
        <v>175</v>
      </c>
      <c r="M436" s="728" t="s">
        <v>176</v>
      </c>
      <c r="N436" s="727"/>
      <c r="O436" s="727"/>
      <c r="P436" s="727"/>
      <c r="Q436" s="727"/>
      <c r="R436" s="730" t="s">
        <v>674</v>
      </c>
      <c r="S436" s="727"/>
      <c r="T436" s="728" t="s">
        <v>179</v>
      </c>
    </row>
    <row r="437" ht="34.5">
      <c r="A437" s="728" t="s">
        <v>333</v>
      </c>
      <c r="B437" s="728" t="s">
        <v>334</v>
      </c>
      <c r="C437" s="728" t="s">
        <v>635</v>
      </c>
      <c r="D437" s="728" t="s">
        <v>606</v>
      </c>
      <c r="E437" s="728" t="s">
        <v>616</v>
      </c>
      <c r="F437" s="727" t="s">
        <v>616</v>
      </c>
      <c r="G437" s="728" t="s">
        <v>254</v>
      </c>
      <c r="H437" s="727" t="s">
        <v>659</v>
      </c>
      <c r="I437" s="727" t="s">
        <v>651</v>
      </c>
      <c r="J437" s="727" t="s">
        <v>675</v>
      </c>
      <c r="K437" s="729">
        <v>224181572</v>
      </c>
      <c r="L437" s="728" t="s">
        <v>175</v>
      </c>
      <c r="M437" s="728" t="s">
        <v>176</v>
      </c>
      <c r="N437" s="727"/>
      <c r="O437" s="727"/>
      <c r="P437" s="727"/>
      <c r="Q437" s="727"/>
      <c r="R437" s="730" t="s">
        <v>676</v>
      </c>
      <c r="S437" s="727" t="s">
        <v>661</v>
      </c>
      <c r="T437" s="728" t="s">
        <v>179</v>
      </c>
    </row>
    <row r="438" ht="34.5">
      <c r="A438" s="728" t="s">
        <v>333</v>
      </c>
      <c r="B438" s="728" t="s">
        <v>334</v>
      </c>
      <c r="C438" s="728" t="s">
        <v>635</v>
      </c>
      <c r="D438" s="728" t="s">
        <v>606</v>
      </c>
      <c r="E438" s="728" t="s">
        <v>616</v>
      </c>
      <c r="F438" s="727" t="s">
        <v>616</v>
      </c>
      <c r="G438" s="728" t="s">
        <v>254</v>
      </c>
      <c r="H438" s="727"/>
      <c r="I438" s="727" t="s">
        <v>662</v>
      </c>
      <c r="J438" s="727" t="s">
        <v>663</v>
      </c>
      <c r="K438" s="729">
        <v>249248937</v>
      </c>
      <c r="L438" s="728" t="s">
        <v>175</v>
      </c>
      <c r="M438" s="728" t="s">
        <v>176</v>
      </c>
      <c r="N438" s="727"/>
      <c r="O438" s="727"/>
      <c r="P438" s="727"/>
      <c r="Q438" s="727"/>
      <c r="R438" s="730"/>
      <c r="S438" s="727"/>
      <c r="T438" s="728" t="s">
        <v>179</v>
      </c>
    </row>
    <row r="439" ht="34.5">
      <c r="A439" s="728" t="s">
        <v>333</v>
      </c>
      <c r="B439" s="728" t="s">
        <v>334</v>
      </c>
      <c r="C439" s="728" t="s">
        <v>635</v>
      </c>
      <c r="D439" s="728" t="s">
        <v>606</v>
      </c>
      <c r="E439" s="728" t="s">
        <v>616</v>
      </c>
      <c r="F439" s="727" t="s">
        <v>616</v>
      </c>
      <c r="G439" s="728" t="s">
        <v>254</v>
      </c>
      <c r="H439" s="727"/>
      <c r="I439" s="727" t="s">
        <v>662</v>
      </c>
      <c r="J439" s="727" t="s">
        <v>664</v>
      </c>
      <c r="K439" s="729">
        <v>-10149000</v>
      </c>
      <c r="L439" s="728" t="s">
        <v>175</v>
      </c>
      <c r="M439" s="728" t="s">
        <v>176</v>
      </c>
      <c r="N439" s="727"/>
      <c r="O439" s="727"/>
      <c r="P439" s="727"/>
      <c r="Q439" s="727"/>
      <c r="R439" s="730"/>
      <c r="S439" s="727"/>
      <c r="T439" s="728" t="s">
        <v>179</v>
      </c>
    </row>
    <row r="440" ht="34.5">
      <c r="A440" s="728" t="s">
        <v>333</v>
      </c>
      <c r="B440" s="728" t="s">
        <v>334</v>
      </c>
      <c r="C440" s="728" t="s">
        <v>635</v>
      </c>
      <c r="D440" s="728" t="s">
        <v>606</v>
      </c>
      <c r="E440" s="728" t="s">
        <v>616</v>
      </c>
      <c r="F440" s="727" t="s">
        <v>616</v>
      </c>
      <c r="G440" s="728" t="s">
        <v>254</v>
      </c>
      <c r="H440" s="727"/>
      <c r="I440" s="727" t="s">
        <v>662</v>
      </c>
      <c r="J440" s="727" t="s">
        <v>666</v>
      </c>
      <c r="K440" s="729">
        <v>16142742</v>
      </c>
      <c r="L440" s="728" t="s">
        <v>175</v>
      </c>
      <c r="M440" s="728" t="s">
        <v>176</v>
      </c>
      <c r="N440" s="727"/>
      <c r="O440" s="727"/>
      <c r="P440" s="727"/>
      <c r="Q440" s="727"/>
      <c r="R440" s="730"/>
      <c r="S440" s="727"/>
      <c r="T440" s="728" t="s">
        <v>179</v>
      </c>
    </row>
    <row r="441" ht="34.5">
      <c r="A441" s="728" t="s">
        <v>333</v>
      </c>
      <c r="B441" s="728" t="s">
        <v>334</v>
      </c>
      <c r="C441" s="728" t="s">
        <v>635</v>
      </c>
      <c r="D441" s="728" t="s">
        <v>606</v>
      </c>
      <c r="E441" s="728" t="s">
        <v>616</v>
      </c>
      <c r="F441" s="727" t="s">
        <v>616</v>
      </c>
      <c r="G441" s="728" t="s">
        <v>254</v>
      </c>
      <c r="H441" s="727"/>
      <c r="I441" s="727" t="s">
        <v>662</v>
      </c>
      <c r="J441" s="727" t="s">
        <v>667</v>
      </c>
      <c r="K441" s="729">
        <v>-16309475</v>
      </c>
      <c r="L441" s="728" t="s">
        <v>175</v>
      </c>
      <c r="M441" s="728" t="s">
        <v>176</v>
      </c>
      <c r="N441" s="727"/>
      <c r="O441" s="727"/>
      <c r="P441" s="727"/>
      <c r="Q441" s="727"/>
      <c r="R441" s="730"/>
      <c r="S441" s="727"/>
      <c r="T441" s="728" t="s">
        <v>179</v>
      </c>
    </row>
    <row r="442" ht="34.5">
      <c r="A442" s="728" t="s">
        <v>333</v>
      </c>
      <c r="B442" s="728" t="s">
        <v>334</v>
      </c>
      <c r="C442" s="728" t="s">
        <v>635</v>
      </c>
      <c r="D442" s="728" t="s">
        <v>606</v>
      </c>
      <c r="E442" s="728" t="s">
        <v>616</v>
      </c>
      <c r="F442" s="727" t="s">
        <v>616</v>
      </c>
      <c r="G442" s="728" t="s">
        <v>254</v>
      </c>
      <c r="H442" s="727"/>
      <c r="I442" s="727" t="s">
        <v>662</v>
      </c>
      <c r="J442" s="727" t="s">
        <v>668</v>
      </c>
      <c r="K442" s="729">
        <v>488494</v>
      </c>
      <c r="L442" s="728" t="s">
        <v>175</v>
      </c>
      <c r="M442" s="728" t="s">
        <v>176</v>
      </c>
      <c r="N442" s="727"/>
      <c r="O442" s="727"/>
      <c r="P442" s="727"/>
      <c r="Q442" s="727"/>
      <c r="R442" s="730"/>
      <c r="S442" s="727"/>
      <c r="T442" s="728" t="s">
        <v>179</v>
      </c>
    </row>
    <row r="443" ht="34.5">
      <c r="A443" s="728" t="s">
        <v>333</v>
      </c>
      <c r="B443" s="728" t="s">
        <v>334</v>
      </c>
      <c r="C443" s="728" t="s">
        <v>635</v>
      </c>
      <c r="D443" s="728" t="s">
        <v>606</v>
      </c>
      <c r="E443" s="728" t="s">
        <v>616</v>
      </c>
      <c r="F443" s="727" t="s">
        <v>616</v>
      </c>
      <c r="G443" s="728" t="s">
        <v>254</v>
      </c>
      <c r="H443" s="727"/>
      <c r="I443" s="727" t="s">
        <v>662</v>
      </c>
      <c r="J443" s="727" t="s">
        <v>669</v>
      </c>
      <c r="K443" s="729">
        <v>239421698</v>
      </c>
      <c r="L443" s="728" t="s">
        <v>175</v>
      </c>
      <c r="M443" s="728" t="s">
        <v>176</v>
      </c>
      <c r="N443" s="727"/>
      <c r="O443" s="727"/>
      <c r="P443" s="727"/>
      <c r="Q443" s="727"/>
      <c r="R443" s="730"/>
      <c r="S443" s="727" t="s">
        <v>332</v>
      </c>
      <c r="T443" s="728" t="s">
        <v>179</v>
      </c>
    </row>
    <row r="444" ht="34.5">
      <c r="A444" s="728" t="s">
        <v>338</v>
      </c>
      <c r="B444" s="728" t="s">
        <v>339</v>
      </c>
      <c r="C444" s="728" t="s">
        <v>588</v>
      </c>
      <c r="D444" s="728" t="s">
        <v>594</v>
      </c>
      <c r="E444" s="728" t="s">
        <v>616</v>
      </c>
      <c r="F444" s="727" t="s">
        <v>616</v>
      </c>
      <c r="G444" s="728" t="s">
        <v>254</v>
      </c>
      <c r="H444" s="727"/>
      <c r="I444" s="727" t="s">
        <v>651</v>
      </c>
      <c r="J444" s="727" t="s">
        <v>652</v>
      </c>
      <c r="K444" s="729">
        <v>252661000</v>
      </c>
      <c r="L444" s="728" t="s">
        <v>175</v>
      </c>
      <c r="M444" s="728" t="s">
        <v>176</v>
      </c>
      <c r="N444" s="727"/>
      <c r="O444" s="727"/>
      <c r="P444" s="727"/>
      <c r="Q444" s="727"/>
      <c r="R444" s="730"/>
      <c r="S444" s="727"/>
      <c r="T444" s="728" t="s">
        <v>179</v>
      </c>
    </row>
    <row r="445" ht="34.5">
      <c r="A445" s="728" t="s">
        <v>338</v>
      </c>
      <c r="B445" s="728" t="s">
        <v>339</v>
      </c>
      <c r="C445" s="728" t="s">
        <v>588</v>
      </c>
      <c r="D445" s="728" t="s">
        <v>594</v>
      </c>
      <c r="E445" s="728" t="s">
        <v>616</v>
      </c>
      <c r="F445" s="727" t="s">
        <v>616</v>
      </c>
      <c r="G445" s="728" t="s">
        <v>254</v>
      </c>
      <c r="H445" s="727"/>
      <c r="I445" s="727" t="s">
        <v>651</v>
      </c>
      <c r="J445" s="727" t="s">
        <v>653</v>
      </c>
      <c r="K445" s="729">
        <v>4150859</v>
      </c>
      <c r="L445" s="728" t="s">
        <v>175</v>
      </c>
      <c r="M445" s="728" t="s">
        <v>176</v>
      </c>
      <c r="N445" s="727"/>
      <c r="O445" s="727"/>
      <c r="P445" s="727"/>
      <c r="Q445" s="727"/>
      <c r="R445" s="730"/>
      <c r="S445" s="727"/>
      <c r="T445" s="728" t="s">
        <v>179</v>
      </c>
    </row>
    <row r="446" ht="34.5">
      <c r="A446" s="728" t="s">
        <v>338</v>
      </c>
      <c r="B446" s="728" t="s">
        <v>339</v>
      </c>
      <c r="C446" s="728" t="s">
        <v>588</v>
      </c>
      <c r="D446" s="728" t="s">
        <v>594</v>
      </c>
      <c r="E446" s="728" t="s">
        <v>616</v>
      </c>
      <c r="F446" s="727" t="s">
        <v>616</v>
      </c>
      <c r="G446" s="728" t="s">
        <v>254</v>
      </c>
      <c r="H446" s="727"/>
      <c r="I446" s="727" t="s">
        <v>651</v>
      </c>
      <c r="J446" s="727" t="s">
        <v>654</v>
      </c>
      <c r="K446" s="729">
        <v>-7562922</v>
      </c>
      <c r="L446" s="728" t="s">
        <v>175</v>
      </c>
      <c r="M446" s="728" t="s">
        <v>176</v>
      </c>
      <c r="N446" s="727"/>
      <c r="O446" s="727"/>
      <c r="P446" s="727"/>
      <c r="Q446" s="727"/>
      <c r="R446" s="730"/>
      <c r="S446" s="727"/>
      <c r="T446" s="728" t="s">
        <v>179</v>
      </c>
    </row>
    <row r="447" ht="34.5">
      <c r="A447" s="728" t="s">
        <v>338</v>
      </c>
      <c r="B447" s="728" t="s">
        <v>339</v>
      </c>
      <c r="C447" s="728" t="s">
        <v>588</v>
      </c>
      <c r="D447" s="728" t="s">
        <v>594</v>
      </c>
      <c r="E447" s="728" t="s">
        <v>616</v>
      </c>
      <c r="F447" s="727" t="s">
        <v>616</v>
      </c>
      <c r="G447" s="728" t="s">
        <v>254</v>
      </c>
      <c r="H447" s="727"/>
      <c r="I447" s="727" t="s">
        <v>651</v>
      </c>
      <c r="J447" s="727" t="s">
        <v>655</v>
      </c>
      <c r="K447" s="729">
        <v>249248937</v>
      </c>
      <c r="L447" s="728" t="s">
        <v>175</v>
      </c>
      <c r="M447" s="728" t="s">
        <v>176</v>
      </c>
      <c r="N447" s="727"/>
      <c r="O447" s="727"/>
      <c r="P447" s="727"/>
      <c r="Q447" s="727"/>
      <c r="R447" s="730"/>
      <c r="S447" s="727"/>
      <c r="T447" s="728" t="s">
        <v>179</v>
      </c>
    </row>
    <row r="448" ht="34.5">
      <c r="A448" s="728" t="s">
        <v>338</v>
      </c>
      <c r="B448" s="728" t="s">
        <v>339</v>
      </c>
      <c r="C448" s="728" t="s">
        <v>588</v>
      </c>
      <c r="D448" s="728" t="s">
        <v>594</v>
      </c>
      <c r="E448" s="728" t="s">
        <v>616</v>
      </c>
      <c r="F448" s="727" t="s">
        <v>616</v>
      </c>
      <c r="G448" s="728" t="s">
        <v>254</v>
      </c>
      <c r="H448" s="727" t="s">
        <v>656</v>
      </c>
      <c r="I448" s="727" t="s">
        <v>651</v>
      </c>
      <c r="J448" s="727" t="s">
        <v>657</v>
      </c>
      <c r="K448" s="729">
        <v>-14299859</v>
      </c>
      <c r="L448" s="728" t="s">
        <v>175</v>
      </c>
      <c r="M448" s="728" t="s">
        <v>176</v>
      </c>
      <c r="N448" s="727"/>
      <c r="O448" s="727"/>
      <c r="P448" s="727"/>
      <c r="Q448" s="727"/>
      <c r="R448" s="730" t="s">
        <v>677</v>
      </c>
      <c r="S448" s="727"/>
      <c r="T448" s="728" t="s">
        <v>179</v>
      </c>
    </row>
    <row r="449" ht="34.5">
      <c r="A449" s="728" t="s">
        <v>338</v>
      </c>
      <c r="B449" s="728" t="s">
        <v>339</v>
      </c>
      <c r="C449" s="728" t="s">
        <v>588</v>
      </c>
      <c r="D449" s="728" t="s">
        <v>594</v>
      </c>
      <c r="E449" s="728" t="s">
        <v>616</v>
      </c>
      <c r="F449" s="727" t="s">
        <v>616</v>
      </c>
      <c r="G449" s="728" t="s">
        <v>254</v>
      </c>
      <c r="H449" s="727" t="s">
        <v>659</v>
      </c>
      <c r="I449" s="727" t="s">
        <v>651</v>
      </c>
      <c r="J449" s="727" t="s">
        <v>675</v>
      </c>
      <c r="K449" s="729">
        <v>234949078</v>
      </c>
      <c r="L449" s="728" t="s">
        <v>175</v>
      </c>
      <c r="M449" s="728" t="s">
        <v>176</v>
      </c>
      <c r="N449" s="727"/>
      <c r="O449" s="727"/>
      <c r="P449" s="727"/>
      <c r="Q449" s="727"/>
      <c r="R449" s="730" t="s">
        <v>678</v>
      </c>
      <c r="S449" s="727" t="s">
        <v>661</v>
      </c>
      <c r="T449" s="728" t="s">
        <v>179</v>
      </c>
    </row>
    <row r="450" ht="34.5">
      <c r="A450" s="728" t="s">
        <v>338</v>
      </c>
      <c r="B450" s="728" t="s">
        <v>339</v>
      </c>
      <c r="C450" s="728" t="s">
        <v>588</v>
      </c>
      <c r="D450" s="728" t="s">
        <v>606</v>
      </c>
      <c r="E450" s="728" t="s">
        <v>616</v>
      </c>
      <c r="F450" s="727" t="s">
        <v>616</v>
      </c>
      <c r="G450" s="728" t="s">
        <v>254</v>
      </c>
      <c r="H450" s="727"/>
      <c r="I450" s="727" t="s">
        <v>662</v>
      </c>
      <c r="J450" s="727" t="s">
        <v>679</v>
      </c>
      <c r="K450" s="729">
        <v>255256491</v>
      </c>
      <c r="L450" s="728" t="s">
        <v>175</v>
      </c>
      <c r="M450" s="728" t="s">
        <v>176</v>
      </c>
      <c r="N450" s="727"/>
      <c r="O450" s="727"/>
      <c r="P450" s="727"/>
      <c r="Q450" s="727"/>
      <c r="R450" s="730"/>
      <c r="S450" s="727"/>
      <c r="T450" s="728" t="s">
        <v>179</v>
      </c>
    </row>
    <row r="451" ht="34.5">
      <c r="A451" s="728" t="s">
        <v>338</v>
      </c>
      <c r="B451" s="728" t="s">
        <v>339</v>
      </c>
      <c r="C451" s="728" t="s">
        <v>588</v>
      </c>
      <c r="D451" s="728" t="s">
        <v>606</v>
      </c>
      <c r="E451" s="728" t="s">
        <v>616</v>
      </c>
      <c r="F451" s="727" t="s">
        <v>616</v>
      </c>
      <c r="G451" s="728" t="s">
        <v>254</v>
      </c>
      <c r="H451" s="727"/>
      <c r="I451" s="727" t="s">
        <v>662</v>
      </c>
      <c r="J451" s="727" t="s">
        <v>664</v>
      </c>
      <c r="K451" s="729">
        <v>-10003000</v>
      </c>
      <c r="L451" s="728" t="s">
        <v>175</v>
      </c>
      <c r="M451" s="728" t="s">
        <v>176</v>
      </c>
      <c r="N451" s="727"/>
      <c r="O451" s="727"/>
      <c r="P451" s="727"/>
      <c r="Q451" s="727"/>
      <c r="R451" s="730"/>
      <c r="S451" s="727"/>
      <c r="T451" s="728" t="s">
        <v>179</v>
      </c>
    </row>
    <row r="452" ht="34.5">
      <c r="A452" s="728" t="s">
        <v>338</v>
      </c>
      <c r="B452" s="728" t="s">
        <v>339</v>
      </c>
      <c r="C452" s="728" t="s">
        <v>588</v>
      </c>
      <c r="D452" s="728" t="s">
        <v>606</v>
      </c>
      <c r="E452" s="728" t="s">
        <v>616</v>
      </c>
      <c r="F452" s="727" t="s">
        <v>616</v>
      </c>
      <c r="G452" s="728" t="s">
        <v>254</v>
      </c>
      <c r="H452" s="727"/>
      <c r="I452" s="727" t="s">
        <v>662</v>
      </c>
      <c r="J452" s="727" t="s">
        <v>666</v>
      </c>
      <c r="K452" s="729">
        <v>16835967</v>
      </c>
      <c r="L452" s="728" t="s">
        <v>175</v>
      </c>
      <c r="M452" s="728" t="s">
        <v>176</v>
      </c>
      <c r="N452" s="727"/>
      <c r="O452" s="727"/>
      <c r="P452" s="727"/>
      <c r="Q452" s="727"/>
      <c r="R452" s="730"/>
      <c r="S452" s="727"/>
      <c r="T452" s="728" t="s">
        <v>179</v>
      </c>
    </row>
    <row r="453" ht="34.5">
      <c r="A453" s="728" t="s">
        <v>338</v>
      </c>
      <c r="B453" s="728" t="s">
        <v>339</v>
      </c>
      <c r="C453" s="728" t="s">
        <v>588</v>
      </c>
      <c r="D453" s="728" t="s">
        <v>606</v>
      </c>
      <c r="E453" s="728" t="s">
        <v>616</v>
      </c>
      <c r="F453" s="727" t="s">
        <v>616</v>
      </c>
      <c r="G453" s="728" t="s">
        <v>254</v>
      </c>
      <c r="H453" s="727"/>
      <c r="I453" s="727" t="s">
        <v>662</v>
      </c>
      <c r="J453" s="727" t="s">
        <v>667</v>
      </c>
      <c r="K453" s="729">
        <v>-13301639</v>
      </c>
      <c r="L453" s="728" t="s">
        <v>175</v>
      </c>
      <c r="M453" s="728" t="s">
        <v>176</v>
      </c>
      <c r="N453" s="727"/>
      <c r="O453" s="727"/>
      <c r="P453" s="727"/>
      <c r="Q453" s="727"/>
      <c r="R453" s="730"/>
      <c r="S453" s="727"/>
      <c r="T453" s="728" t="s">
        <v>179</v>
      </c>
    </row>
    <row r="454" ht="34.5">
      <c r="A454" s="728" t="s">
        <v>338</v>
      </c>
      <c r="B454" s="728" t="s">
        <v>339</v>
      </c>
      <c r="C454" s="728" t="s">
        <v>588</v>
      </c>
      <c r="D454" s="728" t="s">
        <v>606</v>
      </c>
      <c r="E454" s="728" t="s">
        <v>616</v>
      </c>
      <c r="F454" s="727" t="s">
        <v>616</v>
      </c>
      <c r="G454" s="728" t="s">
        <v>254</v>
      </c>
      <c r="H454" s="727"/>
      <c r="I454" s="727" t="s">
        <v>662</v>
      </c>
      <c r="J454" s="727" t="s">
        <v>668</v>
      </c>
      <c r="K454" s="729">
        <v>461118</v>
      </c>
      <c r="L454" s="728" t="s">
        <v>175</v>
      </c>
      <c r="M454" s="728" t="s">
        <v>176</v>
      </c>
      <c r="N454" s="727"/>
      <c r="O454" s="727"/>
      <c r="P454" s="727"/>
      <c r="Q454" s="727"/>
      <c r="R454" s="730"/>
      <c r="S454" s="727"/>
      <c r="T454" s="728" t="s">
        <v>179</v>
      </c>
    </row>
    <row r="455" ht="34.5">
      <c r="A455" s="728" t="s">
        <v>338</v>
      </c>
      <c r="B455" s="728" t="s">
        <v>339</v>
      </c>
      <c r="C455" s="728" t="s">
        <v>588</v>
      </c>
      <c r="D455" s="728" t="s">
        <v>606</v>
      </c>
      <c r="E455" s="728" t="s">
        <v>616</v>
      </c>
      <c r="F455" s="727" t="s">
        <v>616</v>
      </c>
      <c r="G455" s="728" t="s">
        <v>254</v>
      </c>
      <c r="H455" s="727"/>
      <c r="I455" s="727" t="s">
        <v>662</v>
      </c>
      <c r="J455" s="727" t="s">
        <v>680</v>
      </c>
      <c r="K455" s="729">
        <v>249248937</v>
      </c>
      <c r="L455" s="728" t="s">
        <v>175</v>
      </c>
      <c r="M455" s="728" t="s">
        <v>176</v>
      </c>
      <c r="N455" s="727"/>
      <c r="O455" s="727"/>
      <c r="P455" s="727"/>
      <c r="Q455" s="727"/>
      <c r="R455" s="730"/>
      <c r="S455" s="727" t="s">
        <v>332</v>
      </c>
      <c r="T455" s="728" t="s">
        <v>179</v>
      </c>
    </row>
    <row r="456" ht="34.5">
      <c r="A456" s="728" t="s">
        <v>167</v>
      </c>
      <c r="B456" s="728" t="s">
        <v>168</v>
      </c>
      <c r="C456" s="728" t="s">
        <v>645</v>
      </c>
      <c r="D456" s="728" t="s">
        <v>681</v>
      </c>
      <c r="E456" s="728" t="s">
        <v>616</v>
      </c>
      <c r="F456" s="727" t="s">
        <v>616</v>
      </c>
      <c r="G456" s="728" t="s">
        <v>254</v>
      </c>
      <c r="H456" s="727"/>
      <c r="I456" s="727" t="s">
        <v>682</v>
      </c>
      <c r="J456" s="727" t="s">
        <v>560</v>
      </c>
      <c r="K456" s="729">
        <v>6120970</v>
      </c>
      <c r="L456" s="728" t="s">
        <v>175</v>
      </c>
      <c r="M456" s="728" t="s">
        <v>176</v>
      </c>
      <c r="N456" s="727"/>
      <c r="O456" s="727"/>
      <c r="P456" s="727"/>
      <c r="Q456" s="727"/>
      <c r="R456" s="730"/>
      <c r="S456" s="727"/>
      <c r="T456" s="728" t="s">
        <v>179</v>
      </c>
    </row>
    <row r="457" ht="34.5">
      <c r="A457" s="728" t="s">
        <v>167</v>
      </c>
      <c r="B457" s="728" t="s">
        <v>168</v>
      </c>
      <c r="C457" s="728" t="s">
        <v>645</v>
      </c>
      <c r="D457" s="728" t="s">
        <v>681</v>
      </c>
      <c r="E457" s="728" t="s">
        <v>616</v>
      </c>
      <c r="F457" s="727" t="s">
        <v>616</v>
      </c>
      <c r="G457" s="728" t="s">
        <v>254</v>
      </c>
      <c r="H457" s="727"/>
      <c r="I457" s="727" t="s">
        <v>682</v>
      </c>
      <c r="J457" s="727" t="s">
        <v>683</v>
      </c>
      <c r="K457" s="729">
        <v>-417400</v>
      </c>
      <c r="L457" s="728" t="s">
        <v>175</v>
      </c>
      <c r="M457" s="728" t="s">
        <v>176</v>
      </c>
      <c r="N457" s="727"/>
      <c r="O457" s="727"/>
      <c r="P457" s="727"/>
      <c r="Q457" s="727"/>
      <c r="R457" s="730"/>
      <c r="S457" s="727"/>
      <c r="T457" s="728" t="s">
        <v>179</v>
      </c>
    </row>
    <row r="458" ht="34.5">
      <c r="A458" s="728" t="s">
        <v>167</v>
      </c>
      <c r="B458" s="728" t="s">
        <v>168</v>
      </c>
      <c r="C458" s="728" t="s">
        <v>645</v>
      </c>
      <c r="D458" s="728" t="s">
        <v>681</v>
      </c>
      <c r="E458" s="728" t="s">
        <v>616</v>
      </c>
      <c r="F458" s="727" t="s">
        <v>616</v>
      </c>
      <c r="G458" s="728" t="s">
        <v>254</v>
      </c>
      <c r="H458" s="727"/>
      <c r="I458" s="727" t="s">
        <v>682</v>
      </c>
      <c r="J458" s="727" t="s">
        <v>684</v>
      </c>
      <c r="K458" s="729">
        <v>5703570</v>
      </c>
      <c r="L458" s="728" t="s">
        <v>175</v>
      </c>
      <c r="M458" s="728" t="s">
        <v>176</v>
      </c>
      <c r="N458" s="727"/>
      <c r="O458" s="727"/>
      <c r="P458" s="727"/>
      <c r="Q458" s="727"/>
      <c r="R458" s="730"/>
      <c r="S458" s="727" t="s">
        <v>332</v>
      </c>
      <c r="T458" s="728" t="s">
        <v>179</v>
      </c>
    </row>
    <row r="459" ht="34.5">
      <c r="A459" s="728" t="s">
        <v>326</v>
      </c>
      <c r="B459" s="728" t="s">
        <v>168</v>
      </c>
      <c r="C459" s="728" t="s">
        <v>645</v>
      </c>
      <c r="D459" s="728" t="s">
        <v>681</v>
      </c>
      <c r="E459" s="728" t="s">
        <v>616</v>
      </c>
      <c r="F459" s="727" t="s">
        <v>616</v>
      </c>
      <c r="G459" s="728" t="s">
        <v>254</v>
      </c>
      <c r="H459" s="727"/>
      <c r="I459" s="727" t="s">
        <v>682</v>
      </c>
      <c r="J459" s="727" t="s">
        <v>560</v>
      </c>
      <c r="K459" s="729">
        <v>6586313</v>
      </c>
      <c r="L459" s="728" t="s">
        <v>175</v>
      </c>
      <c r="M459" s="728" t="s">
        <v>176</v>
      </c>
      <c r="N459" s="727"/>
      <c r="O459" s="727"/>
      <c r="P459" s="727"/>
      <c r="Q459" s="727"/>
      <c r="R459" s="730"/>
      <c r="S459" s="727"/>
      <c r="T459" s="728" t="s">
        <v>179</v>
      </c>
    </row>
    <row r="460" ht="34.5">
      <c r="A460" s="728" t="s">
        <v>326</v>
      </c>
      <c r="B460" s="728" t="s">
        <v>168</v>
      </c>
      <c r="C460" s="728" t="s">
        <v>645</v>
      </c>
      <c r="D460" s="728" t="s">
        <v>681</v>
      </c>
      <c r="E460" s="728" t="s">
        <v>616</v>
      </c>
      <c r="F460" s="727" t="s">
        <v>616</v>
      </c>
      <c r="G460" s="728" t="s">
        <v>254</v>
      </c>
      <c r="H460" s="727"/>
      <c r="I460" s="727" t="s">
        <v>682</v>
      </c>
      <c r="J460" s="727" t="s">
        <v>683</v>
      </c>
      <c r="K460" s="729">
        <v>-465343</v>
      </c>
      <c r="L460" s="728" t="s">
        <v>175</v>
      </c>
      <c r="M460" s="728" t="s">
        <v>176</v>
      </c>
      <c r="N460" s="727"/>
      <c r="O460" s="727"/>
      <c r="P460" s="727"/>
      <c r="Q460" s="727"/>
      <c r="R460" s="730"/>
      <c r="S460" s="727"/>
      <c r="T460" s="728" t="s">
        <v>179</v>
      </c>
    </row>
    <row r="461" ht="34.5">
      <c r="A461" s="728" t="s">
        <v>326</v>
      </c>
      <c r="B461" s="728" t="s">
        <v>168</v>
      </c>
      <c r="C461" s="728" t="s">
        <v>645</v>
      </c>
      <c r="D461" s="728" t="s">
        <v>681</v>
      </c>
      <c r="E461" s="728" t="s">
        <v>616</v>
      </c>
      <c r="F461" s="727" t="s">
        <v>616</v>
      </c>
      <c r="G461" s="728" t="s">
        <v>254</v>
      </c>
      <c r="H461" s="727"/>
      <c r="I461" s="727" t="s">
        <v>682</v>
      </c>
      <c r="J461" s="727" t="s">
        <v>684</v>
      </c>
      <c r="K461" s="729">
        <v>6120970</v>
      </c>
      <c r="L461" s="728" t="s">
        <v>175</v>
      </c>
      <c r="M461" s="728" t="s">
        <v>176</v>
      </c>
      <c r="N461" s="727"/>
      <c r="O461" s="727"/>
      <c r="P461" s="727"/>
      <c r="Q461" s="727"/>
      <c r="R461" s="730"/>
      <c r="S461" s="727" t="s">
        <v>332</v>
      </c>
      <c r="T461" s="728" t="s">
        <v>179</v>
      </c>
    </row>
    <row r="462" ht="34.5">
      <c r="A462" s="728" t="s">
        <v>327</v>
      </c>
      <c r="B462" s="728" t="s">
        <v>328</v>
      </c>
      <c r="C462" s="728" t="s">
        <v>645</v>
      </c>
      <c r="D462" s="728" t="s">
        <v>650</v>
      </c>
      <c r="E462" s="728" t="s">
        <v>616</v>
      </c>
      <c r="F462" s="727" t="s">
        <v>616</v>
      </c>
      <c r="G462" s="728" t="s">
        <v>254</v>
      </c>
      <c r="H462" s="727"/>
      <c r="I462" s="727" t="s">
        <v>682</v>
      </c>
      <c r="J462" s="727" t="s">
        <v>560</v>
      </c>
      <c r="K462" s="729">
        <v>6586313</v>
      </c>
      <c r="L462" s="728" t="s">
        <v>175</v>
      </c>
      <c r="M462" s="728" t="s">
        <v>176</v>
      </c>
      <c r="N462" s="727"/>
      <c r="O462" s="727"/>
      <c r="P462" s="727"/>
      <c r="Q462" s="727"/>
      <c r="R462" s="730"/>
      <c r="S462" s="727"/>
      <c r="T462" s="728" t="s">
        <v>179</v>
      </c>
    </row>
    <row r="463" ht="34.5">
      <c r="A463" s="728" t="s">
        <v>327</v>
      </c>
      <c r="B463" s="728" t="s">
        <v>328</v>
      </c>
      <c r="C463" s="728" t="s">
        <v>645</v>
      </c>
      <c r="D463" s="728" t="s">
        <v>650</v>
      </c>
      <c r="E463" s="728" t="s">
        <v>616</v>
      </c>
      <c r="F463" s="727" t="s">
        <v>616</v>
      </c>
      <c r="G463" s="728" t="s">
        <v>254</v>
      </c>
      <c r="H463" s="727"/>
      <c r="I463" s="727" t="s">
        <v>682</v>
      </c>
      <c r="J463" s="727" t="s">
        <v>683</v>
      </c>
      <c r="K463" s="729">
        <v>-488115</v>
      </c>
      <c r="L463" s="728" t="s">
        <v>175</v>
      </c>
      <c r="M463" s="728" t="s">
        <v>176</v>
      </c>
      <c r="N463" s="727"/>
      <c r="O463" s="727"/>
      <c r="P463" s="727"/>
      <c r="Q463" s="727"/>
      <c r="R463" s="730"/>
      <c r="S463" s="727"/>
      <c r="T463" s="728" t="s">
        <v>179</v>
      </c>
    </row>
    <row r="464" ht="34.5">
      <c r="A464" s="728" t="s">
        <v>327</v>
      </c>
      <c r="B464" s="728" t="s">
        <v>328</v>
      </c>
      <c r="C464" s="728" t="s">
        <v>645</v>
      </c>
      <c r="D464" s="728" t="s">
        <v>650</v>
      </c>
      <c r="E464" s="728" t="s">
        <v>616</v>
      </c>
      <c r="F464" s="727" t="s">
        <v>616</v>
      </c>
      <c r="G464" s="728" t="s">
        <v>254</v>
      </c>
      <c r="H464" s="727"/>
      <c r="I464" s="727" t="s">
        <v>682</v>
      </c>
      <c r="J464" s="727" t="s">
        <v>684</v>
      </c>
      <c r="K464" s="729">
        <v>6586313</v>
      </c>
      <c r="L464" s="728" t="s">
        <v>175</v>
      </c>
      <c r="M464" s="728" t="s">
        <v>176</v>
      </c>
      <c r="N464" s="727"/>
      <c r="O464" s="727"/>
      <c r="P464" s="727"/>
      <c r="Q464" s="727"/>
      <c r="R464" s="730"/>
      <c r="S464" s="727" t="s">
        <v>685</v>
      </c>
      <c r="T464" s="728" t="s">
        <v>179</v>
      </c>
    </row>
    <row r="465" ht="34.5">
      <c r="A465" s="728" t="s">
        <v>333</v>
      </c>
      <c r="B465" s="728" t="s">
        <v>334</v>
      </c>
      <c r="C465" s="728" t="s">
        <v>645</v>
      </c>
      <c r="D465" s="728" t="s">
        <v>650</v>
      </c>
      <c r="E465" s="728" t="s">
        <v>616</v>
      </c>
      <c r="F465" s="727" t="s">
        <v>616</v>
      </c>
      <c r="G465" s="728" t="s">
        <v>254</v>
      </c>
      <c r="H465" s="727"/>
      <c r="I465" s="727" t="s">
        <v>682</v>
      </c>
      <c r="J465" s="727" t="s">
        <v>560</v>
      </c>
      <c r="K465" s="729">
        <v>7562922</v>
      </c>
      <c r="L465" s="728" t="s">
        <v>175</v>
      </c>
      <c r="M465" s="728" t="s">
        <v>176</v>
      </c>
      <c r="N465" s="727"/>
      <c r="O465" s="727"/>
      <c r="P465" s="727"/>
      <c r="Q465" s="727"/>
      <c r="R465" s="730"/>
      <c r="S465" s="727"/>
      <c r="T465" s="728" t="s">
        <v>179</v>
      </c>
    </row>
    <row r="466" ht="34.5">
      <c r="A466" s="728" t="s">
        <v>333</v>
      </c>
      <c r="B466" s="728" t="s">
        <v>334</v>
      </c>
      <c r="C466" s="728" t="s">
        <v>645</v>
      </c>
      <c r="D466" s="728" t="s">
        <v>650</v>
      </c>
      <c r="E466" s="728" t="s">
        <v>616</v>
      </c>
      <c r="F466" s="727" t="s">
        <v>616</v>
      </c>
      <c r="G466" s="728" t="s">
        <v>254</v>
      </c>
      <c r="H466" s="727"/>
      <c r="I466" s="727" t="s">
        <v>682</v>
      </c>
      <c r="J466" s="727" t="s">
        <v>683</v>
      </c>
      <c r="K466" s="729">
        <v>-488495</v>
      </c>
      <c r="L466" s="728" t="s">
        <v>175</v>
      </c>
      <c r="M466" s="728" t="s">
        <v>176</v>
      </c>
      <c r="N466" s="727"/>
      <c r="O466" s="727"/>
      <c r="P466" s="727"/>
      <c r="Q466" s="727"/>
      <c r="R466" s="730"/>
      <c r="S466" s="727"/>
      <c r="T466" s="728" t="s">
        <v>179</v>
      </c>
    </row>
    <row r="467" ht="34.5">
      <c r="A467" s="728" t="s">
        <v>333</v>
      </c>
      <c r="B467" s="728" t="s">
        <v>334</v>
      </c>
      <c r="C467" s="728" t="s">
        <v>645</v>
      </c>
      <c r="D467" s="728" t="s">
        <v>650</v>
      </c>
      <c r="E467" s="728" t="s">
        <v>616</v>
      </c>
      <c r="F467" s="727" t="s">
        <v>616</v>
      </c>
      <c r="G467" s="728" t="s">
        <v>254</v>
      </c>
      <c r="H467" s="727"/>
      <c r="I467" s="727" t="s">
        <v>682</v>
      </c>
      <c r="J467" s="727" t="s">
        <v>684</v>
      </c>
      <c r="K467" s="729">
        <v>7074428</v>
      </c>
      <c r="L467" s="728" t="s">
        <v>175</v>
      </c>
      <c r="M467" s="728" t="s">
        <v>176</v>
      </c>
      <c r="N467" s="727"/>
      <c r="O467" s="727"/>
      <c r="P467" s="727"/>
      <c r="Q467" s="727"/>
      <c r="R467" s="730"/>
      <c r="S467" s="727" t="s">
        <v>332</v>
      </c>
      <c r="T467" s="728" t="s">
        <v>179</v>
      </c>
    </row>
    <row r="468" ht="34.5">
      <c r="A468" s="728" t="s">
        <v>338</v>
      </c>
      <c r="B468" s="728" t="s">
        <v>339</v>
      </c>
      <c r="C468" s="728" t="s">
        <v>605</v>
      </c>
      <c r="D468" s="728" t="s">
        <v>650</v>
      </c>
      <c r="E468" s="728" t="s">
        <v>616</v>
      </c>
      <c r="F468" s="727" t="s">
        <v>616</v>
      </c>
      <c r="G468" s="728" t="s">
        <v>254</v>
      </c>
      <c r="H468" s="727"/>
      <c r="I468" s="727" t="s">
        <v>682</v>
      </c>
      <c r="J468" s="727" t="s">
        <v>560</v>
      </c>
      <c r="K468" s="729">
        <v>8024040</v>
      </c>
      <c r="L468" s="728" t="s">
        <v>175</v>
      </c>
      <c r="M468" s="728" t="s">
        <v>176</v>
      </c>
      <c r="N468" s="727"/>
      <c r="O468" s="727"/>
      <c r="P468" s="727"/>
      <c r="Q468" s="727"/>
      <c r="R468" s="730"/>
      <c r="S468" s="727"/>
      <c r="T468" s="728" t="s">
        <v>179</v>
      </c>
    </row>
    <row r="469" ht="34.5">
      <c r="A469" s="728" t="s">
        <v>338</v>
      </c>
      <c r="B469" s="728" t="s">
        <v>339</v>
      </c>
      <c r="C469" s="728" t="s">
        <v>605</v>
      </c>
      <c r="D469" s="728" t="s">
        <v>650</v>
      </c>
      <c r="E469" s="728" t="s">
        <v>616</v>
      </c>
      <c r="F469" s="727" t="s">
        <v>616</v>
      </c>
      <c r="G469" s="728" t="s">
        <v>254</v>
      </c>
      <c r="H469" s="727"/>
      <c r="I469" s="727" t="s">
        <v>682</v>
      </c>
      <c r="J469" s="727" t="s">
        <v>683</v>
      </c>
      <c r="K469" s="729">
        <v>-461118</v>
      </c>
      <c r="L469" s="728" t="s">
        <v>175</v>
      </c>
      <c r="M469" s="728" t="s">
        <v>176</v>
      </c>
      <c r="N469" s="727"/>
      <c r="O469" s="727"/>
      <c r="P469" s="727"/>
      <c r="Q469" s="727"/>
      <c r="R469" s="730"/>
      <c r="S469" s="727"/>
      <c r="T469" s="728" t="s">
        <v>179</v>
      </c>
    </row>
    <row r="470" ht="34.5">
      <c r="A470" s="728" t="s">
        <v>338</v>
      </c>
      <c r="B470" s="728" t="s">
        <v>339</v>
      </c>
      <c r="C470" s="728" t="s">
        <v>605</v>
      </c>
      <c r="D470" s="728" t="s">
        <v>650</v>
      </c>
      <c r="E470" s="728" t="s">
        <v>616</v>
      </c>
      <c r="F470" s="727" t="s">
        <v>616</v>
      </c>
      <c r="G470" s="728" t="s">
        <v>254</v>
      </c>
      <c r="H470" s="727"/>
      <c r="I470" s="727" t="s">
        <v>682</v>
      </c>
      <c r="J470" s="727" t="s">
        <v>684</v>
      </c>
      <c r="K470" s="729">
        <v>7562922</v>
      </c>
      <c r="L470" s="728" t="s">
        <v>175</v>
      </c>
      <c r="M470" s="728" t="s">
        <v>176</v>
      </c>
      <c r="N470" s="727"/>
      <c r="O470" s="727"/>
      <c r="P470" s="727"/>
      <c r="Q470" s="727"/>
      <c r="R470" s="730"/>
      <c r="S470" s="727" t="s">
        <v>332</v>
      </c>
      <c r="T470" s="728" t="s">
        <v>179</v>
      </c>
    </row>
    <row r="471" ht="34.5">
      <c r="A471" s="728" t="s">
        <v>167</v>
      </c>
      <c r="B471" s="728" t="s">
        <v>168</v>
      </c>
      <c r="C471" s="728" t="s">
        <v>645</v>
      </c>
      <c r="D471" s="728" t="s">
        <v>686</v>
      </c>
      <c r="E471" s="728" t="s">
        <v>687</v>
      </c>
      <c r="F471" s="727" t="s">
        <v>687</v>
      </c>
      <c r="G471" s="728" t="s">
        <v>286</v>
      </c>
      <c r="H471" s="727" t="s">
        <v>688</v>
      </c>
      <c r="I471" s="727" t="s">
        <v>689</v>
      </c>
      <c r="J471" s="727" t="s">
        <v>690</v>
      </c>
      <c r="K471" s="729">
        <v>1050</v>
      </c>
      <c r="L471" s="728" t="s">
        <v>175</v>
      </c>
      <c r="M471" s="728" t="s">
        <v>176</v>
      </c>
      <c r="N471" s="727"/>
      <c r="O471" s="727"/>
      <c r="P471" s="727"/>
      <c r="Q471" s="727"/>
      <c r="R471" s="730" t="s">
        <v>691</v>
      </c>
      <c r="S471" s="727"/>
      <c r="T471" s="728" t="s">
        <v>179</v>
      </c>
    </row>
    <row r="472" ht="34.5">
      <c r="A472" s="728" t="s">
        <v>167</v>
      </c>
      <c r="B472" s="728" t="s">
        <v>168</v>
      </c>
      <c r="C472" s="728" t="s">
        <v>645</v>
      </c>
      <c r="D472" s="728" t="s">
        <v>686</v>
      </c>
      <c r="E472" s="728" t="s">
        <v>687</v>
      </c>
      <c r="F472" s="727" t="s">
        <v>687</v>
      </c>
      <c r="G472" s="728" t="s">
        <v>286</v>
      </c>
      <c r="H472" s="727" t="s">
        <v>48</v>
      </c>
      <c r="I472" s="727" t="s">
        <v>689</v>
      </c>
      <c r="J472" s="727" t="s">
        <v>692</v>
      </c>
      <c r="K472" s="729">
        <v>48518792</v>
      </c>
      <c r="L472" s="728" t="s">
        <v>175</v>
      </c>
      <c r="M472" s="728" t="s">
        <v>176</v>
      </c>
      <c r="N472" s="727"/>
      <c r="O472" s="727"/>
      <c r="P472" s="727"/>
      <c r="Q472" s="727"/>
      <c r="R472" s="730" t="s">
        <v>693</v>
      </c>
      <c r="S472" s="727"/>
      <c r="T472" s="728" t="s">
        <v>179</v>
      </c>
    </row>
    <row r="473" ht="34.5">
      <c r="A473" s="728" t="s">
        <v>167</v>
      </c>
      <c r="B473" s="728" t="s">
        <v>168</v>
      </c>
      <c r="C473" s="728" t="s">
        <v>645</v>
      </c>
      <c r="D473" s="728" t="s">
        <v>686</v>
      </c>
      <c r="E473" s="728" t="s">
        <v>687</v>
      </c>
      <c r="F473" s="727" t="s">
        <v>687</v>
      </c>
      <c r="G473" s="728" t="s">
        <v>286</v>
      </c>
      <c r="H473" s="727"/>
      <c r="I473" s="727" t="s">
        <v>689</v>
      </c>
      <c r="J473" s="727" t="s">
        <v>694</v>
      </c>
      <c r="K473" s="729">
        <v>48519842</v>
      </c>
      <c r="L473" s="728" t="s">
        <v>175</v>
      </c>
      <c r="M473" s="728" t="s">
        <v>176</v>
      </c>
      <c r="N473" s="727"/>
      <c r="O473" s="727"/>
      <c r="P473" s="727"/>
      <c r="Q473" s="727"/>
      <c r="R473" s="730"/>
      <c r="S473" s="727" t="s">
        <v>695</v>
      </c>
      <c r="T473" s="728" t="s">
        <v>179</v>
      </c>
    </row>
    <row r="474" ht="34.5">
      <c r="A474" s="728" t="s">
        <v>326</v>
      </c>
      <c r="B474" s="728" t="s">
        <v>168</v>
      </c>
      <c r="C474" s="728" t="s">
        <v>645</v>
      </c>
      <c r="D474" s="728" t="s">
        <v>686</v>
      </c>
      <c r="E474" s="728" t="s">
        <v>687</v>
      </c>
      <c r="F474" s="727" t="s">
        <v>687</v>
      </c>
      <c r="G474" s="728" t="s">
        <v>286</v>
      </c>
      <c r="H474" s="727" t="s">
        <v>688</v>
      </c>
      <c r="I474" s="727" t="s">
        <v>689</v>
      </c>
      <c r="J474" s="727" t="s">
        <v>690</v>
      </c>
      <c r="K474" s="729">
        <v>1050</v>
      </c>
      <c r="L474" s="728" t="s">
        <v>175</v>
      </c>
      <c r="M474" s="728" t="s">
        <v>176</v>
      </c>
      <c r="N474" s="727"/>
      <c r="O474" s="727"/>
      <c r="P474" s="727"/>
      <c r="Q474" s="727"/>
      <c r="R474" s="730" t="s">
        <v>696</v>
      </c>
      <c r="S474" s="727"/>
      <c r="T474" s="728" t="s">
        <v>179</v>
      </c>
    </row>
    <row r="475" ht="34.5">
      <c r="A475" s="728" t="s">
        <v>326</v>
      </c>
      <c r="B475" s="728" t="s">
        <v>168</v>
      </c>
      <c r="C475" s="728" t="s">
        <v>645</v>
      </c>
      <c r="D475" s="728" t="s">
        <v>686</v>
      </c>
      <c r="E475" s="728" t="s">
        <v>687</v>
      </c>
      <c r="F475" s="727" t="s">
        <v>687</v>
      </c>
      <c r="G475" s="728" t="s">
        <v>286</v>
      </c>
      <c r="H475" s="727" t="s">
        <v>48</v>
      </c>
      <c r="I475" s="727" t="s">
        <v>689</v>
      </c>
      <c r="J475" s="727" t="s">
        <v>692</v>
      </c>
      <c r="K475" s="729">
        <v>48518792</v>
      </c>
      <c r="L475" s="728" t="s">
        <v>175</v>
      </c>
      <c r="M475" s="728" t="s">
        <v>176</v>
      </c>
      <c r="N475" s="727"/>
      <c r="O475" s="727"/>
      <c r="P475" s="727"/>
      <c r="Q475" s="727"/>
      <c r="R475" s="730" t="s">
        <v>697</v>
      </c>
      <c r="S475" s="727"/>
      <c r="T475" s="728" t="s">
        <v>179</v>
      </c>
    </row>
    <row r="476" ht="34.5">
      <c r="A476" s="728" t="s">
        <v>326</v>
      </c>
      <c r="B476" s="728" t="s">
        <v>168</v>
      </c>
      <c r="C476" s="728" t="s">
        <v>645</v>
      </c>
      <c r="D476" s="728" t="s">
        <v>686</v>
      </c>
      <c r="E476" s="728" t="s">
        <v>687</v>
      </c>
      <c r="F476" s="727" t="s">
        <v>687</v>
      </c>
      <c r="G476" s="728" t="s">
        <v>286</v>
      </c>
      <c r="H476" s="727"/>
      <c r="I476" s="727" t="s">
        <v>689</v>
      </c>
      <c r="J476" s="727" t="s">
        <v>694</v>
      </c>
      <c r="K476" s="729">
        <v>48519842</v>
      </c>
      <c r="L476" s="728" t="s">
        <v>175</v>
      </c>
      <c r="M476" s="728" t="s">
        <v>176</v>
      </c>
      <c r="N476" s="727"/>
      <c r="O476" s="727"/>
      <c r="P476" s="727"/>
      <c r="Q476" s="727"/>
      <c r="R476" s="730"/>
      <c r="S476" s="727" t="s">
        <v>695</v>
      </c>
      <c r="T476" s="728" t="s">
        <v>179</v>
      </c>
    </row>
    <row r="477" ht="34.5">
      <c r="A477" s="728" t="s">
        <v>167</v>
      </c>
      <c r="B477" s="728" t="s">
        <v>168</v>
      </c>
      <c r="C477" s="728" t="s">
        <v>645</v>
      </c>
      <c r="D477" s="728" t="s">
        <v>170</v>
      </c>
      <c r="E477" s="728" t="s">
        <v>687</v>
      </c>
      <c r="F477" s="727" t="s">
        <v>687</v>
      </c>
      <c r="G477" s="728" t="s">
        <v>286</v>
      </c>
      <c r="H477" s="727"/>
      <c r="I477" s="727" t="s">
        <v>698</v>
      </c>
      <c r="J477" s="727" t="s">
        <v>699</v>
      </c>
      <c r="K477" s="729"/>
      <c r="L477" s="728" t="s">
        <v>175</v>
      </c>
      <c r="M477" s="728" t="s">
        <v>176</v>
      </c>
      <c r="N477" s="727"/>
      <c r="O477" s="727" t="s">
        <v>700</v>
      </c>
      <c r="P477" s="727"/>
      <c r="Q477" s="727"/>
      <c r="R477" s="730"/>
      <c r="S477" s="727"/>
      <c r="T477" s="728" t="s">
        <v>179</v>
      </c>
    </row>
    <row r="478" ht="34.5">
      <c r="A478" s="728" t="s">
        <v>167</v>
      </c>
      <c r="B478" s="728" t="s">
        <v>168</v>
      </c>
      <c r="C478" s="728" t="s">
        <v>645</v>
      </c>
      <c r="D478" s="728" t="s">
        <v>170</v>
      </c>
      <c r="E478" s="728" t="s">
        <v>687</v>
      </c>
      <c r="F478" s="727" t="s">
        <v>687</v>
      </c>
      <c r="G478" s="728" t="s">
        <v>286</v>
      </c>
      <c r="H478" s="727"/>
      <c r="I478" s="727" t="s">
        <v>701</v>
      </c>
      <c r="J478" s="727" t="s">
        <v>702</v>
      </c>
      <c r="K478" s="729">
        <v>-7455458</v>
      </c>
      <c r="L478" s="728" t="s">
        <v>175</v>
      </c>
      <c r="M478" s="728" t="s">
        <v>176</v>
      </c>
      <c r="N478" s="727" t="s">
        <v>703</v>
      </c>
      <c r="O478" s="727"/>
      <c r="P478" s="727"/>
      <c r="Q478" s="727" t="s">
        <v>704</v>
      </c>
      <c r="R478" s="730"/>
      <c r="S478" s="727"/>
      <c r="T478" s="728" t="s">
        <v>179</v>
      </c>
    </row>
    <row r="479" ht="34.5">
      <c r="A479" s="728" t="s">
        <v>327</v>
      </c>
      <c r="B479" s="728" t="s">
        <v>328</v>
      </c>
      <c r="C479" s="728" t="s">
        <v>645</v>
      </c>
      <c r="D479" s="728" t="s">
        <v>681</v>
      </c>
      <c r="E479" s="728" t="s">
        <v>687</v>
      </c>
      <c r="F479" s="727" t="s">
        <v>687</v>
      </c>
      <c r="G479" s="728" t="s">
        <v>286</v>
      </c>
      <c r="H479" s="727" t="s">
        <v>48</v>
      </c>
      <c r="I479" s="727" t="s">
        <v>705</v>
      </c>
      <c r="J479" s="727" t="s">
        <v>706</v>
      </c>
      <c r="K479" s="729">
        <v>55974250</v>
      </c>
      <c r="L479" s="728" t="s">
        <v>175</v>
      </c>
      <c r="M479" s="728" t="s">
        <v>176</v>
      </c>
      <c r="N479" s="727"/>
      <c r="O479" s="727"/>
      <c r="P479" s="727"/>
      <c r="Q479" s="727"/>
      <c r="R479" s="730" t="s">
        <v>707</v>
      </c>
      <c r="S479" s="727" t="s">
        <v>708</v>
      </c>
      <c r="T479" s="728" t="s">
        <v>179</v>
      </c>
    </row>
    <row r="480" ht="34.5">
      <c r="A480" s="728" t="s">
        <v>333</v>
      </c>
      <c r="B480" s="728" t="s">
        <v>334</v>
      </c>
      <c r="C480" s="728" t="s">
        <v>605</v>
      </c>
      <c r="D480" s="728" t="s">
        <v>681</v>
      </c>
      <c r="E480" s="728" t="s">
        <v>687</v>
      </c>
      <c r="F480" s="727" t="s">
        <v>687</v>
      </c>
      <c r="G480" s="728" t="s">
        <v>286</v>
      </c>
      <c r="H480" s="727" t="s">
        <v>48</v>
      </c>
      <c r="I480" s="727" t="s">
        <v>705</v>
      </c>
      <c r="J480" s="727" t="s">
        <v>709</v>
      </c>
      <c r="K480" s="729">
        <v>55974250</v>
      </c>
      <c r="L480" s="728" t="s">
        <v>175</v>
      </c>
      <c r="M480" s="728" t="s">
        <v>176</v>
      </c>
      <c r="N480" s="727"/>
      <c r="O480" s="727"/>
      <c r="P480" s="727"/>
      <c r="Q480" s="727"/>
      <c r="R480" s="730" t="s">
        <v>710</v>
      </c>
      <c r="S480" s="727"/>
      <c r="T480" s="728" t="s">
        <v>179</v>
      </c>
    </row>
    <row r="481" ht="34.5">
      <c r="A481" s="728" t="s">
        <v>338</v>
      </c>
      <c r="B481" s="728" t="s">
        <v>339</v>
      </c>
      <c r="C481" s="728" t="s">
        <v>605</v>
      </c>
      <c r="D481" s="728" t="s">
        <v>681</v>
      </c>
      <c r="E481" s="728" t="s">
        <v>687</v>
      </c>
      <c r="F481" s="727" t="s">
        <v>687</v>
      </c>
      <c r="G481" s="728" t="s">
        <v>286</v>
      </c>
      <c r="H481" s="727" t="s">
        <v>48</v>
      </c>
      <c r="I481" s="727" t="s">
        <v>705</v>
      </c>
      <c r="J481" s="727" t="s">
        <v>711</v>
      </c>
      <c r="K481" s="729">
        <v>55974250</v>
      </c>
      <c r="L481" s="728" t="s">
        <v>175</v>
      </c>
      <c r="M481" s="728" t="s">
        <v>176</v>
      </c>
      <c r="N481" s="727"/>
      <c r="O481" s="727"/>
      <c r="P481" s="727"/>
      <c r="Q481" s="727"/>
      <c r="R481" s="730" t="s">
        <v>712</v>
      </c>
      <c r="S481" s="727" t="s">
        <v>713</v>
      </c>
      <c r="T481" s="728" t="s">
        <v>179</v>
      </c>
    </row>
    <row r="482" ht="34.5">
      <c r="A482" s="728" t="s">
        <v>167</v>
      </c>
      <c r="B482" s="728" t="s">
        <v>168</v>
      </c>
      <c r="C482" s="728" t="s">
        <v>714</v>
      </c>
      <c r="D482" s="728" t="s">
        <v>715</v>
      </c>
      <c r="E482" s="728" t="s">
        <v>716</v>
      </c>
      <c r="F482" s="727" t="s">
        <v>716</v>
      </c>
      <c r="G482" s="728" t="s">
        <v>717</v>
      </c>
      <c r="H482" s="727"/>
      <c r="I482" s="727" t="s">
        <v>16</v>
      </c>
      <c r="J482" s="727" t="s">
        <v>718</v>
      </c>
      <c r="K482" s="729">
        <v>14031702</v>
      </c>
      <c r="L482" s="728" t="s">
        <v>175</v>
      </c>
      <c r="M482" s="728" t="s">
        <v>176</v>
      </c>
      <c r="N482" s="727"/>
      <c r="O482" s="727"/>
      <c r="P482" s="727"/>
      <c r="Q482" s="727"/>
      <c r="R482" s="730"/>
      <c r="S482" s="727"/>
      <c r="T482" s="728" t="s">
        <v>179</v>
      </c>
    </row>
    <row r="483" ht="34.5">
      <c r="A483" s="728" t="s">
        <v>167</v>
      </c>
      <c r="B483" s="728" t="s">
        <v>168</v>
      </c>
      <c r="C483" s="728" t="s">
        <v>714</v>
      </c>
      <c r="D483" s="728" t="s">
        <v>715</v>
      </c>
      <c r="E483" s="728" t="s">
        <v>716</v>
      </c>
      <c r="F483" s="727" t="s">
        <v>716</v>
      </c>
      <c r="G483" s="728" t="s">
        <v>717</v>
      </c>
      <c r="H483" s="727"/>
      <c r="I483" s="727" t="s">
        <v>16</v>
      </c>
      <c r="J483" s="727" t="s">
        <v>719</v>
      </c>
      <c r="K483" s="729">
        <v>7171965</v>
      </c>
      <c r="L483" s="728" t="s">
        <v>175</v>
      </c>
      <c r="M483" s="728" t="s">
        <v>176</v>
      </c>
      <c r="N483" s="727"/>
      <c r="O483" s="727"/>
      <c r="P483" s="727"/>
      <c r="Q483" s="727" t="s">
        <v>720</v>
      </c>
      <c r="R483" s="730"/>
      <c r="S483" s="727"/>
      <c r="T483" s="728" t="s">
        <v>179</v>
      </c>
    </row>
    <row r="484" ht="34.5">
      <c r="A484" s="728" t="s">
        <v>167</v>
      </c>
      <c r="B484" s="728" t="s">
        <v>168</v>
      </c>
      <c r="C484" s="728" t="s">
        <v>714</v>
      </c>
      <c r="D484" s="728" t="s">
        <v>715</v>
      </c>
      <c r="E484" s="728" t="s">
        <v>716</v>
      </c>
      <c r="F484" s="727" t="s">
        <v>716</v>
      </c>
      <c r="G484" s="728" t="s">
        <v>717</v>
      </c>
      <c r="H484" s="727"/>
      <c r="I484" s="727" t="s">
        <v>16</v>
      </c>
      <c r="J484" s="727" t="s">
        <v>721</v>
      </c>
      <c r="K484" s="729">
        <v>2117820</v>
      </c>
      <c r="L484" s="728" t="s">
        <v>175</v>
      </c>
      <c r="M484" s="728" t="s">
        <v>176</v>
      </c>
      <c r="N484" s="727"/>
      <c r="O484" s="727"/>
      <c r="P484" s="727"/>
      <c r="Q484" s="727"/>
      <c r="R484" s="730"/>
      <c r="S484" s="727"/>
      <c r="T484" s="728" t="s">
        <v>179</v>
      </c>
    </row>
    <row r="485" ht="34.5">
      <c r="A485" s="728" t="s">
        <v>167</v>
      </c>
      <c r="B485" s="728" t="s">
        <v>168</v>
      </c>
      <c r="C485" s="728" t="s">
        <v>714</v>
      </c>
      <c r="D485" s="728" t="s">
        <v>715</v>
      </c>
      <c r="E485" s="728" t="s">
        <v>716</v>
      </c>
      <c r="F485" s="727" t="s">
        <v>716</v>
      </c>
      <c r="G485" s="728" t="s">
        <v>717</v>
      </c>
      <c r="H485" s="727"/>
      <c r="I485" s="727" t="s">
        <v>16</v>
      </c>
      <c r="J485" s="727" t="s">
        <v>722</v>
      </c>
      <c r="K485" s="729">
        <v>405037</v>
      </c>
      <c r="L485" s="728" t="s">
        <v>175</v>
      </c>
      <c r="M485" s="728" t="s">
        <v>176</v>
      </c>
      <c r="N485" s="727"/>
      <c r="O485" s="727"/>
      <c r="P485" s="727"/>
      <c r="Q485" s="727"/>
      <c r="R485" s="730"/>
      <c r="S485" s="727"/>
      <c r="T485" s="728" t="s">
        <v>179</v>
      </c>
    </row>
    <row r="486" ht="34.5">
      <c r="A486" s="728" t="s">
        <v>167</v>
      </c>
      <c r="B486" s="728" t="s">
        <v>168</v>
      </c>
      <c r="C486" s="728" t="s">
        <v>714</v>
      </c>
      <c r="D486" s="728" t="s">
        <v>715</v>
      </c>
      <c r="E486" s="728" t="s">
        <v>716</v>
      </c>
      <c r="F486" s="727" t="s">
        <v>716</v>
      </c>
      <c r="G486" s="728" t="s">
        <v>717</v>
      </c>
      <c r="H486" s="727"/>
      <c r="I486" s="727" t="s">
        <v>16</v>
      </c>
      <c r="J486" s="727" t="s">
        <v>723</v>
      </c>
      <c r="K486" s="729">
        <v>383799</v>
      </c>
      <c r="L486" s="728" t="s">
        <v>175</v>
      </c>
      <c r="M486" s="728" t="s">
        <v>176</v>
      </c>
      <c r="N486" s="727"/>
      <c r="O486" s="727"/>
      <c r="P486" s="727"/>
      <c r="Q486" s="727"/>
      <c r="R486" s="730"/>
      <c r="S486" s="727"/>
      <c r="T486" s="728" t="s">
        <v>179</v>
      </c>
    </row>
    <row r="487" ht="34.5">
      <c r="A487" s="728" t="s">
        <v>167</v>
      </c>
      <c r="B487" s="728" t="s">
        <v>168</v>
      </c>
      <c r="C487" s="728" t="s">
        <v>714</v>
      </c>
      <c r="D487" s="728" t="s">
        <v>715</v>
      </c>
      <c r="E487" s="728" t="s">
        <v>716</v>
      </c>
      <c r="F487" s="727" t="s">
        <v>716</v>
      </c>
      <c r="G487" s="728" t="s">
        <v>717</v>
      </c>
      <c r="H487" s="727"/>
      <c r="I487" s="727" t="s">
        <v>16</v>
      </c>
      <c r="J487" s="727" t="s">
        <v>724</v>
      </c>
      <c r="K487" s="729">
        <v>203102</v>
      </c>
      <c r="L487" s="728" t="s">
        <v>175</v>
      </c>
      <c r="M487" s="728" t="s">
        <v>176</v>
      </c>
      <c r="N487" s="727"/>
      <c r="O487" s="727"/>
      <c r="P487" s="727"/>
      <c r="Q487" s="727"/>
      <c r="R487" s="730"/>
      <c r="S487" s="727"/>
      <c r="T487" s="728" t="s">
        <v>179</v>
      </c>
    </row>
    <row r="488" ht="34.5">
      <c r="A488" s="728" t="s">
        <v>167</v>
      </c>
      <c r="B488" s="728" t="s">
        <v>168</v>
      </c>
      <c r="C488" s="728" t="s">
        <v>714</v>
      </c>
      <c r="D488" s="728" t="s">
        <v>715</v>
      </c>
      <c r="E488" s="728" t="s">
        <v>716</v>
      </c>
      <c r="F488" s="727" t="s">
        <v>716</v>
      </c>
      <c r="G488" s="728" t="s">
        <v>717</v>
      </c>
      <c r="H488" s="727"/>
      <c r="I488" s="727" t="s">
        <v>16</v>
      </c>
      <c r="J488" s="727" t="s">
        <v>725</v>
      </c>
      <c r="K488" s="729">
        <v>100530</v>
      </c>
      <c r="L488" s="728" t="s">
        <v>175</v>
      </c>
      <c r="M488" s="728" t="s">
        <v>176</v>
      </c>
      <c r="N488" s="727"/>
      <c r="O488" s="727"/>
      <c r="P488" s="727"/>
      <c r="Q488" s="727"/>
      <c r="R488" s="730"/>
      <c r="S488" s="727"/>
      <c r="T488" s="728" t="s">
        <v>179</v>
      </c>
    </row>
    <row r="489" ht="34.5">
      <c r="A489" s="728" t="s">
        <v>167</v>
      </c>
      <c r="B489" s="728" t="s">
        <v>168</v>
      </c>
      <c r="C489" s="728" t="s">
        <v>714</v>
      </c>
      <c r="D489" s="728" t="s">
        <v>715</v>
      </c>
      <c r="E489" s="728" t="s">
        <v>716</v>
      </c>
      <c r="F489" s="727" t="s">
        <v>716</v>
      </c>
      <c r="G489" s="728" t="s">
        <v>717</v>
      </c>
      <c r="H489" s="727" t="s">
        <v>16</v>
      </c>
      <c r="I489" s="727" t="s">
        <v>16</v>
      </c>
      <c r="J489" s="727" t="s">
        <v>726</v>
      </c>
      <c r="K489" s="729">
        <v>24413955</v>
      </c>
      <c r="L489" s="728" t="s">
        <v>175</v>
      </c>
      <c r="M489" s="728" t="s">
        <v>176</v>
      </c>
      <c r="N489" s="727"/>
      <c r="O489" s="727"/>
      <c r="P489" s="727"/>
      <c r="Q489" s="727"/>
      <c r="R489" s="730" t="s">
        <v>727</v>
      </c>
      <c r="S489" s="727" t="s">
        <v>332</v>
      </c>
      <c r="T489" s="728" t="s">
        <v>179</v>
      </c>
    </row>
    <row r="490" ht="34.5">
      <c r="A490" s="728" t="s">
        <v>167</v>
      </c>
      <c r="B490" s="728" t="s">
        <v>168</v>
      </c>
      <c r="C490" s="728" t="s">
        <v>714</v>
      </c>
      <c r="D490" s="728" t="s">
        <v>715</v>
      </c>
      <c r="E490" s="728" t="s">
        <v>716</v>
      </c>
      <c r="F490" s="727" t="s">
        <v>716</v>
      </c>
      <c r="G490" s="728" t="s">
        <v>717</v>
      </c>
      <c r="H490" s="727"/>
      <c r="I490" s="727" t="s">
        <v>18</v>
      </c>
      <c r="J490" s="727" t="s">
        <v>728</v>
      </c>
      <c r="K490" s="729">
        <v>1290000</v>
      </c>
      <c r="L490" s="728" t="s">
        <v>175</v>
      </c>
      <c r="M490" s="728" t="s">
        <v>176</v>
      </c>
      <c r="N490" s="727"/>
      <c r="O490" s="727"/>
      <c r="P490" s="727"/>
      <c r="Q490" s="727"/>
      <c r="R490" s="730"/>
      <c r="S490" s="727"/>
      <c r="T490" s="728" t="s">
        <v>179</v>
      </c>
    </row>
    <row r="491" ht="34.5">
      <c r="A491" s="728" t="s">
        <v>167</v>
      </c>
      <c r="B491" s="728" t="s">
        <v>168</v>
      </c>
      <c r="C491" s="728" t="s">
        <v>714</v>
      </c>
      <c r="D491" s="728" t="s">
        <v>715</v>
      </c>
      <c r="E491" s="728" t="s">
        <v>716</v>
      </c>
      <c r="F491" s="727" t="s">
        <v>716</v>
      </c>
      <c r="G491" s="728" t="s">
        <v>717</v>
      </c>
      <c r="H491" s="727"/>
      <c r="I491" s="727" t="s">
        <v>18</v>
      </c>
      <c r="J491" s="727" t="s">
        <v>729</v>
      </c>
      <c r="K491" s="729">
        <v>976273</v>
      </c>
      <c r="L491" s="728" t="s">
        <v>175</v>
      </c>
      <c r="M491" s="728" t="s">
        <v>176</v>
      </c>
      <c r="N491" s="727"/>
      <c r="O491" s="727"/>
      <c r="P491" s="727"/>
      <c r="Q491" s="727"/>
      <c r="R491" s="730"/>
      <c r="S491" s="727"/>
      <c r="T491" s="728" t="s">
        <v>179</v>
      </c>
    </row>
    <row r="492" ht="34.5">
      <c r="A492" s="728" t="s">
        <v>167</v>
      </c>
      <c r="B492" s="728" t="s">
        <v>168</v>
      </c>
      <c r="C492" s="728" t="s">
        <v>714</v>
      </c>
      <c r="D492" s="728" t="s">
        <v>715</v>
      </c>
      <c r="E492" s="728" t="s">
        <v>716</v>
      </c>
      <c r="F492" s="727" t="s">
        <v>716</v>
      </c>
      <c r="G492" s="728" t="s">
        <v>717</v>
      </c>
      <c r="H492" s="727"/>
      <c r="I492" s="727" t="s">
        <v>18</v>
      </c>
      <c r="J492" s="727" t="s">
        <v>730</v>
      </c>
      <c r="K492" s="729">
        <v>444576</v>
      </c>
      <c r="L492" s="728" t="s">
        <v>175</v>
      </c>
      <c r="M492" s="728" t="s">
        <v>176</v>
      </c>
      <c r="N492" s="727"/>
      <c r="O492" s="727"/>
      <c r="P492" s="727"/>
      <c r="Q492" s="727"/>
      <c r="R492" s="730"/>
      <c r="S492" s="727"/>
      <c r="T492" s="728" t="s">
        <v>179</v>
      </c>
    </row>
    <row r="493" ht="34.5">
      <c r="A493" s="728" t="s">
        <v>167</v>
      </c>
      <c r="B493" s="728" t="s">
        <v>168</v>
      </c>
      <c r="C493" s="728" t="s">
        <v>714</v>
      </c>
      <c r="D493" s="728" t="s">
        <v>715</v>
      </c>
      <c r="E493" s="728" t="s">
        <v>716</v>
      </c>
      <c r="F493" s="727" t="s">
        <v>716</v>
      </c>
      <c r="G493" s="728" t="s">
        <v>717</v>
      </c>
      <c r="H493" s="727"/>
      <c r="I493" s="727" t="s">
        <v>18</v>
      </c>
      <c r="J493" s="727" t="s">
        <v>731</v>
      </c>
      <c r="K493" s="729">
        <v>312488</v>
      </c>
      <c r="L493" s="728" t="s">
        <v>175</v>
      </c>
      <c r="M493" s="728" t="s">
        <v>176</v>
      </c>
      <c r="N493" s="727"/>
      <c r="O493" s="727"/>
      <c r="P493" s="727"/>
      <c r="Q493" s="727"/>
      <c r="R493" s="730"/>
      <c r="S493" s="727"/>
      <c r="T493" s="728" t="s">
        <v>179</v>
      </c>
    </row>
    <row r="494" ht="34.5">
      <c r="A494" s="728" t="s">
        <v>167</v>
      </c>
      <c r="B494" s="728" t="s">
        <v>168</v>
      </c>
      <c r="C494" s="728" t="s">
        <v>714</v>
      </c>
      <c r="D494" s="728" t="s">
        <v>715</v>
      </c>
      <c r="E494" s="728" t="s">
        <v>716</v>
      </c>
      <c r="F494" s="727" t="s">
        <v>716</v>
      </c>
      <c r="G494" s="728" t="s">
        <v>717</v>
      </c>
      <c r="H494" s="727"/>
      <c r="I494" s="727" t="s">
        <v>18</v>
      </c>
      <c r="J494" s="727" t="s">
        <v>732</v>
      </c>
      <c r="K494" s="729">
        <v>269759</v>
      </c>
      <c r="L494" s="728" t="s">
        <v>175</v>
      </c>
      <c r="M494" s="728" t="s">
        <v>176</v>
      </c>
      <c r="N494" s="727"/>
      <c r="O494" s="727"/>
      <c r="P494" s="727"/>
      <c r="Q494" s="727"/>
      <c r="R494" s="730"/>
      <c r="S494" s="727"/>
      <c r="T494" s="728" t="s">
        <v>179</v>
      </c>
    </row>
    <row r="495" ht="34.5">
      <c r="A495" s="728" t="s">
        <v>167</v>
      </c>
      <c r="B495" s="728" t="s">
        <v>168</v>
      </c>
      <c r="C495" s="728" t="s">
        <v>714</v>
      </c>
      <c r="D495" s="728" t="s">
        <v>715</v>
      </c>
      <c r="E495" s="728" t="s">
        <v>716</v>
      </c>
      <c r="F495" s="727" t="s">
        <v>716</v>
      </c>
      <c r="G495" s="728" t="s">
        <v>717</v>
      </c>
      <c r="H495" s="727"/>
      <c r="I495" s="727" t="s">
        <v>18</v>
      </c>
      <c r="J495" s="727" t="s">
        <v>733</v>
      </c>
      <c r="K495" s="729">
        <v>250877</v>
      </c>
      <c r="L495" s="728" t="s">
        <v>175</v>
      </c>
      <c r="M495" s="728" t="s">
        <v>176</v>
      </c>
      <c r="N495" s="727"/>
      <c r="O495" s="727"/>
      <c r="P495" s="727"/>
      <c r="Q495" s="727"/>
      <c r="R495" s="730"/>
      <c r="S495" s="727"/>
      <c r="T495" s="728" t="s">
        <v>179</v>
      </c>
    </row>
    <row r="496" ht="34.5">
      <c r="A496" s="728" t="s">
        <v>167</v>
      </c>
      <c r="B496" s="728" t="s">
        <v>168</v>
      </c>
      <c r="C496" s="728" t="s">
        <v>714</v>
      </c>
      <c r="D496" s="728" t="s">
        <v>715</v>
      </c>
      <c r="E496" s="728" t="s">
        <v>716</v>
      </c>
      <c r="F496" s="727" t="s">
        <v>716</v>
      </c>
      <c r="G496" s="728" t="s">
        <v>717</v>
      </c>
      <c r="H496" s="727"/>
      <c r="I496" s="727" t="s">
        <v>18</v>
      </c>
      <c r="J496" s="727" t="s">
        <v>734</v>
      </c>
      <c r="K496" s="729">
        <v>245753</v>
      </c>
      <c r="L496" s="728" t="s">
        <v>175</v>
      </c>
      <c r="M496" s="728" t="s">
        <v>176</v>
      </c>
      <c r="N496" s="727"/>
      <c r="O496" s="727"/>
      <c r="P496" s="727"/>
      <c r="Q496" s="727"/>
      <c r="R496" s="730"/>
      <c r="S496" s="727"/>
      <c r="T496" s="728" t="s">
        <v>179</v>
      </c>
    </row>
    <row r="497" ht="34.5">
      <c r="A497" s="728" t="s">
        <v>167</v>
      </c>
      <c r="B497" s="728" t="s">
        <v>168</v>
      </c>
      <c r="C497" s="728" t="s">
        <v>714</v>
      </c>
      <c r="D497" s="728" t="s">
        <v>715</v>
      </c>
      <c r="E497" s="728" t="s">
        <v>716</v>
      </c>
      <c r="F497" s="727" t="s">
        <v>716</v>
      </c>
      <c r="G497" s="728" t="s">
        <v>717</v>
      </c>
      <c r="H497" s="727"/>
      <c r="I497" s="727" t="s">
        <v>18</v>
      </c>
      <c r="J497" s="727" t="s">
        <v>735</v>
      </c>
      <c r="K497" s="729">
        <v>51543</v>
      </c>
      <c r="L497" s="728" t="s">
        <v>175</v>
      </c>
      <c r="M497" s="728" t="s">
        <v>176</v>
      </c>
      <c r="N497" s="727"/>
      <c r="O497" s="727"/>
      <c r="P497" s="727"/>
      <c r="Q497" s="727"/>
      <c r="R497" s="730"/>
      <c r="S497" s="727"/>
      <c r="T497" s="728" t="s">
        <v>179</v>
      </c>
    </row>
    <row r="498" ht="34.5">
      <c r="A498" s="728" t="s">
        <v>167</v>
      </c>
      <c r="B498" s="728" t="s">
        <v>168</v>
      </c>
      <c r="C498" s="728" t="s">
        <v>714</v>
      </c>
      <c r="D498" s="728" t="s">
        <v>715</v>
      </c>
      <c r="E498" s="728" t="s">
        <v>716</v>
      </c>
      <c r="F498" s="727" t="s">
        <v>716</v>
      </c>
      <c r="G498" s="728" t="s">
        <v>717</v>
      </c>
      <c r="H498" s="727"/>
      <c r="I498" s="727" t="s">
        <v>18</v>
      </c>
      <c r="J498" s="727" t="s">
        <v>736</v>
      </c>
      <c r="K498" s="729">
        <v>36017</v>
      </c>
      <c r="L498" s="728" t="s">
        <v>175</v>
      </c>
      <c r="M498" s="728" t="s">
        <v>176</v>
      </c>
      <c r="N498" s="727"/>
      <c r="O498" s="727"/>
      <c r="P498" s="727"/>
      <c r="Q498" s="727"/>
      <c r="R498" s="730"/>
      <c r="S498" s="727"/>
      <c r="T498" s="728" t="s">
        <v>179</v>
      </c>
    </row>
    <row r="499" ht="34.5">
      <c r="A499" s="728" t="s">
        <v>167</v>
      </c>
      <c r="B499" s="728" t="s">
        <v>168</v>
      </c>
      <c r="C499" s="728" t="s">
        <v>714</v>
      </c>
      <c r="D499" s="728" t="s">
        <v>715</v>
      </c>
      <c r="E499" s="728" t="s">
        <v>716</v>
      </c>
      <c r="F499" s="727" t="s">
        <v>716</v>
      </c>
      <c r="G499" s="728" t="s">
        <v>717</v>
      </c>
      <c r="H499" s="727"/>
      <c r="I499" s="727" t="s">
        <v>18</v>
      </c>
      <c r="J499" s="727" t="s">
        <v>737</v>
      </c>
      <c r="K499" s="729">
        <v>16683</v>
      </c>
      <c r="L499" s="728" t="s">
        <v>175</v>
      </c>
      <c r="M499" s="728" t="s">
        <v>176</v>
      </c>
      <c r="N499" s="727"/>
      <c r="O499" s="727"/>
      <c r="P499" s="727"/>
      <c r="Q499" s="727"/>
      <c r="R499" s="730"/>
      <c r="S499" s="727"/>
      <c r="T499" s="728" t="s">
        <v>179</v>
      </c>
    </row>
    <row r="500" ht="34.5">
      <c r="A500" s="728" t="s">
        <v>167</v>
      </c>
      <c r="B500" s="728" t="s">
        <v>168</v>
      </c>
      <c r="C500" s="728" t="s">
        <v>714</v>
      </c>
      <c r="D500" s="728" t="s">
        <v>715</v>
      </c>
      <c r="E500" s="728" t="s">
        <v>716</v>
      </c>
      <c r="F500" s="727" t="s">
        <v>716</v>
      </c>
      <c r="G500" s="728" t="s">
        <v>717</v>
      </c>
      <c r="H500" s="727"/>
      <c r="I500" s="727" t="s">
        <v>18</v>
      </c>
      <c r="J500" s="727" t="s">
        <v>738</v>
      </c>
      <c r="K500" s="729">
        <v>11961</v>
      </c>
      <c r="L500" s="728" t="s">
        <v>175</v>
      </c>
      <c r="M500" s="728" t="s">
        <v>176</v>
      </c>
      <c r="N500" s="727"/>
      <c r="O500" s="727"/>
      <c r="P500" s="727"/>
      <c r="Q500" s="727"/>
      <c r="R500" s="730"/>
      <c r="S500" s="727"/>
      <c r="T500" s="728" t="s">
        <v>179</v>
      </c>
    </row>
    <row r="501" ht="34.5">
      <c r="A501" s="728" t="s">
        <v>167</v>
      </c>
      <c r="B501" s="728" t="s">
        <v>168</v>
      </c>
      <c r="C501" s="728" t="s">
        <v>714</v>
      </c>
      <c r="D501" s="728" t="s">
        <v>715</v>
      </c>
      <c r="E501" s="728" t="s">
        <v>716</v>
      </c>
      <c r="F501" s="727" t="s">
        <v>716</v>
      </c>
      <c r="G501" s="728" t="s">
        <v>717</v>
      </c>
      <c r="H501" s="727"/>
      <c r="I501" s="727" t="s">
        <v>18</v>
      </c>
      <c r="J501" s="727" t="s">
        <v>739</v>
      </c>
      <c r="K501" s="729">
        <v>2790</v>
      </c>
      <c r="L501" s="728" t="s">
        <v>175</v>
      </c>
      <c r="M501" s="728" t="s">
        <v>176</v>
      </c>
      <c r="N501" s="727"/>
      <c r="O501" s="727"/>
      <c r="P501" s="727"/>
      <c r="Q501" s="727"/>
      <c r="R501" s="730"/>
      <c r="S501" s="727"/>
      <c r="T501" s="728" t="s">
        <v>179</v>
      </c>
    </row>
    <row r="502" ht="34.5">
      <c r="A502" s="728" t="s">
        <v>167</v>
      </c>
      <c r="B502" s="728" t="s">
        <v>168</v>
      </c>
      <c r="C502" s="728" t="s">
        <v>714</v>
      </c>
      <c r="D502" s="728" t="s">
        <v>715</v>
      </c>
      <c r="E502" s="728" t="s">
        <v>716</v>
      </c>
      <c r="F502" s="727" t="s">
        <v>716</v>
      </c>
      <c r="G502" s="728" t="s">
        <v>717</v>
      </c>
      <c r="H502" s="727" t="s">
        <v>18</v>
      </c>
      <c r="I502" s="727" t="s">
        <v>18</v>
      </c>
      <c r="J502" s="727" t="s">
        <v>740</v>
      </c>
      <c r="K502" s="729">
        <v>3908720</v>
      </c>
      <c r="L502" s="728" t="s">
        <v>175</v>
      </c>
      <c r="M502" s="728" t="s">
        <v>176</v>
      </c>
      <c r="N502" s="727"/>
      <c r="O502" s="727"/>
      <c r="P502" s="727"/>
      <c r="Q502" s="727"/>
      <c r="R502" s="730" t="s">
        <v>741</v>
      </c>
      <c r="S502" s="727" t="s">
        <v>332</v>
      </c>
      <c r="T502" s="728" t="s">
        <v>179</v>
      </c>
    </row>
    <row r="503" ht="34.5">
      <c r="A503" s="728" t="s">
        <v>167</v>
      </c>
      <c r="B503" s="728" t="s">
        <v>168</v>
      </c>
      <c r="C503" s="728" t="s">
        <v>714</v>
      </c>
      <c r="D503" s="728" t="s">
        <v>715</v>
      </c>
      <c r="E503" s="728" t="s">
        <v>716</v>
      </c>
      <c r="F503" s="727" t="s">
        <v>716</v>
      </c>
      <c r="G503" s="728" t="s">
        <v>717</v>
      </c>
      <c r="H503" s="727"/>
      <c r="I503" s="727" t="s">
        <v>742</v>
      </c>
      <c r="J503" s="727" t="s">
        <v>743</v>
      </c>
      <c r="K503" s="729">
        <v>28322675</v>
      </c>
      <c r="L503" s="728" t="s">
        <v>175</v>
      </c>
      <c r="M503" s="728" t="s">
        <v>176</v>
      </c>
      <c r="N503" s="727"/>
      <c r="O503" s="727"/>
      <c r="P503" s="727"/>
      <c r="Q503" s="727"/>
      <c r="R503" s="730"/>
      <c r="S503" s="727" t="s">
        <v>744</v>
      </c>
      <c r="T503" s="728" t="s">
        <v>179</v>
      </c>
    </row>
    <row r="504" ht="34.5">
      <c r="A504" s="728" t="s">
        <v>326</v>
      </c>
      <c r="B504" s="728" t="s">
        <v>168</v>
      </c>
      <c r="C504" s="728" t="s">
        <v>714</v>
      </c>
      <c r="D504" s="728" t="s">
        <v>715</v>
      </c>
      <c r="E504" s="728" t="s">
        <v>716</v>
      </c>
      <c r="F504" s="727" t="s">
        <v>716</v>
      </c>
      <c r="G504" s="728" t="s">
        <v>717</v>
      </c>
      <c r="H504" s="727"/>
      <c r="I504" s="727" t="s">
        <v>16</v>
      </c>
      <c r="J504" s="727" t="s">
        <v>718</v>
      </c>
      <c r="K504" s="729">
        <v>13994812</v>
      </c>
      <c r="L504" s="728" t="s">
        <v>175</v>
      </c>
      <c r="M504" s="728" t="s">
        <v>176</v>
      </c>
      <c r="N504" s="727"/>
      <c r="O504" s="727"/>
      <c r="P504" s="727"/>
      <c r="Q504" s="727"/>
      <c r="R504" s="730"/>
      <c r="S504" s="727"/>
      <c r="T504" s="728" t="s">
        <v>179</v>
      </c>
    </row>
    <row r="505" ht="34.5">
      <c r="A505" s="728" t="s">
        <v>326</v>
      </c>
      <c r="B505" s="728" t="s">
        <v>168</v>
      </c>
      <c r="C505" s="728" t="s">
        <v>714</v>
      </c>
      <c r="D505" s="728" t="s">
        <v>715</v>
      </c>
      <c r="E505" s="728" t="s">
        <v>716</v>
      </c>
      <c r="F505" s="727" t="s">
        <v>716</v>
      </c>
      <c r="G505" s="728" t="s">
        <v>717</v>
      </c>
      <c r="H505" s="727"/>
      <c r="I505" s="727" t="s">
        <v>16</v>
      </c>
      <c r="J505" s="727" t="s">
        <v>719</v>
      </c>
      <c r="K505" s="729">
        <v>6915447</v>
      </c>
      <c r="L505" s="728" t="s">
        <v>175</v>
      </c>
      <c r="M505" s="728" t="s">
        <v>176</v>
      </c>
      <c r="N505" s="727"/>
      <c r="O505" s="727"/>
      <c r="P505" s="727"/>
      <c r="Q505" s="727" t="s">
        <v>720</v>
      </c>
      <c r="R505" s="730"/>
      <c r="S505" s="727"/>
      <c r="T505" s="728" t="s">
        <v>179</v>
      </c>
    </row>
    <row r="506" ht="34.5">
      <c r="A506" s="728" t="s">
        <v>326</v>
      </c>
      <c r="B506" s="728" t="s">
        <v>168</v>
      </c>
      <c r="C506" s="728" t="s">
        <v>714</v>
      </c>
      <c r="D506" s="728" t="s">
        <v>715</v>
      </c>
      <c r="E506" s="728" t="s">
        <v>716</v>
      </c>
      <c r="F506" s="727" t="s">
        <v>716</v>
      </c>
      <c r="G506" s="728" t="s">
        <v>717</v>
      </c>
      <c r="H506" s="727"/>
      <c r="I506" s="727" t="s">
        <v>16</v>
      </c>
      <c r="J506" s="727" t="s">
        <v>721</v>
      </c>
      <c r="K506" s="729">
        <v>3573302</v>
      </c>
      <c r="L506" s="728" t="s">
        <v>175</v>
      </c>
      <c r="M506" s="728" t="s">
        <v>176</v>
      </c>
      <c r="N506" s="727"/>
      <c r="O506" s="727"/>
      <c r="P506" s="727"/>
      <c r="Q506" s="727"/>
      <c r="R506" s="730"/>
      <c r="S506" s="727"/>
      <c r="T506" s="728" t="s">
        <v>179</v>
      </c>
    </row>
    <row r="507" ht="34.5">
      <c r="A507" s="728" t="s">
        <v>326</v>
      </c>
      <c r="B507" s="728" t="s">
        <v>168</v>
      </c>
      <c r="C507" s="728" t="s">
        <v>714</v>
      </c>
      <c r="D507" s="728" t="s">
        <v>715</v>
      </c>
      <c r="E507" s="728" t="s">
        <v>716</v>
      </c>
      <c r="F507" s="727" t="s">
        <v>716</v>
      </c>
      <c r="G507" s="728" t="s">
        <v>717</v>
      </c>
      <c r="H507" s="727"/>
      <c r="I507" s="727" t="s">
        <v>16</v>
      </c>
      <c r="J507" s="727" t="s">
        <v>722</v>
      </c>
      <c r="K507" s="729">
        <v>531537</v>
      </c>
      <c r="L507" s="728" t="s">
        <v>175</v>
      </c>
      <c r="M507" s="728" t="s">
        <v>176</v>
      </c>
      <c r="N507" s="727"/>
      <c r="O507" s="727"/>
      <c r="P507" s="727"/>
      <c r="Q507" s="727"/>
      <c r="R507" s="730"/>
      <c r="S507" s="727"/>
      <c r="T507" s="728" t="s">
        <v>179</v>
      </c>
    </row>
    <row r="508" ht="34.5">
      <c r="A508" s="728" t="s">
        <v>326</v>
      </c>
      <c r="B508" s="728" t="s">
        <v>168</v>
      </c>
      <c r="C508" s="728" t="s">
        <v>714</v>
      </c>
      <c r="D508" s="728" t="s">
        <v>715</v>
      </c>
      <c r="E508" s="728" t="s">
        <v>716</v>
      </c>
      <c r="F508" s="727" t="s">
        <v>716</v>
      </c>
      <c r="G508" s="728" t="s">
        <v>717</v>
      </c>
      <c r="H508" s="727"/>
      <c r="I508" s="727" t="s">
        <v>16</v>
      </c>
      <c r="J508" s="727" t="s">
        <v>723</v>
      </c>
      <c r="K508" s="729">
        <v>352044</v>
      </c>
      <c r="L508" s="728" t="s">
        <v>175</v>
      </c>
      <c r="M508" s="728" t="s">
        <v>176</v>
      </c>
      <c r="N508" s="727"/>
      <c r="O508" s="727"/>
      <c r="P508" s="727"/>
      <c r="Q508" s="727"/>
      <c r="R508" s="730"/>
      <c r="S508" s="727"/>
      <c r="T508" s="728" t="s">
        <v>179</v>
      </c>
    </row>
    <row r="509" ht="34.5">
      <c r="A509" s="728" t="s">
        <v>326</v>
      </c>
      <c r="B509" s="728" t="s">
        <v>168</v>
      </c>
      <c r="C509" s="728" t="s">
        <v>714</v>
      </c>
      <c r="D509" s="728" t="s">
        <v>715</v>
      </c>
      <c r="E509" s="728" t="s">
        <v>716</v>
      </c>
      <c r="F509" s="727" t="s">
        <v>716</v>
      </c>
      <c r="G509" s="728" t="s">
        <v>717</v>
      </c>
      <c r="H509" s="727"/>
      <c r="I509" s="727" t="s">
        <v>16</v>
      </c>
      <c r="J509" s="727" t="s">
        <v>724</v>
      </c>
      <c r="K509" s="729">
        <v>214126</v>
      </c>
      <c r="L509" s="728" t="s">
        <v>175</v>
      </c>
      <c r="M509" s="728" t="s">
        <v>176</v>
      </c>
      <c r="N509" s="727"/>
      <c r="O509" s="727"/>
      <c r="P509" s="727"/>
      <c r="Q509" s="727"/>
      <c r="R509" s="730"/>
      <c r="S509" s="727"/>
      <c r="T509" s="728" t="s">
        <v>179</v>
      </c>
    </row>
    <row r="510" ht="34.5">
      <c r="A510" s="728" t="s">
        <v>326</v>
      </c>
      <c r="B510" s="728" t="s">
        <v>168</v>
      </c>
      <c r="C510" s="728" t="s">
        <v>714</v>
      </c>
      <c r="D510" s="728" t="s">
        <v>715</v>
      </c>
      <c r="E510" s="728" t="s">
        <v>716</v>
      </c>
      <c r="F510" s="727" t="s">
        <v>716</v>
      </c>
      <c r="G510" s="728" t="s">
        <v>717</v>
      </c>
      <c r="H510" s="727"/>
      <c r="I510" s="727" t="s">
        <v>16</v>
      </c>
      <c r="J510" s="727" t="s">
        <v>725</v>
      </c>
      <c r="K510" s="729">
        <v>155079</v>
      </c>
      <c r="L510" s="728" t="s">
        <v>175</v>
      </c>
      <c r="M510" s="728" t="s">
        <v>176</v>
      </c>
      <c r="N510" s="727"/>
      <c r="O510" s="727"/>
      <c r="P510" s="727"/>
      <c r="Q510" s="727"/>
      <c r="R510" s="730"/>
      <c r="S510" s="727"/>
      <c r="T510" s="728" t="s">
        <v>179</v>
      </c>
    </row>
    <row r="511" ht="34.5">
      <c r="A511" s="728" t="s">
        <v>326</v>
      </c>
      <c r="B511" s="728" t="s">
        <v>168</v>
      </c>
      <c r="C511" s="728" t="s">
        <v>714</v>
      </c>
      <c r="D511" s="728" t="s">
        <v>715</v>
      </c>
      <c r="E511" s="728" t="s">
        <v>716</v>
      </c>
      <c r="F511" s="727" t="s">
        <v>716</v>
      </c>
      <c r="G511" s="728" t="s">
        <v>717</v>
      </c>
      <c r="H511" s="727" t="s">
        <v>16</v>
      </c>
      <c r="I511" s="727" t="s">
        <v>16</v>
      </c>
      <c r="J511" s="727" t="s">
        <v>726</v>
      </c>
      <c r="K511" s="729">
        <v>25736347</v>
      </c>
      <c r="L511" s="728" t="s">
        <v>175</v>
      </c>
      <c r="M511" s="728" t="s">
        <v>176</v>
      </c>
      <c r="N511" s="727"/>
      <c r="O511" s="727"/>
      <c r="P511" s="727"/>
      <c r="Q511" s="727"/>
      <c r="R511" s="730" t="s">
        <v>745</v>
      </c>
      <c r="S511" s="727" t="s">
        <v>332</v>
      </c>
      <c r="T511" s="728" t="s">
        <v>179</v>
      </c>
    </row>
    <row r="512" ht="34.5">
      <c r="A512" s="728" t="s">
        <v>326</v>
      </c>
      <c r="B512" s="728" t="s">
        <v>168</v>
      </c>
      <c r="C512" s="728" t="s">
        <v>714</v>
      </c>
      <c r="D512" s="728" t="s">
        <v>715</v>
      </c>
      <c r="E512" s="728" t="s">
        <v>716</v>
      </c>
      <c r="F512" s="727" t="s">
        <v>716</v>
      </c>
      <c r="G512" s="728" t="s">
        <v>717</v>
      </c>
      <c r="H512" s="727"/>
      <c r="I512" s="727" t="s">
        <v>18</v>
      </c>
      <c r="J512" s="727" t="s">
        <v>728</v>
      </c>
      <c r="K512" s="729">
        <v>322500</v>
      </c>
      <c r="L512" s="728" t="s">
        <v>175</v>
      </c>
      <c r="M512" s="728" t="s">
        <v>176</v>
      </c>
      <c r="N512" s="727"/>
      <c r="O512" s="727"/>
      <c r="P512" s="727"/>
      <c r="Q512" s="727"/>
      <c r="R512" s="730"/>
      <c r="S512" s="727"/>
      <c r="T512" s="728" t="s">
        <v>179</v>
      </c>
    </row>
    <row r="513" ht="34.5">
      <c r="A513" s="728" t="s">
        <v>326</v>
      </c>
      <c r="B513" s="728" t="s">
        <v>168</v>
      </c>
      <c r="C513" s="728" t="s">
        <v>714</v>
      </c>
      <c r="D513" s="728" t="s">
        <v>715</v>
      </c>
      <c r="E513" s="728" t="s">
        <v>716</v>
      </c>
      <c r="F513" s="727" t="s">
        <v>716</v>
      </c>
      <c r="G513" s="728" t="s">
        <v>717</v>
      </c>
      <c r="H513" s="727"/>
      <c r="I513" s="727" t="s">
        <v>18</v>
      </c>
      <c r="J513" s="727" t="s">
        <v>729</v>
      </c>
      <c r="K513" s="729">
        <v>1054607</v>
      </c>
      <c r="L513" s="728" t="s">
        <v>175</v>
      </c>
      <c r="M513" s="728" t="s">
        <v>176</v>
      </c>
      <c r="N513" s="727"/>
      <c r="O513" s="727"/>
      <c r="P513" s="727"/>
      <c r="Q513" s="727"/>
      <c r="R513" s="730"/>
      <c r="S513" s="727"/>
      <c r="T513" s="728" t="s">
        <v>179</v>
      </c>
    </row>
    <row r="514" ht="34.5">
      <c r="A514" s="728" t="s">
        <v>326</v>
      </c>
      <c r="B514" s="728" t="s">
        <v>168</v>
      </c>
      <c r="C514" s="728" t="s">
        <v>714</v>
      </c>
      <c r="D514" s="728" t="s">
        <v>715</v>
      </c>
      <c r="E514" s="728" t="s">
        <v>716</v>
      </c>
      <c r="F514" s="727" t="s">
        <v>716</v>
      </c>
      <c r="G514" s="728" t="s">
        <v>717</v>
      </c>
      <c r="H514" s="727"/>
      <c r="I514" s="727" t="s">
        <v>18</v>
      </c>
      <c r="J514" s="727" t="s">
        <v>730</v>
      </c>
      <c r="K514" s="729">
        <v>466858</v>
      </c>
      <c r="L514" s="728" t="s">
        <v>175</v>
      </c>
      <c r="M514" s="728" t="s">
        <v>176</v>
      </c>
      <c r="N514" s="727"/>
      <c r="O514" s="727"/>
      <c r="P514" s="727"/>
      <c r="Q514" s="727"/>
      <c r="R514" s="730"/>
      <c r="S514" s="727"/>
      <c r="T514" s="728" t="s">
        <v>179</v>
      </c>
    </row>
    <row r="515" ht="34.5">
      <c r="A515" s="728" t="s">
        <v>326</v>
      </c>
      <c r="B515" s="728" t="s">
        <v>168</v>
      </c>
      <c r="C515" s="728" t="s">
        <v>714</v>
      </c>
      <c r="D515" s="728" t="s">
        <v>715</v>
      </c>
      <c r="E515" s="728" t="s">
        <v>716</v>
      </c>
      <c r="F515" s="727" t="s">
        <v>716</v>
      </c>
      <c r="G515" s="728" t="s">
        <v>717</v>
      </c>
      <c r="H515" s="727"/>
      <c r="I515" s="727" t="s">
        <v>18</v>
      </c>
      <c r="J515" s="727" t="s">
        <v>731</v>
      </c>
      <c r="K515" s="729">
        <v>419384</v>
      </c>
      <c r="L515" s="728" t="s">
        <v>175</v>
      </c>
      <c r="M515" s="728" t="s">
        <v>176</v>
      </c>
      <c r="N515" s="727"/>
      <c r="O515" s="727"/>
      <c r="P515" s="727"/>
      <c r="Q515" s="727"/>
      <c r="R515" s="730"/>
      <c r="S515" s="727"/>
      <c r="T515" s="728" t="s">
        <v>179</v>
      </c>
    </row>
    <row r="516" ht="34.5">
      <c r="A516" s="728" t="s">
        <v>326</v>
      </c>
      <c r="B516" s="728" t="s">
        <v>168</v>
      </c>
      <c r="C516" s="728" t="s">
        <v>714</v>
      </c>
      <c r="D516" s="728" t="s">
        <v>715</v>
      </c>
      <c r="E516" s="728" t="s">
        <v>716</v>
      </c>
      <c r="F516" s="727" t="s">
        <v>716</v>
      </c>
      <c r="G516" s="728" t="s">
        <v>717</v>
      </c>
      <c r="H516" s="727"/>
      <c r="I516" s="727" t="s">
        <v>18</v>
      </c>
      <c r="J516" s="727" t="s">
        <v>732</v>
      </c>
      <c r="K516" s="729">
        <v>306778</v>
      </c>
      <c r="L516" s="728" t="s">
        <v>175</v>
      </c>
      <c r="M516" s="728" t="s">
        <v>176</v>
      </c>
      <c r="N516" s="727"/>
      <c r="O516" s="727"/>
      <c r="P516" s="727"/>
      <c r="Q516" s="727"/>
      <c r="R516" s="730"/>
      <c r="S516" s="727"/>
      <c r="T516" s="728" t="s">
        <v>179</v>
      </c>
    </row>
    <row r="517" ht="34.5">
      <c r="A517" s="728" t="s">
        <v>326</v>
      </c>
      <c r="B517" s="728" t="s">
        <v>168</v>
      </c>
      <c r="C517" s="728" t="s">
        <v>714</v>
      </c>
      <c r="D517" s="728" t="s">
        <v>715</v>
      </c>
      <c r="E517" s="728" t="s">
        <v>716</v>
      </c>
      <c r="F517" s="727" t="s">
        <v>716</v>
      </c>
      <c r="G517" s="728" t="s">
        <v>717</v>
      </c>
      <c r="H517" s="727"/>
      <c r="I517" s="727" t="s">
        <v>18</v>
      </c>
      <c r="J517" s="727" t="s">
        <v>733</v>
      </c>
      <c r="K517" s="729">
        <v>392259</v>
      </c>
      <c r="L517" s="728" t="s">
        <v>175</v>
      </c>
      <c r="M517" s="728" t="s">
        <v>176</v>
      </c>
      <c r="N517" s="727"/>
      <c r="O517" s="727"/>
      <c r="P517" s="727"/>
      <c r="Q517" s="727"/>
      <c r="R517" s="730"/>
      <c r="S517" s="727"/>
      <c r="T517" s="728" t="s">
        <v>179</v>
      </c>
    </row>
    <row r="518" ht="34.5">
      <c r="A518" s="728" t="s">
        <v>326</v>
      </c>
      <c r="B518" s="728" t="s">
        <v>168</v>
      </c>
      <c r="C518" s="728" t="s">
        <v>714</v>
      </c>
      <c r="D518" s="728" t="s">
        <v>715</v>
      </c>
      <c r="E518" s="728" t="s">
        <v>716</v>
      </c>
      <c r="F518" s="727" t="s">
        <v>716</v>
      </c>
      <c r="G518" s="728" t="s">
        <v>717</v>
      </c>
      <c r="H518" s="727"/>
      <c r="I518" s="727" t="s">
        <v>18</v>
      </c>
      <c r="J518" s="727" t="s">
        <v>734</v>
      </c>
      <c r="K518" s="729">
        <v>349487</v>
      </c>
      <c r="L518" s="728" t="s">
        <v>175</v>
      </c>
      <c r="M518" s="728" t="s">
        <v>176</v>
      </c>
      <c r="N518" s="727"/>
      <c r="O518" s="727"/>
      <c r="P518" s="727"/>
      <c r="Q518" s="727"/>
      <c r="R518" s="730"/>
      <c r="S518" s="727"/>
      <c r="T518" s="728" t="s">
        <v>179</v>
      </c>
    </row>
    <row r="519" ht="34.5">
      <c r="A519" s="728" t="s">
        <v>326</v>
      </c>
      <c r="B519" s="728" t="s">
        <v>168</v>
      </c>
      <c r="C519" s="728" t="s">
        <v>714</v>
      </c>
      <c r="D519" s="728" t="s">
        <v>715</v>
      </c>
      <c r="E519" s="728" t="s">
        <v>716</v>
      </c>
      <c r="F519" s="727" t="s">
        <v>716</v>
      </c>
      <c r="G519" s="728" t="s">
        <v>717</v>
      </c>
      <c r="H519" s="727"/>
      <c r="I519" s="727" t="s">
        <v>18</v>
      </c>
      <c r="J519" s="727" t="s">
        <v>735</v>
      </c>
      <c r="K519" s="729">
        <v>51995</v>
      </c>
      <c r="L519" s="728" t="s">
        <v>175</v>
      </c>
      <c r="M519" s="728" t="s">
        <v>176</v>
      </c>
      <c r="N519" s="727"/>
      <c r="O519" s="727"/>
      <c r="P519" s="727"/>
      <c r="Q519" s="727"/>
      <c r="R519" s="730"/>
      <c r="S519" s="727"/>
      <c r="T519" s="728" t="s">
        <v>179</v>
      </c>
    </row>
    <row r="520" ht="34.5">
      <c r="A520" s="728" t="s">
        <v>326</v>
      </c>
      <c r="B520" s="728" t="s">
        <v>168</v>
      </c>
      <c r="C520" s="728" t="s">
        <v>714</v>
      </c>
      <c r="D520" s="728" t="s">
        <v>715</v>
      </c>
      <c r="E520" s="728" t="s">
        <v>716</v>
      </c>
      <c r="F520" s="727" t="s">
        <v>716</v>
      </c>
      <c r="G520" s="728" t="s">
        <v>717</v>
      </c>
      <c r="H520" s="727"/>
      <c r="I520" s="727" t="s">
        <v>18</v>
      </c>
      <c r="J520" s="727" t="s">
        <v>736</v>
      </c>
      <c r="K520" s="729">
        <v>29868</v>
      </c>
      <c r="L520" s="728" t="s">
        <v>175</v>
      </c>
      <c r="M520" s="728" t="s">
        <v>176</v>
      </c>
      <c r="N520" s="727"/>
      <c r="O520" s="727"/>
      <c r="P520" s="727"/>
      <c r="Q520" s="727"/>
      <c r="R520" s="730"/>
      <c r="S520" s="727"/>
      <c r="T520" s="728" t="s">
        <v>179</v>
      </c>
    </row>
    <row r="521" ht="34.5">
      <c r="A521" s="728" t="s">
        <v>326</v>
      </c>
      <c r="B521" s="728" t="s">
        <v>168</v>
      </c>
      <c r="C521" s="728" t="s">
        <v>714</v>
      </c>
      <c r="D521" s="728" t="s">
        <v>715</v>
      </c>
      <c r="E521" s="728" t="s">
        <v>716</v>
      </c>
      <c r="F521" s="727" t="s">
        <v>716</v>
      </c>
      <c r="G521" s="728" t="s">
        <v>717</v>
      </c>
      <c r="H521" s="727"/>
      <c r="I521" s="727" t="s">
        <v>18</v>
      </c>
      <c r="J521" s="727" t="s">
        <v>737</v>
      </c>
      <c r="K521" s="729">
        <v>21173</v>
      </c>
      <c r="L521" s="728" t="s">
        <v>175</v>
      </c>
      <c r="M521" s="728" t="s">
        <v>176</v>
      </c>
      <c r="N521" s="727"/>
      <c r="O521" s="727"/>
      <c r="P521" s="727"/>
      <c r="Q521" s="727"/>
      <c r="R521" s="730"/>
      <c r="S521" s="727"/>
      <c r="T521" s="728" t="s">
        <v>179</v>
      </c>
    </row>
    <row r="522" ht="34.5">
      <c r="A522" s="728" t="s">
        <v>326</v>
      </c>
      <c r="B522" s="728" t="s">
        <v>168</v>
      </c>
      <c r="C522" s="728" t="s">
        <v>714</v>
      </c>
      <c r="D522" s="728" t="s">
        <v>715</v>
      </c>
      <c r="E522" s="728" t="s">
        <v>716</v>
      </c>
      <c r="F522" s="727" t="s">
        <v>716</v>
      </c>
      <c r="G522" s="728" t="s">
        <v>717</v>
      </c>
      <c r="H522" s="727"/>
      <c r="I522" s="727" t="s">
        <v>18</v>
      </c>
      <c r="J522" s="727" t="s">
        <v>738</v>
      </c>
      <c r="K522" s="729">
        <v>17405</v>
      </c>
      <c r="L522" s="728" t="s">
        <v>175</v>
      </c>
      <c r="M522" s="728" t="s">
        <v>176</v>
      </c>
      <c r="N522" s="727"/>
      <c r="O522" s="727"/>
      <c r="P522" s="727"/>
      <c r="Q522" s="727"/>
      <c r="R522" s="730"/>
      <c r="S522" s="727"/>
      <c r="T522" s="728" t="s">
        <v>179</v>
      </c>
    </row>
    <row r="523" ht="34.5">
      <c r="A523" s="728" t="s">
        <v>326</v>
      </c>
      <c r="B523" s="728" t="s">
        <v>168</v>
      </c>
      <c r="C523" s="728" t="s">
        <v>714</v>
      </c>
      <c r="D523" s="728" t="s">
        <v>715</v>
      </c>
      <c r="E523" s="728" t="s">
        <v>716</v>
      </c>
      <c r="F523" s="727" t="s">
        <v>716</v>
      </c>
      <c r="G523" s="728" t="s">
        <v>717</v>
      </c>
      <c r="H523" s="727"/>
      <c r="I523" s="727" t="s">
        <v>18</v>
      </c>
      <c r="J523" s="727" t="s">
        <v>739</v>
      </c>
      <c r="K523" s="729">
        <v>3773</v>
      </c>
      <c r="L523" s="728" t="s">
        <v>175</v>
      </c>
      <c r="M523" s="728" t="s">
        <v>176</v>
      </c>
      <c r="N523" s="727"/>
      <c r="O523" s="727"/>
      <c r="P523" s="727"/>
      <c r="Q523" s="727"/>
      <c r="R523" s="730"/>
      <c r="S523" s="727"/>
      <c r="T523" s="728" t="s">
        <v>179</v>
      </c>
    </row>
    <row r="524" ht="34.5">
      <c r="A524" s="728" t="s">
        <v>326</v>
      </c>
      <c r="B524" s="728" t="s">
        <v>168</v>
      </c>
      <c r="C524" s="728" t="s">
        <v>714</v>
      </c>
      <c r="D524" s="728" t="s">
        <v>715</v>
      </c>
      <c r="E524" s="728" t="s">
        <v>716</v>
      </c>
      <c r="F524" s="727" t="s">
        <v>716</v>
      </c>
      <c r="G524" s="728" t="s">
        <v>717</v>
      </c>
      <c r="H524" s="727" t="s">
        <v>18</v>
      </c>
      <c r="I524" s="727" t="s">
        <v>18</v>
      </c>
      <c r="J524" s="727" t="s">
        <v>740</v>
      </c>
      <c r="K524" s="729">
        <v>3436087</v>
      </c>
      <c r="L524" s="728" t="s">
        <v>175</v>
      </c>
      <c r="M524" s="728" t="s">
        <v>176</v>
      </c>
      <c r="N524" s="727"/>
      <c r="O524" s="727"/>
      <c r="P524" s="727"/>
      <c r="Q524" s="727"/>
      <c r="R524" s="730" t="s">
        <v>746</v>
      </c>
      <c r="S524" s="727" t="s">
        <v>332</v>
      </c>
      <c r="T524" s="728" t="s">
        <v>179</v>
      </c>
    </row>
    <row r="525" ht="34.5">
      <c r="A525" s="728" t="s">
        <v>326</v>
      </c>
      <c r="B525" s="728" t="s">
        <v>168</v>
      </c>
      <c r="C525" s="728" t="s">
        <v>714</v>
      </c>
      <c r="D525" s="728" t="s">
        <v>715</v>
      </c>
      <c r="E525" s="728" t="s">
        <v>716</v>
      </c>
      <c r="F525" s="727" t="s">
        <v>716</v>
      </c>
      <c r="G525" s="728" t="s">
        <v>717</v>
      </c>
      <c r="H525" s="727"/>
      <c r="I525" s="727" t="s">
        <v>742</v>
      </c>
      <c r="J525" s="727" t="s">
        <v>743</v>
      </c>
      <c r="K525" s="729">
        <v>29172434</v>
      </c>
      <c r="L525" s="728" t="s">
        <v>175</v>
      </c>
      <c r="M525" s="728" t="s">
        <v>176</v>
      </c>
      <c r="N525" s="727"/>
      <c r="O525" s="727"/>
      <c r="P525" s="727"/>
      <c r="Q525" s="727"/>
      <c r="R525" s="730"/>
      <c r="S525" s="727" t="s">
        <v>744</v>
      </c>
      <c r="T525" s="728" t="s">
        <v>179</v>
      </c>
    </row>
    <row r="526" ht="34.5">
      <c r="A526" s="728" t="s">
        <v>327</v>
      </c>
      <c r="B526" s="728" t="s">
        <v>328</v>
      </c>
      <c r="C526" s="728" t="s">
        <v>714</v>
      </c>
      <c r="D526" s="728" t="s">
        <v>686</v>
      </c>
      <c r="E526" s="728" t="s">
        <v>716</v>
      </c>
      <c r="F526" s="727" t="s">
        <v>716</v>
      </c>
      <c r="G526" s="728" t="s">
        <v>717</v>
      </c>
      <c r="H526" s="727"/>
      <c r="I526" s="727" t="s">
        <v>16</v>
      </c>
      <c r="J526" s="727" t="s">
        <v>718</v>
      </c>
      <c r="K526" s="729">
        <v>13947153</v>
      </c>
      <c r="L526" s="728" t="s">
        <v>175</v>
      </c>
      <c r="M526" s="728" t="s">
        <v>176</v>
      </c>
      <c r="N526" s="727"/>
      <c r="O526" s="727"/>
      <c r="P526" s="727"/>
      <c r="Q526" s="727"/>
      <c r="R526" s="730"/>
      <c r="S526" s="727"/>
      <c r="T526" s="728" t="s">
        <v>179</v>
      </c>
    </row>
    <row r="527" ht="34.5">
      <c r="A527" s="728" t="s">
        <v>327</v>
      </c>
      <c r="B527" s="728" t="s">
        <v>328</v>
      </c>
      <c r="C527" s="728" t="s">
        <v>714</v>
      </c>
      <c r="D527" s="728" t="s">
        <v>686</v>
      </c>
      <c r="E527" s="728" t="s">
        <v>716</v>
      </c>
      <c r="F527" s="727" t="s">
        <v>716</v>
      </c>
      <c r="G527" s="728" t="s">
        <v>717</v>
      </c>
      <c r="H527" s="727"/>
      <c r="I527" s="727" t="s">
        <v>16</v>
      </c>
      <c r="J527" s="727" t="s">
        <v>719</v>
      </c>
      <c r="K527" s="729">
        <v>7795090</v>
      </c>
      <c r="L527" s="728" t="s">
        <v>175</v>
      </c>
      <c r="M527" s="728" t="s">
        <v>176</v>
      </c>
      <c r="N527" s="727"/>
      <c r="O527" s="727"/>
      <c r="P527" s="727"/>
      <c r="Q527" s="727"/>
      <c r="R527" s="730"/>
      <c r="S527" s="727"/>
      <c r="T527" s="728" t="s">
        <v>179</v>
      </c>
    </row>
    <row r="528" ht="34.5">
      <c r="A528" s="728" t="s">
        <v>327</v>
      </c>
      <c r="B528" s="728" t="s">
        <v>328</v>
      </c>
      <c r="C528" s="728" t="s">
        <v>714</v>
      </c>
      <c r="D528" s="728" t="s">
        <v>686</v>
      </c>
      <c r="E528" s="728" t="s">
        <v>716</v>
      </c>
      <c r="F528" s="727" t="s">
        <v>716</v>
      </c>
      <c r="G528" s="728" t="s">
        <v>717</v>
      </c>
      <c r="H528" s="727"/>
      <c r="I528" s="727" t="s">
        <v>16</v>
      </c>
      <c r="J528" s="727" t="s">
        <v>747</v>
      </c>
      <c r="K528" s="729">
        <v>2784099</v>
      </c>
      <c r="L528" s="728" t="s">
        <v>175</v>
      </c>
      <c r="M528" s="728" t="s">
        <v>176</v>
      </c>
      <c r="N528" s="727"/>
      <c r="O528" s="727"/>
      <c r="P528" s="727"/>
      <c r="Q528" s="727"/>
      <c r="R528" s="730"/>
      <c r="S528" s="727"/>
      <c r="T528" s="728" t="s">
        <v>179</v>
      </c>
    </row>
    <row r="529" ht="34.5">
      <c r="A529" s="728" t="s">
        <v>327</v>
      </c>
      <c r="B529" s="728" t="s">
        <v>328</v>
      </c>
      <c r="C529" s="728" t="s">
        <v>714</v>
      </c>
      <c r="D529" s="728" t="s">
        <v>686</v>
      </c>
      <c r="E529" s="728" t="s">
        <v>716</v>
      </c>
      <c r="F529" s="727" t="s">
        <v>716</v>
      </c>
      <c r="G529" s="728" t="s">
        <v>717</v>
      </c>
      <c r="H529" s="727"/>
      <c r="I529" s="727" t="s">
        <v>16</v>
      </c>
      <c r="J529" s="727" t="s">
        <v>722</v>
      </c>
      <c r="K529" s="729">
        <v>571262</v>
      </c>
      <c r="L529" s="728" t="s">
        <v>175</v>
      </c>
      <c r="M529" s="728" t="s">
        <v>176</v>
      </c>
      <c r="N529" s="727"/>
      <c r="O529" s="727"/>
      <c r="P529" s="727"/>
      <c r="Q529" s="727"/>
      <c r="R529" s="730"/>
      <c r="S529" s="727"/>
      <c r="T529" s="728" t="s">
        <v>179</v>
      </c>
    </row>
    <row r="530" ht="34.5">
      <c r="A530" s="728" t="s">
        <v>327</v>
      </c>
      <c r="B530" s="728" t="s">
        <v>328</v>
      </c>
      <c r="C530" s="728" t="s">
        <v>714</v>
      </c>
      <c r="D530" s="728" t="s">
        <v>686</v>
      </c>
      <c r="E530" s="728" t="s">
        <v>716</v>
      </c>
      <c r="F530" s="727" t="s">
        <v>716</v>
      </c>
      <c r="G530" s="728" t="s">
        <v>717</v>
      </c>
      <c r="H530" s="727"/>
      <c r="I530" s="727" t="s">
        <v>16</v>
      </c>
      <c r="J530" s="727" t="s">
        <v>723</v>
      </c>
      <c r="K530" s="729">
        <v>273892</v>
      </c>
      <c r="L530" s="728" t="s">
        <v>175</v>
      </c>
      <c r="M530" s="728" t="s">
        <v>176</v>
      </c>
      <c r="N530" s="727"/>
      <c r="O530" s="727"/>
      <c r="P530" s="727"/>
      <c r="Q530" s="727"/>
      <c r="R530" s="730"/>
      <c r="S530" s="727"/>
      <c r="T530" s="728" t="s">
        <v>179</v>
      </c>
    </row>
    <row r="531" ht="34.5">
      <c r="A531" s="728" t="s">
        <v>327</v>
      </c>
      <c r="B531" s="728" t="s">
        <v>328</v>
      </c>
      <c r="C531" s="728" t="s">
        <v>714</v>
      </c>
      <c r="D531" s="728" t="s">
        <v>686</v>
      </c>
      <c r="E531" s="728" t="s">
        <v>716</v>
      </c>
      <c r="F531" s="727" t="s">
        <v>716</v>
      </c>
      <c r="G531" s="728" t="s">
        <v>717</v>
      </c>
      <c r="H531" s="727"/>
      <c r="I531" s="727" t="s">
        <v>16</v>
      </c>
      <c r="J531" s="727" t="s">
        <v>724</v>
      </c>
      <c r="K531" s="729">
        <v>202375</v>
      </c>
      <c r="L531" s="728" t="s">
        <v>175</v>
      </c>
      <c r="M531" s="728" t="s">
        <v>176</v>
      </c>
      <c r="N531" s="727"/>
      <c r="O531" s="727"/>
      <c r="P531" s="727"/>
      <c r="Q531" s="727"/>
      <c r="R531" s="730"/>
      <c r="S531" s="727"/>
      <c r="T531" s="728" t="s">
        <v>179</v>
      </c>
    </row>
    <row r="532" ht="34.5">
      <c r="A532" s="728" t="s">
        <v>327</v>
      </c>
      <c r="B532" s="728" t="s">
        <v>328</v>
      </c>
      <c r="C532" s="728" t="s">
        <v>714</v>
      </c>
      <c r="D532" s="728" t="s">
        <v>686</v>
      </c>
      <c r="E532" s="728" t="s">
        <v>716</v>
      </c>
      <c r="F532" s="727" t="s">
        <v>716</v>
      </c>
      <c r="G532" s="728" t="s">
        <v>717</v>
      </c>
      <c r="H532" s="727"/>
      <c r="I532" s="727" t="s">
        <v>16</v>
      </c>
      <c r="J532" s="727" t="s">
        <v>725</v>
      </c>
      <c r="K532" s="729">
        <v>0</v>
      </c>
      <c r="L532" s="728" t="s">
        <v>175</v>
      </c>
      <c r="M532" s="728" t="s">
        <v>176</v>
      </c>
      <c r="N532" s="727"/>
      <c r="O532" s="727"/>
      <c r="P532" s="727"/>
      <c r="Q532" s="727"/>
      <c r="R532" s="730"/>
      <c r="S532" s="727" t="s">
        <v>748</v>
      </c>
      <c r="T532" s="728" t="s">
        <v>179</v>
      </c>
    </row>
    <row r="533" ht="34.5">
      <c r="A533" s="728" t="s">
        <v>327</v>
      </c>
      <c r="B533" s="728" t="s">
        <v>328</v>
      </c>
      <c r="C533" s="728" t="s">
        <v>714</v>
      </c>
      <c r="D533" s="728" t="s">
        <v>686</v>
      </c>
      <c r="E533" s="728" t="s">
        <v>716</v>
      </c>
      <c r="F533" s="727" t="s">
        <v>716</v>
      </c>
      <c r="G533" s="728" t="s">
        <v>717</v>
      </c>
      <c r="H533" s="727" t="s">
        <v>16</v>
      </c>
      <c r="I533" s="727" t="s">
        <v>16</v>
      </c>
      <c r="J533" s="727" t="s">
        <v>726</v>
      </c>
      <c r="K533" s="729">
        <v>25573871</v>
      </c>
      <c r="L533" s="728" t="s">
        <v>175</v>
      </c>
      <c r="M533" s="728" t="s">
        <v>176</v>
      </c>
      <c r="N533" s="727"/>
      <c r="O533" s="727"/>
      <c r="P533" s="727"/>
      <c r="Q533" s="727"/>
      <c r="R533" s="730" t="s">
        <v>749</v>
      </c>
      <c r="S533" s="727" t="s">
        <v>332</v>
      </c>
      <c r="T533" s="728" t="s">
        <v>179</v>
      </c>
    </row>
    <row r="534" ht="34.5">
      <c r="A534" s="728" t="s">
        <v>327</v>
      </c>
      <c r="B534" s="728" t="s">
        <v>328</v>
      </c>
      <c r="C534" s="728" t="s">
        <v>714</v>
      </c>
      <c r="D534" s="728" t="s">
        <v>686</v>
      </c>
      <c r="E534" s="728" t="s">
        <v>716</v>
      </c>
      <c r="F534" s="727" t="s">
        <v>716</v>
      </c>
      <c r="G534" s="728" t="s">
        <v>717</v>
      </c>
      <c r="H534" s="727"/>
      <c r="I534" s="727" t="s">
        <v>18</v>
      </c>
      <c r="J534" s="727" t="s">
        <v>729</v>
      </c>
      <c r="K534" s="729">
        <v>987481</v>
      </c>
      <c r="L534" s="728" t="s">
        <v>175</v>
      </c>
      <c r="M534" s="728" t="s">
        <v>176</v>
      </c>
      <c r="N534" s="727"/>
      <c r="O534" s="727"/>
      <c r="P534" s="727"/>
      <c r="Q534" s="727"/>
      <c r="R534" s="730"/>
      <c r="S534" s="727"/>
      <c r="T534" s="728" t="s">
        <v>179</v>
      </c>
    </row>
    <row r="535" ht="34.5">
      <c r="A535" s="728" t="s">
        <v>327</v>
      </c>
      <c r="B535" s="728" t="s">
        <v>328</v>
      </c>
      <c r="C535" s="728" t="s">
        <v>714</v>
      </c>
      <c r="D535" s="728" t="s">
        <v>686</v>
      </c>
      <c r="E535" s="728" t="s">
        <v>716</v>
      </c>
      <c r="F535" s="727" t="s">
        <v>716</v>
      </c>
      <c r="G535" s="728" t="s">
        <v>717</v>
      </c>
      <c r="H535" s="727"/>
      <c r="I535" s="727" t="s">
        <v>18</v>
      </c>
      <c r="J535" s="727" t="s">
        <v>730</v>
      </c>
      <c r="K535" s="729">
        <v>471510</v>
      </c>
      <c r="L535" s="728" t="s">
        <v>175</v>
      </c>
      <c r="M535" s="728" t="s">
        <v>176</v>
      </c>
      <c r="N535" s="727"/>
      <c r="O535" s="727"/>
      <c r="P535" s="727"/>
      <c r="Q535" s="727"/>
      <c r="R535" s="730"/>
      <c r="S535" s="727"/>
      <c r="T535" s="728" t="s">
        <v>179</v>
      </c>
    </row>
    <row r="536" ht="34.5">
      <c r="A536" s="728" t="s">
        <v>327</v>
      </c>
      <c r="B536" s="728" t="s">
        <v>328</v>
      </c>
      <c r="C536" s="728" t="s">
        <v>714</v>
      </c>
      <c r="D536" s="728" t="s">
        <v>686</v>
      </c>
      <c r="E536" s="728" t="s">
        <v>716</v>
      </c>
      <c r="F536" s="727" t="s">
        <v>716</v>
      </c>
      <c r="G536" s="728" t="s">
        <v>717</v>
      </c>
      <c r="H536" s="727"/>
      <c r="I536" s="727" t="s">
        <v>18</v>
      </c>
      <c r="J536" s="727" t="s">
        <v>731</v>
      </c>
      <c r="K536" s="729">
        <v>348760</v>
      </c>
      <c r="L536" s="728" t="s">
        <v>175</v>
      </c>
      <c r="M536" s="728" t="s">
        <v>176</v>
      </c>
      <c r="N536" s="727"/>
      <c r="O536" s="727"/>
      <c r="P536" s="727"/>
      <c r="Q536" s="727"/>
      <c r="R536" s="730"/>
      <c r="S536" s="727"/>
      <c r="T536" s="728" t="s">
        <v>179</v>
      </c>
    </row>
    <row r="537" ht="34.5">
      <c r="A537" s="728" t="s">
        <v>327</v>
      </c>
      <c r="B537" s="728" t="s">
        <v>328</v>
      </c>
      <c r="C537" s="728" t="s">
        <v>714</v>
      </c>
      <c r="D537" s="728" t="s">
        <v>686</v>
      </c>
      <c r="E537" s="728" t="s">
        <v>716</v>
      </c>
      <c r="F537" s="727" t="s">
        <v>716</v>
      </c>
      <c r="G537" s="728" t="s">
        <v>717</v>
      </c>
      <c r="H537" s="727"/>
      <c r="I537" s="727" t="s">
        <v>18</v>
      </c>
      <c r="J537" s="727" t="s">
        <v>733</v>
      </c>
      <c r="K537" s="729">
        <v>820324</v>
      </c>
      <c r="L537" s="728" t="s">
        <v>175</v>
      </c>
      <c r="M537" s="728" t="s">
        <v>176</v>
      </c>
      <c r="N537" s="727"/>
      <c r="O537" s="727"/>
      <c r="P537" s="727"/>
      <c r="Q537" s="727"/>
      <c r="R537" s="730"/>
      <c r="S537" s="727"/>
      <c r="T537" s="728" t="s">
        <v>179</v>
      </c>
    </row>
    <row r="538" ht="34.5">
      <c r="A538" s="728" t="s">
        <v>327</v>
      </c>
      <c r="B538" s="728" t="s">
        <v>328</v>
      </c>
      <c r="C538" s="728" t="s">
        <v>714</v>
      </c>
      <c r="D538" s="728" t="s">
        <v>686</v>
      </c>
      <c r="E538" s="728" t="s">
        <v>716</v>
      </c>
      <c r="F538" s="727" t="s">
        <v>716</v>
      </c>
      <c r="G538" s="728" t="s">
        <v>717</v>
      </c>
      <c r="H538" s="727"/>
      <c r="I538" s="727" t="s">
        <v>18</v>
      </c>
      <c r="J538" s="727" t="s">
        <v>734</v>
      </c>
      <c r="K538" s="729">
        <v>245254</v>
      </c>
      <c r="L538" s="728" t="s">
        <v>175</v>
      </c>
      <c r="M538" s="728" t="s">
        <v>176</v>
      </c>
      <c r="N538" s="727"/>
      <c r="O538" s="727"/>
      <c r="P538" s="727"/>
      <c r="Q538" s="727"/>
      <c r="R538" s="730"/>
      <c r="S538" s="727"/>
      <c r="T538" s="728" t="s">
        <v>179</v>
      </c>
    </row>
    <row r="539" ht="34.5">
      <c r="A539" s="728" t="s">
        <v>327</v>
      </c>
      <c r="B539" s="728" t="s">
        <v>328</v>
      </c>
      <c r="C539" s="728" t="s">
        <v>714</v>
      </c>
      <c r="D539" s="728" t="s">
        <v>686</v>
      </c>
      <c r="E539" s="728" t="s">
        <v>716</v>
      </c>
      <c r="F539" s="727" t="s">
        <v>716</v>
      </c>
      <c r="G539" s="728" t="s">
        <v>717</v>
      </c>
      <c r="H539" s="727"/>
      <c r="I539" s="727" t="s">
        <v>18</v>
      </c>
      <c r="J539" s="727" t="s">
        <v>728</v>
      </c>
      <c r="K539" s="729">
        <v>1290000</v>
      </c>
      <c r="L539" s="728" t="s">
        <v>175</v>
      </c>
      <c r="M539" s="728" t="s">
        <v>176</v>
      </c>
      <c r="N539" s="727"/>
      <c r="O539" s="727"/>
      <c r="P539" s="727"/>
      <c r="Q539" s="727"/>
      <c r="R539" s="730"/>
      <c r="S539" s="727"/>
      <c r="T539" s="728" t="s">
        <v>179</v>
      </c>
    </row>
    <row r="540" ht="34.5">
      <c r="A540" s="728" t="s">
        <v>327</v>
      </c>
      <c r="B540" s="728" t="s">
        <v>328</v>
      </c>
      <c r="C540" s="728" t="s">
        <v>714</v>
      </c>
      <c r="D540" s="728" t="s">
        <v>686</v>
      </c>
      <c r="E540" s="728" t="s">
        <v>716</v>
      </c>
      <c r="F540" s="727" t="s">
        <v>716</v>
      </c>
      <c r="G540" s="728" t="s">
        <v>717</v>
      </c>
      <c r="H540" s="727"/>
      <c r="I540" s="727" t="s">
        <v>18</v>
      </c>
      <c r="J540" s="727" t="s">
        <v>732</v>
      </c>
      <c r="K540" s="729">
        <v>201989</v>
      </c>
      <c r="L540" s="728" t="s">
        <v>175</v>
      </c>
      <c r="M540" s="728" t="s">
        <v>176</v>
      </c>
      <c r="N540" s="727"/>
      <c r="O540" s="727"/>
      <c r="P540" s="727"/>
      <c r="Q540" s="727"/>
      <c r="R540" s="730"/>
      <c r="S540" s="727"/>
      <c r="T540" s="728" t="s">
        <v>179</v>
      </c>
    </row>
    <row r="541" ht="34.5">
      <c r="A541" s="728" t="s">
        <v>327</v>
      </c>
      <c r="B541" s="728" t="s">
        <v>328</v>
      </c>
      <c r="C541" s="728" t="s">
        <v>714</v>
      </c>
      <c r="D541" s="728" t="s">
        <v>686</v>
      </c>
      <c r="E541" s="728" t="s">
        <v>716</v>
      </c>
      <c r="F541" s="727" t="s">
        <v>716</v>
      </c>
      <c r="G541" s="728" t="s">
        <v>717</v>
      </c>
      <c r="H541" s="727"/>
      <c r="I541" s="727" t="s">
        <v>18</v>
      </c>
      <c r="J541" s="727" t="s">
        <v>735</v>
      </c>
      <c r="K541" s="729">
        <v>50481</v>
      </c>
      <c r="L541" s="728" t="s">
        <v>175</v>
      </c>
      <c r="M541" s="728" t="s">
        <v>176</v>
      </c>
      <c r="N541" s="727"/>
      <c r="O541" s="727"/>
      <c r="P541" s="727"/>
      <c r="Q541" s="727"/>
      <c r="R541" s="730"/>
      <c r="S541" s="727"/>
      <c r="T541" s="728" t="s">
        <v>179</v>
      </c>
    </row>
    <row r="542" ht="34.5">
      <c r="A542" s="728" t="s">
        <v>327</v>
      </c>
      <c r="B542" s="728" t="s">
        <v>328</v>
      </c>
      <c r="C542" s="728" t="s">
        <v>714</v>
      </c>
      <c r="D542" s="728" t="s">
        <v>686</v>
      </c>
      <c r="E542" s="728" t="s">
        <v>716</v>
      </c>
      <c r="F542" s="727" t="s">
        <v>716</v>
      </c>
      <c r="G542" s="728" t="s">
        <v>717</v>
      </c>
      <c r="H542" s="727"/>
      <c r="I542" s="727" t="s">
        <v>18</v>
      </c>
      <c r="J542" s="727" t="s">
        <v>736</v>
      </c>
      <c r="K542" s="729">
        <v>15388</v>
      </c>
      <c r="L542" s="728" t="s">
        <v>175</v>
      </c>
      <c r="M542" s="728" t="s">
        <v>176</v>
      </c>
      <c r="N542" s="727"/>
      <c r="O542" s="727"/>
      <c r="P542" s="727"/>
      <c r="Q542" s="727"/>
      <c r="R542" s="730"/>
      <c r="S542" s="727"/>
      <c r="T542" s="728" t="s">
        <v>179</v>
      </c>
    </row>
    <row r="543" ht="34.5">
      <c r="A543" s="728" t="s">
        <v>327</v>
      </c>
      <c r="B543" s="728" t="s">
        <v>328</v>
      </c>
      <c r="C543" s="728" t="s">
        <v>714</v>
      </c>
      <c r="D543" s="728" t="s">
        <v>686</v>
      </c>
      <c r="E543" s="728" t="s">
        <v>716</v>
      </c>
      <c r="F543" s="727" t="s">
        <v>716</v>
      </c>
      <c r="G543" s="728" t="s">
        <v>717</v>
      </c>
      <c r="H543" s="727"/>
      <c r="I543" s="727" t="s">
        <v>18</v>
      </c>
      <c r="J543" s="727" t="s">
        <v>737</v>
      </c>
      <c r="K543" s="729">
        <v>26929</v>
      </c>
      <c r="L543" s="728" t="s">
        <v>175</v>
      </c>
      <c r="M543" s="728" t="s">
        <v>176</v>
      </c>
      <c r="N543" s="727"/>
      <c r="O543" s="727"/>
      <c r="P543" s="727"/>
      <c r="Q543" s="727"/>
      <c r="R543" s="730"/>
      <c r="S543" s="727"/>
      <c r="T543" s="728" t="s">
        <v>179</v>
      </c>
    </row>
    <row r="544" ht="34.5">
      <c r="A544" s="728" t="s">
        <v>327</v>
      </c>
      <c r="B544" s="728" t="s">
        <v>328</v>
      </c>
      <c r="C544" s="728" t="s">
        <v>714</v>
      </c>
      <c r="D544" s="728" t="s">
        <v>686</v>
      </c>
      <c r="E544" s="728" t="s">
        <v>716</v>
      </c>
      <c r="F544" s="727" t="s">
        <v>716</v>
      </c>
      <c r="G544" s="728" t="s">
        <v>717</v>
      </c>
      <c r="H544" s="727"/>
      <c r="I544" s="727" t="s">
        <v>18</v>
      </c>
      <c r="J544" s="727" t="s">
        <v>738</v>
      </c>
      <c r="K544" s="729">
        <v>21611</v>
      </c>
      <c r="L544" s="728" t="s">
        <v>175</v>
      </c>
      <c r="M544" s="728" t="s">
        <v>176</v>
      </c>
      <c r="N544" s="727"/>
      <c r="O544" s="727"/>
      <c r="P544" s="727"/>
      <c r="Q544" s="727"/>
      <c r="R544" s="730"/>
      <c r="S544" s="727"/>
      <c r="T544" s="728" t="s">
        <v>179</v>
      </c>
    </row>
    <row r="545" ht="34.5">
      <c r="A545" s="728" t="s">
        <v>327</v>
      </c>
      <c r="B545" s="728" t="s">
        <v>328</v>
      </c>
      <c r="C545" s="728" t="s">
        <v>714</v>
      </c>
      <c r="D545" s="728" t="s">
        <v>686</v>
      </c>
      <c r="E545" s="728" t="s">
        <v>716</v>
      </c>
      <c r="F545" s="727" t="s">
        <v>716</v>
      </c>
      <c r="G545" s="728" t="s">
        <v>717</v>
      </c>
      <c r="H545" s="727"/>
      <c r="I545" s="727" t="s">
        <v>18</v>
      </c>
      <c r="J545" s="727" t="s">
        <v>739</v>
      </c>
      <c r="K545" s="729">
        <v>2708</v>
      </c>
      <c r="L545" s="728" t="s">
        <v>175</v>
      </c>
      <c r="M545" s="728" t="s">
        <v>176</v>
      </c>
      <c r="N545" s="727"/>
      <c r="O545" s="727"/>
      <c r="P545" s="727"/>
      <c r="Q545" s="727"/>
      <c r="R545" s="730"/>
      <c r="S545" s="727"/>
      <c r="T545" s="728" t="s">
        <v>179</v>
      </c>
    </row>
    <row r="546" ht="34.5">
      <c r="A546" s="728" t="s">
        <v>327</v>
      </c>
      <c r="B546" s="728" t="s">
        <v>328</v>
      </c>
      <c r="C546" s="728" t="s">
        <v>714</v>
      </c>
      <c r="D546" s="728" t="s">
        <v>686</v>
      </c>
      <c r="E546" s="728" t="s">
        <v>716</v>
      </c>
      <c r="F546" s="727" t="s">
        <v>716</v>
      </c>
      <c r="G546" s="728" t="s">
        <v>717</v>
      </c>
      <c r="H546" s="727" t="s">
        <v>18</v>
      </c>
      <c r="I546" s="727" t="s">
        <v>18</v>
      </c>
      <c r="J546" s="727" t="s">
        <v>740</v>
      </c>
      <c r="K546" s="729">
        <v>4482435</v>
      </c>
      <c r="L546" s="728" t="s">
        <v>175</v>
      </c>
      <c r="M546" s="728" t="s">
        <v>176</v>
      </c>
      <c r="N546" s="727"/>
      <c r="O546" s="727"/>
      <c r="P546" s="727"/>
      <c r="Q546" s="727"/>
      <c r="R546" s="730" t="s">
        <v>750</v>
      </c>
      <c r="S546" s="727" t="s">
        <v>332</v>
      </c>
      <c r="T546" s="728" t="s">
        <v>179</v>
      </c>
    </row>
    <row r="547" ht="34.5">
      <c r="A547" s="728" t="s">
        <v>327</v>
      </c>
      <c r="B547" s="728" t="s">
        <v>328</v>
      </c>
      <c r="C547" s="728" t="s">
        <v>714</v>
      </c>
      <c r="D547" s="728" t="s">
        <v>686</v>
      </c>
      <c r="E547" s="728" t="s">
        <v>716</v>
      </c>
      <c r="F547" s="727" t="s">
        <v>716</v>
      </c>
      <c r="G547" s="728" t="s">
        <v>717</v>
      </c>
      <c r="H547" s="727"/>
      <c r="I547" s="727" t="s">
        <v>742</v>
      </c>
      <c r="J547" s="727" t="s">
        <v>743</v>
      </c>
      <c r="K547" s="729">
        <v>30056306</v>
      </c>
      <c r="L547" s="728" t="s">
        <v>175</v>
      </c>
      <c r="M547" s="728" t="s">
        <v>176</v>
      </c>
      <c r="N547" s="727"/>
      <c r="O547" s="727"/>
      <c r="P547" s="727"/>
      <c r="Q547" s="727"/>
      <c r="R547" s="730"/>
      <c r="S547" s="727" t="s">
        <v>744</v>
      </c>
      <c r="T547" s="728" t="s">
        <v>179</v>
      </c>
    </row>
    <row r="548" ht="34.5">
      <c r="A548" s="728" t="s">
        <v>333</v>
      </c>
      <c r="B548" s="728" t="s">
        <v>334</v>
      </c>
      <c r="C548" s="728" t="s">
        <v>714</v>
      </c>
      <c r="D548" s="728" t="s">
        <v>715</v>
      </c>
      <c r="E548" s="728" t="s">
        <v>716</v>
      </c>
      <c r="F548" s="727" t="s">
        <v>716</v>
      </c>
      <c r="G548" s="728" t="s">
        <v>717</v>
      </c>
      <c r="H548" s="727"/>
      <c r="I548" s="727" t="s">
        <v>16</v>
      </c>
      <c r="J548" s="727" t="s">
        <v>402</v>
      </c>
      <c r="K548" s="729">
        <v>13936348</v>
      </c>
      <c r="L548" s="728" t="s">
        <v>175</v>
      </c>
      <c r="M548" s="728" t="s">
        <v>176</v>
      </c>
      <c r="N548" s="727"/>
      <c r="O548" s="727"/>
      <c r="P548" s="727"/>
      <c r="Q548" s="727"/>
      <c r="R548" s="730"/>
      <c r="S548" s="727"/>
      <c r="T548" s="728" t="s">
        <v>179</v>
      </c>
    </row>
    <row r="549" ht="34.5">
      <c r="A549" s="728" t="s">
        <v>333</v>
      </c>
      <c r="B549" s="728" t="s">
        <v>334</v>
      </c>
      <c r="C549" s="728" t="s">
        <v>714</v>
      </c>
      <c r="D549" s="728" t="s">
        <v>715</v>
      </c>
      <c r="E549" s="728" t="s">
        <v>716</v>
      </c>
      <c r="F549" s="727" t="s">
        <v>716</v>
      </c>
      <c r="G549" s="728" t="s">
        <v>717</v>
      </c>
      <c r="H549" s="727"/>
      <c r="I549" s="727" t="s">
        <v>16</v>
      </c>
      <c r="J549" s="727" t="s">
        <v>719</v>
      </c>
      <c r="K549" s="729">
        <v>6278353</v>
      </c>
      <c r="L549" s="728" t="s">
        <v>175</v>
      </c>
      <c r="M549" s="728" t="s">
        <v>176</v>
      </c>
      <c r="N549" s="727"/>
      <c r="O549" s="727"/>
      <c r="P549" s="727"/>
      <c r="Q549" s="727"/>
      <c r="R549" s="730"/>
      <c r="S549" s="727"/>
      <c r="T549" s="728" t="s">
        <v>179</v>
      </c>
    </row>
    <row r="550" ht="34.5">
      <c r="A550" s="728" t="s">
        <v>333</v>
      </c>
      <c r="B550" s="728" t="s">
        <v>334</v>
      </c>
      <c r="C550" s="728" t="s">
        <v>714</v>
      </c>
      <c r="D550" s="728" t="s">
        <v>715</v>
      </c>
      <c r="E550" s="728" t="s">
        <v>716</v>
      </c>
      <c r="F550" s="727" t="s">
        <v>716</v>
      </c>
      <c r="G550" s="728" t="s">
        <v>717</v>
      </c>
      <c r="H550" s="727"/>
      <c r="I550" s="727" t="s">
        <v>16</v>
      </c>
      <c r="J550" s="727" t="s">
        <v>751</v>
      </c>
      <c r="K550" s="729">
        <v>703317</v>
      </c>
      <c r="L550" s="728" t="s">
        <v>175</v>
      </c>
      <c r="M550" s="728" t="s">
        <v>176</v>
      </c>
      <c r="N550" s="727"/>
      <c r="O550" s="727"/>
      <c r="P550" s="727"/>
      <c r="Q550" s="727"/>
      <c r="R550" s="730"/>
      <c r="S550" s="727"/>
      <c r="T550" s="728" t="s">
        <v>179</v>
      </c>
    </row>
    <row r="551" ht="34.5">
      <c r="A551" s="728" t="s">
        <v>333</v>
      </c>
      <c r="B551" s="728" t="s">
        <v>334</v>
      </c>
      <c r="C551" s="728" t="s">
        <v>714</v>
      </c>
      <c r="D551" s="728" t="s">
        <v>715</v>
      </c>
      <c r="E551" s="728" t="s">
        <v>716</v>
      </c>
      <c r="F551" s="727" t="s">
        <v>716</v>
      </c>
      <c r="G551" s="728" t="s">
        <v>717</v>
      </c>
      <c r="H551" s="727"/>
      <c r="I551" s="727" t="s">
        <v>16</v>
      </c>
      <c r="J551" s="727" t="s">
        <v>722</v>
      </c>
      <c r="K551" s="729">
        <v>611932</v>
      </c>
      <c r="L551" s="728" t="s">
        <v>175</v>
      </c>
      <c r="M551" s="728" t="s">
        <v>176</v>
      </c>
      <c r="N551" s="727"/>
      <c r="O551" s="727"/>
      <c r="P551" s="727"/>
      <c r="Q551" s="727"/>
      <c r="R551" s="730"/>
      <c r="S551" s="727"/>
      <c r="T551" s="728" t="s">
        <v>179</v>
      </c>
    </row>
    <row r="552" ht="34.5">
      <c r="A552" s="728" t="s">
        <v>333</v>
      </c>
      <c r="B552" s="728" t="s">
        <v>334</v>
      </c>
      <c r="C552" s="728" t="s">
        <v>714</v>
      </c>
      <c r="D552" s="728" t="s">
        <v>715</v>
      </c>
      <c r="E552" s="728" t="s">
        <v>716</v>
      </c>
      <c r="F552" s="727" t="s">
        <v>716</v>
      </c>
      <c r="G552" s="728" t="s">
        <v>717</v>
      </c>
      <c r="H552" s="727"/>
      <c r="I552" s="727" t="s">
        <v>16</v>
      </c>
      <c r="J552" s="727" t="s">
        <v>724</v>
      </c>
      <c r="K552" s="729">
        <v>202375</v>
      </c>
      <c r="L552" s="728" t="s">
        <v>175</v>
      </c>
      <c r="M552" s="728" t="s">
        <v>176</v>
      </c>
      <c r="N552" s="727"/>
      <c r="O552" s="727"/>
      <c r="P552" s="727"/>
      <c r="Q552" s="727"/>
      <c r="R552" s="730"/>
      <c r="S552" s="727"/>
      <c r="T552" s="728" t="s">
        <v>179</v>
      </c>
    </row>
    <row r="553" ht="34.5">
      <c r="A553" s="728" t="s">
        <v>333</v>
      </c>
      <c r="B553" s="728" t="s">
        <v>334</v>
      </c>
      <c r="C553" s="728" t="s">
        <v>714</v>
      </c>
      <c r="D553" s="728" t="s">
        <v>715</v>
      </c>
      <c r="E553" s="728" t="s">
        <v>716</v>
      </c>
      <c r="F553" s="727" t="s">
        <v>716</v>
      </c>
      <c r="G553" s="728" t="s">
        <v>717</v>
      </c>
      <c r="H553" s="727"/>
      <c r="I553" s="727" t="s">
        <v>16</v>
      </c>
      <c r="J553" s="727" t="s">
        <v>723</v>
      </c>
      <c r="K553" s="729">
        <v>126528</v>
      </c>
      <c r="L553" s="728" t="s">
        <v>175</v>
      </c>
      <c r="M553" s="728" t="s">
        <v>176</v>
      </c>
      <c r="N553" s="727"/>
      <c r="O553" s="727"/>
      <c r="P553" s="727"/>
      <c r="Q553" s="727"/>
      <c r="R553" s="730"/>
      <c r="S553" s="727"/>
      <c r="T553" s="728" t="s">
        <v>179</v>
      </c>
    </row>
    <row r="554" ht="34.5">
      <c r="A554" s="728" t="s">
        <v>333</v>
      </c>
      <c r="B554" s="728" t="s">
        <v>334</v>
      </c>
      <c r="C554" s="728" t="s">
        <v>714</v>
      </c>
      <c r="D554" s="728" t="s">
        <v>715</v>
      </c>
      <c r="E554" s="728" t="s">
        <v>716</v>
      </c>
      <c r="F554" s="727" t="s">
        <v>716</v>
      </c>
      <c r="G554" s="728" t="s">
        <v>717</v>
      </c>
      <c r="H554" s="727" t="s">
        <v>16</v>
      </c>
      <c r="I554" s="727" t="s">
        <v>16</v>
      </c>
      <c r="J554" s="727" t="s">
        <v>726</v>
      </c>
      <c r="K554" s="729">
        <v>21858853</v>
      </c>
      <c r="L554" s="728" t="s">
        <v>175</v>
      </c>
      <c r="M554" s="728" t="s">
        <v>176</v>
      </c>
      <c r="N554" s="727"/>
      <c r="O554" s="727"/>
      <c r="P554" s="727"/>
      <c r="Q554" s="727"/>
      <c r="R554" s="730" t="s">
        <v>752</v>
      </c>
      <c r="S554" s="727" t="s">
        <v>753</v>
      </c>
      <c r="T554" s="728" t="s">
        <v>179</v>
      </c>
    </row>
    <row r="555" ht="34.5">
      <c r="A555" s="728" t="s">
        <v>333</v>
      </c>
      <c r="B555" s="728" t="s">
        <v>334</v>
      </c>
      <c r="C555" s="728" t="s">
        <v>714</v>
      </c>
      <c r="D555" s="728" t="s">
        <v>715</v>
      </c>
      <c r="E555" s="728" t="s">
        <v>716</v>
      </c>
      <c r="F555" s="727" t="s">
        <v>716</v>
      </c>
      <c r="G555" s="728" t="s">
        <v>717</v>
      </c>
      <c r="H555" s="727"/>
      <c r="I555" s="727" t="s">
        <v>18</v>
      </c>
      <c r="J555" s="727" t="s">
        <v>729</v>
      </c>
      <c r="K555" s="729">
        <v>905626</v>
      </c>
      <c r="L555" s="728" t="s">
        <v>175</v>
      </c>
      <c r="M555" s="728" t="s">
        <v>176</v>
      </c>
      <c r="N555" s="727"/>
      <c r="O555" s="727"/>
      <c r="P555" s="727"/>
      <c r="Q555" s="727"/>
      <c r="R555" s="730"/>
      <c r="S555" s="727"/>
      <c r="T555" s="728" t="s">
        <v>179</v>
      </c>
    </row>
    <row r="556" ht="34.5">
      <c r="A556" s="728" t="s">
        <v>333</v>
      </c>
      <c r="B556" s="728" t="s">
        <v>334</v>
      </c>
      <c r="C556" s="728" t="s">
        <v>714</v>
      </c>
      <c r="D556" s="728" t="s">
        <v>715</v>
      </c>
      <c r="E556" s="728" t="s">
        <v>716</v>
      </c>
      <c r="F556" s="727" t="s">
        <v>716</v>
      </c>
      <c r="G556" s="728" t="s">
        <v>717</v>
      </c>
      <c r="H556" s="727"/>
      <c r="I556" s="727" t="s">
        <v>18</v>
      </c>
      <c r="J556" s="727" t="s">
        <v>733</v>
      </c>
      <c r="K556" s="729">
        <v>637229</v>
      </c>
      <c r="L556" s="728" t="s">
        <v>175</v>
      </c>
      <c r="M556" s="728" t="s">
        <v>176</v>
      </c>
      <c r="N556" s="727"/>
      <c r="O556" s="727"/>
      <c r="P556" s="727"/>
      <c r="Q556" s="727"/>
      <c r="R556" s="730"/>
      <c r="S556" s="727"/>
      <c r="T556" s="728" t="s">
        <v>179</v>
      </c>
    </row>
    <row r="557" ht="34.5">
      <c r="A557" s="728" t="s">
        <v>333</v>
      </c>
      <c r="B557" s="728" t="s">
        <v>334</v>
      </c>
      <c r="C557" s="728" t="s">
        <v>714</v>
      </c>
      <c r="D557" s="728" t="s">
        <v>715</v>
      </c>
      <c r="E557" s="728" t="s">
        <v>716</v>
      </c>
      <c r="F557" s="727" t="s">
        <v>716</v>
      </c>
      <c r="G557" s="728" t="s">
        <v>717</v>
      </c>
      <c r="H557" s="727"/>
      <c r="I557" s="727" t="s">
        <v>18</v>
      </c>
      <c r="J557" s="727" t="s">
        <v>754</v>
      </c>
      <c r="K557" s="729">
        <v>534132</v>
      </c>
      <c r="L557" s="728" t="s">
        <v>175</v>
      </c>
      <c r="M557" s="728" t="s">
        <v>176</v>
      </c>
      <c r="N557" s="727"/>
      <c r="O557" s="727"/>
      <c r="P557" s="727"/>
      <c r="Q557" s="727"/>
      <c r="R557" s="730"/>
      <c r="S557" s="727"/>
      <c r="T557" s="728" t="s">
        <v>179</v>
      </c>
    </row>
    <row r="558" ht="34.5">
      <c r="A558" s="728" t="s">
        <v>333</v>
      </c>
      <c r="B558" s="728" t="s">
        <v>334</v>
      </c>
      <c r="C558" s="728" t="s">
        <v>714</v>
      </c>
      <c r="D558" s="728" t="s">
        <v>715</v>
      </c>
      <c r="E558" s="728" t="s">
        <v>716</v>
      </c>
      <c r="F558" s="727" t="s">
        <v>716</v>
      </c>
      <c r="G558" s="728" t="s">
        <v>717</v>
      </c>
      <c r="H558" s="727"/>
      <c r="I558" s="727" t="s">
        <v>18</v>
      </c>
      <c r="J558" s="727" t="s">
        <v>731</v>
      </c>
      <c r="K558" s="729">
        <v>382672</v>
      </c>
      <c r="L558" s="728" t="s">
        <v>175</v>
      </c>
      <c r="M558" s="728" t="s">
        <v>176</v>
      </c>
      <c r="N558" s="727"/>
      <c r="O558" s="727"/>
      <c r="P558" s="727"/>
      <c r="Q558" s="727"/>
      <c r="R558" s="730"/>
      <c r="S558" s="727"/>
      <c r="T558" s="728" t="s">
        <v>179</v>
      </c>
    </row>
    <row r="559" ht="34.5">
      <c r="A559" s="728" t="s">
        <v>333</v>
      </c>
      <c r="B559" s="728" t="s">
        <v>334</v>
      </c>
      <c r="C559" s="728" t="s">
        <v>714</v>
      </c>
      <c r="D559" s="728" t="s">
        <v>715</v>
      </c>
      <c r="E559" s="728" t="s">
        <v>716</v>
      </c>
      <c r="F559" s="727" t="s">
        <v>716</v>
      </c>
      <c r="G559" s="728" t="s">
        <v>717</v>
      </c>
      <c r="H559" s="727"/>
      <c r="I559" s="727" t="s">
        <v>18</v>
      </c>
      <c r="J559" s="727" t="s">
        <v>728</v>
      </c>
      <c r="K559" s="729">
        <v>322500</v>
      </c>
      <c r="L559" s="728" t="s">
        <v>175</v>
      </c>
      <c r="M559" s="728" t="s">
        <v>176</v>
      </c>
      <c r="N559" s="727"/>
      <c r="O559" s="727"/>
      <c r="P559" s="727"/>
      <c r="Q559" s="727"/>
      <c r="R559" s="730"/>
      <c r="S559" s="727"/>
      <c r="T559" s="728" t="s">
        <v>179</v>
      </c>
    </row>
    <row r="560" ht="34.5">
      <c r="A560" s="728" t="s">
        <v>333</v>
      </c>
      <c r="B560" s="728" t="s">
        <v>334</v>
      </c>
      <c r="C560" s="728" t="s">
        <v>714</v>
      </c>
      <c r="D560" s="728" t="s">
        <v>715</v>
      </c>
      <c r="E560" s="728" t="s">
        <v>716</v>
      </c>
      <c r="F560" s="727" t="s">
        <v>716</v>
      </c>
      <c r="G560" s="728" t="s">
        <v>717</v>
      </c>
      <c r="H560" s="727"/>
      <c r="I560" s="727" t="s">
        <v>18</v>
      </c>
      <c r="J560" s="727" t="s">
        <v>734</v>
      </c>
      <c r="K560" s="729">
        <v>323242</v>
      </c>
      <c r="L560" s="728" t="s">
        <v>175</v>
      </c>
      <c r="M560" s="728" t="s">
        <v>176</v>
      </c>
      <c r="N560" s="727"/>
      <c r="O560" s="727"/>
      <c r="P560" s="727"/>
      <c r="Q560" s="727"/>
      <c r="R560" s="730"/>
      <c r="S560" s="727"/>
      <c r="T560" s="728" t="s">
        <v>179</v>
      </c>
    </row>
    <row r="561" ht="34.5">
      <c r="A561" s="728" t="s">
        <v>333</v>
      </c>
      <c r="B561" s="728" t="s">
        <v>334</v>
      </c>
      <c r="C561" s="728" t="s">
        <v>714</v>
      </c>
      <c r="D561" s="728" t="s">
        <v>715</v>
      </c>
      <c r="E561" s="728" t="s">
        <v>716</v>
      </c>
      <c r="F561" s="727" t="s">
        <v>716</v>
      </c>
      <c r="G561" s="728" t="s">
        <v>717</v>
      </c>
      <c r="H561" s="727"/>
      <c r="I561" s="727" t="s">
        <v>18</v>
      </c>
      <c r="J561" s="727" t="s">
        <v>732</v>
      </c>
      <c r="K561" s="729">
        <v>235616</v>
      </c>
      <c r="L561" s="728" t="s">
        <v>175</v>
      </c>
      <c r="M561" s="728" t="s">
        <v>176</v>
      </c>
      <c r="N561" s="727"/>
      <c r="O561" s="727"/>
      <c r="P561" s="727"/>
      <c r="Q561" s="727"/>
      <c r="R561" s="730"/>
      <c r="S561" s="727"/>
      <c r="T561" s="728" t="s">
        <v>179</v>
      </c>
    </row>
    <row r="562" ht="34.5">
      <c r="A562" s="728" t="s">
        <v>333</v>
      </c>
      <c r="B562" s="728" t="s">
        <v>334</v>
      </c>
      <c r="C562" s="728" t="s">
        <v>714</v>
      </c>
      <c r="D562" s="728" t="s">
        <v>715</v>
      </c>
      <c r="E562" s="728" t="s">
        <v>716</v>
      </c>
      <c r="F562" s="727" t="s">
        <v>716</v>
      </c>
      <c r="G562" s="728" t="s">
        <v>717</v>
      </c>
      <c r="H562" s="727"/>
      <c r="I562" s="727" t="s">
        <v>18</v>
      </c>
      <c r="J562" s="727" t="s">
        <v>738</v>
      </c>
      <c r="K562" s="729">
        <v>25672</v>
      </c>
      <c r="L562" s="728" t="s">
        <v>175</v>
      </c>
      <c r="M562" s="728" t="s">
        <v>176</v>
      </c>
      <c r="N562" s="727"/>
      <c r="O562" s="727"/>
      <c r="P562" s="727"/>
      <c r="Q562" s="727"/>
      <c r="R562" s="730"/>
      <c r="S562" s="727"/>
      <c r="T562" s="728" t="s">
        <v>179</v>
      </c>
    </row>
    <row r="563" ht="34.5">
      <c r="A563" s="728" t="s">
        <v>333</v>
      </c>
      <c r="B563" s="728" t="s">
        <v>334</v>
      </c>
      <c r="C563" s="728" t="s">
        <v>714</v>
      </c>
      <c r="D563" s="728" t="s">
        <v>715</v>
      </c>
      <c r="E563" s="728" t="s">
        <v>716</v>
      </c>
      <c r="F563" s="727" t="s">
        <v>716</v>
      </c>
      <c r="G563" s="728" t="s">
        <v>717</v>
      </c>
      <c r="H563" s="727"/>
      <c r="I563" s="727" t="s">
        <v>18</v>
      </c>
      <c r="J563" s="727" t="s">
        <v>737</v>
      </c>
      <c r="K563" s="729">
        <v>22850</v>
      </c>
      <c r="L563" s="728" t="s">
        <v>175</v>
      </c>
      <c r="M563" s="728" t="s">
        <v>176</v>
      </c>
      <c r="N563" s="727"/>
      <c r="O563" s="727"/>
      <c r="P563" s="727"/>
      <c r="Q563" s="727"/>
      <c r="R563" s="730"/>
      <c r="S563" s="727"/>
      <c r="T563" s="728" t="s">
        <v>179</v>
      </c>
    </row>
    <row r="564" ht="34.5">
      <c r="A564" s="728" t="s">
        <v>333</v>
      </c>
      <c r="B564" s="728" t="s">
        <v>334</v>
      </c>
      <c r="C564" s="728" t="s">
        <v>714</v>
      </c>
      <c r="D564" s="728" t="s">
        <v>715</v>
      </c>
      <c r="E564" s="728" t="s">
        <v>716</v>
      </c>
      <c r="F564" s="727" t="s">
        <v>716</v>
      </c>
      <c r="G564" s="728" t="s">
        <v>717</v>
      </c>
      <c r="H564" s="727"/>
      <c r="I564" s="727" t="s">
        <v>18</v>
      </c>
      <c r="J564" s="727" t="s">
        <v>736</v>
      </c>
      <c r="K564" s="729">
        <v>12717</v>
      </c>
      <c r="L564" s="728" t="s">
        <v>175</v>
      </c>
      <c r="M564" s="728" t="s">
        <v>176</v>
      </c>
      <c r="N564" s="727"/>
      <c r="O564" s="727"/>
      <c r="P564" s="727"/>
      <c r="Q564" s="727"/>
      <c r="R564" s="730"/>
      <c r="S564" s="727"/>
      <c r="T564" s="728" t="s">
        <v>179</v>
      </c>
    </row>
    <row r="565" ht="34.5">
      <c r="A565" s="728" t="s">
        <v>333</v>
      </c>
      <c r="B565" s="728" t="s">
        <v>334</v>
      </c>
      <c r="C565" s="728" t="s">
        <v>714</v>
      </c>
      <c r="D565" s="728" t="s">
        <v>715</v>
      </c>
      <c r="E565" s="728" t="s">
        <v>716</v>
      </c>
      <c r="F565" s="727" t="s">
        <v>716</v>
      </c>
      <c r="G565" s="728" t="s">
        <v>717</v>
      </c>
      <c r="H565" s="727"/>
      <c r="I565" s="727" t="s">
        <v>18</v>
      </c>
      <c r="J565" s="727" t="s">
        <v>739</v>
      </c>
      <c r="K565" s="729">
        <v>3732</v>
      </c>
      <c r="L565" s="728" t="s">
        <v>175</v>
      </c>
      <c r="M565" s="728" t="s">
        <v>176</v>
      </c>
      <c r="N565" s="727"/>
      <c r="O565" s="727"/>
      <c r="P565" s="727"/>
      <c r="Q565" s="727"/>
      <c r="R565" s="730"/>
      <c r="S565" s="727"/>
      <c r="T565" s="728" t="s">
        <v>179</v>
      </c>
    </row>
    <row r="566" ht="34.5">
      <c r="A566" s="728" t="s">
        <v>333</v>
      </c>
      <c r="B566" s="728" t="s">
        <v>334</v>
      </c>
      <c r="C566" s="728" t="s">
        <v>714</v>
      </c>
      <c r="D566" s="728" t="s">
        <v>715</v>
      </c>
      <c r="E566" s="728" t="s">
        <v>716</v>
      </c>
      <c r="F566" s="727" t="s">
        <v>716</v>
      </c>
      <c r="G566" s="728" t="s">
        <v>717</v>
      </c>
      <c r="H566" s="727" t="s">
        <v>18</v>
      </c>
      <c r="I566" s="727" t="s">
        <v>18</v>
      </c>
      <c r="J566" s="727" t="s">
        <v>740</v>
      </c>
      <c r="K566" s="729">
        <v>3405988</v>
      </c>
      <c r="L566" s="728" t="s">
        <v>175</v>
      </c>
      <c r="M566" s="728" t="s">
        <v>176</v>
      </c>
      <c r="N566" s="727"/>
      <c r="O566" s="727"/>
      <c r="P566" s="727"/>
      <c r="Q566" s="727"/>
      <c r="R566" s="730" t="s">
        <v>755</v>
      </c>
      <c r="S566" s="727" t="s">
        <v>756</v>
      </c>
      <c r="T566" s="728" t="s">
        <v>179</v>
      </c>
    </row>
    <row r="567" ht="34.5">
      <c r="A567" s="728" t="s">
        <v>338</v>
      </c>
      <c r="B567" s="728" t="s">
        <v>339</v>
      </c>
      <c r="C567" s="728" t="s">
        <v>645</v>
      </c>
      <c r="D567" s="728" t="s">
        <v>715</v>
      </c>
      <c r="E567" s="728" t="s">
        <v>716</v>
      </c>
      <c r="F567" s="727" t="s">
        <v>716</v>
      </c>
      <c r="G567" s="728" t="s">
        <v>717</v>
      </c>
      <c r="H567" s="727"/>
      <c r="I567" s="727" t="s">
        <v>16</v>
      </c>
      <c r="J567" s="727" t="s">
        <v>402</v>
      </c>
      <c r="K567" s="729">
        <v>13917163</v>
      </c>
      <c r="L567" s="728" t="s">
        <v>175</v>
      </c>
      <c r="M567" s="728" t="s">
        <v>176</v>
      </c>
      <c r="N567" s="727"/>
      <c r="O567" s="727"/>
      <c r="P567" s="727"/>
      <c r="Q567" s="727"/>
      <c r="R567" s="730"/>
      <c r="S567" s="727"/>
      <c r="T567" s="728" t="s">
        <v>179</v>
      </c>
    </row>
    <row r="568" ht="34.5">
      <c r="A568" s="728" t="s">
        <v>338</v>
      </c>
      <c r="B568" s="728" t="s">
        <v>339</v>
      </c>
      <c r="C568" s="728" t="s">
        <v>645</v>
      </c>
      <c r="D568" s="728" t="s">
        <v>715</v>
      </c>
      <c r="E568" s="728" t="s">
        <v>716</v>
      </c>
      <c r="F568" s="727" t="s">
        <v>716</v>
      </c>
      <c r="G568" s="728" t="s">
        <v>717</v>
      </c>
      <c r="H568" s="727"/>
      <c r="I568" s="727" t="s">
        <v>16</v>
      </c>
      <c r="J568" s="727" t="s">
        <v>719</v>
      </c>
      <c r="K568" s="729">
        <v>7292070</v>
      </c>
      <c r="L568" s="728" t="s">
        <v>175</v>
      </c>
      <c r="M568" s="728" t="s">
        <v>176</v>
      </c>
      <c r="N568" s="727"/>
      <c r="O568" s="727"/>
      <c r="P568" s="727"/>
      <c r="Q568" s="727"/>
      <c r="R568" s="730"/>
      <c r="S568" s="727"/>
      <c r="T568" s="728" t="s">
        <v>179</v>
      </c>
    </row>
    <row r="569" ht="34.5">
      <c r="A569" s="728" t="s">
        <v>338</v>
      </c>
      <c r="B569" s="728" t="s">
        <v>339</v>
      </c>
      <c r="C569" s="728" t="s">
        <v>645</v>
      </c>
      <c r="D569" s="728" t="s">
        <v>715</v>
      </c>
      <c r="E569" s="728" t="s">
        <v>716</v>
      </c>
      <c r="F569" s="727" t="s">
        <v>716</v>
      </c>
      <c r="G569" s="728" t="s">
        <v>717</v>
      </c>
      <c r="H569" s="727"/>
      <c r="I569" s="727" t="s">
        <v>16</v>
      </c>
      <c r="J569" s="727" t="s">
        <v>751</v>
      </c>
      <c r="K569" s="729">
        <v>860729</v>
      </c>
      <c r="L569" s="728" t="s">
        <v>175</v>
      </c>
      <c r="M569" s="728" t="s">
        <v>176</v>
      </c>
      <c r="N569" s="727"/>
      <c r="O569" s="727"/>
      <c r="P569" s="727"/>
      <c r="Q569" s="727"/>
      <c r="R569" s="730"/>
      <c r="S569" s="727"/>
      <c r="T569" s="728" t="s">
        <v>179</v>
      </c>
    </row>
    <row r="570" ht="34.5">
      <c r="A570" s="728" t="s">
        <v>338</v>
      </c>
      <c r="B570" s="728" t="s">
        <v>339</v>
      </c>
      <c r="C570" s="728" t="s">
        <v>645</v>
      </c>
      <c r="D570" s="728" t="s">
        <v>715</v>
      </c>
      <c r="E570" s="728" t="s">
        <v>716</v>
      </c>
      <c r="F570" s="727" t="s">
        <v>716</v>
      </c>
      <c r="G570" s="728" t="s">
        <v>717</v>
      </c>
      <c r="H570" s="727"/>
      <c r="I570" s="727" t="s">
        <v>16</v>
      </c>
      <c r="J570" s="727" t="s">
        <v>722</v>
      </c>
      <c r="K570" s="729">
        <v>348505</v>
      </c>
      <c r="L570" s="728" t="s">
        <v>175</v>
      </c>
      <c r="M570" s="728" t="s">
        <v>176</v>
      </c>
      <c r="N570" s="727"/>
      <c r="O570" s="727"/>
      <c r="P570" s="727"/>
      <c r="Q570" s="727"/>
      <c r="R570" s="730"/>
      <c r="S570" s="727"/>
      <c r="T570" s="728" t="s">
        <v>179</v>
      </c>
    </row>
    <row r="571" ht="34.5">
      <c r="A571" s="728" t="s">
        <v>338</v>
      </c>
      <c r="B571" s="728" t="s">
        <v>339</v>
      </c>
      <c r="C571" s="728" t="s">
        <v>645</v>
      </c>
      <c r="D571" s="728" t="s">
        <v>715</v>
      </c>
      <c r="E571" s="728" t="s">
        <v>716</v>
      </c>
      <c r="F571" s="727" t="s">
        <v>716</v>
      </c>
      <c r="G571" s="728" t="s">
        <v>717</v>
      </c>
      <c r="H571" s="727"/>
      <c r="I571" s="727" t="s">
        <v>16</v>
      </c>
      <c r="J571" s="727" t="s">
        <v>724</v>
      </c>
      <c r="K571" s="729">
        <v>215642</v>
      </c>
      <c r="L571" s="728" t="s">
        <v>175</v>
      </c>
      <c r="M571" s="728" t="s">
        <v>176</v>
      </c>
      <c r="N571" s="727"/>
      <c r="O571" s="727"/>
      <c r="P571" s="727"/>
      <c r="Q571" s="727"/>
      <c r="R571" s="730"/>
      <c r="S571" s="727"/>
      <c r="T571" s="728" t="s">
        <v>179</v>
      </c>
    </row>
    <row r="572" ht="34.5">
      <c r="A572" s="728" t="s">
        <v>338</v>
      </c>
      <c r="B572" s="728" t="s">
        <v>339</v>
      </c>
      <c r="C572" s="728" t="s">
        <v>645</v>
      </c>
      <c r="D572" s="728" t="s">
        <v>715</v>
      </c>
      <c r="E572" s="728" t="s">
        <v>716</v>
      </c>
      <c r="F572" s="727" t="s">
        <v>716</v>
      </c>
      <c r="G572" s="728" t="s">
        <v>717</v>
      </c>
      <c r="H572" s="727"/>
      <c r="I572" s="727" t="s">
        <v>16</v>
      </c>
      <c r="J572" s="727" t="s">
        <v>723</v>
      </c>
      <c r="K572" s="729">
        <v>223218</v>
      </c>
      <c r="L572" s="728" t="s">
        <v>175</v>
      </c>
      <c r="M572" s="728" t="s">
        <v>176</v>
      </c>
      <c r="N572" s="727"/>
      <c r="O572" s="727"/>
      <c r="P572" s="727"/>
      <c r="Q572" s="727"/>
      <c r="R572" s="730"/>
      <c r="S572" s="727"/>
      <c r="T572" s="728" t="s">
        <v>179</v>
      </c>
    </row>
    <row r="573" ht="34.5">
      <c r="A573" s="728" t="s">
        <v>338</v>
      </c>
      <c r="B573" s="728" t="s">
        <v>339</v>
      </c>
      <c r="C573" s="728" t="s">
        <v>645</v>
      </c>
      <c r="D573" s="728" t="s">
        <v>715</v>
      </c>
      <c r="E573" s="728" t="s">
        <v>716</v>
      </c>
      <c r="F573" s="727" t="s">
        <v>716</v>
      </c>
      <c r="G573" s="728" t="s">
        <v>717</v>
      </c>
      <c r="H573" s="727" t="s">
        <v>16</v>
      </c>
      <c r="I573" s="727" t="s">
        <v>16</v>
      </c>
      <c r="J573" s="727" t="s">
        <v>726</v>
      </c>
      <c r="K573" s="729">
        <v>22857327</v>
      </c>
      <c r="L573" s="728" t="s">
        <v>175</v>
      </c>
      <c r="M573" s="728" t="s">
        <v>176</v>
      </c>
      <c r="N573" s="727"/>
      <c r="O573" s="727"/>
      <c r="P573" s="727"/>
      <c r="Q573" s="727"/>
      <c r="R573" s="730" t="s">
        <v>757</v>
      </c>
      <c r="S573" s="727" t="s">
        <v>332</v>
      </c>
      <c r="T573" s="728" t="s">
        <v>179</v>
      </c>
    </row>
    <row r="574" ht="34.5">
      <c r="A574" s="728" t="s">
        <v>338</v>
      </c>
      <c r="B574" s="728" t="s">
        <v>339</v>
      </c>
      <c r="C574" s="728" t="s">
        <v>645</v>
      </c>
      <c r="D574" s="728" t="s">
        <v>715</v>
      </c>
      <c r="E574" s="728" t="s">
        <v>716</v>
      </c>
      <c r="F574" s="727" t="s">
        <v>716</v>
      </c>
      <c r="G574" s="728" t="s">
        <v>717</v>
      </c>
      <c r="H574" s="727"/>
      <c r="I574" s="727" t="s">
        <v>18</v>
      </c>
      <c r="J574" s="727" t="s">
        <v>729</v>
      </c>
      <c r="K574" s="729">
        <v>842589</v>
      </c>
      <c r="L574" s="728" t="s">
        <v>175</v>
      </c>
      <c r="M574" s="728" t="s">
        <v>176</v>
      </c>
      <c r="N574" s="727"/>
      <c r="O574" s="727"/>
      <c r="P574" s="727"/>
      <c r="Q574" s="727"/>
      <c r="R574" s="730"/>
      <c r="S574" s="727"/>
      <c r="T574" s="728" t="s">
        <v>179</v>
      </c>
    </row>
    <row r="575" ht="34.5">
      <c r="A575" s="728" t="s">
        <v>338</v>
      </c>
      <c r="B575" s="728" t="s">
        <v>339</v>
      </c>
      <c r="C575" s="728" t="s">
        <v>645</v>
      </c>
      <c r="D575" s="728" t="s">
        <v>715</v>
      </c>
      <c r="E575" s="728" t="s">
        <v>716</v>
      </c>
      <c r="F575" s="727" t="s">
        <v>716</v>
      </c>
      <c r="G575" s="728" t="s">
        <v>717</v>
      </c>
      <c r="H575" s="727"/>
      <c r="I575" s="727" t="s">
        <v>18</v>
      </c>
      <c r="J575" s="727" t="s">
        <v>733</v>
      </c>
      <c r="K575" s="729">
        <v>512088</v>
      </c>
      <c r="L575" s="728" t="s">
        <v>175</v>
      </c>
      <c r="M575" s="728" t="s">
        <v>176</v>
      </c>
      <c r="N575" s="727"/>
      <c r="O575" s="727"/>
      <c r="P575" s="727"/>
      <c r="Q575" s="727"/>
      <c r="R575" s="730"/>
      <c r="S575" s="727"/>
      <c r="T575" s="728" t="s">
        <v>179</v>
      </c>
    </row>
    <row r="576" ht="34.5">
      <c r="A576" s="728" t="s">
        <v>338</v>
      </c>
      <c r="B576" s="728" t="s">
        <v>339</v>
      </c>
      <c r="C576" s="728" t="s">
        <v>645</v>
      </c>
      <c r="D576" s="728" t="s">
        <v>715</v>
      </c>
      <c r="E576" s="728" t="s">
        <v>716</v>
      </c>
      <c r="F576" s="727" t="s">
        <v>716</v>
      </c>
      <c r="G576" s="728" t="s">
        <v>717</v>
      </c>
      <c r="H576" s="727"/>
      <c r="I576" s="727" t="s">
        <v>18</v>
      </c>
      <c r="J576" s="727" t="s">
        <v>754</v>
      </c>
      <c r="K576" s="729">
        <v>569159</v>
      </c>
      <c r="L576" s="728" t="s">
        <v>175</v>
      </c>
      <c r="M576" s="728" t="s">
        <v>176</v>
      </c>
      <c r="N576" s="727"/>
      <c r="O576" s="727"/>
      <c r="P576" s="727"/>
      <c r="Q576" s="727"/>
      <c r="R576" s="730"/>
      <c r="S576" s="727"/>
      <c r="T576" s="728" t="s">
        <v>179</v>
      </c>
    </row>
    <row r="577" ht="34.5">
      <c r="A577" s="728" t="s">
        <v>338</v>
      </c>
      <c r="B577" s="728" t="s">
        <v>339</v>
      </c>
      <c r="C577" s="728" t="s">
        <v>645</v>
      </c>
      <c r="D577" s="728" t="s">
        <v>715</v>
      </c>
      <c r="E577" s="728" t="s">
        <v>716</v>
      </c>
      <c r="F577" s="727" t="s">
        <v>716</v>
      </c>
      <c r="G577" s="728" t="s">
        <v>717</v>
      </c>
      <c r="H577" s="727"/>
      <c r="I577" s="727" t="s">
        <v>18</v>
      </c>
      <c r="J577" s="727" t="s">
        <v>731</v>
      </c>
      <c r="K577" s="729">
        <v>453465</v>
      </c>
      <c r="L577" s="728" t="s">
        <v>175</v>
      </c>
      <c r="M577" s="728" t="s">
        <v>176</v>
      </c>
      <c r="N577" s="727"/>
      <c r="O577" s="727"/>
      <c r="P577" s="727"/>
      <c r="Q577" s="727"/>
      <c r="R577" s="730"/>
      <c r="S577" s="727"/>
      <c r="T577" s="728" t="s">
        <v>179</v>
      </c>
    </row>
    <row r="578" ht="34.5">
      <c r="A578" s="728" t="s">
        <v>338</v>
      </c>
      <c r="B578" s="728" t="s">
        <v>339</v>
      </c>
      <c r="C578" s="728" t="s">
        <v>645</v>
      </c>
      <c r="D578" s="728" t="s">
        <v>715</v>
      </c>
      <c r="E578" s="728" t="s">
        <v>716</v>
      </c>
      <c r="F578" s="727" t="s">
        <v>716</v>
      </c>
      <c r="G578" s="728" t="s">
        <v>717</v>
      </c>
      <c r="H578" s="727"/>
      <c r="I578" s="727" t="s">
        <v>18</v>
      </c>
      <c r="J578" s="727" t="s">
        <v>728</v>
      </c>
      <c r="K578" s="729">
        <v>322500</v>
      </c>
      <c r="L578" s="728" t="s">
        <v>175</v>
      </c>
      <c r="M578" s="728" t="s">
        <v>176</v>
      </c>
      <c r="N578" s="727"/>
      <c r="O578" s="727"/>
      <c r="P578" s="727"/>
      <c r="Q578" s="727"/>
      <c r="R578" s="730"/>
      <c r="S578" s="727"/>
      <c r="T578" s="728" t="s">
        <v>179</v>
      </c>
    </row>
    <row r="579" ht="34.5">
      <c r="A579" s="728" t="s">
        <v>338</v>
      </c>
      <c r="B579" s="728" t="s">
        <v>339</v>
      </c>
      <c r="C579" s="728" t="s">
        <v>645</v>
      </c>
      <c r="D579" s="728" t="s">
        <v>715</v>
      </c>
      <c r="E579" s="728" t="s">
        <v>716</v>
      </c>
      <c r="F579" s="727" t="s">
        <v>716</v>
      </c>
      <c r="G579" s="728" t="s">
        <v>717</v>
      </c>
      <c r="H579" s="727"/>
      <c r="I579" s="727" t="s">
        <v>18</v>
      </c>
      <c r="J579" s="727" t="s">
        <v>734</v>
      </c>
      <c r="K579" s="729">
        <v>355636</v>
      </c>
      <c r="L579" s="728" t="s">
        <v>175</v>
      </c>
      <c r="M579" s="728" t="s">
        <v>176</v>
      </c>
      <c r="N579" s="727"/>
      <c r="O579" s="727"/>
      <c r="P579" s="727"/>
      <c r="Q579" s="727"/>
      <c r="R579" s="730"/>
      <c r="S579" s="727"/>
      <c r="T579" s="728" t="s">
        <v>179</v>
      </c>
    </row>
    <row r="580" ht="34.5">
      <c r="A580" s="728" t="s">
        <v>338</v>
      </c>
      <c r="B580" s="728" t="s">
        <v>339</v>
      </c>
      <c r="C580" s="728" t="s">
        <v>645</v>
      </c>
      <c r="D580" s="728" t="s">
        <v>715</v>
      </c>
      <c r="E580" s="728" t="s">
        <v>716</v>
      </c>
      <c r="F580" s="727" t="s">
        <v>716</v>
      </c>
      <c r="G580" s="728" t="s">
        <v>717</v>
      </c>
      <c r="H580" s="727"/>
      <c r="I580" s="727" t="s">
        <v>18</v>
      </c>
      <c r="J580" s="727" t="s">
        <v>732</v>
      </c>
      <c r="K580" s="729">
        <v>151648</v>
      </c>
      <c r="L580" s="728" t="s">
        <v>175</v>
      </c>
      <c r="M580" s="728" t="s">
        <v>176</v>
      </c>
      <c r="N580" s="727"/>
      <c r="O580" s="727"/>
      <c r="P580" s="727"/>
      <c r="Q580" s="727"/>
      <c r="R580" s="730"/>
      <c r="S580" s="727"/>
      <c r="T580" s="728" t="s">
        <v>179</v>
      </c>
    </row>
    <row r="581" ht="34.5">
      <c r="A581" s="728" t="s">
        <v>338</v>
      </c>
      <c r="B581" s="728" t="s">
        <v>339</v>
      </c>
      <c r="C581" s="728" t="s">
        <v>645</v>
      </c>
      <c r="D581" s="728" t="s">
        <v>715</v>
      </c>
      <c r="E581" s="728" t="s">
        <v>716</v>
      </c>
      <c r="F581" s="727" t="s">
        <v>716</v>
      </c>
      <c r="G581" s="728" t="s">
        <v>717</v>
      </c>
      <c r="H581" s="727"/>
      <c r="I581" s="727" t="s">
        <v>18</v>
      </c>
      <c r="J581" s="727" t="s">
        <v>738</v>
      </c>
      <c r="K581" s="729">
        <v>17380</v>
      </c>
      <c r="L581" s="728" t="s">
        <v>175</v>
      </c>
      <c r="M581" s="728" t="s">
        <v>176</v>
      </c>
      <c r="N581" s="727"/>
      <c r="O581" s="727"/>
      <c r="P581" s="727"/>
      <c r="Q581" s="727"/>
      <c r="R581" s="730"/>
      <c r="S581" s="727"/>
      <c r="T581" s="728" t="s">
        <v>179</v>
      </c>
    </row>
    <row r="582" ht="34.5">
      <c r="A582" s="728" t="s">
        <v>338</v>
      </c>
      <c r="B582" s="728" t="s">
        <v>339</v>
      </c>
      <c r="C582" s="728" t="s">
        <v>645</v>
      </c>
      <c r="D582" s="728" t="s">
        <v>715</v>
      </c>
      <c r="E582" s="728" t="s">
        <v>716</v>
      </c>
      <c r="F582" s="727" t="s">
        <v>716</v>
      </c>
      <c r="G582" s="728" t="s">
        <v>717</v>
      </c>
      <c r="H582" s="727"/>
      <c r="I582" s="727" t="s">
        <v>18</v>
      </c>
      <c r="J582" s="727" t="s">
        <v>737</v>
      </c>
      <c r="K582" s="729">
        <v>23706</v>
      </c>
      <c r="L582" s="728" t="s">
        <v>175</v>
      </c>
      <c r="M582" s="728" t="s">
        <v>176</v>
      </c>
      <c r="N582" s="727"/>
      <c r="O582" s="727"/>
      <c r="P582" s="727"/>
      <c r="Q582" s="727"/>
      <c r="R582" s="730"/>
      <c r="S582" s="727"/>
      <c r="T582" s="728" t="s">
        <v>179</v>
      </c>
    </row>
    <row r="583" ht="34.5">
      <c r="A583" s="728" t="s">
        <v>338</v>
      </c>
      <c r="B583" s="728" t="s">
        <v>339</v>
      </c>
      <c r="C583" s="728" t="s">
        <v>645</v>
      </c>
      <c r="D583" s="728" t="s">
        <v>715</v>
      </c>
      <c r="E583" s="728" t="s">
        <v>716</v>
      </c>
      <c r="F583" s="727" t="s">
        <v>716</v>
      </c>
      <c r="G583" s="728" t="s">
        <v>717</v>
      </c>
      <c r="H583" s="727"/>
      <c r="I583" s="727" t="s">
        <v>18</v>
      </c>
      <c r="J583" s="727" t="s">
        <v>736</v>
      </c>
      <c r="K583" s="729">
        <v>14133</v>
      </c>
      <c r="L583" s="728" t="s">
        <v>175</v>
      </c>
      <c r="M583" s="728" t="s">
        <v>176</v>
      </c>
      <c r="N583" s="727"/>
      <c r="O583" s="727"/>
      <c r="P583" s="727"/>
      <c r="Q583" s="727"/>
      <c r="R583" s="730"/>
      <c r="S583" s="727"/>
      <c r="T583" s="728" t="s">
        <v>179</v>
      </c>
    </row>
    <row r="584" ht="34.5">
      <c r="A584" s="728" t="s">
        <v>338</v>
      </c>
      <c r="B584" s="728" t="s">
        <v>339</v>
      </c>
      <c r="C584" s="728" t="s">
        <v>645</v>
      </c>
      <c r="D584" s="728" t="s">
        <v>715</v>
      </c>
      <c r="E584" s="728" t="s">
        <v>716</v>
      </c>
      <c r="F584" s="727" t="s">
        <v>716</v>
      </c>
      <c r="G584" s="728" t="s">
        <v>717</v>
      </c>
      <c r="H584" s="727"/>
      <c r="I584" s="727" t="s">
        <v>18</v>
      </c>
      <c r="J584" s="727" t="s">
        <v>739</v>
      </c>
      <c r="K584" s="729">
        <v>4638</v>
      </c>
      <c r="L584" s="728" t="s">
        <v>175</v>
      </c>
      <c r="M584" s="728" t="s">
        <v>176</v>
      </c>
      <c r="N584" s="727"/>
      <c r="O584" s="727"/>
      <c r="P584" s="727"/>
      <c r="Q584" s="727"/>
      <c r="R584" s="730"/>
      <c r="S584" s="727"/>
      <c r="T584" s="728" t="s">
        <v>179</v>
      </c>
    </row>
    <row r="585" ht="34.5">
      <c r="A585" s="728" t="s">
        <v>338</v>
      </c>
      <c r="B585" s="728" t="s">
        <v>339</v>
      </c>
      <c r="C585" s="728" t="s">
        <v>645</v>
      </c>
      <c r="D585" s="728" t="s">
        <v>715</v>
      </c>
      <c r="E585" s="728" t="s">
        <v>716</v>
      </c>
      <c r="F585" s="727" t="s">
        <v>716</v>
      </c>
      <c r="G585" s="728" t="s">
        <v>717</v>
      </c>
      <c r="H585" s="727" t="s">
        <v>18</v>
      </c>
      <c r="I585" s="727" t="s">
        <v>18</v>
      </c>
      <c r="J585" s="727" t="s">
        <v>740</v>
      </c>
      <c r="K585" s="729">
        <v>3266942</v>
      </c>
      <c r="L585" s="728" t="s">
        <v>175</v>
      </c>
      <c r="M585" s="728" t="s">
        <v>176</v>
      </c>
      <c r="N585" s="727"/>
      <c r="O585" s="727"/>
      <c r="P585" s="727"/>
      <c r="Q585" s="727"/>
      <c r="R585" s="730" t="s">
        <v>758</v>
      </c>
      <c r="S585" s="727" t="s">
        <v>332</v>
      </c>
      <c r="T585" s="728" t="s">
        <v>179</v>
      </c>
    </row>
    <row r="586" ht="34.5">
      <c r="A586" s="728" t="s">
        <v>167</v>
      </c>
      <c r="B586" s="728" t="s">
        <v>168</v>
      </c>
      <c r="C586" s="728" t="s">
        <v>759</v>
      </c>
      <c r="D586" s="728" t="s">
        <v>760</v>
      </c>
      <c r="E586" s="728" t="s">
        <v>716</v>
      </c>
      <c r="F586" s="727" t="s">
        <v>716</v>
      </c>
      <c r="G586" s="728" t="s">
        <v>281</v>
      </c>
      <c r="H586" s="727"/>
      <c r="I586" s="727" t="s">
        <v>761</v>
      </c>
      <c r="J586" s="727" t="s">
        <v>762</v>
      </c>
      <c r="K586" s="729">
        <v>245046</v>
      </c>
      <c r="L586" s="728" t="s">
        <v>175</v>
      </c>
      <c r="M586" s="728" t="s">
        <v>176</v>
      </c>
      <c r="N586" s="727"/>
      <c r="O586" s="727"/>
      <c r="P586" s="727"/>
      <c r="Q586" s="727"/>
      <c r="R586" s="730"/>
      <c r="S586" s="727"/>
      <c r="T586" s="728" t="s">
        <v>179</v>
      </c>
    </row>
    <row r="587" ht="34.5">
      <c r="A587" s="728" t="s">
        <v>167</v>
      </c>
      <c r="B587" s="728" t="s">
        <v>168</v>
      </c>
      <c r="C587" s="728" t="s">
        <v>759</v>
      </c>
      <c r="D587" s="728" t="s">
        <v>760</v>
      </c>
      <c r="E587" s="728" t="s">
        <v>716</v>
      </c>
      <c r="F587" s="727" t="s">
        <v>716</v>
      </c>
      <c r="G587" s="728" t="s">
        <v>281</v>
      </c>
      <c r="H587" s="727"/>
      <c r="I587" s="727" t="s">
        <v>761</v>
      </c>
      <c r="J587" s="727" t="s">
        <v>172</v>
      </c>
      <c r="K587" s="729">
        <v>92638</v>
      </c>
      <c r="L587" s="728" t="s">
        <v>175</v>
      </c>
      <c r="M587" s="728" t="s">
        <v>176</v>
      </c>
      <c r="N587" s="727"/>
      <c r="O587" s="727"/>
      <c r="P587" s="727"/>
      <c r="Q587" s="727"/>
      <c r="R587" s="730"/>
      <c r="S587" s="727"/>
      <c r="T587" s="728" t="s">
        <v>179</v>
      </c>
    </row>
    <row r="588" ht="34.5">
      <c r="A588" s="728" t="s">
        <v>167</v>
      </c>
      <c r="B588" s="728" t="s">
        <v>168</v>
      </c>
      <c r="C588" s="728" t="s">
        <v>759</v>
      </c>
      <c r="D588" s="728" t="s">
        <v>760</v>
      </c>
      <c r="E588" s="728" t="s">
        <v>716</v>
      </c>
      <c r="F588" s="727" t="s">
        <v>716</v>
      </c>
      <c r="G588" s="728" t="s">
        <v>281</v>
      </c>
      <c r="H588" s="727"/>
      <c r="I588" s="727" t="s">
        <v>761</v>
      </c>
      <c r="J588" s="727" t="s">
        <v>763</v>
      </c>
      <c r="K588" s="729">
        <v>41351</v>
      </c>
      <c r="L588" s="728" t="s">
        <v>175</v>
      </c>
      <c r="M588" s="728" t="s">
        <v>176</v>
      </c>
      <c r="N588" s="727"/>
      <c r="O588" s="727"/>
      <c r="P588" s="727"/>
      <c r="Q588" s="727"/>
      <c r="R588" s="730"/>
      <c r="S588" s="727"/>
      <c r="T588" s="728" t="s">
        <v>179</v>
      </c>
    </row>
    <row r="589" ht="34.5">
      <c r="A589" s="728" t="s">
        <v>167</v>
      </c>
      <c r="B589" s="728" t="s">
        <v>168</v>
      </c>
      <c r="C589" s="728" t="s">
        <v>759</v>
      </c>
      <c r="D589" s="728" t="s">
        <v>760</v>
      </c>
      <c r="E589" s="728" t="s">
        <v>716</v>
      </c>
      <c r="F589" s="727" t="s">
        <v>716</v>
      </c>
      <c r="G589" s="728" t="s">
        <v>281</v>
      </c>
      <c r="H589" s="727"/>
      <c r="I589" s="727" t="s">
        <v>761</v>
      </c>
      <c r="J589" s="727" t="s">
        <v>764</v>
      </c>
      <c r="K589" s="729">
        <v>4764</v>
      </c>
      <c r="L589" s="728" t="s">
        <v>175</v>
      </c>
      <c r="M589" s="728" t="s">
        <v>176</v>
      </c>
      <c r="N589" s="727"/>
      <c r="O589" s="727"/>
      <c r="P589" s="727"/>
      <c r="Q589" s="727"/>
      <c r="R589" s="730"/>
      <c r="S589" s="727"/>
      <c r="T589" s="728" t="s">
        <v>179</v>
      </c>
    </row>
    <row r="590" ht="34.5">
      <c r="A590" s="728" t="s">
        <v>167</v>
      </c>
      <c r="B590" s="728" t="s">
        <v>168</v>
      </c>
      <c r="C590" s="728" t="s">
        <v>759</v>
      </c>
      <c r="D590" s="728" t="s">
        <v>760</v>
      </c>
      <c r="E590" s="728" t="s">
        <v>716</v>
      </c>
      <c r="F590" s="727" t="s">
        <v>716</v>
      </c>
      <c r="G590" s="728" t="s">
        <v>281</v>
      </c>
      <c r="H590" s="727"/>
      <c r="I590" s="727" t="s">
        <v>761</v>
      </c>
      <c r="J590" s="727" t="s">
        <v>765</v>
      </c>
      <c r="K590" s="729">
        <v>383799</v>
      </c>
      <c r="L590" s="728" t="s">
        <v>175</v>
      </c>
      <c r="M590" s="728" t="s">
        <v>176</v>
      </c>
      <c r="N590" s="727"/>
      <c r="O590" s="727"/>
      <c r="P590" s="727"/>
      <c r="Q590" s="727"/>
      <c r="R590" s="730"/>
      <c r="S590" s="727" t="s">
        <v>332</v>
      </c>
      <c r="T590" s="728" t="s">
        <v>179</v>
      </c>
    </row>
    <row r="591" ht="34.5">
      <c r="A591" s="728" t="s">
        <v>326</v>
      </c>
      <c r="B591" s="728" t="s">
        <v>168</v>
      </c>
      <c r="C591" s="728" t="s">
        <v>759</v>
      </c>
      <c r="D591" s="728" t="s">
        <v>760</v>
      </c>
      <c r="E591" s="728" t="s">
        <v>716</v>
      </c>
      <c r="F591" s="727" t="s">
        <v>716</v>
      </c>
      <c r="G591" s="728" t="s">
        <v>281</v>
      </c>
      <c r="H591" s="727"/>
      <c r="I591" s="727" t="s">
        <v>761</v>
      </c>
      <c r="J591" s="727" t="s">
        <v>762</v>
      </c>
      <c r="K591" s="729">
        <v>225823</v>
      </c>
      <c r="L591" s="728" t="s">
        <v>175</v>
      </c>
      <c r="M591" s="728" t="s">
        <v>176</v>
      </c>
      <c r="N591" s="727"/>
      <c r="O591" s="727"/>
      <c r="P591" s="727"/>
      <c r="Q591" s="727"/>
      <c r="R591" s="730"/>
      <c r="S591" s="727"/>
      <c r="T591" s="728" t="s">
        <v>179</v>
      </c>
    </row>
    <row r="592" ht="34.5">
      <c r="A592" s="728" t="s">
        <v>326</v>
      </c>
      <c r="B592" s="728" t="s">
        <v>168</v>
      </c>
      <c r="C592" s="728" t="s">
        <v>759</v>
      </c>
      <c r="D592" s="728" t="s">
        <v>760</v>
      </c>
      <c r="E592" s="728" t="s">
        <v>716</v>
      </c>
      <c r="F592" s="727" t="s">
        <v>716</v>
      </c>
      <c r="G592" s="728" t="s">
        <v>281</v>
      </c>
      <c r="H592" s="727"/>
      <c r="I592" s="727" t="s">
        <v>761</v>
      </c>
      <c r="J592" s="727" t="s">
        <v>172</v>
      </c>
      <c r="K592" s="729">
        <v>85617</v>
      </c>
      <c r="L592" s="728" t="s">
        <v>175</v>
      </c>
      <c r="M592" s="728" t="s">
        <v>176</v>
      </c>
      <c r="N592" s="727"/>
      <c r="O592" s="727"/>
      <c r="P592" s="727"/>
      <c r="Q592" s="727"/>
      <c r="R592" s="730"/>
      <c r="S592" s="727"/>
      <c r="T592" s="728" t="s">
        <v>179</v>
      </c>
    </row>
    <row r="593" ht="34.5">
      <c r="A593" s="728" t="s">
        <v>326</v>
      </c>
      <c r="B593" s="728" t="s">
        <v>168</v>
      </c>
      <c r="C593" s="728" t="s">
        <v>759</v>
      </c>
      <c r="D593" s="728" t="s">
        <v>760</v>
      </c>
      <c r="E593" s="728" t="s">
        <v>716</v>
      </c>
      <c r="F593" s="727" t="s">
        <v>716</v>
      </c>
      <c r="G593" s="728" t="s">
        <v>281</v>
      </c>
      <c r="H593" s="727"/>
      <c r="I593" s="727" t="s">
        <v>761</v>
      </c>
      <c r="J593" s="727" t="s">
        <v>763</v>
      </c>
      <c r="K593" s="729">
        <v>36259</v>
      </c>
      <c r="L593" s="728" t="s">
        <v>175</v>
      </c>
      <c r="M593" s="728" t="s">
        <v>176</v>
      </c>
      <c r="N593" s="727"/>
      <c r="O593" s="727"/>
      <c r="P593" s="727"/>
      <c r="Q593" s="727"/>
      <c r="R593" s="730"/>
      <c r="S593" s="727"/>
      <c r="T593" s="728" t="s">
        <v>179</v>
      </c>
    </row>
    <row r="594" ht="34.5">
      <c r="A594" s="728" t="s">
        <v>326</v>
      </c>
      <c r="B594" s="728" t="s">
        <v>168</v>
      </c>
      <c r="C594" s="728" t="s">
        <v>759</v>
      </c>
      <c r="D594" s="728" t="s">
        <v>760</v>
      </c>
      <c r="E594" s="728" t="s">
        <v>716</v>
      </c>
      <c r="F594" s="727" t="s">
        <v>716</v>
      </c>
      <c r="G594" s="728" t="s">
        <v>281</v>
      </c>
      <c r="H594" s="727"/>
      <c r="I594" s="727" t="s">
        <v>761</v>
      </c>
      <c r="J594" s="727" t="s">
        <v>764</v>
      </c>
      <c r="K594" s="729">
        <v>4345</v>
      </c>
      <c r="L594" s="728" t="s">
        <v>175</v>
      </c>
      <c r="M594" s="728" t="s">
        <v>176</v>
      </c>
      <c r="N594" s="727"/>
      <c r="O594" s="727"/>
      <c r="P594" s="727"/>
      <c r="Q594" s="727"/>
      <c r="R594" s="730"/>
      <c r="S594" s="727"/>
      <c r="T594" s="728" t="s">
        <v>179</v>
      </c>
    </row>
    <row r="595" ht="34.5">
      <c r="A595" s="728" t="s">
        <v>326</v>
      </c>
      <c r="B595" s="728" t="s">
        <v>168</v>
      </c>
      <c r="C595" s="728" t="s">
        <v>759</v>
      </c>
      <c r="D595" s="728" t="s">
        <v>760</v>
      </c>
      <c r="E595" s="728" t="s">
        <v>716</v>
      </c>
      <c r="F595" s="727" t="s">
        <v>716</v>
      </c>
      <c r="G595" s="728" t="s">
        <v>281</v>
      </c>
      <c r="H595" s="727"/>
      <c r="I595" s="727" t="s">
        <v>761</v>
      </c>
      <c r="J595" s="727" t="s">
        <v>765</v>
      </c>
      <c r="K595" s="729">
        <v>352044</v>
      </c>
      <c r="L595" s="728" t="s">
        <v>175</v>
      </c>
      <c r="M595" s="728" t="s">
        <v>176</v>
      </c>
      <c r="N595" s="727"/>
      <c r="O595" s="727"/>
      <c r="P595" s="727"/>
      <c r="Q595" s="727"/>
      <c r="R595" s="730"/>
      <c r="S595" s="727" t="s">
        <v>332</v>
      </c>
      <c r="T595" s="728" t="s">
        <v>179</v>
      </c>
    </row>
    <row r="596" ht="34.5">
      <c r="A596" s="728" t="s">
        <v>327</v>
      </c>
      <c r="B596" s="728" t="s">
        <v>328</v>
      </c>
      <c r="C596" s="728" t="s">
        <v>759</v>
      </c>
      <c r="D596" s="728" t="s">
        <v>715</v>
      </c>
      <c r="E596" s="728" t="s">
        <v>716</v>
      </c>
      <c r="F596" s="727" t="s">
        <v>716</v>
      </c>
      <c r="G596" s="728" t="s">
        <v>281</v>
      </c>
      <c r="H596" s="727"/>
      <c r="I596" s="727" t="s">
        <v>761</v>
      </c>
      <c r="J596" s="727" t="s">
        <v>762</v>
      </c>
      <c r="K596" s="729">
        <v>194550</v>
      </c>
      <c r="L596" s="728" t="s">
        <v>175</v>
      </c>
      <c r="M596" s="728" t="s">
        <v>176</v>
      </c>
      <c r="N596" s="727"/>
      <c r="O596" s="727"/>
      <c r="P596" s="727"/>
      <c r="Q596" s="727"/>
      <c r="R596" s="730"/>
      <c r="S596" s="727"/>
      <c r="T596" s="728" t="s">
        <v>179</v>
      </c>
    </row>
    <row r="597" ht="34.5">
      <c r="A597" s="728" t="s">
        <v>327</v>
      </c>
      <c r="B597" s="728" t="s">
        <v>328</v>
      </c>
      <c r="C597" s="728" t="s">
        <v>759</v>
      </c>
      <c r="D597" s="728" t="s">
        <v>715</v>
      </c>
      <c r="E597" s="728" t="s">
        <v>716</v>
      </c>
      <c r="F597" s="727" t="s">
        <v>716</v>
      </c>
      <c r="G597" s="728" t="s">
        <v>281</v>
      </c>
      <c r="H597" s="727"/>
      <c r="I597" s="727" t="s">
        <v>761</v>
      </c>
      <c r="J597" s="727" t="s">
        <v>172</v>
      </c>
      <c r="K597" s="729">
        <v>49759</v>
      </c>
      <c r="L597" s="728" t="s">
        <v>175</v>
      </c>
      <c r="M597" s="728" t="s">
        <v>176</v>
      </c>
      <c r="N597" s="727"/>
      <c r="O597" s="727"/>
      <c r="P597" s="727"/>
      <c r="Q597" s="727"/>
      <c r="R597" s="730"/>
      <c r="S597" s="727"/>
      <c r="T597" s="728" t="s">
        <v>179</v>
      </c>
    </row>
    <row r="598" ht="34.5">
      <c r="A598" s="728" t="s">
        <v>327</v>
      </c>
      <c r="B598" s="728" t="s">
        <v>328</v>
      </c>
      <c r="C598" s="728" t="s">
        <v>759</v>
      </c>
      <c r="D598" s="728" t="s">
        <v>715</v>
      </c>
      <c r="E598" s="728" t="s">
        <v>716</v>
      </c>
      <c r="F598" s="727" t="s">
        <v>716</v>
      </c>
      <c r="G598" s="728" t="s">
        <v>281</v>
      </c>
      <c r="H598" s="727"/>
      <c r="I598" s="727" t="s">
        <v>761</v>
      </c>
      <c r="J598" s="727" t="s">
        <v>763</v>
      </c>
      <c r="K598" s="729">
        <v>26288</v>
      </c>
      <c r="L598" s="728" t="s">
        <v>175</v>
      </c>
      <c r="M598" s="728" t="s">
        <v>176</v>
      </c>
      <c r="N598" s="727"/>
      <c r="O598" s="727"/>
      <c r="P598" s="727"/>
      <c r="Q598" s="727"/>
      <c r="R598" s="730"/>
      <c r="S598" s="727"/>
      <c r="T598" s="728" t="s">
        <v>179</v>
      </c>
    </row>
    <row r="599" ht="34.5">
      <c r="A599" s="728" t="s">
        <v>327</v>
      </c>
      <c r="B599" s="728" t="s">
        <v>328</v>
      </c>
      <c r="C599" s="728" t="s">
        <v>759</v>
      </c>
      <c r="D599" s="728" t="s">
        <v>715</v>
      </c>
      <c r="E599" s="728" t="s">
        <v>716</v>
      </c>
      <c r="F599" s="727" t="s">
        <v>716</v>
      </c>
      <c r="G599" s="728" t="s">
        <v>281</v>
      </c>
      <c r="H599" s="727"/>
      <c r="I599" s="727" t="s">
        <v>761</v>
      </c>
      <c r="J599" s="727" t="s">
        <v>764</v>
      </c>
      <c r="K599" s="729">
        <v>3295</v>
      </c>
      <c r="L599" s="728" t="s">
        <v>175</v>
      </c>
      <c r="M599" s="728" t="s">
        <v>176</v>
      </c>
      <c r="N599" s="727"/>
      <c r="O599" s="727"/>
      <c r="P599" s="727"/>
      <c r="Q599" s="727"/>
      <c r="R599" s="730"/>
      <c r="S599" s="727"/>
      <c r="T599" s="728" t="s">
        <v>179</v>
      </c>
    </row>
    <row r="600" ht="34.5">
      <c r="A600" s="728" t="s">
        <v>327</v>
      </c>
      <c r="B600" s="728" t="s">
        <v>328</v>
      </c>
      <c r="C600" s="728" t="s">
        <v>759</v>
      </c>
      <c r="D600" s="728" t="s">
        <v>715</v>
      </c>
      <c r="E600" s="728" t="s">
        <v>716</v>
      </c>
      <c r="F600" s="727" t="s">
        <v>716</v>
      </c>
      <c r="G600" s="728" t="s">
        <v>281</v>
      </c>
      <c r="H600" s="727"/>
      <c r="I600" s="727" t="s">
        <v>761</v>
      </c>
      <c r="J600" s="727" t="s">
        <v>765</v>
      </c>
      <c r="K600" s="729">
        <v>273892</v>
      </c>
      <c r="L600" s="728" t="s">
        <v>175</v>
      </c>
      <c r="M600" s="728" t="s">
        <v>176</v>
      </c>
      <c r="N600" s="727"/>
      <c r="O600" s="727"/>
      <c r="P600" s="727"/>
      <c r="Q600" s="727"/>
      <c r="R600" s="730"/>
      <c r="S600" s="727" t="s">
        <v>332</v>
      </c>
      <c r="T600" s="728" t="s">
        <v>179</v>
      </c>
    </row>
    <row r="601" ht="34.5">
      <c r="A601" s="728" t="s">
        <v>333</v>
      </c>
      <c r="B601" s="728" t="s">
        <v>334</v>
      </c>
      <c r="C601" s="728" t="s">
        <v>645</v>
      </c>
      <c r="D601" s="728" t="s">
        <v>760</v>
      </c>
      <c r="E601" s="728" t="s">
        <v>716</v>
      </c>
      <c r="F601" s="727" t="s">
        <v>716</v>
      </c>
      <c r="G601" s="728" t="s">
        <v>281</v>
      </c>
      <c r="H601" s="727"/>
      <c r="I601" s="727" t="s">
        <v>761</v>
      </c>
      <c r="J601" s="727" t="s">
        <v>766</v>
      </c>
      <c r="K601" s="729">
        <v>131929</v>
      </c>
      <c r="L601" s="728" t="s">
        <v>175</v>
      </c>
      <c r="M601" s="728" t="s">
        <v>176</v>
      </c>
      <c r="N601" s="727"/>
      <c r="O601" s="727"/>
      <c r="P601" s="727"/>
      <c r="Q601" s="727"/>
      <c r="R601" s="730"/>
      <c r="S601" s="727"/>
      <c r="T601" s="728" t="s">
        <v>179</v>
      </c>
    </row>
    <row r="602" ht="34.5">
      <c r="A602" s="728" t="s">
        <v>333</v>
      </c>
      <c r="B602" s="728" t="s">
        <v>334</v>
      </c>
      <c r="C602" s="728" t="s">
        <v>645</v>
      </c>
      <c r="D602" s="728" t="s">
        <v>760</v>
      </c>
      <c r="E602" s="728" t="s">
        <v>716</v>
      </c>
      <c r="F602" s="727" t="s">
        <v>716</v>
      </c>
      <c r="G602" s="728" t="s">
        <v>281</v>
      </c>
      <c r="H602" s="727"/>
      <c r="I602" s="727" t="s">
        <v>761</v>
      </c>
      <c r="J602" s="727" t="s">
        <v>172</v>
      </c>
      <c r="K602" s="729">
        <v>26064</v>
      </c>
      <c r="L602" s="728" t="s">
        <v>175</v>
      </c>
      <c r="M602" s="728" t="s">
        <v>176</v>
      </c>
      <c r="N602" s="727"/>
      <c r="O602" s="727"/>
      <c r="P602" s="727"/>
      <c r="Q602" s="727"/>
      <c r="R602" s="730"/>
      <c r="S602" s="727"/>
      <c r="T602" s="728" t="s">
        <v>179</v>
      </c>
    </row>
    <row r="603" ht="34.5">
      <c r="A603" s="728" t="s">
        <v>333</v>
      </c>
      <c r="B603" s="728" t="s">
        <v>334</v>
      </c>
      <c r="C603" s="728" t="s">
        <v>645</v>
      </c>
      <c r="D603" s="728" t="s">
        <v>760</v>
      </c>
      <c r="E603" s="728" t="s">
        <v>716</v>
      </c>
      <c r="F603" s="727" t="s">
        <v>716</v>
      </c>
      <c r="G603" s="728" t="s">
        <v>281</v>
      </c>
      <c r="H603" s="727"/>
      <c r="I603" s="727" t="s">
        <v>761</v>
      </c>
      <c r="J603" s="727" t="s">
        <v>767</v>
      </c>
      <c r="K603" s="729">
        <v>25081</v>
      </c>
      <c r="L603" s="728" t="s">
        <v>175</v>
      </c>
      <c r="M603" s="728" t="s">
        <v>176</v>
      </c>
      <c r="N603" s="727"/>
      <c r="O603" s="727"/>
      <c r="P603" s="727"/>
      <c r="Q603" s="727"/>
      <c r="R603" s="730"/>
      <c r="S603" s="727"/>
      <c r="T603" s="728" t="s">
        <v>179</v>
      </c>
    </row>
    <row r="604" ht="34.5">
      <c r="A604" s="728" t="s">
        <v>333</v>
      </c>
      <c r="B604" s="728" t="s">
        <v>334</v>
      </c>
      <c r="C604" s="728" t="s">
        <v>645</v>
      </c>
      <c r="D604" s="728" t="s">
        <v>760</v>
      </c>
      <c r="E604" s="728" t="s">
        <v>716</v>
      </c>
      <c r="F604" s="727" t="s">
        <v>716</v>
      </c>
      <c r="G604" s="728" t="s">
        <v>281</v>
      </c>
      <c r="H604" s="727"/>
      <c r="I604" s="727" t="s">
        <v>761</v>
      </c>
      <c r="J604" s="727" t="s">
        <v>764</v>
      </c>
      <c r="K604" s="729">
        <v>-56547</v>
      </c>
      <c r="L604" s="728" t="s">
        <v>175</v>
      </c>
      <c r="M604" s="728" t="s">
        <v>176</v>
      </c>
      <c r="N604" s="727"/>
      <c r="O604" s="727"/>
      <c r="P604" s="727"/>
      <c r="Q604" s="727"/>
      <c r="R604" s="730"/>
      <c r="S604" s="727"/>
      <c r="T604" s="728" t="s">
        <v>179</v>
      </c>
    </row>
    <row r="605" ht="34.5">
      <c r="A605" s="728" t="s">
        <v>333</v>
      </c>
      <c r="B605" s="728" t="s">
        <v>334</v>
      </c>
      <c r="C605" s="728" t="s">
        <v>645</v>
      </c>
      <c r="D605" s="728" t="s">
        <v>760</v>
      </c>
      <c r="E605" s="728" t="s">
        <v>716</v>
      </c>
      <c r="F605" s="727" t="s">
        <v>716</v>
      </c>
      <c r="G605" s="728" t="s">
        <v>281</v>
      </c>
      <c r="H605" s="727"/>
      <c r="I605" s="727" t="s">
        <v>761</v>
      </c>
      <c r="J605" s="727" t="s">
        <v>765</v>
      </c>
      <c r="K605" s="729">
        <v>126527</v>
      </c>
      <c r="L605" s="728" t="s">
        <v>175</v>
      </c>
      <c r="M605" s="728" t="s">
        <v>176</v>
      </c>
      <c r="N605" s="727"/>
      <c r="O605" s="727"/>
      <c r="P605" s="727"/>
      <c r="Q605" s="727"/>
      <c r="R605" s="730"/>
      <c r="S605" s="727" t="s">
        <v>332</v>
      </c>
      <c r="T605" s="728" t="s">
        <v>179</v>
      </c>
    </row>
    <row r="606" ht="34.5">
      <c r="A606" s="728" t="s">
        <v>338</v>
      </c>
      <c r="B606" s="728" t="s">
        <v>339</v>
      </c>
      <c r="C606" s="728" t="s">
        <v>645</v>
      </c>
      <c r="D606" s="728" t="s">
        <v>760</v>
      </c>
      <c r="E606" s="728" t="s">
        <v>716</v>
      </c>
      <c r="F606" s="727" t="s">
        <v>716</v>
      </c>
      <c r="G606" s="728" t="s">
        <v>281</v>
      </c>
      <c r="H606" s="727"/>
      <c r="I606" s="727" t="s">
        <v>761</v>
      </c>
      <c r="J606" s="727" t="s">
        <v>768</v>
      </c>
      <c r="K606" s="729">
        <v>155837</v>
      </c>
      <c r="L606" s="728" t="s">
        <v>175</v>
      </c>
      <c r="M606" s="728" t="s">
        <v>176</v>
      </c>
      <c r="N606" s="727"/>
      <c r="O606" s="727"/>
      <c r="P606" s="727"/>
      <c r="Q606" s="727"/>
      <c r="R606" s="730"/>
      <c r="S606" s="727"/>
      <c r="T606" s="728" t="s">
        <v>179</v>
      </c>
    </row>
    <row r="607" ht="34.5">
      <c r="A607" s="728" t="s">
        <v>338</v>
      </c>
      <c r="B607" s="728" t="s">
        <v>339</v>
      </c>
      <c r="C607" s="728" t="s">
        <v>645</v>
      </c>
      <c r="D607" s="728" t="s">
        <v>760</v>
      </c>
      <c r="E607" s="728" t="s">
        <v>716</v>
      </c>
      <c r="F607" s="727" t="s">
        <v>716</v>
      </c>
      <c r="G607" s="728" t="s">
        <v>281</v>
      </c>
      <c r="H607" s="727"/>
      <c r="I607" s="727" t="s">
        <v>761</v>
      </c>
      <c r="J607" s="727" t="s">
        <v>172</v>
      </c>
      <c r="K607" s="729">
        <v>39495</v>
      </c>
      <c r="L607" s="728" t="s">
        <v>175</v>
      </c>
      <c r="M607" s="728" t="s">
        <v>176</v>
      </c>
      <c r="N607" s="727"/>
      <c r="O607" s="727"/>
      <c r="P607" s="727"/>
      <c r="Q607" s="727"/>
      <c r="R607" s="730"/>
      <c r="S607" s="727"/>
      <c r="T607" s="728" t="s">
        <v>179</v>
      </c>
    </row>
    <row r="608" ht="34.5">
      <c r="A608" s="728" t="s">
        <v>338</v>
      </c>
      <c r="B608" s="728" t="s">
        <v>339</v>
      </c>
      <c r="C608" s="728" t="s">
        <v>645</v>
      </c>
      <c r="D608" s="728" t="s">
        <v>760</v>
      </c>
      <c r="E608" s="728" t="s">
        <v>716</v>
      </c>
      <c r="F608" s="727" t="s">
        <v>716</v>
      </c>
      <c r="G608" s="728" t="s">
        <v>281</v>
      </c>
      <c r="H608" s="727"/>
      <c r="I608" s="727" t="s">
        <v>761</v>
      </c>
      <c r="J608" s="727" t="s">
        <v>767</v>
      </c>
      <c r="K608" s="729">
        <v>24842</v>
      </c>
      <c r="L608" s="728" t="s">
        <v>175</v>
      </c>
      <c r="M608" s="728" t="s">
        <v>176</v>
      </c>
      <c r="N608" s="727"/>
      <c r="O608" s="727"/>
      <c r="P608" s="727"/>
      <c r="Q608" s="727"/>
      <c r="R608" s="730"/>
      <c r="S608" s="727"/>
      <c r="T608" s="728" t="s">
        <v>179</v>
      </c>
    </row>
    <row r="609" ht="34.5">
      <c r="A609" s="728" t="s">
        <v>338</v>
      </c>
      <c r="B609" s="728" t="s">
        <v>339</v>
      </c>
      <c r="C609" s="728" t="s">
        <v>645</v>
      </c>
      <c r="D609" s="728" t="s">
        <v>760</v>
      </c>
      <c r="E609" s="728" t="s">
        <v>716</v>
      </c>
      <c r="F609" s="727" t="s">
        <v>716</v>
      </c>
      <c r="G609" s="728" t="s">
        <v>281</v>
      </c>
      <c r="H609" s="727"/>
      <c r="I609" s="727" t="s">
        <v>761</v>
      </c>
      <c r="J609" s="727" t="s">
        <v>764</v>
      </c>
      <c r="K609" s="729">
        <v>3044</v>
      </c>
      <c r="L609" s="728" t="s">
        <v>175</v>
      </c>
      <c r="M609" s="728" t="s">
        <v>176</v>
      </c>
      <c r="N609" s="727"/>
      <c r="O609" s="727"/>
      <c r="P609" s="727"/>
      <c r="Q609" s="727"/>
      <c r="R609" s="730"/>
      <c r="S609" s="727"/>
      <c r="T609" s="728" t="s">
        <v>179</v>
      </c>
    </row>
    <row r="610" ht="34.5">
      <c r="A610" s="728" t="s">
        <v>338</v>
      </c>
      <c r="B610" s="728" t="s">
        <v>339</v>
      </c>
      <c r="C610" s="728" t="s">
        <v>645</v>
      </c>
      <c r="D610" s="728" t="s">
        <v>760</v>
      </c>
      <c r="E610" s="728" t="s">
        <v>716</v>
      </c>
      <c r="F610" s="727" t="s">
        <v>716</v>
      </c>
      <c r="G610" s="728" t="s">
        <v>281</v>
      </c>
      <c r="H610" s="727"/>
      <c r="I610" s="727" t="s">
        <v>761</v>
      </c>
      <c r="J610" s="727" t="s">
        <v>765</v>
      </c>
      <c r="K610" s="729">
        <v>223218</v>
      </c>
      <c r="L610" s="728" t="s">
        <v>175</v>
      </c>
      <c r="M610" s="728" t="s">
        <v>176</v>
      </c>
      <c r="N610" s="727"/>
      <c r="O610" s="727"/>
      <c r="P610" s="727"/>
      <c r="Q610" s="727"/>
      <c r="R610" s="730"/>
      <c r="S610" s="727" t="s">
        <v>332</v>
      </c>
      <c r="T610" s="728" t="s">
        <v>179</v>
      </c>
    </row>
    <row r="611" ht="34.5">
      <c r="A611" s="728" t="s">
        <v>167</v>
      </c>
      <c r="B611" s="728" t="s">
        <v>168</v>
      </c>
      <c r="C611" s="728" t="s">
        <v>759</v>
      </c>
      <c r="D611" s="728" t="s">
        <v>170</v>
      </c>
      <c r="E611" s="728" t="s">
        <v>769</v>
      </c>
      <c r="F611" s="727" t="s">
        <v>769</v>
      </c>
      <c r="G611" s="728" t="s">
        <v>180</v>
      </c>
      <c r="H611" s="727"/>
      <c r="I611" s="727" t="s">
        <v>408</v>
      </c>
      <c r="J611" s="727" t="s">
        <v>770</v>
      </c>
      <c r="K611" s="729"/>
      <c r="L611" s="728" t="s">
        <v>175</v>
      </c>
      <c r="M611" s="728" t="s">
        <v>176</v>
      </c>
      <c r="N611" s="727"/>
      <c r="O611" s="727" t="s">
        <v>771</v>
      </c>
      <c r="P611" s="727"/>
      <c r="Q611" s="727"/>
      <c r="R611" s="730"/>
      <c r="S611" s="727"/>
      <c r="T611" s="728" t="s">
        <v>179</v>
      </c>
    </row>
    <row r="612" ht="34.5">
      <c r="A612" s="728" t="s">
        <v>167</v>
      </c>
      <c r="B612" s="728" t="s">
        <v>168</v>
      </c>
      <c r="C612" s="728" t="s">
        <v>759</v>
      </c>
      <c r="D612" s="728" t="s">
        <v>772</v>
      </c>
      <c r="E612" s="728" t="s">
        <v>769</v>
      </c>
      <c r="F612" s="727" t="s">
        <v>769</v>
      </c>
      <c r="G612" s="728" t="s">
        <v>180</v>
      </c>
      <c r="H612" s="727"/>
      <c r="I612" s="727" t="s">
        <v>773</v>
      </c>
      <c r="J612" s="727" t="s">
        <v>774</v>
      </c>
      <c r="K612" s="729">
        <v>445637</v>
      </c>
      <c r="L612" s="728" t="s">
        <v>175</v>
      </c>
      <c r="M612" s="728" t="s">
        <v>176</v>
      </c>
      <c r="N612" s="727"/>
      <c r="O612" s="727"/>
      <c r="P612" s="727"/>
      <c r="Q612" s="727"/>
      <c r="R612" s="730"/>
      <c r="S612" s="727"/>
      <c r="T612" s="728" t="s">
        <v>179</v>
      </c>
    </row>
    <row r="613" ht="34.5">
      <c r="A613" s="728" t="s">
        <v>167</v>
      </c>
      <c r="B613" s="728" t="s">
        <v>168</v>
      </c>
      <c r="C613" s="728" t="s">
        <v>759</v>
      </c>
      <c r="D613" s="728" t="s">
        <v>772</v>
      </c>
      <c r="E613" s="728" t="s">
        <v>769</v>
      </c>
      <c r="F613" s="727" t="s">
        <v>769</v>
      </c>
      <c r="G613" s="728" t="s">
        <v>180</v>
      </c>
      <c r="H613" s="727"/>
      <c r="I613" s="727" t="s">
        <v>773</v>
      </c>
      <c r="J613" s="727" t="s">
        <v>775</v>
      </c>
      <c r="K613" s="729">
        <v>2492069</v>
      </c>
      <c r="L613" s="728" t="s">
        <v>175</v>
      </c>
      <c r="M613" s="728" t="s">
        <v>176</v>
      </c>
      <c r="N613" s="727"/>
      <c r="O613" s="727"/>
      <c r="P613" s="727"/>
      <c r="Q613" s="727" t="s">
        <v>776</v>
      </c>
      <c r="R613" s="730"/>
      <c r="S613" s="727"/>
      <c r="T613" s="728" t="s">
        <v>179</v>
      </c>
    </row>
    <row r="614" ht="34.5">
      <c r="A614" s="728" t="s">
        <v>167</v>
      </c>
      <c r="B614" s="728" t="s">
        <v>168</v>
      </c>
      <c r="C614" s="728" t="s">
        <v>759</v>
      </c>
      <c r="D614" s="728" t="s">
        <v>772</v>
      </c>
      <c r="E614" s="728" t="s">
        <v>769</v>
      </c>
      <c r="F614" s="727" t="s">
        <v>769</v>
      </c>
      <c r="G614" s="728" t="s">
        <v>180</v>
      </c>
      <c r="H614" s="727"/>
      <c r="I614" s="727" t="s">
        <v>777</v>
      </c>
      <c r="J614" s="727" t="s">
        <v>778</v>
      </c>
      <c r="K614" s="729">
        <v>57243</v>
      </c>
      <c r="L614" s="728" t="s">
        <v>175</v>
      </c>
      <c r="M614" s="728" t="s">
        <v>176</v>
      </c>
      <c r="N614" s="727"/>
      <c r="O614" s="727"/>
      <c r="P614" s="727"/>
      <c r="Q614" s="727"/>
      <c r="R614" s="730"/>
      <c r="S614" s="727"/>
      <c r="T614" s="728" t="s">
        <v>179</v>
      </c>
    </row>
    <row r="615" ht="34.5">
      <c r="A615" s="728" t="s">
        <v>167</v>
      </c>
      <c r="B615" s="728" t="s">
        <v>168</v>
      </c>
      <c r="C615" s="728" t="s">
        <v>759</v>
      </c>
      <c r="D615" s="728" t="s">
        <v>772</v>
      </c>
      <c r="E615" s="728" t="s">
        <v>769</v>
      </c>
      <c r="F615" s="727" t="s">
        <v>769</v>
      </c>
      <c r="G615" s="728" t="s">
        <v>180</v>
      </c>
      <c r="H615" s="727"/>
      <c r="I615" s="727" t="s">
        <v>779</v>
      </c>
      <c r="J615" s="727" t="s">
        <v>780</v>
      </c>
      <c r="K615" s="729">
        <v>1290000</v>
      </c>
      <c r="L615" s="728" t="s">
        <v>175</v>
      </c>
      <c r="M615" s="728" t="s">
        <v>176</v>
      </c>
      <c r="N615" s="727"/>
      <c r="O615" s="727"/>
      <c r="P615" s="727"/>
      <c r="Q615" s="727"/>
      <c r="R615" s="730"/>
      <c r="S615" s="727"/>
      <c r="T615" s="728" t="s">
        <v>179</v>
      </c>
    </row>
    <row r="616" ht="34.5">
      <c r="A616" s="728" t="s">
        <v>167</v>
      </c>
      <c r="B616" s="728" t="s">
        <v>168</v>
      </c>
      <c r="C616" s="728" t="s">
        <v>759</v>
      </c>
      <c r="D616" s="728" t="s">
        <v>772</v>
      </c>
      <c r="E616" s="728" t="s">
        <v>769</v>
      </c>
      <c r="F616" s="727" t="s">
        <v>769</v>
      </c>
      <c r="G616" s="728" t="s">
        <v>180</v>
      </c>
      <c r="H616" s="727"/>
      <c r="I616" s="727" t="s">
        <v>781</v>
      </c>
      <c r="J616" s="727" t="s">
        <v>782</v>
      </c>
      <c r="K616" s="729">
        <v>1221639</v>
      </c>
      <c r="L616" s="728" t="s">
        <v>175</v>
      </c>
      <c r="M616" s="728" t="s">
        <v>176</v>
      </c>
      <c r="N616" s="727"/>
      <c r="O616" s="727"/>
      <c r="P616" s="727"/>
      <c r="Q616" s="727"/>
      <c r="R616" s="730"/>
      <c r="S616" s="727"/>
      <c r="T616" s="728" t="s">
        <v>179</v>
      </c>
    </row>
    <row r="617" ht="34.5">
      <c r="A617" s="728" t="s">
        <v>326</v>
      </c>
      <c r="B617" s="728" t="s">
        <v>168</v>
      </c>
      <c r="C617" s="728" t="s">
        <v>759</v>
      </c>
      <c r="D617" s="728" t="s">
        <v>772</v>
      </c>
      <c r="E617" s="728" t="s">
        <v>769</v>
      </c>
      <c r="F617" s="727" t="s">
        <v>769</v>
      </c>
      <c r="G617" s="728" t="s">
        <v>180</v>
      </c>
      <c r="H617" s="727"/>
      <c r="I617" s="727" t="s">
        <v>773</v>
      </c>
      <c r="J617" s="727" t="s">
        <v>774</v>
      </c>
      <c r="K617" s="729">
        <v>64509</v>
      </c>
      <c r="L617" s="728" t="s">
        <v>175</v>
      </c>
      <c r="M617" s="728" t="s">
        <v>176</v>
      </c>
      <c r="N617" s="727"/>
      <c r="O617" s="727"/>
      <c r="P617" s="727"/>
      <c r="Q617" s="727"/>
      <c r="R617" s="730"/>
      <c r="S617" s="727"/>
      <c r="T617" s="728" t="s">
        <v>179</v>
      </c>
    </row>
    <row r="618" ht="34.5">
      <c r="A618" s="728" t="s">
        <v>326</v>
      </c>
      <c r="B618" s="728" t="s">
        <v>168</v>
      </c>
      <c r="C618" s="728" t="s">
        <v>759</v>
      </c>
      <c r="D618" s="728" t="s">
        <v>772</v>
      </c>
      <c r="E618" s="728" t="s">
        <v>769</v>
      </c>
      <c r="F618" s="727" t="s">
        <v>769</v>
      </c>
      <c r="G618" s="728" t="s">
        <v>180</v>
      </c>
      <c r="H618" s="727"/>
      <c r="I618" s="727" t="s">
        <v>773</v>
      </c>
      <c r="J618" s="727" t="s">
        <v>775</v>
      </c>
      <c r="K618" s="729">
        <v>2220153</v>
      </c>
      <c r="L618" s="728" t="s">
        <v>175</v>
      </c>
      <c r="M618" s="728" t="s">
        <v>176</v>
      </c>
      <c r="N618" s="727"/>
      <c r="O618" s="727"/>
      <c r="P618" s="727"/>
      <c r="Q618" s="727" t="s">
        <v>776</v>
      </c>
      <c r="R618" s="730"/>
      <c r="S618" s="727"/>
      <c r="T618" s="728" t="s">
        <v>179</v>
      </c>
    </row>
    <row r="619" ht="34.5">
      <c r="A619" s="728" t="s">
        <v>326</v>
      </c>
      <c r="B619" s="728" t="s">
        <v>168</v>
      </c>
      <c r="C619" s="728" t="s">
        <v>759</v>
      </c>
      <c r="D619" s="728" t="s">
        <v>772</v>
      </c>
      <c r="E619" s="728" t="s">
        <v>769</v>
      </c>
      <c r="F619" s="727" t="s">
        <v>769</v>
      </c>
      <c r="G619" s="728" t="s">
        <v>180</v>
      </c>
      <c r="H619" s="727"/>
      <c r="I619" s="727" t="s">
        <v>777</v>
      </c>
      <c r="J619" s="727" t="s">
        <v>778</v>
      </c>
      <c r="K619" s="729">
        <v>6418</v>
      </c>
      <c r="L619" s="728" t="s">
        <v>175</v>
      </c>
      <c r="M619" s="728" t="s">
        <v>176</v>
      </c>
      <c r="N619" s="727"/>
      <c r="O619" s="727"/>
      <c r="P619" s="727"/>
      <c r="Q619" s="727"/>
      <c r="R619" s="730"/>
      <c r="S619" s="727"/>
      <c r="T619" s="728" t="s">
        <v>179</v>
      </c>
    </row>
    <row r="620" ht="34.5">
      <c r="A620" s="728" t="s">
        <v>326</v>
      </c>
      <c r="B620" s="728" t="s">
        <v>168</v>
      </c>
      <c r="C620" s="728" t="s">
        <v>759</v>
      </c>
      <c r="D620" s="728" t="s">
        <v>772</v>
      </c>
      <c r="E620" s="728" t="s">
        <v>769</v>
      </c>
      <c r="F620" s="727" t="s">
        <v>769</v>
      </c>
      <c r="G620" s="728" t="s">
        <v>180</v>
      </c>
      <c r="H620" s="727"/>
      <c r="I620" s="727" t="s">
        <v>779</v>
      </c>
      <c r="J620" s="727" t="s">
        <v>780</v>
      </c>
      <c r="K620" s="729">
        <v>322500</v>
      </c>
      <c r="L620" s="728" t="s">
        <v>175</v>
      </c>
      <c r="M620" s="728" t="s">
        <v>176</v>
      </c>
      <c r="N620" s="727"/>
      <c r="O620" s="727"/>
      <c r="P620" s="727"/>
      <c r="Q620" s="727"/>
      <c r="R620" s="730"/>
      <c r="S620" s="727"/>
      <c r="T620" s="728" t="s">
        <v>179</v>
      </c>
    </row>
    <row r="621" ht="34.5">
      <c r="A621" s="728" t="s">
        <v>326</v>
      </c>
      <c r="B621" s="728" t="s">
        <v>168</v>
      </c>
      <c r="C621" s="728" t="s">
        <v>759</v>
      </c>
      <c r="D621" s="728" t="s">
        <v>772</v>
      </c>
      <c r="E621" s="728" t="s">
        <v>769</v>
      </c>
      <c r="F621" s="727" t="s">
        <v>769</v>
      </c>
      <c r="G621" s="728" t="s">
        <v>180</v>
      </c>
      <c r="H621" s="727"/>
      <c r="I621" s="727" t="s">
        <v>781</v>
      </c>
      <c r="J621" s="727" t="s">
        <v>782</v>
      </c>
      <c r="K621" s="729">
        <v>1300441</v>
      </c>
      <c r="L621" s="728" t="s">
        <v>175</v>
      </c>
      <c r="M621" s="728" t="s">
        <v>176</v>
      </c>
      <c r="N621" s="727"/>
      <c r="O621" s="727"/>
      <c r="P621" s="727"/>
      <c r="Q621" s="727"/>
      <c r="R621" s="730"/>
      <c r="S621" s="727"/>
      <c r="T621" s="728" t="s">
        <v>179</v>
      </c>
    </row>
    <row r="622" ht="34.5">
      <c r="A622" s="728" t="s">
        <v>327</v>
      </c>
      <c r="B622" s="728" t="s">
        <v>328</v>
      </c>
      <c r="C622" s="728" t="s">
        <v>759</v>
      </c>
      <c r="D622" s="728" t="s">
        <v>760</v>
      </c>
      <c r="E622" s="728" t="s">
        <v>769</v>
      </c>
      <c r="F622" s="727" t="s">
        <v>769</v>
      </c>
      <c r="G622" s="728" t="s">
        <v>180</v>
      </c>
      <c r="H622" s="727"/>
      <c r="I622" s="727" t="s">
        <v>773</v>
      </c>
      <c r="J622" s="727" t="s">
        <v>774</v>
      </c>
      <c r="K622" s="729">
        <v>18598</v>
      </c>
      <c r="L622" s="728" t="s">
        <v>175</v>
      </c>
      <c r="M622" s="728" t="s">
        <v>176</v>
      </c>
      <c r="N622" s="727"/>
      <c r="O622" s="727"/>
      <c r="P622" s="727"/>
      <c r="Q622" s="727"/>
      <c r="R622" s="730"/>
      <c r="S622" s="727"/>
      <c r="T622" s="728" t="s">
        <v>179</v>
      </c>
    </row>
    <row r="623" ht="34.5">
      <c r="A623" s="728" t="s">
        <v>327</v>
      </c>
      <c r="B623" s="728" t="s">
        <v>328</v>
      </c>
      <c r="C623" s="728" t="s">
        <v>759</v>
      </c>
      <c r="D623" s="728" t="s">
        <v>760</v>
      </c>
      <c r="E623" s="728" t="s">
        <v>769</v>
      </c>
      <c r="F623" s="727" t="s">
        <v>769</v>
      </c>
      <c r="G623" s="728" t="s">
        <v>180</v>
      </c>
      <c r="H623" s="727"/>
      <c r="I623" s="727" t="s">
        <v>773</v>
      </c>
      <c r="J623" s="727" t="s">
        <v>775</v>
      </c>
      <c r="K623" s="729">
        <v>2822042</v>
      </c>
      <c r="L623" s="728" t="s">
        <v>175</v>
      </c>
      <c r="M623" s="728" t="s">
        <v>176</v>
      </c>
      <c r="N623" s="727"/>
      <c r="O623" s="727"/>
      <c r="P623" s="727"/>
      <c r="Q623" s="727"/>
      <c r="R623" s="730"/>
      <c r="S623" s="727"/>
      <c r="T623" s="728" t="s">
        <v>179</v>
      </c>
    </row>
    <row r="624" ht="34.5">
      <c r="A624" s="728" t="s">
        <v>327</v>
      </c>
      <c r="B624" s="728" t="s">
        <v>328</v>
      </c>
      <c r="C624" s="728" t="s">
        <v>759</v>
      </c>
      <c r="D624" s="728" t="s">
        <v>760</v>
      </c>
      <c r="E624" s="728" t="s">
        <v>769</v>
      </c>
      <c r="F624" s="727" t="s">
        <v>769</v>
      </c>
      <c r="G624" s="728" t="s">
        <v>180</v>
      </c>
      <c r="H624" s="727"/>
      <c r="I624" s="727" t="s">
        <v>777</v>
      </c>
      <c r="J624" s="727" t="s">
        <v>778</v>
      </c>
      <c r="K624" s="729">
        <v>1207</v>
      </c>
      <c r="L624" s="728" t="s">
        <v>175</v>
      </c>
      <c r="M624" s="728" t="s">
        <v>176</v>
      </c>
      <c r="N624" s="727"/>
      <c r="O624" s="727"/>
      <c r="P624" s="727"/>
      <c r="Q624" s="727"/>
      <c r="R624" s="730"/>
      <c r="S624" s="727"/>
      <c r="T624" s="728" t="s">
        <v>179</v>
      </c>
    </row>
    <row r="625" ht="34.5">
      <c r="A625" s="728" t="s">
        <v>327</v>
      </c>
      <c r="B625" s="728" t="s">
        <v>328</v>
      </c>
      <c r="C625" s="728" t="s">
        <v>759</v>
      </c>
      <c r="D625" s="728" t="s">
        <v>760</v>
      </c>
      <c r="E625" s="728" t="s">
        <v>769</v>
      </c>
      <c r="F625" s="727" t="s">
        <v>769</v>
      </c>
      <c r="G625" s="728" t="s">
        <v>180</v>
      </c>
      <c r="H625" s="727"/>
      <c r="I625" s="727" t="s">
        <v>779</v>
      </c>
      <c r="J625" s="727" t="s">
        <v>780</v>
      </c>
      <c r="K625" s="729">
        <v>1290000</v>
      </c>
      <c r="L625" s="728" t="s">
        <v>175</v>
      </c>
      <c r="M625" s="728" t="s">
        <v>176</v>
      </c>
      <c r="N625" s="727"/>
      <c r="O625" s="727"/>
      <c r="P625" s="727"/>
      <c r="Q625" s="727"/>
      <c r="R625" s="730"/>
      <c r="S625" s="727"/>
      <c r="T625" s="728" t="s">
        <v>179</v>
      </c>
    </row>
    <row r="626" ht="34.5">
      <c r="A626" s="728" t="s">
        <v>327</v>
      </c>
      <c r="B626" s="728" t="s">
        <v>328</v>
      </c>
      <c r="C626" s="728" t="s">
        <v>759</v>
      </c>
      <c r="D626" s="728" t="s">
        <v>760</v>
      </c>
      <c r="E626" s="728" t="s">
        <v>769</v>
      </c>
      <c r="F626" s="727" t="s">
        <v>769</v>
      </c>
      <c r="G626" s="728" t="s">
        <v>180</v>
      </c>
      <c r="H626" s="727"/>
      <c r="I626" s="727" t="s">
        <v>781</v>
      </c>
      <c r="J626" s="727" t="s">
        <v>782</v>
      </c>
      <c r="K626" s="729">
        <v>1366104</v>
      </c>
      <c r="L626" s="728" t="s">
        <v>175</v>
      </c>
      <c r="M626" s="728" t="s">
        <v>176</v>
      </c>
      <c r="N626" s="727"/>
      <c r="O626" s="727"/>
      <c r="P626" s="727"/>
      <c r="Q626" s="727"/>
      <c r="R626" s="730"/>
      <c r="S626" s="727"/>
      <c r="T626" s="728" t="s">
        <v>179</v>
      </c>
    </row>
    <row r="627" ht="34.5">
      <c r="A627" s="728" t="s">
        <v>333</v>
      </c>
      <c r="B627" s="728" t="s">
        <v>334</v>
      </c>
      <c r="C627" s="728" t="s">
        <v>714</v>
      </c>
      <c r="D627" s="728" t="s">
        <v>772</v>
      </c>
      <c r="E627" s="728" t="s">
        <v>769</v>
      </c>
      <c r="F627" s="727" t="s">
        <v>769</v>
      </c>
      <c r="G627" s="728" t="s">
        <v>180</v>
      </c>
      <c r="H627" s="727"/>
      <c r="I627" s="727" t="s">
        <v>773</v>
      </c>
      <c r="J627" s="727" t="s">
        <v>774</v>
      </c>
      <c r="K627" s="729">
        <v>11049</v>
      </c>
      <c r="L627" s="728" t="s">
        <v>175</v>
      </c>
      <c r="M627" s="728" t="s">
        <v>176</v>
      </c>
      <c r="N627" s="727"/>
      <c r="O627" s="727"/>
      <c r="P627" s="727"/>
      <c r="Q627" s="727"/>
      <c r="R627" s="730"/>
      <c r="S627" s="727"/>
      <c r="T627" s="728" t="s">
        <v>179</v>
      </c>
    </row>
    <row r="628" ht="34.5">
      <c r="A628" s="728" t="s">
        <v>333</v>
      </c>
      <c r="B628" s="728" t="s">
        <v>334</v>
      </c>
      <c r="C628" s="728" t="s">
        <v>714</v>
      </c>
      <c r="D628" s="728" t="s">
        <v>772</v>
      </c>
      <c r="E628" s="728" t="s">
        <v>769</v>
      </c>
      <c r="F628" s="727" t="s">
        <v>769</v>
      </c>
      <c r="G628" s="728" t="s">
        <v>180</v>
      </c>
      <c r="H628" s="727"/>
      <c r="I628" s="727" t="s">
        <v>773</v>
      </c>
      <c r="J628" s="727" t="s">
        <v>775</v>
      </c>
      <c r="K628" s="729">
        <v>1613353</v>
      </c>
      <c r="L628" s="728" t="s">
        <v>175</v>
      </c>
      <c r="M628" s="728" t="s">
        <v>176</v>
      </c>
      <c r="N628" s="727"/>
      <c r="O628" s="727"/>
      <c r="P628" s="727"/>
      <c r="Q628" s="727"/>
      <c r="R628" s="730"/>
      <c r="S628" s="727"/>
      <c r="T628" s="728" t="s">
        <v>179</v>
      </c>
    </row>
    <row r="629" ht="34.5">
      <c r="A629" s="728" t="s">
        <v>333</v>
      </c>
      <c r="B629" s="728" t="s">
        <v>334</v>
      </c>
      <c r="C629" s="728" t="s">
        <v>714</v>
      </c>
      <c r="D629" s="728" t="s">
        <v>772</v>
      </c>
      <c r="E629" s="728" t="s">
        <v>769</v>
      </c>
      <c r="F629" s="727" t="s">
        <v>769</v>
      </c>
      <c r="G629" s="728" t="s">
        <v>180</v>
      </c>
      <c r="H629" s="727"/>
      <c r="I629" s="727" t="s">
        <v>777</v>
      </c>
      <c r="J629" s="727" t="s">
        <v>778</v>
      </c>
      <c r="K629" s="729">
        <v>2392</v>
      </c>
      <c r="L629" s="728" t="s">
        <v>175</v>
      </c>
      <c r="M629" s="728" t="s">
        <v>176</v>
      </c>
      <c r="N629" s="727"/>
      <c r="O629" s="727"/>
      <c r="P629" s="727"/>
      <c r="Q629" s="727"/>
      <c r="R629" s="730"/>
      <c r="S629" s="727"/>
      <c r="T629" s="728" t="s">
        <v>179</v>
      </c>
    </row>
    <row r="630" ht="34.5">
      <c r="A630" s="728" t="s">
        <v>333</v>
      </c>
      <c r="B630" s="728" t="s">
        <v>334</v>
      </c>
      <c r="C630" s="728" t="s">
        <v>714</v>
      </c>
      <c r="D630" s="728" t="s">
        <v>772</v>
      </c>
      <c r="E630" s="728" t="s">
        <v>769</v>
      </c>
      <c r="F630" s="727" t="s">
        <v>769</v>
      </c>
      <c r="G630" s="728" t="s">
        <v>180</v>
      </c>
      <c r="H630" s="727"/>
      <c r="I630" s="727" t="s">
        <v>779</v>
      </c>
      <c r="J630" s="727" t="s">
        <v>780</v>
      </c>
      <c r="K630" s="729">
        <v>322500</v>
      </c>
      <c r="L630" s="728" t="s">
        <v>175</v>
      </c>
      <c r="M630" s="728" t="s">
        <v>176</v>
      </c>
      <c r="N630" s="727"/>
      <c r="O630" s="727"/>
      <c r="P630" s="727"/>
      <c r="Q630" s="727"/>
      <c r="R630" s="730"/>
      <c r="S630" s="727"/>
      <c r="T630" s="728" t="s">
        <v>179</v>
      </c>
    </row>
    <row r="631" ht="34.5">
      <c r="A631" s="728" t="s">
        <v>333</v>
      </c>
      <c r="B631" s="728" t="s">
        <v>334</v>
      </c>
      <c r="C631" s="728" t="s">
        <v>714</v>
      </c>
      <c r="D631" s="728" t="s">
        <v>772</v>
      </c>
      <c r="E631" s="728" t="s">
        <v>769</v>
      </c>
      <c r="F631" s="727" t="s">
        <v>769</v>
      </c>
      <c r="G631" s="728" t="s">
        <v>180</v>
      </c>
      <c r="H631" s="727"/>
      <c r="I631" s="727" t="s">
        <v>781</v>
      </c>
      <c r="J631" s="727" t="s">
        <v>782</v>
      </c>
      <c r="K631" s="729">
        <v>1429818</v>
      </c>
      <c r="L631" s="728" t="s">
        <v>175</v>
      </c>
      <c r="M631" s="728" t="s">
        <v>176</v>
      </c>
      <c r="N631" s="727"/>
      <c r="O631" s="727"/>
      <c r="P631" s="727"/>
      <c r="Q631" s="727"/>
      <c r="R631" s="730"/>
      <c r="S631" s="727"/>
      <c r="T631" s="728" t="s">
        <v>179</v>
      </c>
    </row>
    <row r="632" ht="34.5">
      <c r="A632" s="728" t="s">
        <v>338</v>
      </c>
      <c r="B632" s="728" t="s">
        <v>339</v>
      </c>
      <c r="C632" s="728" t="s">
        <v>714</v>
      </c>
      <c r="D632" s="728" t="s">
        <v>772</v>
      </c>
      <c r="E632" s="728" t="s">
        <v>769</v>
      </c>
      <c r="F632" s="727" t="s">
        <v>769</v>
      </c>
      <c r="G632" s="728" t="s">
        <v>180</v>
      </c>
      <c r="H632" s="727"/>
      <c r="I632" s="727" t="s">
        <v>773</v>
      </c>
      <c r="J632" s="727" t="s">
        <v>774</v>
      </c>
      <c r="K632" s="729">
        <v>16803</v>
      </c>
      <c r="L632" s="728" t="s">
        <v>175</v>
      </c>
      <c r="M632" s="728" t="s">
        <v>176</v>
      </c>
      <c r="N632" s="727"/>
      <c r="O632" s="727"/>
      <c r="P632" s="727"/>
      <c r="Q632" s="727"/>
      <c r="R632" s="730"/>
      <c r="S632" s="727"/>
      <c r="T632" s="728" t="s">
        <v>179</v>
      </c>
    </row>
    <row r="633" ht="34.5">
      <c r="A633" s="728" t="s">
        <v>338</v>
      </c>
      <c r="B633" s="728" t="s">
        <v>339</v>
      </c>
      <c r="C633" s="728" t="s">
        <v>714</v>
      </c>
      <c r="D633" s="728" t="s">
        <v>772</v>
      </c>
      <c r="E633" s="728" t="s">
        <v>769</v>
      </c>
      <c r="F633" s="727" t="s">
        <v>769</v>
      </c>
      <c r="G633" s="728" t="s">
        <v>180</v>
      </c>
      <c r="H633" s="727"/>
      <c r="I633" s="727" t="s">
        <v>773</v>
      </c>
      <c r="J633" s="727" t="s">
        <v>775</v>
      </c>
      <c r="K633" s="729">
        <v>1819919</v>
      </c>
      <c r="L633" s="728" t="s">
        <v>175</v>
      </c>
      <c r="M633" s="728" t="s">
        <v>176</v>
      </c>
      <c r="N633" s="727"/>
      <c r="O633" s="727"/>
      <c r="P633" s="727"/>
      <c r="Q633" s="727"/>
      <c r="R633" s="730"/>
      <c r="S633" s="727"/>
      <c r="T633" s="728" t="s">
        <v>179</v>
      </c>
    </row>
    <row r="634" ht="34.5">
      <c r="A634" s="728" t="s">
        <v>338</v>
      </c>
      <c r="B634" s="728" t="s">
        <v>339</v>
      </c>
      <c r="C634" s="728" t="s">
        <v>714</v>
      </c>
      <c r="D634" s="728" t="s">
        <v>772</v>
      </c>
      <c r="E634" s="728" t="s">
        <v>769</v>
      </c>
      <c r="F634" s="727" t="s">
        <v>769</v>
      </c>
      <c r="G634" s="728" t="s">
        <v>180</v>
      </c>
      <c r="H634" s="727"/>
      <c r="I634" s="727" t="s">
        <v>777</v>
      </c>
      <c r="J634" s="727" t="s">
        <v>778</v>
      </c>
      <c r="K634" s="729">
        <v>6915</v>
      </c>
      <c r="L634" s="728" t="s">
        <v>175</v>
      </c>
      <c r="M634" s="728" t="s">
        <v>176</v>
      </c>
      <c r="N634" s="727"/>
      <c r="O634" s="727"/>
      <c r="P634" s="727"/>
      <c r="Q634" s="727"/>
      <c r="R634" s="730"/>
      <c r="S634" s="727"/>
      <c r="T634" s="728" t="s">
        <v>179</v>
      </c>
    </row>
    <row r="635" ht="34.5">
      <c r="A635" s="728" t="s">
        <v>338</v>
      </c>
      <c r="B635" s="728" t="s">
        <v>339</v>
      </c>
      <c r="C635" s="728" t="s">
        <v>714</v>
      </c>
      <c r="D635" s="728" t="s">
        <v>772</v>
      </c>
      <c r="E635" s="728" t="s">
        <v>769</v>
      </c>
      <c r="F635" s="727" t="s">
        <v>769</v>
      </c>
      <c r="G635" s="728" t="s">
        <v>180</v>
      </c>
      <c r="H635" s="727"/>
      <c r="I635" s="727" t="s">
        <v>779</v>
      </c>
      <c r="J635" s="727" t="s">
        <v>780</v>
      </c>
      <c r="K635" s="729">
        <v>322500</v>
      </c>
      <c r="L635" s="728" t="s">
        <v>175</v>
      </c>
      <c r="M635" s="728" t="s">
        <v>176</v>
      </c>
      <c r="N635" s="727"/>
      <c r="O635" s="727"/>
      <c r="P635" s="727"/>
      <c r="Q635" s="727"/>
      <c r="R635" s="730"/>
      <c r="S635" s="727"/>
      <c r="T635" s="728" t="s">
        <v>179</v>
      </c>
    </row>
    <row r="636" ht="34.5">
      <c r="A636" s="728" t="s">
        <v>338</v>
      </c>
      <c r="B636" s="728" t="s">
        <v>339</v>
      </c>
      <c r="C636" s="728" t="s">
        <v>714</v>
      </c>
      <c r="D636" s="728" t="s">
        <v>772</v>
      </c>
      <c r="E636" s="728" t="s">
        <v>769</v>
      </c>
      <c r="F636" s="727" t="s">
        <v>769</v>
      </c>
      <c r="G636" s="728" t="s">
        <v>180</v>
      </c>
      <c r="H636" s="727"/>
      <c r="I636" s="727" t="s">
        <v>781</v>
      </c>
      <c r="J636" s="727" t="s">
        <v>782</v>
      </c>
      <c r="K636" s="729">
        <v>1491219</v>
      </c>
      <c r="L636" s="728" t="s">
        <v>175</v>
      </c>
      <c r="M636" s="728" t="s">
        <v>176</v>
      </c>
      <c r="N636" s="727"/>
      <c r="O636" s="727"/>
      <c r="P636" s="727"/>
      <c r="Q636" s="727"/>
      <c r="R636" s="730"/>
      <c r="S636" s="727"/>
      <c r="T636" s="728" t="s">
        <v>179</v>
      </c>
    </row>
    <row r="637" ht="34.5">
      <c r="A637" s="728" t="s">
        <v>167</v>
      </c>
      <c r="B637" s="728" t="s">
        <v>168</v>
      </c>
      <c r="C637" s="728" t="s">
        <v>783</v>
      </c>
      <c r="D637" s="728" t="s">
        <v>784</v>
      </c>
      <c r="E637" s="728" t="s">
        <v>769</v>
      </c>
      <c r="F637" s="727" t="s">
        <v>769</v>
      </c>
      <c r="G637" s="728" t="s">
        <v>180</v>
      </c>
      <c r="H637" s="727"/>
      <c r="I637" s="727" t="s">
        <v>785</v>
      </c>
      <c r="J637" s="727" t="s">
        <v>786</v>
      </c>
      <c r="K637" s="729">
        <v>227286</v>
      </c>
      <c r="L637" s="728" t="s">
        <v>175</v>
      </c>
      <c r="M637" s="728" t="s">
        <v>176</v>
      </c>
      <c r="N637" s="727"/>
      <c r="O637" s="727"/>
      <c r="P637" s="727"/>
      <c r="Q637" s="727"/>
      <c r="R637" s="730"/>
      <c r="S637" s="727"/>
      <c r="T637" s="728" t="s">
        <v>179</v>
      </c>
    </row>
    <row r="638" ht="34.5">
      <c r="A638" s="728" t="s">
        <v>167</v>
      </c>
      <c r="B638" s="728" t="s">
        <v>168</v>
      </c>
      <c r="C638" s="728" t="s">
        <v>783</v>
      </c>
      <c r="D638" s="728" t="s">
        <v>784</v>
      </c>
      <c r="E638" s="728" t="s">
        <v>769</v>
      </c>
      <c r="F638" s="727" t="s">
        <v>769</v>
      </c>
      <c r="G638" s="728" t="s">
        <v>180</v>
      </c>
      <c r="H638" s="727"/>
      <c r="I638" s="727" t="s">
        <v>785</v>
      </c>
      <c r="J638" s="727" t="s">
        <v>787</v>
      </c>
      <c r="K638" s="729">
        <v>9831</v>
      </c>
      <c r="L638" s="728" t="s">
        <v>175</v>
      </c>
      <c r="M638" s="728" t="s">
        <v>176</v>
      </c>
      <c r="N638" s="727"/>
      <c r="O638" s="727"/>
      <c r="P638" s="727"/>
      <c r="Q638" s="727"/>
      <c r="R638" s="730"/>
      <c r="S638" s="727"/>
      <c r="T638" s="728" t="s">
        <v>179</v>
      </c>
    </row>
    <row r="639" ht="34.5">
      <c r="A639" s="728" t="s">
        <v>167</v>
      </c>
      <c r="B639" s="728" t="s">
        <v>168</v>
      </c>
      <c r="C639" s="728" t="s">
        <v>783</v>
      </c>
      <c r="D639" s="728" t="s">
        <v>784</v>
      </c>
      <c r="E639" s="728" t="s">
        <v>769</v>
      </c>
      <c r="F639" s="727" t="s">
        <v>769</v>
      </c>
      <c r="G639" s="728" t="s">
        <v>180</v>
      </c>
      <c r="H639" s="727"/>
      <c r="I639" s="727" t="s">
        <v>785</v>
      </c>
      <c r="J639" s="727" t="s">
        <v>788</v>
      </c>
      <c r="K639" s="729">
        <v>237117</v>
      </c>
      <c r="L639" s="728" t="s">
        <v>175</v>
      </c>
      <c r="M639" s="728" t="s">
        <v>176</v>
      </c>
      <c r="N639" s="727"/>
      <c r="O639" s="727"/>
      <c r="P639" s="727"/>
      <c r="Q639" s="727"/>
      <c r="R639" s="730"/>
      <c r="S639" s="727" t="s">
        <v>369</v>
      </c>
      <c r="T639" s="728" t="s">
        <v>179</v>
      </c>
    </row>
    <row r="640" ht="34.5">
      <c r="A640" s="728" t="s">
        <v>167</v>
      </c>
      <c r="B640" s="728" t="s">
        <v>168</v>
      </c>
      <c r="C640" s="728" t="s">
        <v>783</v>
      </c>
      <c r="D640" s="728" t="s">
        <v>784</v>
      </c>
      <c r="E640" s="728" t="s">
        <v>769</v>
      </c>
      <c r="F640" s="727" t="s">
        <v>769</v>
      </c>
      <c r="G640" s="728" t="s">
        <v>180</v>
      </c>
      <c r="H640" s="727"/>
      <c r="I640" s="727" t="s">
        <v>785</v>
      </c>
      <c r="J640" s="727" t="s">
        <v>789</v>
      </c>
      <c r="K640" s="729">
        <v>297446</v>
      </c>
      <c r="L640" s="728" t="s">
        <v>175</v>
      </c>
      <c r="M640" s="728" t="s">
        <v>176</v>
      </c>
      <c r="N640" s="727"/>
      <c r="O640" s="727"/>
      <c r="P640" s="727"/>
      <c r="Q640" s="727"/>
      <c r="R640" s="730"/>
      <c r="S640" s="727"/>
      <c r="T640" s="728" t="s">
        <v>179</v>
      </c>
    </row>
    <row r="641" ht="34.5">
      <c r="A641" s="728" t="s">
        <v>167</v>
      </c>
      <c r="B641" s="728" t="s">
        <v>168</v>
      </c>
      <c r="C641" s="728" t="s">
        <v>783</v>
      </c>
      <c r="D641" s="728" t="s">
        <v>784</v>
      </c>
      <c r="E641" s="728" t="s">
        <v>769</v>
      </c>
      <c r="F641" s="727" t="s">
        <v>769</v>
      </c>
      <c r="G641" s="728" t="s">
        <v>180</v>
      </c>
      <c r="H641" s="727" t="s">
        <v>28</v>
      </c>
      <c r="I641" s="727" t="s">
        <v>785</v>
      </c>
      <c r="J641" s="727" t="s">
        <v>790</v>
      </c>
      <c r="K641" s="729">
        <v>18105379</v>
      </c>
      <c r="L641" s="728" t="s">
        <v>175</v>
      </c>
      <c r="M641" s="728" t="s">
        <v>176</v>
      </c>
      <c r="N641" s="727"/>
      <c r="O641" s="727"/>
      <c r="P641" s="727"/>
      <c r="Q641" s="727" t="s">
        <v>791</v>
      </c>
      <c r="R641" s="730"/>
      <c r="S641" s="727" t="s">
        <v>792</v>
      </c>
      <c r="T641" s="728" t="s">
        <v>179</v>
      </c>
    </row>
    <row r="642" ht="34.5">
      <c r="A642" s="728" t="s">
        <v>167</v>
      </c>
      <c r="B642" s="728" t="s">
        <v>168</v>
      </c>
      <c r="C642" s="728" t="s">
        <v>783</v>
      </c>
      <c r="D642" s="728" t="s">
        <v>784</v>
      </c>
      <c r="E642" s="728" t="s">
        <v>769</v>
      </c>
      <c r="F642" s="727" t="s">
        <v>769</v>
      </c>
      <c r="G642" s="728" t="s">
        <v>180</v>
      </c>
      <c r="H642" s="727"/>
      <c r="I642" s="727" t="s">
        <v>785</v>
      </c>
      <c r="J642" s="727" t="s">
        <v>793</v>
      </c>
      <c r="K642" s="729">
        <v>1048125</v>
      </c>
      <c r="L642" s="728" t="s">
        <v>175</v>
      </c>
      <c r="M642" s="728" t="s">
        <v>176</v>
      </c>
      <c r="N642" s="727"/>
      <c r="O642" s="727"/>
      <c r="P642" s="727"/>
      <c r="Q642" s="727"/>
      <c r="R642" s="730"/>
      <c r="S642" s="727"/>
      <c r="T642" s="728" t="s">
        <v>179</v>
      </c>
    </row>
    <row r="643" ht="34.5">
      <c r="A643" s="728" t="s">
        <v>167</v>
      </c>
      <c r="B643" s="728" t="s">
        <v>168</v>
      </c>
      <c r="C643" s="728" t="s">
        <v>783</v>
      </c>
      <c r="D643" s="728" t="s">
        <v>784</v>
      </c>
      <c r="E643" s="728" t="s">
        <v>769</v>
      </c>
      <c r="F643" s="727" t="s">
        <v>769</v>
      </c>
      <c r="G643" s="728" t="s">
        <v>180</v>
      </c>
      <c r="H643" s="727"/>
      <c r="I643" s="727" t="s">
        <v>785</v>
      </c>
      <c r="J643" s="727" t="s">
        <v>794</v>
      </c>
      <c r="K643" s="729">
        <v>5953</v>
      </c>
      <c r="L643" s="728" t="s">
        <v>175</v>
      </c>
      <c r="M643" s="728" t="s">
        <v>176</v>
      </c>
      <c r="N643" s="727"/>
      <c r="O643" s="727"/>
      <c r="P643" s="727"/>
      <c r="Q643" s="727"/>
      <c r="R643" s="730"/>
      <c r="S643" s="727"/>
      <c r="T643" s="728" t="s">
        <v>179</v>
      </c>
    </row>
    <row r="644" ht="34.5">
      <c r="A644" s="728" t="s">
        <v>167</v>
      </c>
      <c r="B644" s="728" t="s">
        <v>168</v>
      </c>
      <c r="C644" s="728" t="s">
        <v>783</v>
      </c>
      <c r="D644" s="728" t="s">
        <v>784</v>
      </c>
      <c r="E644" s="728" t="s">
        <v>769</v>
      </c>
      <c r="F644" s="727" t="s">
        <v>769</v>
      </c>
      <c r="G644" s="728" t="s">
        <v>180</v>
      </c>
      <c r="H644" s="727"/>
      <c r="I644" s="727" t="s">
        <v>785</v>
      </c>
      <c r="J644" s="727" t="s">
        <v>795</v>
      </c>
      <c r="K644" s="729">
        <v>1054078</v>
      </c>
      <c r="L644" s="728" t="s">
        <v>175</v>
      </c>
      <c r="M644" s="728" t="s">
        <v>176</v>
      </c>
      <c r="N644" s="727"/>
      <c r="O644" s="727"/>
      <c r="P644" s="727"/>
      <c r="Q644" s="727"/>
      <c r="R644" s="730"/>
      <c r="S644" s="727" t="s">
        <v>369</v>
      </c>
      <c r="T644" s="728" t="s">
        <v>179</v>
      </c>
    </row>
    <row r="645" ht="34.5">
      <c r="A645" s="728" t="s">
        <v>167</v>
      </c>
      <c r="B645" s="728" t="s">
        <v>168</v>
      </c>
      <c r="C645" s="728" t="s">
        <v>783</v>
      </c>
      <c r="D645" s="728" t="s">
        <v>784</v>
      </c>
      <c r="E645" s="728" t="s">
        <v>769</v>
      </c>
      <c r="F645" s="727" t="s">
        <v>769</v>
      </c>
      <c r="G645" s="728" t="s">
        <v>180</v>
      </c>
      <c r="H645" s="727"/>
      <c r="I645" s="727" t="s">
        <v>796</v>
      </c>
      <c r="J645" s="727" t="s">
        <v>797</v>
      </c>
      <c r="K645" s="729">
        <v>19345052</v>
      </c>
      <c r="L645" s="728" t="s">
        <v>175</v>
      </c>
      <c r="M645" s="728" t="s">
        <v>176</v>
      </c>
      <c r="N645" s="727"/>
      <c r="O645" s="727"/>
      <c r="P645" s="727"/>
      <c r="Q645" s="727"/>
      <c r="R645" s="730"/>
      <c r="S645" s="727"/>
      <c r="T645" s="728" t="s">
        <v>179</v>
      </c>
    </row>
    <row r="646" ht="34.5">
      <c r="A646" s="728" t="s">
        <v>167</v>
      </c>
      <c r="B646" s="728" t="s">
        <v>168</v>
      </c>
      <c r="C646" s="728" t="s">
        <v>783</v>
      </c>
      <c r="D646" s="728" t="s">
        <v>784</v>
      </c>
      <c r="E646" s="728" t="s">
        <v>769</v>
      </c>
      <c r="F646" s="727" t="s">
        <v>769</v>
      </c>
      <c r="G646" s="728" t="s">
        <v>180</v>
      </c>
      <c r="H646" s="727"/>
      <c r="I646" s="727" t="s">
        <v>796</v>
      </c>
      <c r="J646" s="727" t="s">
        <v>798</v>
      </c>
      <c r="K646" s="729">
        <v>-1239673</v>
      </c>
      <c r="L646" s="728" t="s">
        <v>175</v>
      </c>
      <c r="M646" s="728" t="s">
        <v>176</v>
      </c>
      <c r="N646" s="727"/>
      <c r="O646" s="727"/>
      <c r="P646" s="727"/>
      <c r="Q646" s="727"/>
      <c r="R646" s="730"/>
      <c r="S646" s="727"/>
      <c r="T646" s="728" t="s">
        <v>179</v>
      </c>
    </row>
    <row r="647" ht="34.5">
      <c r="A647" s="728" t="s">
        <v>167</v>
      </c>
      <c r="B647" s="728" t="s">
        <v>168</v>
      </c>
      <c r="C647" s="728" t="s">
        <v>783</v>
      </c>
      <c r="D647" s="728" t="s">
        <v>784</v>
      </c>
      <c r="E647" s="728" t="s">
        <v>769</v>
      </c>
      <c r="F647" s="727" t="s">
        <v>769</v>
      </c>
      <c r="G647" s="728" t="s">
        <v>180</v>
      </c>
      <c r="H647" s="727"/>
      <c r="I647" s="727" t="s">
        <v>796</v>
      </c>
      <c r="J647" s="727" t="s">
        <v>799</v>
      </c>
      <c r="K647" s="729">
        <v>18105379</v>
      </c>
      <c r="L647" s="728" t="s">
        <v>175</v>
      </c>
      <c r="M647" s="728" t="s">
        <v>176</v>
      </c>
      <c r="N647" s="727"/>
      <c r="O647" s="727"/>
      <c r="P647" s="727"/>
      <c r="Q647" s="727"/>
      <c r="R647" s="730"/>
      <c r="S647" s="727"/>
      <c r="T647" s="728" t="s">
        <v>179</v>
      </c>
    </row>
    <row r="648" ht="34.5">
      <c r="A648" s="728" t="s">
        <v>167</v>
      </c>
      <c r="B648" s="728" t="s">
        <v>168</v>
      </c>
      <c r="C648" s="728" t="s">
        <v>783</v>
      </c>
      <c r="D648" s="728" t="s">
        <v>784</v>
      </c>
      <c r="E648" s="728" t="s">
        <v>769</v>
      </c>
      <c r="F648" s="727" t="s">
        <v>769</v>
      </c>
      <c r="G648" s="728" t="s">
        <v>180</v>
      </c>
      <c r="H648" s="727"/>
      <c r="I648" s="727" t="s">
        <v>800</v>
      </c>
      <c r="J648" s="727" t="s">
        <v>797</v>
      </c>
      <c r="K648" s="729">
        <v>317812</v>
      </c>
      <c r="L648" s="728" t="s">
        <v>175</v>
      </c>
      <c r="M648" s="728" t="s">
        <v>176</v>
      </c>
      <c r="N648" s="727"/>
      <c r="O648" s="727"/>
      <c r="P648" s="727"/>
      <c r="Q648" s="727"/>
      <c r="R648" s="730"/>
      <c r="S648" s="727"/>
      <c r="T648" s="728" t="s">
        <v>179</v>
      </c>
    </row>
    <row r="649" ht="34.5">
      <c r="A649" s="728" t="s">
        <v>167</v>
      </c>
      <c r="B649" s="728" t="s">
        <v>168</v>
      </c>
      <c r="C649" s="728" t="s">
        <v>783</v>
      </c>
      <c r="D649" s="728" t="s">
        <v>784</v>
      </c>
      <c r="E649" s="728" t="s">
        <v>769</v>
      </c>
      <c r="F649" s="727" t="s">
        <v>769</v>
      </c>
      <c r="G649" s="728" t="s">
        <v>180</v>
      </c>
      <c r="H649" s="727"/>
      <c r="I649" s="727" t="s">
        <v>800</v>
      </c>
      <c r="J649" s="727" t="s">
        <v>801</v>
      </c>
      <c r="K649" s="729">
        <v>-1242005</v>
      </c>
      <c r="L649" s="728" t="s">
        <v>175</v>
      </c>
      <c r="M649" s="728" t="s">
        <v>176</v>
      </c>
      <c r="N649" s="727"/>
      <c r="O649" s="727"/>
      <c r="P649" s="727"/>
      <c r="Q649" s="727"/>
      <c r="R649" s="730"/>
      <c r="S649" s="727"/>
      <c r="T649" s="728" t="s">
        <v>179</v>
      </c>
    </row>
    <row r="650" ht="34.5">
      <c r="A650" s="728" t="s">
        <v>167</v>
      </c>
      <c r="B650" s="728" t="s">
        <v>168</v>
      </c>
      <c r="C650" s="728" t="s">
        <v>783</v>
      </c>
      <c r="D650" s="728" t="s">
        <v>784</v>
      </c>
      <c r="E650" s="728" t="s">
        <v>769</v>
      </c>
      <c r="F650" s="727" t="s">
        <v>769</v>
      </c>
      <c r="G650" s="728" t="s">
        <v>180</v>
      </c>
      <c r="H650" s="727"/>
      <c r="I650" s="727" t="s">
        <v>800</v>
      </c>
      <c r="J650" s="727" t="s">
        <v>802</v>
      </c>
      <c r="K650" s="729">
        <v>1221639</v>
      </c>
      <c r="L650" s="728" t="s">
        <v>175</v>
      </c>
      <c r="M650" s="728" t="s">
        <v>176</v>
      </c>
      <c r="N650" s="727"/>
      <c r="O650" s="727"/>
      <c r="P650" s="727"/>
      <c r="Q650" s="727"/>
      <c r="R650" s="730"/>
      <c r="S650" s="727"/>
      <c r="T650" s="728" t="s">
        <v>179</v>
      </c>
    </row>
    <row r="651" ht="34.5">
      <c r="A651" s="728" t="s">
        <v>167</v>
      </c>
      <c r="B651" s="728" t="s">
        <v>168</v>
      </c>
      <c r="C651" s="728" t="s">
        <v>783</v>
      </c>
      <c r="D651" s="728" t="s">
        <v>784</v>
      </c>
      <c r="E651" s="728" t="s">
        <v>769</v>
      </c>
      <c r="F651" s="727" t="s">
        <v>769</v>
      </c>
      <c r="G651" s="728" t="s">
        <v>180</v>
      </c>
      <c r="H651" s="727"/>
      <c r="I651" s="727" t="s">
        <v>800</v>
      </c>
      <c r="J651" s="727" t="s">
        <v>803</v>
      </c>
      <c r="K651" s="729">
        <v>297446</v>
      </c>
      <c r="L651" s="728" t="s">
        <v>175</v>
      </c>
      <c r="M651" s="728" t="s">
        <v>176</v>
      </c>
      <c r="N651" s="727"/>
      <c r="O651" s="727"/>
      <c r="P651" s="727"/>
      <c r="Q651" s="727"/>
      <c r="R651" s="730"/>
      <c r="S651" s="727"/>
      <c r="T651" s="728" t="s">
        <v>179</v>
      </c>
    </row>
    <row r="652" ht="34.5">
      <c r="A652" s="728" t="s">
        <v>326</v>
      </c>
      <c r="B652" s="728" t="s">
        <v>168</v>
      </c>
      <c r="C652" s="728" t="s">
        <v>783</v>
      </c>
      <c r="D652" s="728" t="s">
        <v>784</v>
      </c>
      <c r="E652" s="728" t="s">
        <v>769</v>
      </c>
      <c r="F652" s="727" t="s">
        <v>769</v>
      </c>
      <c r="G652" s="728" t="s">
        <v>180</v>
      </c>
      <c r="H652" s="727"/>
      <c r="I652" s="727" t="s">
        <v>785</v>
      </c>
      <c r="J652" s="727" t="s">
        <v>786</v>
      </c>
      <c r="K652" s="729">
        <v>320755</v>
      </c>
      <c r="L652" s="728" t="s">
        <v>175</v>
      </c>
      <c r="M652" s="728" t="s">
        <v>176</v>
      </c>
      <c r="N652" s="727"/>
      <c r="O652" s="727"/>
      <c r="P652" s="727"/>
      <c r="Q652" s="727"/>
      <c r="R652" s="730"/>
      <c r="S652" s="727"/>
      <c r="T652" s="728" t="s">
        <v>179</v>
      </c>
    </row>
    <row r="653" ht="34.5">
      <c r="A653" s="728" t="s">
        <v>326</v>
      </c>
      <c r="B653" s="728" t="s">
        <v>168</v>
      </c>
      <c r="C653" s="728" t="s">
        <v>783</v>
      </c>
      <c r="D653" s="728" t="s">
        <v>784</v>
      </c>
      <c r="E653" s="728" t="s">
        <v>769</v>
      </c>
      <c r="F653" s="727" t="s">
        <v>769</v>
      </c>
      <c r="G653" s="728" t="s">
        <v>180</v>
      </c>
      <c r="H653" s="727"/>
      <c r="I653" s="727" t="s">
        <v>785</v>
      </c>
      <c r="J653" s="727" t="s">
        <v>787</v>
      </c>
      <c r="K653" s="729">
        <v>38288</v>
      </c>
      <c r="L653" s="728" t="s">
        <v>175</v>
      </c>
      <c r="M653" s="728" t="s">
        <v>176</v>
      </c>
      <c r="N653" s="727"/>
      <c r="O653" s="727"/>
      <c r="P653" s="727"/>
      <c r="Q653" s="727"/>
      <c r="R653" s="730"/>
      <c r="S653" s="727"/>
      <c r="T653" s="728" t="s">
        <v>179</v>
      </c>
    </row>
    <row r="654" ht="34.5">
      <c r="A654" s="728" t="s">
        <v>326</v>
      </c>
      <c r="B654" s="728" t="s">
        <v>168</v>
      </c>
      <c r="C654" s="728" t="s">
        <v>783</v>
      </c>
      <c r="D654" s="728" t="s">
        <v>784</v>
      </c>
      <c r="E654" s="728" t="s">
        <v>769</v>
      </c>
      <c r="F654" s="727" t="s">
        <v>769</v>
      </c>
      <c r="G654" s="728" t="s">
        <v>180</v>
      </c>
      <c r="H654" s="727"/>
      <c r="I654" s="727" t="s">
        <v>785</v>
      </c>
      <c r="J654" s="727" t="s">
        <v>788</v>
      </c>
      <c r="K654" s="729">
        <v>359043</v>
      </c>
      <c r="L654" s="728" t="s">
        <v>175</v>
      </c>
      <c r="M654" s="728" t="s">
        <v>176</v>
      </c>
      <c r="N654" s="727"/>
      <c r="O654" s="727"/>
      <c r="P654" s="727"/>
      <c r="Q654" s="727"/>
      <c r="R654" s="730"/>
      <c r="S654" s="727" t="s">
        <v>369</v>
      </c>
      <c r="T654" s="728" t="s">
        <v>179</v>
      </c>
    </row>
    <row r="655" ht="34.5">
      <c r="A655" s="728" t="s">
        <v>326</v>
      </c>
      <c r="B655" s="728" t="s">
        <v>168</v>
      </c>
      <c r="C655" s="728" t="s">
        <v>783</v>
      </c>
      <c r="D655" s="728" t="s">
        <v>784</v>
      </c>
      <c r="E655" s="728" t="s">
        <v>769</v>
      </c>
      <c r="F655" s="727" t="s">
        <v>769</v>
      </c>
      <c r="G655" s="728" t="s">
        <v>180</v>
      </c>
      <c r="H655" s="727"/>
      <c r="I655" s="727" t="s">
        <v>785</v>
      </c>
      <c r="J655" s="727" t="s">
        <v>789</v>
      </c>
      <c r="K655" s="729">
        <v>317812</v>
      </c>
      <c r="L655" s="728" t="s">
        <v>175</v>
      </c>
      <c r="M655" s="728" t="s">
        <v>176</v>
      </c>
      <c r="N655" s="727"/>
      <c r="O655" s="727"/>
      <c r="P655" s="727"/>
      <c r="Q655" s="727"/>
      <c r="R655" s="730"/>
      <c r="S655" s="727"/>
      <c r="T655" s="728" t="s">
        <v>179</v>
      </c>
    </row>
    <row r="656" ht="34.5">
      <c r="A656" s="728" t="s">
        <v>326</v>
      </c>
      <c r="B656" s="728" t="s">
        <v>168</v>
      </c>
      <c r="C656" s="728" t="s">
        <v>783</v>
      </c>
      <c r="D656" s="728" t="s">
        <v>784</v>
      </c>
      <c r="E656" s="728" t="s">
        <v>769</v>
      </c>
      <c r="F656" s="727" t="s">
        <v>769</v>
      </c>
      <c r="G656" s="728" t="s">
        <v>180</v>
      </c>
      <c r="H656" s="727" t="s">
        <v>28</v>
      </c>
      <c r="I656" s="727" t="s">
        <v>785</v>
      </c>
      <c r="J656" s="727" t="s">
        <v>790</v>
      </c>
      <c r="K656" s="729">
        <v>19345052</v>
      </c>
      <c r="L656" s="728" t="s">
        <v>175</v>
      </c>
      <c r="M656" s="728" t="s">
        <v>176</v>
      </c>
      <c r="N656" s="727"/>
      <c r="O656" s="727"/>
      <c r="P656" s="727"/>
      <c r="Q656" s="727" t="s">
        <v>791</v>
      </c>
      <c r="R656" s="730"/>
      <c r="S656" s="727" t="s">
        <v>792</v>
      </c>
      <c r="T656" s="728" t="s">
        <v>179</v>
      </c>
    </row>
    <row r="657" ht="34.5">
      <c r="A657" s="728" t="s">
        <v>326</v>
      </c>
      <c r="B657" s="728" t="s">
        <v>168</v>
      </c>
      <c r="C657" s="728" t="s">
        <v>783</v>
      </c>
      <c r="D657" s="728" t="s">
        <v>784</v>
      </c>
      <c r="E657" s="728" t="s">
        <v>769</v>
      </c>
      <c r="F657" s="727" t="s">
        <v>769</v>
      </c>
      <c r="G657" s="728" t="s">
        <v>180</v>
      </c>
      <c r="H657" s="727"/>
      <c r="I657" s="727" t="s">
        <v>785</v>
      </c>
      <c r="J657" s="727" t="s">
        <v>793</v>
      </c>
      <c r="K657" s="729">
        <v>0</v>
      </c>
      <c r="L657" s="728" t="s">
        <v>175</v>
      </c>
      <c r="M657" s="728" t="s">
        <v>176</v>
      </c>
      <c r="N657" s="727"/>
      <c r="O657" s="727"/>
      <c r="P657" s="727"/>
      <c r="Q657" s="727"/>
      <c r="R657" s="730"/>
      <c r="S657" s="727"/>
      <c r="T657" s="728" t="s">
        <v>179</v>
      </c>
    </row>
    <row r="658" ht="34.5">
      <c r="A658" s="728" t="s">
        <v>326</v>
      </c>
      <c r="B658" s="728" t="s">
        <v>168</v>
      </c>
      <c r="C658" s="728" t="s">
        <v>783</v>
      </c>
      <c r="D658" s="728" t="s">
        <v>784</v>
      </c>
      <c r="E658" s="728" t="s">
        <v>769</v>
      </c>
      <c r="F658" s="727" t="s">
        <v>769</v>
      </c>
      <c r="G658" s="728" t="s">
        <v>180</v>
      </c>
      <c r="H658" s="727"/>
      <c r="I658" s="727" t="s">
        <v>785</v>
      </c>
      <c r="J658" s="727" t="s">
        <v>794</v>
      </c>
      <c r="K658" s="729">
        <v>700</v>
      </c>
      <c r="L658" s="728" t="s">
        <v>175</v>
      </c>
      <c r="M658" s="728" t="s">
        <v>176</v>
      </c>
      <c r="N658" s="727"/>
      <c r="O658" s="727"/>
      <c r="P658" s="727"/>
      <c r="Q658" s="727"/>
      <c r="R658" s="730"/>
      <c r="S658" s="727"/>
      <c r="T658" s="728" t="s">
        <v>179</v>
      </c>
    </row>
    <row r="659" ht="34.5">
      <c r="A659" s="728" t="s">
        <v>326</v>
      </c>
      <c r="B659" s="728" t="s">
        <v>168</v>
      </c>
      <c r="C659" s="728" t="s">
        <v>783</v>
      </c>
      <c r="D659" s="728" t="s">
        <v>784</v>
      </c>
      <c r="E659" s="728" t="s">
        <v>769</v>
      </c>
      <c r="F659" s="727" t="s">
        <v>769</v>
      </c>
      <c r="G659" s="728" t="s">
        <v>180</v>
      </c>
      <c r="H659" s="727"/>
      <c r="I659" s="727" t="s">
        <v>785</v>
      </c>
      <c r="J659" s="727" t="s">
        <v>795</v>
      </c>
      <c r="K659" s="729">
        <v>700</v>
      </c>
      <c r="L659" s="728" t="s">
        <v>175</v>
      </c>
      <c r="M659" s="728" t="s">
        <v>176</v>
      </c>
      <c r="N659" s="727"/>
      <c r="O659" s="727"/>
      <c r="P659" s="727"/>
      <c r="Q659" s="727"/>
      <c r="R659" s="730"/>
      <c r="S659" s="727" t="s">
        <v>369</v>
      </c>
      <c r="T659" s="728" t="s">
        <v>179</v>
      </c>
    </row>
    <row r="660" ht="34.5">
      <c r="A660" s="728" t="s">
        <v>326</v>
      </c>
      <c r="B660" s="728" t="s">
        <v>168</v>
      </c>
      <c r="C660" s="728" t="s">
        <v>783</v>
      </c>
      <c r="D660" s="728" t="s">
        <v>784</v>
      </c>
      <c r="E660" s="728" t="s">
        <v>769</v>
      </c>
      <c r="F660" s="727" t="s">
        <v>769</v>
      </c>
      <c r="G660" s="728" t="s">
        <v>180</v>
      </c>
      <c r="H660" s="727"/>
      <c r="I660" s="727" t="s">
        <v>796</v>
      </c>
      <c r="J660" s="727" t="s">
        <v>797</v>
      </c>
      <c r="K660" s="729">
        <v>20483132</v>
      </c>
      <c r="L660" s="728" t="s">
        <v>175</v>
      </c>
      <c r="M660" s="728" t="s">
        <v>176</v>
      </c>
      <c r="N660" s="727"/>
      <c r="O660" s="727"/>
      <c r="P660" s="727"/>
      <c r="Q660" s="727"/>
      <c r="R660" s="730"/>
      <c r="S660" s="727"/>
      <c r="T660" s="728" t="s">
        <v>179</v>
      </c>
    </row>
    <row r="661" ht="34.5">
      <c r="A661" s="728" t="s">
        <v>326</v>
      </c>
      <c r="B661" s="728" t="s">
        <v>168</v>
      </c>
      <c r="C661" s="728" t="s">
        <v>783</v>
      </c>
      <c r="D661" s="728" t="s">
        <v>784</v>
      </c>
      <c r="E661" s="728" t="s">
        <v>769</v>
      </c>
      <c r="F661" s="727" t="s">
        <v>769</v>
      </c>
      <c r="G661" s="728" t="s">
        <v>180</v>
      </c>
      <c r="H661" s="727"/>
      <c r="I661" s="727" t="s">
        <v>796</v>
      </c>
      <c r="J661" s="727" t="s">
        <v>798</v>
      </c>
      <c r="K661" s="729">
        <v>-1138080</v>
      </c>
      <c r="L661" s="728" t="s">
        <v>175</v>
      </c>
      <c r="M661" s="728" t="s">
        <v>176</v>
      </c>
      <c r="N661" s="727"/>
      <c r="O661" s="727"/>
      <c r="P661" s="727"/>
      <c r="Q661" s="727"/>
      <c r="R661" s="730"/>
      <c r="S661" s="727"/>
      <c r="T661" s="728" t="s">
        <v>179</v>
      </c>
    </row>
    <row r="662" ht="34.5">
      <c r="A662" s="728" t="s">
        <v>326</v>
      </c>
      <c r="B662" s="728" t="s">
        <v>168</v>
      </c>
      <c r="C662" s="728" t="s">
        <v>783</v>
      </c>
      <c r="D662" s="728" t="s">
        <v>784</v>
      </c>
      <c r="E662" s="728" t="s">
        <v>769</v>
      </c>
      <c r="F662" s="727" t="s">
        <v>769</v>
      </c>
      <c r="G662" s="728" t="s">
        <v>180</v>
      </c>
      <c r="H662" s="727"/>
      <c r="I662" s="727" t="s">
        <v>796</v>
      </c>
      <c r="J662" s="727" t="s">
        <v>799</v>
      </c>
      <c r="K662" s="729">
        <v>19345052</v>
      </c>
      <c r="L662" s="728" t="s">
        <v>175</v>
      </c>
      <c r="M662" s="728" t="s">
        <v>176</v>
      </c>
      <c r="N662" s="727"/>
      <c r="O662" s="727"/>
      <c r="P662" s="727"/>
      <c r="Q662" s="727"/>
      <c r="R662" s="730"/>
      <c r="S662" s="727"/>
      <c r="T662" s="728" t="s">
        <v>179</v>
      </c>
    </row>
    <row r="663" ht="34.5">
      <c r="A663" s="728" t="s">
        <v>326</v>
      </c>
      <c r="B663" s="728" t="s">
        <v>168</v>
      </c>
      <c r="C663" s="728" t="s">
        <v>783</v>
      </c>
      <c r="D663" s="728" t="s">
        <v>784</v>
      </c>
      <c r="E663" s="728" t="s">
        <v>769</v>
      </c>
      <c r="F663" s="727" t="s">
        <v>769</v>
      </c>
      <c r="G663" s="728" t="s">
        <v>180</v>
      </c>
      <c r="H663" s="727"/>
      <c r="I663" s="727" t="s">
        <v>800</v>
      </c>
      <c r="J663" s="727" t="s">
        <v>797</v>
      </c>
      <c r="K663" s="729">
        <v>334670</v>
      </c>
      <c r="L663" s="728" t="s">
        <v>175</v>
      </c>
      <c r="M663" s="728" t="s">
        <v>176</v>
      </c>
      <c r="N663" s="727"/>
      <c r="O663" s="727"/>
      <c r="P663" s="727"/>
      <c r="Q663" s="727"/>
      <c r="R663" s="730"/>
      <c r="S663" s="727"/>
      <c r="T663" s="728" t="s">
        <v>179</v>
      </c>
    </row>
    <row r="664" ht="34.5">
      <c r="A664" s="728" t="s">
        <v>326</v>
      </c>
      <c r="B664" s="728" t="s">
        <v>168</v>
      </c>
      <c r="C664" s="728" t="s">
        <v>783</v>
      </c>
      <c r="D664" s="728" t="s">
        <v>784</v>
      </c>
      <c r="E664" s="728" t="s">
        <v>769</v>
      </c>
      <c r="F664" s="727" t="s">
        <v>769</v>
      </c>
      <c r="G664" s="728" t="s">
        <v>180</v>
      </c>
      <c r="H664" s="727"/>
      <c r="I664" s="727" t="s">
        <v>800</v>
      </c>
      <c r="J664" s="727" t="s">
        <v>801</v>
      </c>
      <c r="K664" s="729">
        <v>-1317299</v>
      </c>
      <c r="L664" s="728" t="s">
        <v>175</v>
      </c>
      <c r="M664" s="728" t="s">
        <v>176</v>
      </c>
      <c r="N664" s="727"/>
      <c r="O664" s="727"/>
      <c r="P664" s="727"/>
      <c r="Q664" s="727"/>
      <c r="R664" s="730"/>
      <c r="S664" s="727"/>
      <c r="T664" s="728" t="s">
        <v>179</v>
      </c>
    </row>
    <row r="665" ht="34.5">
      <c r="A665" s="728" t="s">
        <v>326</v>
      </c>
      <c r="B665" s="728" t="s">
        <v>168</v>
      </c>
      <c r="C665" s="728" t="s">
        <v>783</v>
      </c>
      <c r="D665" s="728" t="s">
        <v>784</v>
      </c>
      <c r="E665" s="728" t="s">
        <v>769</v>
      </c>
      <c r="F665" s="727" t="s">
        <v>769</v>
      </c>
      <c r="G665" s="728" t="s">
        <v>180</v>
      </c>
      <c r="H665" s="727"/>
      <c r="I665" s="727" t="s">
        <v>800</v>
      </c>
      <c r="J665" s="727" t="s">
        <v>802</v>
      </c>
      <c r="K665" s="729">
        <v>1300441</v>
      </c>
      <c r="L665" s="728" t="s">
        <v>175</v>
      </c>
      <c r="M665" s="728" t="s">
        <v>176</v>
      </c>
      <c r="N665" s="727"/>
      <c r="O665" s="727"/>
      <c r="P665" s="727"/>
      <c r="Q665" s="727"/>
      <c r="R665" s="730"/>
      <c r="S665" s="727"/>
      <c r="T665" s="728" t="s">
        <v>179</v>
      </c>
    </row>
    <row r="666" ht="34.5">
      <c r="A666" s="728" t="s">
        <v>326</v>
      </c>
      <c r="B666" s="728" t="s">
        <v>168</v>
      </c>
      <c r="C666" s="728" t="s">
        <v>783</v>
      </c>
      <c r="D666" s="728" t="s">
        <v>784</v>
      </c>
      <c r="E666" s="728" t="s">
        <v>769</v>
      </c>
      <c r="F666" s="727" t="s">
        <v>769</v>
      </c>
      <c r="G666" s="728" t="s">
        <v>180</v>
      </c>
      <c r="H666" s="727"/>
      <c r="I666" s="727" t="s">
        <v>800</v>
      </c>
      <c r="J666" s="727" t="s">
        <v>803</v>
      </c>
      <c r="K666" s="729">
        <v>317812</v>
      </c>
      <c r="L666" s="728" t="s">
        <v>175</v>
      </c>
      <c r="M666" s="728" t="s">
        <v>176</v>
      </c>
      <c r="N666" s="727"/>
      <c r="O666" s="727"/>
      <c r="P666" s="727"/>
      <c r="Q666" s="727"/>
      <c r="R666" s="730"/>
      <c r="S666" s="727"/>
      <c r="T666" s="728" t="s">
        <v>179</v>
      </c>
    </row>
    <row r="667" ht="34.5">
      <c r="A667" s="728" t="s">
        <v>327</v>
      </c>
      <c r="B667" s="728" t="s">
        <v>328</v>
      </c>
      <c r="C667" s="728" t="s">
        <v>783</v>
      </c>
      <c r="D667" s="728" t="s">
        <v>772</v>
      </c>
      <c r="E667" s="728" t="s">
        <v>769</v>
      </c>
      <c r="F667" s="727" t="s">
        <v>769</v>
      </c>
      <c r="G667" s="728" t="s">
        <v>180</v>
      </c>
      <c r="H667" s="727"/>
      <c r="I667" s="727" t="s">
        <v>785</v>
      </c>
      <c r="J667" s="727" t="s">
        <v>786</v>
      </c>
      <c r="K667" s="729">
        <v>445512</v>
      </c>
      <c r="L667" s="728" t="s">
        <v>175</v>
      </c>
      <c r="M667" s="728" t="s">
        <v>176</v>
      </c>
      <c r="N667" s="727"/>
      <c r="O667" s="727"/>
      <c r="P667" s="727"/>
      <c r="Q667" s="727"/>
      <c r="R667" s="730"/>
      <c r="S667" s="727"/>
      <c r="T667" s="728" t="s">
        <v>179</v>
      </c>
    </row>
    <row r="668" ht="34.5">
      <c r="A668" s="728" t="s">
        <v>327</v>
      </c>
      <c r="B668" s="728" t="s">
        <v>328</v>
      </c>
      <c r="C668" s="728" t="s">
        <v>783</v>
      </c>
      <c r="D668" s="728" t="s">
        <v>772</v>
      </c>
      <c r="E668" s="728" t="s">
        <v>769</v>
      </c>
      <c r="F668" s="727" t="s">
        <v>769</v>
      </c>
      <c r="G668" s="728" t="s">
        <v>180</v>
      </c>
      <c r="H668" s="727"/>
      <c r="I668" s="727" t="s">
        <v>785</v>
      </c>
      <c r="J668" s="727" t="s">
        <v>787</v>
      </c>
      <c r="K668" s="729">
        <v>3423</v>
      </c>
      <c r="L668" s="728" t="s">
        <v>175</v>
      </c>
      <c r="M668" s="728" t="s">
        <v>176</v>
      </c>
      <c r="N668" s="727"/>
      <c r="O668" s="727"/>
      <c r="P668" s="727"/>
      <c r="Q668" s="727"/>
      <c r="R668" s="730"/>
      <c r="S668" s="727"/>
      <c r="T668" s="728" t="s">
        <v>179</v>
      </c>
    </row>
    <row r="669" ht="34.5">
      <c r="A669" s="728" t="s">
        <v>327</v>
      </c>
      <c r="B669" s="728" t="s">
        <v>328</v>
      </c>
      <c r="C669" s="728" t="s">
        <v>783</v>
      </c>
      <c r="D669" s="728" t="s">
        <v>772</v>
      </c>
      <c r="E669" s="728" t="s">
        <v>769</v>
      </c>
      <c r="F669" s="727" t="s">
        <v>769</v>
      </c>
      <c r="G669" s="728" t="s">
        <v>180</v>
      </c>
      <c r="H669" s="727"/>
      <c r="I669" s="727" t="s">
        <v>785</v>
      </c>
      <c r="J669" s="727" t="s">
        <v>788</v>
      </c>
      <c r="K669" s="729">
        <v>448935</v>
      </c>
      <c r="L669" s="728" t="s">
        <v>175</v>
      </c>
      <c r="M669" s="728" t="s">
        <v>176</v>
      </c>
      <c r="N669" s="727"/>
      <c r="O669" s="727"/>
      <c r="P669" s="727"/>
      <c r="Q669" s="727"/>
      <c r="R669" s="730"/>
      <c r="S669" s="727" t="s">
        <v>369</v>
      </c>
      <c r="T669" s="728" t="s">
        <v>179</v>
      </c>
    </row>
    <row r="670" ht="34.5">
      <c r="A670" s="728" t="s">
        <v>327</v>
      </c>
      <c r="B670" s="728" t="s">
        <v>328</v>
      </c>
      <c r="C670" s="728" t="s">
        <v>783</v>
      </c>
      <c r="D670" s="728" t="s">
        <v>772</v>
      </c>
      <c r="E670" s="728" t="s">
        <v>769</v>
      </c>
      <c r="F670" s="727" t="s">
        <v>769</v>
      </c>
      <c r="G670" s="728" t="s">
        <v>180</v>
      </c>
      <c r="H670" s="727"/>
      <c r="I670" s="727" t="s">
        <v>785</v>
      </c>
      <c r="J670" s="727" t="s">
        <v>789</v>
      </c>
      <c r="K670" s="729">
        <v>334670</v>
      </c>
      <c r="L670" s="728" t="s">
        <v>175</v>
      </c>
      <c r="M670" s="728" t="s">
        <v>176</v>
      </c>
      <c r="N670" s="727"/>
      <c r="O670" s="727"/>
      <c r="P670" s="727"/>
      <c r="Q670" s="727"/>
      <c r="R670" s="730"/>
      <c r="S670" s="727"/>
      <c r="T670" s="728" t="s">
        <v>179</v>
      </c>
    </row>
    <row r="671" ht="34.5">
      <c r="A671" s="728" t="s">
        <v>327</v>
      </c>
      <c r="B671" s="728" t="s">
        <v>328</v>
      </c>
      <c r="C671" s="728" t="s">
        <v>783</v>
      </c>
      <c r="D671" s="728" t="s">
        <v>772</v>
      </c>
      <c r="E671" s="728" t="s">
        <v>769</v>
      </c>
      <c r="F671" s="727" t="s">
        <v>769</v>
      </c>
      <c r="G671" s="728" t="s">
        <v>180</v>
      </c>
      <c r="H671" s="727" t="s">
        <v>28</v>
      </c>
      <c r="I671" s="727" t="s">
        <v>785</v>
      </c>
      <c r="J671" s="727" t="s">
        <v>790</v>
      </c>
      <c r="K671" s="729">
        <v>20483132</v>
      </c>
      <c r="L671" s="728" t="s">
        <v>175</v>
      </c>
      <c r="M671" s="728" t="s">
        <v>176</v>
      </c>
      <c r="N671" s="727"/>
      <c r="O671" s="727"/>
      <c r="P671" s="727"/>
      <c r="Q671" s="727"/>
      <c r="R671" s="730"/>
      <c r="S671" s="727" t="s">
        <v>792</v>
      </c>
      <c r="T671" s="728" t="s">
        <v>179</v>
      </c>
    </row>
    <row r="672" ht="34.5">
      <c r="A672" s="728" t="s">
        <v>327</v>
      </c>
      <c r="B672" s="728" t="s">
        <v>328</v>
      </c>
      <c r="C672" s="728" t="s">
        <v>783</v>
      </c>
      <c r="D672" s="728" t="s">
        <v>772</v>
      </c>
      <c r="E672" s="728" t="s">
        <v>769</v>
      </c>
      <c r="F672" s="727" t="s">
        <v>769</v>
      </c>
      <c r="G672" s="728" t="s">
        <v>180</v>
      </c>
      <c r="H672" s="727"/>
      <c r="I672" s="727" t="s">
        <v>785</v>
      </c>
      <c r="J672" s="727" t="s">
        <v>793</v>
      </c>
      <c r="K672" s="729">
        <v>80625</v>
      </c>
      <c r="L672" s="728" t="s">
        <v>175</v>
      </c>
      <c r="M672" s="728" t="s">
        <v>176</v>
      </c>
      <c r="N672" s="727"/>
      <c r="O672" s="727"/>
      <c r="P672" s="727"/>
      <c r="Q672" s="727"/>
      <c r="R672" s="730"/>
      <c r="S672" s="727"/>
      <c r="T672" s="728" t="s">
        <v>179</v>
      </c>
    </row>
    <row r="673" ht="34.5">
      <c r="A673" s="728" t="s">
        <v>327</v>
      </c>
      <c r="B673" s="728" t="s">
        <v>328</v>
      </c>
      <c r="C673" s="728" t="s">
        <v>783</v>
      </c>
      <c r="D673" s="728" t="s">
        <v>772</v>
      </c>
      <c r="E673" s="728" t="s">
        <v>769</v>
      </c>
      <c r="F673" s="727" t="s">
        <v>769</v>
      </c>
      <c r="G673" s="728" t="s">
        <v>180</v>
      </c>
      <c r="H673" s="727"/>
      <c r="I673" s="727" t="s">
        <v>785</v>
      </c>
      <c r="J673" s="727" t="s">
        <v>794</v>
      </c>
      <c r="K673" s="729">
        <v>146</v>
      </c>
      <c r="L673" s="728" t="s">
        <v>175</v>
      </c>
      <c r="M673" s="728" t="s">
        <v>176</v>
      </c>
      <c r="N673" s="727"/>
      <c r="O673" s="727"/>
      <c r="P673" s="727"/>
      <c r="Q673" s="727"/>
      <c r="R673" s="730"/>
      <c r="S673" s="727"/>
      <c r="T673" s="728" t="s">
        <v>179</v>
      </c>
    </row>
    <row r="674" ht="34.5">
      <c r="A674" s="728" t="s">
        <v>327</v>
      </c>
      <c r="B674" s="728" t="s">
        <v>328</v>
      </c>
      <c r="C674" s="728" t="s">
        <v>783</v>
      </c>
      <c r="D674" s="728" t="s">
        <v>772</v>
      </c>
      <c r="E674" s="728" t="s">
        <v>769</v>
      </c>
      <c r="F674" s="727" t="s">
        <v>769</v>
      </c>
      <c r="G674" s="728" t="s">
        <v>180</v>
      </c>
      <c r="H674" s="727"/>
      <c r="I674" s="727" t="s">
        <v>785</v>
      </c>
      <c r="J674" s="727" t="s">
        <v>795</v>
      </c>
      <c r="K674" s="729">
        <v>80771</v>
      </c>
      <c r="L674" s="728" t="s">
        <v>175</v>
      </c>
      <c r="M674" s="728" t="s">
        <v>176</v>
      </c>
      <c r="N674" s="727"/>
      <c r="O674" s="727"/>
      <c r="P674" s="727"/>
      <c r="Q674" s="727"/>
      <c r="R674" s="730"/>
      <c r="S674" s="727" t="s">
        <v>369</v>
      </c>
      <c r="T674" s="728" t="s">
        <v>179</v>
      </c>
    </row>
    <row r="675" ht="34.5">
      <c r="A675" s="728" t="s">
        <v>327</v>
      </c>
      <c r="B675" s="728" t="s">
        <v>328</v>
      </c>
      <c r="C675" s="728" t="s">
        <v>804</v>
      </c>
      <c r="D675" s="728" t="s">
        <v>784</v>
      </c>
      <c r="E675" s="728" t="s">
        <v>769</v>
      </c>
      <c r="F675" s="727" t="s">
        <v>769</v>
      </c>
      <c r="G675" s="728" t="s">
        <v>180</v>
      </c>
      <c r="H675" s="727"/>
      <c r="I675" s="727" t="s">
        <v>796</v>
      </c>
      <c r="J675" s="727" t="s">
        <v>797</v>
      </c>
      <c r="K675" s="729">
        <v>20483132</v>
      </c>
      <c r="L675" s="728" t="s">
        <v>175</v>
      </c>
      <c r="M675" s="728" t="s">
        <v>176</v>
      </c>
      <c r="N675" s="727"/>
      <c r="O675" s="727"/>
      <c r="P675" s="727"/>
      <c r="Q675" s="727"/>
      <c r="R675" s="730"/>
      <c r="S675" s="727"/>
      <c r="T675" s="728" t="s">
        <v>179</v>
      </c>
    </row>
    <row r="676" ht="34.5">
      <c r="A676" s="728" t="s">
        <v>327</v>
      </c>
      <c r="B676" s="728" t="s">
        <v>328</v>
      </c>
      <c r="C676" s="728" t="s">
        <v>804</v>
      </c>
      <c r="D676" s="728" t="s">
        <v>784</v>
      </c>
      <c r="E676" s="728" t="s">
        <v>769</v>
      </c>
      <c r="F676" s="727" t="s">
        <v>769</v>
      </c>
      <c r="G676" s="728" t="s">
        <v>180</v>
      </c>
      <c r="H676" s="727"/>
      <c r="I676" s="727" t="s">
        <v>796</v>
      </c>
      <c r="J676" s="727" t="s">
        <v>798</v>
      </c>
      <c r="K676" s="729">
        <v>-996981</v>
      </c>
      <c r="L676" s="728" t="s">
        <v>175</v>
      </c>
      <c r="M676" s="728" t="s">
        <v>176</v>
      </c>
      <c r="N676" s="727"/>
      <c r="O676" s="727"/>
      <c r="P676" s="727"/>
      <c r="Q676" s="727"/>
      <c r="R676" s="730"/>
      <c r="S676" s="727"/>
      <c r="T676" s="728" t="s">
        <v>179</v>
      </c>
    </row>
    <row r="677" ht="34.5">
      <c r="A677" s="728" t="s">
        <v>327</v>
      </c>
      <c r="B677" s="728" t="s">
        <v>328</v>
      </c>
      <c r="C677" s="728" t="s">
        <v>804</v>
      </c>
      <c r="D677" s="728" t="s">
        <v>784</v>
      </c>
      <c r="E677" s="728" t="s">
        <v>769</v>
      </c>
      <c r="F677" s="727" t="s">
        <v>769</v>
      </c>
      <c r="G677" s="728" t="s">
        <v>180</v>
      </c>
      <c r="H677" s="727"/>
      <c r="I677" s="727" t="s">
        <v>796</v>
      </c>
      <c r="J677" s="727" t="s">
        <v>799</v>
      </c>
      <c r="K677" s="729">
        <v>19345052</v>
      </c>
      <c r="L677" s="728" t="s">
        <v>175</v>
      </c>
      <c r="M677" s="728" t="s">
        <v>176</v>
      </c>
      <c r="N677" s="727"/>
      <c r="O677" s="727"/>
      <c r="P677" s="727"/>
      <c r="Q677" s="727"/>
      <c r="R677" s="730"/>
      <c r="S677" s="727"/>
      <c r="T677" s="728" t="s">
        <v>179</v>
      </c>
    </row>
    <row r="678" ht="34.5">
      <c r="A678" s="728" t="s">
        <v>327</v>
      </c>
      <c r="B678" s="728" t="s">
        <v>328</v>
      </c>
      <c r="C678" s="728" t="s">
        <v>804</v>
      </c>
      <c r="D678" s="728" t="s">
        <v>784</v>
      </c>
      <c r="E678" s="728" t="s">
        <v>769</v>
      </c>
      <c r="F678" s="727" t="s">
        <v>769</v>
      </c>
      <c r="G678" s="728" t="s">
        <v>180</v>
      </c>
      <c r="H678" s="727"/>
      <c r="I678" s="727" t="s">
        <v>800</v>
      </c>
      <c r="J678" s="727" t="s">
        <v>797</v>
      </c>
      <c r="K678" s="729">
        <v>334670</v>
      </c>
      <c r="L678" s="728" t="s">
        <v>175</v>
      </c>
      <c r="M678" s="728" t="s">
        <v>176</v>
      </c>
      <c r="N678" s="727"/>
      <c r="O678" s="727"/>
      <c r="P678" s="727"/>
      <c r="Q678" s="727"/>
      <c r="R678" s="730"/>
      <c r="S678" s="727"/>
      <c r="T678" s="728" t="s">
        <v>179</v>
      </c>
    </row>
    <row r="679" ht="34.5">
      <c r="A679" s="728" t="s">
        <v>327</v>
      </c>
      <c r="B679" s="728" t="s">
        <v>328</v>
      </c>
      <c r="C679" s="728" t="s">
        <v>804</v>
      </c>
      <c r="D679" s="728" t="s">
        <v>784</v>
      </c>
      <c r="E679" s="728" t="s">
        <v>769</v>
      </c>
      <c r="F679" s="727" t="s">
        <v>769</v>
      </c>
      <c r="G679" s="728" t="s">
        <v>180</v>
      </c>
      <c r="H679" s="727"/>
      <c r="I679" s="727" t="s">
        <v>800</v>
      </c>
      <c r="J679" s="727" t="s">
        <v>801</v>
      </c>
      <c r="K679" s="729">
        <v>-1384321</v>
      </c>
      <c r="L679" s="728" t="s">
        <v>175</v>
      </c>
      <c r="M679" s="728" t="s">
        <v>176</v>
      </c>
      <c r="N679" s="727"/>
      <c r="O679" s="727"/>
      <c r="P679" s="727"/>
      <c r="Q679" s="727"/>
      <c r="R679" s="730"/>
      <c r="S679" s="727"/>
      <c r="T679" s="728" t="s">
        <v>179</v>
      </c>
    </row>
    <row r="680" ht="34.5">
      <c r="A680" s="728" t="s">
        <v>327</v>
      </c>
      <c r="B680" s="728" t="s">
        <v>328</v>
      </c>
      <c r="C680" s="728" t="s">
        <v>804</v>
      </c>
      <c r="D680" s="728" t="s">
        <v>784</v>
      </c>
      <c r="E680" s="728" t="s">
        <v>769</v>
      </c>
      <c r="F680" s="727" t="s">
        <v>769</v>
      </c>
      <c r="G680" s="728" t="s">
        <v>180</v>
      </c>
      <c r="H680" s="727"/>
      <c r="I680" s="727" t="s">
        <v>800</v>
      </c>
      <c r="J680" s="727" t="s">
        <v>802</v>
      </c>
      <c r="K680" s="729">
        <v>1366104</v>
      </c>
      <c r="L680" s="728" t="s">
        <v>175</v>
      </c>
      <c r="M680" s="728" t="s">
        <v>176</v>
      </c>
      <c r="N680" s="727"/>
      <c r="O680" s="727"/>
      <c r="P680" s="727"/>
      <c r="Q680" s="727"/>
      <c r="R680" s="730"/>
      <c r="S680" s="727"/>
      <c r="T680" s="728" t="s">
        <v>179</v>
      </c>
    </row>
    <row r="681" ht="34.5">
      <c r="A681" s="728" t="s">
        <v>327</v>
      </c>
      <c r="B681" s="728" t="s">
        <v>328</v>
      </c>
      <c r="C681" s="728" t="s">
        <v>804</v>
      </c>
      <c r="D681" s="728" t="s">
        <v>784</v>
      </c>
      <c r="E681" s="728" t="s">
        <v>769</v>
      </c>
      <c r="F681" s="727" t="s">
        <v>769</v>
      </c>
      <c r="G681" s="728" t="s">
        <v>180</v>
      </c>
      <c r="H681" s="727"/>
      <c r="I681" s="727" t="s">
        <v>800</v>
      </c>
      <c r="J681" s="727" t="s">
        <v>803</v>
      </c>
      <c r="K681" s="729">
        <v>334670</v>
      </c>
      <c r="L681" s="728" t="s">
        <v>175</v>
      </c>
      <c r="M681" s="728" t="s">
        <v>176</v>
      </c>
      <c r="N681" s="727"/>
      <c r="O681" s="727"/>
      <c r="P681" s="727"/>
      <c r="Q681" s="727"/>
      <c r="R681" s="730"/>
      <c r="S681" s="727"/>
      <c r="T681" s="728" t="s">
        <v>179</v>
      </c>
    </row>
    <row r="682" ht="34.5">
      <c r="A682" s="728" t="s">
        <v>333</v>
      </c>
      <c r="B682" s="728" t="s">
        <v>334</v>
      </c>
      <c r="C682" s="728" t="s">
        <v>759</v>
      </c>
      <c r="D682" s="728" t="s">
        <v>784</v>
      </c>
      <c r="E682" s="728" t="s">
        <v>769</v>
      </c>
      <c r="F682" s="727" t="s">
        <v>769</v>
      </c>
      <c r="G682" s="728" t="s">
        <v>180</v>
      </c>
      <c r="H682" s="727"/>
      <c r="I682" s="727" t="s">
        <v>785</v>
      </c>
      <c r="J682" s="727" t="s">
        <v>786</v>
      </c>
      <c r="K682" s="729">
        <v>366403</v>
      </c>
      <c r="L682" s="728" t="s">
        <v>175</v>
      </c>
      <c r="M682" s="728" t="s">
        <v>176</v>
      </c>
      <c r="N682" s="727"/>
      <c r="O682" s="727"/>
      <c r="P682" s="727"/>
      <c r="Q682" s="727"/>
      <c r="R682" s="730"/>
      <c r="S682" s="727"/>
      <c r="T682" s="728" t="s">
        <v>179</v>
      </c>
    </row>
    <row r="683" ht="34.5">
      <c r="A683" s="728" t="s">
        <v>333</v>
      </c>
      <c r="B683" s="728" t="s">
        <v>334</v>
      </c>
      <c r="C683" s="728" t="s">
        <v>759</v>
      </c>
      <c r="D683" s="728" t="s">
        <v>784</v>
      </c>
      <c r="E683" s="728" t="s">
        <v>769</v>
      </c>
      <c r="F683" s="727" t="s">
        <v>769</v>
      </c>
      <c r="G683" s="728" t="s">
        <v>180</v>
      </c>
      <c r="H683" s="727"/>
      <c r="I683" s="727" t="s">
        <v>785</v>
      </c>
      <c r="J683" s="727" t="s">
        <v>787</v>
      </c>
      <c r="K683" s="729">
        <v>1924</v>
      </c>
      <c r="L683" s="728" t="s">
        <v>175</v>
      </c>
      <c r="M683" s="728" t="s">
        <v>176</v>
      </c>
      <c r="N683" s="727"/>
      <c r="O683" s="727"/>
      <c r="P683" s="727"/>
      <c r="Q683" s="727"/>
      <c r="R683" s="730"/>
      <c r="S683" s="727"/>
      <c r="T683" s="728" t="s">
        <v>179</v>
      </c>
    </row>
    <row r="684" ht="34.5">
      <c r="A684" s="728" t="s">
        <v>333</v>
      </c>
      <c r="B684" s="728" t="s">
        <v>334</v>
      </c>
      <c r="C684" s="728" t="s">
        <v>759</v>
      </c>
      <c r="D684" s="728" t="s">
        <v>784</v>
      </c>
      <c r="E684" s="728" t="s">
        <v>769</v>
      </c>
      <c r="F684" s="727" t="s">
        <v>769</v>
      </c>
      <c r="G684" s="728" t="s">
        <v>180</v>
      </c>
      <c r="H684" s="727"/>
      <c r="I684" s="727" t="s">
        <v>785</v>
      </c>
      <c r="J684" s="727" t="s">
        <v>788</v>
      </c>
      <c r="K684" s="729">
        <v>368327</v>
      </c>
      <c r="L684" s="728" t="s">
        <v>175</v>
      </c>
      <c r="M684" s="728" t="s">
        <v>176</v>
      </c>
      <c r="N684" s="727"/>
      <c r="O684" s="727"/>
      <c r="P684" s="727"/>
      <c r="Q684" s="727"/>
      <c r="R684" s="730"/>
      <c r="S684" s="727" t="s">
        <v>369</v>
      </c>
      <c r="T684" s="728" t="s">
        <v>179</v>
      </c>
    </row>
    <row r="685" ht="34.5">
      <c r="A685" s="728" t="s">
        <v>333</v>
      </c>
      <c r="B685" s="728" t="s">
        <v>334</v>
      </c>
      <c r="C685" s="728" t="s">
        <v>759</v>
      </c>
      <c r="D685" s="728" t="s">
        <v>784</v>
      </c>
      <c r="E685" s="728" t="s">
        <v>769</v>
      </c>
      <c r="F685" s="727" t="s">
        <v>769</v>
      </c>
      <c r="G685" s="728" t="s">
        <v>180</v>
      </c>
      <c r="H685" s="727"/>
      <c r="I685" s="727" t="s">
        <v>785</v>
      </c>
      <c r="J685" s="727" t="s">
        <v>805</v>
      </c>
      <c r="K685" s="729">
        <v>352888</v>
      </c>
      <c r="L685" s="728" t="s">
        <v>175</v>
      </c>
      <c r="M685" s="728" t="s">
        <v>176</v>
      </c>
      <c r="N685" s="727"/>
      <c r="O685" s="727"/>
      <c r="P685" s="727"/>
      <c r="Q685" s="727"/>
      <c r="R685" s="730"/>
      <c r="S685" s="727"/>
      <c r="T685" s="728" t="s">
        <v>179</v>
      </c>
    </row>
    <row r="686" ht="34.5">
      <c r="A686" s="728" t="s">
        <v>333</v>
      </c>
      <c r="B686" s="728" t="s">
        <v>334</v>
      </c>
      <c r="C686" s="728" t="s">
        <v>759</v>
      </c>
      <c r="D686" s="728" t="s">
        <v>784</v>
      </c>
      <c r="E686" s="728" t="s">
        <v>769</v>
      </c>
      <c r="F686" s="727" t="s">
        <v>769</v>
      </c>
      <c r="G686" s="728" t="s">
        <v>180</v>
      </c>
      <c r="H686" s="727" t="s">
        <v>28</v>
      </c>
      <c r="I686" s="727" t="s">
        <v>785</v>
      </c>
      <c r="J686" s="727" t="s">
        <v>799</v>
      </c>
      <c r="K686" s="729">
        <v>21480113</v>
      </c>
      <c r="L686" s="728" t="s">
        <v>175</v>
      </c>
      <c r="M686" s="728" t="s">
        <v>176</v>
      </c>
      <c r="N686" s="727"/>
      <c r="O686" s="727"/>
      <c r="P686" s="727"/>
      <c r="Q686" s="727"/>
      <c r="R686" s="730"/>
      <c r="S686" s="727" t="s">
        <v>792</v>
      </c>
      <c r="T686" s="728" t="s">
        <v>179</v>
      </c>
    </row>
    <row r="687" ht="34.5">
      <c r="A687" s="728" t="s">
        <v>333</v>
      </c>
      <c r="B687" s="728" t="s">
        <v>334</v>
      </c>
      <c r="C687" s="728" t="s">
        <v>759</v>
      </c>
      <c r="D687" s="728" t="s">
        <v>784</v>
      </c>
      <c r="E687" s="728" t="s">
        <v>769</v>
      </c>
      <c r="F687" s="727" t="s">
        <v>769</v>
      </c>
      <c r="G687" s="728" t="s">
        <v>180</v>
      </c>
      <c r="H687" s="727"/>
      <c r="I687" s="727" t="s">
        <v>785</v>
      </c>
      <c r="J687" s="727" t="s">
        <v>806</v>
      </c>
      <c r="K687" s="729">
        <v>384</v>
      </c>
      <c r="L687" s="728" t="s">
        <v>175</v>
      </c>
      <c r="M687" s="728" t="s">
        <v>176</v>
      </c>
      <c r="N687" s="727"/>
      <c r="O687" s="727"/>
      <c r="P687" s="727"/>
      <c r="Q687" s="727"/>
      <c r="R687" s="730"/>
      <c r="S687" s="727"/>
      <c r="T687" s="728" t="s">
        <v>179</v>
      </c>
    </row>
    <row r="688" ht="34.5">
      <c r="A688" s="728" t="s">
        <v>333</v>
      </c>
      <c r="B688" s="728" t="s">
        <v>334</v>
      </c>
      <c r="C688" s="728" t="s">
        <v>759</v>
      </c>
      <c r="D688" s="728" t="s">
        <v>784</v>
      </c>
      <c r="E688" s="728" t="s">
        <v>769</v>
      </c>
      <c r="F688" s="727" t="s">
        <v>769</v>
      </c>
      <c r="G688" s="728" t="s">
        <v>180</v>
      </c>
      <c r="H688" s="727"/>
      <c r="I688" s="727" t="s">
        <v>785</v>
      </c>
      <c r="J688" s="727" t="s">
        <v>793</v>
      </c>
      <c r="K688" s="729">
        <v>0</v>
      </c>
      <c r="L688" s="728" t="s">
        <v>175</v>
      </c>
      <c r="M688" s="728" t="s">
        <v>176</v>
      </c>
      <c r="N688" s="727"/>
      <c r="O688" s="727"/>
      <c r="P688" s="727"/>
      <c r="Q688" s="727"/>
      <c r="R688" s="730"/>
      <c r="S688" s="727"/>
      <c r="T688" s="728" t="s">
        <v>179</v>
      </c>
    </row>
    <row r="689" ht="34.5">
      <c r="A689" s="728" t="s">
        <v>333</v>
      </c>
      <c r="B689" s="728" t="s">
        <v>334</v>
      </c>
      <c r="C689" s="728" t="s">
        <v>759</v>
      </c>
      <c r="D689" s="728" t="s">
        <v>807</v>
      </c>
      <c r="E689" s="728" t="s">
        <v>769</v>
      </c>
      <c r="F689" s="727" t="s">
        <v>769</v>
      </c>
      <c r="G689" s="728" t="s">
        <v>180</v>
      </c>
      <c r="H689" s="727"/>
      <c r="I689" s="727" t="s">
        <v>796</v>
      </c>
      <c r="J689" s="727" t="s">
        <v>797</v>
      </c>
      <c r="K689" s="729">
        <v>22379046</v>
      </c>
      <c r="L689" s="728" t="s">
        <v>175</v>
      </c>
      <c r="M689" s="728" t="s">
        <v>176</v>
      </c>
      <c r="N689" s="727"/>
      <c r="O689" s="727"/>
      <c r="P689" s="727"/>
      <c r="Q689" s="727"/>
      <c r="R689" s="730"/>
      <c r="S689" s="727"/>
      <c r="T689" s="728" t="s">
        <v>179</v>
      </c>
    </row>
    <row r="690" ht="34.5">
      <c r="A690" s="728" t="s">
        <v>333</v>
      </c>
      <c r="B690" s="728" t="s">
        <v>334</v>
      </c>
      <c r="C690" s="728" t="s">
        <v>759</v>
      </c>
      <c r="D690" s="728" t="s">
        <v>807</v>
      </c>
      <c r="E690" s="728" t="s">
        <v>769</v>
      </c>
      <c r="F690" s="727" t="s">
        <v>769</v>
      </c>
      <c r="G690" s="728" t="s">
        <v>180</v>
      </c>
      <c r="H690" s="727"/>
      <c r="I690" s="727" t="s">
        <v>796</v>
      </c>
      <c r="J690" s="727" t="s">
        <v>798</v>
      </c>
      <c r="K690" s="729">
        <v>-898933</v>
      </c>
      <c r="L690" s="728" t="s">
        <v>175</v>
      </c>
      <c r="M690" s="728" t="s">
        <v>176</v>
      </c>
      <c r="N690" s="727"/>
      <c r="O690" s="727"/>
      <c r="P690" s="727"/>
      <c r="Q690" s="727"/>
      <c r="R690" s="730"/>
      <c r="S690" s="727"/>
      <c r="T690" s="728" t="s">
        <v>179</v>
      </c>
    </row>
    <row r="691" ht="34.5">
      <c r="A691" s="728" t="s">
        <v>333</v>
      </c>
      <c r="B691" s="728" t="s">
        <v>334</v>
      </c>
      <c r="C691" s="728" t="s">
        <v>759</v>
      </c>
      <c r="D691" s="728" t="s">
        <v>807</v>
      </c>
      <c r="E691" s="728" t="s">
        <v>769</v>
      </c>
      <c r="F691" s="727" t="s">
        <v>769</v>
      </c>
      <c r="G691" s="728" t="s">
        <v>180</v>
      </c>
      <c r="H691" s="727"/>
      <c r="I691" s="727" t="s">
        <v>796</v>
      </c>
      <c r="J691" s="727" t="s">
        <v>799</v>
      </c>
      <c r="K691" s="729">
        <v>21480113</v>
      </c>
      <c r="L691" s="728" t="s">
        <v>175</v>
      </c>
      <c r="M691" s="728" t="s">
        <v>176</v>
      </c>
      <c r="N691" s="727"/>
      <c r="O691" s="727"/>
      <c r="P691" s="727"/>
      <c r="Q691" s="727"/>
      <c r="R691" s="730"/>
      <c r="S691" s="727"/>
      <c r="T691" s="728" t="s">
        <v>179</v>
      </c>
    </row>
    <row r="692" ht="34.5">
      <c r="A692" s="728" t="s">
        <v>333</v>
      </c>
      <c r="B692" s="728" t="s">
        <v>334</v>
      </c>
      <c r="C692" s="728" t="s">
        <v>759</v>
      </c>
      <c r="D692" s="728" t="s">
        <v>807</v>
      </c>
      <c r="E692" s="728" t="s">
        <v>769</v>
      </c>
      <c r="F692" s="727" t="s">
        <v>769</v>
      </c>
      <c r="G692" s="728" t="s">
        <v>180</v>
      </c>
      <c r="H692" s="727"/>
      <c r="I692" s="727" t="s">
        <v>800</v>
      </c>
      <c r="J692" s="727" t="s">
        <v>797</v>
      </c>
      <c r="K692" s="729">
        <v>367656</v>
      </c>
      <c r="L692" s="728" t="s">
        <v>175</v>
      </c>
      <c r="M692" s="728" t="s">
        <v>176</v>
      </c>
      <c r="N692" s="727"/>
      <c r="O692" s="727"/>
      <c r="P692" s="727"/>
      <c r="Q692" s="727"/>
      <c r="R692" s="730"/>
      <c r="S692" s="727"/>
      <c r="T692" s="728" t="s">
        <v>179</v>
      </c>
    </row>
    <row r="693" ht="34.5">
      <c r="A693" s="728" t="s">
        <v>333</v>
      </c>
      <c r="B693" s="728" t="s">
        <v>334</v>
      </c>
      <c r="C693" s="728" t="s">
        <v>759</v>
      </c>
      <c r="D693" s="728" t="s">
        <v>807</v>
      </c>
      <c r="E693" s="728" t="s">
        <v>769</v>
      </c>
      <c r="F693" s="727" t="s">
        <v>769</v>
      </c>
      <c r="G693" s="728" t="s">
        <v>180</v>
      </c>
      <c r="H693" s="727"/>
      <c r="I693" s="727" t="s">
        <v>800</v>
      </c>
      <c r="J693" s="727" t="s">
        <v>808</v>
      </c>
      <c r="K693" s="729">
        <v>-1444586</v>
      </c>
      <c r="L693" s="728" t="s">
        <v>175</v>
      </c>
      <c r="M693" s="728" t="s">
        <v>176</v>
      </c>
      <c r="N693" s="727"/>
      <c r="O693" s="727"/>
      <c r="P693" s="727"/>
      <c r="Q693" s="727"/>
      <c r="R693" s="730"/>
      <c r="S693" s="727"/>
      <c r="T693" s="728" t="s">
        <v>179</v>
      </c>
    </row>
    <row r="694" ht="34.5">
      <c r="A694" s="728" t="s">
        <v>333</v>
      </c>
      <c r="B694" s="728" t="s">
        <v>334</v>
      </c>
      <c r="C694" s="728" t="s">
        <v>759</v>
      </c>
      <c r="D694" s="728" t="s">
        <v>807</v>
      </c>
      <c r="E694" s="728" t="s">
        <v>769</v>
      </c>
      <c r="F694" s="727" t="s">
        <v>769</v>
      </c>
      <c r="G694" s="728" t="s">
        <v>180</v>
      </c>
      <c r="H694" s="727"/>
      <c r="I694" s="727" t="s">
        <v>800</v>
      </c>
      <c r="J694" s="727" t="s">
        <v>58</v>
      </c>
      <c r="K694" s="729">
        <v>1429818</v>
      </c>
      <c r="L694" s="728" t="s">
        <v>175</v>
      </c>
      <c r="M694" s="728" t="s">
        <v>176</v>
      </c>
      <c r="N694" s="727"/>
      <c r="O694" s="727"/>
      <c r="P694" s="727"/>
      <c r="Q694" s="727"/>
      <c r="R694" s="730"/>
      <c r="S694" s="727"/>
      <c r="T694" s="728" t="s">
        <v>179</v>
      </c>
    </row>
    <row r="695" ht="34.5">
      <c r="A695" s="728" t="s">
        <v>333</v>
      </c>
      <c r="B695" s="728" t="s">
        <v>334</v>
      </c>
      <c r="C695" s="728" t="s">
        <v>759</v>
      </c>
      <c r="D695" s="728" t="s">
        <v>807</v>
      </c>
      <c r="E695" s="728" t="s">
        <v>769</v>
      </c>
      <c r="F695" s="727" t="s">
        <v>769</v>
      </c>
      <c r="G695" s="728" t="s">
        <v>180</v>
      </c>
      <c r="H695" s="727"/>
      <c r="I695" s="727" t="s">
        <v>800</v>
      </c>
      <c r="J695" s="727" t="s">
        <v>809</v>
      </c>
      <c r="K695" s="729">
        <v>352888</v>
      </c>
      <c r="L695" s="728" t="s">
        <v>175</v>
      </c>
      <c r="M695" s="728" t="s">
        <v>176</v>
      </c>
      <c r="N695" s="727"/>
      <c r="O695" s="727"/>
      <c r="P695" s="727"/>
      <c r="Q695" s="727"/>
      <c r="R695" s="730"/>
      <c r="S695" s="727"/>
      <c r="T695" s="728" t="s">
        <v>179</v>
      </c>
    </row>
    <row r="696" ht="34.5">
      <c r="A696" s="728" t="s">
        <v>338</v>
      </c>
      <c r="B696" s="728" t="s">
        <v>339</v>
      </c>
      <c r="C696" s="728" t="s">
        <v>759</v>
      </c>
      <c r="D696" s="728" t="s">
        <v>784</v>
      </c>
      <c r="E696" s="728" t="s">
        <v>769</v>
      </c>
      <c r="F696" s="727" t="s">
        <v>769</v>
      </c>
      <c r="G696" s="728" t="s">
        <v>180</v>
      </c>
      <c r="H696" s="727"/>
      <c r="I696" s="727" t="s">
        <v>785</v>
      </c>
      <c r="J696" s="727" t="s">
        <v>786</v>
      </c>
      <c r="K696" s="729">
        <v>339144</v>
      </c>
      <c r="L696" s="728" t="s">
        <v>175</v>
      </c>
      <c r="M696" s="728" t="s">
        <v>176</v>
      </c>
      <c r="N696" s="727"/>
      <c r="O696" s="727"/>
      <c r="P696" s="727"/>
      <c r="Q696" s="727"/>
      <c r="R696" s="730"/>
      <c r="S696" s="727"/>
      <c r="T696" s="728" t="s">
        <v>179</v>
      </c>
    </row>
    <row r="697" ht="34.5">
      <c r="A697" s="728" t="s">
        <v>338</v>
      </c>
      <c r="B697" s="728" t="s">
        <v>339</v>
      </c>
      <c r="C697" s="728" t="s">
        <v>759</v>
      </c>
      <c r="D697" s="728" t="s">
        <v>784</v>
      </c>
      <c r="E697" s="728" t="s">
        <v>769</v>
      </c>
      <c r="F697" s="727" t="s">
        <v>769</v>
      </c>
      <c r="G697" s="728" t="s">
        <v>180</v>
      </c>
      <c r="H697" s="727"/>
      <c r="I697" s="727" t="s">
        <v>785</v>
      </c>
      <c r="J697" s="727" t="s">
        <v>810</v>
      </c>
      <c r="K697" s="729">
        <v>1964</v>
      </c>
      <c r="L697" s="728" t="s">
        <v>175</v>
      </c>
      <c r="M697" s="728" t="s">
        <v>176</v>
      </c>
      <c r="N697" s="727"/>
      <c r="O697" s="727"/>
      <c r="P697" s="727"/>
      <c r="Q697" s="727"/>
      <c r="R697" s="730"/>
      <c r="S697" s="727"/>
      <c r="T697" s="728" t="s">
        <v>179</v>
      </c>
    </row>
    <row r="698" ht="34.5">
      <c r="A698" s="728" t="s">
        <v>338</v>
      </c>
      <c r="B698" s="728" t="s">
        <v>339</v>
      </c>
      <c r="C698" s="728" t="s">
        <v>759</v>
      </c>
      <c r="D698" s="728" t="s">
        <v>784</v>
      </c>
      <c r="E698" s="728" t="s">
        <v>769</v>
      </c>
      <c r="F698" s="727" t="s">
        <v>769</v>
      </c>
      <c r="G698" s="728" t="s">
        <v>180</v>
      </c>
      <c r="H698" s="727"/>
      <c r="I698" s="727" t="s">
        <v>785</v>
      </c>
      <c r="J698" s="727" t="s">
        <v>788</v>
      </c>
      <c r="K698" s="729">
        <v>341108</v>
      </c>
      <c r="L698" s="728" t="s">
        <v>175</v>
      </c>
      <c r="M698" s="728" t="s">
        <v>176</v>
      </c>
      <c r="N698" s="727"/>
      <c r="O698" s="727"/>
      <c r="P698" s="727"/>
      <c r="Q698" s="727"/>
      <c r="R698" s="730"/>
      <c r="S698" s="727" t="s">
        <v>369</v>
      </c>
      <c r="T698" s="728" t="s">
        <v>179</v>
      </c>
    </row>
    <row r="699" ht="34.5">
      <c r="A699" s="728" t="s">
        <v>338</v>
      </c>
      <c r="B699" s="728" t="s">
        <v>339</v>
      </c>
      <c r="C699" s="728" t="s">
        <v>759</v>
      </c>
      <c r="D699" s="728" t="s">
        <v>784</v>
      </c>
      <c r="E699" s="728" t="s">
        <v>769</v>
      </c>
      <c r="F699" s="727" t="s">
        <v>769</v>
      </c>
      <c r="G699" s="728" t="s">
        <v>180</v>
      </c>
      <c r="H699" s="727"/>
      <c r="I699" s="727" t="s">
        <v>785</v>
      </c>
      <c r="J699" s="727" t="s">
        <v>805</v>
      </c>
      <c r="K699" s="729">
        <v>367656</v>
      </c>
      <c r="L699" s="728" t="s">
        <v>175</v>
      </c>
      <c r="M699" s="728" t="s">
        <v>176</v>
      </c>
      <c r="N699" s="727"/>
      <c r="O699" s="727"/>
      <c r="P699" s="727"/>
      <c r="Q699" s="727"/>
      <c r="R699" s="730"/>
      <c r="S699" s="727"/>
      <c r="T699" s="728" t="s">
        <v>179</v>
      </c>
    </row>
    <row r="700" ht="34.5">
      <c r="A700" s="728" t="s">
        <v>338</v>
      </c>
      <c r="B700" s="728" t="s">
        <v>339</v>
      </c>
      <c r="C700" s="728" t="s">
        <v>759</v>
      </c>
      <c r="D700" s="728" t="s">
        <v>784</v>
      </c>
      <c r="E700" s="728" t="s">
        <v>769</v>
      </c>
      <c r="F700" s="727" t="s">
        <v>769</v>
      </c>
      <c r="G700" s="728" t="s">
        <v>180</v>
      </c>
      <c r="H700" s="727" t="s">
        <v>28</v>
      </c>
      <c r="I700" s="727" t="s">
        <v>785</v>
      </c>
      <c r="J700" s="727" t="s">
        <v>799</v>
      </c>
      <c r="K700" s="729">
        <v>22379046</v>
      </c>
      <c r="L700" s="728" t="s">
        <v>175</v>
      </c>
      <c r="M700" s="728" t="s">
        <v>176</v>
      </c>
      <c r="N700" s="727"/>
      <c r="O700" s="727"/>
      <c r="P700" s="727"/>
      <c r="Q700" s="727"/>
      <c r="R700" s="730"/>
      <c r="S700" s="727" t="s">
        <v>792</v>
      </c>
      <c r="T700" s="728" t="s">
        <v>179</v>
      </c>
    </row>
    <row r="701" ht="34.5">
      <c r="A701" s="728" t="s">
        <v>338</v>
      </c>
      <c r="B701" s="728" t="s">
        <v>339</v>
      </c>
      <c r="C701" s="728" t="s">
        <v>759</v>
      </c>
      <c r="D701" s="728" t="s">
        <v>784</v>
      </c>
      <c r="E701" s="728" t="s">
        <v>769</v>
      </c>
      <c r="F701" s="727" t="s">
        <v>769</v>
      </c>
      <c r="G701" s="728" t="s">
        <v>180</v>
      </c>
      <c r="H701" s="727"/>
      <c r="I701" s="727" t="s">
        <v>785</v>
      </c>
      <c r="J701" s="727" t="s">
        <v>806</v>
      </c>
      <c r="K701" s="729">
        <v>756</v>
      </c>
      <c r="L701" s="728" t="s">
        <v>175</v>
      </c>
      <c r="M701" s="728" t="s">
        <v>176</v>
      </c>
      <c r="N701" s="727"/>
      <c r="O701" s="727"/>
      <c r="P701" s="727"/>
      <c r="Q701" s="727"/>
      <c r="R701" s="730"/>
      <c r="S701" s="727"/>
      <c r="T701" s="728" t="s">
        <v>179</v>
      </c>
    </row>
    <row r="702" ht="34.5">
      <c r="A702" s="728" t="s">
        <v>338</v>
      </c>
      <c r="B702" s="728" t="s">
        <v>339</v>
      </c>
      <c r="C702" s="728" t="s">
        <v>759</v>
      </c>
      <c r="D702" s="728" t="s">
        <v>784</v>
      </c>
      <c r="E702" s="728" t="s">
        <v>769</v>
      </c>
      <c r="F702" s="727" t="s">
        <v>769</v>
      </c>
      <c r="G702" s="728" t="s">
        <v>180</v>
      </c>
      <c r="H702" s="727"/>
      <c r="I702" s="727" t="s">
        <v>785</v>
      </c>
      <c r="J702" s="727" t="s">
        <v>793</v>
      </c>
      <c r="K702" s="729">
        <v>967500</v>
      </c>
      <c r="L702" s="728" t="s">
        <v>175</v>
      </c>
      <c r="M702" s="728" t="s">
        <v>176</v>
      </c>
      <c r="N702" s="727"/>
      <c r="O702" s="727"/>
      <c r="P702" s="727"/>
      <c r="Q702" s="727"/>
      <c r="R702" s="730"/>
      <c r="S702" s="727"/>
      <c r="T702" s="728" t="s">
        <v>179</v>
      </c>
    </row>
    <row r="703" ht="34.5">
      <c r="A703" s="728" t="s">
        <v>338</v>
      </c>
      <c r="B703" s="728" t="s">
        <v>339</v>
      </c>
      <c r="C703" s="728" t="s">
        <v>759</v>
      </c>
      <c r="D703" s="728" t="s">
        <v>807</v>
      </c>
      <c r="E703" s="728" t="s">
        <v>769</v>
      </c>
      <c r="F703" s="727" t="s">
        <v>769</v>
      </c>
      <c r="G703" s="728" t="s">
        <v>180</v>
      </c>
      <c r="H703" s="727"/>
      <c r="I703" s="727" t="s">
        <v>796</v>
      </c>
      <c r="J703" s="727" t="s">
        <v>797</v>
      </c>
      <c r="K703" s="729">
        <v>23265045</v>
      </c>
      <c r="L703" s="728" t="s">
        <v>175</v>
      </c>
      <c r="M703" s="728" t="s">
        <v>176</v>
      </c>
      <c r="N703" s="727"/>
      <c r="O703" s="727"/>
      <c r="P703" s="727"/>
      <c r="Q703" s="727"/>
      <c r="R703" s="730"/>
      <c r="S703" s="727"/>
      <c r="T703" s="728" t="s">
        <v>179</v>
      </c>
    </row>
    <row r="704" ht="34.5">
      <c r="A704" s="728" t="s">
        <v>338</v>
      </c>
      <c r="B704" s="728" t="s">
        <v>339</v>
      </c>
      <c r="C704" s="728" t="s">
        <v>759</v>
      </c>
      <c r="D704" s="728" t="s">
        <v>807</v>
      </c>
      <c r="E704" s="728" t="s">
        <v>769</v>
      </c>
      <c r="F704" s="727" t="s">
        <v>769</v>
      </c>
      <c r="G704" s="728" t="s">
        <v>180</v>
      </c>
      <c r="H704" s="727"/>
      <c r="I704" s="727" t="s">
        <v>796</v>
      </c>
      <c r="J704" s="727" t="s">
        <v>798</v>
      </c>
      <c r="K704" s="729">
        <v>-885999</v>
      </c>
      <c r="L704" s="728" t="s">
        <v>175</v>
      </c>
      <c r="M704" s="728" t="s">
        <v>176</v>
      </c>
      <c r="N704" s="727"/>
      <c r="O704" s="727"/>
      <c r="P704" s="727"/>
      <c r="Q704" s="727"/>
      <c r="R704" s="730"/>
      <c r="S704" s="727"/>
      <c r="T704" s="728" t="s">
        <v>179</v>
      </c>
    </row>
    <row r="705" ht="34.5">
      <c r="A705" s="728" t="s">
        <v>338</v>
      </c>
      <c r="B705" s="728" t="s">
        <v>339</v>
      </c>
      <c r="C705" s="728" t="s">
        <v>759</v>
      </c>
      <c r="D705" s="728" t="s">
        <v>807</v>
      </c>
      <c r="E705" s="728" t="s">
        <v>769</v>
      </c>
      <c r="F705" s="727" t="s">
        <v>769</v>
      </c>
      <c r="G705" s="728" t="s">
        <v>180</v>
      </c>
      <c r="H705" s="727"/>
      <c r="I705" s="727" t="s">
        <v>796</v>
      </c>
      <c r="J705" s="727" t="s">
        <v>799</v>
      </c>
      <c r="K705" s="729">
        <v>22379046</v>
      </c>
      <c r="L705" s="728" t="s">
        <v>175</v>
      </c>
      <c r="M705" s="728" t="s">
        <v>176</v>
      </c>
      <c r="N705" s="727"/>
      <c r="O705" s="727"/>
      <c r="P705" s="727"/>
      <c r="Q705" s="727"/>
      <c r="R705" s="730"/>
      <c r="S705" s="727"/>
      <c r="T705" s="728" t="s">
        <v>179</v>
      </c>
    </row>
    <row r="706" ht="34.5">
      <c r="A706" s="728" t="s">
        <v>338</v>
      </c>
      <c r="B706" s="728" t="s">
        <v>339</v>
      </c>
      <c r="C706" s="728" t="s">
        <v>759</v>
      </c>
      <c r="D706" s="728" t="s">
        <v>807</v>
      </c>
      <c r="E706" s="728" t="s">
        <v>769</v>
      </c>
      <c r="F706" s="727" t="s">
        <v>769</v>
      </c>
      <c r="G706" s="728" t="s">
        <v>180</v>
      </c>
      <c r="H706" s="727"/>
      <c r="I706" s="727" t="s">
        <v>800</v>
      </c>
      <c r="J706" s="727" t="s">
        <v>797</v>
      </c>
      <c r="K706" s="729">
        <v>54608</v>
      </c>
      <c r="L706" s="728" t="s">
        <v>175</v>
      </c>
      <c r="M706" s="728" t="s">
        <v>176</v>
      </c>
      <c r="N706" s="727"/>
      <c r="O706" s="727"/>
      <c r="P706" s="727"/>
      <c r="Q706" s="727"/>
      <c r="R706" s="730"/>
      <c r="S706" s="727"/>
      <c r="T706" s="728" t="s">
        <v>179</v>
      </c>
    </row>
    <row r="707" ht="34.5">
      <c r="A707" s="728" t="s">
        <v>338</v>
      </c>
      <c r="B707" s="728" t="s">
        <v>339</v>
      </c>
      <c r="C707" s="728" t="s">
        <v>759</v>
      </c>
      <c r="D707" s="728" t="s">
        <v>807</v>
      </c>
      <c r="E707" s="728" t="s">
        <v>769</v>
      </c>
      <c r="F707" s="727" t="s">
        <v>769</v>
      </c>
      <c r="G707" s="728" t="s">
        <v>180</v>
      </c>
      <c r="H707" s="727"/>
      <c r="I707" s="727" t="s">
        <v>800</v>
      </c>
      <c r="J707" s="727" t="s">
        <v>808</v>
      </c>
      <c r="K707" s="729">
        <v>-1178171</v>
      </c>
      <c r="L707" s="728" t="s">
        <v>175</v>
      </c>
      <c r="M707" s="728" t="s">
        <v>176</v>
      </c>
      <c r="N707" s="727"/>
      <c r="O707" s="727"/>
      <c r="P707" s="727"/>
      <c r="Q707" s="727"/>
      <c r="R707" s="730"/>
      <c r="S707" s="727"/>
      <c r="T707" s="728" t="s">
        <v>179</v>
      </c>
    </row>
    <row r="708" ht="34.5">
      <c r="A708" s="728" t="s">
        <v>338</v>
      </c>
      <c r="B708" s="728" t="s">
        <v>339</v>
      </c>
      <c r="C708" s="728" t="s">
        <v>759</v>
      </c>
      <c r="D708" s="728" t="s">
        <v>807</v>
      </c>
      <c r="E708" s="728" t="s">
        <v>769</v>
      </c>
      <c r="F708" s="727" t="s">
        <v>769</v>
      </c>
      <c r="G708" s="728" t="s">
        <v>180</v>
      </c>
      <c r="H708" s="727"/>
      <c r="I708" s="727" t="s">
        <v>800</v>
      </c>
      <c r="J708" s="727" t="s">
        <v>58</v>
      </c>
      <c r="K708" s="729">
        <v>1491219</v>
      </c>
      <c r="L708" s="728" t="s">
        <v>175</v>
      </c>
      <c r="M708" s="728" t="s">
        <v>176</v>
      </c>
      <c r="N708" s="727"/>
      <c r="O708" s="727"/>
      <c r="P708" s="727"/>
      <c r="Q708" s="727"/>
      <c r="R708" s="730"/>
      <c r="S708" s="727"/>
      <c r="T708" s="728" t="s">
        <v>179</v>
      </c>
    </row>
    <row r="709" ht="34.5">
      <c r="A709" s="728" t="s">
        <v>338</v>
      </c>
      <c r="B709" s="728" t="s">
        <v>339</v>
      </c>
      <c r="C709" s="728" t="s">
        <v>759</v>
      </c>
      <c r="D709" s="728" t="s">
        <v>807</v>
      </c>
      <c r="E709" s="728" t="s">
        <v>769</v>
      </c>
      <c r="F709" s="727" t="s">
        <v>769</v>
      </c>
      <c r="G709" s="728" t="s">
        <v>180</v>
      </c>
      <c r="H709" s="727"/>
      <c r="I709" s="727" t="s">
        <v>800</v>
      </c>
      <c r="J709" s="727" t="s">
        <v>809</v>
      </c>
      <c r="K709" s="729">
        <v>367656</v>
      </c>
      <c r="L709" s="728" t="s">
        <v>175</v>
      </c>
      <c r="M709" s="728" t="s">
        <v>176</v>
      </c>
      <c r="N709" s="727"/>
      <c r="O709" s="727"/>
      <c r="P709" s="727"/>
      <c r="Q709" s="727"/>
      <c r="R709" s="730"/>
      <c r="S709" s="727"/>
      <c r="T709" s="728" t="s">
        <v>179</v>
      </c>
    </row>
    <row r="710" ht="34.5">
      <c r="A710" s="728" t="s">
        <v>167</v>
      </c>
      <c r="B710" s="728" t="s">
        <v>168</v>
      </c>
      <c r="C710" s="728" t="s">
        <v>783</v>
      </c>
      <c r="D710" s="728" t="s">
        <v>170</v>
      </c>
      <c r="E710" s="728" t="s">
        <v>769</v>
      </c>
      <c r="F710" s="727" t="s">
        <v>769</v>
      </c>
      <c r="G710" s="728" t="s">
        <v>180</v>
      </c>
      <c r="H710" s="727"/>
      <c r="I710" s="727" t="s">
        <v>811</v>
      </c>
      <c r="J710" s="727" t="s">
        <v>812</v>
      </c>
      <c r="K710" s="729"/>
      <c r="L710" s="728" t="s">
        <v>175</v>
      </c>
      <c r="M710" s="728" t="s">
        <v>176</v>
      </c>
      <c r="N710" s="727"/>
      <c r="O710" s="727" t="s">
        <v>813</v>
      </c>
      <c r="P710" s="727"/>
      <c r="Q710" s="727"/>
      <c r="R710" s="730"/>
      <c r="S710" s="727"/>
      <c r="T710" s="728" t="s">
        <v>179</v>
      </c>
    </row>
    <row r="711" ht="34.5">
      <c r="A711" s="728" t="s">
        <v>167</v>
      </c>
      <c r="B711" s="728" t="s">
        <v>168</v>
      </c>
      <c r="C711" s="728" t="s">
        <v>804</v>
      </c>
      <c r="D711" s="728" t="s">
        <v>807</v>
      </c>
      <c r="E711" s="728" t="s">
        <v>814</v>
      </c>
      <c r="F711" s="727" t="s">
        <v>814</v>
      </c>
      <c r="G711" s="728" t="s">
        <v>274</v>
      </c>
      <c r="H711" s="727"/>
      <c r="I711" s="727"/>
      <c r="J711" s="727" t="s">
        <v>815</v>
      </c>
      <c r="K711" s="729">
        <v>13792385</v>
      </c>
      <c r="L711" s="728" t="s">
        <v>175</v>
      </c>
      <c r="M711" s="728" t="s">
        <v>176</v>
      </c>
      <c r="N711" s="727"/>
      <c r="O711" s="727"/>
      <c r="P711" s="727"/>
      <c r="Q711" s="727" t="s">
        <v>816</v>
      </c>
      <c r="R711" s="730"/>
      <c r="S711" s="727"/>
      <c r="T711" s="728" t="s">
        <v>179</v>
      </c>
    </row>
    <row r="712" ht="34.5">
      <c r="A712" s="728" t="s">
        <v>167</v>
      </c>
      <c r="B712" s="728" t="s">
        <v>168</v>
      </c>
      <c r="C712" s="728" t="s">
        <v>804</v>
      </c>
      <c r="D712" s="728" t="s">
        <v>807</v>
      </c>
      <c r="E712" s="728" t="s">
        <v>814</v>
      </c>
      <c r="F712" s="727" t="s">
        <v>814</v>
      </c>
      <c r="G712" s="728" t="s">
        <v>274</v>
      </c>
      <c r="H712" s="727"/>
      <c r="I712" s="727"/>
      <c r="J712" s="727" t="s">
        <v>817</v>
      </c>
      <c r="K712" s="729">
        <v>741228</v>
      </c>
      <c r="L712" s="728" t="s">
        <v>175</v>
      </c>
      <c r="M712" s="728" t="s">
        <v>176</v>
      </c>
      <c r="N712" s="727"/>
      <c r="O712" s="727"/>
      <c r="P712" s="727"/>
      <c r="Q712" s="727"/>
      <c r="R712" s="730"/>
      <c r="S712" s="727"/>
      <c r="T712" s="728" t="s">
        <v>179</v>
      </c>
    </row>
    <row r="713" ht="34.5">
      <c r="A713" s="728" t="s">
        <v>167</v>
      </c>
      <c r="B713" s="728" t="s">
        <v>168</v>
      </c>
      <c r="C713" s="728" t="s">
        <v>804</v>
      </c>
      <c r="D713" s="728" t="s">
        <v>807</v>
      </c>
      <c r="E713" s="728" t="s">
        <v>814</v>
      </c>
      <c r="F713" s="727" t="s">
        <v>814</v>
      </c>
      <c r="G713" s="728" t="s">
        <v>274</v>
      </c>
      <c r="H713" s="727"/>
      <c r="I713" s="727"/>
      <c r="J713" s="727" t="s">
        <v>818</v>
      </c>
      <c r="K713" s="729">
        <v>576580</v>
      </c>
      <c r="L713" s="728" t="s">
        <v>175</v>
      </c>
      <c r="M713" s="728" t="s">
        <v>176</v>
      </c>
      <c r="N713" s="727"/>
      <c r="O713" s="727"/>
      <c r="P713" s="727"/>
      <c r="Q713" s="727"/>
      <c r="R713" s="730"/>
      <c r="S713" s="727"/>
      <c r="T713" s="728" t="s">
        <v>179</v>
      </c>
    </row>
    <row r="714" ht="34.5">
      <c r="A714" s="728" t="s">
        <v>167</v>
      </c>
      <c r="B714" s="728" t="s">
        <v>168</v>
      </c>
      <c r="C714" s="728" t="s">
        <v>804</v>
      </c>
      <c r="D714" s="728" t="s">
        <v>807</v>
      </c>
      <c r="E714" s="728" t="s">
        <v>814</v>
      </c>
      <c r="F714" s="727" t="s">
        <v>814</v>
      </c>
      <c r="G714" s="728" t="s">
        <v>274</v>
      </c>
      <c r="H714" s="727"/>
      <c r="I714" s="727"/>
      <c r="J714" s="727" t="s">
        <v>819</v>
      </c>
      <c r="K714" s="729">
        <v>417400</v>
      </c>
      <c r="L714" s="728" t="s">
        <v>175</v>
      </c>
      <c r="M714" s="728" t="s">
        <v>176</v>
      </c>
      <c r="N714" s="727"/>
      <c r="O714" s="727"/>
      <c r="P714" s="727"/>
      <c r="Q714" s="727"/>
      <c r="R714" s="730"/>
      <c r="S714" s="727"/>
      <c r="T714" s="728" t="s">
        <v>179</v>
      </c>
    </row>
    <row r="715" ht="34.5">
      <c r="A715" s="728" t="s">
        <v>167</v>
      </c>
      <c r="B715" s="728" t="s">
        <v>168</v>
      </c>
      <c r="C715" s="728" t="s">
        <v>804</v>
      </c>
      <c r="D715" s="728" t="s">
        <v>807</v>
      </c>
      <c r="E715" s="728" t="s">
        <v>814</v>
      </c>
      <c r="F715" s="727" t="s">
        <v>814</v>
      </c>
      <c r="G715" s="728" t="s">
        <v>274</v>
      </c>
      <c r="H715" s="727"/>
      <c r="I715" s="727"/>
      <c r="J715" s="727" t="s">
        <v>820</v>
      </c>
      <c r="K715" s="729">
        <v>30155</v>
      </c>
      <c r="L715" s="728" t="s">
        <v>175</v>
      </c>
      <c r="M715" s="728" t="s">
        <v>176</v>
      </c>
      <c r="N715" s="727"/>
      <c r="O715" s="727"/>
      <c r="P715" s="727"/>
      <c r="Q715" s="727"/>
      <c r="R715" s="730"/>
      <c r="S715" s="727"/>
      <c r="T715" s="728" t="s">
        <v>179</v>
      </c>
    </row>
    <row r="716" ht="34.5">
      <c r="A716" s="728" t="s">
        <v>167</v>
      </c>
      <c r="B716" s="728" t="s">
        <v>168</v>
      </c>
      <c r="C716" s="728" t="s">
        <v>804</v>
      </c>
      <c r="D716" s="728" t="s">
        <v>807</v>
      </c>
      <c r="E716" s="728" t="s">
        <v>814</v>
      </c>
      <c r="F716" s="727" t="s">
        <v>814</v>
      </c>
      <c r="G716" s="728" t="s">
        <v>274</v>
      </c>
      <c r="H716" s="727"/>
      <c r="I716" s="727"/>
      <c r="J716" s="727" t="s">
        <v>821</v>
      </c>
      <c r="K716" s="729">
        <v>-1221639</v>
      </c>
      <c r="L716" s="728" t="s">
        <v>175</v>
      </c>
      <c r="M716" s="728" t="s">
        <v>176</v>
      </c>
      <c r="N716" s="727"/>
      <c r="O716" s="727"/>
      <c r="P716" s="727"/>
      <c r="Q716" s="727"/>
      <c r="R716" s="730"/>
      <c r="S716" s="727"/>
      <c r="T716" s="728" t="s">
        <v>179</v>
      </c>
    </row>
    <row r="717" ht="34.5">
      <c r="A717" s="728" t="s">
        <v>167</v>
      </c>
      <c r="B717" s="728" t="s">
        <v>168</v>
      </c>
      <c r="C717" s="728" t="s">
        <v>804</v>
      </c>
      <c r="D717" s="728" t="s">
        <v>807</v>
      </c>
      <c r="E717" s="728" t="s">
        <v>814</v>
      </c>
      <c r="F717" s="727" t="s">
        <v>814</v>
      </c>
      <c r="G717" s="728" t="s">
        <v>274</v>
      </c>
      <c r="H717" s="727" t="s">
        <v>20</v>
      </c>
      <c r="I717" s="727"/>
      <c r="J717" s="727" t="s">
        <v>822</v>
      </c>
      <c r="K717" s="729">
        <v>14336109</v>
      </c>
      <c r="L717" s="728" t="s">
        <v>175</v>
      </c>
      <c r="M717" s="728" t="s">
        <v>176</v>
      </c>
      <c r="N717" s="727"/>
      <c r="O717" s="727"/>
      <c r="P717" s="727"/>
      <c r="Q717" s="727"/>
      <c r="R717" s="730" t="s">
        <v>823</v>
      </c>
      <c r="S717" s="727" t="s">
        <v>332</v>
      </c>
      <c r="T717" s="728" t="s">
        <v>179</v>
      </c>
    </row>
    <row r="718" ht="34.5">
      <c r="A718" s="728" t="s">
        <v>326</v>
      </c>
      <c r="B718" s="728" t="s">
        <v>168</v>
      </c>
      <c r="C718" s="728" t="s">
        <v>804</v>
      </c>
      <c r="D718" s="728" t="s">
        <v>807</v>
      </c>
      <c r="E718" s="728" t="s">
        <v>814</v>
      </c>
      <c r="F718" s="727" t="s">
        <v>814</v>
      </c>
      <c r="G718" s="728" t="s">
        <v>274</v>
      </c>
      <c r="H718" s="727"/>
      <c r="I718" s="727"/>
      <c r="J718" s="727" t="s">
        <v>815</v>
      </c>
      <c r="K718" s="729">
        <v>14682060</v>
      </c>
      <c r="L718" s="728" t="s">
        <v>175</v>
      </c>
      <c r="M718" s="728" t="s">
        <v>176</v>
      </c>
      <c r="N718" s="727"/>
      <c r="O718" s="727"/>
      <c r="P718" s="727"/>
      <c r="Q718" s="727" t="s">
        <v>816</v>
      </c>
      <c r="R718" s="730"/>
      <c r="S718" s="727"/>
      <c r="T718" s="728" t="s">
        <v>179</v>
      </c>
    </row>
    <row r="719" ht="34.5">
      <c r="A719" s="728" t="s">
        <v>326</v>
      </c>
      <c r="B719" s="728" t="s">
        <v>168</v>
      </c>
      <c r="C719" s="728" t="s">
        <v>804</v>
      </c>
      <c r="D719" s="728" t="s">
        <v>807</v>
      </c>
      <c r="E719" s="728" t="s">
        <v>814</v>
      </c>
      <c r="F719" s="727" t="s">
        <v>814</v>
      </c>
      <c r="G719" s="728" t="s">
        <v>274</v>
      </c>
      <c r="H719" s="727"/>
      <c r="I719" s="727"/>
      <c r="J719" s="727" t="s">
        <v>817</v>
      </c>
      <c r="K719" s="729">
        <v>723216</v>
      </c>
      <c r="L719" s="728" t="s">
        <v>175</v>
      </c>
      <c r="M719" s="728" t="s">
        <v>176</v>
      </c>
      <c r="N719" s="727"/>
      <c r="O719" s="727"/>
      <c r="P719" s="727"/>
      <c r="Q719" s="727"/>
      <c r="R719" s="730"/>
      <c r="S719" s="727"/>
      <c r="T719" s="728" t="s">
        <v>179</v>
      </c>
    </row>
    <row r="720" ht="34.5">
      <c r="A720" s="728" t="s">
        <v>326</v>
      </c>
      <c r="B720" s="728" t="s">
        <v>168</v>
      </c>
      <c r="C720" s="728" t="s">
        <v>804</v>
      </c>
      <c r="D720" s="728" t="s">
        <v>807</v>
      </c>
      <c r="E720" s="728" t="s">
        <v>814</v>
      </c>
      <c r="F720" s="727" t="s">
        <v>814</v>
      </c>
      <c r="G720" s="728" t="s">
        <v>274</v>
      </c>
      <c r="H720" s="727"/>
      <c r="I720" s="727"/>
      <c r="J720" s="727" t="s">
        <v>818</v>
      </c>
      <c r="K720" s="729">
        <v>595230</v>
      </c>
      <c r="L720" s="728" t="s">
        <v>175</v>
      </c>
      <c r="M720" s="728" t="s">
        <v>176</v>
      </c>
      <c r="N720" s="727"/>
      <c r="O720" s="727"/>
      <c r="P720" s="727"/>
      <c r="Q720" s="727"/>
      <c r="R720" s="730"/>
      <c r="S720" s="727"/>
      <c r="T720" s="728" t="s">
        <v>179</v>
      </c>
    </row>
    <row r="721" ht="34.5">
      <c r="A721" s="728" t="s">
        <v>326</v>
      </c>
      <c r="B721" s="728" t="s">
        <v>168</v>
      </c>
      <c r="C721" s="728" t="s">
        <v>804</v>
      </c>
      <c r="D721" s="728" t="s">
        <v>807</v>
      </c>
      <c r="E721" s="728" t="s">
        <v>814</v>
      </c>
      <c r="F721" s="727" t="s">
        <v>814</v>
      </c>
      <c r="G721" s="728" t="s">
        <v>274</v>
      </c>
      <c r="H721" s="727"/>
      <c r="I721" s="727"/>
      <c r="J721" s="727" t="s">
        <v>819</v>
      </c>
      <c r="K721" s="729">
        <v>465343</v>
      </c>
      <c r="L721" s="728" t="s">
        <v>175</v>
      </c>
      <c r="M721" s="728" t="s">
        <v>176</v>
      </c>
      <c r="N721" s="727"/>
      <c r="O721" s="727"/>
      <c r="P721" s="727"/>
      <c r="Q721" s="727"/>
      <c r="R721" s="730"/>
      <c r="S721" s="727"/>
      <c r="T721" s="728" t="s">
        <v>179</v>
      </c>
    </row>
    <row r="722" ht="34.5">
      <c r="A722" s="728" t="s">
        <v>326</v>
      </c>
      <c r="B722" s="728" t="s">
        <v>168</v>
      </c>
      <c r="C722" s="728" t="s">
        <v>804</v>
      </c>
      <c r="D722" s="728" t="s">
        <v>807</v>
      </c>
      <c r="E722" s="728" t="s">
        <v>814</v>
      </c>
      <c r="F722" s="727" t="s">
        <v>814</v>
      </c>
      <c r="G722" s="728" t="s">
        <v>274</v>
      </c>
      <c r="H722" s="727"/>
      <c r="I722" s="727"/>
      <c r="J722" s="727" t="s">
        <v>820</v>
      </c>
      <c r="K722" s="729">
        <v>28051</v>
      </c>
      <c r="L722" s="728" t="s">
        <v>175</v>
      </c>
      <c r="M722" s="728" t="s">
        <v>176</v>
      </c>
      <c r="N722" s="727"/>
      <c r="O722" s="727"/>
      <c r="P722" s="727"/>
      <c r="Q722" s="727"/>
      <c r="R722" s="730"/>
      <c r="S722" s="727"/>
      <c r="T722" s="728" t="s">
        <v>179</v>
      </c>
    </row>
    <row r="723" ht="34.5">
      <c r="A723" s="728" t="s">
        <v>326</v>
      </c>
      <c r="B723" s="728" t="s">
        <v>168</v>
      </c>
      <c r="C723" s="728" t="s">
        <v>804</v>
      </c>
      <c r="D723" s="728" t="s">
        <v>807</v>
      </c>
      <c r="E723" s="728" t="s">
        <v>814</v>
      </c>
      <c r="F723" s="727" t="s">
        <v>814</v>
      </c>
      <c r="G723" s="728" t="s">
        <v>274</v>
      </c>
      <c r="H723" s="727"/>
      <c r="I723" s="727"/>
      <c r="J723" s="727" t="s">
        <v>821</v>
      </c>
      <c r="K723" s="729">
        <v>-1300441</v>
      </c>
      <c r="L723" s="728" t="s">
        <v>175</v>
      </c>
      <c r="M723" s="728" t="s">
        <v>176</v>
      </c>
      <c r="N723" s="727"/>
      <c r="O723" s="727"/>
      <c r="P723" s="727"/>
      <c r="Q723" s="727"/>
      <c r="R723" s="730"/>
      <c r="S723" s="727"/>
      <c r="T723" s="728" t="s">
        <v>179</v>
      </c>
    </row>
    <row r="724" ht="34.5">
      <c r="A724" s="728" t="s">
        <v>326</v>
      </c>
      <c r="B724" s="728" t="s">
        <v>168</v>
      </c>
      <c r="C724" s="728" t="s">
        <v>804</v>
      </c>
      <c r="D724" s="728" t="s">
        <v>807</v>
      </c>
      <c r="E724" s="728" t="s">
        <v>814</v>
      </c>
      <c r="F724" s="727" t="s">
        <v>814</v>
      </c>
      <c r="G724" s="728" t="s">
        <v>274</v>
      </c>
      <c r="H724" s="727" t="s">
        <v>20</v>
      </c>
      <c r="I724" s="727"/>
      <c r="J724" s="727" t="s">
        <v>822</v>
      </c>
      <c r="K724" s="729">
        <v>15193459</v>
      </c>
      <c r="L724" s="728" t="s">
        <v>175</v>
      </c>
      <c r="M724" s="728" t="s">
        <v>176</v>
      </c>
      <c r="N724" s="727"/>
      <c r="O724" s="727"/>
      <c r="P724" s="727"/>
      <c r="Q724" s="727"/>
      <c r="R724" s="730" t="s">
        <v>824</v>
      </c>
      <c r="S724" s="727" t="s">
        <v>332</v>
      </c>
      <c r="T724" s="728" t="s">
        <v>179</v>
      </c>
    </row>
    <row r="725" ht="34.5">
      <c r="A725" s="728" t="s">
        <v>327</v>
      </c>
      <c r="B725" s="728" t="s">
        <v>328</v>
      </c>
      <c r="C725" s="728" t="s">
        <v>804</v>
      </c>
      <c r="D725" s="728" t="s">
        <v>784</v>
      </c>
      <c r="E725" s="728" t="s">
        <v>814</v>
      </c>
      <c r="F725" s="727" t="s">
        <v>814</v>
      </c>
      <c r="G725" s="728" t="s">
        <v>274</v>
      </c>
      <c r="H725" s="727"/>
      <c r="I725" s="727"/>
      <c r="J725" s="727" t="s">
        <v>815</v>
      </c>
      <c r="K725" s="729">
        <v>15423407</v>
      </c>
      <c r="L725" s="728" t="s">
        <v>175</v>
      </c>
      <c r="M725" s="728" t="s">
        <v>176</v>
      </c>
      <c r="N725" s="727"/>
      <c r="O725" s="727"/>
      <c r="P725" s="727"/>
      <c r="Q725" s="727"/>
      <c r="R725" s="730"/>
      <c r="S725" s="727"/>
      <c r="T725" s="728" t="s">
        <v>179</v>
      </c>
    </row>
    <row r="726" ht="34.5">
      <c r="A726" s="728" t="s">
        <v>327</v>
      </c>
      <c r="B726" s="728" t="s">
        <v>328</v>
      </c>
      <c r="C726" s="728" t="s">
        <v>804</v>
      </c>
      <c r="D726" s="728" t="s">
        <v>784</v>
      </c>
      <c r="E726" s="728" t="s">
        <v>814</v>
      </c>
      <c r="F726" s="727" t="s">
        <v>814</v>
      </c>
      <c r="G726" s="728" t="s">
        <v>274</v>
      </c>
      <c r="H726" s="727"/>
      <c r="I726" s="727"/>
      <c r="J726" s="727" t="s">
        <v>825</v>
      </c>
      <c r="K726" s="729">
        <v>960445</v>
      </c>
      <c r="L726" s="728" t="s">
        <v>175</v>
      </c>
      <c r="M726" s="728" t="s">
        <v>176</v>
      </c>
      <c r="N726" s="727"/>
      <c r="O726" s="727"/>
      <c r="P726" s="727"/>
      <c r="Q726" s="727"/>
      <c r="R726" s="730"/>
      <c r="S726" s="727"/>
      <c r="T726" s="728" t="s">
        <v>179</v>
      </c>
    </row>
    <row r="727" ht="34.5">
      <c r="A727" s="728" t="s">
        <v>327</v>
      </c>
      <c r="B727" s="728" t="s">
        <v>328</v>
      </c>
      <c r="C727" s="728" t="s">
        <v>804</v>
      </c>
      <c r="D727" s="728" t="s">
        <v>784</v>
      </c>
      <c r="E727" s="728" t="s">
        <v>814</v>
      </c>
      <c r="F727" s="727" t="s">
        <v>814</v>
      </c>
      <c r="G727" s="728" t="s">
        <v>274</v>
      </c>
      <c r="H727" s="727"/>
      <c r="I727" s="727"/>
      <c r="J727" s="727" t="s">
        <v>818</v>
      </c>
      <c r="K727" s="729">
        <v>610919</v>
      </c>
      <c r="L727" s="728" t="s">
        <v>175</v>
      </c>
      <c r="M727" s="728" t="s">
        <v>176</v>
      </c>
      <c r="N727" s="727"/>
      <c r="O727" s="727"/>
      <c r="P727" s="727"/>
      <c r="Q727" s="727"/>
      <c r="R727" s="730"/>
      <c r="S727" s="727"/>
      <c r="T727" s="728" t="s">
        <v>179</v>
      </c>
    </row>
    <row r="728" ht="34.5">
      <c r="A728" s="728" t="s">
        <v>327</v>
      </c>
      <c r="B728" s="728" t="s">
        <v>328</v>
      </c>
      <c r="C728" s="728" t="s">
        <v>804</v>
      </c>
      <c r="D728" s="728" t="s">
        <v>784</v>
      </c>
      <c r="E728" s="728" t="s">
        <v>814</v>
      </c>
      <c r="F728" s="727" t="s">
        <v>814</v>
      </c>
      <c r="G728" s="728" t="s">
        <v>274</v>
      </c>
      <c r="H728" s="727"/>
      <c r="I728" s="727"/>
      <c r="J728" s="727" t="s">
        <v>819</v>
      </c>
      <c r="K728" s="729">
        <v>488115</v>
      </c>
      <c r="L728" s="728" t="s">
        <v>175</v>
      </c>
      <c r="M728" s="728" t="s">
        <v>176</v>
      </c>
      <c r="N728" s="727"/>
      <c r="O728" s="727"/>
      <c r="P728" s="727"/>
      <c r="Q728" s="727"/>
      <c r="R728" s="730"/>
      <c r="S728" s="727"/>
      <c r="T728" s="728" t="s">
        <v>179</v>
      </c>
    </row>
    <row r="729" ht="34.5">
      <c r="A729" s="728" t="s">
        <v>327</v>
      </c>
      <c r="B729" s="728" t="s">
        <v>328</v>
      </c>
      <c r="C729" s="728" t="s">
        <v>804</v>
      </c>
      <c r="D729" s="728" t="s">
        <v>784</v>
      </c>
      <c r="E729" s="728" t="s">
        <v>814</v>
      </c>
      <c r="F729" s="727" t="s">
        <v>814</v>
      </c>
      <c r="G729" s="728" t="s">
        <v>274</v>
      </c>
      <c r="H729" s="727"/>
      <c r="I729" s="727"/>
      <c r="J729" s="727" t="s">
        <v>820</v>
      </c>
      <c r="K729" s="729">
        <v>26094</v>
      </c>
      <c r="L729" s="728" t="s">
        <v>175</v>
      </c>
      <c r="M729" s="728" t="s">
        <v>176</v>
      </c>
      <c r="N729" s="727"/>
      <c r="O729" s="727"/>
      <c r="P729" s="727"/>
      <c r="Q729" s="727"/>
      <c r="R729" s="730"/>
      <c r="S729" s="727"/>
      <c r="T729" s="728" t="s">
        <v>179</v>
      </c>
    </row>
    <row r="730" ht="34.5">
      <c r="A730" s="728" t="s">
        <v>327</v>
      </c>
      <c r="B730" s="728" t="s">
        <v>328</v>
      </c>
      <c r="C730" s="728" t="s">
        <v>804</v>
      </c>
      <c r="D730" s="728" t="s">
        <v>784</v>
      </c>
      <c r="E730" s="728" t="s">
        <v>814</v>
      </c>
      <c r="F730" s="727" t="s">
        <v>814</v>
      </c>
      <c r="G730" s="728" t="s">
        <v>274</v>
      </c>
      <c r="H730" s="727"/>
      <c r="I730" s="727"/>
      <c r="J730" s="727" t="s">
        <v>821</v>
      </c>
      <c r="K730" s="729">
        <v>-1366104</v>
      </c>
      <c r="L730" s="728" t="s">
        <v>175</v>
      </c>
      <c r="M730" s="728" t="s">
        <v>176</v>
      </c>
      <c r="N730" s="727"/>
      <c r="O730" s="727"/>
      <c r="P730" s="727"/>
      <c r="Q730" s="727"/>
      <c r="R730" s="730"/>
      <c r="S730" s="727"/>
      <c r="T730" s="728" t="s">
        <v>179</v>
      </c>
    </row>
    <row r="731" ht="34.5">
      <c r="A731" s="728" t="s">
        <v>327</v>
      </c>
      <c r="B731" s="728" t="s">
        <v>328</v>
      </c>
      <c r="C731" s="728" t="s">
        <v>804</v>
      </c>
      <c r="D731" s="728" t="s">
        <v>784</v>
      </c>
      <c r="E731" s="728" t="s">
        <v>814</v>
      </c>
      <c r="F731" s="727" t="s">
        <v>814</v>
      </c>
      <c r="G731" s="728" t="s">
        <v>274</v>
      </c>
      <c r="H731" s="727" t="s">
        <v>20</v>
      </c>
      <c r="I731" s="727"/>
      <c r="J731" s="727" t="s">
        <v>822</v>
      </c>
      <c r="K731" s="729">
        <v>16142876</v>
      </c>
      <c r="L731" s="728" t="s">
        <v>175</v>
      </c>
      <c r="M731" s="728" t="s">
        <v>176</v>
      </c>
      <c r="N731" s="727"/>
      <c r="O731" s="727"/>
      <c r="P731" s="727"/>
      <c r="Q731" s="727"/>
      <c r="R731" s="730" t="s">
        <v>826</v>
      </c>
      <c r="S731" s="727" t="s">
        <v>332</v>
      </c>
      <c r="T731" s="728" t="s">
        <v>179</v>
      </c>
    </row>
    <row r="732" ht="34.5">
      <c r="A732" s="728" t="s">
        <v>333</v>
      </c>
      <c r="B732" s="728" t="s">
        <v>334</v>
      </c>
      <c r="C732" s="728" t="s">
        <v>827</v>
      </c>
      <c r="D732" s="728" t="s">
        <v>807</v>
      </c>
      <c r="E732" s="728" t="s">
        <v>814</v>
      </c>
      <c r="F732" s="727" t="s">
        <v>814</v>
      </c>
      <c r="G732" s="728" t="s">
        <v>274</v>
      </c>
      <c r="H732" s="727"/>
      <c r="I732" s="727"/>
      <c r="J732" s="727" t="s">
        <v>815</v>
      </c>
      <c r="K732" s="729">
        <v>16142742</v>
      </c>
      <c r="L732" s="728" t="s">
        <v>175</v>
      </c>
      <c r="M732" s="728" t="s">
        <v>176</v>
      </c>
      <c r="N732" s="727"/>
      <c r="O732" s="727"/>
      <c r="P732" s="727"/>
      <c r="Q732" s="727"/>
      <c r="R732" s="730"/>
      <c r="S732" s="727"/>
      <c r="T732" s="728" t="s">
        <v>179</v>
      </c>
    </row>
    <row r="733" ht="34.5">
      <c r="A733" s="728" t="s">
        <v>333</v>
      </c>
      <c r="B733" s="728" t="s">
        <v>334</v>
      </c>
      <c r="C733" s="728" t="s">
        <v>827</v>
      </c>
      <c r="D733" s="728" t="s">
        <v>807</v>
      </c>
      <c r="E733" s="728" t="s">
        <v>814</v>
      </c>
      <c r="F733" s="727" t="s">
        <v>814</v>
      </c>
      <c r="G733" s="728" t="s">
        <v>274</v>
      </c>
      <c r="H733" s="727"/>
      <c r="I733" s="727"/>
      <c r="J733" s="727" t="s">
        <v>817</v>
      </c>
      <c r="K733" s="729">
        <v>708666</v>
      </c>
      <c r="L733" s="728" t="s">
        <v>175</v>
      </c>
      <c r="M733" s="728" t="s">
        <v>176</v>
      </c>
      <c r="N733" s="727"/>
      <c r="O733" s="727"/>
      <c r="P733" s="727"/>
      <c r="Q733" s="727"/>
      <c r="R733" s="730"/>
      <c r="S733" s="727"/>
      <c r="T733" s="728" t="s">
        <v>179</v>
      </c>
    </row>
    <row r="734" ht="34.5">
      <c r="A734" s="728" t="s">
        <v>333</v>
      </c>
      <c r="B734" s="728" t="s">
        <v>334</v>
      </c>
      <c r="C734" s="728" t="s">
        <v>827</v>
      </c>
      <c r="D734" s="728" t="s">
        <v>807</v>
      </c>
      <c r="E734" s="728" t="s">
        <v>814</v>
      </c>
      <c r="F734" s="727" t="s">
        <v>814</v>
      </c>
      <c r="G734" s="728" t="s">
        <v>274</v>
      </c>
      <c r="H734" s="727"/>
      <c r="I734" s="727"/>
      <c r="J734" s="727" t="s">
        <v>818</v>
      </c>
      <c r="K734" s="729">
        <v>623914</v>
      </c>
      <c r="L734" s="728" t="s">
        <v>175</v>
      </c>
      <c r="M734" s="728" t="s">
        <v>176</v>
      </c>
      <c r="N734" s="727"/>
      <c r="O734" s="727"/>
      <c r="P734" s="727"/>
      <c r="Q734" s="727"/>
      <c r="R734" s="730"/>
      <c r="S734" s="727"/>
      <c r="T734" s="728" t="s">
        <v>179</v>
      </c>
    </row>
    <row r="735" ht="34.5">
      <c r="A735" s="728" t="s">
        <v>333</v>
      </c>
      <c r="B735" s="728" t="s">
        <v>334</v>
      </c>
      <c r="C735" s="728" t="s">
        <v>827</v>
      </c>
      <c r="D735" s="728" t="s">
        <v>807</v>
      </c>
      <c r="E735" s="728" t="s">
        <v>814</v>
      </c>
      <c r="F735" s="727" t="s">
        <v>814</v>
      </c>
      <c r="G735" s="728" t="s">
        <v>274</v>
      </c>
      <c r="H735" s="727"/>
      <c r="I735" s="727"/>
      <c r="J735" s="727" t="s">
        <v>819</v>
      </c>
      <c r="K735" s="729">
        <v>488495</v>
      </c>
      <c r="L735" s="728" t="s">
        <v>175</v>
      </c>
      <c r="M735" s="728" t="s">
        <v>176</v>
      </c>
      <c r="N735" s="727"/>
      <c r="O735" s="727"/>
      <c r="P735" s="727"/>
      <c r="Q735" s="727"/>
      <c r="R735" s="730"/>
      <c r="S735" s="727"/>
      <c r="T735" s="728" t="s">
        <v>179</v>
      </c>
    </row>
    <row r="736" ht="34.5">
      <c r="A736" s="728" t="s">
        <v>333</v>
      </c>
      <c r="B736" s="728" t="s">
        <v>334</v>
      </c>
      <c r="C736" s="728" t="s">
        <v>827</v>
      </c>
      <c r="D736" s="728" t="s">
        <v>807</v>
      </c>
      <c r="E736" s="728" t="s">
        <v>814</v>
      </c>
      <c r="F736" s="727" t="s">
        <v>814</v>
      </c>
      <c r="G736" s="728" t="s">
        <v>274</v>
      </c>
      <c r="H736" s="727"/>
      <c r="I736" s="727"/>
      <c r="J736" s="727" t="s">
        <v>820</v>
      </c>
      <c r="K736" s="729">
        <v>24274</v>
      </c>
      <c r="L736" s="728" t="s">
        <v>175</v>
      </c>
      <c r="M736" s="728" t="s">
        <v>176</v>
      </c>
      <c r="N736" s="727"/>
      <c r="O736" s="727"/>
      <c r="P736" s="727"/>
      <c r="Q736" s="727"/>
      <c r="R736" s="730"/>
      <c r="S736" s="727"/>
      <c r="T736" s="728" t="s">
        <v>179</v>
      </c>
    </row>
    <row r="737" ht="34.5">
      <c r="A737" s="728" t="s">
        <v>333</v>
      </c>
      <c r="B737" s="728" t="s">
        <v>334</v>
      </c>
      <c r="C737" s="728" t="s">
        <v>827</v>
      </c>
      <c r="D737" s="728" t="s">
        <v>807</v>
      </c>
      <c r="E737" s="728" t="s">
        <v>814</v>
      </c>
      <c r="F737" s="727" t="s">
        <v>814</v>
      </c>
      <c r="G737" s="728" t="s">
        <v>274</v>
      </c>
      <c r="H737" s="727"/>
      <c r="I737" s="727"/>
      <c r="J737" s="727" t="s">
        <v>828</v>
      </c>
      <c r="K737" s="729">
        <v>660878</v>
      </c>
      <c r="L737" s="728" t="s">
        <v>175</v>
      </c>
      <c r="M737" s="728" t="s">
        <v>176</v>
      </c>
      <c r="N737" s="727"/>
      <c r="O737" s="727"/>
      <c r="P737" s="727"/>
      <c r="Q737" s="727"/>
      <c r="R737" s="730"/>
      <c r="S737" s="727"/>
      <c r="T737" s="728" t="s">
        <v>179</v>
      </c>
    </row>
    <row r="738" ht="34.5">
      <c r="A738" s="728" t="s">
        <v>333</v>
      </c>
      <c r="B738" s="728" t="s">
        <v>334</v>
      </c>
      <c r="C738" s="728" t="s">
        <v>827</v>
      </c>
      <c r="D738" s="728" t="s">
        <v>807</v>
      </c>
      <c r="E738" s="728" t="s">
        <v>814</v>
      </c>
      <c r="F738" s="727" t="s">
        <v>814</v>
      </c>
      <c r="G738" s="728" t="s">
        <v>274</v>
      </c>
      <c r="H738" s="727"/>
      <c r="I738" s="727"/>
      <c r="J738" s="727" t="s">
        <v>829</v>
      </c>
      <c r="K738" s="729">
        <v>-7338074</v>
      </c>
      <c r="L738" s="728" t="s">
        <v>175</v>
      </c>
      <c r="M738" s="728" t="s">
        <v>176</v>
      </c>
      <c r="N738" s="727"/>
      <c r="O738" s="727"/>
      <c r="P738" s="727"/>
      <c r="Q738" s="727" t="s">
        <v>830</v>
      </c>
      <c r="R738" s="730"/>
      <c r="S738" s="727"/>
      <c r="T738" s="728" t="s">
        <v>179</v>
      </c>
    </row>
    <row r="739" ht="34.5">
      <c r="A739" s="728" t="s">
        <v>333</v>
      </c>
      <c r="B739" s="728" t="s">
        <v>334</v>
      </c>
      <c r="C739" s="728" t="s">
        <v>827</v>
      </c>
      <c r="D739" s="728" t="s">
        <v>807</v>
      </c>
      <c r="E739" s="728" t="s">
        <v>814</v>
      </c>
      <c r="F739" s="727" t="s">
        <v>814</v>
      </c>
      <c r="G739" s="728" t="s">
        <v>274</v>
      </c>
      <c r="H739" s="727"/>
      <c r="I739" s="727"/>
      <c r="J739" s="727" t="s">
        <v>821</v>
      </c>
      <c r="K739" s="729">
        <v>-1429818</v>
      </c>
      <c r="L739" s="728" t="s">
        <v>175</v>
      </c>
      <c r="M739" s="728" t="s">
        <v>176</v>
      </c>
      <c r="N739" s="727"/>
      <c r="O739" s="727"/>
      <c r="P739" s="727"/>
      <c r="Q739" s="727"/>
      <c r="R739" s="730"/>
      <c r="S739" s="727"/>
      <c r="T739" s="728" t="s">
        <v>179</v>
      </c>
    </row>
    <row r="740" ht="34.5">
      <c r="A740" s="728" t="s">
        <v>333</v>
      </c>
      <c r="B740" s="728" t="s">
        <v>334</v>
      </c>
      <c r="C740" s="728" t="s">
        <v>827</v>
      </c>
      <c r="D740" s="728" t="s">
        <v>807</v>
      </c>
      <c r="E740" s="728" t="s">
        <v>814</v>
      </c>
      <c r="F740" s="727" t="s">
        <v>814</v>
      </c>
      <c r="G740" s="728" t="s">
        <v>274</v>
      </c>
      <c r="H740" s="727" t="s">
        <v>20</v>
      </c>
      <c r="I740" s="727"/>
      <c r="J740" s="727" t="s">
        <v>822</v>
      </c>
      <c r="K740" s="729">
        <v>9881077</v>
      </c>
      <c r="L740" s="728" t="s">
        <v>175</v>
      </c>
      <c r="M740" s="728" t="s">
        <v>176</v>
      </c>
      <c r="N740" s="727"/>
      <c r="O740" s="727"/>
      <c r="P740" s="727"/>
      <c r="Q740" s="727"/>
      <c r="R740" s="730" t="s">
        <v>831</v>
      </c>
      <c r="S740" s="727" t="s">
        <v>332</v>
      </c>
      <c r="T740" s="728" t="s">
        <v>179</v>
      </c>
    </row>
    <row r="741" ht="34.5">
      <c r="A741" s="728" t="s">
        <v>338</v>
      </c>
      <c r="B741" s="728" t="s">
        <v>339</v>
      </c>
      <c r="C741" s="728" t="s">
        <v>783</v>
      </c>
      <c r="D741" s="728" t="s">
        <v>832</v>
      </c>
      <c r="E741" s="728" t="s">
        <v>814</v>
      </c>
      <c r="F741" s="727" t="s">
        <v>814</v>
      </c>
      <c r="G741" s="728" t="s">
        <v>274</v>
      </c>
      <c r="H741" s="727"/>
      <c r="I741" s="727"/>
      <c r="J741" s="727" t="s">
        <v>833</v>
      </c>
      <c r="K741" s="729">
        <v>16835967</v>
      </c>
      <c r="L741" s="728" t="s">
        <v>175</v>
      </c>
      <c r="M741" s="728" t="s">
        <v>176</v>
      </c>
      <c r="N741" s="727"/>
      <c r="O741" s="727"/>
      <c r="P741" s="727"/>
      <c r="Q741" s="727"/>
      <c r="R741" s="730"/>
      <c r="S741" s="727"/>
      <c r="T741" s="728" t="s">
        <v>179</v>
      </c>
    </row>
    <row r="742" ht="34.5">
      <c r="A742" s="728" t="s">
        <v>338</v>
      </c>
      <c r="B742" s="728" t="s">
        <v>339</v>
      </c>
      <c r="C742" s="728" t="s">
        <v>783</v>
      </c>
      <c r="D742" s="728" t="s">
        <v>832</v>
      </c>
      <c r="E742" s="728" t="s">
        <v>814</v>
      </c>
      <c r="F742" s="727" t="s">
        <v>814</v>
      </c>
      <c r="G742" s="728" t="s">
        <v>274</v>
      </c>
      <c r="H742" s="727"/>
      <c r="I742" s="727"/>
      <c r="J742" s="727" t="s">
        <v>817</v>
      </c>
      <c r="K742" s="729">
        <v>231762</v>
      </c>
      <c r="L742" s="728" t="s">
        <v>175</v>
      </c>
      <c r="M742" s="728" t="s">
        <v>176</v>
      </c>
      <c r="N742" s="727"/>
      <c r="O742" s="727"/>
      <c r="P742" s="727"/>
      <c r="Q742" s="727"/>
      <c r="R742" s="730"/>
      <c r="S742" s="727"/>
      <c r="T742" s="728" t="s">
        <v>179</v>
      </c>
    </row>
    <row r="743" ht="34.5">
      <c r="A743" s="728" t="s">
        <v>338</v>
      </c>
      <c r="B743" s="728" t="s">
        <v>339</v>
      </c>
      <c r="C743" s="728" t="s">
        <v>783</v>
      </c>
      <c r="D743" s="728" t="s">
        <v>832</v>
      </c>
      <c r="E743" s="728" t="s">
        <v>814</v>
      </c>
      <c r="F743" s="727" t="s">
        <v>814</v>
      </c>
      <c r="G743" s="728" t="s">
        <v>274</v>
      </c>
      <c r="H743" s="727"/>
      <c r="I743" s="727"/>
      <c r="J743" s="727" t="s">
        <v>834</v>
      </c>
      <c r="K743" s="729">
        <v>2162981</v>
      </c>
      <c r="L743" s="728" t="s">
        <v>175</v>
      </c>
      <c r="M743" s="728" t="s">
        <v>176</v>
      </c>
      <c r="N743" s="727"/>
      <c r="O743" s="727"/>
      <c r="P743" s="727"/>
      <c r="Q743" s="727"/>
      <c r="R743" s="730"/>
      <c r="S743" s="727"/>
      <c r="T743" s="728" t="s">
        <v>179</v>
      </c>
    </row>
    <row r="744" ht="34.5">
      <c r="A744" s="728" t="s">
        <v>338</v>
      </c>
      <c r="B744" s="728" t="s">
        <v>339</v>
      </c>
      <c r="C744" s="728" t="s">
        <v>783</v>
      </c>
      <c r="D744" s="728" t="s">
        <v>832</v>
      </c>
      <c r="E744" s="728" t="s">
        <v>814</v>
      </c>
      <c r="F744" s="727" t="s">
        <v>814</v>
      </c>
      <c r="G744" s="728" t="s">
        <v>274</v>
      </c>
      <c r="H744" s="727"/>
      <c r="I744" s="727"/>
      <c r="J744" s="727" t="s">
        <v>835</v>
      </c>
      <c r="K744" s="729">
        <v>634461</v>
      </c>
      <c r="L744" s="728" t="s">
        <v>175</v>
      </c>
      <c r="M744" s="728" t="s">
        <v>176</v>
      </c>
      <c r="N744" s="727"/>
      <c r="O744" s="727"/>
      <c r="P744" s="727"/>
      <c r="Q744" s="727"/>
      <c r="R744" s="730"/>
      <c r="S744" s="727"/>
      <c r="T744" s="728" t="s">
        <v>179</v>
      </c>
    </row>
    <row r="745" ht="34.5">
      <c r="A745" s="728" t="s">
        <v>338</v>
      </c>
      <c r="B745" s="728" t="s">
        <v>339</v>
      </c>
      <c r="C745" s="728" t="s">
        <v>783</v>
      </c>
      <c r="D745" s="728" t="s">
        <v>832</v>
      </c>
      <c r="E745" s="728" t="s">
        <v>814</v>
      </c>
      <c r="F745" s="727" t="s">
        <v>814</v>
      </c>
      <c r="G745" s="728" t="s">
        <v>274</v>
      </c>
      <c r="H745" s="727"/>
      <c r="I745" s="727"/>
      <c r="J745" s="727" t="s">
        <v>836</v>
      </c>
      <c r="K745" s="729">
        <v>461118</v>
      </c>
      <c r="L745" s="728" t="s">
        <v>175</v>
      </c>
      <c r="M745" s="728" t="s">
        <v>176</v>
      </c>
      <c r="N745" s="727"/>
      <c r="O745" s="727"/>
      <c r="P745" s="727"/>
      <c r="Q745" s="727"/>
      <c r="R745" s="730"/>
      <c r="S745" s="727"/>
      <c r="T745" s="728" t="s">
        <v>179</v>
      </c>
    </row>
    <row r="746" ht="34.5">
      <c r="A746" s="728" t="s">
        <v>338</v>
      </c>
      <c r="B746" s="728" t="s">
        <v>339</v>
      </c>
      <c r="C746" s="728" t="s">
        <v>783</v>
      </c>
      <c r="D746" s="728" t="s">
        <v>832</v>
      </c>
      <c r="E746" s="728" t="s">
        <v>814</v>
      </c>
      <c r="F746" s="727" t="s">
        <v>814</v>
      </c>
      <c r="G746" s="728" t="s">
        <v>274</v>
      </c>
      <c r="H746" s="727"/>
      <c r="I746" s="727"/>
      <c r="J746" s="727" t="s">
        <v>820</v>
      </c>
      <c r="K746" s="729">
        <v>0</v>
      </c>
      <c r="L746" s="728" t="s">
        <v>175</v>
      </c>
      <c r="M746" s="728" t="s">
        <v>176</v>
      </c>
      <c r="N746" s="727"/>
      <c r="O746" s="727"/>
      <c r="P746" s="727"/>
      <c r="Q746" s="727"/>
      <c r="R746" s="730"/>
      <c r="S746" s="727" t="s">
        <v>748</v>
      </c>
      <c r="T746" s="728" t="s">
        <v>179</v>
      </c>
    </row>
    <row r="747" ht="34.5">
      <c r="A747" s="728" t="s">
        <v>338</v>
      </c>
      <c r="B747" s="728" t="s">
        <v>339</v>
      </c>
      <c r="C747" s="728" t="s">
        <v>783</v>
      </c>
      <c r="D747" s="728" t="s">
        <v>832</v>
      </c>
      <c r="E747" s="728" t="s">
        <v>814</v>
      </c>
      <c r="F747" s="727" t="s">
        <v>814</v>
      </c>
      <c r="G747" s="728" t="s">
        <v>274</v>
      </c>
      <c r="H747" s="727"/>
      <c r="I747" s="727"/>
      <c r="J747" s="727" t="s">
        <v>837</v>
      </c>
      <c r="K747" s="729">
        <v>-4708923</v>
      </c>
      <c r="L747" s="728" t="s">
        <v>175</v>
      </c>
      <c r="M747" s="728" t="s">
        <v>176</v>
      </c>
      <c r="N747" s="727"/>
      <c r="O747" s="727"/>
      <c r="P747" s="727"/>
      <c r="Q747" s="727"/>
      <c r="R747" s="730"/>
      <c r="S747" s="727"/>
      <c r="T747" s="728" t="s">
        <v>179</v>
      </c>
    </row>
    <row r="748" ht="34.5">
      <c r="A748" s="728" t="s">
        <v>338</v>
      </c>
      <c r="B748" s="728" t="s">
        <v>339</v>
      </c>
      <c r="C748" s="728" t="s">
        <v>783</v>
      </c>
      <c r="D748" s="728" t="s">
        <v>832</v>
      </c>
      <c r="E748" s="728" t="s">
        <v>814</v>
      </c>
      <c r="F748" s="727" t="s">
        <v>814</v>
      </c>
      <c r="G748" s="728" t="s">
        <v>274</v>
      </c>
      <c r="H748" s="727"/>
      <c r="I748" s="727"/>
      <c r="J748" s="727" t="s">
        <v>838</v>
      </c>
      <c r="K748" s="729">
        <v>-1491219</v>
      </c>
      <c r="L748" s="728" t="s">
        <v>175</v>
      </c>
      <c r="M748" s="728" t="s">
        <v>176</v>
      </c>
      <c r="N748" s="727"/>
      <c r="O748" s="727"/>
      <c r="P748" s="727"/>
      <c r="Q748" s="727"/>
      <c r="R748" s="730"/>
      <c r="S748" s="727"/>
      <c r="T748" s="728" t="s">
        <v>179</v>
      </c>
    </row>
    <row r="749" ht="34.5">
      <c r="A749" s="728" t="s">
        <v>338</v>
      </c>
      <c r="B749" s="728" t="s">
        <v>339</v>
      </c>
      <c r="C749" s="728" t="s">
        <v>783</v>
      </c>
      <c r="D749" s="728" t="s">
        <v>832</v>
      </c>
      <c r="E749" s="728" t="s">
        <v>814</v>
      </c>
      <c r="F749" s="727" t="s">
        <v>814</v>
      </c>
      <c r="G749" s="728" t="s">
        <v>274</v>
      </c>
      <c r="H749" s="727" t="s">
        <v>20</v>
      </c>
      <c r="I749" s="727"/>
      <c r="J749" s="727" t="s">
        <v>822</v>
      </c>
      <c r="K749" s="729">
        <v>14126147</v>
      </c>
      <c r="L749" s="728" t="s">
        <v>175</v>
      </c>
      <c r="M749" s="728" t="s">
        <v>176</v>
      </c>
      <c r="N749" s="727"/>
      <c r="O749" s="727"/>
      <c r="P749" s="727"/>
      <c r="Q749" s="727"/>
      <c r="R749" s="730" t="s">
        <v>839</v>
      </c>
      <c r="S749" s="727" t="s">
        <v>332</v>
      </c>
      <c r="T749" s="728" t="s">
        <v>179</v>
      </c>
    </row>
    <row r="750" ht="34.5">
      <c r="A750" s="728" t="s">
        <v>167</v>
      </c>
      <c r="B750" s="728" t="s">
        <v>168</v>
      </c>
      <c r="C750" s="728" t="s">
        <v>804</v>
      </c>
      <c r="D750" s="728" t="s">
        <v>832</v>
      </c>
      <c r="E750" s="728" t="s">
        <v>840</v>
      </c>
      <c r="F750" s="727" t="s">
        <v>840</v>
      </c>
      <c r="G750" s="728" t="s">
        <v>277</v>
      </c>
      <c r="H750" s="727" t="s">
        <v>23</v>
      </c>
      <c r="I750" s="727" t="s">
        <v>841</v>
      </c>
      <c r="J750" s="727" t="s">
        <v>842</v>
      </c>
      <c r="K750" s="729">
        <v>497187</v>
      </c>
      <c r="L750" s="728" t="s">
        <v>175</v>
      </c>
      <c r="M750" s="728" t="s">
        <v>176</v>
      </c>
      <c r="N750" s="727"/>
      <c r="O750" s="727"/>
      <c r="P750" s="727"/>
      <c r="Q750" s="727"/>
      <c r="R750" s="730" t="s">
        <v>843</v>
      </c>
      <c r="S750" s="727"/>
      <c r="T750" s="728" t="s">
        <v>179</v>
      </c>
    </row>
    <row r="751" ht="34.5">
      <c r="A751" s="728" t="s">
        <v>326</v>
      </c>
      <c r="B751" s="728" t="s">
        <v>168</v>
      </c>
      <c r="C751" s="728" t="s">
        <v>804</v>
      </c>
      <c r="D751" s="728" t="s">
        <v>832</v>
      </c>
      <c r="E751" s="728" t="s">
        <v>840</v>
      </c>
      <c r="F751" s="727" t="s">
        <v>840</v>
      </c>
      <c r="G751" s="728" t="s">
        <v>277</v>
      </c>
      <c r="H751" s="727" t="s">
        <v>23</v>
      </c>
      <c r="I751" s="727" t="s">
        <v>841</v>
      </c>
      <c r="J751" s="727" t="s">
        <v>842</v>
      </c>
      <c r="K751" s="729">
        <v>681267</v>
      </c>
      <c r="L751" s="728" t="s">
        <v>175</v>
      </c>
      <c r="M751" s="728" t="s">
        <v>176</v>
      </c>
      <c r="N751" s="727"/>
      <c r="O751" s="727"/>
      <c r="P751" s="727"/>
      <c r="Q751" s="727"/>
      <c r="R751" s="730" t="s">
        <v>844</v>
      </c>
      <c r="S751" s="727"/>
      <c r="T751" s="728" t="s">
        <v>179</v>
      </c>
    </row>
    <row r="752" ht="34.5">
      <c r="A752" s="728" t="s">
        <v>327</v>
      </c>
      <c r="B752" s="728" t="s">
        <v>328</v>
      </c>
      <c r="C752" s="728" t="s">
        <v>804</v>
      </c>
      <c r="D752" s="728" t="s">
        <v>807</v>
      </c>
      <c r="E752" s="728" t="s">
        <v>840</v>
      </c>
      <c r="F752" s="727" t="s">
        <v>840</v>
      </c>
      <c r="G752" s="728" t="s">
        <v>277</v>
      </c>
      <c r="H752" s="727" t="s">
        <v>23</v>
      </c>
      <c r="I752" s="727" t="s">
        <v>841</v>
      </c>
      <c r="J752" s="727" t="s">
        <v>842</v>
      </c>
      <c r="K752" s="729">
        <v>820467</v>
      </c>
      <c r="L752" s="728" t="s">
        <v>175</v>
      </c>
      <c r="M752" s="728" t="s">
        <v>176</v>
      </c>
      <c r="N752" s="727"/>
      <c r="O752" s="727"/>
      <c r="P752" s="727"/>
      <c r="Q752" s="727"/>
      <c r="R752" s="730" t="s">
        <v>845</v>
      </c>
      <c r="S752" s="727"/>
      <c r="T752" s="728" t="s">
        <v>179</v>
      </c>
    </row>
    <row r="753" ht="34.5">
      <c r="A753" s="728" t="s">
        <v>333</v>
      </c>
      <c r="B753" s="728" t="s">
        <v>334</v>
      </c>
      <c r="C753" s="728" t="s">
        <v>827</v>
      </c>
      <c r="D753" s="728" t="s">
        <v>832</v>
      </c>
      <c r="E753" s="728" t="s">
        <v>840</v>
      </c>
      <c r="F753" s="727" t="s">
        <v>840</v>
      </c>
      <c r="G753" s="728" t="s">
        <v>277</v>
      </c>
      <c r="H753" s="727" t="s">
        <v>23</v>
      </c>
      <c r="I753" s="727" t="s">
        <v>841</v>
      </c>
      <c r="J753" s="727" t="s">
        <v>842</v>
      </c>
      <c r="K753" s="729">
        <v>-599370</v>
      </c>
      <c r="L753" s="728" t="s">
        <v>175</v>
      </c>
      <c r="M753" s="728" t="s">
        <v>176</v>
      </c>
      <c r="N753" s="727"/>
      <c r="O753" s="727"/>
      <c r="P753" s="727"/>
      <c r="Q753" s="727"/>
      <c r="R753" s="730" t="s">
        <v>846</v>
      </c>
      <c r="S753" s="727" t="s">
        <v>847</v>
      </c>
      <c r="T753" s="728" t="s">
        <v>179</v>
      </c>
    </row>
    <row r="754" ht="34.5">
      <c r="A754" s="728" t="s">
        <v>338</v>
      </c>
      <c r="B754" s="728" t="s">
        <v>339</v>
      </c>
      <c r="C754" s="728" t="s">
        <v>804</v>
      </c>
      <c r="D754" s="728" t="s">
        <v>848</v>
      </c>
      <c r="E754" s="728" t="s">
        <v>840</v>
      </c>
      <c r="F754" s="727" t="s">
        <v>840</v>
      </c>
      <c r="G754" s="728" t="s">
        <v>277</v>
      </c>
      <c r="H754" s="727"/>
      <c r="I754" s="727" t="s">
        <v>841</v>
      </c>
      <c r="J754" s="727" t="s">
        <v>849</v>
      </c>
      <c r="K754" s="729">
        <v>0</v>
      </c>
      <c r="L754" s="728" t="s">
        <v>175</v>
      </c>
      <c r="M754" s="728" t="s">
        <v>176</v>
      </c>
      <c r="N754" s="727"/>
      <c r="O754" s="727"/>
      <c r="P754" s="727"/>
      <c r="Q754" s="727"/>
      <c r="R754" s="730"/>
      <c r="S754" s="727" t="s">
        <v>748</v>
      </c>
      <c r="T754" s="728" t="s">
        <v>179</v>
      </c>
    </row>
    <row r="755" ht="34.5">
      <c r="A755" s="728" t="s">
        <v>338</v>
      </c>
      <c r="B755" s="728" t="s">
        <v>339</v>
      </c>
      <c r="C755" s="728" t="s">
        <v>804</v>
      </c>
      <c r="D755" s="728" t="s">
        <v>848</v>
      </c>
      <c r="E755" s="728" t="s">
        <v>840</v>
      </c>
      <c r="F755" s="727" t="s">
        <v>840</v>
      </c>
      <c r="G755" s="728" t="s">
        <v>277</v>
      </c>
      <c r="H755" s="727"/>
      <c r="I755" s="727" t="s">
        <v>841</v>
      </c>
      <c r="J755" s="727" t="s">
        <v>842</v>
      </c>
      <c r="K755" s="729">
        <v>2683428</v>
      </c>
      <c r="L755" s="728" t="s">
        <v>175</v>
      </c>
      <c r="M755" s="728" t="s">
        <v>176</v>
      </c>
      <c r="N755" s="727"/>
      <c r="O755" s="727"/>
      <c r="P755" s="727"/>
      <c r="Q755" s="727"/>
      <c r="R755" s="730"/>
      <c r="S755" s="727"/>
      <c r="T755" s="728" t="s">
        <v>179</v>
      </c>
    </row>
    <row r="756" ht="34.5">
      <c r="A756" s="728" t="s">
        <v>338</v>
      </c>
      <c r="B756" s="728" t="s">
        <v>339</v>
      </c>
      <c r="C756" s="728" t="s">
        <v>804</v>
      </c>
      <c r="D756" s="728" t="s">
        <v>848</v>
      </c>
      <c r="E756" s="728" t="s">
        <v>840</v>
      </c>
      <c r="F756" s="727" t="s">
        <v>840</v>
      </c>
      <c r="G756" s="728" t="s">
        <v>277</v>
      </c>
      <c r="H756" s="727" t="s">
        <v>23</v>
      </c>
      <c r="I756" s="727" t="s">
        <v>841</v>
      </c>
      <c r="J756" s="727" t="s">
        <v>850</v>
      </c>
      <c r="K756" s="729">
        <v>2683428</v>
      </c>
      <c r="L756" s="728" t="s">
        <v>175</v>
      </c>
      <c r="M756" s="728" t="s">
        <v>176</v>
      </c>
      <c r="N756" s="727"/>
      <c r="O756" s="727"/>
      <c r="P756" s="727"/>
      <c r="Q756" s="727"/>
      <c r="R756" s="730" t="s">
        <v>851</v>
      </c>
      <c r="S756" s="727" t="s">
        <v>332</v>
      </c>
      <c r="T756" s="728" t="s">
        <v>179</v>
      </c>
    </row>
    <row r="757" ht="34.5">
      <c r="A757" s="728" t="s">
        <v>167</v>
      </c>
      <c r="B757" s="728" t="s">
        <v>168</v>
      </c>
      <c r="C757" s="728" t="s">
        <v>827</v>
      </c>
      <c r="D757" s="728" t="s">
        <v>848</v>
      </c>
      <c r="E757" s="728" t="s">
        <v>840</v>
      </c>
      <c r="F757" s="727" t="s">
        <v>840</v>
      </c>
      <c r="G757" s="728" t="s">
        <v>277</v>
      </c>
      <c r="H757" s="727"/>
      <c r="I757" s="727" t="s">
        <v>852</v>
      </c>
      <c r="J757" s="727" t="s">
        <v>853</v>
      </c>
      <c r="K757" s="729">
        <v>2107128</v>
      </c>
      <c r="L757" s="728" t="s">
        <v>175</v>
      </c>
      <c r="M757" s="728" t="s">
        <v>176</v>
      </c>
      <c r="N757" s="727"/>
      <c r="O757" s="727"/>
      <c r="P757" s="727"/>
      <c r="Q757" s="727"/>
      <c r="R757" s="730"/>
      <c r="S757" s="727"/>
      <c r="T757" s="728" t="s">
        <v>179</v>
      </c>
    </row>
    <row r="758" ht="34.5">
      <c r="A758" s="728" t="s">
        <v>167</v>
      </c>
      <c r="B758" s="728" t="s">
        <v>168</v>
      </c>
      <c r="C758" s="728" t="s">
        <v>827</v>
      </c>
      <c r="D758" s="728" t="s">
        <v>848</v>
      </c>
      <c r="E758" s="728" t="s">
        <v>840</v>
      </c>
      <c r="F758" s="727" t="s">
        <v>840</v>
      </c>
      <c r="G758" s="728" t="s">
        <v>277</v>
      </c>
      <c r="H758" s="727"/>
      <c r="I758" s="727" t="s">
        <v>852</v>
      </c>
      <c r="J758" s="727" t="s">
        <v>854</v>
      </c>
      <c r="K758" s="729">
        <v>497187</v>
      </c>
      <c r="L758" s="728" t="s">
        <v>175</v>
      </c>
      <c r="M758" s="728" t="s">
        <v>176</v>
      </c>
      <c r="N758" s="727"/>
      <c r="O758" s="727"/>
      <c r="P758" s="727"/>
      <c r="Q758" s="727"/>
      <c r="R758" s="730"/>
      <c r="S758" s="727"/>
      <c r="T758" s="728" t="s">
        <v>179</v>
      </c>
    </row>
    <row r="759" ht="34.5">
      <c r="A759" s="728" t="s">
        <v>167</v>
      </c>
      <c r="B759" s="728" t="s">
        <v>168</v>
      </c>
      <c r="C759" s="728" t="s">
        <v>827</v>
      </c>
      <c r="D759" s="728" t="s">
        <v>848</v>
      </c>
      <c r="E759" s="728" t="s">
        <v>840</v>
      </c>
      <c r="F759" s="727" t="s">
        <v>840</v>
      </c>
      <c r="G759" s="728" t="s">
        <v>277</v>
      </c>
      <c r="H759" s="727" t="s">
        <v>42</v>
      </c>
      <c r="I759" s="727" t="s">
        <v>852</v>
      </c>
      <c r="J759" s="727" t="s">
        <v>855</v>
      </c>
      <c r="K759" s="729">
        <v>2604315</v>
      </c>
      <c r="L759" s="728" t="s">
        <v>175</v>
      </c>
      <c r="M759" s="728" t="s">
        <v>176</v>
      </c>
      <c r="N759" s="727"/>
      <c r="O759" s="727"/>
      <c r="P759" s="727"/>
      <c r="Q759" s="727"/>
      <c r="R759" s="730" t="s">
        <v>856</v>
      </c>
      <c r="S759" s="727" t="s">
        <v>332</v>
      </c>
      <c r="T759" s="728" t="s">
        <v>179</v>
      </c>
    </row>
    <row r="760" ht="34.5">
      <c r="A760" s="728" t="s">
        <v>326</v>
      </c>
      <c r="B760" s="728" t="s">
        <v>168</v>
      </c>
      <c r="C760" s="728" t="s">
        <v>827</v>
      </c>
      <c r="D760" s="728" t="s">
        <v>848</v>
      </c>
      <c r="E760" s="728" t="s">
        <v>840</v>
      </c>
      <c r="F760" s="727" t="s">
        <v>840</v>
      </c>
      <c r="G760" s="728" t="s">
        <v>277</v>
      </c>
      <c r="H760" s="727"/>
      <c r="I760" s="727" t="s">
        <v>852</v>
      </c>
      <c r="J760" s="727" t="s">
        <v>853</v>
      </c>
      <c r="K760" s="729">
        <v>1425861</v>
      </c>
      <c r="L760" s="728" t="s">
        <v>175</v>
      </c>
      <c r="M760" s="728" t="s">
        <v>176</v>
      </c>
      <c r="N760" s="727"/>
      <c r="O760" s="727"/>
      <c r="P760" s="727"/>
      <c r="Q760" s="727"/>
      <c r="R760" s="730"/>
      <c r="S760" s="727"/>
      <c r="T760" s="728" t="s">
        <v>179</v>
      </c>
    </row>
    <row r="761" ht="34.5">
      <c r="A761" s="728" t="s">
        <v>326</v>
      </c>
      <c r="B761" s="728" t="s">
        <v>168</v>
      </c>
      <c r="C761" s="728" t="s">
        <v>827</v>
      </c>
      <c r="D761" s="728" t="s">
        <v>848</v>
      </c>
      <c r="E761" s="728" t="s">
        <v>840</v>
      </c>
      <c r="F761" s="727" t="s">
        <v>840</v>
      </c>
      <c r="G761" s="728" t="s">
        <v>277</v>
      </c>
      <c r="H761" s="727"/>
      <c r="I761" s="727" t="s">
        <v>852</v>
      </c>
      <c r="J761" s="727" t="s">
        <v>854</v>
      </c>
      <c r="K761" s="729">
        <v>681267</v>
      </c>
      <c r="L761" s="728" t="s">
        <v>175</v>
      </c>
      <c r="M761" s="728" t="s">
        <v>176</v>
      </c>
      <c r="N761" s="727"/>
      <c r="O761" s="727"/>
      <c r="P761" s="727"/>
      <c r="Q761" s="727"/>
      <c r="R761" s="730"/>
      <c r="S761" s="727"/>
      <c r="T761" s="728" t="s">
        <v>179</v>
      </c>
    </row>
    <row r="762" ht="34.5">
      <c r="A762" s="728" t="s">
        <v>326</v>
      </c>
      <c r="B762" s="728" t="s">
        <v>168</v>
      </c>
      <c r="C762" s="728" t="s">
        <v>827</v>
      </c>
      <c r="D762" s="728" t="s">
        <v>848</v>
      </c>
      <c r="E762" s="728" t="s">
        <v>840</v>
      </c>
      <c r="F762" s="727" t="s">
        <v>840</v>
      </c>
      <c r="G762" s="728" t="s">
        <v>277</v>
      </c>
      <c r="H762" s="727" t="s">
        <v>42</v>
      </c>
      <c r="I762" s="727" t="s">
        <v>852</v>
      </c>
      <c r="J762" s="727" t="s">
        <v>855</v>
      </c>
      <c r="K762" s="729">
        <v>2107128</v>
      </c>
      <c r="L762" s="728" t="s">
        <v>175</v>
      </c>
      <c r="M762" s="728" t="s">
        <v>176</v>
      </c>
      <c r="N762" s="727"/>
      <c r="O762" s="727"/>
      <c r="P762" s="727"/>
      <c r="Q762" s="727"/>
      <c r="R762" s="730" t="s">
        <v>857</v>
      </c>
      <c r="S762" s="727" t="s">
        <v>332</v>
      </c>
      <c r="T762" s="728" t="s">
        <v>179</v>
      </c>
    </row>
    <row r="763" ht="34.5">
      <c r="A763" s="728" t="s">
        <v>327</v>
      </c>
      <c r="B763" s="728" t="s">
        <v>328</v>
      </c>
      <c r="C763" s="728" t="s">
        <v>827</v>
      </c>
      <c r="D763" s="728" t="s">
        <v>832</v>
      </c>
      <c r="E763" s="728" t="s">
        <v>840</v>
      </c>
      <c r="F763" s="727" t="s">
        <v>840</v>
      </c>
      <c r="G763" s="728" t="s">
        <v>277</v>
      </c>
      <c r="H763" s="727"/>
      <c r="I763" s="727" t="s">
        <v>852</v>
      </c>
      <c r="J763" s="727" t="s">
        <v>853</v>
      </c>
      <c r="K763" s="729">
        <v>605394</v>
      </c>
      <c r="L763" s="728" t="s">
        <v>175</v>
      </c>
      <c r="M763" s="728" t="s">
        <v>176</v>
      </c>
      <c r="N763" s="727"/>
      <c r="O763" s="727"/>
      <c r="P763" s="727"/>
      <c r="Q763" s="727"/>
      <c r="R763" s="730"/>
      <c r="S763" s="727"/>
      <c r="T763" s="728" t="s">
        <v>179</v>
      </c>
    </row>
    <row r="764" ht="34.5">
      <c r="A764" s="728" t="s">
        <v>327</v>
      </c>
      <c r="B764" s="728" t="s">
        <v>328</v>
      </c>
      <c r="C764" s="728" t="s">
        <v>827</v>
      </c>
      <c r="D764" s="728" t="s">
        <v>832</v>
      </c>
      <c r="E764" s="728" t="s">
        <v>840</v>
      </c>
      <c r="F764" s="727" t="s">
        <v>840</v>
      </c>
      <c r="G764" s="728" t="s">
        <v>277</v>
      </c>
      <c r="H764" s="727"/>
      <c r="I764" s="727" t="s">
        <v>852</v>
      </c>
      <c r="J764" s="727" t="s">
        <v>854</v>
      </c>
      <c r="K764" s="729">
        <v>820467</v>
      </c>
      <c r="L764" s="728" t="s">
        <v>175</v>
      </c>
      <c r="M764" s="728" t="s">
        <v>176</v>
      </c>
      <c r="N764" s="727"/>
      <c r="O764" s="727"/>
      <c r="P764" s="727"/>
      <c r="Q764" s="727"/>
      <c r="R764" s="730"/>
      <c r="S764" s="727"/>
      <c r="T764" s="728" t="s">
        <v>179</v>
      </c>
    </row>
    <row r="765" ht="34.5">
      <c r="A765" s="728" t="s">
        <v>327</v>
      </c>
      <c r="B765" s="728" t="s">
        <v>328</v>
      </c>
      <c r="C765" s="728" t="s">
        <v>827</v>
      </c>
      <c r="D765" s="728" t="s">
        <v>832</v>
      </c>
      <c r="E765" s="728" t="s">
        <v>840</v>
      </c>
      <c r="F765" s="727" t="s">
        <v>840</v>
      </c>
      <c r="G765" s="728" t="s">
        <v>277</v>
      </c>
      <c r="H765" s="727" t="s">
        <v>42</v>
      </c>
      <c r="I765" s="727" t="s">
        <v>852</v>
      </c>
      <c r="J765" s="727" t="s">
        <v>855</v>
      </c>
      <c r="K765" s="729">
        <v>1425861</v>
      </c>
      <c r="L765" s="728" t="s">
        <v>175</v>
      </c>
      <c r="M765" s="728" t="s">
        <v>176</v>
      </c>
      <c r="N765" s="727"/>
      <c r="O765" s="727"/>
      <c r="P765" s="727"/>
      <c r="Q765" s="727"/>
      <c r="R765" s="730" t="s">
        <v>858</v>
      </c>
      <c r="S765" s="727" t="s">
        <v>332</v>
      </c>
      <c r="T765" s="728" t="s">
        <v>179</v>
      </c>
    </row>
    <row r="766" ht="34.5">
      <c r="A766" s="728" t="s">
        <v>333</v>
      </c>
      <c r="B766" s="728" t="s">
        <v>334</v>
      </c>
      <c r="C766" s="728" t="s">
        <v>827</v>
      </c>
      <c r="D766" s="728" t="s">
        <v>848</v>
      </c>
      <c r="E766" s="728" t="s">
        <v>840</v>
      </c>
      <c r="F766" s="727" t="s">
        <v>840</v>
      </c>
      <c r="G766" s="728" t="s">
        <v>277</v>
      </c>
      <c r="H766" s="727"/>
      <c r="I766" s="727" t="s">
        <v>852</v>
      </c>
      <c r="J766" s="727" t="s">
        <v>859</v>
      </c>
      <c r="K766" s="729">
        <v>54184</v>
      </c>
      <c r="L766" s="728" t="s">
        <v>175</v>
      </c>
      <c r="M766" s="728" t="s">
        <v>176</v>
      </c>
      <c r="N766" s="727"/>
      <c r="O766" s="727"/>
      <c r="P766" s="727"/>
      <c r="Q766" s="727"/>
      <c r="R766" s="730"/>
      <c r="S766" s="727"/>
      <c r="T766" s="728" t="s">
        <v>179</v>
      </c>
    </row>
    <row r="767" ht="34.5">
      <c r="A767" s="728" t="s">
        <v>333</v>
      </c>
      <c r="B767" s="728" t="s">
        <v>334</v>
      </c>
      <c r="C767" s="728" t="s">
        <v>827</v>
      </c>
      <c r="D767" s="728" t="s">
        <v>848</v>
      </c>
      <c r="E767" s="728" t="s">
        <v>840</v>
      </c>
      <c r="F767" s="727" t="s">
        <v>840</v>
      </c>
      <c r="G767" s="728" t="s">
        <v>277</v>
      </c>
      <c r="H767" s="727"/>
      <c r="I767" s="727" t="s">
        <v>852</v>
      </c>
      <c r="J767" s="727" t="s">
        <v>860</v>
      </c>
      <c r="K767" s="729">
        <v>-54184</v>
      </c>
      <c r="L767" s="728" t="s">
        <v>175</v>
      </c>
      <c r="M767" s="728" t="s">
        <v>176</v>
      </c>
      <c r="N767" s="727"/>
      <c r="O767" s="727"/>
      <c r="P767" s="727"/>
      <c r="Q767" s="727"/>
      <c r="R767" s="730"/>
      <c r="S767" s="727"/>
      <c r="T767" s="728" t="s">
        <v>179</v>
      </c>
    </row>
    <row r="768" ht="34.5">
      <c r="A768" s="728" t="s">
        <v>333</v>
      </c>
      <c r="B768" s="728" t="s">
        <v>334</v>
      </c>
      <c r="C768" s="728" t="s">
        <v>827</v>
      </c>
      <c r="D768" s="728" t="s">
        <v>848</v>
      </c>
      <c r="E768" s="728" t="s">
        <v>840</v>
      </c>
      <c r="F768" s="727" t="s">
        <v>840</v>
      </c>
      <c r="G768" s="728" t="s">
        <v>277</v>
      </c>
      <c r="H768" s="727"/>
      <c r="I768" s="727" t="s">
        <v>852</v>
      </c>
      <c r="J768" s="727" t="s">
        <v>861</v>
      </c>
      <c r="K768" s="729">
        <v>0</v>
      </c>
      <c r="L768" s="728" t="s">
        <v>175</v>
      </c>
      <c r="M768" s="728" t="s">
        <v>176</v>
      </c>
      <c r="N768" s="727"/>
      <c r="O768" s="727"/>
      <c r="P768" s="727"/>
      <c r="Q768" s="727"/>
      <c r="R768" s="730"/>
      <c r="S768" s="727"/>
      <c r="T768" s="728" t="s">
        <v>179</v>
      </c>
    </row>
    <row r="769" ht="34.5">
      <c r="A769" s="728" t="s">
        <v>333</v>
      </c>
      <c r="B769" s="728" t="s">
        <v>334</v>
      </c>
      <c r="C769" s="728" t="s">
        <v>827</v>
      </c>
      <c r="D769" s="728" t="s">
        <v>848</v>
      </c>
      <c r="E769" s="728" t="s">
        <v>840</v>
      </c>
      <c r="F769" s="727" t="s">
        <v>840</v>
      </c>
      <c r="G769" s="728" t="s">
        <v>277</v>
      </c>
      <c r="H769" s="727"/>
      <c r="I769" s="727" t="s">
        <v>852</v>
      </c>
      <c r="J769" s="727" t="s">
        <v>853</v>
      </c>
      <c r="K769" s="729">
        <v>1258948</v>
      </c>
      <c r="L769" s="728" t="s">
        <v>175</v>
      </c>
      <c r="M769" s="728" t="s">
        <v>176</v>
      </c>
      <c r="N769" s="727"/>
      <c r="O769" s="727"/>
      <c r="P769" s="727"/>
      <c r="Q769" s="727"/>
      <c r="R769" s="730"/>
      <c r="S769" s="727"/>
      <c r="T769" s="728" t="s">
        <v>179</v>
      </c>
    </row>
    <row r="770" ht="34.5">
      <c r="A770" s="728" t="s">
        <v>333</v>
      </c>
      <c r="B770" s="728" t="s">
        <v>334</v>
      </c>
      <c r="C770" s="728" t="s">
        <v>827</v>
      </c>
      <c r="D770" s="728" t="s">
        <v>848</v>
      </c>
      <c r="E770" s="728" t="s">
        <v>840</v>
      </c>
      <c r="F770" s="727" t="s">
        <v>840</v>
      </c>
      <c r="G770" s="728" t="s">
        <v>277</v>
      </c>
      <c r="H770" s="727"/>
      <c r="I770" s="727" t="s">
        <v>852</v>
      </c>
      <c r="J770" s="727" t="s">
        <v>854</v>
      </c>
      <c r="K770" s="729">
        <v>-653554</v>
      </c>
      <c r="L770" s="728" t="s">
        <v>175</v>
      </c>
      <c r="M770" s="728" t="s">
        <v>176</v>
      </c>
      <c r="N770" s="727"/>
      <c r="O770" s="727"/>
      <c r="P770" s="727"/>
      <c r="Q770" s="727"/>
      <c r="R770" s="730"/>
      <c r="S770" s="727"/>
      <c r="T770" s="728" t="s">
        <v>179</v>
      </c>
    </row>
    <row r="771" ht="34.5">
      <c r="A771" s="728" t="s">
        <v>333</v>
      </c>
      <c r="B771" s="728" t="s">
        <v>334</v>
      </c>
      <c r="C771" s="728" t="s">
        <v>827</v>
      </c>
      <c r="D771" s="728" t="s">
        <v>848</v>
      </c>
      <c r="E771" s="728" t="s">
        <v>840</v>
      </c>
      <c r="F771" s="727" t="s">
        <v>840</v>
      </c>
      <c r="G771" s="728" t="s">
        <v>277</v>
      </c>
      <c r="H771" s="727" t="s">
        <v>42</v>
      </c>
      <c r="I771" s="727" t="s">
        <v>852</v>
      </c>
      <c r="J771" s="727" t="s">
        <v>855</v>
      </c>
      <c r="K771" s="729">
        <v>605394</v>
      </c>
      <c r="L771" s="728" t="s">
        <v>175</v>
      </c>
      <c r="M771" s="728" t="s">
        <v>176</v>
      </c>
      <c r="N771" s="727"/>
      <c r="O771" s="727"/>
      <c r="P771" s="727"/>
      <c r="Q771" s="727"/>
      <c r="R771" s="730" t="s">
        <v>862</v>
      </c>
      <c r="S771" s="727"/>
      <c r="T771" s="728" t="s">
        <v>179</v>
      </c>
    </row>
    <row r="772" ht="34.5">
      <c r="A772" s="728" t="s">
        <v>333</v>
      </c>
      <c r="B772" s="728" t="s">
        <v>334</v>
      </c>
      <c r="C772" s="728" t="s">
        <v>827</v>
      </c>
      <c r="D772" s="728" t="s">
        <v>848</v>
      </c>
      <c r="E772" s="728" t="s">
        <v>840</v>
      </c>
      <c r="F772" s="727" t="s">
        <v>840</v>
      </c>
      <c r="G772" s="728" t="s">
        <v>277</v>
      </c>
      <c r="H772" s="727"/>
      <c r="I772" s="727" t="s">
        <v>852</v>
      </c>
      <c r="J772" s="727" t="s">
        <v>863</v>
      </c>
      <c r="K772" s="729">
        <v>-605394</v>
      </c>
      <c r="L772" s="728" t="s">
        <v>175</v>
      </c>
      <c r="M772" s="728" t="s">
        <v>176</v>
      </c>
      <c r="N772" s="727"/>
      <c r="O772" s="727"/>
      <c r="P772" s="727"/>
      <c r="Q772" s="727"/>
      <c r="R772" s="730"/>
      <c r="S772" s="727" t="s">
        <v>864</v>
      </c>
      <c r="T772" s="728" t="s">
        <v>179</v>
      </c>
    </row>
    <row r="773" ht="34.5">
      <c r="A773" s="728" t="s">
        <v>338</v>
      </c>
      <c r="B773" s="728" t="s">
        <v>339</v>
      </c>
      <c r="C773" s="728" t="s">
        <v>804</v>
      </c>
      <c r="D773" s="728" t="s">
        <v>865</v>
      </c>
      <c r="E773" s="728" t="s">
        <v>840</v>
      </c>
      <c r="F773" s="727" t="s">
        <v>840</v>
      </c>
      <c r="G773" s="728" t="s">
        <v>277</v>
      </c>
      <c r="H773" s="727"/>
      <c r="I773" s="727" t="s">
        <v>852</v>
      </c>
      <c r="J773" s="727" t="s">
        <v>859</v>
      </c>
      <c r="K773" s="729">
        <v>2022079</v>
      </c>
      <c r="L773" s="728" t="s">
        <v>175</v>
      </c>
      <c r="M773" s="728" t="s">
        <v>176</v>
      </c>
      <c r="N773" s="727"/>
      <c r="O773" s="727"/>
      <c r="P773" s="727"/>
      <c r="Q773" s="727"/>
      <c r="R773" s="730"/>
      <c r="S773" s="727"/>
      <c r="T773" s="728" t="s">
        <v>179</v>
      </c>
    </row>
    <row r="774" ht="34.5">
      <c r="A774" s="728" t="s">
        <v>338</v>
      </c>
      <c r="B774" s="728" t="s">
        <v>339</v>
      </c>
      <c r="C774" s="728" t="s">
        <v>804</v>
      </c>
      <c r="D774" s="728" t="s">
        <v>865</v>
      </c>
      <c r="E774" s="728" t="s">
        <v>840</v>
      </c>
      <c r="F774" s="727" t="s">
        <v>840</v>
      </c>
      <c r="G774" s="728" t="s">
        <v>277</v>
      </c>
      <c r="H774" s="727"/>
      <c r="I774" s="727" t="s">
        <v>852</v>
      </c>
      <c r="J774" s="727" t="s">
        <v>866</v>
      </c>
      <c r="K774" s="729">
        <v>-1967895</v>
      </c>
      <c r="L774" s="728" t="s">
        <v>175</v>
      </c>
      <c r="M774" s="728" t="s">
        <v>176</v>
      </c>
      <c r="N774" s="727"/>
      <c r="O774" s="727"/>
      <c r="P774" s="727"/>
      <c r="Q774" s="727"/>
      <c r="R774" s="730"/>
      <c r="S774" s="727"/>
      <c r="T774" s="728" t="s">
        <v>179</v>
      </c>
    </row>
    <row r="775" ht="34.5">
      <c r="A775" s="728" t="s">
        <v>338</v>
      </c>
      <c r="B775" s="728" t="s">
        <v>339</v>
      </c>
      <c r="C775" s="728" t="s">
        <v>804</v>
      </c>
      <c r="D775" s="728" t="s">
        <v>865</v>
      </c>
      <c r="E775" s="728" t="s">
        <v>840</v>
      </c>
      <c r="F775" s="727" t="s">
        <v>840</v>
      </c>
      <c r="G775" s="728" t="s">
        <v>277</v>
      </c>
      <c r="H775" s="727"/>
      <c r="I775" s="727" t="s">
        <v>852</v>
      </c>
      <c r="J775" s="727" t="s">
        <v>861</v>
      </c>
      <c r="K775" s="729">
        <v>54184</v>
      </c>
      <c r="L775" s="728" t="s">
        <v>175</v>
      </c>
      <c r="M775" s="728" t="s">
        <v>176</v>
      </c>
      <c r="N775" s="727"/>
      <c r="O775" s="727"/>
      <c r="P775" s="727"/>
      <c r="Q775" s="727"/>
      <c r="R775" s="730"/>
      <c r="S775" s="727"/>
      <c r="T775" s="728" t="s">
        <v>179</v>
      </c>
    </row>
    <row r="776" ht="34.5">
      <c r="A776" s="728" t="s">
        <v>338</v>
      </c>
      <c r="B776" s="728" t="s">
        <v>339</v>
      </c>
      <c r="C776" s="728" t="s">
        <v>804</v>
      </c>
      <c r="D776" s="728" t="s">
        <v>865</v>
      </c>
      <c r="E776" s="728" t="s">
        <v>840</v>
      </c>
      <c r="F776" s="727" t="s">
        <v>840</v>
      </c>
      <c r="G776" s="728" t="s">
        <v>277</v>
      </c>
      <c r="H776" s="727"/>
      <c r="I776" s="727" t="s">
        <v>852</v>
      </c>
      <c r="J776" s="727" t="s">
        <v>853</v>
      </c>
      <c r="K776" s="729">
        <v>543415</v>
      </c>
      <c r="L776" s="728" t="s">
        <v>175</v>
      </c>
      <c r="M776" s="728" t="s">
        <v>176</v>
      </c>
      <c r="N776" s="727"/>
      <c r="O776" s="727"/>
      <c r="P776" s="727"/>
      <c r="Q776" s="727"/>
      <c r="R776" s="730"/>
      <c r="S776" s="727"/>
      <c r="T776" s="728" t="s">
        <v>179</v>
      </c>
    </row>
    <row r="777" ht="34.5">
      <c r="A777" s="728" t="s">
        <v>338</v>
      </c>
      <c r="B777" s="728" t="s">
        <v>339</v>
      </c>
      <c r="C777" s="728" t="s">
        <v>804</v>
      </c>
      <c r="D777" s="728" t="s">
        <v>865</v>
      </c>
      <c r="E777" s="728" t="s">
        <v>840</v>
      </c>
      <c r="F777" s="727" t="s">
        <v>840</v>
      </c>
      <c r="G777" s="728" t="s">
        <v>277</v>
      </c>
      <c r="H777" s="727"/>
      <c r="I777" s="727" t="s">
        <v>852</v>
      </c>
      <c r="J777" s="727" t="s">
        <v>867</v>
      </c>
      <c r="K777" s="729">
        <v>715533</v>
      </c>
      <c r="L777" s="728" t="s">
        <v>175</v>
      </c>
      <c r="M777" s="728" t="s">
        <v>176</v>
      </c>
      <c r="N777" s="727"/>
      <c r="O777" s="727"/>
      <c r="P777" s="727"/>
      <c r="Q777" s="727"/>
      <c r="R777" s="730"/>
      <c r="S777" s="727"/>
      <c r="T777" s="728" t="s">
        <v>179</v>
      </c>
    </row>
    <row r="778" ht="34.5">
      <c r="A778" s="728" t="s">
        <v>338</v>
      </c>
      <c r="B778" s="728" t="s">
        <v>339</v>
      </c>
      <c r="C778" s="728" t="s">
        <v>804</v>
      </c>
      <c r="D778" s="728" t="s">
        <v>865</v>
      </c>
      <c r="E778" s="728" t="s">
        <v>840</v>
      </c>
      <c r="F778" s="727" t="s">
        <v>840</v>
      </c>
      <c r="G778" s="728" t="s">
        <v>277</v>
      </c>
      <c r="H778" s="727"/>
      <c r="I778" s="727" t="s">
        <v>852</v>
      </c>
      <c r="J778" s="727" t="s">
        <v>855</v>
      </c>
      <c r="K778" s="729">
        <v>1258948</v>
      </c>
      <c r="L778" s="728" t="s">
        <v>175</v>
      </c>
      <c r="M778" s="728" t="s">
        <v>176</v>
      </c>
      <c r="N778" s="727"/>
      <c r="O778" s="727"/>
      <c r="P778" s="727"/>
      <c r="Q778" s="727"/>
      <c r="R778" s="730"/>
      <c r="S778" s="727"/>
      <c r="T778" s="728" t="s">
        <v>179</v>
      </c>
    </row>
    <row r="779" ht="34.5">
      <c r="A779" s="728" t="s">
        <v>338</v>
      </c>
      <c r="B779" s="728" t="s">
        <v>339</v>
      </c>
      <c r="C779" s="728" t="s">
        <v>804</v>
      </c>
      <c r="D779" s="728" t="s">
        <v>865</v>
      </c>
      <c r="E779" s="728" t="s">
        <v>840</v>
      </c>
      <c r="F779" s="727" t="s">
        <v>840</v>
      </c>
      <c r="G779" s="728" t="s">
        <v>277</v>
      </c>
      <c r="H779" s="727" t="s">
        <v>42</v>
      </c>
      <c r="I779" s="727" t="s">
        <v>852</v>
      </c>
      <c r="J779" s="727" t="s">
        <v>863</v>
      </c>
      <c r="K779" s="729">
        <v>-1204764</v>
      </c>
      <c r="L779" s="728" t="s">
        <v>175</v>
      </c>
      <c r="M779" s="728" t="s">
        <v>176</v>
      </c>
      <c r="N779" s="727"/>
      <c r="O779" s="727"/>
      <c r="P779" s="727"/>
      <c r="Q779" s="727"/>
      <c r="R779" s="730" t="s">
        <v>868</v>
      </c>
      <c r="S779" s="727" t="s">
        <v>869</v>
      </c>
      <c r="T779" s="728" t="s">
        <v>179</v>
      </c>
    </row>
    <row r="780" ht="34.5">
      <c r="A780" s="728" t="s">
        <v>167</v>
      </c>
      <c r="B780" s="728" t="s">
        <v>168</v>
      </c>
      <c r="C780" s="728" t="s">
        <v>870</v>
      </c>
      <c r="D780" s="728" t="s">
        <v>865</v>
      </c>
      <c r="E780" s="728" t="s">
        <v>840</v>
      </c>
      <c r="F780" s="727" t="s">
        <v>840</v>
      </c>
      <c r="G780" s="728" t="s">
        <v>277</v>
      </c>
      <c r="H780" s="727" t="s">
        <v>22</v>
      </c>
      <c r="I780" s="727" t="s">
        <v>871</v>
      </c>
      <c r="J780" s="727" t="s">
        <v>22</v>
      </c>
      <c r="K780" s="729">
        <v>-172108</v>
      </c>
      <c r="L780" s="728" t="s">
        <v>175</v>
      </c>
      <c r="M780" s="728" t="s">
        <v>176</v>
      </c>
      <c r="N780" s="727"/>
      <c r="O780" s="727"/>
      <c r="P780" s="727"/>
      <c r="Q780" s="727"/>
      <c r="R780" s="730" t="s">
        <v>872</v>
      </c>
      <c r="S780" s="727"/>
      <c r="T780" s="728" t="s">
        <v>179</v>
      </c>
    </row>
    <row r="781" ht="34.5">
      <c r="A781" s="728" t="s">
        <v>167</v>
      </c>
      <c r="B781" s="728" t="s">
        <v>168</v>
      </c>
      <c r="C781" s="728" t="s">
        <v>870</v>
      </c>
      <c r="D781" s="728" t="s">
        <v>865</v>
      </c>
      <c r="E781" s="728" t="s">
        <v>840</v>
      </c>
      <c r="F781" s="727" t="s">
        <v>840</v>
      </c>
      <c r="G781" s="728" t="s">
        <v>277</v>
      </c>
      <c r="H781" s="727"/>
      <c r="I781" s="727" t="s">
        <v>871</v>
      </c>
      <c r="J781" s="727" t="s">
        <v>873</v>
      </c>
      <c r="K781" s="729">
        <v>-1988748</v>
      </c>
      <c r="L781" s="728" t="s">
        <v>175</v>
      </c>
      <c r="M781" s="728" t="s">
        <v>176</v>
      </c>
      <c r="N781" s="727"/>
      <c r="O781" s="727"/>
      <c r="P781" s="727"/>
      <c r="Q781" s="727"/>
      <c r="R781" s="730"/>
      <c r="S781" s="727"/>
      <c r="T781" s="728" t="s">
        <v>179</v>
      </c>
    </row>
    <row r="782" ht="34.5">
      <c r="A782" s="728" t="s">
        <v>167</v>
      </c>
      <c r="B782" s="728" t="s">
        <v>168</v>
      </c>
      <c r="C782" s="728" t="s">
        <v>870</v>
      </c>
      <c r="D782" s="728" t="s">
        <v>865</v>
      </c>
      <c r="E782" s="728" t="s">
        <v>840</v>
      </c>
      <c r="F782" s="727" t="s">
        <v>840</v>
      </c>
      <c r="G782" s="728" t="s">
        <v>277</v>
      </c>
      <c r="H782" s="727"/>
      <c r="I782" s="727" t="s">
        <v>871</v>
      </c>
      <c r="J782" s="727" t="s">
        <v>874</v>
      </c>
      <c r="K782" s="729">
        <v>-4379</v>
      </c>
      <c r="L782" s="728" t="s">
        <v>175</v>
      </c>
      <c r="M782" s="728" t="s">
        <v>176</v>
      </c>
      <c r="N782" s="727"/>
      <c r="O782" s="727"/>
      <c r="P782" s="727"/>
      <c r="Q782" s="727"/>
      <c r="R782" s="730"/>
      <c r="S782" s="727"/>
      <c r="T782" s="728" t="s">
        <v>179</v>
      </c>
    </row>
    <row r="783" ht="34.5">
      <c r="A783" s="728" t="s">
        <v>167</v>
      </c>
      <c r="B783" s="728" t="s">
        <v>168</v>
      </c>
      <c r="C783" s="728" t="s">
        <v>870</v>
      </c>
      <c r="D783" s="728" t="s">
        <v>865</v>
      </c>
      <c r="E783" s="728" t="s">
        <v>840</v>
      </c>
      <c r="F783" s="727" t="s">
        <v>840</v>
      </c>
      <c r="G783" s="728" t="s">
        <v>277</v>
      </c>
      <c r="H783" s="727"/>
      <c r="I783" s="727" t="s">
        <v>871</v>
      </c>
      <c r="J783" s="727" t="s">
        <v>875</v>
      </c>
      <c r="K783" s="729">
        <v>245494</v>
      </c>
      <c r="L783" s="728" t="s">
        <v>175</v>
      </c>
      <c r="M783" s="728" t="s">
        <v>176</v>
      </c>
      <c r="N783" s="727"/>
      <c r="O783" s="727"/>
      <c r="P783" s="727"/>
      <c r="Q783" s="727"/>
      <c r="R783" s="730"/>
      <c r="S783" s="727"/>
      <c r="T783" s="728" t="s">
        <v>179</v>
      </c>
    </row>
    <row r="784" ht="34.5">
      <c r="A784" s="728" t="s">
        <v>167</v>
      </c>
      <c r="B784" s="728" t="s">
        <v>168</v>
      </c>
      <c r="C784" s="728" t="s">
        <v>870</v>
      </c>
      <c r="D784" s="728" t="s">
        <v>865</v>
      </c>
      <c r="E784" s="728" t="s">
        <v>840</v>
      </c>
      <c r="F784" s="727" t="s">
        <v>840</v>
      </c>
      <c r="G784" s="728" t="s">
        <v>277</v>
      </c>
      <c r="H784" s="727"/>
      <c r="I784" s="727" t="s">
        <v>871</v>
      </c>
      <c r="J784" s="727" t="s">
        <v>876</v>
      </c>
      <c r="K784" s="729">
        <v>-1919741</v>
      </c>
      <c r="L784" s="728" t="s">
        <v>175</v>
      </c>
      <c r="M784" s="728" t="s">
        <v>176</v>
      </c>
      <c r="N784" s="727"/>
      <c r="O784" s="727"/>
      <c r="P784" s="727"/>
      <c r="Q784" s="727"/>
      <c r="R784" s="730"/>
      <c r="S784" s="727"/>
      <c r="T784" s="728" t="s">
        <v>179</v>
      </c>
    </row>
    <row r="785" ht="34.5">
      <c r="A785" s="728" t="s">
        <v>167</v>
      </c>
      <c r="B785" s="728" t="s">
        <v>168</v>
      </c>
      <c r="C785" s="728" t="s">
        <v>870</v>
      </c>
      <c r="D785" s="728" t="s">
        <v>865</v>
      </c>
      <c r="E785" s="728" t="s">
        <v>840</v>
      </c>
      <c r="F785" s="727" t="s">
        <v>840</v>
      </c>
      <c r="G785" s="728" t="s">
        <v>277</v>
      </c>
      <c r="H785" s="727"/>
      <c r="I785" s="727" t="s">
        <v>871</v>
      </c>
      <c r="J785" s="727" t="s">
        <v>877</v>
      </c>
      <c r="K785" s="729">
        <v>497187</v>
      </c>
      <c r="L785" s="728" t="s">
        <v>175</v>
      </c>
      <c r="M785" s="728" t="s">
        <v>176</v>
      </c>
      <c r="N785" s="727"/>
      <c r="O785" s="727"/>
      <c r="P785" s="727"/>
      <c r="Q785" s="727"/>
      <c r="R785" s="730"/>
      <c r="S785" s="727"/>
      <c r="T785" s="728" t="s">
        <v>179</v>
      </c>
    </row>
    <row r="786" ht="34.5">
      <c r="A786" s="728" t="s">
        <v>167</v>
      </c>
      <c r="B786" s="728" t="s">
        <v>168</v>
      </c>
      <c r="C786" s="728" t="s">
        <v>870</v>
      </c>
      <c r="D786" s="728" t="s">
        <v>865</v>
      </c>
      <c r="E786" s="728" t="s">
        <v>840</v>
      </c>
      <c r="F786" s="727" t="s">
        <v>840</v>
      </c>
      <c r="G786" s="728" t="s">
        <v>277</v>
      </c>
      <c r="H786" s="727" t="s">
        <v>23</v>
      </c>
      <c r="I786" s="727" t="s">
        <v>871</v>
      </c>
      <c r="J786" s="727" t="s">
        <v>23</v>
      </c>
      <c r="K786" s="729">
        <v>497187</v>
      </c>
      <c r="L786" s="728" t="s">
        <v>175</v>
      </c>
      <c r="M786" s="728" t="s">
        <v>176</v>
      </c>
      <c r="N786" s="727"/>
      <c r="O786" s="727"/>
      <c r="P786" s="727"/>
      <c r="Q786" s="727"/>
      <c r="R786" s="730" t="s">
        <v>843</v>
      </c>
      <c r="S786" s="727" t="s">
        <v>332</v>
      </c>
      <c r="T786" s="728" t="s">
        <v>179</v>
      </c>
    </row>
    <row r="787" ht="34.5">
      <c r="A787" s="728" t="s">
        <v>326</v>
      </c>
      <c r="B787" s="728" t="s">
        <v>168</v>
      </c>
      <c r="C787" s="728" t="s">
        <v>870</v>
      </c>
      <c r="D787" s="728" t="s">
        <v>865</v>
      </c>
      <c r="E787" s="728" t="s">
        <v>840</v>
      </c>
      <c r="F787" s="727" t="s">
        <v>840</v>
      </c>
      <c r="G787" s="728" t="s">
        <v>277</v>
      </c>
      <c r="H787" s="727" t="s">
        <v>22</v>
      </c>
      <c r="I787" s="727" t="s">
        <v>871</v>
      </c>
      <c r="J787" s="727" t="s">
        <v>22</v>
      </c>
      <c r="K787" s="729">
        <v>-1711072</v>
      </c>
      <c r="L787" s="728" t="s">
        <v>175</v>
      </c>
      <c r="M787" s="728" t="s">
        <v>176</v>
      </c>
      <c r="N787" s="727"/>
      <c r="O787" s="727"/>
      <c r="P787" s="727"/>
      <c r="Q787" s="727"/>
      <c r="R787" s="730" t="s">
        <v>878</v>
      </c>
      <c r="S787" s="727"/>
      <c r="T787" s="728" t="s">
        <v>179</v>
      </c>
    </row>
    <row r="788" ht="34.5">
      <c r="A788" s="728" t="s">
        <v>326</v>
      </c>
      <c r="B788" s="728" t="s">
        <v>168</v>
      </c>
      <c r="C788" s="728" t="s">
        <v>870</v>
      </c>
      <c r="D788" s="728" t="s">
        <v>865</v>
      </c>
      <c r="E788" s="728" t="s">
        <v>840</v>
      </c>
      <c r="F788" s="727" t="s">
        <v>840</v>
      </c>
      <c r="G788" s="728" t="s">
        <v>277</v>
      </c>
      <c r="H788" s="727"/>
      <c r="I788" s="727" t="s">
        <v>871</v>
      </c>
      <c r="J788" s="727" t="s">
        <v>873</v>
      </c>
      <c r="K788" s="729">
        <v>-2725068</v>
      </c>
      <c r="L788" s="728" t="s">
        <v>175</v>
      </c>
      <c r="M788" s="728" t="s">
        <v>176</v>
      </c>
      <c r="N788" s="727"/>
      <c r="O788" s="727"/>
      <c r="P788" s="727"/>
      <c r="Q788" s="727"/>
      <c r="R788" s="730"/>
      <c r="S788" s="727"/>
      <c r="T788" s="728" t="s">
        <v>179</v>
      </c>
    </row>
    <row r="789" ht="34.5">
      <c r="A789" s="728" t="s">
        <v>326</v>
      </c>
      <c r="B789" s="728" t="s">
        <v>168</v>
      </c>
      <c r="C789" s="728" t="s">
        <v>870</v>
      </c>
      <c r="D789" s="728" t="s">
        <v>865</v>
      </c>
      <c r="E789" s="728" t="s">
        <v>840</v>
      </c>
      <c r="F789" s="727" t="s">
        <v>840</v>
      </c>
      <c r="G789" s="728" t="s">
        <v>277</v>
      </c>
      <c r="H789" s="727"/>
      <c r="I789" s="727" t="s">
        <v>871</v>
      </c>
      <c r="J789" s="727" t="s">
        <v>874</v>
      </c>
      <c r="K789" s="729">
        <v>-11069</v>
      </c>
      <c r="L789" s="728" t="s">
        <v>175</v>
      </c>
      <c r="M789" s="728" t="s">
        <v>176</v>
      </c>
      <c r="N789" s="727"/>
      <c r="O789" s="727"/>
      <c r="P789" s="727"/>
      <c r="Q789" s="727"/>
      <c r="R789" s="730"/>
      <c r="S789" s="727"/>
      <c r="T789" s="728" t="s">
        <v>179</v>
      </c>
    </row>
    <row r="790" ht="34.5">
      <c r="A790" s="728" t="s">
        <v>326</v>
      </c>
      <c r="B790" s="728" t="s">
        <v>168</v>
      </c>
      <c r="C790" s="728" t="s">
        <v>870</v>
      </c>
      <c r="D790" s="728" t="s">
        <v>865</v>
      </c>
      <c r="E790" s="728" t="s">
        <v>840</v>
      </c>
      <c r="F790" s="727" t="s">
        <v>840</v>
      </c>
      <c r="G790" s="728" t="s">
        <v>277</v>
      </c>
      <c r="H790" s="727"/>
      <c r="I790" s="727" t="s">
        <v>871</v>
      </c>
      <c r="J790" s="727" t="s">
        <v>875</v>
      </c>
      <c r="K790" s="729">
        <v>271816</v>
      </c>
      <c r="L790" s="728" t="s">
        <v>175</v>
      </c>
      <c r="M790" s="728" t="s">
        <v>176</v>
      </c>
      <c r="N790" s="727"/>
      <c r="O790" s="727"/>
      <c r="P790" s="727"/>
      <c r="Q790" s="727"/>
      <c r="R790" s="730"/>
      <c r="S790" s="727"/>
      <c r="T790" s="728" t="s">
        <v>179</v>
      </c>
    </row>
    <row r="791" ht="34.5">
      <c r="A791" s="728" t="s">
        <v>326</v>
      </c>
      <c r="B791" s="728" t="s">
        <v>168</v>
      </c>
      <c r="C791" s="728" t="s">
        <v>870</v>
      </c>
      <c r="D791" s="728" t="s">
        <v>865</v>
      </c>
      <c r="E791" s="728" t="s">
        <v>840</v>
      </c>
      <c r="F791" s="727" t="s">
        <v>840</v>
      </c>
      <c r="G791" s="728" t="s">
        <v>277</v>
      </c>
      <c r="H791" s="727"/>
      <c r="I791" s="727" t="s">
        <v>871</v>
      </c>
      <c r="J791" s="727" t="s">
        <v>876</v>
      </c>
      <c r="K791" s="729">
        <v>-4175393</v>
      </c>
      <c r="L791" s="728" t="s">
        <v>175</v>
      </c>
      <c r="M791" s="728" t="s">
        <v>176</v>
      </c>
      <c r="N791" s="727"/>
      <c r="O791" s="727"/>
      <c r="P791" s="727"/>
      <c r="Q791" s="727"/>
      <c r="R791" s="730"/>
      <c r="S791" s="727"/>
      <c r="T791" s="728" t="s">
        <v>179</v>
      </c>
    </row>
    <row r="792" ht="34.5">
      <c r="A792" s="728" t="s">
        <v>326</v>
      </c>
      <c r="B792" s="728" t="s">
        <v>168</v>
      </c>
      <c r="C792" s="728" t="s">
        <v>870</v>
      </c>
      <c r="D792" s="728" t="s">
        <v>865</v>
      </c>
      <c r="E792" s="728" t="s">
        <v>840</v>
      </c>
      <c r="F792" s="727" t="s">
        <v>840</v>
      </c>
      <c r="G792" s="728" t="s">
        <v>277</v>
      </c>
      <c r="H792" s="727"/>
      <c r="I792" s="727" t="s">
        <v>871</v>
      </c>
      <c r="J792" s="727" t="s">
        <v>877</v>
      </c>
      <c r="K792" s="729">
        <v>681267</v>
      </c>
      <c r="L792" s="728" t="s">
        <v>175</v>
      </c>
      <c r="M792" s="728" t="s">
        <v>176</v>
      </c>
      <c r="N792" s="727"/>
      <c r="O792" s="727"/>
      <c r="P792" s="727"/>
      <c r="Q792" s="727"/>
      <c r="R792" s="730"/>
      <c r="S792" s="727"/>
      <c r="T792" s="728" t="s">
        <v>179</v>
      </c>
    </row>
    <row r="793" ht="34.5">
      <c r="A793" s="728" t="s">
        <v>326</v>
      </c>
      <c r="B793" s="728" t="s">
        <v>168</v>
      </c>
      <c r="C793" s="728" t="s">
        <v>870</v>
      </c>
      <c r="D793" s="728" t="s">
        <v>865</v>
      </c>
      <c r="E793" s="728" t="s">
        <v>840</v>
      </c>
      <c r="F793" s="727" t="s">
        <v>840</v>
      </c>
      <c r="G793" s="728" t="s">
        <v>277</v>
      </c>
      <c r="H793" s="727" t="s">
        <v>23</v>
      </c>
      <c r="I793" s="727" t="s">
        <v>871</v>
      </c>
      <c r="J793" s="727" t="s">
        <v>23</v>
      </c>
      <c r="K793" s="729">
        <v>681267</v>
      </c>
      <c r="L793" s="728" t="s">
        <v>175</v>
      </c>
      <c r="M793" s="728" t="s">
        <v>176</v>
      </c>
      <c r="N793" s="727"/>
      <c r="O793" s="727"/>
      <c r="P793" s="727"/>
      <c r="Q793" s="727"/>
      <c r="R793" s="730" t="s">
        <v>844</v>
      </c>
      <c r="S793" s="727" t="s">
        <v>332</v>
      </c>
      <c r="T793" s="728" t="s">
        <v>179</v>
      </c>
    </row>
    <row r="794" ht="34.5">
      <c r="A794" s="728" t="s">
        <v>327</v>
      </c>
      <c r="B794" s="728" t="s">
        <v>328</v>
      </c>
      <c r="C794" s="728" t="s">
        <v>827</v>
      </c>
      <c r="D794" s="728" t="s">
        <v>848</v>
      </c>
      <c r="E794" s="728" t="s">
        <v>840</v>
      </c>
      <c r="F794" s="727" t="s">
        <v>840</v>
      </c>
      <c r="G794" s="728" t="s">
        <v>277</v>
      </c>
      <c r="H794" s="727" t="s">
        <v>22</v>
      </c>
      <c r="I794" s="727" t="s">
        <v>871</v>
      </c>
      <c r="J794" s="727" t="s">
        <v>879</v>
      </c>
      <c r="K794" s="729">
        <v>8395009</v>
      </c>
      <c r="L794" s="728" t="s">
        <v>175</v>
      </c>
      <c r="M794" s="728" t="s">
        <v>176</v>
      </c>
      <c r="N794" s="727"/>
      <c r="O794" s="727"/>
      <c r="P794" s="727"/>
      <c r="Q794" s="727"/>
      <c r="R794" s="730" t="s">
        <v>880</v>
      </c>
      <c r="S794" s="727"/>
      <c r="T794" s="728" t="s">
        <v>179</v>
      </c>
    </row>
    <row r="795" ht="34.5">
      <c r="A795" s="728" t="s">
        <v>327</v>
      </c>
      <c r="B795" s="728" t="s">
        <v>328</v>
      </c>
      <c r="C795" s="728" t="s">
        <v>827</v>
      </c>
      <c r="D795" s="728" t="s">
        <v>848</v>
      </c>
      <c r="E795" s="728" t="s">
        <v>840</v>
      </c>
      <c r="F795" s="727" t="s">
        <v>840</v>
      </c>
      <c r="G795" s="728" t="s">
        <v>277</v>
      </c>
      <c r="H795" s="727"/>
      <c r="I795" s="727" t="s">
        <v>871</v>
      </c>
      <c r="J795" s="727" t="s">
        <v>873</v>
      </c>
      <c r="K795" s="729">
        <v>-8794527</v>
      </c>
      <c r="L795" s="728" t="s">
        <v>175</v>
      </c>
      <c r="M795" s="728" t="s">
        <v>176</v>
      </c>
      <c r="N795" s="727"/>
      <c r="O795" s="727"/>
      <c r="P795" s="727"/>
      <c r="Q795" s="727"/>
      <c r="R795" s="730"/>
      <c r="S795" s="727"/>
      <c r="T795" s="728" t="s">
        <v>179</v>
      </c>
    </row>
    <row r="796" ht="34.5">
      <c r="A796" s="728" t="s">
        <v>327</v>
      </c>
      <c r="B796" s="728" t="s">
        <v>328</v>
      </c>
      <c r="C796" s="728" t="s">
        <v>827</v>
      </c>
      <c r="D796" s="728" t="s">
        <v>848</v>
      </c>
      <c r="E796" s="728" t="s">
        <v>840</v>
      </c>
      <c r="F796" s="727" t="s">
        <v>840</v>
      </c>
      <c r="G796" s="728" t="s">
        <v>277</v>
      </c>
      <c r="H796" s="727"/>
      <c r="I796" s="727" t="s">
        <v>871</v>
      </c>
      <c r="J796" s="727" t="s">
        <v>874</v>
      </c>
      <c r="K796" s="729">
        <v>-21233</v>
      </c>
      <c r="L796" s="728" t="s">
        <v>175</v>
      </c>
      <c r="M796" s="728" t="s">
        <v>176</v>
      </c>
      <c r="N796" s="727"/>
      <c r="O796" s="727"/>
      <c r="P796" s="727"/>
      <c r="Q796" s="727"/>
      <c r="R796" s="730"/>
      <c r="S796" s="727"/>
      <c r="T796" s="728" t="s">
        <v>179</v>
      </c>
    </row>
    <row r="797" ht="34.5">
      <c r="A797" s="728" t="s">
        <v>327</v>
      </c>
      <c r="B797" s="728" t="s">
        <v>328</v>
      </c>
      <c r="C797" s="728" t="s">
        <v>827</v>
      </c>
      <c r="D797" s="728" t="s">
        <v>848</v>
      </c>
      <c r="E797" s="728" t="s">
        <v>840</v>
      </c>
      <c r="F797" s="727" t="s">
        <v>840</v>
      </c>
      <c r="G797" s="728" t="s">
        <v>277</v>
      </c>
      <c r="H797" s="727"/>
      <c r="I797" s="727" t="s">
        <v>871</v>
      </c>
      <c r="J797" s="727" t="s">
        <v>875</v>
      </c>
      <c r="K797" s="729">
        <v>319197</v>
      </c>
      <c r="L797" s="728" t="s">
        <v>175</v>
      </c>
      <c r="M797" s="728" t="s">
        <v>176</v>
      </c>
      <c r="N797" s="727"/>
      <c r="O797" s="727"/>
      <c r="P797" s="727"/>
      <c r="Q797" s="727"/>
      <c r="R797" s="730"/>
      <c r="S797" s="727"/>
      <c r="T797" s="728" t="s">
        <v>179</v>
      </c>
    </row>
    <row r="798" ht="34.5">
      <c r="A798" s="728" t="s">
        <v>327</v>
      </c>
      <c r="B798" s="728" t="s">
        <v>328</v>
      </c>
      <c r="C798" s="728" t="s">
        <v>827</v>
      </c>
      <c r="D798" s="728" t="s">
        <v>848</v>
      </c>
      <c r="E798" s="728" t="s">
        <v>840</v>
      </c>
      <c r="F798" s="727" t="s">
        <v>840</v>
      </c>
      <c r="G798" s="728" t="s">
        <v>277</v>
      </c>
      <c r="H798" s="727"/>
      <c r="I798" s="727" t="s">
        <v>871</v>
      </c>
      <c r="J798" s="727" t="s">
        <v>876</v>
      </c>
      <c r="K798" s="729">
        <v>-101554</v>
      </c>
      <c r="L798" s="728" t="s">
        <v>175</v>
      </c>
      <c r="M798" s="728" t="s">
        <v>176</v>
      </c>
      <c r="N798" s="727"/>
      <c r="O798" s="727"/>
      <c r="P798" s="727"/>
      <c r="Q798" s="727"/>
      <c r="R798" s="730"/>
      <c r="S798" s="727"/>
      <c r="T798" s="728" t="s">
        <v>179</v>
      </c>
    </row>
    <row r="799" ht="34.5">
      <c r="A799" s="728" t="s">
        <v>327</v>
      </c>
      <c r="B799" s="728" t="s">
        <v>328</v>
      </c>
      <c r="C799" s="728" t="s">
        <v>827</v>
      </c>
      <c r="D799" s="728" t="s">
        <v>848</v>
      </c>
      <c r="E799" s="728" t="s">
        <v>840</v>
      </c>
      <c r="F799" s="727" t="s">
        <v>840</v>
      </c>
      <c r="G799" s="728" t="s">
        <v>277</v>
      </c>
      <c r="H799" s="727"/>
      <c r="I799" s="727" t="s">
        <v>871</v>
      </c>
      <c r="J799" s="727" t="s">
        <v>877</v>
      </c>
      <c r="K799" s="729">
        <v>820467</v>
      </c>
      <c r="L799" s="728" t="s">
        <v>175</v>
      </c>
      <c r="M799" s="728" t="s">
        <v>176</v>
      </c>
      <c r="N799" s="727"/>
      <c r="O799" s="727"/>
      <c r="P799" s="727"/>
      <c r="Q799" s="727"/>
      <c r="R799" s="730"/>
      <c r="S799" s="727"/>
      <c r="T799" s="728" t="s">
        <v>179</v>
      </c>
    </row>
    <row r="800" ht="34.5">
      <c r="A800" s="728" t="s">
        <v>327</v>
      </c>
      <c r="B800" s="728" t="s">
        <v>328</v>
      </c>
      <c r="C800" s="728" t="s">
        <v>827</v>
      </c>
      <c r="D800" s="728" t="s">
        <v>848</v>
      </c>
      <c r="E800" s="728" t="s">
        <v>840</v>
      </c>
      <c r="F800" s="727" t="s">
        <v>840</v>
      </c>
      <c r="G800" s="728" t="s">
        <v>277</v>
      </c>
      <c r="H800" s="727" t="s">
        <v>23</v>
      </c>
      <c r="I800" s="727" t="s">
        <v>871</v>
      </c>
      <c r="J800" s="727" t="s">
        <v>23</v>
      </c>
      <c r="K800" s="729">
        <v>820467</v>
      </c>
      <c r="L800" s="728" t="s">
        <v>175</v>
      </c>
      <c r="M800" s="728" t="s">
        <v>176</v>
      </c>
      <c r="N800" s="727"/>
      <c r="O800" s="727"/>
      <c r="P800" s="727"/>
      <c r="Q800" s="727"/>
      <c r="R800" s="730" t="s">
        <v>845</v>
      </c>
      <c r="S800" s="727" t="s">
        <v>332</v>
      </c>
      <c r="T800" s="728" t="s">
        <v>179</v>
      </c>
    </row>
    <row r="801" ht="34.5">
      <c r="A801" s="728" t="s">
        <v>333</v>
      </c>
      <c r="B801" s="728" t="s">
        <v>334</v>
      </c>
      <c r="C801" s="728" t="s">
        <v>870</v>
      </c>
      <c r="D801" s="728" t="s">
        <v>865</v>
      </c>
      <c r="E801" s="728" t="s">
        <v>840</v>
      </c>
      <c r="F801" s="727" t="s">
        <v>840</v>
      </c>
      <c r="G801" s="728" t="s">
        <v>277</v>
      </c>
      <c r="H801" s="727" t="s">
        <v>22</v>
      </c>
      <c r="I801" s="727" t="s">
        <v>871</v>
      </c>
      <c r="J801" s="727" t="s">
        <v>881</v>
      </c>
      <c r="K801" s="729">
        <v>5971929</v>
      </c>
      <c r="L801" s="728" t="s">
        <v>175</v>
      </c>
      <c r="M801" s="728" t="s">
        <v>176</v>
      </c>
      <c r="N801" s="727"/>
      <c r="O801" s="727"/>
      <c r="P801" s="727"/>
      <c r="Q801" s="727"/>
      <c r="R801" s="730" t="s">
        <v>882</v>
      </c>
      <c r="S801" s="727"/>
      <c r="T801" s="728" t="s">
        <v>179</v>
      </c>
    </row>
    <row r="802" ht="34.5">
      <c r="A802" s="728" t="s">
        <v>333</v>
      </c>
      <c r="B802" s="728" t="s">
        <v>334</v>
      </c>
      <c r="C802" s="728" t="s">
        <v>870</v>
      </c>
      <c r="D802" s="728" t="s">
        <v>865</v>
      </c>
      <c r="E802" s="728" t="s">
        <v>840</v>
      </c>
      <c r="F802" s="727" t="s">
        <v>840</v>
      </c>
      <c r="G802" s="728" t="s">
        <v>277</v>
      </c>
      <c r="H802" s="727"/>
      <c r="I802" s="727" t="s">
        <v>871</v>
      </c>
      <c r="J802" s="727" t="s">
        <v>873</v>
      </c>
      <c r="K802" s="729">
        <v>-2830951</v>
      </c>
      <c r="L802" s="728" t="s">
        <v>175</v>
      </c>
      <c r="M802" s="728" t="s">
        <v>176</v>
      </c>
      <c r="N802" s="727"/>
      <c r="O802" s="727"/>
      <c r="P802" s="727"/>
      <c r="Q802" s="727"/>
      <c r="R802" s="730"/>
      <c r="S802" s="727"/>
      <c r="T802" s="728" t="s">
        <v>179</v>
      </c>
    </row>
    <row r="803" ht="34.5">
      <c r="A803" s="728" t="s">
        <v>333</v>
      </c>
      <c r="B803" s="728" t="s">
        <v>334</v>
      </c>
      <c r="C803" s="728" t="s">
        <v>870</v>
      </c>
      <c r="D803" s="728" t="s">
        <v>865</v>
      </c>
      <c r="E803" s="728" t="s">
        <v>840</v>
      </c>
      <c r="F803" s="727" t="s">
        <v>840</v>
      </c>
      <c r="G803" s="728" t="s">
        <v>277</v>
      </c>
      <c r="H803" s="727"/>
      <c r="I803" s="727" t="s">
        <v>871</v>
      </c>
      <c r="J803" s="727" t="s">
        <v>874</v>
      </c>
      <c r="K803" s="729">
        <v>-7338074</v>
      </c>
      <c r="L803" s="728" t="s">
        <v>175</v>
      </c>
      <c r="M803" s="728" t="s">
        <v>176</v>
      </c>
      <c r="N803" s="727"/>
      <c r="O803" s="727"/>
      <c r="P803" s="727"/>
      <c r="Q803" s="727"/>
      <c r="R803" s="730"/>
      <c r="S803" s="727"/>
      <c r="T803" s="728" t="s">
        <v>179</v>
      </c>
    </row>
    <row r="804" ht="34.5">
      <c r="A804" s="728" t="s">
        <v>333</v>
      </c>
      <c r="B804" s="728" t="s">
        <v>334</v>
      </c>
      <c r="C804" s="728" t="s">
        <v>870</v>
      </c>
      <c r="D804" s="728" t="s">
        <v>865</v>
      </c>
      <c r="E804" s="728" t="s">
        <v>840</v>
      </c>
      <c r="F804" s="727" t="s">
        <v>840</v>
      </c>
      <c r="G804" s="728" t="s">
        <v>277</v>
      </c>
      <c r="H804" s="727"/>
      <c r="I804" s="727" t="s">
        <v>871</v>
      </c>
      <c r="J804" s="727" t="s">
        <v>875</v>
      </c>
      <c r="K804" s="729">
        <v>615103</v>
      </c>
      <c r="L804" s="728" t="s">
        <v>175</v>
      </c>
      <c r="M804" s="728" t="s">
        <v>176</v>
      </c>
      <c r="N804" s="727"/>
      <c r="O804" s="727"/>
      <c r="P804" s="727"/>
      <c r="Q804" s="727"/>
      <c r="R804" s="730"/>
      <c r="S804" s="727"/>
      <c r="T804" s="728" t="s">
        <v>179</v>
      </c>
    </row>
    <row r="805" ht="34.5">
      <c r="A805" s="728" t="s">
        <v>333</v>
      </c>
      <c r="B805" s="728" t="s">
        <v>334</v>
      </c>
      <c r="C805" s="728" t="s">
        <v>870</v>
      </c>
      <c r="D805" s="728" t="s">
        <v>865</v>
      </c>
      <c r="E805" s="728" t="s">
        <v>840</v>
      </c>
      <c r="F805" s="727" t="s">
        <v>840</v>
      </c>
      <c r="G805" s="728" t="s">
        <v>277</v>
      </c>
      <c r="H805" s="727"/>
      <c r="I805" s="727" t="s">
        <v>871</v>
      </c>
      <c r="J805" s="727" t="s">
        <v>883</v>
      </c>
      <c r="K805" s="729">
        <v>-3581993</v>
      </c>
      <c r="L805" s="728" t="s">
        <v>175</v>
      </c>
      <c r="M805" s="728" t="s">
        <v>176</v>
      </c>
      <c r="N805" s="727"/>
      <c r="O805" s="727"/>
      <c r="P805" s="727"/>
      <c r="Q805" s="727"/>
      <c r="R805" s="730"/>
      <c r="S805" s="727"/>
      <c r="T805" s="728" t="s">
        <v>179</v>
      </c>
    </row>
    <row r="806" ht="34.5">
      <c r="A806" s="728" t="s">
        <v>333</v>
      </c>
      <c r="B806" s="728" t="s">
        <v>334</v>
      </c>
      <c r="C806" s="728" t="s">
        <v>870</v>
      </c>
      <c r="D806" s="728" t="s">
        <v>865</v>
      </c>
      <c r="E806" s="728" t="s">
        <v>840</v>
      </c>
      <c r="F806" s="727" t="s">
        <v>840</v>
      </c>
      <c r="G806" s="728" t="s">
        <v>277</v>
      </c>
      <c r="H806" s="727"/>
      <c r="I806" s="727" t="s">
        <v>871</v>
      </c>
      <c r="J806" s="727" t="s">
        <v>877</v>
      </c>
      <c r="K806" s="729">
        <v>-599370</v>
      </c>
      <c r="L806" s="728" t="s">
        <v>175</v>
      </c>
      <c r="M806" s="728" t="s">
        <v>176</v>
      </c>
      <c r="N806" s="727"/>
      <c r="O806" s="727"/>
      <c r="P806" s="727"/>
      <c r="Q806" s="727"/>
      <c r="R806" s="730"/>
      <c r="S806" s="727"/>
      <c r="T806" s="728" t="s">
        <v>179</v>
      </c>
    </row>
    <row r="807" ht="34.5">
      <c r="A807" s="728" t="s">
        <v>333</v>
      </c>
      <c r="B807" s="728" t="s">
        <v>334</v>
      </c>
      <c r="C807" s="728" t="s">
        <v>870</v>
      </c>
      <c r="D807" s="728" t="s">
        <v>865</v>
      </c>
      <c r="E807" s="728" t="s">
        <v>840</v>
      </c>
      <c r="F807" s="727" t="s">
        <v>840</v>
      </c>
      <c r="G807" s="728" t="s">
        <v>277</v>
      </c>
      <c r="H807" s="727" t="s">
        <v>23</v>
      </c>
      <c r="I807" s="727" t="s">
        <v>871</v>
      </c>
      <c r="J807" s="727" t="s">
        <v>23</v>
      </c>
      <c r="K807" s="729">
        <v>-599370</v>
      </c>
      <c r="L807" s="728" t="s">
        <v>175</v>
      </c>
      <c r="M807" s="728" t="s">
        <v>176</v>
      </c>
      <c r="N807" s="727"/>
      <c r="O807" s="727"/>
      <c r="P807" s="727"/>
      <c r="Q807" s="727"/>
      <c r="R807" s="730" t="s">
        <v>846</v>
      </c>
      <c r="S807" s="727" t="s">
        <v>332</v>
      </c>
      <c r="T807" s="728" t="s">
        <v>179</v>
      </c>
    </row>
    <row r="808" ht="34.5">
      <c r="A808" s="728" t="s">
        <v>338</v>
      </c>
      <c r="B808" s="728" t="s">
        <v>339</v>
      </c>
      <c r="C808" s="728" t="s">
        <v>827</v>
      </c>
      <c r="D808" s="728" t="s">
        <v>884</v>
      </c>
      <c r="E808" s="728" t="s">
        <v>840</v>
      </c>
      <c r="F808" s="727" t="s">
        <v>840</v>
      </c>
      <c r="G808" s="728" t="s">
        <v>277</v>
      </c>
      <c r="H808" s="727" t="s">
        <v>22</v>
      </c>
      <c r="I808" s="727" t="s">
        <v>871</v>
      </c>
      <c r="J808" s="727" t="s">
        <v>885</v>
      </c>
      <c r="K808" s="729">
        <v>1820066</v>
      </c>
      <c r="L808" s="728" t="s">
        <v>175</v>
      </c>
      <c r="M808" s="728" t="s">
        <v>176</v>
      </c>
      <c r="N808" s="727"/>
      <c r="O808" s="727"/>
      <c r="P808" s="727"/>
      <c r="Q808" s="727"/>
      <c r="R808" s="730" t="s">
        <v>886</v>
      </c>
      <c r="S808" s="727"/>
      <c r="T808" s="728" t="s">
        <v>179</v>
      </c>
    </row>
    <row r="809" ht="34.5">
      <c r="A809" s="728" t="s">
        <v>338</v>
      </c>
      <c r="B809" s="728" t="s">
        <v>339</v>
      </c>
      <c r="C809" s="728" t="s">
        <v>827</v>
      </c>
      <c r="D809" s="728" t="s">
        <v>884</v>
      </c>
      <c r="E809" s="728" t="s">
        <v>840</v>
      </c>
      <c r="F809" s="727" t="s">
        <v>840</v>
      </c>
      <c r="G809" s="728" t="s">
        <v>277</v>
      </c>
      <c r="H809" s="727"/>
      <c r="I809" s="727" t="s">
        <v>871</v>
      </c>
      <c r="J809" s="727" t="s">
        <v>873</v>
      </c>
      <c r="K809" s="729">
        <v>-5035791</v>
      </c>
      <c r="L809" s="728" t="s">
        <v>175</v>
      </c>
      <c r="M809" s="728" t="s">
        <v>176</v>
      </c>
      <c r="N809" s="727"/>
      <c r="O809" s="727"/>
      <c r="P809" s="727"/>
      <c r="Q809" s="727"/>
      <c r="R809" s="730"/>
      <c r="S809" s="727"/>
      <c r="T809" s="728" t="s">
        <v>179</v>
      </c>
    </row>
    <row r="810" ht="34.5">
      <c r="A810" s="728" t="s">
        <v>338</v>
      </c>
      <c r="B810" s="728" t="s">
        <v>339</v>
      </c>
      <c r="C810" s="728" t="s">
        <v>827</v>
      </c>
      <c r="D810" s="728" t="s">
        <v>884</v>
      </c>
      <c r="E810" s="728" t="s">
        <v>840</v>
      </c>
      <c r="F810" s="727" t="s">
        <v>840</v>
      </c>
      <c r="G810" s="728" t="s">
        <v>277</v>
      </c>
      <c r="H810" s="727"/>
      <c r="I810" s="727" t="s">
        <v>871</v>
      </c>
      <c r="J810" s="727" t="s">
        <v>874</v>
      </c>
      <c r="K810" s="729">
        <v>-4708923</v>
      </c>
      <c r="L810" s="728" t="s">
        <v>175</v>
      </c>
      <c r="M810" s="728" t="s">
        <v>176</v>
      </c>
      <c r="N810" s="727"/>
      <c r="O810" s="727"/>
      <c r="P810" s="727"/>
      <c r="Q810" s="727"/>
      <c r="R810" s="730"/>
      <c r="S810" s="727"/>
      <c r="T810" s="728" t="s">
        <v>179</v>
      </c>
    </row>
    <row r="811" ht="34.5">
      <c r="A811" s="728" t="s">
        <v>338</v>
      </c>
      <c r="B811" s="728" t="s">
        <v>339</v>
      </c>
      <c r="C811" s="728" t="s">
        <v>827</v>
      </c>
      <c r="D811" s="728" t="s">
        <v>884</v>
      </c>
      <c r="E811" s="728" t="s">
        <v>840</v>
      </c>
      <c r="F811" s="727" t="s">
        <v>840</v>
      </c>
      <c r="G811" s="728" t="s">
        <v>277</v>
      </c>
      <c r="H811" s="727"/>
      <c r="I811" s="727" t="s">
        <v>871</v>
      </c>
      <c r="J811" s="727" t="s">
        <v>875</v>
      </c>
      <c r="K811" s="729">
        <v>344236</v>
      </c>
      <c r="L811" s="728" t="s">
        <v>175</v>
      </c>
      <c r="M811" s="728" t="s">
        <v>176</v>
      </c>
      <c r="N811" s="727"/>
      <c r="O811" s="727"/>
      <c r="P811" s="727"/>
      <c r="Q811" s="727"/>
      <c r="R811" s="730"/>
      <c r="S811" s="727"/>
      <c r="T811" s="728" t="s">
        <v>179</v>
      </c>
    </row>
    <row r="812" ht="34.5">
      <c r="A812" s="728" t="s">
        <v>338</v>
      </c>
      <c r="B812" s="728" t="s">
        <v>339</v>
      </c>
      <c r="C812" s="728" t="s">
        <v>827</v>
      </c>
      <c r="D812" s="728" t="s">
        <v>884</v>
      </c>
      <c r="E812" s="728" t="s">
        <v>840</v>
      </c>
      <c r="F812" s="727" t="s">
        <v>840</v>
      </c>
      <c r="G812" s="728" t="s">
        <v>277</v>
      </c>
      <c r="H812" s="727"/>
      <c r="I812" s="727" t="s">
        <v>871</v>
      </c>
      <c r="J812" s="727" t="s">
        <v>883</v>
      </c>
      <c r="K812" s="729">
        <v>-7580412</v>
      </c>
      <c r="L812" s="728" t="s">
        <v>175</v>
      </c>
      <c r="M812" s="728" t="s">
        <v>176</v>
      </c>
      <c r="N812" s="727"/>
      <c r="O812" s="727"/>
      <c r="P812" s="727"/>
      <c r="Q812" s="727"/>
      <c r="R812" s="730"/>
      <c r="S812" s="727"/>
      <c r="T812" s="728" t="s">
        <v>179</v>
      </c>
    </row>
    <row r="813" ht="34.5">
      <c r="A813" s="728" t="s">
        <v>338</v>
      </c>
      <c r="B813" s="728" t="s">
        <v>339</v>
      </c>
      <c r="C813" s="728" t="s">
        <v>827</v>
      </c>
      <c r="D813" s="728" t="s">
        <v>884</v>
      </c>
      <c r="E813" s="728" t="s">
        <v>840</v>
      </c>
      <c r="F813" s="727" t="s">
        <v>840</v>
      </c>
      <c r="G813" s="728" t="s">
        <v>277</v>
      </c>
      <c r="H813" s="727"/>
      <c r="I813" s="727" t="s">
        <v>871</v>
      </c>
      <c r="J813" s="727" t="s">
        <v>887</v>
      </c>
      <c r="K813" s="729">
        <v>2683428</v>
      </c>
      <c r="L813" s="728" t="s">
        <v>175</v>
      </c>
      <c r="M813" s="728" t="s">
        <v>176</v>
      </c>
      <c r="N813" s="727"/>
      <c r="O813" s="727"/>
      <c r="P813" s="727"/>
      <c r="Q813" s="727"/>
      <c r="R813" s="730"/>
      <c r="S813" s="727"/>
      <c r="T813" s="728" t="s">
        <v>179</v>
      </c>
    </row>
    <row r="814" ht="34.5">
      <c r="A814" s="728" t="s">
        <v>338</v>
      </c>
      <c r="B814" s="728" t="s">
        <v>339</v>
      </c>
      <c r="C814" s="728" t="s">
        <v>827</v>
      </c>
      <c r="D814" s="728" t="s">
        <v>884</v>
      </c>
      <c r="E814" s="728" t="s">
        <v>840</v>
      </c>
      <c r="F814" s="727" t="s">
        <v>840</v>
      </c>
      <c r="G814" s="728" t="s">
        <v>277</v>
      </c>
      <c r="H814" s="727" t="s">
        <v>23</v>
      </c>
      <c r="I814" s="727" t="s">
        <v>871</v>
      </c>
      <c r="J814" s="727" t="s">
        <v>23</v>
      </c>
      <c r="K814" s="729">
        <v>2683428</v>
      </c>
      <c r="L814" s="728" t="s">
        <v>175</v>
      </c>
      <c r="M814" s="728" t="s">
        <v>176</v>
      </c>
      <c r="N814" s="727"/>
      <c r="O814" s="727"/>
      <c r="P814" s="727"/>
      <c r="Q814" s="727"/>
      <c r="R814" s="730" t="s">
        <v>851</v>
      </c>
      <c r="S814" s="727" t="s">
        <v>332</v>
      </c>
      <c r="T814" s="728" t="s">
        <v>179</v>
      </c>
    </row>
    <row r="815" ht="34.5">
      <c r="A815" s="728" t="s">
        <v>167</v>
      </c>
      <c r="B815" s="728" t="s">
        <v>168</v>
      </c>
      <c r="C815" s="728" t="s">
        <v>870</v>
      </c>
      <c r="D815" s="728" t="s">
        <v>170</v>
      </c>
      <c r="E815" s="728" t="s">
        <v>840</v>
      </c>
      <c r="F815" s="727" t="s">
        <v>840</v>
      </c>
      <c r="G815" s="728" t="s">
        <v>277</v>
      </c>
      <c r="H815" s="727"/>
      <c r="I815" s="727" t="s">
        <v>888</v>
      </c>
      <c r="J815" s="727" t="s">
        <v>889</v>
      </c>
      <c r="K815" s="729">
        <v>0.25</v>
      </c>
      <c r="L815" s="728" t="s">
        <v>175</v>
      </c>
      <c r="M815" s="728" t="s">
        <v>94</v>
      </c>
      <c r="N815" s="727" t="s">
        <v>890</v>
      </c>
      <c r="O815" s="727"/>
      <c r="P815" s="727" t="s">
        <v>891</v>
      </c>
      <c r="Q815" s="727"/>
      <c r="R815" s="730"/>
      <c r="S815" s="727"/>
      <c r="T815" s="728" t="s">
        <v>179</v>
      </c>
    </row>
    <row r="816" ht="34.5">
      <c r="A816" s="728" t="s">
        <v>167</v>
      </c>
      <c r="B816" s="728" t="s">
        <v>168</v>
      </c>
      <c r="C816" s="728" t="s">
        <v>892</v>
      </c>
      <c r="D816" s="728" t="s">
        <v>170</v>
      </c>
      <c r="E816" s="728" t="s">
        <v>893</v>
      </c>
      <c r="F816" s="727" t="s">
        <v>893</v>
      </c>
      <c r="G816" s="728" t="s">
        <v>894</v>
      </c>
      <c r="H816" s="727"/>
      <c r="I816" s="727" t="s">
        <v>895</v>
      </c>
      <c r="J816" s="727" t="s">
        <v>896</v>
      </c>
      <c r="K816" s="729">
        <v>12</v>
      </c>
      <c r="L816" s="728" t="s">
        <v>175</v>
      </c>
      <c r="M816" s="728" t="s">
        <v>176</v>
      </c>
      <c r="N816" s="727" t="s">
        <v>897</v>
      </c>
      <c r="O816" s="727" t="s">
        <v>898</v>
      </c>
      <c r="P816" s="727" t="s">
        <v>899</v>
      </c>
      <c r="Q816" s="727"/>
      <c r="R816" s="730"/>
      <c r="S816" s="727"/>
      <c r="T816" s="728" t="s">
        <v>179</v>
      </c>
    </row>
    <row r="817" ht="34.5">
      <c r="A817" s="728" t="s">
        <v>167</v>
      </c>
      <c r="B817" s="728" t="s">
        <v>168</v>
      </c>
      <c r="C817" s="728" t="s">
        <v>892</v>
      </c>
      <c r="D817" s="728" t="s">
        <v>170</v>
      </c>
      <c r="E817" s="728" t="s">
        <v>893</v>
      </c>
      <c r="F817" s="727" t="s">
        <v>893</v>
      </c>
      <c r="G817" s="728" t="s">
        <v>894</v>
      </c>
      <c r="H817" s="727"/>
      <c r="I817" s="727" t="s">
        <v>900</v>
      </c>
      <c r="J817" s="727" t="s">
        <v>901</v>
      </c>
      <c r="K817" s="729"/>
      <c r="L817" s="728" t="s">
        <v>175</v>
      </c>
      <c r="M817" s="728" t="s">
        <v>176</v>
      </c>
      <c r="N817" s="727" t="s">
        <v>902</v>
      </c>
      <c r="O817" s="727"/>
      <c r="P817" s="727" t="s">
        <v>903</v>
      </c>
      <c r="Q817" s="727" t="s">
        <v>904</v>
      </c>
      <c r="R817" s="730"/>
      <c r="S817" s="727"/>
      <c r="T817" s="728" t="s">
        <v>179</v>
      </c>
    </row>
    <row r="818" ht="34.5">
      <c r="A818" s="728" t="s">
        <v>167</v>
      </c>
      <c r="B818" s="728" t="s">
        <v>168</v>
      </c>
      <c r="C818" s="728" t="s">
        <v>892</v>
      </c>
      <c r="D818" s="728" t="s">
        <v>170</v>
      </c>
      <c r="E818" s="728" t="s">
        <v>893</v>
      </c>
      <c r="F818" s="727" t="s">
        <v>893</v>
      </c>
      <c r="G818" s="728" t="s">
        <v>905</v>
      </c>
      <c r="H818" s="727"/>
      <c r="I818" s="727" t="s">
        <v>906</v>
      </c>
      <c r="J818" s="727" t="s">
        <v>907</v>
      </c>
      <c r="K818" s="729"/>
      <c r="L818" s="728" t="s">
        <v>175</v>
      </c>
      <c r="M818" s="728" t="s">
        <v>176</v>
      </c>
      <c r="N818" s="727" t="s">
        <v>908</v>
      </c>
      <c r="O818" s="727" t="s">
        <v>909</v>
      </c>
      <c r="P818" s="727" t="s">
        <v>910</v>
      </c>
      <c r="Q818" s="727"/>
      <c r="R818" s="730"/>
      <c r="S818" s="727"/>
      <c r="T818" s="728" t="s">
        <v>179</v>
      </c>
    </row>
    <row r="819" ht="34.5">
      <c r="A819" s="728" t="s">
        <v>167</v>
      </c>
      <c r="B819" s="728" t="s">
        <v>168</v>
      </c>
      <c r="C819" s="728" t="s">
        <v>892</v>
      </c>
      <c r="D819" s="728" t="s">
        <v>170</v>
      </c>
      <c r="E819" s="728" t="s">
        <v>893</v>
      </c>
      <c r="F819" s="727" t="s">
        <v>893</v>
      </c>
      <c r="G819" s="728" t="s">
        <v>894</v>
      </c>
      <c r="H819" s="727"/>
      <c r="I819" s="727" t="s">
        <v>911</v>
      </c>
      <c r="J819" s="727" t="s">
        <v>912</v>
      </c>
      <c r="K819" s="729">
        <v>0.6</v>
      </c>
      <c r="L819" s="728" t="s">
        <v>175</v>
      </c>
      <c r="M819" s="728" t="s">
        <v>94</v>
      </c>
      <c r="N819" s="727" t="s">
        <v>913</v>
      </c>
      <c r="O819" s="727"/>
      <c r="P819" s="727" t="s">
        <v>914</v>
      </c>
      <c r="Q819" s="727"/>
      <c r="R819" s="730"/>
      <c r="S819" s="727"/>
      <c r="T819" s="728" t="s">
        <v>179</v>
      </c>
    </row>
    <row r="820" ht="34.5">
      <c r="A820" s="728" t="s">
        <v>167</v>
      </c>
      <c r="B820" s="728" t="s">
        <v>168</v>
      </c>
      <c r="C820" s="728" t="s">
        <v>915</v>
      </c>
      <c r="D820" s="728" t="s">
        <v>170</v>
      </c>
      <c r="E820" s="728" t="s">
        <v>893</v>
      </c>
      <c r="F820" s="727" t="s">
        <v>893</v>
      </c>
      <c r="G820" s="728" t="s">
        <v>894</v>
      </c>
      <c r="H820" s="727"/>
      <c r="I820" s="727" t="s">
        <v>916</v>
      </c>
      <c r="J820" s="727" t="s">
        <v>917</v>
      </c>
      <c r="K820" s="729"/>
      <c r="L820" s="728" t="s">
        <v>175</v>
      </c>
      <c r="M820" s="728" t="s">
        <v>176</v>
      </c>
      <c r="N820" s="727" t="s">
        <v>918</v>
      </c>
      <c r="O820" s="727" t="s">
        <v>919</v>
      </c>
      <c r="P820" s="727" t="s">
        <v>920</v>
      </c>
      <c r="Q820" s="727"/>
      <c r="R820" s="730"/>
      <c r="S820" s="727"/>
      <c r="T820" s="728" t="s">
        <v>179</v>
      </c>
    </row>
    <row r="821" ht="34.5">
      <c r="A821" s="728" t="s">
        <v>167</v>
      </c>
      <c r="B821" s="728" t="s">
        <v>168</v>
      </c>
      <c r="C821" s="728" t="s">
        <v>915</v>
      </c>
      <c r="D821" s="728" t="s">
        <v>170</v>
      </c>
      <c r="E821" s="728" t="s">
        <v>893</v>
      </c>
      <c r="F821" s="727" t="s">
        <v>893</v>
      </c>
      <c r="G821" s="728" t="s">
        <v>905</v>
      </c>
      <c r="H821" s="727"/>
      <c r="I821" s="727" t="s">
        <v>921</v>
      </c>
      <c r="J821" s="727" t="s">
        <v>922</v>
      </c>
      <c r="K821" s="729">
        <v>24893361</v>
      </c>
      <c r="L821" s="728" t="s">
        <v>175</v>
      </c>
      <c r="M821" s="728" t="s">
        <v>176</v>
      </c>
      <c r="N821" s="727" t="s">
        <v>923</v>
      </c>
      <c r="O821" s="727"/>
      <c r="P821" s="727" t="s">
        <v>924</v>
      </c>
      <c r="Q821" s="727"/>
      <c r="R821" s="730"/>
      <c r="S821" s="727"/>
      <c r="T821" s="728" t="s">
        <v>179</v>
      </c>
    </row>
    <row r="822" ht="34.5">
      <c r="A822" s="728" t="s">
        <v>167</v>
      </c>
      <c r="B822" s="728" t="s">
        <v>168</v>
      </c>
      <c r="C822" s="728" t="s">
        <v>915</v>
      </c>
      <c r="D822" s="728" t="s">
        <v>170</v>
      </c>
      <c r="E822" s="728" t="s">
        <v>893</v>
      </c>
      <c r="F822" s="727" t="s">
        <v>893</v>
      </c>
      <c r="G822" s="728" t="s">
        <v>894</v>
      </c>
      <c r="H822" s="727"/>
      <c r="I822" s="727" t="s">
        <v>925</v>
      </c>
      <c r="J822" s="727" t="s">
        <v>926</v>
      </c>
      <c r="K822" s="729">
        <v>50</v>
      </c>
      <c r="L822" s="728" t="s">
        <v>175</v>
      </c>
      <c r="M822" s="728" t="s">
        <v>104</v>
      </c>
      <c r="N822" s="727"/>
      <c r="O822" s="727" t="s">
        <v>927</v>
      </c>
      <c r="P822" s="727" t="s">
        <v>928</v>
      </c>
      <c r="Q822" s="727"/>
      <c r="R822" s="730"/>
      <c r="S822" s="727"/>
      <c r="T822" s="728" t="s">
        <v>179</v>
      </c>
    </row>
    <row r="823" ht="34.5">
      <c r="A823" s="728" t="s">
        <v>167</v>
      </c>
      <c r="B823" s="728" t="s">
        <v>168</v>
      </c>
      <c r="C823" s="728" t="s">
        <v>915</v>
      </c>
      <c r="D823" s="728" t="s">
        <v>170</v>
      </c>
      <c r="E823" s="728" t="s">
        <v>893</v>
      </c>
      <c r="F823" s="727" t="s">
        <v>893</v>
      </c>
      <c r="G823" s="728" t="s">
        <v>905</v>
      </c>
      <c r="H823" s="727"/>
      <c r="I823" s="727" t="s">
        <v>929</v>
      </c>
      <c r="J823" s="727" t="s">
        <v>930</v>
      </c>
      <c r="K823" s="729">
        <v>86</v>
      </c>
      <c r="L823" s="728" t="s">
        <v>175</v>
      </c>
      <c r="M823" s="728" t="s">
        <v>931</v>
      </c>
      <c r="N823" s="727" t="s">
        <v>932</v>
      </c>
      <c r="O823" s="727" t="s">
        <v>933</v>
      </c>
      <c r="P823" s="727" t="s">
        <v>934</v>
      </c>
      <c r="Q823" s="727"/>
      <c r="R823" s="730"/>
      <c r="S823" s="727"/>
      <c r="T823" s="728" t="s">
        <v>179</v>
      </c>
    </row>
    <row r="824" ht="34.5">
      <c r="A824" s="728" t="s">
        <v>167</v>
      </c>
      <c r="B824" s="728" t="s">
        <v>168</v>
      </c>
      <c r="C824" s="728" t="s">
        <v>935</v>
      </c>
      <c r="D824" s="728" t="s">
        <v>170</v>
      </c>
      <c r="E824" s="728" t="s">
        <v>893</v>
      </c>
      <c r="F824" s="727" t="s">
        <v>893</v>
      </c>
      <c r="G824" s="728" t="s">
        <v>905</v>
      </c>
      <c r="H824" s="727"/>
      <c r="I824" s="727" t="s">
        <v>936</v>
      </c>
      <c r="J824" s="727" t="s">
        <v>937</v>
      </c>
      <c r="K824" s="729"/>
      <c r="L824" s="728" t="s">
        <v>175</v>
      </c>
      <c r="M824" s="728" t="s">
        <v>176</v>
      </c>
      <c r="N824" s="727" t="s">
        <v>938</v>
      </c>
      <c r="O824" s="727" t="s">
        <v>939</v>
      </c>
      <c r="P824" s="727" t="s">
        <v>940</v>
      </c>
      <c r="Q824" s="727"/>
      <c r="R824" s="730"/>
      <c r="S824" s="727"/>
      <c r="T824" s="728" t="s">
        <v>179</v>
      </c>
    </row>
    <row r="825" ht="34.5">
      <c r="A825" s="728" t="s">
        <v>167</v>
      </c>
      <c r="B825" s="728" t="s">
        <v>168</v>
      </c>
      <c r="C825" s="728" t="s">
        <v>935</v>
      </c>
      <c r="D825" s="728" t="s">
        <v>170</v>
      </c>
      <c r="E825" s="728" t="s">
        <v>893</v>
      </c>
      <c r="F825" s="727" t="s">
        <v>893</v>
      </c>
      <c r="G825" s="728" t="s">
        <v>905</v>
      </c>
      <c r="H825" s="727"/>
      <c r="I825" s="727" t="s">
        <v>941</v>
      </c>
      <c r="J825" s="727" t="s">
        <v>942</v>
      </c>
      <c r="K825" s="729">
        <v>40</v>
      </c>
      <c r="L825" s="728" t="s">
        <v>175</v>
      </c>
      <c r="M825" s="728" t="s">
        <v>943</v>
      </c>
      <c r="N825" s="727" t="s">
        <v>944</v>
      </c>
      <c r="O825" s="727" t="s">
        <v>186</v>
      </c>
      <c r="P825" s="727" t="s">
        <v>945</v>
      </c>
      <c r="Q825" s="727"/>
      <c r="R825" s="730"/>
      <c r="S825" s="727"/>
      <c r="T825" s="728" t="s">
        <v>179</v>
      </c>
    </row>
    <row r="826" ht="34.5">
      <c r="A826" s="728" t="s">
        <v>167</v>
      </c>
      <c r="B826" s="728" t="s">
        <v>168</v>
      </c>
      <c r="C826" s="728" t="s">
        <v>935</v>
      </c>
      <c r="D826" s="728" t="s">
        <v>170</v>
      </c>
      <c r="E826" s="728" t="s">
        <v>893</v>
      </c>
      <c r="F826" s="727" t="s">
        <v>893</v>
      </c>
      <c r="G826" s="728" t="s">
        <v>905</v>
      </c>
      <c r="H826" s="727"/>
      <c r="I826" s="727" t="s">
        <v>946</v>
      </c>
      <c r="J826" s="727" t="s">
        <v>947</v>
      </c>
      <c r="K826" s="729">
        <v>27129</v>
      </c>
      <c r="L826" s="728" t="s">
        <v>175</v>
      </c>
      <c r="M826" s="728" t="s">
        <v>176</v>
      </c>
      <c r="N826" s="727" t="s">
        <v>948</v>
      </c>
      <c r="O826" s="727" t="s">
        <v>909</v>
      </c>
      <c r="P826" s="727" t="s">
        <v>949</v>
      </c>
      <c r="Q826" s="727"/>
      <c r="R826" s="730"/>
      <c r="S826" s="727"/>
      <c r="T826" s="728" t="s">
        <v>179</v>
      </c>
    </row>
    <row r="827" ht="34.5">
      <c r="A827" s="728" t="s">
        <v>333</v>
      </c>
      <c r="B827" s="728" t="s">
        <v>334</v>
      </c>
      <c r="C827" s="728" t="s">
        <v>827</v>
      </c>
      <c r="D827" s="728" t="s">
        <v>170</v>
      </c>
      <c r="E827" s="728" t="s">
        <v>950</v>
      </c>
      <c r="F827" s="727" t="s">
        <v>950</v>
      </c>
      <c r="G827" s="728" t="s">
        <v>190</v>
      </c>
      <c r="H827" s="727"/>
      <c r="I827" s="727" t="s">
        <v>951</v>
      </c>
      <c r="J827" s="727" t="s">
        <v>952</v>
      </c>
      <c r="K827" s="729"/>
      <c r="L827" s="728" t="s">
        <v>175</v>
      </c>
      <c r="M827" s="728" t="s">
        <v>176</v>
      </c>
      <c r="N827" s="727" t="s">
        <v>953</v>
      </c>
      <c r="O827" s="727"/>
      <c r="P827" s="727"/>
      <c r="Q827" s="727"/>
      <c r="R827" s="730"/>
      <c r="S827" s="727" t="s">
        <v>954</v>
      </c>
      <c r="T827" s="728" t="s">
        <v>179</v>
      </c>
    </row>
    <row r="828" ht="34.5">
      <c r="A828" s="728" t="s">
        <v>167</v>
      </c>
      <c r="B828" s="728" t="s">
        <v>168</v>
      </c>
      <c r="C828" s="728"/>
      <c r="D828" s="728"/>
      <c r="E828" s="728" t="s">
        <v>955</v>
      </c>
      <c r="F828" s="727" t="s">
        <v>955</v>
      </c>
      <c r="G828" s="728" t="s">
        <v>172</v>
      </c>
      <c r="H828" s="727" t="s">
        <v>956</v>
      </c>
      <c r="I828" s="727" t="s">
        <v>957</v>
      </c>
      <c r="J828" s="727" t="s">
        <v>958</v>
      </c>
      <c r="K828" s="729"/>
      <c r="L828" s="728" t="s">
        <v>175</v>
      </c>
      <c r="M828" s="728" t="s">
        <v>176</v>
      </c>
      <c r="N828" s="727"/>
      <c r="O828" s="727"/>
      <c r="P828" s="727"/>
      <c r="Q828" s="727"/>
      <c r="R828" s="730" t="s">
        <v>959</v>
      </c>
      <c r="S828" s="727" t="s">
        <v>960</v>
      </c>
      <c r="T828" s="728" t="s">
        <v>961</v>
      </c>
    </row>
    <row r="829" ht="34.5">
      <c r="A829" s="728" t="s">
        <v>167</v>
      </c>
      <c r="B829" s="728" t="s">
        <v>168</v>
      </c>
      <c r="C829" s="728"/>
      <c r="D829" s="728"/>
      <c r="E829" s="728" t="s">
        <v>955</v>
      </c>
      <c r="F829" s="727" t="s">
        <v>955</v>
      </c>
      <c r="G829" s="728" t="s">
        <v>172</v>
      </c>
      <c r="H829" s="727" t="s">
        <v>21</v>
      </c>
      <c r="I829" s="727" t="s">
        <v>957</v>
      </c>
      <c r="J829" s="727" t="s">
        <v>962</v>
      </c>
      <c r="K829" s="729"/>
      <c r="L829" s="728" t="s">
        <v>175</v>
      </c>
      <c r="M829" s="728" t="s">
        <v>176</v>
      </c>
      <c r="N829" s="727"/>
      <c r="O829" s="727"/>
      <c r="P829" s="727"/>
      <c r="Q829" s="727"/>
      <c r="R829" s="730" t="s">
        <v>963</v>
      </c>
      <c r="S829" s="727" t="s">
        <v>964</v>
      </c>
      <c r="T829" s="728" t="s">
        <v>961</v>
      </c>
    </row>
    <row r="830" ht="34.5">
      <c r="A830" s="728" t="s">
        <v>167</v>
      </c>
      <c r="B830" s="728" t="s">
        <v>168</v>
      </c>
      <c r="C830" s="728"/>
      <c r="D830" s="728"/>
      <c r="E830" s="728" t="s">
        <v>955</v>
      </c>
      <c r="F830" s="727" t="s">
        <v>955</v>
      </c>
      <c r="G830" s="728" t="s">
        <v>172</v>
      </c>
      <c r="H830" s="727" t="s">
        <v>29</v>
      </c>
      <c r="I830" s="727" t="s">
        <v>957</v>
      </c>
      <c r="J830" s="727" t="s">
        <v>965</v>
      </c>
      <c r="K830" s="729"/>
      <c r="L830" s="728" t="s">
        <v>175</v>
      </c>
      <c r="M830" s="728" t="s">
        <v>176</v>
      </c>
      <c r="N830" s="727"/>
      <c r="O830" s="727"/>
      <c r="P830" s="727"/>
      <c r="Q830" s="727"/>
      <c r="R830" s="730" t="s">
        <v>966</v>
      </c>
      <c r="S830" s="727" t="s">
        <v>967</v>
      </c>
      <c r="T830" s="728" t="s">
        <v>961</v>
      </c>
    </row>
    <row r="831" ht="34.5">
      <c r="A831" s="728" t="s">
        <v>167</v>
      </c>
      <c r="B831" s="728" t="s">
        <v>168</v>
      </c>
      <c r="C831" s="728"/>
      <c r="D831" s="728"/>
      <c r="E831" s="728" t="s">
        <v>955</v>
      </c>
      <c r="F831" s="727" t="s">
        <v>955</v>
      </c>
      <c r="G831" s="728" t="s">
        <v>172</v>
      </c>
      <c r="H831" s="727" t="s">
        <v>30</v>
      </c>
      <c r="I831" s="727" t="s">
        <v>957</v>
      </c>
      <c r="J831" s="727" t="s">
        <v>968</v>
      </c>
      <c r="K831" s="729"/>
      <c r="L831" s="728" t="s">
        <v>175</v>
      </c>
      <c r="M831" s="728" t="s">
        <v>176</v>
      </c>
      <c r="N831" s="727"/>
      <c r="O831" s="727"/>
      <c r="P831" s="727"/>
      <c r="Q831" s="727"/>
      <c r="R831" s="730" t="s">
        <v>969</v>
      </c>
      <c r="S831" s="727" t="s">
        <v>967</v>
      </c>
      <c r="T831" s="728" t="s">
        <v>961</v>
      </c>
    </row>
    <row r="832" ht="34.5">
      <c r="A832" s="728" t="s">
        <v>167</v>
      </c>
      <c r="B832" s="728" t="s">
        <v>168</v>
      </c>
      <c r="C832" s="728"/>
      <c r="D832" s="728"/>
      <c r="E832" s="728" t="s">
        <v>955</v>
      </c>
      <c r="F832" s="727" t="s">
        <v>955</v>
      </c>
      <c r="G832" s="728" t="s">
        <v>172</v>
      </c>
      <c r="H832" s="727" t="s">
        <v>970</v>
      </c>
      <c r="I832" s="727" t="s">
        <v>957</v>
      </c>
      <c r="J832" s="727" t="s">
        <v>971</v>
      </c>
      <c r="K832" s="729"/>
      <c r="L832" s="728" t="s">
        <v>175</v>
      </c>
      <c r="M832" s="728" t="s">
        <v>176</v>
      </c>
      <c r="N832" s="727"/>
      <c r="O832" s="727"/>
      <c r="P832" s="727"/>
      <c r="Q832" s="727"/>
      <c r="R832" s="730" t="s">
        <v>972</v>
      </c>
      <c r="S832" s="727" t="s">
        <v>967</v>
      </c>
      <c r="T832" s="728" t="s">
        <v>961</v>
      </c>
    </row>
    <row r="833" ht="34.5">
      <c r="A833" s="728" t="s">
        <v>167</v>
      </c>
      <c r="B833" s="728" t="s">
        <v>168</v>
      </c>
      <c r="C833" s="728"/>
      <c r="D833" s="728"/>
      <c r="E833" s="728" t="s">
        <v>955</v>
      </c>
      <c r="F833" s="727" t="s">
        <v>955</v>
      </c>
      <c r="G833" s="728" t="s">
        <v>172</v>
      </c>
      <c r="H833" s="727" t="s">
        <v>43</v>
      </c>
      <c r="I833" s="727" t="s">
        <v>957</v>
      </c>
      <c r="J833" s="727" t="s">
        <v>973</v>
      </c>
      <c r="K833" s="729"/>
      <c r="L833" s="728" t="s">
        <v>175</v>
      </c>
      <c r="M833" s="728" t="s">
        <v>176</v>
      </c>
      <c r="N833" s="727"/>
      <c r="O833" s="727"/>
      <c r="P833" s="727"/>
      <c r="Q833" s="727"/>
      <c r="R833" s="730" t="s">
        <v>974</v>
      </c>
      <c r="S833" s="727" t="s">
        <v>975</v>
      </c>
      <c r="T833" s="728" t="s">
        <v>961</v>
      </c>
    </row>
    <row r="834" ht="34.5">
      <c r="A834" s="728" t="s">
        <v>167</v>
      </c>
      <c r="B834" s="728" t="s">
        <v>168</v>
      </c>
      <c r="C834" s="728"/>
      <c r="D834" s="728"/>
      <c r="E834" s="728" t="s">
        <v>955</v>
      </c>
      <c r="F834" s="727" t="s">
        <v>955</v>
      </c>
      <c r="G834" s="728" t="s">
        <v>172</v>
      </c>
      <c r="H834" s="727" t="s">
        <v>44</v>
      </c>
      <c r="I834" s="727" t="s">
        <v>957</v>
      </c>
      <c r="J834" s="727" t="s">
        <v>976</v>
      </c>
      <c r="K834" s="729"/>
      <c r="L834" s="728" t="s">
        <v>175</v>
      </c>
      <c r="M834" s="728" t="s">
        <v>176</v>
      </c>
      <c r="N834" s="727"/>
      <c r="O834" s="727"/>
      <c r="P834" s="727"/>
      <c r="Q834" s="727"/>
      <c r="R834" s="730" t="s">
        <v>977</v>
      </c>
      <c r="S834" s="727" t="s">
        <v>978</v>
      </c>
      <c r="T834" s="728" t="s">
        <v>961</v>
      </c>
    </row>
    <row r="835" ht="34.5">
      <c r="A835" s="728" t="s">
        <v>167</v>
      </c>
      <c r="B835" s="728" t="s">
        <v>168</v>
      </c>
      <c r="C835" s="728"/>
      <c r="D835" s="728"/>
      <c r="E835" s="728" t="s">
        <v>955</v>
      </c>
      <c r="F835" s="727" t="s">
        <v>955</v>
      </c>
      <c r="G835" s="728" t="s">
        <v>172</v>
      </c>
      <c r="H835" s="727" t="s">
        <v>979</v>
      </c>
      <c r="I835" s="727" t="s">
        <v>957</v>
      </c>
      <c r="J835" s="727" t="s">
        <v>980</v>
      </c>
      <c r="K835" s="729"/>
      <c r="L835" s="728" t="s">
        <v>175</v>
      </c>
      <c r="M835" s="728" t="s">
        <v>176</v>
      </c>
      <c r="N835" s="727"/>
      <c r="O835" s="727"/>
      <c r="P835" s="727"/>
      <c r="Q835" s="727"/>
      <c r="R835" s="730" t="s">
        <v>981</v>
      </c>
      <c r="S835" s="727" t="s">
        <v>982</v>
      </c>
      <c r="T835" s="728" t="s">
        <v>961</v>
      </c>
    </row>
    <row r="836" ht="34.5"/>
  </sheetData>
  <autoFilter ref="A5:T835"/>
</worksheet>
</file>

<file path=xl/worksheets/sheet4.xml><?xml version="1.0" encoding="utf-8"?>
<worksheet xmlns="http://schemas.openxmlformats.org/spreadsheetml/2006/main" xmlns:r="http://schemas.openxmlformats.org/officeDocument/2006/relationships">
  <dimension ref="A1:K82"/>
  <sheetViews>
    <sheetView showGridLines="0" workbookViewId="0"/>
  </sheetViews>
  <sheetFormatPr defaultColWidth="8.375" defaultRowHeight="15"/>
  <cols>
    <col min="1" max="1" width="43.125" customWidth="1"/>
    <col min="2" max="11" width="15.625" customWidth="1"/>
  </cols>
  <sheetData>
    <row r="1">
      <c r="A1" s="803" t="s">
        <v>0</v>
      </c>
      <c r="B1" s="764"/>
      <c r="C1" s="764"/>
      <c r="D1" s="764"/>
      <c r="E1" s="764"/>
      <c r="F1" s="764"/>
      <c r="G1" s="769"/>
      <c r="H1" s="768"/>
      <c r="I1" s="768"/>
      <c r="J1" s="768"/>
      <c r="K1" s="768"/>
    </row>
    <row r="2">
      <c r="A2" s="869" t="s">
        <v>1</v>
      </c>
      <c r="G2" s="767"/>
    </row>
    <row r="3">
      <c r="A3" s="869" t="s">
        <v>2</v>
      </c>
      <c r="G3" s="767"/>
    </row>
    <row r="4">
      <c r="A4" s="760"/>
      <c r="B4" s="760"/>
      <c r="C4" s="760"/>
      <c r="D4" s="760"/>
      <c r="E4" s="760"/>
      <c r="F4" s="760"/>
      <c r="G4" s="767"/>
      <c r="H4" s="760"/>
      <c r="I4" s="760"/>
      <c r="J4" s="760"/>
      <c r="K4" s="760"/>
    </row>
    <row r="5">
      <c r="A5" s="803" t="s">
        <v>3</v>
      </c>
      <c r="B5" s="884" t="s">
        <v>4</v>
      </c>
      <c r="C5" s="884" t="s">
        <v>5</v>
      </c>
      <c r="D5" s="884" t="s">
        <v>6</v>
      </c>
      <c r="E5" s="884" t="s">
        <v>7</v>
      </c>
      <c r="F5" s="884" t="s">
        <v>8</v>
      </c>
      <c r="G5" s="892" t="s">
        <v>9</v>
      </c>
      <c r="H5" s="887" t="s">
        <v>10</v>
      </c>
      <c r="I5" s="887" t="s">
        <v>11</v>
      </c>
      <c r="J5" s="887" t="s">
        <v>12</v>
      </c>
      <c r="K5" s="887" t="s">
        <v>13</v>
      </c>
    </row>
    <row r="6">
      <c r="A6" s="803" t="s">
        <v>14</v>
      </c>
      <c r="B6" s="765"/>
      <c r="C6" s="765"/>
      <c r="D6" s="765"/>
      <c r="E6" s="765"/>
      <c r="F6" s="765"/>
      <c r="G6" s="770"/>
      <c r="H6" s="766"/>
      <c r="I6" s="766"/>
      <c r="J6" s="766"/>
      <c r="K6" s="766"/>
    </row>
    <row r="7">
      <c r="A7" s="869" t="s">
        <v>15</v>
      </c>
      <c r="B7" s="890">
        <f>EEFF!B7</f>
        <v>42036085</v>
      </c>
      <c r="C7" s="890">
        <f>EEFF!C7</f>
        <v>40987418</v>
      </c>
      <c r="D7" s="890">
        <f>EEFF!D7</f>
        <v>54587421</v>
      </c>
      <c r="E7" s="890">
        <f>EEFF!E7</f>
        <v>42653811</v>
      </c>
      <c r="F7" s="890">
        <f>EEFF!F7</f>
        <v>42404701</v>
      </c>
      <c r="G7" s="812">
        <f>Supuestos!G44</f>
        <v>41719195.199</v>
      </c>
      <c r="H7" s="890">
        <f>Supuestos!H44</f>
        <v>41713332.881000005</v>
      </c>
      <c r="I7" s="890">
        <f>Supuestos!I44</f>
        <v>41708092.085</v>
      </c>
      <c r="J7" s="890">
        <f>Supuestos!J44</f>
        <v>34098586.121</v>
      </c>
      <c r="K7" s="890">
        <f>Supuestos!K44</f>
        <v>27211923.54</v>
      </c>
    </row>
    <row r="8">
      <c r="A8" s="869" t="s">
        <v>16</v>
      </c>
      <c r="B8" s="890">
        <f>EEFF!B8</f>
        <v>-22857327</v>
      </c>
      <c r="C8" s="890">
        <f>EEFF!C8</f>
        <v>-21858853</v>
      </c>
      <c r="D8" s="890">
        <f>EEFF!D8</f>
        <v>-25573871</v>
      </c>
      <c r="E8" s="890">
        <f>EEFF!E8</f>
        <v>-25736347</v>
      </c>
      <c r="F8" s="890">
        <f>EEFF!F8</f>
        <v>-24413955</v>
      </c>
      <c r="G8" s="812">
        <f>-Supuestos!G54</f>
        <v>-22731827</v>
      </c>
      <c r="H8" s="890">
        <f>-Supuestos!H54</f>
        <v>-22738827</v>
      </c>
      <c r="I8" s="890">
        <f>-Supuestos!I54</f>
        <v>-22746827</v>
      </c>
      <c r="J8" s="890">
        <f>-Supuestos!J54</f>
        <v>-22594738</v>
      </c>
      <c r="K8" s="890">
        <f>-Supuestos!K54</f>
        <v>-22603738</v>
      </c>
    </row>
    <row r="9">
      <c r="A9" s="805" t="s">
        <v>17</v>
      </c>
      <c r="B9" s="876">
        <f>EEFF!B9</f>
        <v>19178758</v>
      </c>
      <c r="C9" s="876">
        <f>EEFF!C9</f>
        <v>19128565</v>
      </c>
      <c r="D9" s="876">
        <f>EEFF!D9</f>
        <v>29013550</v>
      </c>
      <c r="E9" s="876">
        <f>EEFF!E9</f>
        <v>16917464</v>
      </c>
      <c r="F9" s="876">
        <f>EEFF!F9</f>
        <v>17990746</v>
      </c>
      <c r="G9" s="802">
        <f>G7+G8</f>
        <v>18987368.199</v>
      </c>
      <c r="H9" s="889">
        <f>H7+H8</f>
        <v>18974505.881000005</v>
      </c>
      <c r="I9" s="889">
        <f>I7+I8</f>
        <v>18961265.085</v>
      </c>
      <c r="J9" s="889">
        <f>J7+J8</f>
        <v>11503848.121</v>
      </c>
      <c r="K9" s="889">
        <f>K7+K8</f>
        <v>4608185.539999999</v>
      </c>
    </row>
    <row r="10">
      <c r="A10" s="869" t="s">
        <v>18</v>
      </c>
      <c r="B10" s="890">
        <f>EEFF!B10</f>
        <v>-3266942</v>
      </c>
      <c r="C10" s="890">
        <f>EEFF!C10</f>
        <v>-3405988</v>
      </c>
      <c r="D10" s="890">
        <f>EEFF!D10</f>
        <v>-4482435</v>
      </c>
      <c r="E10" s="890">
        <f>EEFF!E10</f>
        <v>-3436087</v>
      </c>
      <c r="F10" s="890">
        <f>EEFF!F10</f>
        <v>-3908720</v>
      </c>
      <c r="G10" s="812">
        <f>-Supuestos!G58</f>
        <v>-3660000</v>
      </c>
      <c r="H10" s="890">
        <f>-Supuestos!H58</f>
        <v>-3660000</v>
      </c>
      <c r="I10" s="890">
        <f>-Supuestos!I58</f>
        <v>-3660000</v>
      </c>
      <c r="J10" s="890">
        <f>-Supuestos!J58</f>
        <v>-3660000</v>
      </c>
      <c r="K10" s="890">
        <f>-Supuestos!K58</f>
        <v>-3660000</v>
      </c>
    </row>
    <row r="11">
      <c r="A11" s="805" t="s">
        <v>19</v>
      </c>
      <c r="B11" s="876">
        <f>EEFF!B11</f>
        <v>15911816</v>
      </c>
      <c r="C11" s="876">
        <f>EEFF!C11</f>
        <v>15722577</v>
      </c>
      <c r="D11" s="876">
        <f>EEFF!D11</f>
        <v>24531115</v>
      </c>
      <c r="E11" s="876">
        <f>EEFF!E11</f>
        <v>13481377</v>
      </c>
      <c r="F11" s="876">
        <f>EEFF!F11</f>
        <v>14082026</v>
      </c>
      <c r="G11" s="802">
        <f>G9+G10</f>
        <v>15327368.199000001</v>
      </c>
      <c r="H11" s="889">
        <f>H9+H10</f>
        <v>15314505.881000005</v>
      </c>
      <c r="I11" s="889">
        <f>I9+I10</f>
        <v>15301265.085</v>
      </c>
      <c r="J11" s="889">
        <f>J9+J10</f>
        <v>7843848.120999999</v>
      </c>
      <c r="K11" s="889">
        <f>K9+K10</f>
        <v>948185.5399999991</v>
      </c>
    </row>
    <row r="12">
      <c r="A12" s="869" t="s">
        <v>20</v>
      </c>
      <c r="B12" s="890">
        <f>EEFF!B12</f>
        <v>-14126147</v>
      </c>
      <c r="C12" s="890">
        <f>EEFF!C12</f>
        <v>-9881077</v>
      </c>
      <c r="D12" s="890">
        <f>EEFF!D12</f>
        <v>-16142876</v>
      </c>
      <c r="E12" s="890">
        <f>EEFF!E12</f>
        <v>-15193459</v>
      </c>
      <c r="F12" s="890">
        <f>EEFF!F12</f>
        <v>-14336109</v>
      </c>
      <c r="G12" s="891">
        <f>F12</f>
        <v>-14336109</v>
      </c>
      <c r="H12" s="873">
        <f>G12</f>
        <v>-14336109</v>
      </c>
      <c r="I12" s="873">
        <f>H12</f>
        <v>-14336109</v>
      </c>
      <c r="J12" s="873">
        <f>I12</f>
        <v>-14336109</v>
      </c>
      <c r="K12" s="873">
        <f>J12</f>
        <v>-14336109</v>
      </c>
    </row>
    <row r="13">
      <c r="A13" s="869" t="s">
        <v>21</v>
      </c>
      <c r="B13" s="890">
        <f>EEFF!B13</f>
        <v>34397</v>
      </c>
      <c r="C13" s="890">
        <f>EEFF!C13</f>
        <v>130429</v>
      </c>
      <c r="D13" s="890">
        <f>EEFF!D13</f>
        <v>6770</v>
      </c>
      <c r="E13" s="890">
        <f>EEFF!E13</f>
        <v>1010</v>
      </c>
      <c r="F13" s="890">
        <f>EEFF!F13</f>
        <v>81975</v>
      </c>
      <c r="G13" s="891">
        <f>F13</f>
        <v>81975</v>
      </c>
      <c r="H13" s="873">
        <f>G13</f>
        <v>81975</v>
      </c>
      <c r="I13" s="873">
        <f>H13</f>
        <v>81975</v>
      </c>
      <c r="J13" s="873">
        <f>I13</f>
        <v>81975</v>
      </c>
      <c r="K13" s="873">
        <f>J13</f>
        <v>81975</v>
      </c>
    </row>
    <row r="14">
      <c r="A14" s="805" t="s">
        <v>22</v>
      </c>
      <c r="B14" s="876">
        <f>EEFF!B14</f>
        <v>1820066</v>
      </c>
      <c r="C14" s="876">
        <f>EEFF!C14</f>
        <v>5971929</v>
      </c>
      <c r="D14" s="876">
        <f>EEFF!D14</f>
        <v>8395009</v>
      </c>
      <c r="E14" s="876">
        <f>EEFF!E14</f>
        <v>-1711072</v>
      </c>
      <c r="F14" s="876">
        <f>EEFF!F14</f>
        <v>-172108</v>
      </c>
      <c r="G14" s="802">
        <f>G11+G12+G13</f>
        <v>1073234.199000001</v>
      </c>
      <c r="H14" s="889">
        <f>H11+H12+H13</f>
        <v>1060371.8810000047</v>
      </c>
      <c r="I14" s="889">
        <f>I11+I12+I13</f>
        <v>1047131.0850000009</v>
      </c>
      <c r="J14" s="889">
        <f>J11+J12+J13</f>
        <v>-6410285.879000001</v>
      </c>
      <c r="K14" s="889">
        <f>K11+K12+K13</f>
        <v>-13305948.46</v>
      </c>
    </row>
    <row r="15">
      <c r="A15" s="869" t="s">
        <v>23</v>
      </c>
      <c r="B15" s="890">
        <f>EEFF!B15</f>
        <v>-2683428</v>
      </c>
      <c r="C15" s="890">
        <f>EEFF!C15</f>
        <v>599370</v>
      </c>
      <c r="D15" s="890">
        <f>EEFF!D15</f>
        <v>-820467</v>
      </c>
      <c r="E15" s="890">
        <f>EEFF!E15</f>
        <v>-681267</v>
      </c>
      <c r="F15" s="890">
        <f>EEFF!F15</f>
        <v>-497187</v>
      </c>
      <c r="G15" s="891">
        <f>F15</f>
        <v>-497187</v>
      </c>
      <c r="H15" s="873">
        <f>G15</f>
        <v>-497187</v>
      </c>
      <c r="I15" s="873">
        <f>H15</f>
        <v>-497187</v>
      </c>
      <c r="J15" s="873">
        <f>I15</f>
        <v>-497187</v>
      </c>
      <c r="K15" s="873">
        <f>J15</f>
        <v>-497187</v>
      </c>
    </row>
    <row r="16">
      <c r="A16" s="805" t="s">
        <v>24</v>
      </c>
      <c r="B16" s="876">
        <f>EEFF!B16</f>
        <v>-863362</v>
      </c>
      <c r="C16" s="876">
        <f>EEFF!C16</f>
        <v>6571299</v>
      </c>
      <c r="D16" s="876">
        <f>EEFF!D16</f>
        <v>7574542</v>
      </c>
      <c r="E16" s="876">
        <f>EEFF!E16</f>
        <v>-2392339</v>
      </c>
      <c r="F16" s="876">
        <f>EEFF!F16</f>
        <v>-669295</v>
      </c>
      <c r="G16" s="802">
        <f>G14+G15</f>
        <v>576047.199000001</v>
      </c>
      <c r="H16" s="889">
        <f>H14+H15</f>
        <v>563184.8810000047</v>
      </c>
      <c r="I16" s="889">
        <f>I14+I15</f>
        <v>549944.0850000009</v>
      </c>
      <c r="J16" s="889">
        <f>J14+J15</f>
        <v>-6907472.879000001</v>
      </c>
      <c r="K16" s="889">
        <f>K14+K15</f>
        <v>-13803135.46</v>
      </c>
    </row>
    <row r="17">
      <c r="A17" s="760"/>
      <c r="B17" s="760"/>
      <c r="C17" s="760"/>
      <c r="D17" s="760"/>
      <c r="E17" s="760"/>
      <c r="F17" s="760"/>
      <c r="G17" s="767"/>
      <c r="H17" s="760"/>
      <c r="I17" s="760"/>
      <c r="J17" s="760"/>
      <c r="K17" s="760"/>
    </row>
    <row r="18">
      <c r="A18" s="803" t="s">
        <v>3</v>
      </c>
      <c r="B18" s="884" t="s">
        <v>4</v>
      </c>
      <c r="C18" s="884" t="s">
        <v>5</v>
      </c>
      <c r="D18" s="884" t="s">
        <v>6</v>
      </c>
      <c r="E18" s="884" t="s">
        <v>7</v>
      </c>
      <c r="F18" s="884" t="s">
        <v>8</v>
      </c>
      <c r="G18" s="892" t="s">
        <v>9</v>
      </c>
      <c r="H18" s="887" t="s">
        <v>10</v>
      </c>
      <c r="I18" s="887" t="s">
        <v>11</v>
      </c>
      <c r="J18" s="887" t="s">
        <v>12</v>
      </c>
      <c r="K18" s="887" t="s">
        <v>13</v>
      </c>
    </row>
    <row r="19">
      <c r="A19" s="803" t="s">
        <v>25</v>
      </c>
      <c r="B19" s="765"/>
      <c r="C19" s="765"/>
      <c r="D19" s="765"/>
      <c r="E19" s="765"/>
      <c r="F19" s="765"/>
      <c r="G19" s="770"/>
      <c r="H19" s="766"/>
      <c r="I19" s="766"/>
      <c r="J19" s="766"/>
      <c r="K19" s="766"/>
    </row>
    <row r="20">
      <c r="A20" s="869" t="s">
        <v>26</v>
      </c>
      <c r="B20" s="890">
        <f>EEFF!B20</f>
        <v>5485501</v>
      </c>
      <c r="C20" s="890">
        <f>EEFF!C20</f>
        <v>5490195</v>
      </c>
      <c r="D20" s="890">
        <f>EEFF!D20</f>
        <v>17396949</v>
      </c>
      <c r="E20" s="890">
        <f>EEFF!E20</f>
        <v>4118908</v>
      </c>
      <c r="F20" s="890">
        <f>EEFF!F20</f>
        <v>5197344</v>
      </c>
      <c r="G20" s="891">
        <f>F20</f>
        <v>5197344</v>
      </c>
      <c r="H20" s="873">
        <f>G20</f>
        <v>5197344</v>
      </c>
      <c r="I20" s="873">
        <f>H20</f>
        <v>5197344</v>
      </c>
      <c r="J20" s="873">
        <f>I20</f>
        <v>5197344</v>
      </c>
      <c r="K20" s="873">
        <f>J20</f>
        <v>5197344</v>
      </c>
    </row>
    <row r="21">
      <c r="A21" s="869" t="s">
        <v>27</v>
      </c>
      <c r="B21" s="890">
        <f>EEFF!B21</f>
        <v>8440721</v>
      </c>
      <c r="C21" s="890">
        <f>EEFF!C21</f>
        <v>6989164</v>
      </c>
      <c r="D21" s="890">
        <f>EEFF!D21</f>
        <v>7127866</v>
      </c>
      <c r="E21" s="890">
        <f>EEFF!E21</f>
        <v>3904545</v>
      </c>
      <c r="F21" s="890">
        <f>EEFF!F21</f>
        <v>4837614</v>
      </c>
      <c r="G21" s="891">
        <f>F21</f>
        <v>4837614</v>
      </c>
      <c r="H21" s="873">
        <f>G21</f>
        <v>4837614</v>
      </c>
      <c r="I21" s="873">
        <f>H21</f>
        <v>4837614</v>
      </c>
      <c r="J21" s="873">
        <f>I21</f>
        <v>4837614</v>
      </c>
      <c r="K21" s="873">
        <f>J21</f>
        <v>4837614</v>
      </c>
    </row>
    <row r="22">
      <c r="A22" s="869" t="s">
        <v>28</v>
      </c>
      <c r="B22" s="890">
        <f>EEFF!B28</f>
        <v>21480114</v>
      </c>
      <c r="C22" s="890">
        <f>EEFF!C28</f>
        <v>20483131</v>
      </c>
      <c r="D22" s="890">
        <f>EEFF!D28</f>
        <v>19345052</v>
      </c>
      <c r="E22" s="890">
        <f>EEFF!E28</f>
        <v>18105378</v>
      </c>
      <c r="F22" s="890">
        <f>EEFF!F28</f>
        <v>16773057</v>
      </c>
      <c r="G22" s="891">
        <f>F22</f>
        <v>16773057</v>
      </c>
      <c r="H22" s="873">
        <f>G22</f>
        <v>16773057</v>
      </c>
      <c r="I22" s="873">
        <f>H22</f>
        <v>16773057</v>
      </c>
      <c r="J22" s="873">
        <f>I22</f>
        <v>16773057</v>
      </c>
      <c r="K22" s="873">
        <f>J22</f>
        <v>16773057</v>
      </c>
    </row>
    <row r="23">
      <c r="A23" s="869" t="s">
        <v>29</v>
      </c>
      <c r="B23" s="890">
        <f>EEFF!B23</f>
        <v>1954336</v>
      </c>
      <c r="C23" s="890">
        <f>EEFF!C23</f>
        <v>4991808</v>
      </c>
      <c r="D23" s="890">
        <f>EEFF!D23</f>
        <v>1291507</v>
      </c>
      <c r="E23" s="890">
        <f>EEFF!E23</f>
        <v>1963129</v>
      </c>
      <c r="F23" s="890">
        <f>EEFF!F23</f>
        <v>860787</v>
      </c>
      <c r="G23" s="891">
        <f>F23</f>
        <v>860787</v>
      </c>
      <c r="H23" s="873">
        <f>G23</f>
        <v>860787</v>
      </c>
      <c r="I23" s="873">
        <f>H23</f>
        <v>860787</v>
      </c>
      <c r="J23" s="873">
        <f>I23</f>
        <v>860787</v>
      </c>
      <c r="K23" s="873">
        <f>J23</f>
        <v>860787</v>
      </c>
    </row>
    <row r="24">
      <c r="A24" s="869" t="s">
        <v>30</v>
      </c>
      <c r="B24" s="890">
        <f>EEFF!B24</f>
        <v>38791</v>
      </c>
      <c r="C24" s="890">
        <f>EEFF!C24</f>
        <v>40685</v>
      </c>
      <c r="D24" s="890">
        <f>EEFF!D24</f>
        <v>51726</v>
      </c>
      <c r="E24" s="890">
        <f>EEFF!E24</f>
        <v>71702</v>
      </c>
      <c r="F24" s="890">
        <f>EEFF!F24</f>
        <v>84203</v>
      </c>
      <c r="G24" s="891">
        <f>F24</f>
        <v>84203</v>
      </c>
      <c r="H24" s="873">
        <f>G24</f>
        <v>84203</v>
      </c>
      <c r="I24" s="873">
        <f>H24</f>
        <v>84203</v>
      </c>
      <c r="J24" s="873">
        <f>I24</f>
        <v>84203</v>
      </c>
      <c r="K24" s="873">
        <f>J24</f>
        <v>84203</v>
      </c>
    </row>
    <row r="25">
      <c r="A25" s="805" t="s">
        <v>31</v>
      </c>
      <c r="B25" s="876">
        <f>EEFF!B25</f>
        <v>16818281</v>
      </c>
      <c r="C25" s="876">
        <f>EEFF!C25</f>
        <v>18508834</v>
      </c>
      <c r="D25" s="876">
        <f>EEFF!D25</f>
        <v>27006128</v>
      </c>
      <c r="E25" s="876">
        <f>EEFF!E25</f>
        <v>11297958</v>
      </c>
      <c r="F25" s="876">
        <f>EEFF!F25</f>
        <v>12312270</v>
      </c>
      <c r="G25" s="802">
        <f>F25</f>
        <v>12312270</v>
      </c>
      <c r="H25" s="889">
        <f>G25</f>
        <v>12312270</v>
      </c>
      <c r="I25" s="889">
        <f>H25</f>
        <v>12312270</v>
      </c>
      <c r="J25" s="889">
        <f>I25</f>
        <v>12312270</v>
      </c>
      <c r="K25" s="889">
        <f>J25</f>
        <v>12312270</v>
      </c>
    </row>
    <row r="26">
      <c r="A26" s="869" t="s">
        <v>32</v>
      </c>
      <c r="B26" s="890">
        <f>EEFF!B26</f>
        <v>216209163</v>
      </c>
      <c r="C26" s="890">
        <f>EEFF!C26</f>
        <v>202848696</v>
      </c>
      <c r="D26" s="890">
        <f>EEFF!D26</f>
        <v>193996920</v>
      </c>
      <c r="E26" s="890">
        <f>EEFF!E26</f>
        <v>180311071</v>
      </c>
      <c r="F26" s="890">
        <f>EEFF!F26</f>
        <v>167298071</v>
      </c>
      <c r="G26" s="891">
        <f>F26</f>
        <v>167298071</v>
      </c>
      <c r="H26" s="873">
        <f>G26</f>
        <v>167298071</v>
      </c>
      <c r="I26" s="873">
        <f>H26</f>
        <v>167298071</v>
      </c>
      <c r="J26" s="873">
        <f>I26</f>
        <v>167298071</v>
      </c>
      <c r="K26" s="873">
        <f>J26</f>
        <v>167298071</v>
      </c>
    </row>
    <row r="27">
      <c r="A27" s="869" t="s">
        <v>33</v>
      </c>
      <c r="B27" s="890">
        <f>EEFF!B27</f>
        <v>20000000</v>
      </c>
      <c r="C27" s="890">
        <f>EEFF!C27</f>
        <v>20000000</v>
      </c>
      <c r="D27" s="890">
        <f>EEFF!D27</f>
        <v>20000000</v>
      </c>
      <c r="E27" s="890">
        <f>EEFF!E27</f>
        <v>20000000</v>
      </c>
      <c r="F27" s="890">
        <f>EEFF!F27</f>
        <v>20000000</v>
      </c>
      <c r="G27" s="891">
        <f>F27</f>
        <v>20000000</v>
      </c>
      <c r="H27" s="873">
        <f>G27</f>
        <v>20000000</v>
      </c>
      <c r="I27" s="873">
        <f>H27</f>
        <v>20000000</v>
      </c>
      <c r="J27" s="873">
        <f>I27</f>
        <v>20000000</v>
      </c>
      <c r="K27" s="873">
        <f>J27</f>
        <v>20000000</v>
      </c>
    </row>
    <row r="28">
      <c r="A28" s="869" t="s">
        <v>28</v>
      </c>
      <c r="B28" s="890">
        <f>EEFF!B28</f>
        <v>21480114</v>
      </c>
      <c r="C28" s="890">
        <f>EEFF!C28</f>
        <v>20483131</v>
      </c>
      <c r="D28" s="890">
        <f>EEFF!D28</f>
        <v>19345052</v>
      </c>
      <c r="E28" s="890">
        <f>EEFF!E28</f>
        <v>18105378</v>
      </c>
      <c r="F28" s="890">
        <f>EEFF!F28</f>
        <v>16773057</v>
      </c>
      <c r="G28" s="891">
        <f>F28</f>
        <v>16773057</v>
      </c>
      <c r="H28" s="873">
        <f>G28</f>
        <v>16773057</v>
      </c>
      <c r="I28" s="873">
        <f>H28</f>
        <v>16773057</v>
      </c>
      <c r="J28" s="873">
        <f>I28</f>
        <v>16773057</v>
      </c>
      <c r="K28" s="873">
        <f>J28</f>
        <v>16773057</v>
      </c>
    </row>
    <row r="29">
      <c r="A29" s="869" t="s">
        <v>34</v>
      </c>
      <c r="B29" s="890">
        <f>EEFF!B29</f>
        <v>109685</v>
      </c>
      <c r="C29" s="890">
        <f>EEFF!C29</f>
        <v>105268</v>
      </c>
      <c r="D29" s="890">
        <f>EEFF!D29</f>
        <v>100851</v>
      </c>
      <c r="E29" s="890">
        <f>EEFF!E29</f>
        <v>96435</v>
      </c>
      <c r="F29" s="890">
        <f>EEFF!F29</f>
        <v>92018</v>
      </c>
      <c r="G29" s="891">
        <f>F29</f>
        <v>92018</v>
      </c>
      <c r="H29" s="873">
        <f>G29</f>
        <v>92018</v>
      </c>
      <c r="I29" s="873">
        <f>H29</f>
        <v>92018</v>
      </c>
      <c r="J29" s="873">
        <f>I29</f>
        <v>92018</v>
      </c>
      <c r="K29" s="873">
        <f>J29</f>
        <v>92018</v>
      </c>
    </row>
    <row r="30">
      <c r="A30" s="869" t="s">
        <v>35</v>
      </c>
      <c r="B30" s="890">
        <f>EEFF!B30</f>
        <v>0</v>
      </c>
      <c r="C30" s="890">
        <f>EEFF!C30</f>
        <v>13934</v>
      </c>
      <c r="D30" s="890">
        <f>EEFF!D30</f>
        <v>17359</v>
      </c>
      <c r="E30" s="890">
        <f>EEFF!E30</f>
        <v>21782</v>
      </c>
      <c r="F30" s="890">
        <f>EEFF!F30</f>
        <v>26510</v>
      </c>
      <c r="G30" s="891">
        <f>F30</f>
        <v>26510</v>
      </c>
      <c r="H30" s="873">
        <f>G30</f>
        <v>26510</v>
      </c>
      <c r="I30" s="873">
        <f>H30</f>
        <v>26510</v>
      </c>
      <c r="J30" s="873">
        <f>I30</f>
        <v>26510</v>
      </c>
      <c r="K30" s="873">
        <f>J30</f>
        <v>26510</v>
      </c>
    </row>
    <row r="31">
      <c r="A31" s="805" t="s">
        <v>36</v>
      </c>
      <c r="B31" s="876">
        <f>EEFF!B31</f>
        <v>257798962</v>
      </c>
      <c r="C31" s="876">
        <f>EEFF!C31</f>
        <v>243451029</v>
      </c>
      <c r="D31" s="876">
        <f>EEFF!D31</f>
        <v>233460182</v>
      </c>
      <c r="E31" s="876">
        <f>EEFF!E31</f>
        <v>218534666</v>
      </c>
      <c r="F31" s="876">
        <f>EEFF!F31</f>
        <v>204189656</v>
      </c>
      <c r="G31" s="802">
        <f>F31</f>
        <v>204189656</v>
      </c>
      <c r="H31" s="889">
        <f>G31</f>
        <v>204189656</v>
      </c>
      <c r="I31" s="889">
        <f>H31</f>
        <v>204189656</v>
      </c>
      <c r="J31" s="889">
        <f>I31</f>
        <v>204189656</v>
      </c>
      <c r="K31" s="889">
        <f>J31</f>
        <v>204189656</v>
      </c>
    </row>
    <row r="32">
      <c r="A32" s="805" t="s">
        <v>37</v>
      </c>
      <c r="B32" s="876">
        <f>EEFF!B32</f>
        <v>274617243</v>
      </c>
      <c r="C32" s="876">
        <f>EEFF!C32</f>
        <v>261959863</v>
      </c>
      <c r="D32" s="876">
        <f>EEFF!D32</f>
        <v>260466310</v>
      </c>
      <c r="E32" s="876">
        <f>EEFF!E32</f>
        <v>229832624</v>
      </c>
      <c r="F32" s="876">
        <f>EEFF!F32</f>
        <v>216501926</v>
      </c>
      <c r="G32" s="802">
        <f>F32</f>
        <v>216501926</v>
      </c>
      <c r="H32" s="889">
        <f>G32</f>
        <v>216501926</v>
      </c>
      <c r="I32" s="889">
        <f>H32</f>
        <v>216501926</v>
      </c>
      <c r="J32" s="889">
        <f>I32</f>
        <v>216501926</v>
      </c>
      <c r="K32" s="889">
        <f>J32</f>
        <v>216501926</v>
      </c>
    </row>
    <row r="33">
      <c r="A33" s="869" t="s">
        <v>38</v>
      </c>
      <c r="B33" s="890">
        <f>EEFF!B40</f>
        <v>234949078</v>
      </c>
      <c r="C33" s="890">
        <f>EEFF!C40</f>
        <v>224181572</v>
      </c>
      <c r="D33" s="890">
        <f>EEFF!D40</f>
        <v>211820687</v>
      </c>
      <c r="E33" s="890">
        <f>EEFF!E40</f>
        <v>198290030</v>
      </c>
      <c r="F33" s="890">
        <f>EEFF!F40</f>
        <v>183665429</v>
      </c>
      <c r="G33" s="891">
        <f>F33</f>
        <v>183665429</v>
      </c>
      <c r="H33" s="873">
        <f>G33</f>
        <v>183665429</v>
      </c>
      <c r="I33" s="873">
        <f>H33</f>
        <v>183665429</v>
      </c>
      <c r="J33" s="873">
        <f>I33</f>
        <v>183665429</v>
      </c>
      <c r="K33" s="873">
        <f>J33</f>
        <v>183665429</v>
      </c>
    </row>
    <row r="34">
      <c r="A34" s="869" t="s">
        <v>39</v>
      </c>
      <c r="B34" s="890">
        <f>EEFF!B34</f>
        <v>2652919</v>
      </c>
      <c r="C34" s="890">
        <f>EEFF!C34</f>
        <v>1285733</v>
      </c>
      <c r="D34" s="890">
        <f>EEFF!D34</f>
        <v>2536737</v>
      </c>
      <c r="E34" s="890">
        <f>EEFF!E34</f>
        <v>1419947</v>
      </c>
      <c r="F34" s="890">
        <f>EEFF!F34</f>
        <v>2311149</v>
      </c>
      <c r="G34" s="891">
        <f>F34</f>
        <v>2311149</v>
      </c>
      <c r="H34" s="873">
        <f>G34</f>
        <v>2311149</v>
      </c>
      <c r="I34" s="873">
        <f>H34</f>
        <v>2311149</v>
      </c>
      <c r="J34" s="873">
        <f>I34</f>
        <v>2311149</v>
      </c>
      <c r="K34" s="873">
        <f>J34</f>
        <v>2311149</v>
      </c>
    </row>
    <row r="35">
      <c r="A35" s="869" t="s">
        <v>40</v>
      </c>
      <c r="B35" s="890">
        <f>EEFF!B37</f>
        <v>8232437</v>
      </c>
      <c r="C35" s="890">
        <f>EEFF!C37</f>
        <v>8040342</v>
      </c>
      <c r="D35" s="890">
        <f>EEFF!D37</f>
        <v>7810454</v>
      </c>
      <c r="E35" s="890">
        <f>EEFF!E37</f>
        <v>7539044</v>
      </c>
      <c r="F35" s="890">
        <f>EEFF!F37</f>
        <v>7222062</v>
      </c>
      <c r="G35" s="891">
        <f>F35</f>
        <v>7222062</v>
      </c>
      <c r="H35" s="873">
        <f>G35</f>
        <v>7222062</v>
      </c>
      <c r="I35" s="873">
        <f>H35</f>
        <v>7222062</v>
      </c>
      <c r="J35" s="873">
        <f>I35</f>
        <v>7222062</v>
      </c>
      <c r="K35" s="873">
        <f>J35</f>
        <v>7222062</v>
      </c>
    </row>
    <row r="36">
      <c r="A36" s="805" t="s">
        <v>41</v>
      </c>
      <c r="B36" s="876">
        <f>EEFF!B36</f>
        <v>17110509</v>
      </c>
      <c r="C36" s="876">
        <f>EEFF!C36</f>
        <v>16717953</v>
      </c>
      <c r="D36" s="876">
        <f>EEFF!D36</f>
        <v>19394070</v>
      </c>
      <c r="E36" s="876">
        <f>EEFF!E36</f>
        <v>19275472</v>
      </c>
      <c r="F36" s="876">
        <f>EEFF!F36</f>
        <v>21028313</v>
      </c>
      <c r="G36" s="802">
        <f>F36</f>
        <v>21028313</v>
      </c>
      <c r="H36" s="889">
        <f>G36</f>
        <v>21028313</v>
      </c>
      <c r="I36" s="889">
        <f>H36</f>
        <v>21028313</v>
      </c>
      <c r="J36" s="889">
        <f>I36</f>
        <v>21028313</v>
      </c>
      <c r="K36" s="889">
        <f>J36</f>
        <v>21028313</v>
      </c>
    </row>
    <row r="37">
      <c r="A37" s="869" t="s">
        <v>40</v>
      </c>
      <c r="B37" s="890">
        <f>EEFF!B37</f>
        <v>8232437</v>
      </c>
      <c r="C37" s="890">
        <f>EEFF!C37</f>
        <v>8040342</v>
      </c>
      <c r="D37" s="890">
        <f>EEFF!D37</f>
        <v>7810454</v>
      </c>
      <c r="E37" s="890">
        <f>EEFF!E37</f>
        <v>7539044</v>
      </c>
      <c r="F37" s="890">
        <f>EEFF!F37</f>
        <v>7222062</v>
      </c>
      <c r="G37" s="891">
        <f>F37</f>
        <v>7222062</v>
      </c>
      <c r="H37" s="873">
        <f>G37</f>
        <v>7222062</v>
      </c>
      <c r="I37" s="873">
        <f>H37</f>
        <v>7222062</v>
      </c>
      <c r="J37" s="873">
        <f>I37</f>
        <v>7222062</v>
      </c>
      <c r="K37" s="873">
        <f>J37</f>
        <v>7222062</v>
      </c>
    </row>
    <row r="38">
      <c r="A38" s="869" t="s">
        <v>42</v>
      </c>
      <c r="B38" s="890">
        <f>EEFF!B38</f>
        <v>1204764</v>
      </c>
      <c r="C38" s="890">
        <f>EEFF!C38</f>
        <v>605394</v>
      </c>
      <c r="D38" s="890">
        <f>EEFF!D38</f>
        <v>1425861</v>
      </c>
      <c r="E38" s="890">
        <f>EEFF!E38</f>
        <v>2107128</v>
      </c>
      <c r="F38" s="890">
        <f>EEFF!F38</f>
        <v>2604315</v>
      </c>
      <c r="G38" s="891">
        <f>F38</f>
        <v>2604315</v>
      </c>
      <c r="H38" s="873">
        <f>G38</f>
        <v>2604315</v>
      </c>
      <c r="I38" s="873">
        <f>H38</f>
        <v>2604315</v>
      </c>
      <c r="J38" s="873">
        <f>I38</f>
        <v>2604315</v>
      </c>
      <c r="K38" s="873">
        <f>J38</f>
        <v>2604315</v>
      </c>
    </row>
    <row r="39">
      <c r="A39" s="869" t="s">
        <v>43</v>
      </c>
      <c r="B39" s="890">
        <f>EEFF!B39</f>
        <v>0</v>
      </c>
      <c r="C39" s="890">
        <f>EEFF!C39</f>
        <v>347922</v>
      </c>
      <c r="D39" s="890">
        <f>EEFF!D39</f>
        <v>374016</v>
      </c>
      <c r="E39" s="890">
        <f>EEFF!E39</f>
        <v>402067</v>
      </c>
      <c r="F39" s="890">
        <f>EEFF!F39</f>
        <v>432222</v>
      </c>
      <c r="G39" s="891">
        <f>F39</f>
        <v>432222</v>
      </c>
      <c r="H39" s="873">
        <f>G39</f>
        <v>432222</v>
      </c>
      <c r="I39" s="873">
        <f>H39</f>
        <v>432222</v>
      </c>
      <c r="J39" s="873">
        <f>I39</f>
        <v>432222</v>
      </c>
      <c r="K39" s="873">
        <f>J39</f>
        <v>432222</v>
      </c>
    </row>
    <row r="40">
      <c r="A40" s="869" t="s">
        <v>38</v>
      </c>
      <c r="B40" s="890">
        <f>EEFF!B40</f>
        <v>234949078</v>
      </c>
      <c r="C40" s="890">
        <f>EEFF!C40</f>
        <v>224181572</v>
      </c>
      <c r="D40" s="890">
        <f>EEFF!D40</f>
        <v>211820687</v>
      </c>
      <c r="E40" s="890">
        <f>EEFF!E40</f>
        <v>198290030</v>
      </c>
      <c r="F40" s="890">
        <f>EEFF!F40</f>
        <v>183665429</v>
      </c>
      <c r="G40" s="891">
        <f>F40</f>
        <v>183665429</v>
      </c>
      <c r="H40" s="873">
        <f>G40</f>
        <v>183665429</v>
      </c>
      <c r="I40" s="873">
        <f>H40</f>
        <v>183665429</v>
      </c>
      <c r="J40" s="873">
        <f>I40</f>
        <v>183665429</v>
      </c>
      <c r="K40" s="873">
        <f>J40</f>
        <v>183665429</v>
      </c>
    </row>
    <row r="41">
      <c r="A41" s="869" t="s">
        <v>44</v>
      </c>
      <c r="B41" s="890">
        <f>EEFF!B41</f>
        <v>7625074</v>
      </c>
      <c r="C41" s="890">
        <f>EEFF!C41</f>
        <v>0</v>
      </c>
      <c r="D41" s="890">
        <f>EEFF!D41</f>
        <v>0</v>
      </c>
      <c r="E41" s="890">
        <f>EEFF!E41</f>
        <v>0</v>
      </c>
      <c r="F41" s="890">
        <f>EEFF!F41</f>
        <v>0</v>
      </c>
      <c r="G41" s="762"/>
      <c r="H41" s="756"/>
      <c r="I41" s="756"/>
      <c r="J41" s="756"/>
      <c r="K41" s="756"/>
    </row>
    <row r="42">
      <c r="A42" s="805" t="s">
        <v>45</v>
      </c>
      <c r="B42" s="876">
        <f>EEFF!B42</f>
        <v>252011353</v>
      </c>
      <c r="C42" s="876">
        <f>EEFF!C42</f>
        <v>233175230</v>
      </c>
      <c r="D42" s="876">
        <f>EEFF!D42</f>
        <v>221431018</v>
      </c>
      <c r="E42" s="876">
        <f>EEFF!E42</f>
        <v>208338269</v>
      </c>
      <c r="F42" s="876">
        <f>EEFF!F42</f>
        <v>193924028</v>
      </c>
      <c r="G42" s="802">
        <f>F42</f>
        <v>193924028</v>
      </c>
      <c r="H42" s="889">
        <f>G42</f>
        <v>193924028</v>
      </c>
      <c r="I42" s="889">
        <f>H42</f>
        <v>193924028</v>
      </c>
      <c r="J42" s="889">
        <f>I42</f>
        <v>193924028</v>
      </c>
      <c r="K42" s="889">
        <f>J42</f>
        <v>193924028</v>
      </c>
    </row>
    <row r="43">
      <c r="A43" s="805" t="s">
        <v>46</v>
      </c>
      <c r="B43" s="876">
        <f>EEFF!B43</f>
        <v>269121862</v>
      </c>
      <c r="C43" s="876">
        <f>EEFF!C43</f>
        <v>249893183</v>
      </c>
      <c r="D43" s="876">
        <f>EEFF!D43</f>
        <v>240825088</v>
      </c>
      <c r="E43" s="876">
        <f>EEFF!E43</f>
        <v>227613741</v>
      </c>
      <c r="F43" s="876">
        <f>EEFF!F43</f>
        <v>214952341</v>
      </c>
      <c r="G43" s="802">
        <f>F43</f>
        <v>214952341</v>
      </c>
      <c r="H43" s="889">
        <f>G43</f>
        <v>214952341</v>
      </c>
      <c r="I43" s="889">
        <f>H43</f>
        <v>214952341</v>
      </c>
      <c r="J43" s="889">
        <f>I43</f>
        <v>214952341</v>
      </c>
      <c r="K43" s="889">
        <f>J43</f>
        <v>214952341</v>
      </c>
    </row>
    <row r="44">
      <c r="A44" s="869" t="s">
        <v>47</v>
      </c>
      <c r="B44" s="890">
        <f>EEFF!B44</f>
        <v>1050</v>
      </c>
      <c r="C44" s="890">
        <f>EEFF!C44</f>
        <v>1050</v>
      </c>
      <c r="D44" s="890">
        <f>EEFF!D44</f>
        <v>1050</v>
      </c>
      <c r="E44" s="890">
        <f>EEFF!E44</f>
        <v>1050</v>
      </c>
      <c r="F44" s="890">
        <f>EEFF!F44</f>
        <v>1050</v>
      </c>
      <c r="G44" s="891">
        <f>F44</f>
        <v>1050</v>
      </c>
      <c r="H44" s="873">
        <f>G44</f>
        <v>1050</v>
      </c>
      <c r="I44" s="873">
        <f>H44</f>
        <v>1050</v>
      </c>
      <c r="J44" s="873">
        <f>I44</f>
        <v>1050</v>
      </c>
      <c r="K44" s="873">
        <f>J44</f>
        <v>1050</v>
      </c>
    </row>
    <row r="45">
      <c r="A45" s="869" t="s">
        <v>48</v>
      </c>
      <c r="B45" s="890">
        <f>EEFF!B45</f>
        <v>55974250</v>
      </c>
      <c r="C45" s="890">
        <f>EEFF!C45</f>
        <v>55974250</v>
      </c>
      <c r="D45" s="890">
        <f>EEFF!D45</f>
        <v>55974250</v>
      </c>
      <c r="E45" s="890">
        <f>EEFF!E45</f>
        <v>48518792</v>
      </c>
      <c r="F45" s="890">
        <f>EEFF!F45</f>
        <v>48518792</v>
      </c>
      <c r="G45" s="891">
        <f>F45</f>
        <v>48518792</v>
      </c>
      <c r="H45" s="873">
        <f>G45</f>
        <v>48518792</v>
      </c>
      <c r="I45" s="873">
        <f>H45</f>
        <v>48518792</v>
      </c>
      <c r="J45" s="873">
        <f>I45</f>
        <v>48518792</v>
      </c>
      <c r="K45" s="873">
        <f>J45</f>
        <v>48518792</v>
      </c>
    </row>
    <row r="46">
      <c r="A46" s="869" t="s">
        <v>49</v>
      </c>
      <c r="B46" s="890">
        <f>EEFF!B46</f>
        <v>-50345915</v>
      </c>
      <c r="C46" s="890">
        <f>EEFF!C46</f>
        <v>-43774616</v>
      </c>
      <c r="D46" s="890">
        <f>EEFF!D46</f>
        <v>-36200074</v>
      </c>
      <c r="E46" s="890">
        <f>EEFF!E46</f>
        <v>-46166955</v>
      </c>
      <c r="F46" s="890">
        <f>EEFF!F46</f>
        <v>-46836250</v>
      </c>
      <c r="G46" s="891">
        <f>F46</f>
        <v>-46836250</v>
      </c>
      <c r="H46" s="873">
        <f>G46</f>
        <v>-46836250</v>
      </c>
      <c r="I46" s="873">
        <f>H46</f>
        <v>-46836250</v>
      </c>
      <c r="J46" s="873">
        <f>I46</f>
        <v>-46836250</v>
      </c>
      <c r="K46" s="873">
        <f>J46</f>
        <v>-46836250</v>
      </c>
    </row>
    <row r="47">
      <c r="A47" s="869" t="s">
        <v>50</v>
      </c>
      <c r="B47" s="890">
        <f>EEFF!B47</f>
        <v>-134004</v>
      </c>
      <c r="C47" s="890">
        <f>EEFF!C47</f>
        <v>-134004</v>
      </c>
      <c r="D47" s="890">
        <f>EEFF!D47</f>
        <v>-134004</v>
      </c>
      <c r="E47" s="890">
        <f>EEFF!E47</f>
        <v>-134004</v>
      </c>
      <c r="F47" s="890">
        <f>EEFF!F47</f>
        <v>-134007</v>
      </c>
      <c r="G47" s="891">
        <f>F47</f>
        <v>-134007</v>
      </c>
      <c r="H47" s="873">
        <f>G47</f>
        <v>-134007</v>
      </c>
      <c r="I47" s="873">
        <f>H47</f>
        <v>-134007</v>
      </c>
      <c r="J47" s="873">
        <f>I47</f>
        <v>-134007</v>
      </c>
      <c r="K47" s="873">
        <f>J47</f>
        <v>-134007</v>
      </c>
    </row>
    <row r="48">
      <c r="A48" s="805" t="s">
        <v>51</v>
      </c>
      <c r="B48" s="876">
        <f>EEFF!B48</f>
        <v>5495381</v>
      </c>
      <c r="C48" s="876">
        <f>EEFF!C48</f>
        <v>12066680</v>
      </c>
      <c r="D48" s="876">
        <f>EEFF!D48</f>
        <v>19641222</v>
      </c>
      <c r="E48" s="876">
        <f>EEFF!E48</f>
        <v>2218883</v>
      </c>
      <c r="F48" s="876">
        <f>EEFF!F48</f>
        <v>1549585</v>
      </c>
      <c r="G48" s="802">
        <f>F48</f>
        <v>1549585</v>
      </c>
      <c r="H48" s="889">
        <f>G48</f>
        <v>1549585</v>
      </c>
      <c r="I48" s="889">
        <f>H48</f>
        <v>1549585</v>
      </c>
      <c r="J48" s="889">
        <f>I48</f>
        <v>1549585</v>
      </c>
      <c r="K48" s="889">
        <f>J48</f>
        <v>1549585</v>
      </c>
    </row>
    <row r="49">
      <c r="A49" s="805" t="s">
        <v>52</v>
      </c>
      <c r="B49" s="876">
        <f>EEFF!B49</f>
        <v>274617243</v>
      </c>
      <c r="C49" s="876">
        <f>EEFF!C49</f>
        <v>261959863</v>
      </c>
      <c r="D49" s="876">
        <f>EEFF!D49</f>
        <v>260466310</v>
      </c>
      <c r="E49" s="876">
        <f>EEFF!E49</f>
        <v>229832624</v>
      </c>
      <c r="F49" s="876">
        <f>EEFF!F49</f>
        <v>216501926</v>
      </c>
      <c r="G49" s="802">
        <f>F49</f>
        <v>216501926</v>
      </c>
      <c r="H49" s="889">
        <f>G49</f>
        <v>216501926</v>
      </c>
      <c r="I49" s="889">
        <f>H49</f>
        <v>216501926</v>
      </c>
      <c r="J49" s="889">
        <f>I49</f>
        <v>216501926</v>
      </c>
      <c r="K49" s="889">
        <f>J49</f>
        <v>216501926</v>
      </c>
    </row>
    <row r="50">
      <c r="A50" s="760"/>
      <c r="B50" s="760"/>
      <c r="C50" s="760"/>
      <c r="D50" s="760"/>
      <c r="E50" s="760"/>
      <c r="F50" s="760"/>
      <c r="G50" s="767"/>
      <c r="H50" s="760"/>
      <c r="I50" s="760"/>
      <c r="J50" s="760"/>
      <c r="K50" s="760"/>
    </row>
    <row r="51">
      <c r="A51" s="803" t="s">
        <v>3</v>
      </c>
      <c r="B51" s="884" t="s">
        <v>4</v>
      </c>
      <c r="C51" s="884" t="s">
        <v>5</v>
      </c>
      <c r="D51" s="884" t="s">
        <v>6</v>
      </c>
      <c r="E51" s="884" t="s">
        <v>7</v>
      </c>
      <c r="F51" s="884" t="s">
        <v>8</v>
      </c>
      <c r="G51" s="892" t="s">
        <v>9</v>
      </c>
      <c r="H51" s="887" t="s">
        <v>10</v>
      </c>
      <c r="I51" s="887" t="s">
        <v>11</v>
      </c>
      <c r="J51" s="887" t="s">
        <v>12</v>
      </c>
      <c r="K51" s="887" t="s">
        <v>13</v>
      </c>
    </row>
    <row r="52">
      <c r="A52" s="803" t="s">
        <v>53</v>
      </c>
      <c r="B52" s="765"/>
      <c r="C52" s="765"/>
      <c r="D52" s="765"/>
      <c r="E52" s="765"/>
      <c r="F52" s="765"/>
      <c r="G52" s="770"/>
      <c r="H52" s="766"/>
      <c r="I52" s="766"/>
      <c r="J52" s="766"/>
      <c r="K52" s="766"/>
    </row>
    <row r="53">
      <c r="A53" s="869" t="s">
        <v>54</v>
      </c>
      <c r="B53" s="890">
        <f>EEFF!B53</f>
        <v>1820066</v>
      </c>
      <c r="C53" s="890">
        <f>EEFF!C53</f>
        <v>5971929</v>
      </c>
      <c r="D53" s="890">
        <f>EEFF!D53</f>
        <v>8395009</v>
      </c>
      <c r="E53" s="890">
        <f>EEFF!E53</f>
        <v>-1711072</v>
      </c>
      <c r="F53" s="890">
        <f>EEFF!F53</f>
        <v>-172108</v>
      </c>
      <c r="G53" s="891">
        <f>F53</f>
        <v>-172108</v>
      </c>
      <c r="H53" s="873">
        <f>G53</f>
        <v>-172108</v>
      </c>
      <c r="I53" s="873">
        <f>H53</f>
        <v>-172108</v>
      </c>
      <c r="J53" s="873">
        <f>I53</f>
        <v>-172108</v>
      </c>
      <c r="K53" s="873">
        <f>J53</f>
        <v>-172108</v>
      </c>
    </row>
    <row r="54">
      <c r="A54" s="869" t="s">
        <v>55</v>
      </c>
      <c r="B54" s="890">
        <f>EEFF!B54</f>
        <v>13917163</v>
      </c>
      <c r="C54" s="890">
        <f>EEFF!C54</f>
        <v>13936348</v>
      </c>
      <c r="D54" s="890">
        <f>EEFF!D54</f>
        <v>13947153</v>
      </c>
      <c r="E54" s="890">
        <f>EEFF!E54</f>
        <v>13994812</v>
      </c>
      <c r="F54" s="890">
        <f>EEFF!F54</f>
        <v>14031702</v>
      </c>
      <c r="G54" s="891">
        <f>F54</f>
        <v>14031702</v>
      </c>
      <c r="H54" s="873">
        <f>G54</f>
        <v>14031702</v>
      </c>
      <c r="I54" s="873">
        <f>H54</f>
        <v>14031702</v>
      </c>
      <c r="J54" s="873">
        <f>I54</f>
        <v>14031702</v>
      </c>
      <c r="K54" s="873">
        <f>J54</f>
        <v>14031702</v>
      </c>
    </row>
    <row r="55">
      <c r="A55" s="869" t="s">
        <v>56</v>
      </c>
      <c r="B55" s="890">
        <f>EEFF!B55</f>
        <v>461118</v>
      </c>
      <c r="C55" s="890">
        <f>EEFF!C55</f>
        <v>488495</v>
      </c>
      <c r="D55" s="890">
        <f>EEFF!D55</f>
        <v>488115</v>
      </c>
      <c r="E55" s="890">
        <f>EEFF!E55</f>
        <v>465343</v>
      </c>
      <c r="F55" s="890">
        <f>EEFF!F55</f>
        <v>417400</v>
      </c>
      <c r="G55" s="891">
        <f>F55</f>
        <v>417400</v>
      </c>
      <c r="H55" s="873">
        <f>G55</f>
        <v>417400</v>
      </c>
      <c r="I55" s="873">
        <f>H55</f>
        <v>417400</v>
      </c>
      <c r="J55" s="873">
        <f>I55</f>
        <v>417400</v>
      </c>
      <c r="K55" s="873">
        <f>J55</f>
        <v>417400</v>
      </c>
    </row>
    <row r="56">
      <c r="A56" s="869" t="s">
        <v>57</v>
      </c>
      <c r="B56" s="890">
        <f>EEFF!B56</f>
        <v>19633409</v>
      </c>
      <c r="C56" s="890">
        <f>EEFF!C56</f>
        <v>17427534</v>
      </c>
      <c r="D56" s="890">
        <f>EEFF!D56</f>
        <v>16034326</v>
      </c>
      <c r="E56" s="890">
        <f>EEFF!E56</f>
        <v>15277290</v>
      </c>
      <c r="F56" s="890">
        <f>EEFF!F56</f>
        <v>14368965</v>
      </c>
      <c r="G56" s="891">
        <f>F56</f>
        <v>14368965</v>
      </c>
      <c r="H56" s="873">
        <f>G56</f>
        <v>14368965</v>
      </c>
      <c r="I56" s="873">
        <f>H56</f>
        <v>14368965</v>
      </c>
      <c r="J56" s="873">
        <f>I56</f>
        <v>14368965</v>
      </c>
      <c r="K56" s="873">
        <f>J56</f>
        <v>14368965</v>
      </c>
    </row>
    <row r="57">
      <c r="A57" s="869" t="s">
        <v>58</v>
      </c>
      <c r="B57" s="890">
        <f>EEFF!B57</f>
        <v>-1491219</v>
      </c>
      <c r="C57" s="890">
        <f>EEFF!C57</f>
        <v>-1429818</v>
      </c>
      <c r="D57" s="890">
        <f>EEFF!D57</f>
        <v>-1366104</v>
      </c>
      <c r="E57" s="890">
        <f>EEFF!E57</f>
        <v>-1300441</v>
      </c>
      <c r="F57" s="890">
        <f>EEFF!F57</f>
        <v>-1221639</v>
      </c>
      <c r="G57" s="891">
        <f>F57</f>
        <v>-1221639</v>
      </c>
      <c r="H57" s="873">
        <f>G57</f>
        <v>-1221639</v>
      </c>
      <c r="I57" s="873">
        <f>H57</f>
        <v>-1221639</v>
      </c>
      <c r="J57" s="873">
        <f>I57</f>
        <v>-1221639</v>
      </c>
      <c r="K57" s="873">
        <f>J57</f>
        <v>-1221639</v>
      </c>
    </row>
    <row r="58">
      <c r="A58" s="869" t="s">
        <v>59</v>
      </c>
      <c r="B58" s="890">
        <f>EEFF!B58</f>
        <v>-4708923</v>
      </c>
      <c r="C58" s="890">
        <f>EEFF!C58</f>
        <v>-7338074</v>
      </c>
      <c r="D58" s="890">
        <f>EEFF!D58</f>
        <v>0</v>
      </c>
      <c r="E58" s="890">
        <f>EEFF!E58</f>
        <v>0</v>
      </c>
      <c r="F58" s="890">
        <f>EEFF!F58</f>
        <v>0</v>
      </c>
      <c r="G58" s="762"/>
      <c r="H58" s="756"/>
      <c r="I58" s="756"/>
      <c r="J58" s="756"/>
      <c r="K58" s="756"/>
    </row>
    <row r="59">
      <c r="A59" s="869" t="s">
        <v>27</v>
      </c>
      <c r="B59" s="890">
        <f>EEFF!B59</f>
        <v>-11432</v>
      </c>
      <c r="C59" s="890">
        <f>EEFF!C59</f>
        <v>1436789</v>
      </c>
      <c r="D59" s="890">
        <f>EEFF!D59</f>
        <v>-156919</v>
      </c>
      <c r="E59" s="890">
        <f>EEFF!E59</f>
        <v>3206463</v>
      </c>
      <c r="F59" s="890">
        <f>EEFF!F59</f>
        <v>-953435</v>
      </c>
      <c r="G59" s="891">
        <f>F59</f>
        <v>-953435</v>
      </c>
      <c r="H59" s="873">
        <f>G59</f>
        <v>-953435</v>
      </c>
      <c r="I59" s="873">
        <f>H59</f>
        <v>-953435</v>
      </c>
      <c r="J59" s="873">
        <f>I59</f>
        <v>-953435</v>
      </c>
      <c r="K59" s="873">
        <f>J59</f>
        <v>-953435</v>
      </c>
    </row>
    <row r="60">
      <c r="A60" s="869" t="s">
        <v>60</v>
      </c>
      <c r="B60" s="890">
        <f>EEFF!B60</f>
        <v>-2200385</v>
      </c>
      <c r="C60" s="890">
        <f>EEFF!C60</f>
        <v>-608700</v>
      </c>
      <c r="D60" s="890">
        <f>EEFF!D60</f>
        <v>1301174</v>
      </c>
      <c r="E60" s="890">
        <f>EEFF!E60</f>
        <v>-1088704</v>
      </c>
      <c r="F60" s="890">
        <f>EEFF!F60</f>
        <v>921357</v>
      </c>
      <c r="G60" s="891">
        <f>F60</f>
        <v>921357</v>
      </c>
      <c r="H60" s="873">
        <f>G60</f>
        <v>921357</v>
      </c>
      <c r="I60" s="873">
        <f>H60</f>
        <v>921357</v>
      </c>
      <c r="J60" s="873">
        <f>I60</f>
        <v>921357</v>
      </c>
      <c r="K60" s="873">
        <f>J60</f>
        <v>921357</v>
      </c>
    </row>
    <row r="61">
      <c r="A61" s="869" t="s">
        <v>61</v>
      </c>
      <c r="B61" s="890">
        <f>EEFF!B61</f>
        <v>-1320164</v>
      </c>
      <c r="C61" s="890">
        <f>EEFF!C61</f>
        <v>-3051406</v>
      </c>
      <c r="D61" s="890">
        <f>EEFF!D61</f>
        <v>3696876</v>
      </c>
      <c r="E61" s="890">
        <f>EEFF!E61</f>
        <v>-676045</v>
      </c>
      <c r="F61" s="890">
        <f>EEFF!F61</f>
        <v>1097614</v>
      </c>
      <c r="G61" s="891">
        <f>F61</f>
        <v>1097614</v>
      </c>
      <c r="H61" s="873">
        <f>G61</f>
        <v>1097614</v>
      </c>
      <c r="I61" s="873">
        <f>H61</f>
        <v>1097614</v>
      </c>
      <c r="J61" s="873">
        <f>I61</f>
        <v>1097614</v>
      </c>
      <c r="K61" s="873">
        <f>J61</f>
        <v>1097614</v>
      </c>
    </row>
    <row r="62">
      <c r="A62" s="869" t="s">
        <v>30</v>
      </c>
      <c r="B62" s="890">
        <f>EEFF!B62</f>
        <v>-16578</v>
      </c>
      <c r="C62" s="890">
        <f>EEFF!C62</f>
        <v>-1894</v>
      </c>
      <c r="D62" s="890">
        <f>EEFF!D62</f>
        <v>-11041</v>
      </c>
      <c r="E62" s="890">
        <f>EEFF!E62</f>
        <v>-19976</v>
      </c>
      <c r="F62" s="890">
        <f>EEFF!F62</f>
        <v>-12501</v>
      </c>
      <c r="G62" s="891">
        <f>F62</f>
        <v>-12501</v>
      </c>
      <c r="H62" s="873">
        <f>G62</f>
        <v>-12501</v>
      </c>
      <c r="I62" s="873">
        <f>H62</f>
        <v>-12501</v>
      </c>
      <c r="J62" s="873">
        <f>I62</f>
        <v>-12501</v>
      </c>
      <c r="K62" s="873">
        <f>J62</f>
        <v>-12501</v>
      </c>
    </row>
    <row r="63">
      <c r="A63" s="869" t="s">
        <v>62</v>
      </c>
      <c r="B63" s="890">
        <f>EEFF!B63</f>
        <v>-946740</v>
      </c>
      <c r="C63" s="890">
        <f>EEFF!C63</f>
        <v>0</v>
      </c>
      <c r="D63" s="890">
        <f>EEFF!D63</f>
        <v>0</v>
      </c>
      <c r="E63" s="890">
        <f>EEFF!E63</f>
        <v>0</v>
      </c>
      <c r="F63" s="890">
        <f>EEFF!F63</f>
        <v>0</v>
      </c>
      <c r="G63" s="762"/>
      <c r="H63" s="756"/>
      <c r="I63" s="756"/>
      <c r="J63" s="756"/>
      <c r="K63" s="756"/>
    </row>
    <row r="64">
      <c r="A64" s="805" t="s">
        <v>63</v>
      </c>
      <c r="B64" s="876">
        <f>EEFF!B64</f>
        <v>25136315</v>
      </c>
      <c r="C64" s="876">
        <f>EEFF!C64</f>
        <v>26831203</v>
      </c>
      <c r="D64" s="876">
        <f>EEFF!D64</f>
        <v>42328589</v>
      </c>
      <c r="E64" s="876">
        <f>EEFF!E64</f>
        <v>28147670</v>
      </c>
      <c r="F64" s="876">
        <f>EEFF!F64</f>
        <v>28477355</v>
      </c>
      <c r="G64" s="802">
        <f>F64</f>
        <v>28477355</v>
      </c>
      <c r="H64" s="889">
        <f>G64</f>
        <v>28477355</v>
      </c>
      <c r="I64" s="889">
        <f>H64</f>
        <v>28477355</v>
      </c>
      <c r="J64" s="889">
        <f>I64</f>
        <v>28477355</v>
      </c>
      <c r="K64" s="889">
        <f>J64</f>
        <v>28477355</v>
      </c>
    </row>
    <row r="65">
      <c r="A65" s="869" t="s">
        <v>64</v>
      </c>
      <c r="B65" s="890">
        <f>EEFF!B65</f>
        <v>-93485</v>
      </c>
      <c r="C65" s="890">
        <f>EEFF!C65</f>
        <v>-556464</v>
      </c>
      <c r="D65" s="890">
        <f>EEFF!D65</f>
        <v>-5097893</v>
      </c>
      <c r="E65" s="890">
        <f>EEFF!E65</f>
        <v>-282082</v>
      </c>
      <c r="F65" s="890">
        <f>EEFF!F65</f>
        <v>-984285</v>
      </c>
      <c r="G65" s="891">
        <f>F65</f>
        <v>-984285</v>
      </c>
      <c r="H65" s="873">
        <f>G65</f>
        <v>-984285</v>
      </c>
      <c r="I65" s="873">
        <f>H65</f>
        <v>-984285</v>
      </c>
      <c r="J65" s="873">
        <f>I65</f>
        <v>-984285</v>
      </c>
      <c r="K65" s="873">
        <f>J65</f>
        <v>-984285</v>
      </c>
    </row>
    <row r="66">
      <c r="A66" s="869" t="s">
        <v>65</v>
      </c>
      <c r="B66" s="890">
        <f>EEFF!B66</f>
        <v>-125421</v>
      </c>
      <c r="C66" s="890">
        <f>EEFF!C66</f>
        <v>-15000</v>
      </c>
      <c r="D66" s="890">
        <f>EEFF!D66</f>
        <v>-17143</v>
      </c>
      <c r="E66" s="890">
        <f>EEFF!E66</f>
        <v>-22500</v>
      </c>
      <c r="F66" s="890">
        <f>EEFF!F66</f>
        <v>-30000</v>
      </c>
      <c r="G66" s="891">
        <f>F66</f>
        <v>-30000</v>
      </c>
      <c r="H66" s="873">
        <f>G66</f>
        <v>-30000</v>
      </c>
      <c r="I66" s="873">
        <f>H66</f>
        <v>-30000</v>
      </c>
      <c r="J66" s="873">
        <f>I66</f>
        <v>-30000</v>
      </c>
      <c r="K66" s="873">
        <f>J66</f>
        <v>-30000</v>
      </c>
    </row>
    <row r="67">
      <c r="A67" s="869" t="s">
        <v>66</v>
      </c>
      <c r="B67" s="890">
        <f>EEFF!B67</f>
        <v>885999</v>
      </c>
      <c r="C67" s="890">
        <f>EEFF!C67</f>
        <v>898933</v>
      </c>
      <c r="D67" s="890">
        <f>EEFF!D67</f>
        <v>996981</v>
      </c>
      <c r="E67" s="890">
        <f>EEFF!E67</f>
        <v>1138080</v>
      </c>
      <c r="F67" s="890">
        <f>EEFF!F67</f>
        <v>1239673</v>
      </c>
      <c r="G67" s="891">
        <f>F67</f>
        <v>1239673</v>
      </c>
      <c r="H67" s="873">
        <f>G67</f>
        <v>1239673</v>
      </c>
      <c r="I67" s="873">
        <f>H67</f>
        <v>1239673</v>
      </c>
      <c r="J67" s="873">
        <f>I67</f>
        <v>1239673</v>
      </c>
      <c r="K67" s="873">
        <f>J67</f>
        <v>1239673</v>
      </c>
    </row>
    <row r="68">
      <c r="A68" s="869" t="s">
        <v>67</v>
      </c>
      <c r="B68" s="890">
        <f>EEFF!B68</f>
        <v>1178171</v>
      </c>
      <c r="C68" s="890">
        <f>EEFF!C68</f>
        <v>1444586</v>
      </c>
      <c r="D68" s="890">
        <f>EEFF!D68</f>
        <v>1384321</v>
      </c>
      <c r="E68" s="890">
        <f>EEFF!E68</f>
        <v>1317299</v>
      </c>
      <c r="F68" s="890">
        <f>EEFF!F68</f>
        <v>1242005</v>
      </c>
      <c r="G68" s="891">
        <f>F68</f>
        <v>1242005</v>
      </c>
      <c r="H68" s="873">
        <f>G68</f>
        <v>1242005</v>
      </c>
      <c r="I68" s="873">
        <f>H68</f>
        <v>1242005</v>
      </c>
      <c r="J68" s="873">
        <f>I68</f>
        <v>1242005</v>
      </c>
      <c r="K68" s="873">
        <f>J68</f>
        <v>1242005</v>
      </c>
    </row>
    <row r="69">
      <c r="A69" s="805" t="s">
        <v>68</v>
      </c>
      <c r="B69" s="876">
        <f>EEFF!B69</f>
        <v>1845264</v>
      </c>
      <c r="C69" s="876">
        <f>EEFF!C69</f>
        <v>1772055</v>
      </c>
      <c r="D69" s="876">
        <f>EEFF!D69</f>
        <v>-2733734</v>
      </c>
      <c r="E69" s="876">
        <f>EEFF!E69</f>
        <v>2150797</v>
      </c>
      <c r="F69" s="876">
        <f>EEFF!F69</f>
        <v>1467393</v>
      </c>
      <c r="G69" s="802">
        <f>F69</f>
        <v>1467393</v>
      </c>
      <c r="H69" s="889">
        <f>G69</f>
        <v>1467393</v>
      </c>
      <c r="I69" s="889">
        <f>H69</f>
        <v>1467393</v>
      </c>
      <c r="J69" s="889">
        <f>I69</f>
        <v>1467393</v>
      </c>
      <c r="K69" s="889">
        <f>J69</f>
        <v>1467393</v>
      </c>
    </row>
    <row r="70">
      <c r="A70" s="869" t="s">
        <v>69</v>
      </c>
      <c r="B70" s="890">
        <f>EEFF!B70</f>
        <v>-10003000</v>
      </c>
      <c r="C70" s="890">
        <f>EEFF!C70</f>
        <v>-10149000</v>
      </c>
      <c r="D70" s="890">
        <f>EEFF!D70</f>
        <v>-11256000</v>
      </c>
      <c r="E70" s="890">
        <f>EEFF!E70</f>
        <v>-12849000</v>
      </c>
      <c r="F70" s="890">
        <f>EEFF!F70</f>
        <v>-13996000</v>
      </c>
      <c r="G70" s="891">
        <f>F70</f>
        <v>-13996000</v>
      </c>
      <c r="H70" s="873">
        <f>G70</f>
        <v>-13996000</v>
      </c>
      <c r="I70" s="873">
        <f>H70</f>
        <v>-13996000</v>
      </c>
      <c r="J70" s="873">
        <f>I70</f>
        <v>-13996000</v>
      </c>
      <c r="K70" s="873">
        <f>J70</f>
        <v>-13996000</v>
      </c>
    </row>
    <row r="71">
      <c r="A71" s="869" t="s">
        <v>70</v>
      </c>
      <c r="B71" s="890">
        <f>EEFF!B71</f>
        <v>-16123503</v>
      </c>
      <c r="C71" s="890">
        <f>EEFF!C71</f>
        <v>-18004832</v>
      </c>
      <c r="D71" s="890">
        <f>EEFF!D71</f>
        <v>-15629088</v>
      </c>
      <c r="E71" s="890">
        <f>EEFF!E71</f>
        <v>-14872390</v>
      </c>
      <c r="F71" s="890">
        <f>EEFF!F71</f>
        <v>-14022320</v>
      </c>
      <c r="G71" s="891">
        <f>F71</f>
        <v>-14022320</v>
      </c>
      <c r="H71" s="873">
        <f>G71</f>
        <v>-14022320</v>
      </c>
      <c r="I71" s="873">
        <f>H71</f>
        <v>-14022320</v>
      </c>
      <c r="J71" s="873">
        <f>I71</f>
        <v>-14022320</v>
      </c>
      <c r="K71" s="873">
        <f>J71</f>
        <v>-14022320</v>
      </c>
    </row>
    <row r="72">
      <c r="A72" s="869" t="s">
        <v>71</v>
      </c>
      <c r="B72" s="890">
        <f>EEFF!B72</f>
        <v>0</v>
      </c>
      <c r="C72" s="890">
        <f>EEFF!C72</f>
        <v>0</v>
      </c>
      <c r="D72" s="890">
        <f>EEFF!D72</f>
        <v>-610919</v>
      </c>
      <c r="E72" s="890">
        <f>EEFF!E72</f>
        <v>-595230</v>
      </c>
      <c r="F72" s="890">
        <f>EEFF!F72</f>
        <v>-576580</v>
      </c>
      <c r="G72" s="891">
        <f>F72</f>
        <v>-576580</v>
      </c>
      <c r="H72" s="873">
        <f>G72</f>
        <v>-576580</v>
      </c>
      <c r="I72" s="873">
        <f>H72</f>
        <v>-576580</v>
      </c>
      <c r="J72" s="873">
        <f>I72</f>
        <v>-576580</v>
      </c>
      <c r="K72" s="873">
        <f>J72</f>
        <v>-576580</v>
      </c>
    </row>
    <row r="73">
      <c r="A73" s="869" t="s">
        <v>72</v>
      </c>
      <c r="B73" s="890">
        <f>EEFF!B73</f>
        <v>0</v>
      </c>
      <c r="C73" s="890">
        <f>EEFF!C73</f>
        <v>-287000</v>
      </c>
      <c r="D73" s="890">
        <f>EEFF!D73</f>
        <v>0</v>
      </c>
      <c r="E73" s="890">
        <f>EEFF!E73</f>
        <v>0</v>
      </c>
      <c r="F73" s="890">
        <f>EEFF!F73</f>
        <v>0</v>
      </c>
      <c r="G73" s="762"/>
      <c r="H73" s="756"/>
      <c r="I73" s="756"/>
      <c r="J73" s="756"/>
      <c r="K73" s="756"/>
    </row>
    <row r="74">
      <c r="A74" s="869" t="s">
        <v>73</v>
      </c>
      <c r="B74" s="890">
        <f>EEFF!B74</f>
        <v>0</v>
      </c>
      <c r="C74" s="890">
        <f>EEFF!C74</f>
        <v>0</v>
      </c>
      <c r="D74" s="890">
        <f>EEFF!D74</f>
        <v>0</v>
      </c>
      <c r="E74" s="890">
        <f>EEFF!E74</f>
        <v>-7574542</v>
      </c>
      <c r="F74" s="890">
        <f>EEFF!F74</f>
        <v>0</v>
      </c>
      <c r="G74" s="891">
        <f>F74</f>
        <v>0</v>
      </c>
      <c r="H74" s="873">
        <f>G74</f>
        <v>0</v>
      </c>
      <c r="I74" s="873">
        <f>H74</f>
        <v>0</v>
      </c>
      <c r="J74" s="873">
        <f>I74</f>
        <v>0</v>
      </c>
      <c r="K74" s="873">
        <f>J74</f>
        <v>0</v>
      </c>
    </row>
    <row r="75">
      <c r="A75" s="869" t="s">
        <v>74</v>
      </c>
      <c r="B75" s="890">
        <f>EEFF!B75</f>
        <v>-10000000</v>
      </c>
      <c r="C75" s="890">
        <f>EEFF!C75</f>
        <v>0</v>
      </c>
      <c r="D75" s="890">
        <f>EEFF!D75</f>
        <v>0</v>
      </c>
      <c r="E75" s="890">
        <f>EEFF!E75</f>
        <v>-7455458</v>
      </c>
      <c r="F75" s="890">
        <f>EEFF!F75</f>
        <v>0</v>
      </c>
      <c r="G75" s="891">
        <f>F75</f>
        <v>0</v>
      </c>
      <c r="H75" s="873">
        <f>G75</f>
        <v>0</v>
      </c>
      <c r="I75" s="873">
        <f>H75</f>
        <v>0</v>
      </c>
      <c r="J75" s="873">
        <f>I75</f>
        <v>0</v>
      </c>
      <c r="K75" s="873">
        <f>J75</f>
        <v>0</v>
      </c>
    </row>
    <row r="76">
      <c r="A76" s="869" t="s">
        <v>75</v>
      </c>
      <c r="B76" s="890">
        <f>EEFF!B76</f>
        <v>-126524</v>
      </c>
      <c r="C76" s="890">
        <f>EEFF!C76</f>
        <v>-157732</v>
      </c>
      <c r="D76" s="890">
        <f>EEFF!D76</f>
        <v>-192094</v>
      </c>
      <c r="E76" s="890">
        <f>EEFF!E76</f>
        <v>-229888</v>
      </c>
      <c r="F76" s="890">
        <f>EEFF!F76</f>
        <v>-271409</v>
      </c>
      <c r="G76" s="891">
        <f>F76</f>
        <v>-271409</v>
      </c>
      <c r="H76" s="873">
        <f>G76</f>
        <v>-271409</v>
      </c>
      <c r="I76" s="873">
        <f>H76</f>
        <v>-271409</v>
      </c>
      <c r="J76" s="873">
        <f>I76</f>
        <v>-271409</v>
      </c>
      <c r="K76" s="873">
        <f>J76</f>
        <v>-271409</v>
      </c>
    </row>
    <row r="77">
      <c r="A77" s="869" t="s">
        <v>50</v>
      </c>
      <c r="B77" s="890">
        <f>EEFF!B77</f>
        <v>-114851</v>
      </c>
      <c r="C77" s="890">
        <f>EEFF!C77</f>
        <v>0</v>
      </c>
      <c r="D77" s="890">
        <f>EEFF!D77</f>
        <v>0</v>
      </c>
      <c r="E77" s="890">
        <f>EEFF!E77</f>
        <v>0</v>
      </c>
      <c r="F77" s="890">
        <f>EEFF!F77</f>
        <v>-3</v>
      </c>
      <c r="G77" s="891">
        <f>F77</f>
        <v>-3</v>
      </c>
      <c r="H77" s="873">
        <f>G77</f>
        <v>-3</v>
      </c>
      <c r="I77" s="873">
        <f>H77</f>
        <v>-3</v>
      </c>
      <c r="J77" s="873">
        <f>I77</f>
        <v>-3</v>
      </c>
      <c r="K77" s="873">
        <f>J77</f>
        <v>-3</v>
      </c>
    </row>
    <row r="78">
      <c r="A78" s="805" t="s">
        <v>76</v>
      </c>
      <c r="B78" s="876">
        <f>EEFF!B78</f>
        <v>-36367878</v>
      </c>
      <c r="C78" s="876">
        <f>EEFF!C78</f>
        <v>-28598564</v>
      </c>
      <c r="D78" s="876">
        <f>EEFF!D78</f>
        <v>-27688101</v>
      </c>
      <c r="E78" s="876">
        <f>EEFF!E78</f>
        <v>-43576508</v>
      </c>
      <c r="F78" s="876">
        <f>EEFF!F78</f>
        <v>-28866312</v>
      </c>
      <c r="G78" s="802">
        <f>F78</f>
        <v>-28866312</v>
      </c>
      <c r="H78" s="889">
        <f>G78</f>
        <v>-28866312</v>
      </c>
      <c r="I78" s="889">
        <f>H78</f>
        <v>-28866312</v>
      </c>
      <c r="J78" s="889">
        <f>I78</f>
        <v>-28866312</v>
      </c>
      <c r="K78" s="889">
        <f>J78</f>
        <v>-28866312</v>
      </c>
    </row>
    <row r="79">
      <c r="A79" s="869" t="s">
        <v>77</v>
      </c>
      <c r="B79" s="890">
        <f>EEFF!B79</f>
        <v>-9386299</v>
      </c>
      <c r="C79" s="890">
        <f>EEFF!C79</f>
        <v>4694</v>
      </c>
      <c r="D79" s="890">
        <f>EEFF!D79</f>
        <v>11906754</v>
      </c>
      <c r="E79" s="890">
        <f>EEFF!E79</f>
        <v>-13278041</v>
      </c>
      <c r="F79" s="890">
        <f>EEFF!F79</f>
        <v>1078436</v>
      </c>
      <c r="G79" s="891">
        <f>F79</f>
        <v>1078436</v>
      </c>
      <c r="H79" s="873">
        <f>G79</f>
        <v>1078436</v>
      </c>
      <c r="I79" s="873">
        <f>H79</f>
        <v>1078436</v>
      </c>
      <c r="J79" s="873">
        <f>I79</f>
        <v>1078436</v>
      </c>
      <c r="K79" s="873">
        <f>J79</f>
        <v>1078436</v>
      </c>
    </row>
    <row r="80">
      <c r="A80" s="869" t="s">
        <v>78</v>
      </c>
      <c r="B80" s="890">
        <f>EEFF!B80</f>
        <v>14871800</v>
      </c>
      <c r="C80" s="890">
        <f>EEFF!C80</f>
        <v>5485501</v>
      </c>
      <c r="D80" s="890">
        <f>EEFF!D80</f>
        <v>5490195</v>
      </c>
      <c r="E80" s="890">
        <f>EEFF!E80</f>
        <v>17396949</v>
      </c>
      <c r="F80" s="890">
        <f>EEFF!F80</f>
        <v>4118908</v>
      </c>
      <c r="G80" s="891">
        <f>F80</f>
        <v>4118908</v>
      </c>
      <c r="H80" s="873">
        <f>G80</f>
        <v>4118908</v>
      </c>
      <c r="I80" s="873">
        <f>H80</f>
        <v>4118908</v>
      </c>
      <c r="J80" s="873">
        <f>I80</f>
        <v>4118908</v>
      </c>
      <c r="K80" s="873">
        <f>J80</f>
        <v>4118908</v>
      </c>
    </row>
    <row r="81">
      <c r="A81" s="805" t="s">
        <v>79</v>
      </c>
      <c r="B81" s="876">
        <f>EEFF!B81</f>
        <v>5485501</v>
      </c>
      <c r="C81" s="876">
        <f>EEFF!C81</f>
        <v>5490195</v>
      </c>
      <c r="D81" s="876">
        <f>EEFF!D81</f>
        <v>17396949</v>
      </c>
      <c r="E81" s="876">
        <f>EEFF!E81</f>
        <v>4118908</v>
      </c>
      <c r="F81" s="876">
        <f>EEFF!F81</f>
        <v>5197344</v>
      </c>
      <c r="G81" s="802">
        <f>F81</f>
        <v>5197344</v>
      </c>
      <c r="H81" s="889">
        <f>G81</f>
        <v>5197344</v>
      </c>
      <c r="I81" s="889">
        <f>H81</f>
        <v>5197344</v>
      </c>
      <c r="J81" s="889">
        <f>I81</f>
        <v>5197344</v>
      </c>
      <c r="K81" s="889">
        <f>J81</f>
        <v>5197344</v>
      </c>
    </row>
    <row r="82">
      <c r="A82" s="760"/>
      <c r="B82" s="760"/>
      <c r="C82" s="760"/>
      <c r="D82" s="760"/>
      <c r="E82" s="760"/>
      <c r="F82" s="760"/>
      <c r="G82" s="767"/>
      <c r="H82" s="760"/>
      <c r="I82" s="760"/>
      <c r="J82" s="760"/>
      <c r="K82" s="760"/>
    </row>
  </sheetData>
</worksheet>
</file>

<file path=xl/worksheets/sheet5.xml><?xml version="1.0" encoding="utf-8"?>
<worksheet xmlns="http://schemas.openxmlformats.org/spreadsheetml/2006/main" xmlns:r="http://schemas.openxmlformats.org/officeDocument/2006/relationships">
  <dimension ref="A1:Q37"/>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803" t="s">
        <v>0</v>
      </c>
      <c r="B1" s="779"/>
      <c r="C1" s="779"/>
      <c r="D1" s="779"/>
      <c r="E1" s="779"/>
      <c r="F1" s="779"/>
      <c r="G1" s="779"/>
      <c r="H1" s="779"/>
      <c r="I1" s="779"/>
      <c r="J1" s="779"/>
      <c r="K1" s="779"/>
      <c r="L1" s="779"/>
      <c r="M1" s="777"/>
      <c r="N1" s="777"/>
      <c r="O1" s="777"/>
      <c r="P1" s="777"/>
      <c r="Q1" s="777"/>
    </row>
    <row r="2">
      <c r="A2" s="823" t="s">
        <v>983</v>
      </c>
      <c r="B2" s="774"/>
      <c r="C2" s="774"/>
      <c r="D2" s="774"/>
      <c r="E2" s="774"/>
      <c r="F2" s="774"/>
      <c r="G2" s="774"/>
      <c r="H2" s="774"/>
      <c r="I2" s="774"/>
      <c r="J2" s="774"/>
      <c r="K2" s="774"/>
      <c r="L2" s="774"/>
      <c r="M2" s="774"/>
      <c r="N2" s="774"/>
      <c r="O2" s="774"/>
      <c r="P2" s="774"/>
      <c r="Q2" s="774"/>
    </row>
    <row r="3">
      <c r="A3" s="823" t="s">
        <v>984</v>
      </c>
      <c r="B3" s="774"/>
      <c r="C3" s="774"/>
      <c r="D3" s="774"/>
      <c r="E3" s="774"/>
      <c r="F3" s="774"/>
      <c r="G3" s="774"/>
      <c r="H3" s="774"/>
      <c r="I3" s="774"/>
      <c r="J3" s="774"/>
      <c r="K3" s="774"/>
      <c r="L3" s="774"/>
      <c r="M3" s="774"/>
      <c r="N3" s="774"/>
      <c r="O3" s="774"/>
      <c r="P3" s="774"/>
      <c r="Q3" s="774"/>
    </row>
    <row r="4">
      <c r="A4" s="782" t="s">
        <v>985</v>
      </c>
      <c r="B4" s="782" t="s">
        <v>986</v>
      </c>
      <c r="C4" s="819" t="str">
        <f>IF(COUNTIF($C$6:$C$37,"FAIL")=0,"PASS","FAIL")</f>
        <v>PASS</v>
      </c>
      <c r="D4" s="774"/>
      <c r="E4" s="774"/>
      <c r="F4" s="774"/>
      <c r="G4" s="823" t="s">
        <v>987</v>
      </c>
      <c r="H4" s="774"/>
      <c r="I4" s="774"/>
      <c r="J4" s="774"/>
      <c r="K4" s="774"/>
      <c r="L4" s="774"/>
      <c r="M4" s="774"/>
      <c r="N4" s="774"/>
      <c r="O4" s="774"/>
      <c r="P4" s="774"/>
      <c r="Q4" s="774"/>
    </row>
    <row r="5">
      <c r="A5" s="803" t="s">
        <v>988</v>
      </c>
      <c r="B5" s="803" t="s">
        <v>989</v>
      </c>
      <c r="C5" s="803" t="s">
        <v>990</v>
      </c>
      <c r="D5" s="803" t="s">
        <v>991</v>
      </c>
      <c r="E5" s="803" t="s">
        <v>992</v>
      </c>
      <c r="F5" s="803" t="s">
        <v>993</v>
      </c>
      <c r="G5" s="803" t="s">
        <v>994</v>
      </c>
      <c r="H5" s="803" t="s">
        <v>4</v>
      </c>
      <c r="I5" s="803" t="s">
        <v>5</v>
      </c>
      <c r="J5" s="803" t="s">
        <v>6</v>
      </c>
      <c r="K5" s="803" t="s">
        <v>7</v>
      </c>
      <c r="L5" s="803" t="s">
        <v>8</v>
      </c>
      <c r="M5" s="817" t="s">
        <v>9</v>
      </c>
      <c r="N5" s="817" t="s">
        <v>10</v>
      </c>
      <c r="O5" s="817" t="s">
        <v>11</v>
      </c>
      <c r="P5" s="817" t="s">
        <v>12</v>
      </c>
      <c r="Q5" s="817" t="s">
        <v>13</v>
      </c>
    </row>
    <row r="6">
      <c r="A6" s="774"/>
      <c r="B6" s="774"/>
      <c r="C6" s="774"/>
      <c r="D6" s="774"/>
      <c r="E6" s="774"/>
      <c r="F6" s="774"/>
      <c r="G6" s="774"/>
      <c r="H6" s="774"/>
      <c r="I6" s="774"/>
      <c r="J6" s="774"/>
      <c r="K6" s="774"/>
      <c r="L6" s="774"/>
      <c r="M6" s="774"/>
      <c r="N6" s="774"/>
      <c r="O6" s="774"/>
      <c r="P6" s="774"/>
      <c r="Q6" s="774"/>
    </row>
    <row r="7">
      <c r="A7" s="803" t="s">
        <v>995</v>
      </c>
      <c r="B7" s="779"/>
      <c r="C7" s="779"/>
      <c r="D7" s="779"/>
      <c r="E7" s="779"/>
      <c r="F7" s="779"/>
      <c r="G7" s="779"/>
      <c r="H7" s="779"/>
      <c r="I7" s="779"/>
      <c r="J7" s="779"/>
      <c r="K7" s="779"/>
      <c r="L7" s="779"/>
      <c r="M7" s="777"/>
      <c r="N7" s="777"/>
      <c r="O7" s="777"/>
      <c r="P7" s="777"/>
      <c r="Q7" s="777"/>
    </row>
    <row r="8">
      <c r="A8" s="869" t="s">
        <v>996</v>
      </c>
      <c r="B8" s="869" t="s">
        <v>997</v>
      </c>
      <c r="C8" s="776" t="str">
        <f>IF(SUMPRODUCT((ABS(H8:Q8)&gt;1000)*1)=0,"PASS","FAIL")</f>
        <v>PASS</v>
      </c>
      <c r="D8" s="869" t="s">
        <v>998</v>
      </c>
      <c r="E8" s="869" t="s">
        <v>999</v>
      </c>
      <c r="F8" s="869">
        <v>0</v>
      </c>
      <c r="G8" s="869" t="s">
        <v>1000</v>
      </c>
      <c r="H8" s="890">
        <f>ModeloFinanciero!B32-ModeloFinanciero!B49</f>
        <v>0</v>
      </c>
      <c r="I8" s="890">
        <f>ModeloFinanciero!C32-ModeloFinanciero!C49</f>
        <v>0</v>
      </c>
      <c r="J8" s="890">
        <f>ModeloFinanciero!D32-ModeloFinanciero!D49</f>
        <v>0</v>
      </c>
      <c r="K8" s="890">
        <f>ModeloFinanciero!E32-ModeloFinanciero!E49</f>
        <v>0</v>
      </c>
      <c r="L8" s="890">
        <f>ModeloFinanciero!F32-ModeloFinanciero!F49</f>
        <v>0</v>
      </c>
      <c r="M8" s="812">
        <f>ModeloFinanciero!G32-ModeloFinanciero!G49</f>
        <v>0</v>
      </c>
      <c r="N8" s="890">
        <f>ModeloFinanciero!H32-ModeloFinanciero!H49</f>
        <v>0</v>
      </c>
      <c r="O8" s="890">
        <f>ModeloFinanciero!I32-ModeloFinanciero!I49</f>
        <v>0</v>
      </c>
      <c r="P8" s="890">
        <f>ModeloFinanciero!J32-ModeloFinanciero!J49</f>
        <v>0</v>
      </c>
      <c r="Q8" s="890">
        <f>ModeloFinanciero!K32-ModeloFinanciero!K49</f>
        <v>0</v>
      </c>
    </row>
    <row r="9">
      <c r="A9" s="869" t="s">
        <v>1001</v>
      </c>
      <c r="B9" s="869" t="s">
        <v>1002</v>
      </c>
      <c r="C9" s="776" t="str">
        <f>IF(SUMPRODUCT((ABS(H9:Q9)&gt;1000)*1)=0,"PASS","FAIL")</f>
        <v>PASS</v>
      </c>
      <c r="D9" s="869" t="s">
        <v>998</v>
      </c>
      <c r="E9" s="869" t="s">
        <v>999</v>
      </c>
      <c r="F9" s="869">
        <v>0</v>
      </c>
      <c r="G9" s="869" t="s">
        <v>1003</v>
      </c>
      <c r="H9" s="890">
        <f>ModeloFinanciero!B81-ModeloFinanciero!B20</f>
        <v>0</v>
      </c>
      <c r="I9" s="890">
        <f>ModeloFinanciero!C81-ModeloFinanciero!C20</f>
        <v>0</v>
      </c>
      <c r="J9" s="890">
        <f>ModeloFinanciero!D81-ModeloFinanciero!D20</f>
        <v>0</v>
      </c>
      <c r="K9" s="890">
        <f>ModeloFinanciero!E81-ModeloFinanciero!E20</f>
        <v>0</v>
      </c>
      <c r="L9" s="890">
        <f>ModeloFinanciero!F81-ModeloFinanciero!F20</f>
        <v>0</v>
      </c>
      <c r="M9" s="780"/>
      <c r="N9" s="772"/>
      <c r="O9" s="772"/>
      <c r="P9" s="772"/>
      <c r="Q9" s="772"/>
    </row>
    <row r="10">
      <c r="A10" s="869" t="s">
        <v>1004</v>
      </c>
      <c r="B10" s="869" t="s">
        <v>1005</v>
      </c>
      <c r="C10" s="776" t="str">
        <f>IF(SUMPRODUCT((ABS(H10:Q10)&gt;1000)*1)=0,"PASS","FAIL")</f>
        <v>PASS</v>
      </c>
      <c r="D10" s="869" t="s">
        <v>998</v>
      </c>
      <c r="E10" s="869" t="s">
        <v>999</v>
      </c>
      <c r="F10" s="869">
        <v>0</v>
      </c>
      <c r="G10" s="869" t="s">
        <v>1006</v>
      </c>
      <c r="H10" s="890">
        <f>ModeloFinanciero!B64+ModeloFinanciero!B69+ModeloFinanciero!B78-(ModeloFinanciero!B81-ModeloFinanciero!B80)</f>
        <v>0</v>
      </c>
      <c r="I10" s="890">
        <f>ModeloFinanciero!C64+ModeloFinanciero!C69+ModeloFinanciero!C78-(ModeloFinanciero!C81-ModeloFinanciero!C80)</f>
        <v>0</v>
      </c>
      <c r="J10" s="890">
        <f>ModeloFinanciero!D64+ModeloFinanciero!D69+ModeloFinanciero!D78-(ModeloFinanciero!D81-ModeloFinanciero!D80)</f>
        <v>0</v>
      </c>
      <c r="K10" s="890">
        <f>ModeloFinanciero!E64+ModeloFinanciero!E69+ModeloFinanciero!E78-(ModeloFinanciero!E81-ModeloFinanciero!E80)</f>
        <v>0</v>
      </c>
      <c r="L10" s="890">
        <f>ModeloFinanciero!F64+ModeloFinanciero!F69+ModeloFinanciero!F78-(ModeloFinanciero!F81-ModeloFinanciero!F80)</f>
        <v>0</v>
      </c>
      <c r="M10" s="812">
        <f>ModeloFinanciero!G64+ModeloFinanciero!G69+ModeloFinanciero!G78-(ModeloFinanciero!G81-ModeloFinanciero!G80)</f>
        <v>0</v>
      </c>
      <c r="N10" s="890">
        <f>ModeloFinanciero!H64+ModeloFinanciero!H69+ModeloFinanciero!H78-(ModeloFinanciero!H81-ModeloFinanciero!H80)</f>
        <v>0</v>
      </c>
      <c r="O10" s="890">
        <f>ModeloFinanciero!I64+ModeloFinanciero!I69+ModeloFinanciero!I78-(ModeloFinanciero!I81-ModeloFinanciero!I80)</f>
        <v>0</v>
      </c>
      <c r="P10" s="890">
        <f>ModeloFinanciero!J64+ModeloFinanciero!J69+ModeloFinanciero!J78-(ModeloFinanciero!J81-ModeloFinanciero!J80)</f>
        <v>0</v>
      </c>
      <c r="Q10" s="890">
        <f>ModeloFinanciero!K64+ModeloFinanciero!K69+ModeloFinanciero!K78-(ModeloFinanciero!K81-ModeloFinanciero!K80)</f>
        <v>0</v>
      </c>
    </row>
    <row r="11">
      <c r="A11" s="869" t="s">
        <v>1007</v>
      </c>
      <c r="B11" s="869" t="s">
        <v>1008</v>
      </c>
      <c r="C11" s="776" t="s">
        <v>1009</v>
      </c>
      <c r="D11" s="869" t="s">
        <v>998</v>
      </c>
      <c r="E11" s="869" t="s">
        <v>999</v>
      </c>
      <c r="F11" s="869">
        <v>0</v>
      </c>
      <c r="G11" s="869" t="s">
        <v>1010</v>
      </c>
      <c r="H11" s="873">
        <f>0</f>
        <v>0</v>
      </c>
      <c r="I11" s="873">
        <f>0</f>
        <v>0</v>
      </c>
      <c r="J11" s="873">
        <f>0</f>
        <v>0</v>
      </c>
      <c r="K11" s="873">
        <f>0</f>
        <v>0</v>
      </c>
      <c r="L11" s="873">
        <f>0</f>
        <v>0</v>
      </c>
      <c r="M11" s="891">
        <f>0</f>
        <v>0</v>
      </c>
      <c r="N11" s="873">
        <f>0</f>
        <v>0</v>
      </c>
      <c r="O11" s="873">
        <f>0</f>
        <v>0</v>
      </c>
      <c r="P11" s="873">
        <f>0</f>
        <v>0</v>
      </c>
      <c r="Q11" s="873">
        <f>0</f>
        <v>0</v>
      </c>
    </row>
    <row r="12">
      <c r="A12" s="869" t="s">
        <v>1011</v>
      </c>
      <c r="B12" s="869" t="s">
        <v>1012</v>
      </c>
      <c r="C12" s="776" t="s">
        <v>1009</v>
      </c>
      <c r="D12" s="869" t="s">
        <v>998</v>
      </c>
      <c r="E12" s="869" t="s">
        <v>999</v>
      </c>
      <c r="F12" s="869">
        <v>0</v>
      </c>
      <c r="G12" s="869" t="s">
        <v>1013</v>
      </c>
      <c r="H12" s="873">
        <f>0</f>
        <v>0</v>
      </c>
      <c r="I12" s="873">
        <f>0</f>
        <v>0</v>
      </c>
      <c r="J12" s="873">
        <f>0</f>
        <v>0</v>
      </c>
      <c r="K12" s="873">
        <f>0</f>
        <v>0</v>
      </c>
      <c r="L12" s="873">
        <f>0</f>
        <v>0</v>
      </c>
      <c r="M12" s="891">
        <f>0</f>
        <v>0</v>
      </c>
      <c r="N12" s="873">
        <f>0</f>
        <v>0</v>
      </c>
      <c r="O12" s="873">
        <f>0</f>
        <v>0</v>
      </c>
      <c r="P12" s="873">
        <f>0</f>
        <v>0</v>
      </c>
      <c r="Q12" s="873">
        <f>0</f>
        <v>0</v>
      </c>
    </row>
    <row r="13">
      <c r="A13" s="869" t="s">
        <v>1014</v>
      </c>
      <c r="B13" s="869" t="s">
        <v>1015</v>
      </c>
      <c r="C13" s="776" t="s">
        <v>1009</v>
      </c>
      <c r="D13" s="869" t="s">
        <v>998</v>
      </c>
      <c r="E13" s="869" t="s">
        <v>999</v>
      </c>
      <c r="F13" s="869">
        <v>0</v>
      </c>
      <c r="G13" s="869" t="s">
        <v>1016</v>
      </c>
      <c r="H13" s="873">
        <f>0</f>
        <v>0</v>
      </c>
      <c r="I13" s="873">
        <f>0</f>
        <v>0</v>
      </c>
      <c r="J13" s="873">
        <f>0</f>
        <v>0</v>
      </c>
      <c r="K13" s="873">
        <f>0</f>
        <v>0</v>
      </c>
      <c r="L13" s="873">
        <f>0</f>
        <v>0</v>
      </c>
      <c r="M13" s="891">
        <f>0</f>
        <v>0</v>
      </c>
      <c r="N13" s="873">
        <f>0</f>
        <v>0</v>
      </c>
      <c r="O13" s="873">
        <f>0</f>
        <v>0</v>
      </c>
      <c r="P13" s="873">
        <f>0</f>
        <v>0</v>
      </c>
      <c r="Q13" s="873">
        <f>0</f>
        <v>0</v>
      </c>
    </row>
    <row r="14">
      <c r="A14" s="869" t="s">
        <v>1017</v>
      </c>
      <c r="B14" s="869" t="s">
        <v>1008</v>
      </c>
      <c r="C14" s="776" t="str">
        <f>IF(SUMPRODUCT((ABS(H14:Q14)&gt;1000)*1)=0,"PASS","FAIL")</f>
        <v>PASS</v>
      </c>
      <c r="D14" s="869" t="s">
        <v>998</v>
      </c>
      <c r="E14" s="869" t="s">
        <v>999</v>
      </c>
      <c r="F14" s="869">
        <v>0</v>
      </c>
      <c r="G14" s="869" t="s">
        <v>1018</v>
      </c>
      <c r="H14" s="890">
        <f>SUM(ModeloFinanciero!B44,ModeloFinanciero!B45,ModeloFinanciero!B46,ModeloFinanciero!B47)-ModeloFinanciero!B48</f>
        <v>0</v>
      </c>
      <c r="I14" s="890">
        <f>SUM(ModeloFinanciero!C44,ModeloFinanciero!C45,ModeloFinanciero!C46,ModeloFinanciero!C47)-ModeloFinanciero!C48</f>
        <v>0</v>
      </c>
      <c r="J14" s="890">
        <f>SUM(ModeloFinanciero!D44,ModeloFinanciero!D45,ModeloFinanciero!D46,ModeloFinanciero!D47)-ModeloFinanciero!D48</f>
        <v>0</v>
      </c>
      <c r="K14" s="890">
        <f>SUM(ModeloFinanciero!E44,ModeloFinanciero!E45,ModeloFinanciero!E46,ModeloFinanciero!E47)-ModeloFinanciero!E48</f>
        <v>0</v>
      </c>
      <c r="L14" s="890">
        <f>SUM(ModeloFinanciero!F44,ModeloFinanciero!F45,ModeloFinanciero!F46,ModeloFinanciero!F47)-ModeloFinanciero!F48</f>
        <v>0</v>
      </c>
      <c r="M14" s="812">
        <f>SUM(ModeloFinanciero!G44,ModeloFinanciero!G45,ModeloFinanciero!G46,ModeloFinanciero!G47)-ModeloFinanciero!G48</f>
        <v>0</v>
      </c>
      <c r="N14" s="890">
        <f>SUM(ModeloFinanciero!H44,ModeloFinanciero!H45,ModeloFinanciero!H46,ModeloFinanciero!H47)-ModeloFinanciero!H48</f>
        <v>0</v>
      </c>
      <c r="O14" s="890">
        <f>SUM(ModeloFinanciero!I44,ModeloFinanciero!I45,ModeloFinanciero!I46,ModeloFinanciero!I47)-ModeloFinanciero!I48</f>
        <v>0</v>
      </c>
      <c r="P14" s="890">
        <f>SUM(ModeloFinanciero!J44,ModeloFinanciero!J45,ModeloFinanciero!J46,ModeloFinanciero!J47)-ModeloFinanciero!J48</f>
        <v>0</v>
      </c>
      <c r="Q14" s="890">
        <f>SUM(ModeloFinanciero!K44,ModeloFinanciero!K45,ModeloFinanciero!K46,ModeloFinanciero!K47)-ModeloFinanciero!K48</f>
        <v>0</v>
      </c>
    </row>
    <row r="15">
      <c r="A15" s="869" t="s">
        <v>1019</v>
      </c>
      <c r="B15" s="869" t="s">
        <v>1008</v>
      </c>
      <c r="C15" s="776" t="str">
        <f>IF(SUMPRODUCT((ABS(H15:Q15)&gt;1000)*1)=0,"PASS","FAIL")</f>
        <v>PASS</v>
      </c>
      <c r="D15" s="869" t="s">
        <v>998</v>
      </c>
      <c r="E15" s="869" t="s">
        <v>999</v>
      </c>
      <c r="F15" s="869">
        <v>0</v>
      </c>
      <c r="G15" s="869" t="s">
        <v>1018</v>
      </c>
      <c r="H15" s="890">
        <f>SUM(ModeloFinanciero!B25,ModeloFinanciero!B31)-ModeloFinanciero!B32</f>
        <v>0</v>
      </c>
      <c r="I15" s="890">
        <f>SUM(ModeloFinanciero!C25,ModeloFinanciero!C31)-ModeloFinanciero!C32</f>
        <v>0</v>
      </c>
      <c r="J15" s="890">
        <f>SUM(ModeloFinanciero!D25,ModeloFinanciero!D31)-ModeloFinanciero!D32</f>
        <v>0</v>
      </c>
      <c r="K15" s="890">
        <f>SUM(ModeloFinanciero!E25,ModeloFinanciero!E31)-ModeloFinanciero!E32</f>
        <v>0</v>
      </c>
      <c r="L15" s="890">
        <f>SUM(ModeloFinanciero!F25,ModeloFinanciero!F31)-ModeloFinanciero!F32</f>
        <v>0</v>
      </c>
      <c r="M15" s="812">
        <f>SUM(ModeloFinanciero!G25,ModeloFinanciero!G31)-ModeloFinanciero!G32</f>
        <v>0</v>
      </c>
      <c r="N15" s="890">
        <f>SUM(ModeloFinanciero!H25,ModeloFinanciero!H31)-ModeloFinanciero!H32</f>
        <v>0</v>
      </c>
      <c r="O15" s="890">
        <f>SUM(ModeloFinanciero!I25,ModeloFinanciero!I31)-ModeloFinanciero!I32</f>
        <v>0</v>
      </c>
      <c r="P15" s="890">
        <f>SUM(ModeloFinanciero!J25,ModeloFinanciero!J31)-ModeloFinanciero!J32</f>
        <v>0</v>
      </c>
      <c r="Q15" s="890">
        <f>SUM(ModeloFinanciero!K25,ModeloFinanciero!K31)-ModeloFinanciero!K32</f>
        <v>0</v>
      </c>
    </row>
    <row r="16">
      <c r="A16" s="869" t="s">
        <v>1020</v>
      </c>
      <c r="B16" s="869" t="s">
        <v>1008</v>
      </c>
      <c r="C16" s="776" t="str">
        <f>IF(SUMPRODUCT((ABS(H16:Q16)&gt;1000)*1)=0,"PASS","FAIL")</f>
        <v>PASS</v>
      </c>
      <c r="D16" s="869" t="s">
        <v>998</v>
      </c>
      <c r="E16" s="869" t="s">
        <v>999</v>
      </c>
      <c r="F16" s="869">
        <v>0</v>
      </c>
      <c r="G16" s="869" t="s">
        <v>1018</v>
      </c>
      <c r="H16" s="890">
        <f>ModeloFinanciero!B43+ModeloFinanciero!B48-ModeloFinanciero!B49</f>
        <v>0</v>
      </c>
      <c r="I16" s="890">
        <f>ModeloFinanciero!C43+ModeloFinanciero!C48-ModeloFinanciero!C49</f>
        <v>0</v>
      </c>
      <c r="J16" s="890">
        <f>ModeloFinanciero!D43+ModeloFinanciero!D48-ModeloFinanciero!D49</f>
        <v>0</v>
      </c>
      <c r="K16" s="890">
        <f>ModeloFinanciero!E43+ModeloFinanciero!E48-ModeloFinanciero!E49</f>
        <v>0</v>
      </c>
      <c r="L16" s="890">
        <f>ModeloFinanciero!F43+ModeloFinanciero!F48-ModeloFinanciero!F49</f>
        <v>0</v>
      </c>
      <c r="M16" s="812">
        <f>ModeloFinanciero!G43+ModeloFinanciero!G48-ModeloFinanciero!G49</f>
        <v>0</v>
      </c>
      <c r="N16" s="890">
        <f>ModeloFinanciero!H43+ModeloFinanciero!H48-ModeloFinanciero!H49</f>
        <v>0</v>
      </c>
      <c r="O16" s="890">
        <f>ModeloFinanciero!I43+ModeloFinanciero!I48-ModeloFinanciero!I49</f>
        <v>0</v>
      </c>
      <c r="P16" s="890">
        <f>ModeloFinanciero!J43+ModeloFinanciero!J48-ModeloFinanciero!J49</f>
        <v>0</v>
      </c>
      <c r="Q16" s="890">
        <f>ModeloFinanciero!K43+ModeloFinanciero!K48-ModeloFinanciero!K49</f>
        <v>0</v>
      </c>
    </row>
    <row r="17">
      <c r="A17" s="869" t="s">
        <v>1021</v>
      </c>
      <c r="B17" s="869" t="s">
        <v>1022</v>
      </c>
      <c r="C17" s="776" t="str">
        <f>IF(SUMPRODUCT((ABS(H17:Q17)&gt;100000)*1)=0,"PASS","FAIL")</f>
        <v>PASS</v>
      </c>
      <c r="D17" s="869" t="s">
        <v>998</v>
      </c>
      <c r="E17" s="869" t="s">
        <v>1023</v>
      </c>
      <c r="F17" s="869">
        <v>0</v>
      </c>
      <c r="G17" s="869" t="s">
        <v>1024</v>
      </c>
      <c r="H17" s="890">
        <f>ModeloFinanciero!B32-EEFF!B32</f>
        <v>0</v>
      </c>
      <c r="I17" s="890">
        <f>ModeloFinanciero!C32-EEFF!C32</f>
        <v>0</v>
      </c>
      <c r="J17" s="890">
        <f>ModeloFinanciero!D32-EEFF!D32</f>
        <v>0</v>
      </c>
      <c r="K17" s="890">
        <f>ModeloFinanciero!E32-EEFF!E32</f>
        <v>0</v>
      </c>
      <c r="L17" s="890">
        <f>ModeloFinanciero!F32-EEFF!F32</f>
        <v>0</v>
      </c>
      <c r="M17" s="780"/>
      <c r="N17" s="772"/>
      <c r="O17" s="772"/>
      <c r="P17" s="772"/>
      <c r="Q17" s="772"/>
    </row>
    <row r="18">
      <c r="A18" s="869" t="s">
        <v>1025</v>
      </c>
      <c r="B18" s="869" t="s">
        <v>1026</v>
      </c>
      <c r="C18" s="776" t="str">
        <f>IF(SUMPRODUCT((ABS(H18:Q18)&gt;0)*1)=0,"PASS","FAIL")</f>
        <v>PASS</v>
      </c>
      <c r="D18" s="869" t="s">
        <v>998</v>
      </c>
      <c r="E18" s="869" t="s">
        <v>1027</v>
      </c>
      <c r="F18" s="869" t="s">
        <v>1027</v>
      </c>
      <c r="G18" s="869" t="s">
        <v>1028</v>
      </c>
      <c r="H18" s="873">
        <f>0</f>
        <v>0</v>
      </c>
      <c r="I18" s="873">
        <f>0</f>
        <v>0</v>
      </c>
      <c r="J18" s="873">
        <f>0</f>
        <v>0</v>
      </c>
      <c r="K18" s="873">
        <f>0</f>
        <v>0</v>
      </c>
      <c r="L18" s="873">
        <f>0</f>
        <v>0</v>
      </c>
      <c r="M18" s="891">
        <f>0</f>
        <v>0</v>
      </c>
      <c r="N18" s="873">
        <f>0</f>
        <v>0</v>
      </c>
      <c r="O18" s="873">
        <f>0</f>
        <v>0</v>
      </c>
      <c r="P18" s="873">
        <f>0</f>
        <v>0</v>
      </c>
      <c r="Q18" s="873">
        <f>0</f>
        <v>0</v>
      </c>
    </row>
    <row r="19">
      <c r="A19" s="869" t="s">
        <v>1029</v>
      </c>
      <c r="B19" s="869" t="s">
        <v>1030</v>
      </c>
      <c r="C19" s="776" t="str">
        <f>IF(SUMPRODUCT((ABS(H19:Q19)&gt;0)*1)=0,"PASS","FAIL")</f>
        <v>PASS</v>
      </c>
      <c r="D19" s="869" t="s">
        <v>998</v>
      </c>
      <c r="E19" s="869" t="s">
        <v>1027</v>
      </c>
      <c r="F19" s="869" t="s">
        <v>1027</v>
      </c>
      <c r="G19" s="869" t="s">
        <v>1031</v>
      </c>
      <c r="H19" s="873">
        <f>COUNTIF($C$6:$C$18,"FAIL")+COUNTIF($C$20:$C$37,"FAIL")</f>
        <v>0</v>
      </c>
      <c r="I19" s="873">
        <f>COUNTIF($C$6:$C$18,"FAIL")+COUNTIF($C$20:$C$37,"FAIL")</f>
        <v>0</v>
      </c>
      <c r="J19" s="873">
        <f>COUNTIF($C$6:$C$18,"FAIL")+COUNTIF($C$20:$C$37,"FAIL")</f>
        <v>0</v>
      </c>
      <c r="K19" s="873">
        <f>COUNTIF($C$6:$C$18,"FAIL")+COUNTIF($C$20:$C$37,"FAIL")</f>
        <v>0</v>
      </c>
      <c r="L19" s="873">
        <f>COUNTIF($C$6:$C$18,"FAIL")+COUNTIF($C$20:$C$37,"FAIL")</f>
        <v>0</v>
      </c>
      <c r="M19" s="891">
        <f>COUNTIF($C$6:$C$18,"FAIL")+COUNTIF($C$20:$C$37,"FAIL")</f>
        <v>0</v>
      </c>
      <c r="N19" s="873">
        <f>COUNTIF($C$6:$C$18,"FAIL")+COUNTIF($C$20:$C$37,"FAIL")</f>
        <v>0</v>
      </c>
      <c r="O19" s="873">
        <f>COUNTIF($C$6:$C$18,"FAIL")+COUNTIF($C$20:$C$37,"FAIL")</f>
        <v>0</v>
      </c>
      <c r="P19" s="873">
        <f>COUNTIF($C$6:$C$18,"FAIL")+COUNTIF($C$20:$C$37,"FAIL")</f>
        <v>0</v>
      </c>
      <c r="Q19" s="873">
        <f>COUNTIF($C$6:$C$18,"FAIL")+COUNTIF($C$20:$C$37,"FAIL")</f>
        <v>0</v>
      </c>
    </row>
    <row r="20">
      <c r="A20" s="774"/>
      <c r="B20" s="774"/>
      <c r="C20" s="774"/>
      <c r="D20" s="774"/>
      <c r="E20" s="774"/>
      <c r="F20" s="774"/>
      <c r="G20" s="774"/>
      <c r="H20" s="774"/>
      <c r="I20" s="774"/>
      <c r="J20" s="774"/>
      <c r="K20" s="774"/>
      <c r="L20" s="774"/>
      <c r="M20" s="774"/>
      <c r="N20" s="774"/>
      <c r="O20" s="774"/>
      <c r="P20" s="774"/>
      <c r="Q20" s="774"/>
    </row>
    <row r="21">
      <c r="A21" s="803" t="s">
        <v>1032</v>
      </c>
      <c r="B21" s="779"/>
      <c r="C21" s="779"/>
      <c r="D21" s="779"/>
      <c r="E21" s="779"/>
      <c r="F21" s="779"/>
      <c r="G21" s="779"/>
      <c r="H21" s="779"/>
      <c r="I21" s="779"/>
      <c r="J21" s="779"/>
      <c r="K21" s="779"/>
      <c r="L21" s="779"/>
      <c r="M21" s="777"/>
      <c r="N21" s="777"/>
      <c r="O21" s="777"/>
      <c r="P21" s="777"/>
      <c r="Q21" s="777"/>
    </row>
    <row r="22">
      <c r="A22" s="869" t="s">
        <v>1033</v>
      </c>
      <c r="B22" s="869" t="s">
        <v>1034</v>
      </c>
      <c r="C22" s="776" t="s">
        <v>1009</v>
      </c>
      <c r="D22" s="869" t="s">
        <v>998</v>
      </c>
      <c r="E22" s="869" t="s">
        <v>999</v>
      </c>
      <c r="F22" s="869">
        <v>0</v>
      </c>
      <c r="G22" s="869" t="s">
        <v>1035</v>
      </c>
      <c r="H22" s="873">
        <f>0</f>
        <v>0</v>
      </c>
      <c r="I22" s="873">
        <f>0</f>
        <v>0</v>
      </c>
      <c r="J22" s="873">
        <f>0</f>
        <v>0</v>
      </c>
      <c r="K22" s="873">
        <f>0</f>
        <v>0</v>
      </c>
      <c r="L22" s="873">
        <f>0</f>
        <v>0</v>
      </c>
      <c r="M22" s="891">
        <f>0</f>
        <v>0</v>
      </c>
      <c r="N22" s="873">
        <f>0</f>
        <v>0</v>
      </c>
      <c r="O22" s="873">
        <f>0</f>
        <v>0</v>
      </c>
      <c r="P22" s="873">
        <f>0</f>
        <v>0</v>
      </c>
      <c r="Q22" s="873">
        <f>0</f>
        <v>0</v>
      </c>
    </row>
    <row r="23">
      <c r="A23" s="869" t="s">
        <v>1036</v>
      </c>
      <c r="B23" s="869" t="s">
        <v>1037</v>
      </c>
      <c r="C23" s="776" t="s">
        <v>1009</v>
      </c>
      <c r="D23" s="869" t="s">
        <v>998</v>
      </c>
      <c r="E23" s="869" t="s">
        <v>999</v>
      </c>
      <c r="F23" s="869">
        <v>0</v>
      </c>
      <c r="G23" s="869" t="s">
        <v>1038</v>
      </c>
      <c r="H23" s="873">
        <f>0</f>
        <v>0</v>
      </c>
      <c r="I23" s="873">
        <f>0</f>
        <v>0</v>
      </c>
      <c r="J23" s="873">
        <f>0</f>
        <v>0</v>
      </c>
      <c r="K23" s="873">
        <f>0</f>
        <v>0</v>
      </c>
      <c r="L23" s="873">
        <f>0</f>
        <v>0</v>
      </c>
      <c r="M23" s="891">
        <f>0</f>
        <v>0</v>
      </c>
      <c r="N23" s="873">
        <f>0</f>
        <v>0</v>
      </c>
      <c r="O23" s="873">
        <f>0</f>
        <v>0</v>
      </c>
      <c r="P23" s="873">
        <f>0</f>
        <v>0</v>
      </c>
      <c r="Q23" s="873">
        <f>0</f>
        <v>0</v>
      </c>
    </row>
    <row r="24">
      <c r="A24" s="869" t="s">
        <v>1039</v>
      </c>
      <c r="B24" s="869" t="s">
        <v>1040</v>
      </c>
      <c r="C24" s="776" t="s">
        <v>1009</v>
      </c>
      <c r="D24" s="869" t="s">
        <v>998</v>
      </c>
      <c r="E24" s="869" t="s">
        <v>999</v>
      </c>
      <c r="F24" s="869">
        <v>0</v>
      </c>
      <c r="G24" s="869" t="s">
        <v>1041</v>
      </c>
      <c r="H24" s="873">
        <f>0</f>
        <v>0</v>
      </c>
      <c r="I24" s="873">
        <f>0</f>
        <v>0</v>
      </c>
      <c r="J24" s="873">
        <f>0</f>
        <v>0</v>
      </c>
      <c r="K24" s="873">
        <f>0</f>
        <v>0</v>
      </c>
      <c r="L24" s="873">
        <f>0</f>
        <v>0</v>
      </c>
      <c r="M24" s="891">
        <f>0</f>
        <v>0</v>
      </c>
      <c r="N24" s="873">
        <f>0</f>
        <v>0</v>
      </c>
      <c r="O24" s="873">
        <f>0</f>
        <v>0</v>
      </c>
      <c r="P24" s="873">
        <f>0</f>
        <v>0</v>
      </c>
      <c r="Q24" s="873">
        <f>0</f>
        <v>0</v>
      </c>
    </row>
    <row r="25">
      <c r="A25" s="774"/>
      <c r="B25" s="774"/>
      <c r="C25" s="774"/>
      <c r="D25" s="774"/>
      <c r="E25" s="774"/>
      <c r="F25" s="774"/>
      <c r="G25" s="774"/>
      <c r="H25" s="774"/>
      <c r="I25" s="774"/>
      <c r="J25" s="774"/>
      <c r="K25" s="774"/>
      <c r="L25" s="774"/>
      <c r="M25" s="774"/>
      <c r="N25" s="774"/>
      <c r="O25" s="774"/>
      <c r="P25" s="774"/>
      <c r="Q25" s="774"/>
    </row>
    <row r="26">
      <c r="A26" s="803" t="s">
        <v>1042</v>
      </c>
      <c r="B26" s="779"/>
      <c r="C26" s="779"/>
      <c r="D26" s="779"/>
      <c r="E26" s="779"/>
      <c r="F26" s="779"/>
      <c r="G26" s="779"/>
      <c r="H26" s="779"/>
      <c r="I26" s="779"/>
      <c r="J26" s="779"/>
      <c r="K26" s="779"/>
      <c r="L26" s="779"/>
      <c r="M26" s="777"/>
      <c r="N26" s="777"/>
      <c r="O26" s="777"/>
      <c r="P26" s="777"/>
      <c r="Q26" s="777"/>
    </row>
    <row r="27">
      <c r="A27" s="869" t="s">
        <v>1043</v>
      </c>
      <c r="B27" s="869" t="s">
        <v>1044</v>
      </c>
      <c r="C27" s="776" t="str">
        <f>IF(SUMPRODUCT((ABS(H27:Q27)&gt;1000)*1)=0,"PASS","FAIL")</f>
        <v>PASS</v>
      </c>
      <c r="D27" s="869" t="s">
        <v>998</v>
      </c>
      <c r="E27" s="869" t="s">
        <v>999</v>
      </c>
      <c r="F27" s="869">
        <v>0</v>
      </c>
      <c r="G27" s="869" t="s">
        <v>1018</v>
      </c>
      <c r="H27" s="772"/>
      <c r="I27" s="772"/>
      <c r="J27" s="772"/>
      <c r="K27" s="772"/>
      <c r="L27" s="772"/>
      <c r="M27" s="812">
        <f>Supuestos!G44-ModeloFinanciero!G7</f>
        <v>0</v>
      </c>
      <c r="N27" s="890">
        <f>Supuestos!H44-ModeloFinanciero!H7</f>
        <v>0</v>
      </c>
      <c r="O27" s="890">
        <f>Supuestos!I44-ModeloFinanciero!I7</f>
        <v>0</v>
      </c>
      <c r="P27" s="890">
        <f>Supuestos!J44-ModeloFinanciero!J7</f>
        <v>0</v>
      </c>
      <c r="Q27" s="890">
        <f>Supuestos!K44-ModeloFinanciero!K7</f>
        <v>0</v>
      </c>
    </row>
    <row r="28">
      <c r="A28" s="869" t="s">
        <v>1045</v>
      </c>
      <c r="B28" s="869" t="s">
        <v>1046</v>
      </c>
      <c r="C28" s="776" t="s">
        <v>1009</v>
      </c>
      <c r="D28" s="869" t="s">
        <v>998</v>
      </c>
      <c r="E28" s="869" t="s">
        <v>1047</v>
      </c>
      <c r="F28" s="869">
        <v>0</v>
      </c>
      <c r="G28" s="869" t="s">
        <v>1048</v>
      </c>
      <c r="H28" s="873">
        <f>0</f>
        <v>0</v>
      </c>
      <c r="I28" s="873">
        <f>0</f>
        <v>0</v>
      </c>
      <c r="J28" s="873">
        <f>0</f>
        <v>0</v>
      </c>
      <c r="K28" s="873">
        <f>0</f>
        <v>0</v>
      </c>
      <c r="L28" s="873">
        <f>0</f>
        <v>0</v>
      </c>
      <c r="M28" s="891">
        <f>0</f>
        <v>0</v>
      </c>
      <c r="N28" s="873">
        <f>0</f>
        <v>0</v>
      </c>
      <c r="O28" s="873">
        <f>0</f>
        <v>0</v>
      </c>
      <c r="P28" s="873">
        <f>0</f>
        <v>0</v>
      </c>
      <c r="Q28" s="873">
        <f>0</f>
        <v>0</v>
      </c>
    </row>
    <row r="29">
      <c r="A29" s="869" t="s">
        <v>1049</v>
      </c>
      <c r="B29" s="869" t="s">
        <v>1050</v>
      </c>
      <c r="C29" s="776" t="s">
        <v>1009</v>
      </c>
      <c r="D29" s="869" t="s">
        <v>998</v>
      </c>
      <c r="E29" s="869" t="s">
        <v>1027</v>
      </c>
      <c r="F29" s="869" t="s">
        <v>1027</v>
      </c>
      <c r="G29" s="869" t="s">
        <v>1051</v>
      </c>
      <c r="H29" s="873">
        <f>0</f>
        <v>0</v>
      </c>
      <c r="I29" s="873">
        <f>0</f>
        <v>0</v>
      </c>
      <c r="J29" s="873">
        <f>0</f>
        <v>0</v>
      </c>
      <c r="K29" s="873">
        <f>0</f>
        <v>0</v>
      </c>
      <c r="L29" s="873">
        <f>0</f>
        <v>0</v>
      </c>
      <c r="M29" s="891">
        <f>0</f>
        <v>0</v>
      </c>
      <c r="N29" s="873">
        <f>0</f>
        <v>0</v>
      </c>
      <c r="O29" s="873">
        <f>0</f>
        <v>0</v>
      </c>
      <c r="P29" s="873">
        <f>0</f>
        <v>0</v>
      </c>
      <c r="Q29" s="873">
        <f>0</f>
        <v>0</v>
      </c>
    </row>
    <row r="30">
      <c r="A30" s="869" t="s">
        <v>1052</v>
      </c>
      <c r="B30" s="869" t="s">
        <v>1053</v>
      </c>
      <c r="C30" s="776" t="s">
        <v>1009</v>
      </c>
      <c r="D30" s="869" t="s">
        <v>998</v>
      </c>
      <c r="E30" s="869" t="s">
        <v>1054</v>
      </c>
      <c r="F30" s="869">
        <v>0</v>
      </c>
      <c r="G30" s="869" t="s">
        <v>1055</v>
      </c>
      <c r="H30" s="873">
        <f>0</f>
        <v>0</v>
      </c>
      <c r="I30" s="873">
        <f>0</f>
        <v>0</v>
      </c>
      <c r="J30" s="873">
        <f>0</f>
        <v>0</v>
      </c>
      <c r="K30" s="873">
        <f>0</f>
        <v>0</v>
      </c>
      <c r="L30" s="873">
        <f>0</f>
        <v>0</v>
      </c>
      <c r="M30" s="891">
        <f>0</f>
        <v>0</v>
      </c>
      <c r="N30" s="873">
        <f>0</f>
        <v>0</v>
      </c>
      <c r="O30" s="873">
        <f>0</f>
        <v>0</v>
      </c>
      <c r="P30" s="873">
        <f>0</f>
        <v>0</v>
      </c>
      <c r="Q30" s="873">
        <f>0</f>
        <v>0</v>
      </c>
    </row>
    <row r="31">
      <c r="A31" s="869" t="s">
        <v>1056</v>
      </c>
      <c r="B31" s="869" t="s">
        <v>1057</v>
      </c>
      <c r="C31" s="776" t="s">
        <v>1009</v>
      </c>
      <c r="D31" s="869" t="s">
        <v>1058</v>
      </c>
      <c r="E31" s="869" t="s">
        <v>1059</v>
      </c>
      <c r="F31" s="869" t="s">
        <v>1060</v>
      </c>
      <c r="G31" s="869" t="s">
        <v>1061</v>
      </c>
      <c r="H31" s="873">
        <f>0</f>
        <v>0</v>
      </c>
      <c r="I31" s="873">
        <f>0</f>
        <v>0</v>
      </c>
      <c r="J31" s="873">
        <f>0</f>
        <v>0</v>
      </c>
      <c r="K31" s="873">
        <f>0</f>
        <v>0</v>
      </c>
      <c r="L31" s="873">
        <f>0</f>
        <v>0</v>
      </c>
      <c r="M31" s="891">
        <f>0</f>
        <v>0</v>
      </c>
      <c r="N31" s="873">
        <f>0</f>
        <v>0</v>
      </c>
      <c r="O31" s="873">
        <f>0</f>
        <v>0</v>
      </c>
      <c r="P31" s="873">
        <f>0</f>
        <v>0</v>
      </c>
      <c r="Q31" s="873">
        <f>0</f>
        <v>0</v>
      </c>
    </row>
    <row r="32">
      <c r="A32" s="869" t="s">
        <v>1062</v>
      </c>
      <c r="B32" s="869" t="s">
        <v>1063</v>
      </c>
      <c r="C32" s="776" t="s">
        <v>1009</v>
      </c>
      <c r="D32" s="869" t="s">
        <v>998</v>
      </c>
      <c r="E32" s="869" t="s">
        <v>1027</v>
      </c>
      <c r="F32" s="869" t="s">
        <v>1027</v>
      </c>
      <c r="G32" s="869" t="s">
        <v>1064</v>
      </c>
      <c r="H32" s="873">
        <f>0</f>
        <v>0</v>
      </c>
      <c r="I32" s="873">
        <f>0</f>
        <v>0</v>
      </c>
      <c r="J32" s="873">
        <f>0</f>
        <v>0</v>
      </c>
      <c r="K32" s="873">
        <f>0</f>
        <v>0</v>
      </c>
      <c r="L32" s="873">
        <f>0</f>
        <v>0</v>
      </c>
      <c r="M32" s="891">
        <f>0</f>
        <v>0</v>
      </c>
      <c r="N32" s="873">
        <f>0</f>
        <v>0</v>
      </c>
      <c r="O32" s="873">
        <f>0</f>
        <v>0</v>
      </c>
      <c r="P32" s="873">
        <f>0</f>
        <v>0</v>
      </c>
      <c r="Q32" s="873">
        <f>0</f>
        <v>0</v>
      </c>
    </row>
    <row r="33">
      <c r="A33" s="869" t="s">
        <v>1065</v>
      </c>
      <c r="B33" s="869" t="s">
        <v>1066</v>
      </c>
      <c r="C33" s="776" t="s">
        <v>1009</v>
      </c>
      <c r="D33" s="869" t="s">
        <v>998</v>
      </c>
      <c r="E33" s="869" t="s">
        <v>999</v>
      </c>
      <c r="F33" s="869">
        <v>0</v>
      </c>
      <c r="G33" s="869" t="s">
        <v>1067</v>
      </c>
      <c r="H33" s="873">
        <f>0</f>
        <v>0</v>
      </c>
      <c r="I33" s="873">
        <f>0</f>
        <v>0</v>
      </c>
      <c r="J33" s="873">
        <f>0</f>
        <v>0</v>
      </c>
      <c r="K33" s="873">
        <f>0</f>
        <v>0</v>
      </c>
      <c r="L33" s="873">
        <f>0</f>
        <v>0</v>
      </c>
      <c r="M33" s="891">
        <f>0</f>
        <v>0</v>
      </c>
      <c r="N33" s="873">
        <f>0</f>
        <v>0</v>
      </c>
      <c r="O33" s="873">
        <f>0</f>
        <v>0</v>
      </c>
      <c r="P33" s="873">
        <f>0</f>
        <v>0</v>
      </c>
      <c r="Q33" s="873">
        <f>0</f>
        <v>0</v>
      </c>
    </row>
    <row r="34">
      <c r="A34" s="774"/>
      <c r="B34" s="774"/>
      <c r="C34" s="774"/>
      <c r="D34" s="774"/>
      <c r="E34" s="774"/>
      <c r="F34" s="774"/>
      <c r="G34" s="774"/>
      <c r="H34" s="774"/>
      <c r="I34" s="774"/>
      <c r="J34" s="774"/>
      <c r="K34" s="774"/>
      <c r="L34" s="774"/>
      <c r="M34" s="774"/>
      <c r="N34" s="774"/>
      <c r="O34" s="774"/>
      <c r="P34" s="774"/>
      <c r="Q34" s="774"/>
    </row>
    <row r="35">
      <c r="A35" s="803" t="s">
        <v>1068</v>
      </c>
      <c r="B35" s="779"/>
      <c r="C35" s="779"/>
      <c r="D35" s="779"/>
      <c r="E35" s="779"/>
      <c r="F35" s="779"/>
      <c r="G35" s="779"/>
      <c r="H35" s="779"/>
      <c r="I35" s="779"/>
      <c r="J35" s="779"/>
      <c r="K35" s="779"/>
      <c r="L35" s="779"/>
      <c r="M35" s="777"/>
      <c r="N35" s="777"/>
      <c r="O35" s="777"/>
      <c r="P35" s="777"/>
      <c r="Q35" s="777"/>
    </row>
    <row r="36">
      <c r="A36" s="869" t="s">
        <v>1069</v>
      </c>
      <c r="B36" s="869" t="s">
        <v>1070</v>
      </c>
      <c r="C36" s="776" t="s">
        <v>1009</v>
      </c>
      <c r="D36" s="869" t="s">
        <v>998</v>
      </c>
      <c r="E36" s="869" t="s">
        <v>999</v>
      </c>
      <c r="F36" s="869">
        <v>0</v>
      </c>
      <c r="G36" s="869" t="s">
        <v>1071</v>
      </c>
      <c r="H36" s="873">
        <f>0</f>
        <v>0</v>
      </c>
      <c r="I36" s="873">
        <f>0</f>
        <v>0</v>
      </c>
      <c r="J36" s="873">
        <f>0</f>
        <v>0</v>
      </c>
      <c r="K36" s="873">
        <f>0</f>
        <v>0</v>
      </c>
      <c r="L36" s="873">
        <f>0</f>
        <v>0</v>
      </c>
      <c r="M36" s="891">
        <f>0</f>
        <v>0</v>
      </c>
      <c r="N36" s="873">
        <f>0</f>
        <v>0</v>
      </c>
      <c r="O36" s="873">
        <f>0</f>
        <v>0</v>
      </c>
      <c r="P36" s="873">
        <f>0</f>
        <v>0</v>
      </c>
      <c r="Q36" s="873">
        <f>0</f>
        <v>0</v>
      </c>
    </row>
    <row r="37">
      <c r="A37" s="869" t="s">
        <v>1072</v>
      </c>
      <c r="B37" s="869" t="s">
        <v>1073</v>
      </c>
      <c r="C37" s="776" t="s">
        <v>1009</v>
      </c>
      <c r="D37" s="869" t="s">
        <v>998</v>
      </c>
      <c r="E37" s="869" t="s">
        <v>1027</v>
      </c>
      <c r="F37" s="869" t="s">
        <v>1027</v>
      </c>
      <c r="G37" s="869" t="s">
        <v>1074</v>
      </c>
      <c r="H37" s="873">
        <f>0</f>
        <v>0</v>
      </c>
      <c r="I37" s="873">
        <f>0</f>
        <v>0</v>
      </c>
      <c r="J37" s="873">
        <f>0</f>
        <v>0</v>
      </c>
      <c r="K37" s="873">
        <f>0</f>
        <v>0</v>
      </c>
      <c r="L37" s="873">
        <f>0</f>
        <v>0</v>
      </c>
      <c r="M37" s="891">
        <f>0</f>
        <v>0</v>
      </c>
      <c r="N37" s="873">
        <f>0</f>
        <v>0</v>
      </c>
      <c r="O37" s="873">
        <f>0</f>
        <v>0</v>
      </c>
      <c r="P37" s="873">
        <f>0</f>
        <v>0</v>
      </c>
      <c r="Q37" s="873">
        <f>0</f>
        <v>0</v>
      </c>
    </row>
  </sheetData>
</worksheet>
</file>

<file path=xl/worksheets/sheet6.xml><?xml version="1.0" encoding="utf-8"?>
<worksheet xmlns="http://schemas.openxmlformats.org/spreadsheetml/2006/main" xmlns:r="http://schemas.openxmlformats.org/officeDocument/2006/relationships">
  <dimension ref="A1:K56"/>
  <sheetViews>
    <sheetView showGridLines="0" workbookViewId="0"/>
  </sheetViews>
  <sheetFormatPr defaultColWidth="8.375" defaultRowHeight="15"/>
  <cols>
    <col min="1" max="1" width="44.375" customWidth="1"/>
    <col min="2" max="11" width="15.625" customWidth="1"/>
  </cols>
  <sheetData>
    <row r="1">
      <c r="A1" s="803" t="s">
        <v>0</v>
      </c>
      <c r="B1" s="793"/>
      <c r="C1" s="793"/>
      <c r="D1" s="793"/>
      <c r="E1" s="793"/>
      <c r="F1" s="793"/>
      <c r="G1" s="817"/>
      <c r="H1" s="807"/>
      <c r="I1" s="807"/>
      <c r="J1" s="807"/>
      <c r="K1" s="807"/>
    </row>
    <row r="2">
      <c r="A2" s="869" t="s">
        <v>1075</v>
      </c>
      <c r="G2" s="800"/>
    </row>
    <row r="3">
      <c r="A3" s="869" t="s">
        <v>2</v>
      </c>
      <c r="G3" s="800"/>
    </row>
    <row r="4">
      <c r="A4" s="869" t="s">
        <v>1076</v>
      </c>
      <c r="G4" s="800"/>
    </row>
    <row r="5">
      <c r="A5" s="803" t="s">
        <v>1077</v>
      </c>
      <c r="B5" s="884" t="s">
        <v>4</v>
      </c>
      <c r="C5" s="884" t="s">
        <v>5</v>
      </c>
      <c r="D5" s="884" t="s">
        <v>6</v>
      </c>
      <c r="E5" s="884" t="s">
        <v>7</v>
      </c>
      <c r="F5" s="884" t="s">
        <v>8</v>
      </c>
      <c r="G5" s="892" t="s">
        <v>9</v>
      </c>
      <c r="H5" s="887" t="s">
        <v>10</v>
      </c>
      <c r="I5" s="887" t="s">
        <v>11</v>
      </c>
      <c r="J5" s="887" t="s">
        <v>12</v>
      </c>
      <c r="K5" s="887" t="s">
        <v>13</v>
      </c>
    </row>
    <row r="6">
      <c r="A6" s="785"/>
      <c r="B6" s="785"/>
      <c r="C6" s="785"/>
      <c r="D6" s="785"/>
      <c r="E6" s="785"/>
      <c r="F6" s="785"/>
      <c r="G6" s="800"/>
      <c r="H6" s="785"/>
      <c r="I6" s="785"/>
      <c r="J6" s="785"/>
      <c r="K6" s="785"/>
    </row>
    <row r="7">
      <c r="A7" s="803" t="s">
        <v>1078</v>
      </c>
      <c r="B7" s="796"/>
      <c r="C7" s="796"/>
      <c r="D7" s="796"/>
      <c r="E7" s="796"/>
      <c r="F7" s="796"/>
      <c r="G7" s="798"/>
      <c r="H7" s="806"/>
      <c r="I7" s="806"/>
      <c r="J7" s="806"/>
      <c r="K7" s="806"/>
    </row>
    <row r="8">
      <c r="A8" s="869" t="s">
        <v>1079</v>
      </c>
      <c r="B8" s="787"/>
      <c r="C8" s="787"/>
      <c r="D8" s="787"/>
      <c r="E8" s="787"/>
      <c r="F8" s="792">
        <v>62.5</v>
      </c>
      <c r="G8" s="795">
        <v>62.5</v>
      </c>
      <c r="H8" s="792">
        <v>62.5</v>
      </c>
      <c r="I8" s="792">
        <v>62.5</v>
      </c>
      <c r="J8" s="792">
        <v>62.5</v>
      </c>
      <c r="K8" s="792">
        <v>62.5</v>
      </c>
    </row>
    <row r="9">
      <c r="A9" s="869" t="s">
        <v>1080</v>
      </c>
      <c r="B9" s="787"/>
      <c r="C9" s="787"/>
      <c r="D9" s="787"/>
      <c r="E9" s="787"/>
      <c r="F9" s="792">
        <v>52.5</v>
      </c>
      <c r="G9" s="795">
        <v>52.5</v>
      </c>
      <c r="H9" s="792">
        <v>52.5</v>
      </c>
      <c r="I9" s="792">
        <v>52.5</v>
      </c>
      <c r="J9" s="792">
        <v>52.5</v>
      </c>
      <c r="K9" s="792">
        <v>52.5</v>
      </c>
    </row>
    <row r="10">
      <c r="A10" s="869" t="s">
        <v>1081</v>
      </c>
      <c r="B10" s="787"/>
      <c r="C10" s="787"/>
      <c r="D10" s="787"/>
      <c r="E10" s="787"/>
      <c r="F10" s="792">
        <v>50</v>
      </c>
      <c r="G10" s="795">
        <v>50</v>
      </c>
      <c r="H10" s="792">
        <v>50</v>
      </c>
      <c r="I10" s="792">
        <v>50</v>
      </c>
      <c r="J10" s="792">
        <v>50</v>
      </c>
      <c r="K10" s="792">
        <v>50</v>
      </c>
    </row>
    <row r="11">
      <c r="A11" s="869" t="s">
        <v>1082</v>
      </c>
      <c r="B11" s="787"/>
      <c r="C11" s="787"/>
      <c r="D11" s="787"/>
      <c r="E11" s="787"/>
      <c r="F11" s="792">
        <v>17.5</v>
      </c>
      <c r="G11" s="795">
        <v>17.5</v>
      </c>
      <c r="H11" s="792">
        <v>17.5</v>
      </c>
      <c r="I11" s="792">
        <v>17.5</v>
      </c>
      <c r="J11" s="792">
        <v>17.5</v>
      </c>
      <c r="K11" s="792">
        <v>17.5</v>
      </c>
    </row>
    <row r="12">
      <c r="A12" s="869" t="s">
        <v>1083</v>
      </c>
      <c r="B12" s="787"/>
      <c r="C12" s="787"/>
      <c r="D12" s="787"/>
      <c r="E12" s="787"/>
      <c r="F12" s="792">
        <v>32.5</v>
      </c>
      <c r="G12" s="795">
        <v>32.5</v>
      </c>
      <c r="H12" s="792">
        <v>32.5</v>
      </c>
      <c r="I12" s="792">
        <v>32.5</v>
      </c>
      <c r="J12" s="792">
        <v>32.5</v>
      </c>
      <c r="K12" s="792">
        <v>32.5</v>
      </c>
    </row>
    <row r="13">
      <c r="A13" s="805" t="s">
        <v>1084</v>
      </c>
      <c r="B13" s="801"/>
      <c r="C13" s="801"/>
      <c r="D13" s="801"/>
      <c r="E13" s="801"/>
      <c r="F13" s="801">
        <f>F8+F9+F10+F11+F12</f>
        <v>215</v>
      </c>
      <c r="G13" s="808">
        <f>G8+G9+G10+G11+G12</f>
        <v>215</v>
      </c>
      <c r="H13" s="801">
        <f>H8+H9+H10+H11+H12</f>
        <v>215</v>
      </c>
      <c r="I13" s="801">
        <f>I8+I9+I10+I11+I12</f>
        <v>215</v>
      </c>
      <c r="J13" s="801">
        <f>J8+J9+J10+J11+J12</f>
        <v>215</v>
      </c>
      <c r="K13" s="801">
        <f>K8+K9+K10+K11+K12</f>
        <v>215</v>
      </c>
    </row>
    <row r="14">
      <c r="A14" s="785"/>
      <c r="B14" s="785"/>
      <c r="C14" s="785"/>
      <c r="D14" s="785"/>
      <c r="E14" s="785"/>
      <c r="F14" s="785"/>
      <c r="G14" s="800"/>
      <c r="H14" s="785"/>
      <c r="I14" s="785"/>
      <c r="J14" s="785"/>
      <c r="K14" s="785"/>
    </row>
    <row r="15">
      <c r="A15" s="869" t="s">
        <v>1085</v>
      </c>
      <c r="B15" s="879" t="s">
        <v>84</v>
      </c>
      <c r="C15" s="879" t="s">
        <v>84</v>
      </c>
      <c r="D15" s="879" t="s">
        <v>84</v>
      </c>
      <c r="E15" s="879" t="s">
        <v>84</v>
      </c>
      <c r="F15" s="804">
        <v>0.9366</v>
      </c>
      <c r="G15" s="810">
        <v>0.96</v>
      </c>
      <c r="H15" s="804">
        <v>0.96</v>
      </c>
      <c r="I15" s="804">
        <v>0.96</v>
      </c>
      <c r="J15" s="804">
        <v>0.96</v>
      </c>
      <c r="K15" s="804">
        <v>0.96</v>
      </c>
    </row>
    <row r="16">
      <c r="A16" s="869" t="s">
        <v>1086</v>
      </c>
      <c r="B16" s="879" t="s">
        <v>84</v>
      </c>
      <c r="C16" s="879" t="s">
        <v>84</v>
      </c>
      <c r="D16" s="879" t="s">
        <v>84</v>
      </c>
      <c r="E16" s="879" t="s">
        <v>84</v>
      </c>
      <c r="F16" s="804">
        <v>0.2147</v>
      </c>
      <c r="G16" s="811">
        <f>G18</f>
        <v>0.215</v>
      </c>
      <c r="H16" s="879">
        <f>H18</f>
        <v>0.215</v>
      </c>
      <c r="I16" s="879">
        <f>I18</f>
        <v>0.215</v>
      </c>
      <c r="J16" s="879">
        <f>J18</f>
        <v>0.21</v>
      </c>
      <c r="K16" s="879">
        <f>K18</f>
        <v>0.21</v>
      </c>
    </row>
    <row r="17">
      <c r="A17" s="869" t="s">
        <v>96</v>
      </c>
      <c r="B17" s="786"/>
      <c r="C17" s="786"/>
      <c r="D17" s="786"/>
      <c r="E17" s="786"/>
      <c r="F17" s="786"/>
      <c r="G17" s="791">
        <v>0.195</v>
      </c>
      <c r="H17" s="838">
        <v>0.195</v>
      </c>
      <c r="I17" s="838">
        <v>0.195</v>
      </c>
      <c r="J17" s="838">
        <v>0.195</v>
      </c>
      <c r="K17" s="838">
        <v>0.19</v>
      </c>
    </row>
    <row r="18">
      <c r="A18" s="869" t="s">
        <v>98</v>
      </c>
      <c r="B18" s="786"/>
      <c r="C18" s="786"/>
      <c r="D18" s="786"/>
      <c r="E18" s="786"/>
      <c r="F18" s="786"/>
      <c r="G18" s="791">
        <v>0.215</v>
      </c>
      <c r="H18" s="838">
        <v>0.215</v>
      </c>
      <c r="I18" s="838">
        <v>0.215</v>
      </c>
      <c r="J18" s="838">
        <v>0.21</v>
      </c>
      <c r="K18" s="838">
        <v>0.21</v>
      </c>
    </row>
    <row r="19">
      <c r="A19" s="869" t="s">
        <v>99</v>
      </c>
      <c r="B19" s="786"/>
      <c r="C19" s="786"/>
      <c r="D19" s="786"/>
      <c r="E19" s="786"/>
      <c r="F19" s="786"/>
      <c r="G19" s="791">
        <v>0.245</v>
      </c>
      <c r="H19" s="838">
        <v>0.245</v>
      </c>
      <c r="I19" s="838">
        <v>0.245</v>
      </c>
      <c r="J19" s="838">
        <v>0.24</v>
      </c>
      <c r="K19" s="838">
        <v>0.24</v>
      </c>
    </row>
    <row r="20">
      <c r="A20" s="869" t="s">
        <v>1087</v>
      </c>
      <c r="B20" s="788"/>
      <c r="C20" s="788"/>
      <c r="D20" s="788"/>
      <c r="E20" s="788"/>
      <c r="F20" s="788"/>
      <c r="G20" s="815">
        <v>8760</v>
      </c>
      <c r="H20" s="882">
        <v>8760</v>
      </c>
      <c r="I20" s="882">
        <v>8760</v>
      </c>
      <c r="J20" s="882">
        <v>8760</v>
      </c>
      <c r="K20" s="882">
        <v>8760</v>
      </c>
    </row>
    <row r="21">
      <c r="A21" s="869" t="s">
        <v>1088</v>
      </c>
      <c r="B21" s="873" t="s">
        <v>84</v>
      </c>
      <c r="C21" s="873" t="s">
        <v>84</v>
      </c>
      <c r="D21" s="873" t="s">
        <v>84</v>
      </c>
      <c r="E21" s="873" t="s">
        <v>84</v>
      </c>
      <c r="F21" s="873" t="s">
        <v>84</v>
      </c>
      <c r="G21" s="891">
        <f>G8*G20*G16</f>
        <v>117712.5</v>
      </c>
      <c r="H21" s="873">
        <f>H8*H20*H16</f>
        <v>117712.5</v>
      </c>
      <c r="I21" s="873">
        <f>I8*I20*I16</f>
        <v>117712.5</v>
      </c>
      <c r="J21" s="873">
        <f>J8*J20*J16</f>
        <v>114975</v>
      </c>
      <c r="K21" s="873">
        <f>K8*K20*K16</f>
        <v>114975</v>
      </c>
    </row>
    <row r="22">
      <c r="A22" s="869" t="s">
        <v>1089</v>
      </c>
      <c r="B22" s="873" t="s">
        <v>84</v>
      </c>
      <c r="C22" s="873" t="s">
        <v>84</v>
      </c>
      <c r="D22" s="873" t="s">
        <v>84</v>
      </c>
      <c r="E22" s="873" t="s">
        <v>84</v>
      </c>
      <c r="F22" s="873" t="s">
        <v>84</v>
      </c>
      <c r="G22" s="891">
        <f>G9*G20*G16</f>
        <v>98878.5</v>
      </c>
      <c r="H22" s="873">
        <f>H9*H20*H16</f>
        <v>98878.5</v>
      </c>
      <c r="I22" s="873">
        <f>I9*I20*I16</f>
        <v>98878.5</v>
      </c>
      <c r="J22" s="873">
        <f>J9*J20*J16</f>
        <v>96579</v>
      </c>
      <c r="K22" s="873">
        <f>K9*K20*K16</f>
        <v>96579</v>
      </c>
    </row>
    <row r="23">
      <c r="A23" s="869" t="s">
        <v>1090</v>
      </c>
      <c r="B23" s="873" t="s">
        <v>84</v>
      </c>
      <c r="C23" s="873" t="s">
        <v>84</v>
      </c>
      <c r="D23" s="873" t="s">
        <v>84</v>
      </c>
      <c r="E23" s="873" t="s">
        <v>84</v>
      </c>
      <c r="F23" s="873" t="s">
        <v>84</v>
      </c>
      <c r="G23" s="891">
        <f>G10*G20*G16</f>
        <v>94170</v>
      </c>
      <c r="H23" s="873">
        <f>H10*H20*H16</f>
        <v>94170</v>
      </c>
      <c r="I23" s="873">
        <f>I10*I20*I16</f>
        <v>94170</v>
      </c>
      <c r="J23" s="873">
        <f>J10*J20*J16</f>
        <v>91980</v>
      </c>
      <c r="K23" s="873">
        <f>K10*K20*K16</f>
        <v>91980</v>
      </c>
    </row>
    <row r="24">
      <c r="A24" s="869" t="s">
        <v>1091</v>
      </c>
      <c r="B24" s="873" t="s">
        <v>84</v>
      </c>
      <c r="C24" s="873" t="s">
        <v>84</v>
      </c>
      <c r="D24" s="873" t="s">
        <v>84</v>
      </c>
      <c r="E24" s="873" t="s">
        <v>84</v>
      </c>
      <c r="F24" s="873" t="s">
        <v>84</v>
      </c>
      <c r="G24" s="891">
        <f>G11*G20*G16</f>
        <v>32959.5</v>
      </c>
      <c r="H24" s="873">
        <f>H11*H20*H16</f>
        <v>32959.5</v>
      </c>
      <c r="I24" s="873">
        <f>I11*I20*I16</f>
        <v>32959.5</v>
      </c>
      <c r="J24" s="873">
        <f>J11*J20*J16</f>
        <v>32193</v>
      </c>
      <c r="K24" s="873">
        <f>K11*K20*K16</f>
        <v>32193</v>
      </c>
    </row>
    <row r="25">
      <c r="A25" s="869" t="s">
        <v>1092</v>
      </c>
      <c r="B25" s="873" t="s">
        <v>84</v>
      </c>
      <c r="C25" s="873" t="s">
        <v>84</v>
      </c>
      <c r="D25" s="873" t="s">
        <v>84</v>
      </c>
      <c r="E25" s="873" t="s">
        <v>84</v>
      </c>
      <c r="F25" s="873" t="s">
        <v>84</v>
      </c>
      <c r="G25" s="891">
        <f>G12*G20*G16</f>
        <v>61210.5</v>
      </c>
      <c r="H25" s="873">
        <f>H12*H20*H16</f>
        <v>61210.5</v>
      </c>
      <c r="I25" s="873">
        <f>I12*I20*I16</f>
        <v>61210.5</v>
      </c>
      <c r="J25" s="873">
        <f>J12*J20*J16</f>
        <v>59787</v>
      </c>
      <c r="K25" s="873">
        <f>K12*K20*K16</f>
        <v>59787</v>
      </c>
    </row>
    <row r="26">
      <c r="A26" s="869" t="s">
        <v>1093</v>
      </c>
      <c r="B26" s="873" t="s">
        <v>84</v>
      </c>
      <c r="C26" s="873" t="s">
        <v>84</v>
      </c>
      <c r="D26" s="873" t="s">
        <v>84</v>
      </c>
      <c r="E26" s="873" t="s">
        <v>84</v>
      </c>
      <c r="F26" s="870">
        <v>405420</v>
      </c>
      <c r="G26" s="891" t="s">
        <v>84</v>
      </c>
      <c r="H26" s="873" t="s">
        <v>84</v>
      </c>
      <c r="I26" s="873" t="s">
        <v>84</v>
      </c>
      <c r="J26" s="873" t="s">
        <v>84</v>
      </c>
      <c r="K26" s="873" t="s">
        <v>84</v>
      </c>
    </row>
    <row r="27">
      <c r="A27" s="805" t="s">
        <v>1094</v>
      </c>
      <c r="B27" s="889" t="s">
        <v>84</v>
      </c>
      <c r="C27" s="889" t="s">
        <v>84</v>
      </c>
      <c r="D27" s="889" t="s">
        <v>84</v>
      </c>
      <c r="E27" s="889" t="s">
        <v>84</v>
      </c>
      <c r="F27" s="814">
        <v>405420</v>
      </c>
      <c r="G27" s="802">
        <f>G21+G22+G23+G24+G25</f>
        <v>404931</v>
      </c>
      <c r="H27" s="889">
        <f>H21+H22+H23+H24+H25</f>
        <v>404931</v>
      </c>
      <c r="I27" s="889">
        <f>I21+I22+I23+I24+I25</f>
        <v>404931</v>
      </c>
      <c r="J27" s="889">
        <f>J21+J22+J23+J24+J25</f>
        <v>395514</v>
      </c>
      <c r="K27" s="889">
        <f>K21+K22+K23+K24+K25</f>
        <v>395514</v>
      </c>
    </row>
    <row r="28">
      <c r="A28" s="785"/>
      <c r="B28" s="785"/>
      <c r="C28" s="785"/>
      <c r="D28" s="785"/>
      <c r="E28" s="785"/>
      <c r="F28" s="785"/>
      <c r="G28" s="800"/>
      <c r="H28" s="785"/>
      <c r="I28" s="785"/>
      <c r="J28" s="785"/>
      <c r="K28" s="785"/>
    </row>
    <row r="29">
      <c r="A29" s="803" t="s">
        <v>1095</v>
      </c>
      <c r="B29" s="796"/>
      <c r="C29" s="796"/>
      <c r="D29" s="796"/>
      <c r="E29" s="796"/>
      <c r="F29" s="796"/>
      <c r="G29" s="798"/>
      <c r="H29" s="806"/>
      <c r="I29" s="806"/>
      <c r="J29" s="806"/>
      <c r="K29" s="806"/>
    </row>
    <row r="30">
      <c r="A30" s="869" t="s">
        <v>1096</v>
      </c>
      <c r="B30" s="875" t="s">
        <v>84</v>
      </c>
      <c r="C30" s="875" t="s">
        <v>84</v>
      </c>
      <c r="D30" s="875" t="s">
        <v>84</v>
      </c>
      <c r="E30" s="875" t="s">
        <v>84</v>
      </c>
      <c r="F30" s="875" t="s">
        <v>84</v>
      </c>
      <c r="G30" s="795">
        <v>112.359</v>
      </c>
      <c r="H30" s="792">
        <v>112.921</v>
      </c>
      <c r="I30" s="792">
        <v>113.485</v>
      </c>
      <c r="J30" s="792">
        <v>114.053</v>
      </c>
      <c r="K30" s="792">
        <v>114.623</v>
      </c>
    </row>
    <row r="31">
      <c r="A31" s="869" t="s">
        <v>1097</v>
      </c>
      <c r="B31" s="875" t="s">
        <v>84</v>
      </c>
      <c r="C31" s="875" t="s">
        <v>84</v>
      </c>
      <c r="D31" s="875" t="s">
        <v>84</v>
      </c>
      <c r="E31" s="875" t="s">
        <v>84</v>
      </c>
      <c r="F31" s="835">
        <v>66.44</v>
      </c>
      <c r="G31" s="816">
        <f>G33</f>
        <v>60</v>
      </c>
      <c r="H31" s="875">
        <f>H33</f>
        <v>57</v>
      </c>
      <c r="I31" s="875">
        <f>I33</f>
        <v>54</v>
      </c>
      <c r="J31" s="875">
        <f>J33</f>
        <v>51</v>
      </c>
      <c r="K31" s="875">
        <f>K33</f>
        <v>50</v>
      </c>
    </row>
    <row r="32">
      <c r="A32" s="869" t="s">
        <v>96</v>
      </c>
      <c r="B32" s="787"/>
      <c r="C32" s="787"/>
      <c r="D32" s="787"/>
      <c r="E32" s="787"/>
      <c r="F32" s="787"/>
      <c r="G32" s="795">
        <v>50</v>
      </c>
      <c r="H32" s="792">
        <v>47</v>
      </c>
      <c r="I32" s="792">
        <v>44</v>
      </c>
      <c r="J32" s="792">
        <v>41</v>
      </c>
      <c r="K32" s="792">
        <v>40</v>
      </c>
    </row>
    <row r="33">
      <c r="A33" s="869" t="s">
        <v>98</v>
      </c>
      <c r="B33" s="787"/>
      <c r="C33" s="787"/>
      <c r="D33" s="787"/>
      <c r="E33" s="787"/>
      <c r="F33" s="787"/>
      <c r="G33" s="795">
        <v>60</v>
      </c>
      <c r="H33" s="792">
        <v>57</v>
      </c>
      <c r="I33" s="792">
        <v>54</v>
      </c>
      <c r="J33" s="792">
        <v>51</v>
      </c>
      <c r="K33" s="792">
        <v>50</v>
      </c>
    </row>
    <row r="34">
      <c r="A34" s="869" t="s">
        <v>99</v>
      </c>
      <c r="B34" s="787"/>
      <c r="C34" s="787"/>
      <c r="D34" s="787"/>
      <c r="E34" s="787"/>
      <c r="F34" s="787"/>
      <c r="G34" s="795">
        <v>70</v>
      </c>
      <c r="H34" s="792">
        <v>67</v>
      </c>
      <c r="I34" s="792">
        <v>64</v>
      </c>
      <c r="J34" s="792">
        <v>61</v>
      </c>
      <c r="K34" s="792">
        <v>60</v>
      </c>
    </row>
    <row r="35">
      <c r="A35" s="869" t="s">
        <v>1098</v>
      </c>
      <c r="B35" s="787"/>
      <c r="C35" s="787"/>
      <c r="D35" s="787"/>
      <c r="E35" s="787"/>
      <c r="F35" s="787"/>
      <c r="G35" s="795">
        <v>73.3</v>
      </c>
      <c r="H35" s="792">
        <v>73.3</v>
      </c>
      <c r="I35" s="792">
        <v>73.3</v>
      </c>
      <c r="J35" s="792">
        <v>73.3</v>
      </c>
      <c r="K35" s="792">
        <v>73.3</v>
      </c>
    </row>
    <row r="36">
      <c r="A36" s="785"/>
      <c r="B36" s="785"/>
      <c r="C36" s="785"/>
      <c r="D36" s="785"/>
      <c r="E36" s="785"/>
      <c r="F36" s="785"/>
      <c r="G36" s="800"/>
      <c r="H36" s="785"/>
      <c r="I36" s="785"/>
      <c r="J36" s="785"/>
      <c r="K36" s="785"/>
    </row>
    <row r="37">
      <c r="A37" s="803" t="s">
        <v>1099</v>
      </c>
      <c r="B37" s="796"/>
      <c r="C37" s="796"/>
      <c r="D37" s="796"/>
      <c r="E37" s="796"/>
      <c r="F37" s="796"/>
      <c r="G37" s="798"/>
      <c r="H37" s="806"/>
      <c r="I37" s="806"/>
      <c r="J37" s="806"/>
      <c r="K37" s="806"/>
    </row>
    <row r="38">
      <c r="A38" s="869" t="s">
        <v>1100</v>
      </c>
      <c r="B38" s="879" t="s">
        <v>84</v>
      </c>
      <c r="C38" s="879" t="s">
        <v>84</v>
      </c>
      <c r="D38" s="879" t="s">
        <v>84</v>
      </c>
      <c r="E38" s="879" t="s">
        <v>84</v>
      </c>
      <c r="F38" s="879" t="s">
        <v>84</v>
      </c>
      <c r="G38" s="791">
        <v>1</v>
      </c>
      <c r="H38" s="838">
        <v>1</v>
      </c>
      <c r="I38" s="838">
        <v>1</v>
      </c>
      <c r="J38" s="838">
        <v>0.5</v>
      </c>
      <c r="K38" s="838">
        <v>0</v>
      </c>
    </row>
    <row r="39">
      <c r="A39" s="869" t="s">
        <v>1101</v>
      </c>
      <c r="B39" s="879" t="s">
        <v>84</v>
      </c>
      <c r="C39" s="879" t="s">
        <v>84</v>
      </c>
      <c r="D39" s="879" t="s">
        <v>84</v>
      </c>
      <c r="E39" s="879" t="s">
        <v>84</v>
      </c>
      <c r="F39" s="879" t="s">
        <v>84</v>
      </c>
      <c r="G39" s="791">
        <v>1</v>
      </c>
      <c r="H39" s="838">
        <v>1</v>
      </c>
      <c r="I39" s="838">
        <v>1</v>
      </c>
      <c r="J39" s="838">
        <v>0.5</v>
      </c>
      <c r="K39" s="838">
        <v>0</v>
      </c>
    </row>
    <row r="40">
      <c r="A40" s="869" t="s">
        <v>1102</v>
      </c>
      <c r="B40" s="879" t="s">
        <v>84</v>
      </c>
      <c r="C40" s="879" t="s">
        <v>84</v>
      </c>
      <c r="D40" s="879" t="s">
        <v>84</v>
      </c>
      <c r="E40" s="879" t="s">
        <v>84</v>
      </c>
      <c r="F40" s="879" t="s">
        <v>84</v>
      </c>
      <c r="G40" s="791">
        <v>0</v>
      </c>
      <c r="H40" s="838">
        <v>0</v>
      </c>
      <c r="I40" s="838">
        <v>0</v>
      </c>
      <c r="J40" s="838">
        <v>0</v>
      </c>
      <c r="K40" s="838">
        <v>0</v>
      </c>
    </row>
    <row r="41">
      <c r="A41" s="869" t="s">
        <v>1103</v>
      </c>
      <c r="B41" s="879" t="s">
        <v>84</v>
      </c>
      <c r="C41" s="879" t="s">
        <v>84</v>
      </c>
      <c r="D41" s="879" t="s">
        <v>84</v>
      </c>
      <c r="E41" s="879" t="s">
        <v>84</v>
      </c>
      <c r="F41" s="879" t="s">
        <v>84</v>
      </c>
      <c r="G41" s="791">
        <v>1</v>
      </c>
      <c r="H41" s="838">
        <v>1</v>
      </c>
      <c r="I41" s="838">
        <v>1</v>
      </c>
      <c r="J41" s="838">
        <v>1</v>
      </c>
      <c r="K41" s="838">
        <v>1</v>
      </c>
    </row>
    <row r="42">
      <c r="A42" s="869" t="s">
        <v>1104</v>
      </c>
      <c r="B42" s="879" t="s">
        <v>84</v>
      </c>
      <c r="C42" s="879" t="s">
        <v>84</v>
      </c>
      <c r="D42" s="879" t="s">
        <v>84</v>
      </c>
      <c r="E42" s="879" t="s">
        <v>84</v>
      </c>
      <c r="F42" s="879" t="s">
        <v>84</v>
      </c>
      <c r="G42" s="791">
        <v>1</v>
      </c>
      <c r="H42" s="838">
        <v>1</v>
      </c>
      <c r="I42" s="838">
        <v>1</v>
      </c>
      <c r="J42" s="838">
        <v>1</v>
      </c>
      <c r="K42" s="838">
        <v>1</v>
      </c>
    </row>
    <row r="43">
      <c r="A43" s="869" t="s">
        <v>1105</v>
      </c>
      <c r="B43" s="873" t="s">
        <v>84</v>
      </c>
      <c r="C43" s="873" t="s">
        <v>84</v>
      </c>
      <c r="D43" s="873" t="s">
        <v>84</v>
      </c>
      <c r="E43" s="873" t="s">
        <v>84</v>
      </c>
      <c r="F43" s="873" t="s">
        <v>84</v>
      </c>
      <c r="G43" s="891">
        <f>G21*G38+G22*G39+G23*G40+G24*G41+G25*G42</f>
        <v>310761</v>
      </c>
      <c r="H43" s="873">
        <f>H21*H38+H22*H39+H23*H40+H24*H41+H25*H42</f>
        <v>310761</v>
      </c>
      <c r="I43" s="873">
        <f>I21*I38+I22*I39+I23*I40+I24*I41+I25*I42</f>
        <v>310761</v>
      </c>
      <c r="J43" s="873">
        <f>J21*J38+J22*J39+J23*J40+J24*J41+J25*J42</f>
        <v>197757</v>
      </c>
      <c r="K43" s="873">
        <f>K21*K38+K22*K39+K23*K40+K24*K41+K25*K42</f>
        <v>91980</v>
      </c>
    </row>
    <row r="44">
      <c r="A44" s="869" t="s">
        <v>1106</v>
      </c>
      <c r="B44" s="873" t="s">
        <v>84</v>
      </c>
      <c r="C44" s="873" t="s">
        <v>84</v>
      </c>
      <c r="D44" s="873" t="s">
        <v>84</v>
      </c>
      <c r="E44" s="873" t="s">
        <v>84</v>
      </c>
      <c r="F44" s="873" t="s">
        <v>84</v>
      </c>
      <c r="G44" s="815">
        <v>34000</v>
      </c>
      <c r="H44" s="882">
        <v>34000</v>
      </c>
      <c r="I44" s="882">
        <v>34000</v>
      </c>
      <c r="J44" s="882">
        <v>34000</v>
      </c>
      <c r="K44" s="882">
        <v>34000</v>
      </c>
    </row>
    <row r="45">
      <c r="A45" s="869" t="s">
        <v>1107</v>
      </c>
      <c r="B45" s="873" t="s">
        <v>84</v>
      </c>
      <c r="C45" s="873" t="s">
        <v>84</v>
      </c>
      <c r="D45" s="873" t="s">
        <v>84</v>
      </c>
      <c r="E45" s="873" t="s">
        <v>84</v>
      </c>
      <c r="F45" s="873" t="s">
        <v>84</v>
      </c>
      <c r="G45" s="891">
        <f>MAX(0,G27-G43-G44)</f>
        <v>60170</v>
      </c>
      <c r="H45" s="873">
        <f>MAX(0,H27-H43-H44)</f>
        <v>60170</v>
      </c>
      <c r="I45" s="873">
        <f>MAX(0,I27-I43-I44)</f>
        <v>60170</v>
      </c>
      <c r="J45" s="873">
        <f>MAX(0,J27-J43-J44)</f>
        <v>163757</v>
      </c>
      <c r="K45" s="873">
        <f>MAX(0,K27-K43-K44)</f>
        <v>269534</v>
      </c>
    </row>
    <row r="46">
      <c r="A46" s="785"/>
      <c r="B46" s="785"/>
      <c r="C46" s="785"/>
      <c r="D46" s="785"/>
      <c r="E46" s="785"/>
      <c r="F46" s="785"/>
      <c r="G46" s="800"/>
      <c r="H46" s="785"/>
      <c r="I46" s="785"/>
      <c r="J46" s="785"/>
      <c r="K46" s="785"/>
    </row>
    <row r="47">
      <c r="A47" s="803" t="s">
        <v>1108</v>
      </c>
      <c r="B47" s="796"/>
      <c r="C47" s="796"/>
      <c r="D47" s="796"/>
      <c r="E47" s="796"/>
      <c r="F47" s="796"/>
      <c r="G47" s="798"/>
      <c r="H47" s="806"/>
      <c r="I47" s="806"/>
      <c r="J47" s="806"/>
      <c r="K47" s="806"/>
    </row>
    <row r="48">
      <c r="A48" s="869" t="s">
        <v>1109</v>
      </c>
      <c r="B48" s="890">
        <f>ModeloFinanciero!B7</f>
        <v>42036085</v>
      </c>
      <c r="C48" s="890">
        <f>ModeloFinanciero!C7</f>
        <v>40987418</v>
      </c>
      <c r="D48" s="890">
        <f>ModeloFinanciero!D7</f>
        <v>54587421</v>
      </c>
      <c r="E48" s="890">
        <f>ModeloFinanciero!E7</f>
        <v>42653811</v>
      </c>
      <c r="F48" s="890">
        <f>ModeloFinanciero!F7</f>
        <v>42404701</v>
      </c>
      <c r="G48" s="812">
        <f>ModeloFinanciero!G7</f>
        <v>41719195.199</v>
      </c>
      <c r="H48" s="890">
        <f>ModeloFinanciero!H7</f>
        <v>41713332.881000005</v>
      </c>
      <c r="I48" s="890">
        <f>ModeloFinanciero!I7</f>
        <v>41708092.085</v>
      </c>
      <c r="J48" s="890">
        <f>ModeloFinanciero!J7</f>
        <v>34098586.121</v>
      </c>
      <c r="K48" s="890">
        <f>ModeloFinanciero!K7</f>
        <v>27211923.54</v>
      </c>
    </row>
    <row r="49">
      <c r="A49" s="869" t="s">
        <v>1110</v>
      </c>
      <c r="B49" s="873" t="s">
        <v>84</v>
      </c>
      <c r="C49" s="873" t="s">
        <v>84</v>
      </c>
      <c r="D49" s="873" t="s">
        <v>84</v>
      </c>
      <c r="E49" s="873" t="s">
        <v>84</v>
      </c>
      <c r="F49" s="873" t="s">
        <v>84</v>
      </c>
      <c r="G49" s="891">
        <f>G43*G30</f>
        <v>34916795.199</v>
      </c>
      <c r="H49" s="873">
        <f>H43*H30</f>
        <v>35091442.881000005</v>
      </c>
      <c r="I49" s="873">
        <f>I43*I30</f>
        <v>35266712.085</v>
      </c>
      <c r="J49" s="873">
        <f>J43*J30</f>
        <v>22554779.121</v>
      </c>
      <c r="K49" s="873">
        <f>K43*K30</f>
        <v>10543023.540000001</v>
      </c>
    </row>
    <row r="50">
      <c r="A50" s="869" t="s">
        <v>1111</v>
      </c>
      <c r="B50" s="873" t="s">
        <v>84</v>
      </c>
      <c r="C50" s="873" t="s">
        <v>84</v>
      </c>
      <c r="D50" s="873" t="s">
        <v>84</v>
      </c>
      <c r="E50" s="873" t="s">
        <v>84</v>
      </c>
      <c r="F50" s="870">
        <v>2492069</v>
      </c>
      <c r="G50" s="891">
        <f>G44*G35</f>
        <v>2492200</v>
      </c>
      <c r="H50" s="873">
        <f>H44*H35</f>
        <v>2492200</v>
      </c>
      <c r="I50" s="873">
        <f>I44*I35</f>
        <v>2492200</v>
      </c>
      <c r="J50" s="873">
        <f>J44*J35</f>
        <v>2492200</v>
      </c>
      <c r="K50" s="873">
        <f>K44*K35</f>
        <v>2492200</v>
      </c>
    </row>
    <row r="51">
      <c r="A51" s="869" t="s">
        <v>1112</v>
      </c>
      <c r="B51" s="873" t="s">
        <v>84</v>
      </c>
      <c r="C51" s="873" t="s">
        <v>84</v>
      </c>
      <c r="D51" s="873" t="s">
        <v>84</v>
      </c>
      <c r="E51" s="873" t="s">
        <v>84</v>
      </c>
      <c r="F51" s="873" t="s">
        <v>84</v>
      </c>
      <c r="G51" s="891">
        <f>G45*G31</f>
        <v>3610200</v>
      </c>
      <c r="H51" s="873">
        <f>H45*H31</f>
        <v>3429690</v>
      </c>
      <c r="I51" s="873">
        <f>I45*I31</f>
        <v>3249180</v>
      </c>
      <c r="J51" s="873">
        <f>J45*J31</f>
        <v>8351607</v>
      </c>
      <c r="K51" s="873">
        <f>K45*K31</f>
        <v>13476700</v>
      </c>
    </row>
    <row r="52">
      <c r="A52" s="869" t="s">
        <v>1113</v>
      </c>
      <c r="B52" s="873" t="s">
        <v>84</v>
      </c>
      <c r="C52" s="873" t="s">
        <v>84</v>
      </c>
      <c r="D52" s="873" t="s">
        <v>84</v>
      </c>
      <c r="E52" s="873" t="s">
        <v>84</v>
      </c>
      <c r="F52" s="873" t="s">
        <v>84</v>
      </c>
      <c r="G52" s="815">
        <v>700000</v>
      </c>
      <c r="H52" s="882">
        <v>700000</v>
      </c>
      <c r="I52" s="882">
        <v>700000</v>
      </c>
      <c r="J52" s="882">
        <v>700000</v>
      </c>
      <c r="K52" s="882">
        <v>700000</v>
      </c>
    </row>
    <row r="53">
      <c r="A53" s="805" t="s">
        <v>1114</v>
      </c>
      <c r="B53" s="889">
        <f>B48</f>
        <v>42036085</v>
      </c>
      <c r="C53" s="889">
        <f>C48</f>
        <v>40987418</v>
      </c>
      <c r="D53" s="889">
        <f>D48</f>
        <v>54587421</v>
      </c>
      <c r="E53" s="889">
        <f>E48</f>
        <v>42653811</v>
      </c>
      <c r="F53" s="889">
        <f>F48</f>
        <v>42404701</v>
      </c>
      <c r="G53" s="802">
        <f>G49+G51+G50+G52</f>
        <v>41719195.199</v>
      </c>
      <c r="H53" s="889">
        <f>H49+H51+H50+H52</f>
        <v>41713332.881000005</v>
      </c>
      <c r="I53" s="889">
        <f>I49+I51+I50+I52</f>
        <v>41708092.085</v>
      </c>
      <c r="J53" s="889">
        <f>J49+J51+J50+J52</f>
        <v>34098586.121</v>
      </c>
      <c r="K53" s="889">
        <f>K49+K51+K50+K52</f>
        <v>27211923.54</v>
      </c>
    </row>
    <row r="54">
      <c r="A54" s="869" t="s">
        <v>1115</v>
      </c>
      <c r="B54" s="875" t="str">
        <f>IF(ISNUMBER(B27),IF(B27=0,"",B53/B27),"")</f>
        <v/>
      </c>
      <c r="C54" s="875" t="str">
        <f>IF(ISNUMBER(C27),IF(C27=0,"",C53/C27),"")</f>
        <v/>
      </c>
      <c r="D54" s="875" t="str">
        <f>IF(ISNUMBER(D27),IF(D27=0,"",D53/D27),"")</f>
        <v/>
      </c>
      <c r="E54" s="875" t="str">
        <f>IF(ISNUMBER(E27),IF(E27=0,"",E53/E27),"")</f>
        <v/>
      </c>
      <c r="F54" s="875">
        <f>IF(ISNUMBER(F27),IF(F27=0,"",F53/F27),"")</f>
        <v>104.59449706477234</v>
      </c>
      <c r="G54" s="816">
        <f>IF(ISNUMBER(G27),IF(G27=0,"",G53/G27),"")</f>
        <v>103.02791141947641</v>
      </c>
      <c r="H54" s="875">
        <f>IF(ISNUMBER(H27),IF(H27=0,"",H53/H27),"")</f>
        <v>103.0134340937098</v>
      </c>
      <c r="I54" s="875">
        <f>IF(ISNUMBER(I27),IF(I27=0,"",I53/I27),"")</f>
        <v>103.0004916516641</v>
      </c>
      <c r="J54" s="875">
        <f>IF(ISNUMBER(J27),IF(J27=0,"",J53/J27),"")</f>
        <v>86.21334800032363</v>
      </c>
      <c r="K54" s="875">
        <f>IF(ISNUMBER(K27),IF(K27=0,"",K53/K27),"")</f>
        <v>68.8014167387248</v>
      </c>
    </row>
    <row r="55">
      <c r="A55" s="869" t="s">
        <v>1116</v>
      </c>
      <c r="B55" s="882">
        <v>1</v>
      </c>
      <c r="C55" s="882">
        <v>1</v>
      </c>
      <c r="D55" s="882">
        <v>1</v>
      </c>
      <c r="E55" s="882">
        <v>1</v>
      </c>
      <c r="F55" s="882">
        <v>1</v>
      </c>
      <c r="G55" s="815">
        <v>1</v>
      </c>
      <c r="H55" s="882">
        <v>1</v>
      </c>
      <c r="I55" s="882">
        <v>1</v>
      </c>
      <c r="J55" s="882">
        <v>1</v>
      </c>
      <c r="K55" s="882">
        <v>1</v>
      </c>
    </row>
    <row r="56">
      <c r="A56" s="805" t="s">
        <v>1117</v>
      </c>
      <c r="B56" s="889">
        <f>B53-B48</f>
        <v>0</v>
      </c>
      <c r="C56" s="889">
        <f>C53-C48</f>
        <v>0</v>
      </c>
      <c r="D56" s="889">
        <f>D53-D48</f>
        <v>0</v>
      </c>
      <c r="E56" s="889">
        <f>E53-E48</f>
        <v>0</v>
      </c>
      <c r="F56" s="889">
        <f>F53-F48</f>
        <v>0</v>
      </c>
      <c r="G56" s="802">
        <f>G53-G48</f>
        <v>0</v>
      </c>
      <c r="H56" s="889">
        <f>H53-H48</f>
        <v>0</v>
      </c>
      <c r="I56" s="889">
        <f>I53-I48</f>
        <v>0</v>
      </c>
      <c r="J56" s="889">
        <f>J53-J48</f>
        <v>0</v>
      </c>
      <c r="K56" s="889">
        <f>K53-K48</f>
        <v>0</v>
      </c>
    </row>
  </sheetData>
</worksheet>
</file>

<file path=xl/worksheets/sheet7.xml><?xml version="1.0" encoding="utf-8"?>
<worksheet xmlns="http://schemas.openxmlformats.org/spreadsheetml/2006/main" xmlns:r="http://schemas.openxmlformats.org/officeDocument/2006/relationships">
  <dimension ref="A1:M77"/>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824" t="s">
        <v>0</v>
      </c>
      <c r="B1" s="818"/>
      <c r="C1" s="818"/>
      <c r="D1" s="818"/>
      <c r="E1" s="818"/>
      <c r="F1" s="818"/>
      <c r="G1" s="818"/>
      <c r="H1" s="818"/>
      <c r="I1" s="818"/>
      <c r="J1" s="818"/>
      <c r="K1" s="818"/>
      <c r="L1" s="818"/>
      <c r="M1" s="818"/>
    </row>
    <row r="2">
      <c r="A2" s="823" t="s">
        <v>1118</v>
      </c>
      <c r="B2" s="818"/>
      <c r="C2" s="818"/>
      <c r="D2" s="818"/>
      <c r="E2" s="818"/>
      <c r="F2" s="818"/>
      <c r="G2" s="818"/>
      <c r="H2" s="818"/>
      <c r="I2" s="818"/>
      <c r="J2" s="818"/>
      <c r="K2" s="818"/>
      <c r="L2" s="818"/>
      <c r="M2" s="818"/>
    </row>
    <row r="3">
      <c r="A3" s="823" t="s">
        <v>1119</v>
      </c>
      <c r="B3" s="818"/>
      <c r="C3" s="818"/>
      <c r="D3" s="818"/>
      <c r="E3" s="818"/>
      <c r="F3" s="818"/>
      <c r="G3" s="818"/>
      <c r="H3" s="818"/>
      <c r="I3" s="818"/>
      <c r="J3" s="818"/>
      <c r="K3" s="818"/>
      <c r="L3" s="818"/>
      <c r="M3" s="818"/>
    </row>
    <row r="4">
      <c r="A4" s="819" t="s">
        <v>1120</v>
      </c>
      <c r="B4" s="819" t="s">
        <v>1121</v>
      </c>
      <c r="C4" s="819" t="s">
        <v>1122</v>
      </c>
      <c r="D4" s="819" t="s">
        <v>1123</v>
      </c>
      <c r="E4" s="819" t="s">
        <v>1124</v>
      </c>
      <c r="F4" s="819" t="s">
        <v>1125</v>
      </c>
      <c r="G4" s="819" t="s">
        <v>1126</v>
      </c>
      <c r="H4" s="819" t="s">
        <v>1127</v>
      </c>
      <c r="I4" s="819" t="s">
        <v>1128</v>
      </c>
      <c r="J4" s="819" t="s">
        <v>1129</v>
      </c>
      <c r="K4" s="819" t="s">
        <v>990</v>
      </c>
      <c r="L4" s="819" t="s">
        <v>1130</v>
      </c>
      <c r="M4" s="819" t="s">
        <v>994</v>
      </c>
    </row>
    <row r="5">
      <c r="A5" s="823" t="s">
        <v>1131</v>
      </c>
      <c r="B5" s="823" t="s">
        <v>1132</v>
      </c>
      <c r="C5" s="823" t="s">
        <v>1133</v>
      </c>
      <c r="D5" s="818"/>
      <c r="E5" s="818"/>
      <c r="F5" s="818"/>
      <c r="G5" s="818"/>
      <c r="H5" s="823" t="s">
        <v>1134</v>
      </c>
      <c r="I5" s="823" t="s">
        <v>1135</v>
      </c>
      <c r="J5" s="823" t="s">
        <v>84</v>
      </c>
      <c r="K5" s="822" t="s">
        <v>179</v>
      </c>
      <c r="L5" s="823" t="s">
        <v>1136</v>
      </c>
      <c r="M5" s="823" t="s">
        <v>1137</v>
      </c>
    </row>
    <row r="6">
      <c r="A6" s="823" t="s">
        <v>1138</v>
      </c>
      <c r="B6" s="823" t="s">
        <v>1139</v>
      </c>
      <c r="C6" s="823" t="s">
        <v>1133</v>
      </c>
      <c r="D6" s="823" t="s">
        <v>1140</v>
      </c>
      <c r="E6" s="818"/>
      <c r="F6" s="818"/>
      <c r="G6" s="823" t="s">
        <v>170</v>
      </c>
      <c r="H6" s="823" t="s">
        <v>1141</v>
      </c>
      <c r="I6" s="823" t="s">
        <v>1142</v>
      </c>
      <c r="J6" s="823" t="s">
        <v>84</v>
      </c>
      <c r="K6" s="822" t="s">
        <v>179</v>
      </c>
      <c r="L6" s="823" t="s">
        <v>1143</v>
      </c>
      <c r="M6" s="823" t="s">
        <v>1144</v>
      </c>
    </row>
    <row r="7">
      <c r="A7" s="823" t="s">
        <v>1145</v>
      </c>
      <c r="B7" s="823" t="s">
        <v>1139</v>
      </c>
      <c r="C7" s="823" t="s">
        <v>1133</v>
      </c>
      <c r="D7" s="823" t="s">
        <v>339</v>
      </c>
      <c r="E7" s="823" t="s">
        <v>333</v>
      </c>
      <c r="F7" s="818"/>
      <c r="G7" s="823" t="s">
        <v>170</v>
      </c>
      <c r="H7" s="823" t="s">
        <v>1141</v>
      </c>
      <c r="I7" s="823" t="s">
        <v>1142</v>
      </c>
      <c r="J7" s="823" t="s">
        <v>333</v>
      </c>
      <c r="K7" s="822" t="s">
        <v>179</v>
      </c>
      <c r="L7" s="823" t="s">
        <v>1143</v>
      </c>
      <c r="M7" s="823" t="s">
        <v>1146</v>
      </c>
    </row>
    <row r="8">
      <c r="A8" s="823" t="s">
        <v>1147</v>
      </c>
      <c r="B8" s="823" t="s">
        <v>1139</v>
      </c>
      <c r="C8" s="823" t="s">
        <v>1133</v>
      </c>
      <c r="D8" s="823" t="s">
        <v>334</v>
      </c>
      <c r="E8" s="823" t="s">
        <v>327</v>
      </c>
      <c r="F8" s="818"/>
      <c r="G8" s="823" t="s">
        <v>170</v>
      </c>
      <c r="H8" s="823" t="s">
        <v>1141</v>
      </c>
      <c r="I8" s="823" t="s">
        <v>1142</v>
      </c>
      <c r="J8" s="823" t="s">
        <v>327</v>
      </c>
      <c r="K8" s="822" t="s">
        <v>179</v>
      </c>
      <c r="L8" s="823" t="s">
        <v>1148</v>
      </c>
      <c r="M8" s="823" t="s">
        <v>1149</v>
      </c>
    </row>
    <row r="9">
      <c r="A9" s="823" t="s">
        <v>1150</v>
      </c>
      <c r="B9" s="823" t="s">
        <v>1139</v>
      </c>
      <c r="C9" s="823" t="s">
        <v>1133</v>
      </c>
      <c r="D9" s="823" t="s">
        <v>328</v>
      </c>
      <c r="E9" s="823" t="s">
        <v>326</v>
      </c>
      <c r="F9" s="818"/>
      <c r="G9" s="823" t="s">
        <v>170</v>
      </c>
      <c r="H9" s="823" t="s">
        <v>1141</v>
      </c>
      <c r="I9" s="823" t="s">
        <v>1142</v>
      </c>
      <c r="J9" s="823" t="s">
        <v>326</v>
      </c>
      <c r="K9" s="822" t="s">
        <v>179</v>
      </c>
      <c r="L9" s="823" t="s">
        <v>1151</v>
      </c>
      <c r="M9" s="823" t="s">
        <v>1152</v>
      </c>
    </row>
    <row r="10">
      <c r="A10" s="823" t="s">
        <v>1153</v>
      </c>
      <c r="B10" s="823" t="s">
        <v>1139</v>
      </c>
      <c r="C10" s="823" t="s">
        <v>1133</v>
      </c>
      <c r="D10" s="823" t="s">
        <v>168</v>
      </c>
      <c r="E10" s="823" t="s">
        <v>167</v>
      </c>
      <c r="F10" s="818"/>
      <c r="G10" s="823" t="s">
        <v>170</v>
      </c>
      <c r="H10" s="823" t="s">
        <v>1141</v>
      </c>
      <c r="I10" s="823" t="s">
        <v>1142</v>
      </c>
      <c r="J10" s="823" t="s">
        <v>167</v>
      </c>
      <c r="K10" s="822" t="s">
        <v>179</v>
      </c>
      <c r="L10" s="823" t="s">
        <v>1154</v>
      </c>
      <c r="M10" s="823" t="s">
        <v>1155</v>
      </c>
    </row>
    <row r="11">
      <c r="A11" s="823" t="s">
        <v>1156</v>
      </c>
      <c r="B11" s="823" t="s">
        <v>1157</v>
      </c>
      <c r="C11" s="823" t="s">
        <v>1133</v>
      </c>
      <c r="D11" s="823" t="s">
        <v>339</v>
      </c>
      <c r="E11" s="823" t="s">
        <v>338</v>
      </c>
      <c r="F11" s="823" t="s">
        <v>571</v>
      </c>
      <c r="G11" s="823" t="s">
        <v>565</v>
      </c>
      <c r="H11" s="823" t="s">
        <v>1158</v>
      </c>
      <c r="I11" s="823" t="s">
        <v>571</v>
      </c>
      <c r="J11" s="823" t="s">
        <v>338</v>
      </c>
      <c r="K11" s="822" t="s">
        <v>179</v>
      </c>
      <c r="L11" s="823" t="s">
        <v>1159</v>
      </c>
      <c r="M11" s="818"/>
    </row>
    <row r="12">
      <c r="A12" s="823" t="s">
        <v>1160</v>
      </c>
      <c r="B12" s="823" t="s">
        <v>1157</v>
      </c>
      <c r="C12" s="823" t="s">
        <v>1133</v>
      </c>
      <c r="D12" s="823" t="s">
        <v>339</v>
      </c>
      <c r="E12" s="823" t="s">
        <v>338</v>
      </c>
      <c r="F12" s="823" t="s">
        <v>607</v>
      </c>
      <c r="G12" s="823" t="s">
        <v>574</v>
      </c>
      <c r="H12" s="823" t="s">
        <v>1158</v>
      </c>
      <c r="I12" s="823" t="s">
        <v>607</v>
      </c>
      <c r="J12" s="823" t="s">
        <v>338</v>
      </c>
      <c r="K12" s="822" t="s">
        <v>179</v>
      </c>
      <c r="L12" s="823" t="s">
        <v>1161</v>
      </c>
      <c r="M12" s="818"/>
    </row>
    <row r="13">
      <c r="A13" s="823" t="s">
        <v>1162</v>
      </c>
      <c r="B13" s="823" t="s">
        <v>1157</v>
      </c>
      <c r="C13" s="823" t="s">
        <v>1133</v>
      </c>
      <c r="D13" s="823" t="s">
        <v>339</v>
      </c>
      <c r="E13" s="823" t="s">
        <v>338</v>
      </c>
      <c r="F13" s="823" t="s">
        <v>616</v>
      </c>
      <c r="G13" s="823" t="s">
        <v>1163</v>
      </c>
      <c r="H13" s="823" t="s">
        <v>1158</v>
      </c>
      <c r="I13" s="823" t="s">
        <v>616</v>
      </c>
      <c r="J13" s="823" t="s">
        <v>338</v>
      </c>
      <c r="K13" s="822" t="s">
        <v>179</v>
      </c>
      <c r="L13" s="823" t="s">
        <v>1164</v>
      </c>
      <c r="M13" s="818"/>
    </row>
    <row r="14">
      <c r="A14" s="823" t="s">
        <v>1165</v>
      </c>
      <c r="B14" s="823" t="s">
        <v>1157</v>
      </c>
      <c r="C14" s="823" t="s">
        <v>1133</v>
      </c>
      <c r="D14" s="823" t="s">
        <v>339</v>
      </c>
      <c r="E14" s="823" t="s">
        <v>338</v>
      </c>
      <c r="F14" s="823" t="s">
        <v>687</v>
      </c>
      <c r="G14" s="823" t="s">
        <v>681</v>
      </c>
      <c r="H14" s="823" t="s">
        <v>1158</v>
      </c>
      <c r="I14" s="823" t="s">
        <v>687</v>
      </c>
      <c r="J14" s="823" t="s">
        <v>338</v>
      </c>
      <c r="K14" s="822" t="s">
        <v>179</v>
      </c>
      <c r="L14" s="823" t="s">
        <v>1136</v>
      </c>
      <c r="M14" s="818"/>
    </row>
    <row r="15">
      <c r="A15" s="823" t="s">
        <v>1166</v>
      </c>
      <c r="B15" s="823" t="s">
        <v>1157</v>
      </c>
      <c r="C15" s="823" t="s">
        <v>1133</v>
      </c>
      <c r="D15" s="823" t="s">
        <v>339</v>
      </c>
      <c r="E15" s="823" t="s">
        <v>338</v>
      </c>
      <c r="F15" s="823" t="s">
        <v>716</v>
      </c>
      <c r="G15" s="823" t="s">
        <v>1167</v>
      </c>
      <c r="H15" s="823" t="s">
        <v>1158</v>
      </c>
      <c r="I15" s="823" t="s">
        <v>716</v>
      </c>
      <c r="J15" s="823" t="s">
        <v>338</v>
      </c>
      <c r="K15" s="822" t="s">
        <v>179</v>
      </c>
      <c r="L15" s="823" t="s">
        <v>1168</v>
      </c>
      <c r="M15" s="818"/>
    </row>
    <row r="16">
      <c r="A16" s="823" t="s">
        <v>1169</v>
      </c>
      <c r="B16" s="823" t="s">
        <v>1157</v>
      </c>
      <c r="C16" s="823" t="s">
        <v>1133</v>
      </c>
      <c r="D16" s="823" t="s">
        <v>339</v>
      </c>
      <c r="E16" s="823" t="s">
        <v>338</v>
      </c>
      <c r="F16" s="823" t="s">
        <v>769</v>
      </c>
      <c r="G16" s="823" t="s">
        <v>1170</v>
      </c>
      <c r="H16" s="823" t="s">
        <v>1158</v>
      </c>
      <c r="I16" s="823" t="s">
        <v>769</v>
      </c>
      <c r="J16" s="823" t="s">
        <v>338</v>
      </c>
      <c r="K16" s="822" t="s">
        <v>179</v>
      </c>
      <c r="L16" s="823" t="s">
        <v>1171</v>
      </c>
      <c r="M16" s="818"/>
    </row>
    <row r="17">
      <c r="A17" s="823" t="s">
        <v>1172</v>
      </c>
      <c r="B17" s="823" t="s">
        <v>1157</v>
      </c>
      <c r="C17" s="823" t="s">
        <v>1133</v>
      </c>
      <c r="D17" s="823" t="s">
        <v>339</v>
      </c>
      <c r="E17" s="823" t="s">
        <v>338</v>
      </c>
      <c r="F17" s="823" t="s">
        <v>814</v>
      </c>
      <c r="G17" s="823" t="s">
        <v>832</v>
      </c>
      <c r="H17" s="823" t="s">
        <v>1158</v>
      </c>
      <c r="I17" s="823" t="s">
        <v>814</v>
      </c>
      <c r="J17" s="823" t="s">
        <v>338</v>
      </c>
      <c r="K17" s="822" t="s">
        <v>179</v>
      </c>
      <c r="L17" s="823" t="s">
        <v>1173</v>
      </c>
      <c r="M17" s="818"/>
    </row>
    <row r="18">
      <c r="A18" s="823" t="s">
        <v>1174</v>
      </c>
      <c r="B18" s="823" t="s">
        <v>1157</v>
      </c>
      <c r="C18" s="823" t="s">
        <v>1133</v>
      </c>
      <c r="D18" s="823" t="s">
        <v>339</v>
      </c>
      <c r="E18" s="823" t="s">
        <v>338</v>
      </c>
      <c r="F18" s="823" t="s">
        <v>840</v>
      </c>
      <c r="G18" s="823" t="s">
        <v>1175</v>
      </c>
      <c r="H18" s="823" t="s">
        <v>1158</v>
      </c>
      <c r="I18" s="823" t="s">
        <v>840</v>
      </c>
      <c r="J18" s="823" t="s">
        <v>338</v>
      </c>
      <c r="K18" s="822" t="s">
        <v>179</v>
      </c>
      <c r="L18" s="823" t="s">
        <v>1176</v>
      </c>
      <c r="M18" s="818"/>
    </row>
    <row r="19">
      <c r="A19" s="823" t="s">
        <v>1177</v>
      </c>
      <c r="B19" s="823" t="s">
        <v>1157</v>
      </c>
      <c r="C19" s="823" t="s">
        <v>1133</v>
      </c>
      <c r="D19" s="823" t="s">
        <v>339</v>
      </c>
      <c r="E19" s="823" t="s">
        <v>338</v>
      </c>
      <c r="F19" s="823" t="s">
        <v>296</v>
      </c>
      <c r="G19" s="823" t="s">
        <v>1178</v>
      </c>
      <c r="H19" s="823" t="s">
        <v>1158</v>
      </c>
      <c r="I19" s="823" t="s">
        <v>296</v>
      </c>
      <c r="J19" s="823" t="s">
        <v>338</v>
      </c>
      <c r="K19" s="822" t="s">
        <v>179</v>
      </c>
      <c r="L19" s="823" t="s">
        <v>1171</v>
      </c>
      <c r="M19" s="818"/>
    </row>
    <row r="20">
      <c r="A20" s="823" t="s">
        <v>1179</v>
      </c>
      <c r="B20" s="823" t="s">
        <v>1157</v>
      </c>
      <c r="C20" s="823" t="s">
        <v>1133</v>
      </c>
      <c r="D20" s="823" t="s">
        <v>339</v>
      </c>
      <c r="E20" s="823" t="s">
        <v>338</v>
      </c>
      <c r="F20" s="823" t="s">
        <v>424</v>
      </c>
      <c r="G20" s="823" t="s">
        <v>423</v>
      </c>
      <c r="H20" s="823" t="s">
        <v>1158</v>
      </c>
      <c r="I20" s="823" t="s">
        <v>424</v>
      </c>
      <c r="J20" s="823" t="s">
        <v>338</v>
      </c>
      <c r="K20" s="822" t="s">
        <v>179</v>
      </c>
      <c r="L20" s="823" t="s">
        <v>1161</v>
      </c>
      <c r="M20" s="818"/>
    </row>
    <row r="21">
      <c r="A21" s="823" t="s">
        <v>1180</v>
      </c>
      <c r="B21" s="823" t="s">
        <v>1157</v>
      </c>
      <c r="C21" s="823" t="s">
        <v>1133</v>
      </c>
      <c r="D21" s="823" t="s">
        <v>339</v>
      </c>
      <c r="E21" s="823" t="s">
        <v>338</v>
      </c>
      <c r="F21" s="823" t="s">
        <v>436</v>
      </c>
      <c r="G21" s="823" t="s">
        <v>435</v>
      </c>
      <c r="H21" s="823" t="s">
        <v>1158</v>
      </c>
      <c r="I21" s="823" t="s">
        <v>436</v>
      </c>
      <c r="J21" s="823" t="s">
        <v>338</v>
      </c>
      <c r="K21" s="822" t="s">
        <v>179</v>
      </c>
      <c r="L21" s="823" t="s">
        <v>1173</v>
      </c>
      <c r="M21" s="818"/>
    </row>
    <row r="22">
      <c r="A22" s="823" t="s">
        <v>1181</v>
      </c>
      <c r="B22" s="823" t="s">
        <v>1157</v>
      </c>
      <c r="C22" s="823" t="s">
        <v>1133</v>
      </c>
      <c r="D22" s="823" t="s">
        <v>339</v>
      </c>
      <c r="E22" s="823" t="s">
        <v>338</v>
      </c>
      <c r="F22" s="823" t="s">
        <v>463</v>
      </c>
      <c r="G22" s="823" t="s">
        <v>467</v>
      </c>
      <c r="H22" s="823" t="s">
        <v>1158</v>
      </c>
      <c r="I22" s="823" t="s">
        <v>463</v>
      </c>
      <c r="J22" s="823" t="s">
        <v>338</v>
      </c>
      <c r="K22" s="822" t="s">
        <v>179</v>
      </c>
      <c r="L22" s="823" t="s">
        <v>1161</v>
      </c>
      <c r="M22" s="818"/>
    </row>
    <row r="23">
      <c r="A23" s="823" t="s">
        <v>1182</v>
      </c>
      <c r="B23" s="823" t="s">
        <v>1157</v>
      </c>
      <c r="C23" s="823" t="s">
        <v>1133</v>
      </c>
      <c r="D23" s="823" t="s">
        <v>339</v>
      </c>
      <c r="E23" s="823" t="s">
        <v>338</v>
      </c>
      <c r="F23" s="823" t="s">
        <v>480</v>
      </c>
      <c r="G23" s="823" t="s">
        <v>523</v>
      </c>
      <c r="H23" s="823" t="s">
        <v>1158</v>
      </c>
      <c r="I23" s="823" t="s">
        <v>480</v>
      </c>
      <c r="J23" s="823" t="s">
        <v>338</v>
      </c>
      <c r="K23" s="822" t="s">
        <v>179</v>
      </c>
      <c r="L23" s="823" t="s">
        <v>1183</v>
      </c>
      <c r="M23" s="818"/>
    </row>
    <row r="24">
      <c r="A24" s="823" t="s">
        <v>1184</v>
      </c>
      <c r="B24" s="823" t="s">
        <v>1157</v>
      </c>
      <c r="C24" s="823" t="s">
        <v>1133</v>
      </c>
      <c r="D24" s="823" t="s">
        <v>339</v>
      </c>
      <c r="E24" s="823" t="s">
        <v>338</v>
      </c>
      <c r="F24" s="823" t="s">
        <v>532</v>
      </c>
      <c r="G24" s="823" t="s">
        <v>1185</v>
      </c>
      <c r="H24" s="823" t="s">
        <v>1158</v>
      </c>
      <c r="I24" s="823" t="s">
        <v>532</v>
      </c>
      <c r="J24" s="823" t="s">
        <v>338</v>
      </c>
      <c r="K24" s="822" t="s">
        <v>179</v>
      </c>
      <c r="L24" s="823" t="s">
        <v>1186</v>
      </c>
      <c r="M24" s="818"/>
    </row>
    <row r="25">
      <c r="A25" s="823" t="s">
        <v>1187</v>
      </c>
      <c r="B25" s="823" t="s">
        <v>1157</v>
      </c>
      <c r="C25" s="823" t="s">
        <v>1133</v>
      </c>
      <c r="D25" s="823" t="s">
        <v>334</v>
      </c>
      <c r="E25" s="823" t="s">
        <v>333</v>
      </c>
      <c r="F25" s="823" t="s">
        <v>571</v>
      </c>
      <c r="G25" s="823" t="s">
        <v>565</v>
      </c>
      <c r="H25" s="823" t="s">
        <v>1158</v>
      </c>
      <c r="I25" s="823" t="s">
        <v>571</v>
      </c>
      <c r="J25" s="823" t="s">
        <v>333</v>
      </c>
      <c r="K25" s="822" t="s">
        <v>179</v>
      </c>
      <c r="L25" s="823" t="s">
        <v>1159</v>
      </c>
      <c r="M25" s="818"/>
    </row>
    <row r="26">
      <c r="A26" s="823" t="s">
        <v>1188</v>
      </c>
      <c r="B26" s="823" t="s">
        <v>1157</v>
      </c>
      <c r="C26" s="823" t="s">
        <v>1133</v>
      </c>
      <c r="D26" s="823" t="s">
        <v>334</v>
      </c>
      <c r="E26" s="823" t="s">
        <v>333</v>
      </c>
      <c r="F26" s="823" t="s">
        <v>607</v>
      </c>
      <c r="G26" s="823" t="s">
        <v>594</v>
      </c>
      <c r="H26" s="823" t="s">
        <v>1158</v>
      </c>
      <c r="I26" s="823" t="s">
        <v>607</v>
      </c>
      <c r="J26" s="823" t="s">
        <v>333</v>
      </c>
      <c r="K26" s="822" t="s">
        <v>179</v>
      </c>
      <c r="L26" s="823" t="s">
        <v>1189</v>
      </c>
      <c r="M26" s="818"/>
    </row>
    <row r="27">
      <c r="A27" s="823" t="s">
        <v>1190</v>
      </c>
      <c r="B27" s="823" t="s">
        <v>1157</v>
      </c>
      <c r="C27" s="823" t="s">
        <v>1133</v>
      </c>
      <c r="D27" s="823" t="s">
        <v>334</v>
      </c>
      <c r="E27" s="823" t="s">
        <v>333</v>
      </c>
      <c r="F27" s="823" t="s">
        <v>616</v>
      </c>
      <c r="G27" s="823" t="s">
        <v>1191</v>
      </c>
      <c r="H27" s="823" t="s">
        <v>1158</v>
      </c>
      <c r="I27" s="823" t="s">
        <v>616</v>
      </c>
      <c r="J27" s="823" t="s">
        <v>333</v>
      </c>
      <c r="K27" s="822" t="s">
        <v>179</v>
      </c>
      <c r="L27" s="823" t="s">
        <v>1164</v>
      </c>
      <c r="M27" s="818"/>
    </row>
    <row r="28">
      <c r="A28" s="823" t="s">
        <v>1192</v>
      </c>
      <c r="B28" s="823" t="s">
        <v>1157</v>
      </c>
      <c r="C28" s="823" t="s">
        <v>1133</v>
      </c>
      <c r="D28" s="823" t="s">
        <v>334</v>
      </c>
      <c r="E28" s="823" t="s">
        <v>333</v>
      </c>
      <c r="F28" s="823" t="s">
        <v>687</v>
      </c>
      <c r="G28" s="823" t="s">
        <v>681</v>
      </c>
      <c r="H28" s="823" t="s">
        <v>1158</v>
      </c>
      <c r="I28" s="823" t="s">
        <v>687</v>
      </c>
      <c r="J28" s="823" t="s">
        <v>333</v>
      </c>
      <c r="K28" s="822" t="s">
        <v>179</v>
      </c>
      <c r="L28" s="823" t="s">
        <v>1136</v>
      </c>
      <c r="M28" s="818"/>
    </row>
    <row r="29">
      <c r="A29" s="823" t="s">
        <v>1193</v>
      </c>
      <c r="B29" s="823" t="s">
        <v>1157</v>
      </c>
      <c r="C29" s="823" t="s">
        <v>1133</v>
      </c>
      <c r="D29" s="823" t="s">
        <v>334</v>
      </c>
      <c r="E29" s="823" t="s">
        <v>333</v>
      </c>
      <c r="F29" s="823" t="s">
        <v>716</v>
      </c>
      <c r="G29" s="823" t="s">
        <v>1167</v>
      </c>
      <c r="H29" s="823" t="s">
        <v>1158</v>
      </c>
      <c r="I29" s="823" t="s">
        <v>716</v>
      </c>
      <c r="J29" s="823" t="s">
        <v>333</v>
      </c>
      <c r="K29" s="822" t="s">
        <v>179</v>
      </c>
      <c r="L29" s="823" t="s">
        <v>1168</v>
      </c>
      <c r="M29" s="818"/>
    </row>
    <row r="30">
      <c r="A30" s="823" t="s">
        <v>1194</v>
      </c>
      <c r="B30" s="823" t="s">
        <v>1157</v>
      </c>
      <c r="C30" s="823" t="s">
        <v>1133</v>
      </c>
      <c r="D30" s="823" t="s">
        <v>334</v>
      </c>
      <c r="E30" s="823" t="s">
        <v>333</v>
      </c>
      <c r="F30" s="823" t="s">
        <v>769</v>
      </c>
      <c r="G30" s="823" t="s">
        <v>1170</v>
      </c>
      <c r="H30" s="823" t="s">
        <v>1158</v>
      </c>
      <c r="I30" s="823" t="s">
        <v>769</v>
      </c>
      <c r="J30" s="823" t="s">
        <v>333</v>
      </c>
      <c r="K30" s="822" t="s">
        <v>179</v>
      </c>
      <c r="L30" s="823" t="s">
        <v>1171</v>
      </c>
      <c r="M30" s="818"/>
    </row>
    <row r="31">
      <c r="A31" s="823" t="s">
        <v>1195</v>
      </c>
      <c r="B31" s="823" t="s">
        <v>1157</v>
      </c>
      <c r="C31" s="823" t="s">
        <v>1133</v>
      </c>
      <c r="D31" s="823" t="s">
        <v>334</v>
      </c>
      <c r="E31" s="823" t="s">
        <v>333</v>
      </c>
      <c r="F31" s="823" t="s">
        <v>814</v>
      </c>
      <c r="G31" s="823" t="s">
        <v>807</v>
      </c>
      <c r="H31" s="823" t="s">
        <v>1158</v>
      </c>
      <c r="I31" s="823" t="s">
        <v>814</v>
      </c>
      <c r="J31" s="823" t="s">
        <v>333</v>
      </c>
      <c r="K31" s="822" t="s">
        <v>179</v>
      </c>
      <c r="L31" s="823" t="s">
        <v>1173</v>
      </c>
      <c r="M31" s="818"/>
    </row>
    <row r="32">
      <c r="A32" s="823" t="s">
        <v>1196</v>
      </c>
      <c r="B32" s="823" t="s">
        <v>1157</v>
      </c>
      <c r="C32" s="823" t="s">
        <v>1133</v>
      </c>
      <c r="D32" s="823" t="s">
        <v>334</v>
      </c>
      <c r="E32" s="823" t="s">
        <v>333</v>
      </c>
      <c r="F32" s="823" t="s">
        <v>840</v>
      </c>
      <c r="G32" s="823" t="s">
        <v>1197</v>
      </c>
      <c r="H32" s="823" t="s">
        <v>1158</v>
      </c>
      <c r="I32" s="823" t="s">
        <v>840</v>
      </c>
      <c r="J32" s="823" t="s">
        <v>333</v>
      </c>
      <c r="K32" s="822" t="s">
        <v>179</v>
      </c>
      <c r="L32" s="823" t="s">
        <v>1164</v>
      </c>
      <c r="M32" s="818"/>
    </row>
    <row r="33">
      <c r="A33" s="823" t="s">
        <v>1198</v>
      </c>
      <c r="B33" s="823" t="s">
        <v>1157</v>
      </c>
      <c r="C33" s="823" t="s">
        <v>1133</v>
      </c>
      <c r="D33" s="823" t="s">
        <v>334</v>
      </c>
      <c r="E33" s="823" t="s">
        <v>333</v>
      </c>
      <c r="F33" s="823" t="s">
        <v>950</v>
      </c>
      <c r="G33" s="823" t="s">
        <v>170</v>
      </c>
      <c r="H33" s="823" t="s">
        <v>1158</v>
      </c>
      <c r="I33" s="823" t="s">
        <v>950</v>
      </c>
      <c r="J33" s="823" t="s">
        <v>333</v>
      </c>
      <c r="K33" s="822" t="s">
        <v>179</v>
      </c>
      <c r="L33" s="823" t="s">
        <v>1136</v>
      </c>
      <c r="M33" s="818"/>
    </row>
    <row r="34">
      <c r="A34" s="823" t="s">
        <v>1199</v>
      </c>
      <c r="B34" s="823" t="s">
        <v>1157</v>
      </c>
      <c r="C34" s="823" t="s">
        <v>1133</v>
      </c>
      <c r="D34" s="823" t="s">
        <v>334</v>
      </c>
      <c r="E34" s="823" t="s">
        <v>333</v>
      </c>
      <c r="F34" s="823" t="s">
        <v>296</v>
      </c>
      <c r="G34" s="823" t="s">
        <v>1200</v>
      </c>
      <c r="H34" s="823" t="s">
        <v>1158</v>
      </c>
      <c r="I34" s="823" t="s">
        <v>296</v>
      </c>
      <c r="J34" s="823" t="s">
        <v>333</v>
      </c>
      <c r="K34" s="822" t="s">
        <v>179</v>
      </c>
      <c r="L34" s="823" t="s">
        <v>1176</v>
      </c>
      <c r="M34" s="818"/>
    </row>
    <row r="35">
      <c r="A35" s="823" t="s">
        <v>1201</v>
      </c>
      <c r="B35" s="823" t="s">
        <v>1157</v>
      </c>
      <c r="C35" s="823" t="s">
        <v>1133</v>
      </c>
      <c r="D35" s="823" t="s">
        <v>334</v>
      </c>
      <c r="E35" s="823" t="s">
        <v>333</v>
      </c>
      <c r="F35" s="823" t="s">
        <v>424</v>
      </c>
      <c r="G35" s="823" t="s">
        <v>423</v>
      </c>
      <c r="H35" s="823" t="s">
        <v>1158</v>
      </c>
      <c r="I35" s="823" t="s">
        <v>424</v>
      </c>
      <c r="J35" s="823" t="s">
        <v>333</v>
      </c>
      <c r="K35" s="822" t="s">
        <v>179</v>
      </c>
      <c r="L35" s="823" t="s">
        <v>1161</v>
      </c>
      <c r="M35" s="818"/>
    </row>
    <row r="36">
      <c r="A36" s="823" t="s">
        <v>1202</v>
      </c>
      <c r="B36" s="823" t="s">
        <v>1157</v>
      </c>
      <c r="C36" s="823" t="s">
        <v>1133</v>
      </c>
      <c r="D36" s="823" t="s">
        <v>334</v>
      </c>
      <c r="E36" s="823" t="s">
        <v>333</v>
      </c>
      <c r="F36" s="823" t="s">
        <v>436</v>
      </c>
      <c r="G36" s="823" t="s">
        <v>435</v>
      </c>
      <c r="H36" s="823" t="s">
        <v>1158</v>
      </c>
      <c r="I36" s="823" t="s">
        <v>436</v>
      </c>
      <c r="J36" s="823" t="s">
        <v>333</v>
      </c>
      <c r="K36" s="822" t="s">
        <v>179</v>
      </c>
      <c r="L36" s="823" t="s">
        <v>1173</v>
      </c>
      <c r="M36" s="818"/>
    </row>
    <row r="37">
      <c r="A37" s="823" t="s">
        <v>1203</v>
      </c>
      <c r="B37" s="823" t="s">
        <v>1157</v>
      </c>
      <c r="C37" s="823" t="s">
        <v>1133</v>
      </c>
      <c r="D37" s="823" t="s">
        <v>334</v>
      </c>
      <c r="E37" s="823" t="s">
        <v>333</v>
      </c>
      <c r="F37" s="823" t="s">
        <v>463</v>
      </c>
      <c r="G37" s="823" t="s">
        <v>467</v>
      </c>
      <c r="H37" s="823" t="s">
        <v>1158</v>
      </c>
      <c r="I37" s="823" t="s">
        <v>463</v>
      </c>
      <c r="J37" s="823" t="s">
        <v>333</v>
      </c>
      <c r="K37" s="822" t="s">
        <v>179</v>
      </c>
      <c r="L37" s="823" t="s">
        <v>1161</v>
      </c>
      <c r="M37" s="818"/>
    </row>
    <row r="38">
      <c r="A38" s="823" t="s">
        <v>1204</v>
      </c>
      <c r="B38" s="823" t="s">
        <v>1157</v>
      </c>
      <c r="C38" s="823" t="s">
        <v>1133</v>
      </c>
      <c r="D38" s="823" t="s">
        <v>334</v>
      </c>
      <c r="E38" s="823" t="s">
        <v>333</v>
      </c>
      <c r="F38" s="823" t="s">
        <v>480</v>
      </c>
      <c r="G38" s="823" t="s">
        <v>484</v>
      </c>
      <c r="H38" s="823" t="s">
        <v>1158</v>
      </c>
      <c r="I38" s="823" t="s">
        <v>480</v>
      </c>
      <c r="J38" s="823" t="s">
        <v>333</v>
      </c>
      <c r="K38" s="822" t="s">
        <v>179</v>
      </c>
      <c r="L38" s="823" t="s">
        <v>1159</v>
      </c>
      <c r="M38" s="818"/>
    </row>
    <row r="39">
      <c r="A39" s="823" t="s">
        <v>1205</v>
      </c>
      <c r="B39" s="823" t="s">
        <v>1157</v>
      </c>
      <c r="C39" s="823" t="s">
        <v>1133</v>
      </c>
      <c r="D39" s="823" t="s">
        <v>334</v>
      </c>
      <c r="E39" s="823" t="s">
        <v>333</v>
      </c>
      <c r="F39" s="823" t="s">
        <v>532</v>
      </c>
      <c r="G39" s="823" t="s">
        <v>1206</v>
      </c>
      <c r="H39" s="823" t="s">
        <v>1158</v>
      </c>
      <c r="I39" s="823" t="s">
        <v>532</v>
      </c>
      <c r="J39" s="823" t="s">
        <v>333</v>
      </c>
      <c r="K39" s="822" t="s">
        <v>179</v>
      </c>
      <c r="L39" s="823" t="s">
        <v>1186</v>
      </c>
      <c r="M39" s="818"/>
    </row>
    <row r="40">
      <c r="A40" s="823" t="s">
        <v>1207</v>
      </c>
      <c r="B40" s="823" t="s">
        <v>1157</v>
      </c>
      <c r="C40" s="823" t="s">
        <v>1133</v>
      </c>
      <c r="D40" s="823" t="s">
        <v>328</v>
      </c>
      <c r="E40" s="823" t="s">
        <v>327</v>
      </c>
      <c r="F40" s="823" t="s">
        <v>571</v>
      </c>
      <c r="G40" s="823" t="s">
        <v>565</v>
      </c>
      <c r="H40" s="823" t="s">
        <v>1158</v>
      </c>
      <c r="I40" s="823" t="s">
        <v>571</v>
      </c>
      <c r="J40" s="823" t="s">
        <v>327</v>
      </c>
      <c r="K40" s="822" t="s">
        <v>179</v>
      </c>
      <c r="L40" s="823" t="s">
        <v>1159</v>
      </c>
      <c r="M40" s="818"/>
    </row>
    <row r="41">
      <c r="A41" s="823" t="s">
        <v>1208</v>
      </c>
      <c r="B41" s="823" t="s">
        <v>1157</v>
      </c>
      <c r="C41" s="823" t="s">
        <v>1133</v>
      </c>
      <c r="D41" s="823" t="s">
        <v>328</v>
      </c>
      <c r="E41" s="823" t="s">
        <v>327</v>
      </c>
      <c r="F41" s="823" t="s">
        <v>607</v>
      </c>
      <c r="G41" s="823" t="s">
        <v>594</v>
      </c>
      <c r="H41" s="823" t="s">
        <v>1158</v>
      </c>
      <c r="I41" s="823" t="s">
        <v>607</v>
      </c>
      <c r="J41" s="823" t="s">
        <v>327</v>
      </c>
      <c r="K41" s="822" t="s">
        <v>179</v>
      </c>
      <c r="L41" s="823" t="s">
        <v>1189</v>
      </c>
      <c r="M41" s="818"/>
    </row>
    <row r="42">
      <c r="A42" s="823" t="s">
        <v>1209</v>
      </c>
      <c r="B42" s="823" t="s">
        <v>1157</v>
      </c>
      <c r="C42" s="823" t="s">
        <v>1133</v>
      </c>
      <c r="D42" s="823" t="s">
        <v>328</v>
      </c>
      <c r="E42" s="823" t="s">
        <v>327</v>
      </c>
      <c r="F42" s="823" t="s">
        <v>616</v>
      </c>
      <c r="G42" s="823" t="s">
        <v>1191</v>
      </c>
      <c r="H42" s="823" t="s">
        <v>1158</v>
      </c>
      <c r="I42" s="823" t="s">
        <v>616</v>
      </c>
      <c r="J42" s="823" t="s">
        <v>327</v>
      </c>
      <c r="K42" s="822" t="s">
        <v>179</v>
      </c>
      <c r="L42" s="823" t="s">
        <v>1164</v>
      </c>
      <c r="M42" s="818"/>
    </row>
    <row r="43">
      <c r="A43" s="823" t="s">
        <v>1210</v>
      </c>
      <c r="B43" s="823" t="s">
        <v>1157</v>
      </c>
      <c r="C43" s="823" t="s">
        <v>1133</v>
      </c>
      <c r="D43" s="823" t="s">
        <v>328</v>
      </c>
      <c r="E43" s="823" t="s">
        <v>327</v>
      </c>
      <c r="F43" s="823" t="s">
        <v>687</v>
      </c>
      <c r="G43" s="823" t="s">
        <v>681</v>
      </c>
      <c r="H43" s="823" t="s">
        <v>1158</v>
      </c>
      <c r="I43" s="823" t="s">
        <v>687</v>
      </c>
      <c r="J43" s="823" t="s">
        <v>327</v>
      </c>
      <c r="K43" s="822" t="s">
        <v>179</v>
      </c>
      <c r="L43" s="823" t="s">
        <v>1136</v>
      </c>
      <c r="M43" s="818"/>
    </row>
    <row r="44">
      <c r="A44" s="823" t="s">
        <v>1211</v>
      </c>
      <c r="B44" s="823" t="s">
        <v>1157</v>
      </c>
      <c r="C44" s="823" t="s">
        <v>1133</v>
      </c>
      <c r="D44" s="823" t="s">
        <v>328</v>
      </c>
      <c r="E44" s="823" t="s">
        <v>327</v>
      </c>
      <c r="F44" s="823" t="s">
        <v>716</v>
      </c>
      <c r="G44" s="823" t="s">
        <v>1212</v>
      </c>
      <c r="H44" s="823" t="s">
        <v>1158</v>
      </c>
      <c r="I44" s="823" t="s">
        <v>716</v>
      </c>
      <c r="J44" s="823" t="s">
        <v>327</v>
      </c>
      <c r="K44" s="822" t="s">
        <v>179</v>
      </c>
      <c r="L44" s="823" t="s">
        <v>1213</v>
      </c>
      <c r="M44" s="818"/>
    </row>
    <row r="45">
      <c r="A45" s="823" t="s">
        <v>1214</v>
      </c>
      <c r="B45" s="823" t="s">
        <v>1157</v>
      </c>
      <c r="C45" s="823" t="s">
        <v>1133</v>
      </c>
      <c r="D45" s="823" t="s">
        <v>328</v>
      </c>
      <c r="E45" s="823" t="s">
        <v>327</v>
      </c>
      <c r="F45" s="823" t="s">
        <v>769</v>
      </c>
      <c r="G45" s="823" t="s">
        <v>1215</v>
      </c>
      <c r="H45" s="823" t="s">
        <v>1158</v>
      </c>
      <c r="I45" s="823" t="s">
        <v>769</v>
      </c>
      <c r="J45" s="823" t="s">
        <v>327</v>
      </c>
      <c r="K45" s="822" t="s">
        <v>179</v>
      </c>
      <c r="L45" s="823" t="s">
        <v>1216</v>
      </c>
      <c r="M45" s="818"/>
    </row>
    <row r="46">
      <c r="A46" s="823" t="s">
        <v>1217</v>
      </c>
      <c r="B46" s="823" t="s">
        <v>1157</v>
      </c>
      <c r="C46" s="823" t="s">
        <v>1133</v>
      </c>
      <c r="D46" s="823" t="s">
        <v>328</v>
      </c>
      <c r="E46" s="823" t="s">
        <v>327</v>
      </c>
      <c r="F46" s="823" t="s">
        <v>814</v>
      </c>
      <c r="G46" s="823" t="s">
        <v>784</v>
      </c>
      <c r="H46" s="823" t="s">
        <v>1158</v>
      </c>
      <c r="I46" s="823" t="s">
        <v>814</v>
      </c>
      <c r="J46" s="823" t="s">
        <v>327</v>
      </c>
      <c r="K46" s="822" t="s">
        <v>179</v>
      </c>
      <c r="L46" s="823" t="s">
        <v>1159</v>
      </c>
      <c r="M46" s="818"/>
    </row>
    <row r="47">
      <c r="A47" s="823" t="s">
        <v>1218</v>
      </c>
      <c r="B47" s="823" t="s">
        <v>1157</v>
      </c>
      <c r="C47" s="823" t="s">
        <v>1133</v>
      </c>
      <c r="D47" s="823" t="s">
        <v>328</v>
      </c>
      <c r="E47" s="823" t="s">
        <v>327</v>
      </c>
      <c r="F47" s="823" t="s">
        <v>840</v>
      </c>
      <c r="G47" s="823" t="s">
        <v>1219</v>
      </c>
      <c r="H47" s="823" t="s">
        <v>1158</v>
      </c>
      <c r="I47" s="823" t="s">
        <v>840</v>
      </c>
      <c r="J47" s="823" t="s">
        <v>327</v>
      </c>
      <c r="K47" s="822" t="s">
        <v>179</v>
      </c>
      <c r="L47" s="823" t="s">
        <v>1220</v>
      </c>
      <c r="M47" s="818"/>
    </row>
    <row r="48">
      <c r="A48" s="823" t="s">
        <v>1221</v>
      </c>
      <c r="B48" s="823" t="s">
        <v>1157</v>
      </c>
      <c r="C48" s="823" t="s">
        <v>1133</v>
      </c>
      <c r="D48" s="823" t="s">
        <v>328</v>
      </c>
      <c r="E48" s="823" t="s">
        <v>327</v>
      </c>
      <c r="F48" s="823" t="s">
        <v>296</v>
      </c>
      <c r="G48" s="823" t="s">
        <v>1200</v>
      </c>
      <c r="H48" s="823" t="s">
        <v>1158</v>
      </c>
      <c r="I48" s="823" t="s">
        <v>296</v>
      </c>
      <c r="J48" s="823" t="s">
        <v>327</v>
      </c>
      <c r="K48" s="822" t="s">
        <v>179</v>
      </c>
      <c r="L48" s="823" t="s">
        <v>1176</v>
      </c>
      <c r="M48" s="818"/>
    </row>
    <row r="49">
      <c r="A49" s="823" t="s">
        <v>1222</v>
      </c>
      <c r="B49" s="823" t="s">
        <v>1157</v>
      </c>
      <c r="C49" s="823" t="s">
        <v>1133</v>
      </c>
      <c r="D49" s="823" t="s">
        <v>328</v>
      </c>
      <c r="E49" s="823" t="s">
        <v>327</v>
      </c>
      <c r="F49" s="823" t="s">
        <v>424</v>
      </c>
      <c r="G49" s="823" t="s">
        <v>423</v>
      </c>
      <c r="H49" s="823" t="s">
        <v>1158</v>
      </c>
      <c r="I49" s="823" t="s">
        <v>424</v>
      </c>
      <c r="J49" s="823" t="s">
        <v>327</v>
      </c>
      <c r="K49" s="822" t="s">
        <v>179</v>
      </c>
      <c r="L49" s="823" t="s">
        <v>1161</v>
      </c>
      <c r="M49" s="818"/>
    </row>
    <row r="50">
      <c r="A50" s="823" t="s">
        <v>1223</v>
      </c>
      <c r="B50" s="823" t="s">
        <v>1157</v>
      </c>
      <c r="C50" s="823" t="s">
        <v>1133</v>
      </c>
      <c r="D50" s="823" t="s">
        <v>328</v>
      </c>
      <c r="E50" s="823" t="s">
        <v>327</v>
      </c>
      <c r="F50" s="823" t="s">
        <v>436</v>
      </c>
      <c r="G50" s="823" t="s">
        <v>435</v>
      </c>
      <c r="H50" s="823" t="s">
        <v>1158</v>
      </c>
      <c r="I50" s="823" t="s">
        <v>436</v>
      </c>
      <c r="J50" s="823" t="s">
        <v>327</v>
      </c>
      <c r="K50" s="822" t="s">
        <v>179</v>
      </c>
      <c r="L50" s="823" t="s">
        <v>1173</v>
      </c>
      <c r="M50" s="818"/>
    </row>
    <row r="51">
      <c r="A51" s="823" t="s">
        <v>1224</v>
      </c>
      <c r="B51" s="823" t="s">
        <v>1157</v>
      </c>
      <c r="C51" s="823" t="s">
        <v>1133</v>
      </c>
      <c r="D51" s="823" t="s">
        <v>328</v>
      </c>
      <c r="E51" s="823" t="s">
        <v>327</v>
      </c>
      <c r="F51" s="823" t="s">
        <v>463</v>
      </c>
      <c r="G51" s="823" t="s">
        <v>467</v>
      </c>
      <c r="H51" s="823" t="s">
        <v>1158</v>
      </c>
      <c r="I51" s="823" t="s">
        <v>463</v>
      </c>
      <c r="J51" s="823" t="s">
        <v>327</v>
      </c>
      <c r="K51" s="822" t="s">
        <v>179</v>
      </c>
      <c r="L51" s="823" t="s">
        <v>1161</v>
      </c>
      <c r="M51" s="818"/>
    </row>
    <row r="52">
      <c r="A52" s="823" t="s">
        <v>1225</v>
      </c>
      <c r="B52" s="823" t="s">
        <v>1157</v>
      </c>
      <c r="C52" s="823" t="s">
        <v>1133</v>
      </c>
      <c r="D52" s="823" t="s">
        <v>328</v>
      </c>
      <c r="E52" s="823" t="s">
        <v>327</v>
      </c>
      <c r="F52" s="823" t="s">
        <v>480</v>
      </c>
      <c r="G52" s="823" t="s">
        <v>484</v>
      </c>
      <c r="H52" s="823" t="s">
        <v>1158</v>
      </c>
      <c r="I52" s="823" t="s">
        <v>480</v>
      </c>
      <c r="J52" s="823" t="s">
        <v>327</v>
      </c>
      <c r="K52" s="822" t="s">
        <v>179</v>
      </c>
      <c r="L52" s="823" t="s">
        <v>1226</v>
      </c>
      <c r="M52" s="818"/>
    </row>
    <row r="53">
      <c r="A53" s="823" t="s">
        <v>1227</v>
      </c>
      <c r="B53" s="823" t="s">
        <v>1157</v>
      </c>
      <c r="C53" s="823" t="s">
        <v>1133</v>
      </c>
      <c r="D53" s="823" t="s">
        <v>328</v>
      </c>
      <c r="E53" s="823" t="s">
        <v>327</v>
      </c>
      <c r="F53" s="823" t="s">
        <v>532</v>
      </c>
      <c r="G53" s="823" t="s">
        <v>1228</v>
      </c>
      <c r="H53" s="823" t="s">
        <v>1158</v>
      </c>
      <c r="I53" s="823" t="s">
        <v>532</v>
      </c>
      <c r="J53" s="823" t="s">
        <v>327</v>
      </c>
      <c r="K53" s="822" t="s">
        <v>179</v>
      </c>
      <c r="L53" s="823" t="s">
        <v>1220</v>
      </c>
      <c r="M53" s="818"/>
    </row>
    <row r="54">
      <c r="A54" s="823" t="s">
        <v>1229</v>
      </c>
      <c r="B54" s="823" t="s">
        <v>1157</v>
      </c>
      <c r="C54" s="823" t="s">
        <v>1133</v>
      </c>
      <c r="D54" s="823" t="s">
        <v>168</v>
      </c>
      <c r="E54" s="823" t="s">
        <v>167</v>
      </c>
      <c r="F54" s="823" t="s">
        <v>955</v>
      </c>
      <c r="G54" s="818"/>
      <c r="H54" s="823" t="s">
        <v>1158</v>
      </c>
      <c r="I54" s="823" t="s">
        <v>955</v>
      </c>
      <c r="J54" s="823" t="s">
        <v>167</v>
      </c>
      <c r="K54" s="822" t="s">
        <v>179</v>
      </c>
      <c r="L54" s="823" t="s">
        <v>1226</v>
      </c>
      <c r="M54" s="818"/>
    </row>
    <row r="55">
      <c r="A55" s="823" t="s">
        <v>1230</v>
      </c>
      <c r="B55" s="823" t="s">
        <v>1157</v>
      </c>
      <c r="C55" s="823" t="s">
        <v>1133</v>
      </c>
      <c r="D55" s="823" t="s">
        <v>168</v>
      </c>
      <c r="E55" s="823" t="s">
        <v>167</v>
      </c>
      <c r="F55" s="823" t="s">
        <v>171</v>
      </c>
      <c r="G55" s="823" t="s">
        <v>170</v>
      </c>
      <c r="H55" s="823" t="s">
        <v>1158</v>
      </c>
      <c r="I55" s="823" t="s">
        <v>171</v>
      </c>
      <c r="J55" s="823" t="s">
        <v>167</v>
      </c>
      <c r="K55" s="822" t="s">
        <v>179</v>
      </c>
      <c r="L55" s="823" t="s">
        <v>1161</v>
      </c>
      <c r="M55" s="818"/>
    </row>
    <row r="56">
      <c r="A56" s="823" t="s">
        <v>1231</v>
      </c>
      <c r="B56" s="823" t="s">
        <v>1157</v>
      </c>
      <c r="C56" s="823" t="s">
        <v>1133</v>
      </c>
      <c r="D56" s="823" t="s">
        <v>168</v>
      </c>
      <c r="E56" s="823" t="s">
        <v>167</v>
      </c>
      <c r="F56" s="823" t="s">
        <v>571</v>
      </c>
      <c r="G56" s="823" t="s">
        <v>1232</v>
      </c>
      <c r="H56" s="823" t="s">
        <v>1158</v>
      </c>
      <c r="I56" s="823" t="s">
        <v>571</v>
      </c>
      <c r="J56" s="823" t="s">
        <v>167</v>
      </c>
      <c r="K56" s="822" t="s">
        <v>179</v>
      </c>
      <c r="L56" s="823" t="s">
        <v>1164</v>
      </c>
      <c r="M56" s="818"/>
    </row>
    <row r="57">
      <c r="A57" s="823" t="s">
        <v>1233</v>
      </c>
      <c r="B57" s="823" t="s">
        <v>1157</v>
      </c>
      <c r="C57" s="823" t="s">
        <v>1133</v>
      </c>
      <c r="D57" s="823" t="s">
        <v>168</v>
      </c>
      <c r="E57" s="823" t="s">
        <v>167</v>
      </c>
      <c r="F57" s="823" t="s">
        <v>589</v>
      </c>
      <c r="G57" s="823" t="s">
        <v>1234</v>
      </c>
      <c r="H57" s="823" t="s">
        <v>1158</v>
      </c>
      <c r="I57" s="823" t="s">
        <v>589</v>
      </c>
      <c r="J57" s="823" t="s">
        <v>167</v>
      </c>
      <c r="K57" s="822" t="s">
        <v>179</v>
      </c>
      <c r="L57" s="823" t="s">
        <v>1161</v>
      </c>
      <c r="M57" s="818"/>
    </row>
    <row r="58">
      <c r="A58" s="823" t="s">
        <v>1235</v>
      </c>
      <c r="B58" s="823" t="s">
        <v>1157</v>
      </c>
      <c r="C58" s="823" t="s">
        <v>1133</v>
      </c>
      <c r="D58" s="823" t="s">
        <v>168</v>
      </c>
      <c r="E58" s="823" t="s">
        <v>167</v>
      </c>
      <c r="F58" s="823" t="s">
        <v>607</v>
      </c>
      <c r="G58" s="823" t="s">
        <v>606</v>
      </c>
      <c r="H58" s="823" t="s">
        <v>1158</v>
      </c>
      <c r="I58" s="823" t="s">
        <v>607</v>
      </c>
      <c r="J58" s="823" t="s">
        <v>167</v>
      </c>
      <c r="K58" s="822" t="s">
        <v>179</v>
      </c>
      <c r="L58" s="823" t="s">
        <v>1226</v>
      </c>
      <c r="M58" s="818"/>
    </row>
    <row r="59">
      <c r="A59" s="823" t="s">
        <v>1236</v>
      </c>
      <c r="B59" s="823" t="s">
        <v>1157</v>
      </c>
      <c r="C59" s="823" t="s">
        <v>1133</v>
      </c>
      <c r="D59" s="823" t="s">
        <v>168</v>
      </c>
      <c r="E59" s="823" t="s">
        <v>167</v>
      </c>
      <c r="F59" s="823" t="s">
        <v>616</v>
      </c>
      <c r="G59" s="823" t="s">
        <v>1237</v>
      </c>
      <c r="H59" s="823" t="s">
        <v>1158</v>
      </c>
      <c r="I59" s="823" t="s">
        <v>616</v>
      </c>
      <c r="J59" s="823" t="s">
        <v>167</v>
      </c>
      <c r="K59" s="822" t="s">
        <v>179</v>
      </c>
      <c r="L59" s="823" t="s">
        <v>1238</v>
      </c>
      <c r="M59" s="818"/>
    </row>
    <row r="60">
      <c r="A60" s="823" t="s">
        <v>1239</v>
      </c>
      <c r="B60" s="823" t="s">
        <v>1157</v>
      </c>
      <c r="C60" s="823" t="s">
        <v>1133</v>
      </c>
      <c r="D60" s="823" t="s">
        <v>168</v>
      </c>
      <c r="E60" s="823" t="s">
        <v>167</v>
      </c>
      <c r="F60" s="823" t="s">
        <v>687</v>
      </c>
      <c r="G60" s="823" t="s">
        <v>1240</v>
      </c>
      <c r="H60" s="823" t="s">
        <v>1158</v>
      </c>
      <c r="I60" s="823" t="s">
        <v>687</v>
      </c>
      <c r="J60" s="823" t="s">
        <v>167</v>
      </c>
      <c r="K60" s="822" t="s">
        <v>179</v>
      </c>
      <c r="L60" s="823" t="s">
        <v>1226</v>
      </c>
      <c r="M60" s="818"/>
    </row>
    <row r="61">
      <c r="A61" s="823" t="s">
        <v>1241</v>
      </c>
      <c r="B61" s="823" t="s">
        <v>1157</v>
      </c>
      <c r="C61" s="823" t="s">
        <v>1133</v>
      </c>
      <c r="D61" s="823" t="s">
        <v>168</v>
      </c>
      <c r="E61" s="823" t="s">
        <v>167</v>
      </c>
      <c r="F61" s="823" t="s">
        <v>716</v>
      </c>
      <c r="G61" s="823" t="s">
        <v>1167</v>
      </c>
      <c r="H61" s="823" t="s">
        <v>1158</v>
      </c>
      <c r="I61" s="823" t="s">
        <v>716</v>
      </c>
      <c r="J61" s="823" t="s">
        <v>167</v>
      </c>
      <c r="K61" s="822" t="s">
        <v>179</v>
      </c>
      <c r="L61" s="823" t="s">
        <v>1242</v>
      </c>
      <c r="M61" s="818"/>
    </row>
    <row r="62">
      <c r="A62" s="823" t="s">
        <v>1243</v>
      </c>
      <c r="B62" s="823" t="s">
        <v>1157</v>
      </c>
      <c r="C62" s="823" t="s">
        <v>1133</v>
      </c>
      <c r="D62" s="823" t="s">
        <v>168</v>
      </c>
      <c r="E62" s="823" t="s">
        <v>167</v>
      </c>
      <c r="F62" s="823" t="s">
        <v>769</v>
      </c>
      <c r="G62" s="823" t="s">
        <v>1244</v>
      </c>
      <c r="H62" s="823" t="s">
        <v>1158</v>
      </c>
      <c r="I62" s="823" t="s">
        <v>769</v>
      </c>
      <c r="J62" s="823" t="s">
        <v>167</v>
      </c>
      <c r="K62" s="822" t="s">
        <v>179</v>
      </c>
      <c r="L62" s="823" t="s">
        <v>1245</v>
      </c>
      <c r="M62" s="818"/>
    </row>
    <row r="63">
      <c r="A63" s="823" t="s">
        <v>1246</v>
      </c>
      <c r="B63" s="823" t="s">
        <v>1157</v>
      </c>
      <c r="C63" s="823" t="s">
        <v>1133</v>
      </c>
      <c r="D63" s="823" t="s">
        <v>168</v>
      </c>
      <c r="E63" s="823" t="s">
        <v>167</v>
      </c>
      <c r="F63" s="823" t="s">
        <v>814</v>
      </c>
      <c r="G63" s="823" t="s">
        <v>807</v>
      </c>
      <c r="H63" s="823" t="s">
        <v>1158</v>
      </c>
      <c r="I63" s="823" t="s">
        <v>814</v>
      </c>
      <c r="J63" s="823" t="s">
        <v>167</v>
      </c>
      <c r="K63" s="822" t="s">
        <v>179</v>
      </c>
      <c r="L63" s="823" t="s">
        <v>1247</v>
      </c>
      <c r="M63" s="818"/>
    </row>
    <row r="64">
      <c r="A64" s="823" t="s">
        <v>1248</v>
      </c>
      <c r="B64" s="823" t="s">
        <v>1157</v>
      </c>
      <c r="C64" s="823" t="s">
        <v>1133</v>
      </c>
      <c r="D64" s="823" t="s">
        <v>168</v>
      </c>
      <c r="E64" s="823" t="s">
        <v>167</v>
      </c>
      <c r="F64" s="823" t="s">
        <v>840</v>
      </c>
      <c r="G64" s="823" t="s">
        <v>1249</v>
      </c>
      <c r="H64" s="823" t="s">
        <v>1158</v>
      </c>
      <c r="I64" s="823" t="s">
        <v>840</v>
      </c>
      <c r="J64" s="823" t="s">
        <v>167</v>
      </c>
      <c r="K64" s="822" t="s">
        <v>179</v>
      </c>
      <c r="L64" s="823" t="s">
        <v>1250</v>
      </c>
      <c r="M64" s="818"/>
    </row>
    <row r="65">
      <c r="A65" s="823" t="s">
        <v>1251</v>
      </c>
      <c r="B65" s="823" t="s">
        <v>1157</v>
      </c>
      <c r="C65" s="823" t="s">
        <v>1133</v>
      </c>
      <c r="D65" s="823" t="s">
        <v>168</v>
      </c>
      <c r="E65" s="823" t="s">
        <v>167</v>
      </c>
      <c r="F65" s="823" t="s">
        <v>893</v>
      </c>
      <c r="G65" s="823" t="s">
        <v>170</v>
      </c>
      <c r="H65" s="823" t="s">
        <v>1158</v>
      </c>
      <c r="I65" s="823" t="s">
        <v>893</v>
      </c>
      <c r="J65" s="823" t="s">
        <v>167</v>
      </c>
      <c r="K65" s="822" t="s">
        <v>179</v>
      </c>
      <c r="L65" s="823" t="s">
        <v>1220</v>
      </c>
      <c r="M65" s="818"/>
    </row>
    <row r="66">
      <c r="A66" s="823" t="s">
        <v>1252</v>
      </c>
      <c r="B66" s="823" t="s">
        <v>1157</v>
      </c>
      <c r="C66" s="823" t="s">
        <v>1133</v>
      </c>
      <c r="D66" s="823" t="s">
        <v>168</v>
      </c>
      <c r="E66" s="823" t="s">
        <v>167</v>
      </c>
      <c r="F66" s="823" t="s">
        <v>195</v>
      </c>
      <c r="G66" s="823" t="s">
        <v>1253</v>
      </c>
      <c r="H66" s="823" t="s">
        <v>1158</v>
      </c>
      <c r="I66" s="823" t="s">
        <v>195</v>
      </c>
      <c r="J66" s="823" t="s">
        <v>167</v>
      </c>
      <c r="K66" s="822" t="s">
        <v>179</v>
      </c>
      <c r="L66" s="823" t="s">
        <v>1254</v>
      </c>
      <c r="M66" s="818"/>
    </row>
    <row r="67">
      <c r="A67" s="823" t="s">
        <v>1255</v>
      </c>
      <c r="B67" s="823" t="s">
        <v>1157</v>
      </c>
      <c r="C67" s="823" t="s">
        <v>1133</v>
      </c>
      <c r="D67" s="823" t="s">
        <v>168</v>
      </c>
      <c r="E67" s="823" t="s">
        <v>167</v>
      </c>
      <c r="F67" s="823" t="s">
        <v>296</v>
      </c>
      <c r="G67" s="823" t="s">
        <v>1256</v>
      </c>
      <c r="H67" s="823" t="s">
        <v>1158</v>
      </c>
      <c r="I67" s="823" t="s">
        <v>296</v>
      </c>
      <c r="J67" s="823" t="s">
        <v>167</v>
      </c>
      <c r="K67" s="822" t="s">
        <v>179</v>
      </c>
      <c r="L67" s="823" t="s">
        <v>1257</v>
      </c>
      <c r="M67" s="818"/>
    </row>
    <row r="68">
      <c r="A68" s="823" t="s">
        <v>1258</v>
      </c>
      <c r="B68" s="823" t="s">
        <v>1157</v>
      </c>
      <c r="C68" s="823" t="s">
        <v>1133</v>
      </c>
      <c r="D68" s="823" t="s">
        <v>168</v>
      </c>
      <c r="E68" s="823" t="s">
        <v>167</v>
      </c>
      <c r="F68" s="823" t="s">
        <v>407</v>
      </c>
      <c r="G68" s="823" t="s">
        <v>170</v>
      </c>
      <c r="H68" s="823" t="s">
        <v>1158</v>
      </c>
      <c r="I68" s="823" t="s">
        <v>407</v>
      </c>
      <c r="J68" s="823" t="s">
        <v>167</v>
      </c>
      <c r="K68" s="822" t="s">
        <v>179</v>
      </c>
      <c r="L68" s="823" t="s">
        <v>1161</v>
      </c>
      <c r="M68" s="818"/>
    </row>
    <row r="69">
      <c r="A69" s="823" t="s">
        <v>1259</v>
      </c>
      <c r="B69" s="823" t="s">
        <v>1157</v>
      </c>
      <c r="C69" s="823" t="s">
        <v>1133</v>
      </c>
      <c r="D69" s="823" t="s">
        <v>168</v>
      </c>
      <c r="E69" s="823" t="s">
        <v>167</v>
      </c>
      <c r="F69" s="823" t="s">
        <v>424</v>
      </c>
      <c r="G69" s="823" t="s">
        <v>423</v>
      </c>
      <c r="H69" s="823" t="s">
        <v>1158</v>
      </c>
      <c r="I69" s="823" t="s">
        <v>424</v>
      </c>
      <c r="J69" s="823" t="s">
        <v>167</v>
      </c>
      <c r="K69" s="822" t="s">
        <v>179</v>
      </c>
      <c r="L69" s="823" t="s">
        <v>1186</v>
      </c>
      <c r="M69" s="818"/>
    </row>
    <row r="70">
      <c r="A70" s="823" t="s">
        <v>1260</v>
      </c>
      <c r="B70" s="823" t="s">
        <v>1157</v>
      </c>
      <c r="C70" s="823" t="s">
        <v>1133</v>
      </c>
      <c r="D70" s="823" t="s">
        <v>168</v>
      </c>
      <c r="E70" s="823" t="s">
        <v>167</v>
      </c>
      <c r="F70" s="823" t="s">
        <v>436</v>
      </c>
      <c r="G70" s="823" t="s">
        <v>1261</v>
      </c>
      <c r="H70" s="823" t="s">
        <v>1158</v>
      </c>
      <c r="I70" s="823" t="s">
        <v>436</v>
      </c>
      <c r="J70" s="823" t="s">
        <v>167</v>
      </c>
      <c r="K70" s="822" t="s">
        <v>179</v>
      </c>
      <c r="L70" s="823" t="s">
        <v>1262</v>
      </c>
      <c r="M70" s="818"/>
    </row>
    <row r="71">
      <c r="A71" s="823" t="s">
        <v>1263</v>
      </c>
      <c r="B71" s="823" t="s">
        <v>1157</v>
      </c>
      <c r="C71" s="823" t="s">
        <v>1133</v>
      </c>
      <c r="D71" s="823" t="s">
        <v>168</v>
      </c>
      <c r="E71" s="823" t="s">
        <v>167</v>
      </c>
      <c r="F71" s="823" t="s">
        <v>463</v>
      </c>
      <c r="G71" s="823" t="s">
        <v>1264</v>
      </c>
      <c r="H71" s="823" t="s">
        <v>1158</v>
      </c>
      <c r="I71" s="823" t="s">
        <v>463</v>
      </c>
      <c r="J71" s="823" t="s">
        <v>167</v>
      </c>
      <c r="K71" s="822" t="s">
        <v>179</v>
      </c>
      <c r="L71" s="823" t="s">
        <v>1173</v>
      </c>
      <c r="M71" s="818"/>
    </row>
    <row r="72">
      <c r="A72" s="823" t="s">
        <v>1265</v>
      </c>
      <c r="B72" s="823" t="s">
        <v>1157</v>
      </c>
      <c r="C72" s="823" t="s">
        <v>1133</v>
      </c>
      <c r="D72" s="823" t="s">
        <v>168</v>
      </c>
      <c r="E72" s="823" t="s">
        <v>326</v>
      </c>
      <c r="F72" s="823" t="s">
        <v>480</v>
      </c>
      <c r="G72" s="823" t="s">
        <v>1266</v>
      </c>
      <c r="H72" s="823" t="s">
        <v>1158</v>
      </c>
      <c r="I72" s="823" t="s">
        <v>480</v>
      </c>
      <c r="J72" s="823" t="s">
        <v>326</v>
      </c>
      <c r="K72" s="822" t="s">
        <v>179</v>
      </c>
      <c r="L72" s="823" t="s">
        <v>1220</v>
      </c>
      <c r="M72" s="818"/>
    </row>
    <row r="73">
      <c r="A73" s="823" t="s">
        <v>1267</v>
      </c>
      <c r="B73" s="823" t="s">
        <v>1157</v>
      </c>
      <c r="C73" s="823" t="s">
        <v>1133</v>
      </c>
      <c r="D73" s="823" t="s">
        <v>168</v>
      </c>
      <c r="E73" s="823" t="s">
        <v>167</v>
      </c>
      <c r="F73" s="823" t="s">
        <v>532</v>
      </c>
      <c r="G73" s="823" t="s">
        <v>1268</v>
      </c>
      <c r="H73" s="823" t="s">
        <v>1158</v>
      </c>
      <c r="I73" s="823" t="s">
        <v>532</v>
      </c>
      <c r="J73" s="823" t="s">
        <v>167</v>
      </c>
      <c r="K73" s="822" t="s">
        <v>179</v>
      </c>
      <c r="L73" s="823" t="s">
        <v>1250</v>
      </c>
      <c r="M73" s="818"/>
    </row>
    <row r="74">
      <c r="A74" s="823" t="s">
        <v>1269</v>
      </c>
      <c r="B74" s="823" t="s">
        <v>1270</v>
      </c>
      <c r="C74" s="823" t="s">
        <v>1133</v>
      </c>
      <c r="D74" s="818"/>
      <c r="E74" s="818"/>
      <c r="F74" s="818"/>
      <c r="G74" s="818"/>
      <c r="H74" s="823" t="s">
        <v>1271</v>
      </c>
      <c r="I74" s="823" t="s">
        <v>1272</v>
      </c>
      <c r="J74" s="823" t="s">
        <v>84</v>
      </c>
      <c r="K74" s="822" t="s">
        <v>179</v>
      </c>
      <c r="L74" s="823" t="s">
        <v>1136</v>
      </c>
      <c r="M74" s="823" t="s">
        <v>15</v>
      </c>
    </row>
    <row r="75">
      <c r="A75" s="823" t="s">
        <v>1273</v>
      </c>
      <c r="B75" s="823" t="s">
        <v>1274</v>
      </c>
      <c r="C75" s="823" t="s">
        <v>1133</v>
      </c>
      <c r="D75" s="818"/>
      <c r="E75" s="818"/>
      <c r="F75" s="818"/>
      <c r="G75" s="818"/>
      <c r="H75" s="823" t="s">
        <v>1271</v>
      </c>
      <c r="I75" s="823" t="s">
        <v>1275</v>
      </c>
      <c r="J75" s="823" t="s">
        <v>84</v>
      </c>
      <c r="K75" s="822" t="s">
        <v>179</v>
      </c>
      <c r="L75" s="823" t="s">
        <v>1276</v>
      </c>
      <c r="M75" s="823" t="s">
        <v>95</v>
      </c>
    </row>
    <row r="76">
      <c r="A76" s="823" t="s">
        <v>1277</v>
      </c>
      <c r="B76" s="823" t="s">
        <v>1278</v>
      </c>
      <c r="C76" s="818"/>
      <c r="D76" s="818"/>
      <c r="E76" s="818"/>
      <c r="F76" s="818"/>
      <c r="G76" s="818"/>
      <c r="H76" s="823" t="s">
        <v>1279</v>
      </c>
      <c r="I76" s="823" t="s">
        <v>1280</v>
      </c>
      <c r="J76" s="820" t="s">
        <v>1281</v>
      </c>
      <c r="K76" s="822" t="s">
        <v>179</v>
      </c>
      <c r="L76" s="823" t="s">
        <v>1136</v>
      </c>
      <c r="M76" s="823" t="s">
        <v>1282</v>
      </c>
    </row>
    <row r="77">
      <c r="A77" s="823" t="s">
        <v>1283</v>
      </c>
      <c r="B77" s="823" t="s">
        <v>1278</v>
      </c>
      <c r="C77" s="818"/>
      <c r="D77" s="818"/>
      <c r="E77" s="818"/>
      <c r="F77" s="818"/>
      <c r="G77" s="818"/>
      <c r="H77" s="823" t="s">
        <v>1279</v>
      </c>
      <c r="I77" s="823" t="s">
        <v>1284</v>
      </c>
      <c r="J77" s="820" t="s">
        <v>1281</v>
      </c>
      <c r="K77" s="819" t="s">
        <v>1285</v>
      </c>
      <c r="L77" s="823" t="s">
        <v>1286</v>
      </c>
      <c r="M77" s="823" t="s">
        <v>1287</v>
      </c>
    </row>
  </sheetData>
</worksheet>
</file>

<file path=xl/worksheets/sheet8.xml><?xml version="1.0" encoding="utf-8"?>
<worksheet xmlns="http://schemas.openxmlformats.org/spreadsheetml/2006/main" xmlns:r="http://schemas.openxmlformats.org/officeDocument/2006/relationships">
  <dimension ref="A1:H31"/>
  <sheetViews>
    <sheetView showGridLines="0" workbookViewId="0"/>
  </sheetViews>
  <sheetFormatPr defaultColWidth="8.375" defaultRowHeight="15"/>
  <cols>
    <col min="1" max="4" width="16.875" customWidth="1"/>
    <col min="5" max="5" width="59.375" customWidth="1"/>
    <col min="6" max="8" width="16.875" customWidth="1"/>
  </cols>
  <sheetData>
    <row r="1">
      <c r="A1" s="824" t="s">
        <v>0</v>
      </c>
      <c r="B1" s="818"/>
      <c r="C1" s="818"/>
      <c r="D1" s="818"/>
      <c r="E1" s="818"/>
      <c r="F1" s="818"/>
      <c r="G1" s="818"/>
      <c r="H1" s="818"/>
    </row>
    <row r="2">
      <c r="A2" s="823" t="s">
        <v>1288</v>
      </c>
      <c r="B2" s="818"/>
      <c r="C2" s="818"/>
      <c r="D2" s="818"/>
      <c r="E2" s="818"/>
      <c r="F2" s="818"/>
      <c r="G2" s="818"/>
      <c r="H2" s="818"/>
    </row>
    <row r="3">
      <c r="A3" s="819" t="s">
        <v>1289</v>
      </c>
      <c r="B3" s="819"/>
      <c r="C3" s="819"/>
      <c r="D3" s="819"/>
      <c r="E3" s="819"/>
      <c r="F3" s="819"/>
      <c r="G3" s="819"/>
      <c r="H3" s="819"/>
    </row>
    <row r="4">
      <c r="A4" s="823"/>
      <c r="B4" s="823"/>
      <c r="C4" s="823"/>
      <c r="D4" s="823"/>
      <c r="E4" s="823"/>
      <c r="F4" s="823"/>
      <c r="G4" s="823"/>
      <c r="H4" s="823"/>
    </row>
    <row r="5">
      <c r="A5" s="823"/>
      <c r="B5" s="823"/>
      <c r="C5" s="823"/>
      <c r="D5" s="823"/>
      <c r="E5" s="818"/>
      <c r="F5" s="823"/>
      <c r="G5" s="818"/>
      <c r="H5" s="823"/>
    </row>
    <row r="6">
      <c r="A6" s="823"/>
      <c r="B6" s="823"/>
      <c r="C6" s="823"/>
      <c r="D6" s="823"/>
      <c r="E6" s="823"/>
      <c r="F6" s="823"/>
      <c r="G6" s="823"/>
      <c r="H6" s="823"/>
    </row>
    <row r="7">
      <c r="A7" s="823"/>
      <c r="B7" s="823"/>
      <c r="C7" s="823"/>
      <c r="D7" s="823"/>
      <c r="E7" s="823"/>
      <c r="F7" s="823"/>
      <c r="G7" s="823"/>
      <c r="H7" s="823"/>
    </row>
    <row r="8">
      <c r="A8" s="823"/>
      <c r="B8" s="823"/>
      <c r="C8" s="823"/>
      <c r="D8" s="823"/>
      <c r="E8" s="823"/>
      <c r="F8" s="823"/>
      <c r="G8" s="818"/>
      <c r="H8" s="823"/>
    </row>
    <row r="9">
      <c r="A9" s="823"/>
      <c r="B9" s="823"/>
      <c r="C9" s="823"/>
      <c r="D9" s="823"/>
      <c r="E9" s="823"/>
      <c r="F9" s="823"/>
      <c r="G9" s="823"/>
      <c r="H9" s="823"/>
    </row>
    <row r="10">
      <c r="A10" s="823"/>
      <c r="B10" s="823"/>
      <c r="C10" s="823"/>
      <c r="D10" s="823"/>
      <c r="E10" s="823"/>
      <c r="F10" s="823"/>
      <c r="G10" s="823"/>
      <c r="H10" s="823"/>
    </row>
    <row r="11">
      <c r="A11" s="823"/>
      <c r="B11" s="823"/>
      <c r="C11" s="823"/>
      <c r="D11" s="823"/>
      <c r="E11" s="823"/>
      <c r="F11" s="823"/>
      <c r="G11" s="823"/>
      <c r="H11" s="823"/>
    </row>
    <row r="12">
      <c r="A12" s="823"/>
      <c r="B12" s="823"/>
      <c r="C12" s="823"/>
      <c r="D12" s="823"/>
      <c r="E12" s="823"/>
      <c r="F12" s="823"/>
      <c r="G12" s="818"/>
      <c r="H12" s="823"/>
    </row>
    <row r="13">
      <c r="A13" s="823"/>
      <c r="B13" s="823"/>
      <c r="C13" s="823"/>
      <c r="D13" s="823"/>
      <c r="E13" s="823"/>
      <c r="F13" s="823"/>
      <c r="G13" s="823"/>
      <c r="H13" s="823"/>
    </row>
    <row r="14">
      <c r="A14" s="823"/>
      <c r="B14" s="823"/>
      <c r="C14" s="823"/>
      <c r="D14" s="823"/>
      <c r="E14" s="823"/>
      <c r="F14" s="823"/>
      <c r="G14" s="823"/>
      <c r="H14" s="823"/>
    </row>
    <row r="15">
      <c r="A15" s="823"/>
      <c r="B15" s="823"/>
      <c r="C15" s="823"/>
      <c r="D15" s="823"/>
      <c r="E15" s="823"/>
      <c r="F15" s="823"/>
      <c r="G15" s="823"/>
      <c r="H15" s="823"/>
    </row>
    <row r="16">
      <c r="A16" s="823"/>
      <c r="B16" s="823"/>
      <c r="C16" s="823"/>
      <c r="D16" s="823"/>
      <c r="E16" s="823"/>
      <c r="F16" s="823"/>
      <c r="G16" s="823"/>
      <c r="H16" s="823"/>
    </row>
    <row r="17">
      <c r="A17" s="823"/>
      <c r="B17" s="823"/>
      <c r="C17" s="823"/>
      <c r="D17" s="823"/>
      <c r="E17" s="823"/>
      <c r="F17" s="823"/>
      <c r="G17" s="823"/>
      <c r="H17" s="823"/>
    </row>
    <row r="18">
      <c r="A18" s="823"/>
      <c r="B18" s="820"/>
      <c r="C18" s="823"/>
      <c r="D18" s="823"/>
      <c r="E18" s="823"/>
      <c r="F18" s="818"/>
      <c r="G18" s="818"/>
      <c r="H18" s="823"/>
    </row>
    <row r="19">
      <c r="A19" s="823"/>
      <c r="B19" s="820"/>
      <c r="C19" s="823"/>
      <c r="D19" s="823"/>
      <c r="E19" s="823"/>
      <c r="F19" s="818"/>
      <c r="G19" s="818"/>
      <c r="H19" s="823"/>
    </row>
    <row r="20">
      <c r="A20" s="823"/>
      <c r="B20" s="820"/>
      <c r="C20" s="823"/>
      <c r="D20" s="823"/>
      <c r="E20" s="823"/>
      <c r="F20" s="818"/>
      <c r="G20" s="818"/>
      <c r="H20" s="823"/>
    </row>
    <row r="21">
      <c r="A21" s="823"/>
      <c r="B21" s="820"/>
      <c r="C21" s="823"/>
      <c r="D21" s="823"/>
      <c r="E21" s="823"/>
      <c r="F21" s="818"/>
      <c r="G21" s="818"/>
      <c r="H21" s="823"/>
    </row>
    <row r="22">
      <c r="A22" s="823"/>
      <c r="B22" s="820"/>
      <c r="C22" s="823"/>
      <c r="D22" s="823"/>
      <c r="E22" s="823"/>
      <c r="F22" s="818"/>
      <c r="G22" s="818"/>
      <c r="H22" s="823"/>
    </row>
    <row r="23">
      <c r="A23" s="823"/>
      <c r="B23" s="820"/>
      <c r="C23" s="823"/>
      <c r="D23" s="823"/>
      <c r="E23" s="823"/>
      <c r="F23" s="818"/>
      <c r="G23" s="818"/>
      <c r="H23" s="823"/>
    </row>
    <row r="24">
      <c r="A24" s="823"/>
      <c r="B24" s="820"/>
      <c r="C24" s="823"/>
      <c r="D24" s="823"/>
      <c r="E24" s="823"/>
      <c r="F24" s="818"/>
      <c r="G24" s="818"/>
      <c r="H24" s="823"/>
    </row>
    <row r="25">
      <c r="A25" s="823"/>
      <c r="B25" s="820"/>
      <c r="C25" s="823"/>
      <c r="D25" s="823"/>
      <c r="E25" s="823"/>
      <c r="F25" s="818"/>
      <c r="G25" s="818"/>
      <c r="H25" s="823"/>
    </row>
    <row r="26">
      <c r="A26" s="823"/>
      <c r="B26" s="820"/>
      <c r="C26" s="823"/>
      <c r="D26" s="823"/>
      <c r="E26" s="823"/>
      <c r="F26" s="818"/>
      <c r="G26" s="818"/>
      <c r="H26" s="823"/>
    </row>
    <row r="27">
      <c r="A27" s="823"/>
      <c r="B27" s="820"/>
      <c r="C27" s="823"/>
      <c r="D27" s="823"/>
      <c r="E27" s="823"/>
      <c r="F27" s="818"/>
      <c r="G27" s="818"/>
      <c r="H27" s="823"/>
    </row>
    <row r="28">
      <c r="A28" s="823"/>
      <c r="B28" s="820"/>
      <c r="C28" s="823"/>
      <c r="D28" s="823"/>
      <c r="E28" s="823"/>
      <c r="F28" s="818"/>
      <c r="G28" s="818"/>
      <c r="H28" s="823"/>
    </row>
    <row r="29">
      <c r="A29" s="823"/>
      <c r="B29" s="820"/>
      <c r="C29" s="823"/>
      <c r="D29" s="823"/>
      <c r="E29" s="823"/>
      <c r="F29" s="818"/>
      <c r="G29" s="818"/>
      <c r="H29" s="823"/>
    </row>
    <row r="30">
      <c r="A30" s="823"/>
      <c r="B30" s="820"/>
      <c r="C30" s="823"/>
      <c r="D30" s="823"/>
      <c r="E30" s="823"/>
      <c r="F30" s="818"/>
      <c r="G30" s="818"/>
      <c r="H30" s="823"/>
    </row>
    <row r="31">
      <c r="A31" s="823"/>
      <c r="B31" s="823"/>
      <c r="C31" s="823"/>
      <c r="D31" s="823"/>
      <c r="E31" s="823"/>
      <c r="F31" s="823"/>
      <c r="G31" s="823"/>
      <c r="H31" s="823"/>
    </row>
  </sheetData>
</worksheet>
</file>

<file path=xl/worksheets/sheet9.xml><?xml version="1.0" encoding="utf-8"?>
<worksheet xmlns="http://schemas.openxmlformats.org/spreadsheetml/2006/main" xmlns:r="http://schemas.openxmlformats.org/officeDocument/2006/relationships">
  <dimension ref="A1:A126"/>
  <sheetViews>
    <sheetView showGridLines="0" workbookViewId="0"/>
  </sheetViews>
  <sheetFormatPr defaultColWidth="8.375" defaultRowHeight="15"/>
  <cols>
    <col min="1" max="1" width="111.875" customWidth="1"/>
  </cols>
  <sheetData>
    <row r="1">
      <c r="A1" s="824" t="s">
        <v>0</v>
      </c>
    </row>
    <row r="2">
      <c r="A2" s="823" t="s">
        <v>1290</v>
      </c>
    </row>
    <row r="3">
      <c r="A3" s="823" t="s">
        <v>1291</v>
      </c>
    </row>
    <row r="4">
      <c r="A4" s="823" t="s">
        <v>1292</v>
      </c>
    </row>
    <row r="5">
      <c r="A5" s="824" t="s">
        <v>1293</v>
      </c>
    </row>
    <row r="6">
      <c r="A6" s="823" t="s">
        <v>1294</v>
      </c>
    </row>
    <row r="7">
      <c r="A7" s="823" t="s">
        <v>1295</v>
      </c>
    </row>
    <row r="8">
      <c r="A8" s="823" t="s">
        <v>1296</v>
      </c>
    </row>
    <row r="9">
      <c r="A9" s="823" t="s">
        <v>1297</v>
      </c>
    </row>
    <row r="10">
      <c r="A10" s="823" t="s">
        <v>1298</v>
      </c>
    </row>
    <row r="11">
      <c r="A11" s="823" t="s">
        <v>1299</v>
      </c>
    </row>
    <row r="12">
      <c r="A12" s="823" t="s">
        <v>1300</v>
      </c>
    </row>
    <row r="13">
      <c r="A13" s="823" t="s">
        <v>1301</v>
      </c>
    </row>
    <row r="14">
      <c r="A14" s="823" t="s">
        <v>1302</v>
      </c>
    </row>
    <row r="15">
      <c r="A15" s="823" t="s">
        <v>1303</v>
      </c>
    </row>
    <row r="16">
      <c r="A16" s="823" t="s">
        <v>1304</v>
      </c>
    </row>
    <row r="17">
      <c r="A17" s="823" t="s">
        <v>1305</v>
      </c>
    </row>
    <row r="18">
      <c r="A18" s="823" t="s">
        <v>1306</v>
      </c>
    </row>
    <row r="19">
      <c r="A19" s="823" t="s">
        <v>1307</v>
      </c>
    </row>
    <row r="20">
      <c r="A20" s="823" t="s">
        <v>1308</v>
      </c>
    </row>
    <row r="21">
      <c r="A21" s="823" t="s">
        <v>1309</v>
      </c>
    </row>
    <row r="22">
      <c r="A22" s="823" t="s">
        <v>1310</v>
      </c>
    </row>
    <row r="23">
      <c r="A23" s="823" t="s">
        <v>1311</v>
      </c>
    </row>
    <row r="24">
      <c r="A24" s="823" t="s">
        <v>1312</v>
      </c>
    </row>
    <row r="25">
      <c r="A25" s="823" t="s">
        <v>1313</v>
      </c>
    </row>
    <row r="26">
      <c r="A26" s="823" t="s">
        <v>1314</v>
      </c>
    </row>
    <row r="27">
      <c r="A27" s="823" t="s">
        <v>1315</v>
      </c>
    </row>
    <row r="28">
      <c r="A28" s="824" t="s">
        <v>1316</v>
      </c>
    </row>
    <row r="29">
      <c r="A29" s="823" t="s">
        <v>1317</v>
      </c>
    </row>
    <row r="30">
      <c r="A30" s="823" t="s">
        <v>1318</v>
      </c>
    </row>
    <row r="31">
      <c r="A31" s="823" t="s">
        <v>1319</v>
      </c>
    </row>
    <row r="32">
      <c r="A32" s="823" t="s">
        <v>1320</v>
      </c>
    </row>
    <row r="33">
      <c r="A33" s="823" t="s">
        <v>1321</v>
      </c>
    </row>
    <row r="34">
      <c r="A34" s="823" t="s">
        <v>1322</v>
      </c>
    </row>
    <row r="35">
      <c r="A35" s="823" t="s">
        <v>1323</v>
      </c>
    </row>
    <row r="36">
      <c r="A36" s="823" t="s">
        <v>1324</v>
      </c>
    </row>
    <row r="37">
      <c r="A37" s="823" t="s">
        <v>1325</v>
      </c>
    </row>
    <row r="38">
      <c r="A38" s="823" t="s">
        <v>1326</v>
      </c>
    </row>
    <row r="39">
      <c r="A39" s="823" t="s">
        <v>1327</v>
      </c>
    </row>
    <row r="40">
      <c r="A40" s="823" t="s">
        <v>1328</v>
      </c>
    </row>
    <row r="41">
      <c r="A41" s="823" t="s">
        <v>1329</v>
      </c>
    </row>
    <row r="42">
      <c r="A42" s="823" t="s">
        <v>1330</v>
      </c>
    </row>
    <row r="43">
      <c r="A43" s="823" t="s">
        <v>1331</v>
      </c>
    </row>
    <row r="44">
      <c r="A44" s="823" t="s">
        <v>1332</v>
      </c>
    </row>
    <row r="45">
      <c r="A45" s="823" t="s">
        <v>1333</v>
      </c>
    </row>
    <row r="46">
      <c r="A46" s="823" t="s">
        <v>1334</v>
      </c>
    </row>
    <row r="47">
      <c r="A47" s="823" t="s">
        <v>1335</v>
      </c>
    </row>
    <row r="48">
      <c r="A48" s="823" t="s">
        <v>1336</v>
      </c>
    </row>
    <row r="49">
      <c r="A49" s="823" t="s">
        <v>1337</v>
      </c>
    </row>
    <row r="50">
      <c r="A50" s="823" t="s">
        <v>1338</v>
      </c>
    </row>
    <row r="51">
      <c r="A51" s="823" t="s">
        <v>1339</v>
      </c>
    </row>
    <row r="52">
      <c r="A52" s="823" t="s">
        <v>1340</v>
      </c>
    </row>
    <row r="53">
      <c r="A53" s="823" t="s">
        <v>1341</v>
      </c>
    </row>
    <row r="54">
      <c r="A54" s="823" t="s">
        <v>1342</v>
      </c>
    </row>
    <row r="55">
      <c r="A55" s="823" t="s">
        <v>1343</v>
      </c>
    </row>
    <row r="56">
      <c r="A56" s="823" t="s">
        <v>1344</v>
      </c>
    </row>
    <row r="57">
      <c r="A57" s="823" t="s">
        <v>1345</v>
      </c>
    </row>
    <row r="58">
      <c r="A58" s="823" t="s">
        <v>1346</v>
      </c>
    </row>
    <row r="59">
      <c r="A59" s="823" t="s">
        <v>1347</v>
      </c>
    </row>
    <row r="60">
      <c r="A60" s="823" t="s">
        <v>1348</v>
      </c>
    </row>
    <row r="61">
      <c r="A61" s="823" t="s">
        <v>1315</v>
      </c>
    </row>
    <row r="62">
      <c r="A62" s="824" t="s">
        <v>1349</v>
      </c>
    </row>
    <row r="63">
      <c r="A63" s="823" t="s">
        <v>1317</v>
      </c>
    </row>
    <row r="64">
      <c r="A64" s="823" t="s">
        <v>289</v>
      </c>
    </row>
    <row r="65">
      <c r="A65" s="823" t="s">
        <v>1350</v>
      </c>
    </row>
    <row r="66">
      <c r="A66" s="823" t="s">
        <v>1351</v>
      </c>
    </row>
    <row r="67">
      <c r="A67" s="823" t="s">
        <v>1352</v>
      </c>
    </row>
    <row r="68">
      <c r="A68" s="823" t="s">
        <v>1353</v>
      </c>
    </row>
    <row r="69">
      <c r="A69" s="823" t="s">
        <v>1354</v>
      </c>
    </row>
    <row r="70">
      <c r="A70" s="823" t="s">
        <v>1355</v>
      </c>
    </row>
    <row r="71">
      <c r="A71" s="823" t="s">
        <v>1356</v>
      </c>
    </row>
    <row r="72">
      <c r="A72" s="823" t="s">
        <v>1357</v>
      </c>
    </row>
    <row r="73">
      <c r="A73" s="823" t="s">
        <v>1358</v>
      </c>
    </row>
    <row r="74">
      <c r="A74" s="823" t="s">
        <v>1359</v>
      </c>
    </row>
    <row r="75">
      <c r="A75" s="823" t="s">
        <v>1360</v>
      </c>
    </row>
    <row r="76">
      <c r="A76" s="823" t="s">
        <v>1361</v>
      </c>
    </row>
    <row r="77">
      <c r="A77" s="823" t="s">
        <v>1362</v>
      </c>
    </row>
    <row r="78">
      <c r="A78" s="823" t="s">
        <v>1363</v>
      </c>
    </row>
    <row r="79">
      <c r="A79" s="823" t="s">
        <v>1364</v>
      </c>
    </row>
    <row r="80">
      <c r="A80" s="823" t="s">
        <v>1365</v>
      </c>
    </row>
    <row r="81">
      <c r="A81" s="823" t="s">
        <v>1366</v>
      </c>
    </row>
    <row r="82">
      <c r="A82" s="823" t="s">
        <v>1367</v>
      </c>
    </row>
    <row r="83">
      <c r="A83" s="823" t="s">
        <v>1368</v>
      </c>
    </row>
    <row r="84">
      <c r="A84" s="823" t="s">
        <v>1369</v>
      </c>
    </row>
    <row r="85">
      <c r="A85" s="823" t="s">
        <v>1370</v>
      </c>
    </row>
    <row r="86">
      <c r="A86" s="823" t="s">
        <v>1371</v>
      </c>
    </row>
    <row r="87">
      <c r="A87" s="823" t="s">
        <v>1372</v>
      </c>
    </row>
    <row r="88">
      <c r="A88" s="823" t="s">
        <v>1373</v>
      </c>
    </row>
    <row r="89">
      <c r="A89" s="823" t="s">
        <v>1374</v>
      </c>
    </row>
    <row r="90">
      <c r="A90" s="823" t="s">
        <v>1375</v>
      </c>
    </row>
    <row r="91">
      <c r="A91" s="823" t="s">
        <v>1376</v>
      </c>
    </row>
    <row r="92">
      <c r="A92" s="823" t="s">
        <v>1377</v>
      </c>
    </row>
    <row r="93">
      <c r="A93" s="823" t="s">
        <v>1378</v>
      </c>
    </row>
    <row r="94">
      <c r="A94" s="823" t="s">
        <v>1379</v>
      </c>
    </row>
    <row r="95">
      <c r="A95" s="823" t="s">
        <v>55</v>
      </c>
    </row>
    <row r="96">
      <c r="A96" s="823" t="s">
        <v>1380</v>
      </c>
    </row>
    <row r="97">
      <c r="A97" s="823" t="s">
        <v>1381</v>
      </c>
    </row>
    <row r="98">
      <c r="A98" s="823">
        <v>11</v>
      </c>
    </row>
    <row r="99">
      <c r="A99" s="823" t="s">
        <v>1315</v>
      </c>
    </row>
    <row r="100">
      <c r="A100" s="824" t="s">
        <v>1382</v>
      </c>
    </row>
    <row r="101">
      <c r="A101" s="823" t="s">
        <v>1317</v>
      </c>
    </row>
    <row r="102">
      <c r="A102" s="824" t="s">
        <v>1383</v>
      </c>
    </row>
    <row r="103">
      <c r="A103" s="823" t="s">
        <v>1384</v>
      </c>
    </row>
    <row r="104">
      <c r="A104" s="823" t="s">
        <v>1385</v>
      </c>
    </row>
    <row r="105">
      <c r="A105" s="823" t="s">
        <v>1386</v>
      </c>
    </row>
    <row r="106">
      <c r="A106" s="823" t="s">
        <v>1387</v>
      </c>
    </row>
    <row r="107">
      <c r="A107" s="823" t="s">
        <v>1388</v>
      </c>
    </row>
    <row r="108">
      <c r="A108" s="823" t="s">
        <v>1389</v>
      </c>
    </row>
    <row r="109">
      <c r="A109" s="823" t="s">
        <v>1390</v>
      </c>
    </row>
    <row r="110">
      <c r="A110" s="823" t="s">
        <v>1391</v>
      </c>
    </row>
    <row r="111">
      <c r="A111" s="823" t="s">
        <v>1392</v>
      </c>
    </row>
    <row r="112">
      <c r="A112" s="823" t="s">
        <v>1393</v>
      </c>
    </row>
    <row r="113">
      <c r="A113" s="823" t="s">
        <v>1394</v>
      </c>
    </row>
    <row r="114">
      <c r="A114" s="823" t="s">
        <v>1395</v>
      </c>
    </row>
    <row r="115">
      <c r="A115" s="823" t="s">
        <v>1396</v>
      </c>
    </row>
    <row r="116">
      <c r="A116" s="823" t="s">
        <v>1397</v>
      </c>
    </row>
    <row r="117">
      <c r="A117" s="823" t="s">
        <v>1398</v>
      </c>
    </row>
    <row r="118">
      <c r="A118" s="823" t="s">
        <v>1399</v>
      </c>
    </row>
    <row r="119">
      <c r="A119" s="823" t="s">
        <v>1400</v>
      </c>
    </row>
    <row r="120">
      <c r="A120" s="823" t="s">
        <v>1401</v>
      </c>
    </row>
    <row r="121">
      <c r="A121" s="823" t="s">
        <v>1402</v>
      </c>
    </row>
    <row r="122">
      <c r="A122" s="823" t="s">
        <v>1403</v>
      </c>
    </row>
    <row r="123">
      <c r="A123" s="823">
        <v>12</v>
      </c>
    </row>
    <row r="124">
      <c r="A124" s="823" t="s">
        <v>1315</v>
      </c>
    </row>
    <row r="125">
      <c r="A125" s="824" t="s">
        <v>1404</v>
      </c>
    </row>
    <row r="126">
      <c r="A126" s="823" t="s">
        <v>1317</v>
      </c>
    </row>
  </sheetData>
</worksheet>
</file>

<file path=xl/worksheets/sheet10.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911" t="s">
        <v>1405</v>
      </c>
      <c r="B1" s="911" t="s">
        <v>1406</v>
      </c>
      <c r="C1" s="911" t="s">
        <v>1407</v>
      </c>
      <c r="D1" s="911" t="s">
        <v>1408</v>
      </c>
      <c r="E1" s="911" t="s">
        <v>1409</v>
      </c>
      <c r="F1" s="911" t="s">
        <v>1410</v>
      </c>
    </row>
    <row r="2">
      <c r="A2" s="910">
        <v>1</v>
      </c>
      <c r="B2" s="912">
        <v>46324.35933520833</v>
      </c>
      <c r="C2" s="910" t="s">
        <v>1411</v>
      </c>
      <c r="D2" s="910" t="s">
        <v>1412</v>
      </c>
      <c r="E2" s="910" t="s">
        <v>1413</v>
      </c>
      <c r="F2" s="910" t="s">
        <v>1414</v>
      </c>
    </row>
  </sheetData>
</worksheet>
</file>