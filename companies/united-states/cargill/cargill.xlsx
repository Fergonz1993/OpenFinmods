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9_10_Blockers" sheetId="11" r:id="rId13"/>
    <sheet name="Sources_Audited" sheetId="12" r:id="rId15"/>
    <sheet name="Checks_TieOut" sheetId="13" r:id="rId16"/>
    <sheet name="Source_Ceiling" sheetId="14" r:id="rId17"/>
    <sheet name="Claude Code Log" sheetId="15" r:id="rId18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tc={AA5EEA41-37E1-DD6F-E0F4-AD42A8F94F0D}</author>
    <author>tc={F42865D4-D679-EE42-E722-B4BB1CFD29D3}</author>
    <author>tc={6AADFF2D-B899-2EC5-A223-D53BC499105B}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https://www.cargill.com/doc/1432194192294/2021-cargill-annual-report.pdf
Locator: Letter to stakeholders, page 2; $134.4bn in revenues
Period: FY2021
Units: USD millions
Classification: Reported
Transformation: USD billions multiplied by 1,000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E5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https://www.cargill.com/doc/1432263180474/2024-annual-report.pdf
Locator: Letter to stakeholders, page 2; $160bn in revenues
Period: FY2024
Units: USD millions
Classification: Reported
Transformation: USD billions multiplied by 1,000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F5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https://www.cargill.com/doc/1432279934974/2025-cargill-annual-report.pdf
Locator: Letter to stakeholders, page 2; $154bn in revenue
Period: FY2025
Units: USD millions
Classification: Reported
Transformation: USD billions multiplied by 1,000</t>
        </r>
      </text>
      <commentPr locked="0" textHAlign="justify" textVAlign="top">
        <anchor>
          <from>
            <xdr:col>5</xdr:col>
            <xdr:colOff>15</xdr:colOff>
            <xdr:row>4</xdr:row>
            <xdr:rowOff>2</xdr:rowOff>
          </from>
          <to>
            <xdr:col>7</xdr:col>
            <xdr:colOff>15</xdr:colOff>
            <xdr:row>8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tc={FF7F6000-EBDB-5783-8CEF-30CE6C17A68B}</author>
  </authors>
  <commentList>
    <comment ref="C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WACC intentionally blank because the model lacks a source-backed FCFF and net-debt base.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<sst xmlns="http://schemas.openxmlformats.org/spreadsheetml/2006/main" count="811" uniqueCount="481">
  <si>
    <t>Cargill, Incorporated — Controlled Disclosure-Limited Model</t>
  </si>
  <si>
    <t>Agriculture / commodities | USD millions | Controlled version 2.0 | As of 2026-07-16</t>
  </si>
  <si>
    <t>Model field</t>
  </si>
  <si>
    <t>Value</t>
  </si>
  <si>
    <t>Legal entity / identifier</t>
  </si>
  <si>
    <t>Private family company</t>
  </si>
  <si>
    <t>Model archetype</t>
  </si>
  <si>
    <t>Revenue scenario framework; valuation suppressed</t>
  </si>
  <si>
    <t>Model status</t>
  </si>
  <si>
    <t>Reporting currency</t>
  </si>
  <si>
    <t>USD</t>
  </si>
  <si>
    <t>Model units</t>
  </si>
  <si>
    <t>USD millions</t>
  </si>
  <si>
    <t>Valuation date</t>
  </si>
  <si>
    <t>Not applicable — disclosure blocker</t>
  </si>
  <si>
    <t>Active case</t>
  </si>
  <si>
    <t>Primary source route</t>
  </si>
  <si>
    <t>https://www.cargill.com/doc/1432279934974/2025-cargill-annual-report.pdf</t>
  </si>
  <si>
    <t>Purpose</t>
  </si>
  <si>
    <t>Source-backed disclosed-facts model with operational decision-use gate</t>
  </si>
  <si>
    <t>Decision use</t>
  </si>
  <si>
    <t>Revenue context only; no DCF, equity value or price target</t>
  </si>
  <si>
    <t>Key limitation</t>
  </si>
  <si>
    <t>The official FY2025 annual report discloses $154bn revenue but no complete audited IS/BS/CF, net debt, ownership/share bridge or auditor opinion.</t>
  </si>
  <si>
    <t>Controlled lineage</t>
  </si>
  <si>
    <t>Cargill_Institutional_Model.xlsx | SHA-256 ea44065b22b3b7559db314a74c39fe687c0e8b1f2ffaf582cbf1044c8e314f1d</t>
  </si>
  <si>
    <t>Owner evidence only. The controlled workbook does not self-certify a 9/10 result. Independent review must reproduce sources, formulas, scenarios, valuation mechanics, native recalculation and visual QA.</t>
  </si>
  <si>
    <t>Source ledger and claim-level data lineage</t>
  </si>
  <si>
    <t>Every material historical and valuation input is classified as Reported, Inferred, Assumption, Document identity only, or Not disclosed. Status is formula-driven.</t>
  </si>
  <si>
    <t>Source ID</t>
  </si>
  <si>
    <t>Metric / line item</t>
  </si>
  <si>
    <t>Period / as-of</t>
  </si>
  <si>
    <t>Units / currency</t>
  </si>
  <si>
    <t>Source title</t>
  </si>
  <si>
    <t>Source class</t>
  </si>
  <si>
    <t>Exact URL / allowed local locator</t>
  </si>
  <si>
    <t>Page / table / row / section</t>
  </si>
  <si>
    <t>Retrieved</t>
  </si>
  <si>
    <t>Workbook destination</t>
  </si>
  <si>
    <t>Transformation / normalization</t>
  </si>
  <si>
    <t>Classification</t>
  </si>
  <si>
    <t>Notes / limitation</t>
  </si>
  <si>
    <t>Material?</t>
  </si>
  <si>
    <t>Mapping status</t>
  </si>
  <si>
    <t>CG-2021-REV</t>
  </si>
  <si>
    <t>Revenue</t>
  </si>
  <si>
    <t>FY2021</t>
  </si>
  <si>
    <t>Cargill 2021 Annual Report</t>
  </si>
  <si>
    <t>Primary — issuer annual report</t>
  </si>
  <si>
    <t>https://www.cargill.com/doc/1432194192294/2021-cargill-annual-report.pdf</t>
  </si>
  <si>
    <t>Letter to stakeholders, page 2; $134.4bn in revenues</t>
  </si>
  <si>
    <t>2026-07-16</t>
  </si>
  <si>
    <t>Historical!B5</t>
  </si>
  <si>
    <t>USD billions multiplied by 1,000</t>
  </si>
  <si>
    <t>Reported</t>
  </si>
  <si>
    <t>No audited financial statements or auditor opinion presented in the narrative annual report.</t>
  </si>
  <si>
    <t>Yes</t>
  </si>
  <si>
    <t>CG-2024-REV</t>
  </si>
  <si>
    <t>FY2024</t>
  </si>
  <si>
    <t>Cargill 2024 Annual Report</t>
  </si>
  <si>
    <t>https://www.cargill.com/doc/1432263180474/2024-annual-report.pdf</t>
  </si>
  <si>
    <t>Letter to stakeholders — PDF sin numeración impresa, página física 3; "Cargill recorded $160 billion in revenues in fiscal year 2024." Prior citation said "page 2"; the report carries no printed page numbers and the sentence is on the 3rd physical PDF page (re-verified 2026-07-21 against the Wayback capture used in the independent audit).</t>
  </si>
  <si>
    <t>Historical!E5</t>
  </si>
  <si>
    <t>No complete audited income statement, balance sheet or cash-flow statement in the 17-page report.</t>
  </si>
  <si>
    <t>CG-2025-REV</t>
  </si>
  <si>
    <t>FY2025</t>
  </si>
  <si>
    <t>Cargill 2025 Annual Report</t>
  </si>
  <si>
    <t>Letter to stakeholders — PDF sin numeración impresa, página física 3; "we recorded $154 billion in revenue in fiscal year 2025." Prior citation said "page 2"; the report carries no printed page numbers and the sentence is on the 3rd physical PDF page (re-verified 2026-07-21).</t>
  </si>
  <si>
    <t>Historical!F5</t>
  </si>
  <si>
    <t>Only material financial line item disclosed in the official annual report.</t>
  </si>
  <si>
    <t>CG-2025-EMP</t>
  </si>
  <si>
    <t>Employees</t>
  </si>
  <si>
    <t>employees</t>
  </si>
  <si>
    <t>About Cargill, page 3; 155K+ employees</t>
  </si>
  <si>
    <t>Sector_KPIs!B5</t>
  </si>
  <si>
    <t>Lower-bound presentation retained as 155,000</t>
  </si>
  <si>
    <t>Non-financial operating KPI.</t>
  </si>
  <si>
    <t>No</t>
  </si>
  <si>
    <t>CG-2025-COUNTRIES</t>
  </si>
  <si>
    <t>Countries of operation</t>
  </si>
  <si>
    <t>countries</t>
  </si>
  <si>
    <t>About Cargill, page 3; 70 countries</t>
  </si>
  <si>
    <t>Sector_KPIs!B6</t>
  </si>
  <si>
    <t>No transformation</t>
  </si>
  <si>
    <t>CG-2025-MARKETS</t>
  </si>
  <si>
    <t>Markets served</t>
  </si>
  <si>
    <t>markets</t>
  </si>
  <si>
    <t>About Cargill, page 3; 125 markets</t>
  </si>
  <si>
    <t>Sector_KPIs!B7</t>
  </si>
  <si>
    <t>CG-MISSING-GROSS-PROFIT</t>
  </si>
  <si>
    <t>Gross profit</t>
  </si>
  <si>
    <t>USD millions unless ownership</t>
  </si>
  <si>
    <t>Primary source reviewed; disclosure absent</t>
  </si>
  <si>
    <t>Official 17-page report reviewed; no audited IS/BS/CF table or auditor opinion and no claim-level line item</t>
  </si>
  <si>
    <t>Historical / Valuation readiness</t>
  </si>
  <si>
    <t>None; value intentionally not inferred</t>
  </si>
  <si>
    <t>Not disclosed</t>
  </si>
  <si>
    <t>Material disclosure blocker; headline DCF and equity value are suppressed.</t>
  </si>
  <si>
    <t>CG-MISSING-OPERATING-PROFIT-EBIT</t>
  </si>
  <si>
    <t>Operating profit / EBIT</t>
  </si>
  <si>
    <t>CG-MISSING-NET-INCOME-ATTRIBUTABLE</t>
  </si>
  <si>
    <t>Net income attributable</t>
  </si>
  <si>
    <t>CG-MISSING-CASH-FROM-OPERATIONS</t>
  </si>
  <si>
    <t>Cash from operations</t>
  </si>
  <si>
    <t>CG-MISSING-CAPITAL-EXPENDITURE</t>
  </si>
  <si>
    <t>Capital expenditure</t>
  </si>
  <si>
    <t>CG-MISSING-TOTAL-ASSETS</t>
  </si>
  <si>
    <t>Total assets</t>
  </si>
  <si>
    <t>CG-MISSING-TOTAL-LIABILITIES</t>
  </si>
  <si>
    <t>Total liabilities</t>
  </si>
  <si>
    <t>Historical!F12</t>
  </si>
  <si>
    <t>CG-MISSING-SHAREHOLDERS-EQUITY</t>
  </si>
  <si>
    <t>Shareholders' equity</t>
  </si>
  <si>
    <t>CG-MISSING-ADJUSTED-NET-BORROWINGS</t>
  </si>
  <si>
    <t>Adjusted net borrowings</t>
  </si>
  <si>
    <t>CG-MISSING-CASH-AND-CASH-EQUIVALENTS</t>
  </si>
  <si>
    <t>Cash and cash equivalents</t>
  </si>
  <si>
    <t>CG-MISSING-SHARES-OUTSTANDING-OWNERSHIP-BRIDGE</t>
  </si>
  <si>
    <t>Shares outstanding / ownership bridge</t>
  </si>
  <si>
    <t>CG-A-GROWTH</t>
  </si>
  <si>
    <t>Revenue growth</t>
  </si>
  <si>
    <t>FY2026E-FY2030E</t>
  </si>
  <si>
    <t>%</t>
  </si>
  <si>
    <t>Model-owned assumption</t>
  </si>
  <si>
    <t>Model assumption</t>
  </si>
  <si>
    <t>Assumptions sheet</t>
  </si>
  <si>
    <t>Revenue growth scenario row</t>
  </si>
  <si>
    <t>Assumptions!B5:E5</t>
  </si>
  <si>
    <t>Bear/Base/Bull = -5%/2%/6%</t>
  </si>
  <si>
    <t>Assumption</t>
  </si>
  <si>
    <t>Revenue-only scenario; no profitability or valuation conclusion.</t>
  </si>
  <si>
    <t>CG-A-WACC</t>
  </si>
  <si>
    <t>WACC</t>
  </si>
  <si>
    <t>Valuation readiness</t>
  </si>
  <si>
    <t>Not set — disclosure blocker</t>
  </si>
  <si>
    <t>Model assumption blocked</t>
  </si>
  <si>
    <t>WACC row intentionally blank</t>
  </si>
  <si>
    <t>Assumptions!B14:E14</t>
  </si>
  <si>
    <t>No WACC set without FCFF/net-debt base</t>
  </si>
  <si>
    <t>Valuation input suppressed until complete audited financials are provided.</t>
  </si>
  <si>
    <t>CG-A-TG</t>
  </si>
  <si>
    <t>Terminal growth</t>
  </si>
  <si>
    <t>Terminal growth row intentionally blank</t>
  </si>
  <si>
    <t>Assumptions!B15:E15</t>
  </si>
  <si>
    <t>No terminal growth set without FCFF base</t>
  </si>
  <si>
    <t>CG-2022-REV</t>
  </si>
  <si>
    <t>FY2022</t>
  </si>
  <si>
    <t>Cargill 2022 Annual Report</t>
  </si>
  <si>
    <t>https://www.cargill.com/doc/1432215917376/2022-cargill-annual-report.pdf (primary, direct fetch 403 in-session; confirmed via Wayback Machine capture: https://web.archive.org/web/20220812145333/https://www.cargill.com/doc/1432215917376/2022-cargill-annual-report.pdf)</t>
  </si>
  <si>
    <t>Letter to stakeholders — PDF sin numeración impresa, página física 3 (also restated p. 5, "About Cargill" infographic): "we recorded $165 billion in revenues this fiscal year, a 23% increase." Confirmed directly against the primary issuer PDF via Wayback Machine capture 20220812145333 (2026-07-21 remediation pass), superseding the prior secondary-press-only corroboration. Local archived copy: the maintainer's archive</t>
  </si>
  <si>
    <t>2026-07-21</t>
  </si>
  <si>
    <t>Historical!C5</t>
  </si>
  <si>
    <t>No complete audited income statement, balance sheet or cash-flow statement published; narrative annual report only. Revenue figure now confirmed directly from the primary PDF (Wayback capture), not secondary press.</t>
  </si>
  <si>
    <t>CG-2023-REV</t>
  </si>
  <si>
    <t>FY2023</t>
  </si>
  <si>
    <t>Cargill 2023 Annual Report</t>
  </si>
  <si>
    <t>https://www.cargill.com/about/doc/1432242761261/2023-cargill-annual-report.pdf (primary, direct fetch 403 in-session; confirmed via Wayback Machine capture: https://web.archive.org/web/20230806150828/https://www.cargill.com/about/doc/1432242761261/2023-cargill-annual-report.pdf)</t>
  </si>
  <si>
    <t>PDF sin numeración impresa, página física 2 ("$177B" at-a-glance infographic) and página física 4 (letter to stakeholders): "customers’ partnership, Cargill recorded $177 billion ... alone." Confirmed directly against the primary issuer PDF via Wayback Machine capture 20230806150828 (2026-07-21 remediation pass), superseding the prior secondary-press-only corroboration. Local archived copy: the maintainer's archive</t>
  </si>
  <si>
    <t>Historical!D5</t>
  </si>
  <si>
    <t>CG-2026-CREDIT</t>
  </si>
  <si>
    <t>Credit ratings (S&amp;P / Moody's / D&amp;B)</t>
  </si>
  <si>
    <t>As published (retrieved 2026-07-21)</t>
  </si>
  <si>
    <t>S&amp;P A / A-1; Moody's A2 / P-1; D&amp;B 5A1</t>
  </si>
  <si>
    <t>rating scale</t>
  </si>
  <si>
    <t>Cargill "Credit and financial information" page</t>
  </si>
  <si>
    <t>Primary — issuer investor page (live URL returned HTTP 403 to automated fetch; retrieved via Wayback Machine snapshot)</t>
  </si>
  <si>
    <t>https://www.cargill.com/about/financial/credit-financial-information (archived: http://web.archive.org/web/20260517174626/https://www.cargill.com/about/financial/credit-financial-information)</t>
  </si>
  <si>
    <t>Page body: "Standard &amp; Poor's A / A-1; Moody's Investors Service A2 / P-1; Dun &amp; Bradstreet 5A1 / 00-624-9189." Page also states: detailed financials are "Private access for authorized users" only, via registration at financials@cargill.com.</t>
  </si>
  <si>
    <t>Source_Ceiling</t>
  </si>
  <si>
    <t>No transformation; ratings recorded as published</t>
  </si>
  <si>
    <t>Definitive evidence that Cargill's full financial statements are not public: the issuer's own IR page gates them behind an authorized-user portal. Used to set the Source_Ceiling assessment.</t>
  </si>
  <si>
    <t>Historical financials</t>
  </si>
  <si>
    <t>USD millions. Blanks are intentional when no claim-level primary-source mapping was available.</t>
  </si>
  <si>
    <t>Metric</t>
  </si>
  <si>
    <t>2021A</t>
  </si>
  <si>
    <t>2022A</t>
  </si>
  <si>
    <t>2023A</t>
  </si>
  <si>
    <t>2024A</t>
  </si>
  <si>
    <t>2025A</t>
  </si>
  <si>
    <t>Source mapping</t>
  </si>
  <si>
    <t>Sources ledger</t>
  </si>
  <si>
    <t>Assets less equity</t>
  </si>
  <si>
    <t>Inferred where inputs exist</t>
  </si>
  <si>
    <t>Shares outstanding (mm)</t>
  </si>
  <si>
    <t>Assumptions and scenarios</t>
  </si>
  <si>
    <t>Blue-font cells are model inputs. Selector: 1 = Base, 2 = Bull, 3 = Bear. Active results are formulas and are not editable drivers.</t>
  </si>
  <si>
    <t>Scenario selector</t>
  </si>
  <si>
    <t>Bear</t>
  </si>
  <si>
    <t>Base</t>
  </si>
  <si>
    <t>Bull</t>
  </si>
  <si>
    <t>Active</t>
  </si>
  <si>
    <t>Rationale / source</t>
  </si>
  <si>
    <t>2026 revenue growth</t>
  </si>
  <si>
    <t>Revenue-only model assumptions; no profitability conclusion</t>
  </si>
  <si>
    <t>2026 EBIT margin</t>
  </si>
  <si>
    <t>Blocked — EBIT not disclosed</t>
  </si>
  <si>
    <t>2027-2030 revenue growth</t>
  </si>
  <si>
    <t>Revenue-only scenario; illustrative</t>
  </si>
  <si>
    <t>2027-2030 EBIT margin</t>
  </si>
  <si>
    <t>Cash tax rate</t>
  </si>
  <si>
    <t>Blocked — tax / profit not disclosed</t>
  </si>
  <si>
    <t>D&amp;A / revenue</t>
  </si>
  <si>
    <t>Blocked — D&amp;A not disclosed</t>
  </si>
  <si>
    <t>2026 capital expenditure</t>
  </si>
  <si>
    <t>Blocked — capex not disclosed</t>
  </si>
  <si>
    <t>2027-2030 capex / revenue</t>
  </si>
  <si>
    <t>Operating working capital / revenue</t>
  </si>
  <si>
    <t>Blocked — working capital not disclosed</t>
  </si>
  <si>
    <t>Intentionally blank until FCFF/net-debt base is sourced</t>
  </si>
  <si>
    <t>Intentionally blank until FCFF base is sourced</t>
  </si>
  <si>
    <t>Valuation and profitability inputs are intentionally blank. This is an operational control, not an incomplete styling choice: downstream forecast and valuation outputs are suppressed until material source fields are mapped.</t>
  </si>
  <si>
    <t>Forecast model</t>
  </si>
  <si>
    <t>USD millions. Forecast outputs are formula-driven and guarded by source readiness.</t>
  </si>
  <si>
    <t>2026E</t>
  </si>
  <si>
    <t>2027E</t>
  </si>
  <si>
    <t>2028E</t>
  </si>
  <si>
    <t>2029E</t>
  </si>
  <si>
    <t>2030E</t>
  </si>
  <si>
    <t>Growth</t>
  </si>
  <si>
    <t>EBIT margin</t>
  </si>
  <si>
    <t>EBIT</t>
  </si>
  <si>
    <t>NOPAT</t>
  </si>
  <si>
    <t>D&amp;A</t>
  </si>
  <si>
    <t>Operating working capital</t>
  </si>
  <si>
    <t>Change in NWC</t>
  </si>
  <si>
    <t>FCFF</t>
  </si>
  <si>
    <t>Forecast guard: revenue may project only when a reported base exists. Profitability, FCFF and valuation rows remain blank because the source ledger contains material BLOCKED classifications.</t>
  </si>
  <si>
    <t>Valuation readiness — headline output suppressed</t>
  </si>
  <si>
    <t>The workbook blocks any DCF, enterprise value, equity value or price target when material source fields are absent.</t>
  </si>
  <si>
    <t>Requirement</t>
  </si>
  <si>
    <t>Actual</t>
  </si>
  <si>
    <t>Expected</t>
  </si>
  <si>
    <t>Difference</t>
  </si>
  <si>
    <t>Tolerance</t>
  </si>
  <si>
    <t>Status</t>
  </si>
  <si>
    <t>Disposition / fix</t>
  </si>
  <si>
    <t>Reported revenue base</t>
  </si>
  <si>
    <t>Available: FY2025 revenue</t>
  </si>
  <si>
    <t>Reported EBIT / operating profit</t>
  </si>
  <si>
    <t>Required for normalized operating profitability</t>
  </si>
  <si>
    <t>Cash flow / capex / working capital</t>
  </si>
  <si>
    <t>Required for FCFF</t>
  </si>
  <si>
    <t>Cash / debt or net debt</t>
  </si>
  <si>
    <t>Required for EV-to-equity bridge</t>
  </si>
  <si>
    <t>Ownership / share bridge</t>
  </si>
  <si>
    <t>Private company ownership data not disclosed</t>
  </si>
  <si>
    <t>WACC and terminal method</t>
  </si>
  <si>
    <t>Intentionally unset until FCFF base is sourced</t>
  </si>
  <si>
    <t>Headline enterprise value</t>
  </si>
  <si>
    <t>NOT DECISION-READY</t>
  </si>
  <si>
    <t>SUPPRESSED</t>
  </si>
  <si>
    <t>No numeric output is presented</t>
  </si>
  <si>
    <t>Headline equity value</t>
  </si>
  <si>
    <t>No implied precision</t>
  </si>
  <si>
    <t>Overall valuation gate</t>
  </si>
  <si>
    <t>Source/disclosure blocker</t>
  </si>
  <si>
    <t>Exact blocker: Cargill's official 17-page FY2025 annual report discloses revenue but not a complete audited income statement, balance sheet, cash-flow statement, auditor opinion, net debt or ownership/share data. A full DCF/equity value would invent material facts.</t>
  </si>
  <si>
    <t>Sensitivity control</t>
  </si>
  <si>
    <t>No valuation sensitivity is produced while the valuation gate is NOT DECISION-READY.</t>
  </si>
  <si>
    <t>Test</t>
  </si>
  <si>
    <t>Input 1</t>
  </si>
  <si>
    <t>Input 2</t>
  </si>
  <si>
    <t>Input 3</t>
  </si>
  <si>
    <t>Output 1</t>
  </si>
  <si>
    <t>Output 2</t>
  </si>
  <si>
    <t>Revenue scenario selector</t>
  </si>
  <si>
    <t>PARTIAL — revenue only</t>
  </si>
  <si>
    <t>Valuation sensitivity</t>
  </si>
  <si>
    <t>WACC / g grid</t>
  </si>
  <si>
    <t>Equity/share sensitivity</t>
  </si>
  <si>
    <t>Required fix</t>
  </si>
  <si>
    <t>Load claim-level audited financial inputs</t>
  </si>
  <si>
    <t>Blocker class</t>
  </si>
  <si>
    <t>SOURCE / DISCLOSURE</t>
  </si>
  <si>
    <t>Guardrail: a blank or zero sensitivity matrix would imply a valuation was attempted. Instead, the workbook explicitly suppresses valuation outputs until required source fields are complete.</t>
  </si>
  <si>
    <t>Model checks and decision-use gate</t>
  </si>
  <si>
    <t>Each assertion shows Actual, Expected, Difference, Tolerance, formula-driven Status and a fix hint.</t>
  </si>
  <si>
    <t>Check</t>
  </si>
  <si>
    <t>Location / fix hint</t>
  </si>
  <si>
    <t>Material source mappings</t>
  </si>
  <si>
    <t>Sources!O:P; map every required field or retain BLOCKED</t>
  </si>
  <si>
    <t>FY2025 revenue tie</t>
  </si>
  <si>
    <t>Historical!F5 vs claim-level Sources value</t>
  </si>
  <si>
    <t>FY2025 EBIT tie</t>
  </si>
  <si>
    <t>Historical!F7 vs claim-level Sources value</t>
  </si>
  <si>
    <t>Liabilities bridge</t>
  </si>
  <si>
    <t>Historical!F12 = assets - equity</t>
  </si>
  <si>
    <t>Forecast revenue populated</t>
  </si>
  <si>
    <t>Forecast!C5:G5</t>
  </si>
  <si>
    <t>FCFF populated</t>
  </si>
  <si>
    <t>Forecast!C15:G15</t>
  </si>
  <si>
    <t>WACC exceeds terminal growth</t>
  </si>
  <si>
    <t>Assumptions!E14:E15</t>
  </si>
  <si>
    <t>DCF enterprise-value bridge</t>
  </si>
  <si>
    <t>Valuation!B14 = PV explicit + PV terminal</t>
  </si>
  <si>
    <t>Equity-value bridge</t>
  </si>
  <si>
    <t>Valuation!B16 = EV - adjusted net borrowings</t>
  </si>
  <si>
    <t>Sensitivity center tie</t>
  </si>
  <si>
    <t>Sensitivity!D7 = Valuation!B18</t>
  </si>
  <si>
    <t>Headline valuation suppression</t>
  </si>
  <si>
    <t>Valuation must remain NOT DECISION-READY</t>
  </si>
  <si>
    <t>Scenario selector valid</t>
  </si>
  <si>
    <t>Assumptions!B3 must be 1, 2 or 3</t>
  </si>
  <si>
    <t>Overall gate</t>
  </si>
  <si>
    <t>Sector KPI evidence</t>
  </si>
  <si>
    <t>Reported operating KPIs are separated from model outputs and missing disclosure requirements.</t>
  </si>
  <si>
    <t>KPI</t>
  </si>
  <si>
    <t>Units</t>
  </si>
  <si>
    <t>Source / formula</t>
  </si>
  <si>
    <t>Decision relevance</t>
  </si>
  <si>
    <t>2025 Annual Report p.3</t>
  </si>
  <si>
    <t>Mapped</t>
  </si>
  <si>
    <t>Operating scale</t>
  </si>
  <si>
    <t>Geographic reach</t>
  </si>
  <si>
    <t>Customer reach</t>
  </si>
  <si>
    <t>USDm</t>
  </si>
  <si>
    <t>Reported / forecast</t>
  </si>
  <si>
    <t>2025 Annual Report p.2 / Forecast!C5</t>
  </si>
  <si>
    <t>Scale and scenario context</t>
  </si>
  <si>
    <t>No audited income statement</t>
  </si>
  <si>
    <t>Blocked</t>
  </si>
  <si>
    <t>Required for profitability</t>
  </si>
  <si>
    <t>Capex intensity</t>
  </si>
  <si>
    <t>No audited cash-flow statement</t>
  </si>
  <si>
    <t>Working capital intensity</t>
  </si>
  <si>
    <t>No audited statements</t>
  </si>
  <si>
    <t>Net debt</t>
  </si>
  <si>
    <t>No balance-sheet bridge</t>
  </si>
  <si>
    <t>Required for equity value</t>
  </si>
  <si>
    <t>Change log and governance</t>
  </si>
  <si>
    <t>Controlled version history, scope, evidence and reviewer disposition.</t>
  </si>
  <si>
    <t>Date</t>
  </si>
  <si>
    <t>Version</t>
  </si>
  <si>
    <t>Author / lane</t>
  </si>
  <si>
    <t>Change</t>
  </si>
  <si>
    <t>Changed sheets / ranges</t>
  </si>
  <si>
    <t>Evidence</t>
  </si>
  <si>
    <t>Reviewer status</t>
  </si>
  <si>
    <t>2026-07-15</t>
  </si>
  <si>
    <t>1.0</t>
  </si>
  <si>
    <t>Codex baseline</t>
  </si>
  <si>
    <t>Initial generic institutional model shell</t>
  </si>
  <si>
    <t>All baseline sheets</t>
  </si>
  <si>
    <t>Cargill_Institutional_Model.xlsx</t>
  </si>
  <si>
    <t>Superseded by controlled copy; original preserved</t>
  </si>
  <si>
    <t>2.0</t>
  </si>
  <si>
    <t>limited-company / consumer-agri cluster</t>
  </si>
  <si>
    <t>Added claim-level source ledger, corrected disclosure blocker, formula-driven suppression and H0-H9 ledger</t>
  </si>
  <si>
    <t>00_Cover; Sources; Historical; Assumptions; Forecast; Valuation; Sensitivity; Checks; Sector_KPIs; Change_Log; added 9_10_Blockers</t>
  </si>
  <si>
    <t>Companion QA, recalc and evidence package</t>
  </si>
  <si>
    <t>Independent review pending</t>
  </si>
  <si>
    <t>Preserved baseline lineage and source boundary</t>
  </si>
  <si>
    <t>No original workbook edits; no raw Latinex companies/objects/OCR access</t>
  </si>
  <si>
    <t>Original SHA-256 ea44065b22b3b7559db314a74c39fe687c0e8b1f2ffaf582cbf1044c8e314f1d</t>
  </si>
  <si>
    <t>Owner verified; independent package review pending</t>
  </si>
  <si>
    <t>Claude (run 41538014) / all-Grok-fanout lane</t>
  </si>
  <si>
    <t>Elevation pass: sourced and added FY2022 ($165bn) and FY2023 ($177bn) revenue (Cargill 2022/2023 Annual Reports, cross-verified via contemporaneous press after cargill.com returned HTTP 403 to direct automated fetch), completing FY2021A-FY2025A revenue to 5/5 years. Added Sources_Audited, Checks_TieOut and Source_Ceiling sheets to align with the Samsung-pilot IG architecture within Cargill's disclosure limit. Extended Sources/Checks ranges to include the 2 new revenue rows + 1 credit-rating row (27 total); no check tolerance loosened. Independent finding: realistic ceiling is 2/10 (below the maintainer's a-priori ~5), confirmed by Cargill's own gated-financials IR page.</t>
  </si>
  <si>
    <t>Historical!C5:D5; Sources!A25:P27; Checks!B5,C5,F5; added Sources_Audited, Checks_TieOut, Source_Ceiling</t>
  </si>
  <si>
    <t>This build (wb.calculate() clean, unzip -t OK); the build report (not published)</t>
  </si>
  <si>
    <t>2.2</t>
  </si>
  <si>
    <t>Claude (remediation pass, run d849468b)</t>
  </si>
  <si>
    <t>Post-audit remediation: retrieved FY2022/FY2023 Cargill Annual Report PDFs directly via Wayback Machine (live cargill.com URLs still 403 to automated fetch) and archived local copies; upgraded Sources!I25/I26 and Sources_Audited!D5/D6 citations from secondary-press corroboration to primary-PDF page-level confirmation. Corrected approximate "page 2" locators on FY2024/FY2025 revenue citations (Sources!I6/I7) to physical-PDF-page locators, since neither report carries printed page numbers.</t>
  </si>
  <si>
    <t>Sources!H25:J26, N25:N26, I6, I7; Sources_Audited!D5:D6</t>
  </si>
  <si>
    <t>the maintainer's archive (cargill_2022_annual_report.pdf, cargill_2023_annual_report.pdf, README.md); the maintainer's archive</t>
  </si>
  <si>
    <t>Independent 9/10 hard-gate ledger</t>
  </si>
  <si>
    <t>Owner evidence status only. Independent reviewer results remain pending; no owner self-certification.</t>
  </si>
  <si>
    <t>Gate</t>
  </si>
  <si>
    <t>Points</t>
  </si>
  <si>
    <t>Owner evidence status</t>
  </si>
  <si>
    <t>Evidence location</t>
  </si>
  <si>
    <t>Blocker / resolution</t>
  </si>
  <si>
    <t>Independent result</t>
  </si>
  <si>
    <t>H0</t>
  </si>
  <si>
    <t>OWNER EVIDENCE COMPLETE</t>
  </si>
  <si>
    <t>Controlled path, original hash, package integrity and lineage evidence</t>
  </si>
  <si>
    <t>Independent identity/package reproduction pending</t>
  </si>
  <si>
    <t>PENDING</t>
  </si>
  <si>
    <t>H1</t>
  </si>
  <si>
    <t>BLOCKED — SOURCE/DISCLOSURE</t>
  </si>
  <si>
    <t>Sources!A:P claim-level ledger and formula-driven mapping status</t>
  </si>
  <si>
    <t>H2</t>
  </si>
  <si>
    <t>Historical; Forecast; Checks</t>
  </si>
  <si>
    <t>Missing material profitability / cash-flow / balance-sheet facts</t>
  </si>
  <si>
    <t>H3</t>
  </si>
  <si>
    <t>PARTIAL — REVENUE ONLY</t>
  </si>
  <si>
    <t>Assumptions selector; Forecast outputs; Sensitivity</t>
  </si>
  <si>
    <t>Valuation channel is intentionally suppressed</t>
  </si>
  <si>
    <t>H4</t>
  </si>
  <si>
    <t>Valuation; Sensitivity; Checks</t>
  </si>
  <si>
    <t>No defensible FCFF/net-debt/ownership bridge</t>
  </si>
  <si>
    <t>H5</t>
  </si>
  <si>
    <t>Checks with Actual/Expected/Difference/Tolerance/Status/Fix hint</t>
  </si>
  <si>
    <t>Post-native-recalc error scan evidence required</t>
  </si>
  <si>
    <t>H6</t>
  </si>
  <si>
    <t>OWNER EVIDENCE PREPARED</t>
  </si>
  <si>
    <t>Companion isolated LibreOffice open/save/reopen log</t>
  </si>
  <si>
    <t>Independent native-recalc reproduction pending</t>
  </si>
  <si>
    <t>H7</t>
  </si>
  <si>
    <t>Companion render manifest for every user-facing sheet</t>
  </si>
  <si>
    <t>Independent visual review pending</t>
  </si>
  <si>
    <t>H8</t>
  </si>
  <si>
    <t>Source mapping, model mechanics, formula gates and valuation readiness were materially changed</t>
  </si>
  <si>
    <t>Not a visual-only upgrade</t>
  </si>
  <si>
    <t>H9</t>
  </si>
  <si>
    <t>00_Cover; Change_Log; this ledger</t>
  </si>
  <si>
    <t>Independent governance review pending</t>
  </si>
  <si>
    <t>Owner package status</t>
  </si>
  <si>
    <t>Exact blocker: The official FY2025 annual report discloses $154bn revenue but no complete audited IS/BS/CF, net debt, ownership/share bridge or auditor opinion. Headline valuation is formula-gated and suppressed as NOT DECISION-READY.</t>
  </si>
  <si>
    <t>Audited/public source register — Cargill, Incorporated. Cargill is privately held: no SEC filings, no audited consolidated financial statements (IS/BS/CF) and no auditor's opinion are published for any fiscal year.</t>
  </si>
  <si>
    <t>Model year</t>
  </si>
  <si>
    <t>Source report</t>
  </si>
  <si>
    <t>File / URL</t>
  </si>
  <si>
    <t>Disclosure scope</t>
  </si>
  <si>
    <t>FY2021A</t>
  </si>
  <si>
    <t>Revenue only ($134.4bn)</t>
  </si>
  <si>
    <t>FY2022A</t>
  </si>
  <si>
    <t>https://www.cargill.com/doc/1432215917376/2022-cargill-annual-report.pdf</t>
  </si>
  <si>
    <t>Revenue only ($165bn). Confirmed directly against the primary issuer PDF via Wayback Machine capture 20220812145333 (2026-07-21); local copy in the maintainer's archive</t>
  </si>
  <si>
    <t>FY2023A</t>
  </si>
  <si>
    <t>https://www.cargill.com/about/doc/1432242761261/2023-cargill-annual-report.pdf</t>
  </si>
  <si>
    <t>Revenue only ($177bn). Confirmed directly against the primary issuer PDF via Wayback Machine capture 20230806150828 (2026-07-21); local copy in the maintainer's archive</t>
  </si>
  <si>
    <t>FY2024A</t>
  </si>
  <si>
    <t>Revenue only ($160bn)</t>
  </si>
  <si>
    <t>FY2025A</t>
  </si>
  <si>
    <t>Revenue ($154bn) + non-financial KPIs (employees, countries, markets)</t>
  </si>
  <si>
    <t>Ongoing</t>
  </si>
  <si>
    <t>https://www.cargill.com/about/financial/credit-financial-information (Wayback: http://web.archive.org/web/20260517174626/...)</t>
  </si>
  <si>
    <t>Credit ratings only (S&amp;P A/A-1, Moody's A2/P-1, D&amp;B 5A1); page states full financials are gated behind an authorized-user portal.</t>
  </si>
  <si>
    <t>Notes: every Historical value is a published constant traceable to the row above (or to Sources for full claim-level lineage, columns A-P). No line item beyond revenue and the FY2025 non-financial KPIs is populated for any year — this is a disclosure limit, not an omission. All recomputation lives in Checks_TieOut. See Source_Ceiling for the realistic elevation-ceiling assessment and rationale.</t>
  </si>
  <si>
    <t>Currency: Cargill reports natively in USD; no FX conversion / implied-rate layer is required or applicable (unlike foreign-currency issuers such as Samsung).</t>
  </si>
  <si>
    <t>Tie-out checks — Cargill disclosed data (revenue is the only multi-year line item; all deltas must be 0)</t>
  </si>
  <si>
    <t>MASTER</t>
  </si>
  <si>
    <t>Revenue: Historical = Sources claim-level ledger</t>
  </si>
  <si>
    <t>No fabrication: non-revenue historical rows remain unpopulated (count, expected 0)</t>
  </si>
  <si>
    <t>Sources ledger has exactly 5 disclosed revenue-year entries</t>
  </si>
  <si>
    <t>Source ceiling assessment — realistic elevation limit for Cargill, Incorporated (private issuer, no SEC filings)</t>
  </si>
  <si>
    <t>Requirement (full IG statement-grade pattern, per Samsung pilot)</t>
  </si>
  <si>
    <t>Standard</t>
  </si>
  <si>
    <t>Available for Cargill</t>
  </si>
  <si>
    <t>3-statement audited history (IS/BS/CF, line-item detail, 5 years)</t>
  </si>
  <si>
    <t>Required</t>
  </si>
  <si>
    <t>Not published. Cargill's public annual report is a ~15-20 page narrative/sustainability brochure with no financial statements and no auditor's opinion.</t>
  </si>
  <si>
    <t>BLOCKED</t>
  </si>
  <si>
    <t>Total revenue (top line)</t>
  </si>
  <si>
    <t>Disclosed every fiscal year FY2021-FY2025 in the letter to stakeholders.</t>
  </si>
  <si>
    <t>AVAILABLE (5/5 years)</t>
  </si>
  <si>
    <t>Gross profit / operating profit (EBIT) / net income</t>
  </si>
  <si>
    <t>Never disclosed in any public annual report reviewed (FY2021-FY2025).</t>
  </si>
  <si>
    <t>Balance sheet (assets / liabilities / equity)</t>
  </si>
  <si>
    <t>Never disclosed. No total assets, liabilities, equity, or net debt figure in any public source found.</t>
  </si>
  <si>
    <t>Cash flow statement (CFO / capex / financing)</t>
  </si>
  <si>
    <t>Never disclosed.</t>
  </si>
  <si>
    <t>Non-financial operating KPIs (employees, countries, markets)</t>
  </si>
  <si>
    <t>Supplementary</t>
  </si>
  <si>
    <t>Disclosed in the FY2025 annual report (155,000+ employees, 70 countries, 125 markets).</t>
  </si>
  <si>
    <t>AVAILABLE</t>
  </si>
  <si>
    <t>Credit ratings (proxy for creditworthiness, not a financial statement)</t>
  </si>
  <si>
    <t>Disclosed on Cargill's own IR page: S&amp;P A/A-1, Moody's A2/P-1, D&amp;B 5A1. Same page states full financials are gated behind an authorized-user portal (financials@cargill.com registration) — this is the clearest possible confirmation that the ceiling below is not a search-effort failure.</t>
  </si>
  <si>
    <t>AVAILABLE (rating only)</t>
  </si>
  <si>
    <t>WACC / DCF valuation inputs (net debt, share count, ownership bridge)</t>
  </si>
  <si>
    <t>Required for valuation</t>
  </si>
  <si>
    <t>Not disclosed; Cargill has no public shares or ownership bridge (family-owned).</t>
  </si>
  <si>
    <t>Realistic ceiling (0-10 scale, this-session finding)</t>
  </si>
  <si>
    <t>the maintainer's a-priori estimate: &lt;10, probably ~5</t>
  </si>
  <si>
    <t>2/10</t>
  </si>
  <si>
    <t>BELOW PRIOR ESTIMATE</t>
  </si>
  <si>
    <t>Rationale for scoring below the ~5 prior estimate</t>
  </si>
  <si>
    <t>A "5/10" ceiling would require at least one full statement block (e.g. a complete income statement or balance sheet snapshot for one year) to exist in the public domain. For Cargill it does not: only the single revenue figure is published per year, for 5 of 5 years, plus non-financial KPIs and a credit-rating letter grade. No profitability, no balance sheet, no cash flow, no valuation-ready inputs exist publicly for any year. That ceiling is intrinsic to Cargill being a private, non-SEC-reporting issuer — it is not a research-effort gap (confirmed by the issuer's own gated financials portal, row 10).</t>
  </si>
  <si>
    <t>What this build did within the ceiling</t>
  </si>
  <si>
    <t>Filled the two missing years of the one available line item (FY2022 revenue $165bn, FY2023 revenue $177bn — both newly sourced and cited this session), completing the FY2021A-FY2025A revenue history to 5/5 years. Added Sources_Audited, Checks_TieOut and this Source_Ceiling sheet to match the Samsung-pattern architecture as far as the data permits. Historical/Forecast/Valuation/Checks/9_10_Blockers gating logic (revenue-only decision use, suppressed DCF/equity value) is preserved unchanged and remains correct given the finding above.</t>
  </si>
  <si>
    <t>Path to raise the ceiling (not attempted this session — flagged as next step)</t>
  </si>
  <si>
    <t>(a) Request access via financials@cargill.com to Cargill's authorized-user financial portal (requires an institutional relationship, e.g. as a lender/counterparty — not accessible to this research pass). (b) Check whether Moody's/S&amp;P full credit-opinion PDFs (not just the letter-grade page) are mirrored on a public aggregator and contain summary EBITDA/leverage figures — spot-checked this session (search only) with no public full-text hit; would need direct agency portal access, which is itself gated. (c) Check SEC filings of joint ventures or minority-owned affiliates that might disclose Cargill segment data — not attempted this session.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</si>
  <si>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</si>
  <si>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</si>
  <si>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</si>
  <si>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</si>
  <si>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</si>
  <si>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</si>
  <si>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</si>
  <si>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00_Cover: 1 cell written, at B16; Sources: 2 cells written, at I25, I26; Change_Log: 4 cells written, at F5, D8, F8, F9; Sources_Audited: 2 cells written, at D5, D6; Source_Ceiling: 1 cell written, at B13.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</si>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</sst>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[RED]\(#,##0.0\);\-"/>
    <numFmt numFmtId="166" formatCode="#,##0.000;[RED]\(#,##0.000\);\-"/>
    <numFmt numFmtId="167" formatCode="0.0%;[RED]\(0.0%\);\-"/>
    <numFmt numFmtId="168" formatCode="0"/>
    <numFmt numFmtId="169" formatCode="yyyy-mm-dd"/>
    <numFmt numFmtId="170" formatCode="yyyy\-mm\-dd hh:mm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 val="0"/>
      <i val="0"/>
      <strike val="0"/>
      <sz val="10"/>
      <name val="Arial"/>
      <family val="2"/>
    </font>
    <font>
      <b/>
      <i val="0"/>
      <strike val="0"/>
      <sz val="11"/>
      <color rgb="FFFFFFFF"/>
      <name val="Calibri"/>
      <family val="0"/>
    </font>
    <font>
      <b val="0"/>
      <i/>
      <strike val="0"/>
      <sz val="11"/>
      <color rgb="FF666666"/>
      <name val="Calibri"/>
      <family val="0"/>
    </font>
    <font>
      <b val="0"/>
      <i val="0"/>
      <strike val="0"/>
      <sz val="11"/>
      <color rgb="FF000000"/>
      <name val="Calibri"/>
      <family val="0"/>
    </font>
    <font>
      <b/>
      <i val="0"/>
      <strike val="0"/>
      <sz val="11"/>
      <color rgb="FFC00000"/>
      <name val="Calibri"/>
      <family val="0"/>
    </font>
    <font>
      <b val="0"/>
      <i val="0"/>
      <strike val="0"/>
      <sz val="11"/>
      <color rgb="FF008000"/>
      <name val="Calibri"/>
      <family val="0"/>
    </font>
    <font>
      <b val="0"/>
      <i/>
      <strike val="0"/>
      <sz val="11"/>
      <color rgb="FF000000"/>
      <name val="Calibri"/>
      <family val="0"/>
    </font>
    <font>
      <b/>
      <i val="0"/>
      <strike val="0"/>
      <sz val="11"/>
      <color rgb="FF000000"/>
      <name val="Calibri"/>
      <family val="0"/>
    </font>
    <font>
      <b/>
      <i val="0"/>
      <strike val="0"/>
      <sz val="16"/>
      <color rgb="FFFFFFFF"/>
      <name val="Calibri"/>
      <family val="0"/>
    </font>
    <font>
      <b val="0"/>
      <i/>
      <strike val="0"/>
      <sz val="10"/>
      <color rgb="FF595959"/>
      <name val="Calibri"/>
      <family val="0"/>
    </font>
    <font>
      <b/>
      <i val="0"/>
      <strike val="0"/>
      <sz val="11"/>
      <color rgb="FF0000FF"/>
      <name val="Calibri"/>
      <family val="0"/>
    </font>
    <font>
      <b val="0"/>
      <i val="0"/>
      <strike val="0"/>
      <sz val="11"/>
      <color rgb="FF0000FF"/>
      <name val="Calibri"/>
      <family val="0"/>
    </font>
    <font>
      <b/>
      <i val="0"/>
      <strike val="0"/>
      <sz val="11"/>
      <color rgb="FF9C0006"/>
      <name val="Calibri"/>
      <family val="0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</fills>
  <borders count="4">
    <border/>
    <border diagonalUp="0" diagonalDown="0"/>
    <border diagonalUp="0" diagonalDown="0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 diagonalUp="0" diagonalDown="0">
      <left style="thin">
        <color rgb="FFD9E1F2"/>
      </left>
      <top style="thin">
        <color rgb="FFD9E1F2"/>
      </top>
      <bottom style="thin">
        <color rgb="FFD9E1F2"/>
      </bottom>
    </border>
  </borders>
  <cellStyleXfs count="1">
    <xf numFmtId="0" fontId="1" fillId="0" borderId="1">
      <alignment horizontal="general" vertical="bottom" textRotation="0" indent="0"/>
      <protection locked="1"/>
    </xf>
  </cellStyleXfs>
  <cellXfs count="35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3" fillId="2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4" fillId="3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3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3" fillId="4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6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5" borderId="3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8" fillId="6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9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7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6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0" fillId="2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11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12" fillId="5" borderId="2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7" fontId="13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9" fillId="8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13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9" fillId="8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9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4" fillId="9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9" fillId="9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8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4" fillId="9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5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69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0" fontId="15" fillId="0" borderId="1" xfId="0" applyFont="1" applyFill="1" applyBorder="1" applyAlignment="1" applyProtection="1">
      <alignment vertical="top" textRotation="0" indent="0"/>
      <protection locked="1" hidden="0"/>
    </xf>
    <xf numFmtId="0" fontId="16" fillId="0" borderId="1" xfId="0" applyFont="1" applyFill="1" applyBorder="1" applyProtection="1">
      <protection locked="1" hidden="0"/>
    </xf>
    <xf numFmtId="170" fontId="15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61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style="1" customWidth="1"/>
    <col min="2" max="2" width="88" style="1" customWidth="1"/>
    <col min="3" max="8" width="12" style="1" customWidth="1"/>
  </cols>
  <sheetData>
    <row r="1" ht="26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t="26" hidden="0" outlineLevel="0" collapsed="0">
      <c r="A5" s="6" t="s">
        <v>4</v>
      </c>
      <c r="B5" s="6" t="s">
        <v>5</v>
      </c>
      <c r="C5" s="4"/>
      <c r="D5" s="4"/>
      <c r="E5" s="4"/>
      <c r="F5" s="4"/>
      <c r="G5" s="4"/>
      <c r="H5" s="4"/>
    </row>
    <row r="6" ht="26" hidden="0" outlineLevel="0" collapsed="0">
      <c r="A6" s="6" t="s">
        <v>6</v>
      </c>
      <c r="B6" s="6" t="s">
        <v>7</v>
      </c>
      <c r="C6" s="4"/>
      <c r="D6" s="4"/>
      <c r="E6" s="4"/>
      <c r="F6" s="4"/>
      <c r="G6" s="4"/>
      <c r="H6" s="4"/>
    </row>
    <row r="7" ht="26" hidden="0" outlineLevel="0" collapsed="0">
      <c r="A7" s="6" t="s">
        <v>8</v>
      </c>
      <c r="B7" s="7" t="str">
        <f>'9_10_Blockers'!$B$16</f>
        <v>NOT CERTIFIED — source/disclosure blocker</v>
      </c>
      <c r="C7" s="4"/>
      <c r="D7" s="4"/>
      <c r="E7" s="4"/>
      <c r="F7" s="4"/>
      <c r="G7" s="4"/>
      <c r="H7" s="4"/>
    </row>
    <row r="8" ht="26" hidden="0" outlineLevel="0" collapsed="0">
      <c r="A8" s="6" t="s">
        <v>9</v>
      </c>
      <c r="B8" s="6" t="s">
        <v>10</v>
      </c>
      <c r="C8" s="4"/>
      <c r="D8" s="4"/>
      <c r="E8" s="4"/>
      <c r="F8" s="4"/>
      <c r="G8" s="4"/>
      <c r="H8" s="4"/>
    </row>
    <row r="9" ht="26" hidden="0" outlineLevel="0" collapsed="0">
      <c r="A9" s="6" t="s">
        <v>11</v>
      </c>
      <c r="B9" s="6" t="s">
        <v>12</v>
      </c>
      <c r="C9" s="4"/>
      <c r="D9" s="4"/>
      <c r="E9" s="4"/>
      <c r="F9" s="4"/>
      <c r="G9" s="4"/>
      <c r="H9" s="4"/>
    </row>
    <row r="10" ht="26" hidden="0" outlineLevel="0" collapsed="0">
      <c r="A10" s="6" t="s">
        <v>13</v>
      </c>
      <c r="B10" s="6" t="s">
        <v>14</v>
      </c>
      <c r="C10" s="4"/>
      <c r="D10" s="4"/>
      <c r="E10" s="4"/>
      <c r="F10" s="4"/>
      <c r="G10" s="4"/>
      <c r="H10" s="4"/>
    </row>
    <row r="11" ht="26" hidden="0" outlineLevel="0" collapsed="0">
      <c r="A11" s="6" t="s">
        <v>15</v>
      </c>
      <c r="B11" s="8" t="str">
        <f>CHOOSE(Assumptions!$B$3,"Base","Bull","Bear")</f>
        <v>Base</v>
      </c>
      <c r="C11" s="4"/>
      <c r="D11" s="4"/>
      <c r="E11" s="4"/>
      <c r="F11" s="4"/>
      <c r="G11" s="4"/>
      <c r="H11" s="4"/>
    </row>
    <row r="12" ht="26" hidden="0" outlineLevel="0" collapsed="0">
      <c r="A12" s="6" t="s">
        <v>16</v>
      </c>
      <c r="B12" s="6" t="s">
        <v>17</v>
      </c>
      <c r="C12" s="4"/>
      <c r="D12" s="4"/>
      <c r="E12" s="4"/>
      <c r="F12" s="4"/>
      <c r="G12" s="4"/>
      <c r="H12" s="4"/>
    </row>
    <row r="13" ht="26" hidden="0" outlineLevel="0" collapsed="0">
      <c r="A13" s="6" t="s">
        <v>18</v>
      </c>
      <c r="B13" s="6" t="s">
        <v>19</v>
      </c>
      <c r="C13" s="4"/>
      <c r="D13" s="4"/>
      <c r="E13" s="4"/>
      <c r="F13" s="4"/>
      <c r="G13" s="4"/>
      <c r="H13" s="4"/>
    </row>
    <row r="14" ht="26" hidden="0" outlineLevel="0" collapsed="0">
      <c r="A14" s="6" t="s">
        <v>20</v>
      </c>
      <c r="B14" s="6" t="s">
        <v>21</v>
      </c>
      <c r="C14" s="4"/>
      <c r="D14" s="4"/>
      <c r="E14" s="4"/>
      <c r="F14" s="4"/>
      <c r="G14" s="4"/>
      <c r="H14" s="4"/>
    </row>
    <row r="15" ht="26" hidden="0" outlineLevel="0" collapsed="0">
      <c r="A15" s="9" t="s">
        <v>22</v>
      </c>
      <c r="B15" s="9" t="s">
        <v>23</v>
      </c>
      <c r="C15" s="9"/>
      <c r="D15" s="9"/>
      <c r="E15" s="9"/>
      <c r="F15" s="9"/>
      <c r="G15" s="9"/>
      <c r="H15" s="9"/>
    </row>
    <row r="16" ht="26" hidden="0" outlineLevel="0" collapsed="0">
      <c r="A16" s="6" t="s">
        <v>24</v>
      </c>
      <c r="B16" s="6" t="s">
        <v>25</v>
      </c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10" t="s">
        <v>26</v>
      </c>
      <c r="B18" s="10"/>
      <c r="C18" s="10"/>
      <c r="D18" s="10"/>
      <c r="E18" s="10"/>
      <c r="F18" s="10"/>
      <c r="G18" s="10"/>
      <c r="H18" s="10"/>
    </row>
    <row r="19" hidden="0" outlineLevel="0" collapsed="0">
      <c r="A19" s="10"/>
      <c r="B19" s="10"/>
      <c r="C19" s="10"/>
      <c r="D19" s="10"/>
      <c r="E19" s="10"/>
      <c r="F19" s="10"/>
      <c r="G19" s="10"/>
      <c r="H19" s="10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</sheetData>
  <mergeCells count="4">
    <mergeCell ref="A1:H1"/>
    <mergeCell ref="A2:H2"/>
    <mergeCell ref="A15:H15"/>
    <mergeCell ref="A18:H19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P2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8" style="1" customWidth="1"/>
    <col min="2" max="2" width="26" style="1" customWidth="1"/>
    <col min="3" max="3" width="16" style="1" customWidth="1"/>
    <col min="4" max="4" width="14" style="1" customWidth="1"/>
    <col min="5" max="5" width="16" style="1" customWidth="1"/>
    <col min="6" max="6" width="32" style="1" customWidth="1"/>
    <col min="7" max="7" width="24" style="1" customWidth="1"/>
    <col min="8" max="8" width="58" style="1" customWidth="1"/>
    <col min="9" max="9" width="46" style="1" customWidth="1"/>
    <col min="10" max="10" width="14" style="1" customWidth="1"/>
    <col min="11" max="11" width="24" style="1" customWidth="1"/>
    <col min="12" max="12" width="40" style="1" customWidth="1"/>
    <col min="13" max="13" width="20" style="1" customWidth="1"/>
    <col min="14" max="14" width="50" style="1" customWidth="1"/>
    <col min="15" max="15" width="12" style="1" customWidth="1"/>
    <col min="16" max="16" width="16" style="1" customWidth="1"/>
  </cols>
  <sheetData>
    <row r="1" ht="26" hidden="0" outlineLevel="0" collapsed="0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2" hidden="0" outlineLevel="0" collapsed="0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idden="0" outlineLevel="0" collapsed="0">
      <c r="A4" s="5" t="s">
        <v>29</v>
      </c>
      <c r="B4" s="5" t="s">
        <v>30</v>
      </c>
      <c r="C4" s="5" t="s">
        <v>31</v>
      </c>
      <c r="D4" s="5" t="s">
        <v>3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41</v>
      </c>
      <c r="O4" s="5" t="s">
        <v>42</v>
      </c>
      <c r="P4" s="5" t="s">
        <v>43</v>
      </c>
    </row>
    <row r="5" ht="52" hidden="0" outlineLevel="0" collapsed="0">
      <c r="A5" s="6" t="s">
        <v>44</v>
      </c>
      <c r="B5" s="6" t="s">
        <v>45</v>
      </c>
      <c r="C5" s="6" t="s">
        <v>46</v>
      </c>
      <c r="D5" s="11">
        <v>134400</v>
      </c>
      <c r="E5" s="6" t="s">
        <v>12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51</v>
      </c>
      <c r="K5" s="6" t="s">
        <v>52</v>
      </c>
      <c r="L5" s="6" t="s">
        <v>53</v>
      </c>
      <c r="M5" s="6" t="s">
        <v>54</v>
      </c>
      <c r="N5" s="6" t="s">
        <v>55</v>
      </c>
      <c r="O5" s="6" t="s">
        <v>56</v>
      </c>
      <c r="P5" s="12" t="str">
        <f>IF(O5&lt;&gt;"Yes","N/A",IF(M5="Not disclosed","BLOCKED",IF(AND(H5&lt;&gt;"",I5&lt;&gt;"",K5&lt;&gt;"",M5&lt;&gt;""),"MAPPED","MISSING")))</f>
        <v>MAPPED</v>
      </c>
    </row>
    <row r="6" ht="52" hidden="0" outlineLevel="0" collapsed="0">
      <c r="A6" s="6" t="s">
        <v>57</v>
      </c>
      <c r="B6" s="6" t="s">
        <v>45</v>
      </c>
      <c r="C6" s="6" t="s">
        <v>58</v>
      </c>
      <c r="D6" s="11">
        <v>160000</v>
      </c>
      <c r="E6" s="6" t="s">
        <v>12</v>
      </c>
      <c r="F6" s="6" t="s">
        <v>59</v>
      </c>
      <c r="G6" s="6" t="s">
        <v>48</v>
      </c>
      <c r="H6" s="6" t="s">
        <v>60</v>
      </c>
      <c r="I6" s="6" t="s">
        <v>61</v>
      </c>
      <c r="J6" s="6" t="s">
        <v>51</v>
      </c>
      <c r="K6" s="6" t="s">
        <v>62</v>
      </c>
      <c r="L6" s="6" t="s">
        <v>53</v>
      </c>
      <c r="M6" s="6" t="s">
        <v>54</v>
      </c>
      <c r="N6" s="6" t="s">
        <v>63</v>
      </c>
      <c r="O6" s="6" t="s">
        <v>56</v>
      </c>
      <c r="P6" s="12" t="str">
        <f>IF(O6&lt;&gt;"Yes","N/A",IF(M6="Not disclosed","BLOCKED",IF(AND(H6&lt;&gt;"",I6&lt;&gt;"",K6&lt;&gt;"",M6&lt;&gt;""),"MAPPED","MISSING")))</f>
        <v>MAPPED</v>
      </c>
    </row>
    <row r="7" ht="52" hidden="0" outlineLevel="0" collapsed="0">
      <c r="A7" s="6" t="s">
        <v>64</v>
      </c>
      <c r="B7" s="6" t="s">
        <v>45</v>
      </c>
      <c r="C7" s="6" t="s">
        <v>65</v>
      </c>
      <c r="D7" s="11">
        <v>154000</v>
      </c>
      <c r="E7" s="6" t="s">
        <v>12</v>
      </c>
      <c r="F7" s="6" t="s">
        <v>66</v>
      </c>
      <c r="G7" s="6" t="s">
        <v>48</v>
      </c>
      <c r="H7" s="6" t="s">
        <v>17</v>
      </c>
      <c r="I7" s="6" t="s">
        <v>67</v>
      </c>
      <c r="J7" s="6" t="s">
        <v>51</v>
      </c>
      <c r="K7" s="6" t="s">
        <v>68</v>
      </c>
      <c r="L7" s="6" t="s">
        <v>53</v>
      </c>
      <c r="M7" s="6" t="s">
        <v>54</v>
      </c>
      <c r="N7" s="6" t="s">
        <v>69</v>
      </c>
      <c r="O7" s="6" t="s">
        <v>56</v>
      </c>
      <c r="P7" s="12" t="str">
        <f>IF(O7&lt;&gt;"Yes","N/A",IF(M7="Not disclosed","BLOCKED",IF(AND(H7&lt;&gt;"",I7&lt;&gt;"",K7&lt;&gt;"",M7&lt;&gt;""),"MAPPED","MISSING")))</f>
        <v>MAPPED</v>
      </c>
    </row>
    <row r="8" ht="52" hidden="0" outlineLevel="0" collapsed="0">
      <c r="A8" s="6" t="s">
        <v>70</v>
      </c>
      <c r="B8" s="6" t="s">
        <v>71</v>
      </c>
      <c r="C8" s="6" t="s">
        <v>65</v>
      </c>
      <c r="D8" s="11">
        <v>155000</v>
      </c>
      <c r="E8" s="6" t="s">
        <v>72</v>
      </c>
      <c r="F8" s="6" t="s">
        <v>66</v>
      </c>
      <c r="G8" s="6" t="s">
        <v>48</v>
      </c>
      <c r="H8" s="6" t="s">
        <v>17</v>
      </c>
      <c r="I8" s="6" t="s">
        <v>73</v>
      </c>
      <c r="J8" s="6" t="s">
        <v>51</v>
      </c>
      <c r="K8" s="6" t="s">
        <v>74</v>
      </c>
      <c r="L8" s="6" t="s">
        <v>75</v>
      </c>
      <c r="M8" s="6" t="s">
        <v>54</v>
      </c>
      <c r="N8" s="6" t="s">
        <v>76</v>
      </c>
      <c r="O8" s="6" t="s">
        <v>77</v>
      </c>
      <c r="P8" s="12" t="str">
        <f>IF(O8&lt;&gt;"Yes","N/A",IF(M8="Not disclosed","BLOCKED",IF(AND(H8&lt;&gt;"",I8&lt;&gt;"",K8&lt;&gt;"",M8&lt;&gt;""),"MAPPED","MISSING")))</f>
        <v>N/A</v>
      </c>
    </row>
    <row r="9" ht="52" hidden="0" outlineLevel="0" collapsed="0">
      <c r="A9" s="6" t="s">
        <v>78</v>
      </c>
      <c r="B9" s="6" t="s">
        <v>79</v>
      </c>
      <c r="C9" s="6" t="s">
        <v>65</v>
      </c>
      <c r="D9" s="11">
        <v>70</v>
      </c>
      <c r="E9" s="6" t="s">
        <v>80</v>
      </c>
      <c r="F9" s="6" t="s">
        <v>66</v>
      </c>
      <c r="G9" s="6" t="s">
        <v>48</v>
      </c>
      <c r="H9" s="6" t="s">
        <v>17</v>
      </c>
      <c r="I9" s="6" t="s">
        <v>81</v>
      </c>
      <c r="J9" s="6" t="s">
        <v>51</v>
      </c>
      <c r="K9" s="6" t="s">
        <v>82</v>
      </c>
      <c r="L9" s="6" t="s">
        <v>83</v>
      </c>
      <c r="M9" s="6" t="s">
        <v>54</v>
      </c>
      <c r="N9" s="6" t="s">
        <v>76</v>
      </c>
      <c r="O9" s="6" t="s">
        <v>77</v>
      </c>
      <c r="P9" s="12" t="str">
        <f>IF(O9&lt;&gt;"Yes","N/A",IF(M9="Not disclosed","BLOCKED",IF(AND(H9&lt;&gt;"",I9&lt;&gt;"",K9&lt;&gt;"",M9&lt;&gt;""),"MAPPED","MISSING")))</f>
        <v>N/A</v>
      </c>
    </row>
    <row r="10" ht="52" hidden="0" outlineLevel="0" collapsed="0">
      <c r="A10" s="6" t="s">
        <v>84</v>
      </c>
      <c r="B10" s="6" t="s">
        <v>85</v>
      </c>
      <c r="C10" s="6" t="s">
        <v>65</v>
      </c>
      <c r="D10" s="11">
        <v>125</v>
      </c>
      <c r="E10" s="6" t="s">
        <v>86</v>
      </c>
      <c r="F10" s="6" t="s">
        <v>66</v>
      </c>
      <c r="G10" s="6" t="s">
        <v>48</v>
      </c>
      <c r="H10" s="6" t="s">
        <v>17</v>
      </c>
      <c r="I10" s="6" t="s">
        <v>87</v>
      </c>
      <c r="J10" s="6" t="s">
        <v>51</v>
      </c>
      <c r="K10" s="6" t="s">
        <v>88</v>
      </c>
      <c r="L10" s="6" t="s">
        <v>83</v>
      </c>
      <c r="M10" s="6" t="s">
        <v>54</v>
      </c>
      <c r="N10" s="6" t="s">
        <v>76</v>
      </c>
      <c r="O10" s="6" t="s">
        <v>77</v>
      </c>
      <c r="P10" s="12" t="str">
        <f>IF(O10&lt;&gt;"Yes","N/A",IF(M10="Not disclosed","BLOCKED",IF(AND(H10&lt;&gt;"",I10&lt;&gt;"",K10&lt;&gt;"",M10&lt;&gt;""),"MAPPED","MISSING")))</f>
        <v>N/A</v>
      </c>
    </row>
    <row r="11" ht="52" hidden="0" outlineLevel="0" collapsed="0">
      <c r="A11" s="6" t="s">
        <v>89</v>
      </c>
      <c r="B11" s="6" t="s">
        <v>90</v>
      </c>
      <c r="C11" s="6" t="s">
        <v>65</v>
      </c>
      <c r="D11" s="11"/>
      <c r="E11" s="6" t="s">
        <v>91</v>
      </c>
      <c r="F11" s="6" t="s">
        <v>66</v>
      </c>
      <c r="G11" s="6" t="s">
        <v>92</v>
      </c>
      <c r="H11" s="6" t="s">
        <v>17</v>
      </c>
      <c r="I11" s="6" t="s">
        <v>93</v>
      </c>
      <c r="J11" s="6" t="s">
        <v>51</v>
      </c>
      <c r="K11" s="6" t="s">
        <v>94</v>
      </c>
      <c r="L11" s="6" t="s">
        <v>95</v>
      </c>
      <c r="M11" s="6" t="s">
        <v>96</v>
      </c>
      <c r="N11" s="6" t="s">
        <v>97</v>
      </c>
      <c r="O11" s="6" t="s">
        <v>56</v>
      </c>
      <c r="P11" s="12" t="str">
        <f>IF(O11&lt;&gt;"Yes","N/A",IF(M11="Not disclosed","BLOCKED",IF(AND(H11&lt;&gt;"",I11&lt;&gt;"",K11&lt;&gt;"",M11&lt;&gt;""),"MAPPED","MISSING")))</f>
        <v>BLOCKED</v>
      </c>
    </row>
    <row r="12" ht="52" hidden="0" outlineLevel="0" collapsed="0">
      <c r="A12" s="6" t="s">
        <v>98</v>
      </c>
      <c r="B12" s="6" t="s">
        <v>99</v>
      </c>
      <c r="C12" s="6" t="s">
        <v>65</v>
      </c>
      <c r="D12" s="11"/>
      <c r="E12" s="6" t="s">
        <v>91</v>
      </c>
      <c r="F12" s="6" t="s">
        <v>66</v>
      </c>
      <c r="G12" s="6" t="s">
        <v>92</v>
      </c>
      <c r="H12" s="6" t="s">
        <v>17</v>
      </c>
      <c r="I12" s="6" t="s">
        <v>93</v>
      </c>
      <c r="J12" s="6" t="s">
        <v>51</v>
      </c>
      <c r="K12" s="6" t="s">
        <v>94</v>
      </c>
      <c r="L12" s="6" t="s">
        <v>95</v>
      </c>
      <c r="M12" s="6" t="s">
        <v>96</v>
      </c>
      <c r="N12" s="6" t="s">
        <v>97</v>
      </c>
      <c r="O12" s="6" t="s">
        <v>56</v>
      </c>
      <c r="P12" s="12" t="str">
        <f>IF(O12&lt;&gt;"Yes","N/A",IF(M12="Not disclosed","BLOCKED",IF(AND(H12&lt;&gt;"",I12&lt;&gt;"",K12&lt;&gt;"",M12&lt;&gt;""),"MAPPED","MISSING")))</f>
        <v>BLOCKED</v>
      </c>
    </row>
    <row r="13" ht="52" hidden="0" outlineLevel="0" collapsed="0">
      <c r="A13" s="6" t="s">
        <v>100</v>
      </c>
      <c r="B13" s="6" t="s">
        <v>101</v>
      </c>
      <c r="C13" s="6" t="s">
        <v>65</v>
      </c>
      <c r="D13" s="11"/>
      <c r="E13" s="6" t="s">
        <v>91</v>
      </c>
      <c r="F13" s="6" t="s">
        <v>66</v>
      </c>
      <c r="G13" s="6" t="s">
        <v>92</v>
      </c>
      <c r="H13" s="6" t="s">
        <v>17</v>
      </c>
      <c r="I13" s="6" t="s">
        <v>93</v>
      </c>
      <c r="J13" s="6" t="s">
        <v>51</v>
      </c>
      <c r="K13" s="6" t="s">
        <v>94</v>
      </c>
      <c r="L13" s="6" t="s">
        <v>95</v>
      </c>
      <c r="M13" s="6" t="s">
        <v>96</v>
      </c>
      <c r="N13" s="6" t="s">
        <v>97</v>
      </c>
      <c r="O13" s="6" t="s">
        <v>56</v>
      </c>
      <c r="P13" s="12" t="str">
        <f>IF(O13&lt;&gt;"Yes","N/A",IF(M13="Not disclosed","BLOCKED",IF(AND(H13&lt;&gt;"",I13&lt;&gt;"",K13&lt;&gt;"",M13&lt;&gt;""),"MAPPED","MISSING")))</f>
        <v>BLOCKED</v>
      </c>
    </row>
    <row r="14" ht="52" hidden="0" outlineLevel="0" collapsed="0">
      <c r="A14" s="6" t="s">
        <v>102</v>
      </c>
      <c r="B14" s="6" t="s">
        <v>103</v>
      </c>
      <c r="C14" s="6" t="s">
        <v>65</v>
      </c>
      <c r="D14" s="11"/>
      <c r="E14" s="6" t="s">
        <v>91</v>
      </c>
      <c r="F14" s="6" t="s">
        <v>66</v>
      </c>
      <c r="G14" s="6" t="s">
        <v>92</v>
      </c>
      <c r="H14" s="6" t="s">
        <v>17</v>
      </c>
      <c r="I14" s="6" t="s">
        <v>93</v>
      </c>
      <c r="J14" s="6" t="s">
        <v>51</v>
      </c>
      <c r="K14" s="6" t="s">
        <v>94</v>
      </c>
      <c r="L14" s="6" t="s">
        <v>95</v>
      </c>
      <c r="M14" s="6" t="s">
        <v>96</v>
      </c>
      <c r="N14" s="6" t="s">
        <v>97</v>
      </c>
      <c r="O14" s="6" t="s">
        <v>56</v>
      </c>
      <c r="P14" s="12" t="str">
        <f>IF(O14&lt;&gt;"Yes","N/A",IF(M14="Not disclosed","BLOCKED",IF(AND(H14&lt;&gt;"",I14&lt;&gt;"",K14&lt;&gt;"",M14&lt;&gt;""),"MAPPED","MISSING")))</f>
        <v>BLOCKED</v>
      </c>
    </row>
    <row r="15" ht="52" hidden="0" outlineLevel="0" collapsed="0">
      <c r="A15" s="6" t="s">
        <v>104</v>
      </c>
      <c r="B15" s="6" t="s">
        <v>105</v>
      </c>
      <c r="C15" s="6" t="s">
        <v>65</v>
      </c>
      <c r="D15" s="11"/>
      <c r="E15" s="6" t="s">
        <v>91</v>
      </c>
      <c r="F15" s="6" t="s">
        <v>66</v>
      </c>
      <c r="G15" s="6" t="s">
        <v>92</v>
      </c>
      <c r="H15" s="6" t="s">
        <v>17</v>
      </c>
      <c r="I15" s="6" t="s">
        <v>93</v>
      </c>
      <c r="J15" s="6" t="s">
        <v>51</v>
      </c>
      <c r="K15" s="6" t="s">
        <v>94</v>
      </c>
      <c r="L15" s="6" t="s">
        <v>95</v>
      </c>
      <c r="M15" s="6" t="s">
        <v>96</v>
      </c>
      <c r="N15" s="6" t="s">
        <v>97</v>
      </c>
      <c r="O15" s="6" t="s">
        <v>56</v>
      </c>
      <c r="P15" s="12" t="str">
        <f>IF(O15&lt;&gt;"Yes","N/A",IF(M15="Not disclosed","BLOCKED",IF(AND(H15&lt;&gt;"",I15&lt;&gt;"",K15&lt;&gt;"",M15&lt;&gt;""),"MAPPED","MISSING")))</f>
        <v>BLOCKED</v>
      </c>
    </row>
    <row r="16" ht="52" hidden="0" outlineLevel="0" collapsed="0">
      <c r="A16" s="6" t="s">
        <v>106</v>
      </c>
      <c r="B16" s="6" t="s">
        <v>107</v>
      </c>
      <c r="C16" s="6" t="s">
        <v>65</v>
      </c>
      <c r="D16" s="11"/>
      <c r="E16" s="6" t="s">
        <v>91</v>
      </c>
      <c r="F16" s="6" t="s">
        <v>66</v>
      </c>
      <c r="G16" s="6" t="s">
        <v>92</v>
      </c>
      <c r="H16" s="6" t="s">
        <v>17</v>
      </c>
      <c r="I16" s="6" t="s">
        <v>93</v>
      </c>
      <c r="J16" s="6" t="s">
        <v>51</v>
      </c>
      <c r="K16" s="6" t="s">
        <v>94</v>
      </c>
      <c r="L16" s="6" t="s">
        <v>95</v>
      </c>
      <c r="M16" s="6" t="s">
        <v>96</v>
      </c>
      <c r="N16" s="6" t="s">
        <v>97</v>
      </c>
      <c r="O16" s="6" t="s">
        <v>56</v>
      </c>
      <c r="P16" s="12" t="str">
        <f>IF(O16&lt;&gt;"Yes","N/A",IF(M16="Not disclosed","BLOCKED",IF(AND(H16&lt;&gt;"",I16&lt;&gt;"",K16&lt;&gt;"",M16&lt;&gt;""),"MAPPED","MISSING")))</f>
        <v>BLOCKED</v>
      </c>
    </row>
    <row r="17" ht="52" hidden="0" outlineLevel="0" collapsed="0">
      <c r="A17" s="6" t="s">
        <v>108</v>
      </c>
      <c r="B17" s="6" t="s">
        <v>109</v>
      </c>
      <c r="C17" s="6" t="s">
        <v>65</v>
      </c>
      <c r="D17" s="11"/>
      <c r="E17" s="6" t="s">
        <v>91</v>
      </c>
      <c r="F17" s="6" t="s">
        <v>66</v>
      </c>
      <c r="G17" s="6" t="s">
        <v>92</v>
      </c>
      <c r="H17" s="6" t="s">
        <v>17</v>
      </c>
      <c r="I17" s="6" t="s">
        <v>93</v>
      </c>
      <c r="J17" s="6" t="s">
        <v>51</v>
      </c>
      <c r="K17" s="6" t="s">
        <v>110</v>
      </c>
      <c r="L17" s="6" t="s">
        <v>95</v>
      </c>
      <c r="M17" s="6" t="s">
        <v>96</v>
      </c>
      <c r="N17" s="6" t="s">
        <v>97</v>
      </c>
      <c r="O17" s="6" t="s">
        <v>56</v>
      </c>
      <c r="P17" s="12" t="str">
        <f>IF(O17&lt;&gt;"Yes","N/A",IF(M17="Not disclosed","BLOCKED",IF(AND(H17&lt;&gt;"",I17&lt;&gt;"",K17&lt;&gt;"",M17&lt;&gt;""),"MAPPED","MISSING")))</f>
        <v>BLOCKED</v>
      </c>
    </row>
    <row r="18" ht="52" hidden="0" outlineLevel="0" collapsed="0">
      <c r="A18" s="6" t="s">
        <v>111</v>
      </c>
      <c r="B18" s="6" t="s">
        <v>112</v>
      </c>
      <c r="C18" s="6" t="s">
        <v>65</v>
      </c>
      <c r="D18" s="11"/>
      <c r="E18" s="6" t="s">
        <v>91</v>
      </c>
      <c r="F18" s="6" t="s">
        <v>66</v>
      </c>
      <c r="G18" s="6" t="s">
        <v>92</v>
      </c>
      <c r="H18" s="6" t="s">
        <v>17</v>
      </c>
      <c r="I18" s="6" t="s">
        <v>93</v>
      </c>
      <c r="J18" s="6" t="s">
        <v>51</v>
      </c>
      <c r="K18" s="6" t="s">
        <v>94</v>
      </c>
      <c r="L18" s="6" t="s">
        <v>95</v>
      </c>
      <c r="M18" s="6" t="s">
        <v>96</v>
      </c>
      <c r="N18" s="6" t="s">
        <v>97</v>
      </c>
      <c r="O18" s="6" t="s">
        <v>56</v>
      </c>
      <c r="P18" s="12" t="str">
        <f>IF(O18&lt;&gt;"Yes","N/A",IF(M18="Not disclosed","BLOCKED",IF(AND(H18&lt;&gt;"",I18&lt;&gt;"",K18&lt;&gt;"",M18&lt;&gt;""),"MAPPED","MISSING")))</f>
        <v>BLOCKED</v>
      </c>
    </row>
    <row r="19" ht="52" hidden="0" outlineLevel="0" collapsed="0">
      <c r="A19" s="6" t="s">
        <v>113</v>
      </c>
      <c r="B19" s="6" t="s">
        <v>114</v>
      </c>
      <c r="C19" s="6" t="s">
        <v>65</v>
      </c>
      <c r="D19" s="11"/>
      <c r="E19" s="6" t="s">
        <v>91</v>
      </c>
      <c r="F19" s="6" t="s">
        <v>66</v>
      </c>
      <c r="G19" s="6" t="s">
        <v>92</v>
      </c>
      <c r="H19" s="6" t="s">
        <v>17</v>
      </c>
      <c r="I19" s="6" t="s">
        <v>93</v>
      </c>
      <c r="J19" s="6" t="s">
        <v>51</v>
      </c>
      <c r="K19" s="6" t="s">
        <v>94</v>
      </c>
      <c r="L19" s="6" t="s">
        <v>95</v>
      </c>
      <c r="M19" s="6" t="s">
        <v>96</v>
      </c>
      <c r="N19" s="6" t="s">
        <v>97</v>
      </c>
      <c r="O19" s="6" t="s">
        <v>56</v>
      </c>
      <c r="P19" s="12" t="str">
        <f>IF(O19&lt;&gt;"Yes","N/A",IF(M19="Not disclosed","BLOCKED",IF(AND(H19&lt;&gt;"",I19&lt;&gt;"",K19&lt;&gt;"",M19&lt;&gt;""),"MAPPED","MISSING")))</f>
        <v>BLOCKED</v>
      </c>
    </row>
    <row r="20" ht="52" hidden="0" outlineLevel="0" collapsed="0">
      <c r="A20" s="6" t="s">
        <v>115</v>
      </c>
      <c r="B20" s="6" t="s">
        <v>116</v>
      </c>
      <c r="C20" s="6" t="s">
        <v>65</v>
      </c>
      <c r="D20" s="11"/>
      <c r="E20" s="6" t="s">
        <v>91</v>
      </c>
      <c r="F20" s="6" t="s">
        <v>66</v>
      </c>
      <c r="G20" s="6" t="s">
        <v>92</v>
      </c>
      <c r="H20" s="6" t="s">
        <v>17</v>
      </c>
      <c r="I20" s="6" t="s">
        <v>93</v>
      </c>
      <c r="J20" s="6" t="s">
        <v>51</v>
      </c>
      <c r="K20" s="6" t="s">
        <v>94</v>
      </c>
      <c r="L20" s="6" t="s">
        <v>95</v>
      </c>
      <c r="M20" s="6" t="s">
        <v>96</v>
      </c>
      <c r="N20" s="6" t="s">
        <v>97</v>
      </c>
      <c r="O20" s="6" t="s">
        <v>56</v>
      </c>
      <c r="P20" s="12" t="str">
        <f>IF(O20&lt;&gt;"Yes","N/A",IF(M20="Not disclosed","BLOCKED",IF(AND(H20&lt;&gt;"",I20&lt;&gt;"",K20&lt;&gt;"",M20&lt;&gt;""),"MAPPED","MISSING")))</f>
        <v>BLOCKED</v>
      </c>
    </row>
    <row r="21" ht="52" hidden="0" outlineLevel="0" collapsed="0">
      <c r="A21" s="6" t="s">
        <v>117</v>
      </c>
      <c r="B21" s="6" t="s">
        <v>118</v>
      </c>
      <c r="C21" s="6" t="s">
        <v>65</v>
      </c>
      <c r="D21" s="11"/>
      <c r="E21" s="6" t="s">
        <v>91</v>
      </c>
      <c r="F21" s="6" t="s">
        <v>66</v>
      </c>
      <c r="G21" s="6" t="s">
        <v>92</v>
      </c>
      <c r="H21" s="6" t="s">
        <v>17</v>
      </c>
      <c r="I21" s="6" t="s">
        <v>93</v>
      </c>
      <c r="J21" s="6" t="s">
        <v>51</v>
      </c>
      <c r="K21" s="6" t="s">
        <v>94</v>
      </c>
      <c r="L21" s="6" t="s">
        <v>95</v>
      </c>
      <c r="M21" s="6" t="s">
        <v>96</v>
      </c>
      <c r="N21" s="6" t="s">
        <v>97</v>
      </c>
      <c r="O21" s="6" t="s">
        <v>56</v>
      </c>
      <c r="P21" s="12" t="str">
        <f>IF(O21&lt;&gt;"Yes","N/A",IF(M21="Not disclosed","BLOCKED",IF(AND(H21&lt;&gt;"",I21&lt;&gt;"",K21&lt;&gt;"",M21&lt;&gt;""),"MAPPED","MISSING")))</f>
        <v>BLOCKED</v>
      </c>
    </row>
    <row r="22" ht="52" hidden="0" outlineLevel="0" collapsed="0">
      <c r="A22" s="6" t="s">
        <v>119</v>
      </c>
      <c r="B22" s="6" t="s">
        <v>120</v>
      </c>
      <c r="C22" s="6" t="s">
        <v>121</v>
      </c>
      <c r="D22" s="11">
        <v>0.02</v>
      </c>
      <c r="E22" s="6" t="s">
        <v>122</v>
      </c>
      <c r="F22" s="6" t="s">
        <v>123</v>
      </c>
      <c r="G22" s="6" t="s">
        <v>124</v>
      </c>
      <c r="H22" s="6" t="s">
        <v>125</v>
      </c>
      <c r="I22" s="6" t="s">
        <v>126</v>
      </c>
      <c r="J22" s="6" t="s">
        <v>51</v>
      </c>
      <c r="K22" s="6" t="s">
        <v>127</v>
      </c>
      <c r="L22" s="6" t="s">
        <v>128</v>
      </c>
      <c r="M22" s="6" t="s">
        <v>129</v>
      </c>
      <c r="N22" s="6" t="s">
        <v>130</v>
      </c>
      <c r="O22" s="6" t="s">
        <v>56</v>
      </c>
      <c r="P22" s="12" t="str">
        <f>IF(O22&lt;&gt;"Yes","N/A",IF(M22="Not disclosed","BLOCKED",IF(AND(H22&lt;&gt;"",I22&lt;&gt;"",K22&lt;&gt;"",M22&lt;&gt;""),"MAPPED","MISSING")))</f>
        <v>MAPPED</v>
      </c>
    </row>
    <row r="23" ht="52" hidden="0" outlineLevel="0" collapsed="0">
      <c r="A23" s="6" t="s">
        <v>131</v>
      </c>
      <c r="B23" s="6" t="s">
        <v>132</v>
      </c>
      <c r="C23" s="6" t="s">
        <v>133</v>
      </c>
      <c r="D23" s="11"/>
      <c r="E23" s="6" t="s">
        <v>122</v>
      </c>
      <c r="F23" s="6" t="s">
        <v>134</v>
      </c>
      <c r="G23" s="6" t="s">
        <v>135</v>
      </c>
      <c r="H23" s="6" t="s">
        <v>125</v>
      </c>
      <c r="I23" s="6" t="s">
        <v>136</v>
      </c>
      <c r="J23" s="6" t="s">
        <v>51</v>
      </c>
      <c r="K23" s="6" t="s">
        <v>137</v>
      </c>
      <c r="L23" s="6" t="s">
        <v>138</v>
      </c>
      <c r="M23" s="6" t="s">
        <v>96</v>
      </c>
      <c r="N23" s="6" t="s">
        <v>139</v>
      </c>
      <c r="O23" s="6" t="s">
        <v>56</v>
      </c>
      <c r="P23" s="12" t="str">
        <f>IF(O23&lt;&gt;"Yes","N/A",IF(M23="Not disclosed","BLOCKED",IF(AND(H23&lt;&gt;"",I23&lt;&gt;"",K23&lt;&gt;"",M23&lt;&gt;""),"MAPPED","MISSING")))</f>
        <v>BLOCKED</v>
      </c>
    </row>
    <row r="24" ht="52" hidden="0" outlineLevel="0" collapsed="0">
      <c r="A24" s="6" t="s">
        <v>140</v>
      </c>
      <c r="B24" s="6" t="s">
        <v>141</v>
      </c>
      <c r="C24" s="6" t="s">
        <v>133</v>
      </c>
      <c r="D24" s="11"/>
      <c r="E24" s="6" t="s">
        <v>122</v>
      </c>
      <c r="F24" s="6" t="s">
        <v>134</v>
      </c>
      <c r="G24" s="6" t="s">
        <v>135</v>
      </c>
      <c r="H24" s="6" t="s">
        <v>125</v>
      </c>
      <c r="I24" s="6" t="s">
        <v>142</v>
      </c>
      <c r="J24" s="6" t="s">
        <v>51</v>
      </c>
      <c r="K24" s="6" t="s">
        <v>143</v>
      </c>
      <c r="L24" s="6" t="s">
        <v>144</v>
      </c>
      <c r="M24" s="6" t="s">
        <v>96</v>
      </c>
      <c r="N24" s="6" t="s">
        <v>139</v>
      </c>
      <c r="O24" s="6" t="s">
        <v>56</v>
      </c>
      <c r="P24" s="12" t="str">
        <f>IF(O24&lt;&gt;"Yes","N/A",IF(M24="Not disclosed","BLOCKED",IF(AND(H24&lt;&gt;"",I24&lt;&gt;"",K24&lt;&gt;"",M24&lt;&gt;""),"MAPPED","MISSING")))</f>
        <v>BLOCKED</v>
      </c>
    </row>
    <row r="25" hidden="0" outlineLevel="0" collapsed="0">
      <c r="A25" s="4" t="s">
        <v>145</v>
      </c>
      <c r="B25" s="4" t="s">
        <v>45</v>
      </c>
      <c r="C25" s="4" t="s">
        <v>146</v>
      </c>
      <c r="D25" s="4">
        <v>165000</v>
      </c>
      <c r="E25" s="4" t="s">
        <v>12</v>
      </c>
      <c r="F25" s="4" t="s">
        <v>147</v>
      </c>
      <c r="G25" s="4" t="s">
        <v>48</v>
      </c>
      <c r="H25" s="4" t="s">
        <v>148</v>
      </c>
      <c r="I25" s="4" t="s">
        <v>149</v>
      </c>
      <c r="J25" s="31" t="s">
        <v>150</v>
      </c>
      <c r="K25" s="4" t="s">
        <v>151</v>
      </c>
      <c r="L25" s="4" t="s">
        <v>53</v>
      </c>
      <c r="M25" s="4" t="s">
        <v>54</v>
      </c>
      <c r="N25" s="4" t="s">
        <v>152</v>
      </c>
      <c r="O25" s="4" t="s">
        <v>56</v>
      </c>
      <c r="P25" s="4" t="str">
        <f>IF(O25&lt;&gt;"Yes","N/A",IF(M25="Not disclosed","BLOCKED",IF(AND(H25&lt;&gt;"",I25&lt;&gt;"",K25&lt;&gt;"",M25&lt;&gt;""),"MAPPED","MISSING")))</f>
        <v>MAPPED</v>
      </c>
    </row>
    <row r="26" hidden="0" outlineLevel="0" collapsed="0">
      <c r="A26" s="4" t="s">
        <v>153</v>
      </c>
      <c r="B26" s="4" t="s">
        <v>45</v>
      </c>
      <c r="C26" s="4" t="s">
        <v>154</v>
      </c>
      <c r="D26" s="4">
        <v>177000</v>
      </c>
      <c r="E26" s="4" t="s">
        <v>12</v>
      </c>
      <c r="F26" s="4" t="s">
        <v>155</v>
      </c>
      <c r="G26" s="4" t="s">
        <v>48</v>
      </c>
      <c r="H26" s="4" t="s">
        <v>156</v>
      </c>
      <c r="I26" s="4" t="s">
        <v>157</v>
      </c>
      <c r="J26" s="31" t="s">
        <v>150</v>
      </c>
      <c r="K26" s="4" t="s">
        <v>158</v>
      </c>
      <c r="L26" s="4" t="s">
        <v>53</v>
      </c>
      <c r="M26" s="4" t="s">
        <v>54</v>
      </c>
      <c r="N26" s="4" t="s">
        <v>152</v>
      </c>
      <c r="O26" s="4" t="s">
        <v>56</v>
      </c>
      <c r="P26" s="4" t="str">
        <f>IF(O26&lt;&gt;"Yes","N/A",IF(M26="Not disclosed","BLOCKED",IF(AND(H26&lt;&gt;"",I26&lt;&gt;"",K26&lt;&gt;"",M26&lt;&gt;""),"MAPPED","MISSING")))</f>
        <v>MAPPED</v>
      </c>
    </row>
    <row r="27" hidden="0" outlineLevel="0" collapsed="0">
      <c r="A27" s="4" t="s">
        <v>159</v>
      </c>
      <c r="B27" s="4" t="s">
        <v>160</v>
      </c>
      <c r="C27" s="4" t="s">
        <v>161</v>
      </c>
      <c r="D27" s="4" t="s">
        <v>162</v>
      </c>
      <c r="E27" s="4" t="s">
        <v>163</v>
      </c>
      <c r="F27" s="4" t="s">
        <v>164</v>
      </c>
      <c r="G27" s="4" t="s">
        <v>165</v>
      </c>
      <c r="H27" s="4" t="s">
        <v>166</v>
      </c>
      <c r="I27" s="4" t="s">
        <v>167</v>
      </c>
      <c r="J27" s="31">
        <v>46224</v>
      </c>
      <c r="K27" s="4" t="s">
        <v>168</v>
      </c>
      <c r="L27" s="4" t="s">
        <v>169</v>
      </c>
      <c r="M27" s="4" t="s">
        <v>54</v>
      </c>
      <c r="N27" s="4" t="s">
        <v>170</v>
      </c>
      <c r="O27" s="4" t="s">
        <v>56</v>
      </c>
      <c r="P27" s="4" t="str">
        <f>IF(O27&lt;&gt;"Yes","N/A",IF(M27="Not disclosed","BLOCKED",IF(AND(H27&lt;&gt;"",I27&lt;&gt;"",K27&lt;&gt;"",M27&lt;&gt;""),"MAPPED","MISSING")))</f>
        <v>MAPPED</v>
      </c>
    </row>
    <row r="28" hidden="0" outlineLevel="0" collapsed="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idden="0" outlineLevel="0" collapsed="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idden="0" outlineLevel="0" collapsed="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idden="0" outlineLevel="0" collapsed="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idden="0" outlineLevel="0" collapsed="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idden="0" outlineLevel="0" collapsed="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idden="0" outlineLevel="0" collapsed="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idden="0" outlineLevel="0" collapsed="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idden="0" outlineLevel="0" collapsed="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idden="0" outlineLevel="0" collapsed="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idden="0" outlineLevel="0" collapsed="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idden="0" outlineLevel="0" collapsed="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idden="0" outlineLevel="0" collapsed="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idden="0" outlineLevel="0" collapsed="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idden="0" outlineLevel="0" collapsed="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idden="0" outlineLevel="0" collapsed="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idden="0" outlineLevel="0" collapsed="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idden="0" outlineLevel="0" collapsed="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idden="0" outlineLevel="0" collapsed="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idden="0" outlineLevel="0" collapsed="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idden="0" outlineLevel="0" collapsed="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idden="0" outlineLevel="0" collapsed="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idden="0" outlineLevel="0" collapsed="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idden="0" outlineLevel="0" collapsed="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idden="0" outlineLevel="0" collapsed="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idden="0" outlineLevel="0" collapsed="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idden="0" outlineLevel="0" collapsed="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idden="0" outlineLevel="0" collapsed="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idden="0" outlineLevel="0" collapsed="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idden="0" outlineLevel="0" collapsed="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idden="0" outlineLevel="0" collapsed="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idden="0" outlineLevel="0" collapsed="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idden="0" outlineLevel="0" collapsed="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idden="0" outlineLevel="0" collapsed="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idden="0" outlineLevel="0" collapsed="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idden="0" outlineLevel="0" collapsed="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idden="0" outlineLevel="0" collapsed="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idden="0" outlineLevel="0" collapsed="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idden="0" outlineLevel="0" collapsed="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idden="0" outlineLevel="0" collapsed="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idden="0" outlineLevel="0" collapsed="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idden="0" outlineLevel="0" collapsed="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idden="0" outlineLevel="0" collapsed="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idden="0" outlineLevel="0" collapsed="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idden="0" outlineLevel="0" collapsed="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idden="0" outlineLevel="0" collapsed="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idden="0" outlineLevel="0" collapsed="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idden="0" outlineLevel="0" collapsed="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idden="0" outlineLevel="0" collapsed="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idden="0" outlineLevel="0" collapsed="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idden="0" outlineLevel="0" collapsed="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idden="0" outlineLevel="0" collapsed="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idden="0" outlineLevel="0" collapsed="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idden="0" outlineLevel="0" collapsed="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idden="0" outlineLevel="0" collapsed="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idden="0" outlineLevel="0" collapsed="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idden="0" outlineLevel="0" collapsed="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idden="0" outlineLevel="0" collapsed="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idden="0" outlineLevel="0" collapsed="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idden="0" outlineLevel="0" collapsed="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idden="0" outlineLevel="0" collapsed="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idden="0" outlineLevel="0" collapsed="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idden="0" outlineLevel="0" collapsed="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idden="0" outlineLevel="0" collapsed="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idden="0" outlineLevel="0" collapsed="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idden="0" outlineLevel="0" collapsed="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idden="0" outlineLevel="0" collapsed="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idden="0" outlineLevel="0" collapsed="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idden="0" outlineLevel="0" collapsed="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idden="0" outlineLevel="0" collapsed="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idden="0" outlineLevel="0" collapsed="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idden="0" outlineLevel="0" collapsed="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idden="0" outlineLevel="0" collapsed="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idden="0" outlineLevel="0" collapsed="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idden="0" outlineLevel="0" collapsed="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idden="0" outlineLevel="0" collapsed="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idden="0" outlineLevel="0" collapsed="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idden="0" outlineLevel="0" collapsed="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idden="0" outlineLevel="0" collapsed="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idden="0" outlineLevel="0" collapsed="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idden="0" outlineLevel="0" collapsed="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idden="0" outlineLevel="0" collapsed="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idden="0" outlineLevel="0" collapsed="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idden="0" outlineLevel="0" collapsed="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idden="0" outlineLevel="0" collapsed="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idden="0" outlineLevel="0" collapsed="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idden="0" outlineLevel="0" collapsed="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idden="0" outlineLevel="0" collapsed="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idden="0" outlineLevel="0" collapsed="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idden="0" outlineLevel="0" collapsed="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idden="0" outlineLevel="0" collapsed="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idden="0" outlineLevel="0" collapsed="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idden="0" outlineLevel="0" collapsed="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idden="0" outlineLevel="0" collapsed="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idden="0" outlineLevel="0" collapsed="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idden="0" outlineLevel="0" collapsed="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idden="0" outlineLevel="0" collapsed="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idden="0" outlineLevel="0" collapsed="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idden="0" outlineLevel="0" collapsed="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idden="0" outlineLevel="0" collapsed="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idden="0" outlineLevel="0" collapsed="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idden="0" outlineLevel="0" collapsed="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idden="0" outlineLevel="0" collapsed="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idden="0" outlineLevel="0" collapsed="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idden="0" outlineLevel="0" collapsed="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idden="0" outlineLevel="0" collapsed="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idden="0" outlineLevel="0" collapsed="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idden="0" outlineLevel="0" collapsed="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idden="0" outlineLevel="0" collapsed="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idden="0" outlineLevel="0" collapsed="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idden="0" outlineLevel="0" collapsed="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idden="0" outlineLevel="0" collapsed="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idden="0" outlineLevel="0" collapsed="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idden="0" outlineLevel="0" collapsed="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idden="0" outlineLevel="0" collapsed="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idden="0" outlineLevel="0" collapsed="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idden="0" outlineLevel="0" collapsed="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idden="0" outlineLevel="0" collapsed="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idden="0" outlineLevel="0" collapsed="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idden="0" outlineLevel="0" collapsed="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idden="0" outlineLevel="0" collapsed="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idden="0" outlineLevel="0" collapsed="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idden="0" outlineLevel="0" collapsed="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idden="0" outlineLevel="0" collapsed="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idden="0" outlineLevel="0" collapsed="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idden="0" outlineLevel="0" collapsed="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idden="0" outlineLevel="0" collapsed="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idden="0" outlineLevel="0" collapsed="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idden="0" outlineLevel="0" collapsed="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idden="0" outlineLevel="0" collapsed="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idden="0" outlineLevel="0" collapsed="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idden="0" outlineLevel="0" collapsed="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idden="0" outlineLevel="0" collapsed="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idden="0" outlineLevel="0" collapsed="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idden="0" outlineLevel="0" collapsed="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idden="0" outlineLevel="0" collapsed="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idden="0" outlineLevel="0" collapsed="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idden="0" outlineLevel="0" collapsed="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idden="0" outlineLevel="0" collapsed="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idden="0" outlineLevel="0" collapsed="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idden="0" outlineLevel="0" collapsed="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idden="0" outlineLevel="0" collapsed="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idden="0" outlineLevel="0" collapsed="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idden="0" outlineLevel="0" collapsed="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idden="0" outlineLevel="0" collapsed="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idden="0" outlineLevel="0" collapsed="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idden="0" outlineLevel="0" collapsed="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idden="0" outlineLevel="0" collapsed="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idden="0" outlineLevel="0" collapsed="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idden="0" outlineLevel="0" collapsed="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idden="0" outlineLevel="0" collapsed="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idden="0" outlineLevel="0" collapsed="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idden="0" outlineLevel="0" collapsed="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idden="0" outlineLevel="0" collapsed="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idden="0" outlineLevel="0" collapsed="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idden="0" outlineLevel="0" collapsed="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idden="0" outlineLevel="0" collapsed="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idden="0" outlineLevel="0" collapsed="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idden="0" outlineLevel="0" collapsed="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idden="0" outlineLevel="0" collapsed="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idden="0" outlineLevel="0" collapsed="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idden="0" outlineLevel="0" collapsed="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idden="0" outlineLevel="0" collapsed="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idden="0" outlineLevel="0" collapsed="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idden="0" outlineLevel="0" collapsed="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idden="0" outlineLevel="0" collapsed="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idden="0" outlineLevel="0" collapsed="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idden="0" outlineLevel="0" collapsed="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idden="0" outlineLevel="0" collapsed="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idden="0" outlineLevel="0" collapsed="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idden="0" outlineLevel="0" collapsed="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idden="0" outlineLevel="0" collapsed="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idden="0" outlineLevel="0" collapsed="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idden="0" outlineLevel="0" collapsed="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idden="0" outlineLevel="0" collapsed="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idden="0" outlineLevel="0" collapsed="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idden="0" outlineLevel="0" collapsed="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idden="0" outlineLevel="0" collapsed="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idden="0" outlineLevel="0" collapsed="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idden="0" outlineLevel="0" collapsed="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idden="0" outlineLevel="0" collapsed="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idden="0" outlineLevel="0" collapsed="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idden="0" outlineLevel="0" collapsed="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idden="0" outlineLevel="0" collapsed="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idden="0" outlineLevel="0" collapsed="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idden="0" outlineLevel="0" collapsed="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idden="0" outlineLevel="0" collapsed="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idden="0" outlineLevel="0" collapsed="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idden="0" outlineLevel="0" collapsed="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idden="0" outlineLevel="0" collapsed="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idden="0" outlineLevel="0" collapsed="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idden="0" outlineLevel="0" collapsed="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idden="0" outlineLevel="0" collapsed="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</sheetData>
  <mergeCells count="2">
    <mergeCell ref="A1:P1"/>
    <mergeCell ref="A2:P2"/>
  </mergeCells>
  <conditionalFormatting sqref="P5:P24">
    <cfRule type="containsText" priority="2" operator="containsText" text="MAPPED" dxfId="0">
      <formula>NOT(ISERROR(SEARCH("MAPPED",P5)))</formula>
    </cfRule>
    <cfRule type="containsText" priority="3" operator="containsText" text="BLOCKED" dxfId="1">
      <formula>NOT(ISERROR(SEARCH("BLOCKED",P5)))</formula>
    </cfRule>
    <cfRule type="containsText" priority="4" operator="containsText" text="MISSING" dxfId="2">
      <formula>NOT(ISERROR(SEARCH("MISSING",P5)))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2" style="1" customWidth="1"/>
    <col min="2" max="6" width="14" style="1" customWidth="1"/>
    <col min="7" max="8" width="28" style="1" customWidth="1"/>
  </cols>
  <sheetData>
    <row r="1" ht="26" hidden="0" outlineLevel="0" collapsed="0">
      <c r="A1" s="2" t="s">
        <v>171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172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173</v>
      </c>
      <c r="B4" s="5" t="s">
        <v>174</v>
      </c>
      <c r="C4" s="5" t="s">
        <v>175</v>
      </c>
      <c r="D4" s="5" t="s">
        <v>176</v>
      </c>
      <c r="E4" s="5" t="s">
        <v>177</v>
      </c>
      <c r="F4" s="5" t="s">
        <v>178</v>
      </c>
      <c r="G4" s="5" t="s">
        <v>179</v>
      </c>
      <c r="H4" s="5" t="s">
        <v>40</v>
      </c>
    </row>
    <row r="5" hidden="0" outlineLevel="0" collapsed="0">
      <c r="A5" s="6" t="s">
        <v>45</v>
      </c>
      <c r="B5" s="11">
        <v>134400</v>
      </c>
      <c r="C5" s="11">
        <v>165000</v>
      </c>
      <c r="D5" s="11">
        <v>177000</v>
      </c>
      <c r="E5" s="11">
        <v>160000</v>
      </c>
      <c r="F5" s="11">
        <v>154000</v>
      </c>
      <c r="G5" s="13" t="s">
        <v>180</v>
      </c>
      <c r="H5" s="13" t="str">
        <f>IF(COUNT(B5:F5)=0,"Not disclosed","Reported; see Sources")</f>
        <v>Reported; see Sources</v>
      </c>
    </row>
    <row r="6" hidden="0" outlineLevel="0" collapsed="0">
      <c r="A6" s="6" t="s">
        <v>90</v>
      </c>
      <c r="B6" s="11"/>
      <c r="C6" s="11"/>
      <c r="D6" s="11"/>
      <c r="E6" s="11"/>
      <c r="F6" s="11"/>
      <c r="G6" s="13" t="s">
        <v>180</v>
      </c>
      <c r="H6" s="13" t="str">
        <f>IF(COUNT(B6:F6)=0,"Not disclosed","Reported; see Sources")</f>
        <v>Not disclosed</v>
      </c>
    </row>
    <row r="7" hidden="0" outlineLevel="0" collapsed="0">
      <c r="A7" s="6" t="s">
        <v>99</v>
      </c>
      <c r="B7" s="11"/>
      <c r="C7" s="11"/>
      <c r="D7" s="11"/>
      <c r="E7" s="11"/>
      <c r="F7" s="11"/>
      <c r="G7" s="13" t="s">
        <v>180</v>
      </c>
      <c r="H7" s="13" t="str">
        <f>IF(COUNT(B7:F7)=0,"Not disclosed","Reported; see Sources")</f>
        <v>Not disclosed</v>
      </c>
    </row>
    <row r="8" hidden="0" outlineLevel="0" collapsed="0">
      <c r="A8" s="6" t="s">
        <v>101</v>
      </c>
      <c r="B8" s="11"/>
      <c r="C8" s="11"/>
      <c r="D8" s="11"/>
      <c r="E8" s="11"/>
      <c r="F8" s="11"/>
      <c r="G8" s="13" t="s">
        <v>180</v>
      </c>
      <c r="H8" s="13" t="str">
        <f>IF(COUNT(B8:F8)=0,"Not disclosed","Reported; see Sources")</f>
        <v>Not disclosed</v>
      </c>
    </row>
    <row r="9" hidden="0" outlineLevel="0" collapsed="0">
      <c r="A9" s="6" t="s">
        <v>103</v>
      </c>
      <c r="B9" s="11"/>
      <c r="C9" s="11"/>
      <c r="D9" s="11"/>
      <c r="E9" s="11"/>
      <c r="F9" s="11"/>
      <c r="G9" s="13" t="s">
        <v>180</v>
      </c>
      <c r="H9" s="13" t="str">
        <f>IF(COUNT(B9:F9)=0,"Not disclosed","Reported; see Sources")</f>
        <v>Not disclosed</v>
      </c>
    </row>
    <row r="10" hidden="0" outlineLevel="0" collapsed="0">
      <c r="A10" s="6" t="s">
        <v>105</v>
      </c>
      <c r="B10" s="11"/>
      <c r="C10" s="11"/>
      <c r="D10" s="11"/>
      <c r="E10" s="11"/>
      <c r="F10" s="11"/>
      <c r="G10" s="13" t="s">
        <v>180</v>
      </c>
      <c r="H10" s="13" t="str">
        <f>IF(COUNT(B10:F10)=0,"Not disclosed","Reported; see Sources")</f>
        <v>Not disclosed</v>
      </c>
    </row>
    <row r="11" hidden="0" outlineLevel="0" collapsed="0">
      <c r="A11" s="6" t="s">
        <v>107</v>
      </c>
      <c r="B11" s="11"/>
      <c r="C11" s="11"/>
      <c r="D11" s="11"/>
      <c r="E11" s="11"/>
      <c r="F11" s="11"/>
      <c r="G11" s="13" t="s">
        <v>180</v>
      </c>
      <c r="H11" s="13" t="str">
        <f>IF(COUNT(B11:F11)=0,"Not disclosed","Reported; see Sources")</f>
        <v>Not disclosed</v>
      </c>
    </row>
    <row r="12" hidden="0" outlineLevel="0" collapsed="0">
      <c r="A12" s="6" t="s">
        <v>109</v>
      </c>
      <c r="B12" s="11" t="str">
        <f>IF(AND(B11&lt;&gt;"",B13&lt;&gt;""),B11-B13,"")</f>
        <v/>
      </c>
      <c r="C12" s="11" t="str">
        <f>IF(AND(C11&lt;&gt;"",C13&lt;&gt;""),C11-C13,"")</f>
        <v/>
      </c>
      <c r="D12" s="11" t="str">
        <f>IF(AND(D11&lt;&gt;"",D13&lt;&gt;""),D11-D13,"")</f>
        <v/>
      </c>
      <c r="E12" s="11" t="str">
        <f>IF(AND(E11&lt;&gt;"",E13&lt;&gt;""),E11-E13,"")</f>
        <v/>
      </c>
      <c r="F12" s="11" t="str">
        <f>IF(AND(F11&lt;&gt;"",F13&lt;&gt;""),F11-F13,"")</f>
        <v/>
      </c>
      <c r="G12" s="13" t="s">
        <v>181</v>
      </c>
      <c r="H12" s="13" t="s">
        <v>182</v>
      </c>
    </row>
    <row r="13" hidden="0" outlineLevel="0" collapsed="0">
      <c r="A13" s="6" t="s">
        <v>112</v>
      </c>
      <c r="B13" s="11"/>
      <c r="C13" s="11"/>
      <c r="D13" s="11"/>
      <c r="E13" s="11"/>
      <c r="F13" s="11"/>
      <c r="G13" s="13" t="s">
        <v>180</v>
      </c>
      <c r="H13" s="13" t="str">
        <f>IF(COUNT(B13:F13)=0,"Not disclosed","Reported; see Sources")</f>
        <v>Not disclosed</v>
      </c>
    </row>
    <row r="14" hidden="0" outlineLevel="0" collapsed="0">
      <c r="A14" s="6" t="s">
        <v>114</v>
      </c>
      <c r="B14" s="11"/>
      <c r="C14" s="11"/>
      <c r="D14" s="11"/>
      <c r="E14" s="11"/>
      <c r="F14" s="11"/>
      <c r="G14" s="13" t="s">
        <v>180</v>
      </c>
      <c r="H14" s="13" t="str">
        <f>IF(COUNT(B14:F14)=0,"Not disclosed","Reported; see Sources")</f>
        <v>Not disclosed</v>
      </c>
    </row>
    <row r="15" hidden="0" outlineLevel="0" collapsed="0">
      <c r="A15" s="6" t="s">
        <v>116</v>
      </c>
      <c r="B15" s="11"/>
      <c r="C15" s="11"/>
      <c r="D15" s="11"/>
      <c r="E15" s="11"/>
      <c r="F15" s="11"/>
      <c r="G15" s="13" t="s">
        <v>180</v>
      </c>
      <c r="H15" s="13" t="str">
        <f>IF(COUNT(B15:F15)=0,"Not disclosed","Reported; see Sources")</f>
        <v>Not disclosed</v>
      </c>
    </row>
    <row r="16" hidden="0" outlineLevel="0" collapsed="0">
      <c r="A16" s="6" t="s">
        <v>183</v>
      </c>
      <c r="B16" s="14"/>
      <c r="C16" s="14"/>
      <c r="D16" s="14"/>
      <c r="E16" s="14"/>
      <c r="F16" s="14"/>
      <c r="G16" s="13" t="s">
        <v>180</v>
      </c>
      <c r="H16" s="13" t="str">
        <f>IF(COUNT(B16:F16)=0,"Not disclosed","Reported; see Sources")</f>
        <v>Not disclosed</v>
      </c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4"/>
      <c r="B18" s="4"/>
      <c r="C18" s="4"/>
      <c r="D18" s="4"/>
      <c r="E18" s="4"/>
      <c r="F18" s="4"/>
      <c r="G18" s="4"/>
      <c r="H18" s="4"/>
    </row>
    <row r="19" hidden="0" outlineLevel="0" collapsed="0">
      <c r="A19" s="4"/>
      <c r="B19" s="4"/>
      <c r="C19" s="4"/>
      <c r="D19" s="4"/>
      <c r="E19" s="4"/>
      <c r="F19" s="4"/>
      <c r="G19" s="4"/>
      <c r="H19" s="4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  <row r="25" hidden="0" outlineLevel="0" collapsed="0">
      <c r="A25" s="4"/>
      <c r="B25" s="4"/>
      <c r="C25" s="4"/>
      <c r="D25" s="4"/>
      <c r="E25" s="4"/>
      <c r="F25" s="4"/>
      <c r="G25" s="4"/>
      <c r="H25" s="4"/>
    </row>
    <row r="26" hidden="0" outlineLevel="0" collapsed="0">
      <c r="A26" s="4"/>
      <c r="B26" s="4"/>
      <c r="C26" s="4"/>
      <c r="D26" s="4"/>
      <c r="E26" s="4"/>
      <c r="F26" s="4"/>
      <c r="G26" s="4"/>
      <c r="H26" s="4"/>
    </row>
    <row r="27" hidden="0" outlineLevel="0" collapsed="0">
      <c r="A27" s="4"/>
      <c r="B27" s="4"/>
      <c r="C27" s="4"/>
      <c r="D27" s="4"/>
      <c r="E27" s="4"/>
      <c r="F27" s="4"/>
      <c r="G27" s="4"/>
      <c r="H27" s="4"/>
    </row>
    <row r="28" hidden="0" outlineLevel="0" collapsed="0">
      <c r="A28" s="4"/>
      <c r="B28" s="4"/>
      <c r="C28" s="4"/>
      <c r="D28" s="4"/>
      <c r="E28" s="4"/>
      <c r="F28" s="4"/>
      <c r="G28" s="4"/>
      <c r="H28" s="4"/>
    </row>
    <row r="29" hidden="0" outlineLevel="0" collapsed="0">
      <c r="A29" s="4"/>
      <c r="B29" s="4"/>
      <c r="C29" s="4"/>
      <c r="D29" s="4"/>
      <c r="E29" s="4"/>
      <c r="F29" s="4"/>
      <c r="G29" s="4"/>
      <c r="H29" s="4"/>
    </row>
    <row r="30" hidden="0" outlineLevel="0" collapsed="0">
      <c r="A30" s="4"/>
      <c r="B30" s="4"/>
      <c r="C30" s="4"/>
      <c r="D30" s="4"/>
      <c r="E30" s="4"/>
      <c r="F30" s="4"/>
      <c r="G30" s="4"/>
      <c r="H3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5" width="14" style="1" customWidth="1"/>
    <col min="6" max="6" width="64" style="1" customWidth="1"/>
    <col min="7" max="8" width="15" style="1" customWidth="1"/>
  </cols>
  <sheetData>
    <row r="1" ht="26" hidden="0" outlineLevel="0" collapsed="0">
      <c r="A1" s="2" t="s">
        <v>184</v>
      </c>
      <c r="B1" s="2"/>
      <c r="C1" s="2"/>
      <c r="D1" s="2"/>
      <c r="E1" s="2"/>
      <c r="F1" s="2"/>
      <c r="G1" s="15"/>
      <c r="H1" s="15"/>
    </row>
    <row r="2" ht="32" hidden="0" outlineLevel="0" collapsed="0">
      <c r="A2" s="3" t="s">
        <v>185</v>
      </c>
      <c r="B2" s="3"/>
      <c r="C2" s="3"/>
      <c r="D2" s="3"/>
      <c r="E2" s="3"/>
      <c r="F2" s="3"/>
      <c r="G2" s="16"/>
      <c r="H2" s="16"/>
    </row>
    <row r="3" hidden="0" outlineLevel="0" collapsed="0">
      <c r="A3" s="4" t="s">
        <v>186</v>
      </c>
      <c r="B3" s="17">
        <v>1</v>
      </c>
      <c r="C3" s="4"/>
      <c r="D3" s="4"/>
      <c r="E3" s="4"/>
      <c r="F3" s="4"/>
    </row>
    <row r="4" hidden="0" outlineLevel="0" collapsed="0">
      <c r="A4" s="5" t="s">
        <v>173</v>
      </c>
      <c r="B4" s="5" t="s">
        <v>187</v>
      </c>
      <c r="C4" s="5" t="s">
        <v>188</v>
      </c>
      <c r="D4" s="5" t="s">
        <v>189</v>
      </c>
      <c r="E4" s="5" t="s">
        <v>190</v>
      </c>
      <c r="F4" s="5" t="s">
        <v>191</v>
      </c>
    </row>
    <row r="5" hidden="0" outlineLevel="0" collapsed="0">
      <c r="A5" s="6" t="s">
        <v>192</v>
      </c>
      <c r="B5" s="18">
        <v>-0.05</v>
      </c>
      <c r="C5" s="18">
        <v>0.02</v>
      </c>
      <c r="D5" s="18">
        <v>0.06</v>
      </c>
      <c r="E5" s="19">
        <f>CHOOSE($B$3,C5,D5,B5)</f>
        <v>0.02</v>
      </c>
      <c r="F5" s="6" t="s">
        <v>193</v>
      </c>
    </row>
    <row r="6" hidden="0" outlineLevel="0" collapsed="0">
      <c r="A6" s="6" t="s">
        <v>194</v>
      </c>
      <c r="B6" s="18"/>
      <c r="C6" s="18"/>
      <c r="D6" s="18"/>
      <c r="E6" s="19">
        <f>CHOOSE($B$3,C6,D6,B6)</f>
        <v>0</v>
      </c>
      <c r="F6" s="6" t="s">
        <v>195</v>
      </c>
    </row>
    <row r="7" hidden="0" outlineLevel="0" collapsed="0">
      <c r="A7" s="6" t="s">
        <v>196</v>
      </c>
      <c r="B7" s="18">
        <v>-0.02</v>
      </c>
      <c r="C7" s="18">
        <v>0.02</v>
      </c>
      <c r="D7" s="18">
        <v>0.05</v>
      </c>
      <c r="E7" s="19">
        <f>CHOOSE($B$3,C7,D7,B7)</f>
        <v>0.02</v>
      </c>
      <c r="F7" s="6" t="s">
        <v>197</v>
      </c>
    </row>
    <row r="8" hidden="0" outlineLevel="0" collapsed="0">
      <c r="A8" s="6" t="s">
        <v>198</v>
      </c>
      <c r="B8" s="18"/>
      <c r="C8" s="18"/>
      <c r="D8" s="18"/>
      <c r="E8" s="19">
        <f>CHOOSE($B$3,C8,D8,B8)</f>
        <v>0</v>
      </c>
      <c r="F8" s="6" t="s">
        <v>195</v>
      </c>
    </row>
    <row r="9" hidden="0" outlineLevel="0" collapsed="0">
      <c r="A9" s="6" t="s">
        <v>199</v>
      </c>
      <c r="B9" s="18"/>
      <c r="C9" s="18"/>
      <c r="D9" s="18"/>
      <c r="E9" s="19">
        <f>CHOOSE($B$3,C9,D9,B9)</f>
        <v>0</v>
      </c>
      <c r="F9" s="6" t="s">
        <v>200</v>
      </c>
    </row>
    <row r="10" hidden="0" outlineLevel="0" collapsed="0">
      <c r="A10" s="6" t="s">
        <v>201</v>
      </c>
      <c r="B10" s="18"/>
      <c r="C10" s="18"/>
      <c r="D10" s="18"/>
      <c r="E10" s="19">
        <f>CHOOSE($B$3,C10,D10,B10)</f>
        <v>0</v>
      </c>
      <c r="F10" s="6" t="s">
        <v>202</v>
      </c>
    </row>
    <row r="11" hidden="0" outlineLevel="0" collapsed="0">
      <c r="A11" s="6" t="s">
        <v>203</v>
      </c>
      <c r="B11" s="20"/>
      <c r="C11" s="20"/>
      <c r="D11" s="20"/>
      <c r="E11" s="21">
        <f>CHOOSE($B$3,C11,D11,B11)</f>
        <v>0</v>
      </c>
      <c r="F11" s="6" t="s">
        <v>204</v>
      </c>
    </row>
    <row r="12" hidden="0" outlineLevel="0" collapsed="0">
      <c r="A12" s="6" t="s">
        <v>205</v>
      </c>
      <c r="B12" s="18"/>
      <c r="C12" s="18"/>
      <c r="D12" s="18"/>
      <c r="E12" s="19">
        <f>CHOOSE($B$3,C12,D12,B12)</f>
        <v>0</v>
      </c>
      <c r="F12" s="6" t="s">
        <v>204</v>
      </c>
    </row>
    <row r="13" hidden="0" outlineLevel="0" collapsed="0">
      <c r="A13" s="6" t="s">
        <v>206</v>
      </c>
      <c r="B13" s="18"/>
      <c r="C13" s="18"/>
      <c r="D13" s="18"/>
      <c r="E13" s="19">
        <f>CHOOSE($B$3,C13,D13,B13)</f>
        <v>0</v>
      </c>
      <c r="F13" s="6" t="s">
        <v>207</v>
      </c>
    </row>
    <row r="14" hidden="0" outlineLevel="0" collapsed="0">
      <c r="A14" s="6" t="s">
        <v>132</v>
      </c>
      <c r="B14" s="18"/>
      <c r="C14" s="18"/>
      <c r="D14" s="18"/>
      <c r="E14" s="19">
        <f>CHOOSE($B$3,C14,D14,B14)</f>
        <v>0</v>
      </c>
      <c r="F14" s="6" t="s">
        <v>208</v>
      </c>
    </row>
    <row r="15" hidden="0" outlineLevel="0" collapsed="0">
      <c r="A15" s="6" t="s">
        <v>141</v>
      </c>
      <c r="B15" s="18"/>
      <c r="C15" s="18"/>
      <c r="D15" s="18"/>
      <c r="E15" s="19">
        <f>CHOOSE($B$3,C15,D15,B15)</f>
        <v>0</v>
      </c>
      <c r="F15" s="6" t="s">
        <v>209</v>
      </c>
    </row>
    <row r="16" hidden="0" outlineLevel="0" collapsed="0">
      <c r="A16" s="4"/>
      <c r="B16" s="4"/>
      <c r="C16" s="4"/>
      <c r="D16" s="4"/>
      <c r="E16" s="4"/>
      <c r="F16" s="4"/>
    </row>
    <row r="17" hidden="0" outlineLevel="0" collapsed="0">
      <c r="A17" s="22" t="s">
        <v>210</v>
      </c>
      <c r="B17" s="22"/>
      <c r="C17" s="22"/>
      <c r="D17" s="22"/>
      <c r="E17" s="22"/>
      <c r="F17" s="22"/>
    </row>
    <row r="18" hidden="0" outlineLevel="0" collapsed="0">
      <c r="A18" s="22"/>
      <c r="B18" s="22"/>
      <c r="C18" s="22"/>
      <c r="D18" s="22"/>
      <c r="E18" s="22"/>
      <c r="F18" s="22"/>
    </row>
    <row r="19" hidden="0" outlineLevel="0" collapsed="0">
      <c r="A19" s="22"/>
      <c r="B19" s="22"/>
      <c r="C19" s="22"/>
      <c r="D19" s="22"/>
      <c r="E19" s="22"/>
      <c r="F19" s="22"/>
    </row>
    <row r="20" hidden="0" outlineLevel="0" collapsed="0">
      <c r="A20" s="4"/>
      <c r="B20" s="4"/>
      <c r="C20" s="4"/>
      <c r="D20" s="4"/>
      <c r="E20" s="4"/>
      <c r="F20" s="4"/>
    </row>
    <row r="21" hidden="0" outlineLevel="0" collapsed="0">
      <c r="A21" s="4"/>
      <c r="B21" s="4"/>
      <c r="C21" s="4"/>
      <c r="D21" s="4"/>
      <c r="E21" s="4"/>
      <c r="F21" s="4"/>
    </row>
    <row r="22" hidden="0" outlineLevel="0" collapsed="0">
      <c r="A22" s="4"/>
      <c r="B22" s="4"/>
      <c r="C22" s="4"/>
      <c r="D22" s="4"/>
      <c r="E22" s="4"/>
      <c r="F22" s="4"/>
    </row>
    <row r="23" hidden="0" outlineLevel="0" collapsed="0">
      <c r="A23" s="4"/>
      <c r="B23" s="4"/>
      <c r="C23" s="4"/>
      <c r="D23" s="4"/>
      <c r="E23" s="4"/>
      <c r="F23" s="4"/>
    </row>
    <row r="24" hidden="0" outlineLevel="0" collapsed="0">
      <c r="A24" s="4"/>
      <c r="B24" s="4"/>
      <c r="C24" s="4"/>
      <c r="D24" s="4"/>
      <c r="E24" s="4"/>
      <c r="F24" s="4"/>
    </row>
  </sheetData>
  <mergeCells count="3">
    <mergeCell ref="A1:F1"/>
    <mergeCell ref="A2:F2"/>
    <mergeCell ref="A17:F19"/>
  </mergeCells>
  <dataValidations count="1">
    <dataValidation sqref="B3" type="list">
      <formula1>"1,2,3"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6" style="1" customWidth="1"/>
    <col min="2" max="8" width="15" style="1" customWidth="1"/>
  </cols>
  <sheetData>
    <row r="1" ht="26" hidden="0" outlineLevel="0" collapsed="0">
      <c r="A1" s="2" t="s">
        <v>211</v>
      </c>
      <c r="B1" s="2"/>
      <c r="C1" s="2"/>
      <c r="D1" s="2"/>
      <c r="E1" s="2"/>
      <c r="F1" s="2"/>
      <c r="G1" s="2"/>
      <c r="H1" s="15"/>
    </row>
    <row r="2" ht="32" hidden="0" outlineLevel="0" collapsed="0">
      <c r="A2" s="3" t="s">
        <v>212</v>
      </c>
      <c r="B2" s="3"/>
      <c r="C2" s="3"/>
      <c r="D2" s="3"/>
      <c r="E2" s="3"/>
      <c r="F2" s="3"/>
      <c r="G2" s="3"/>
      <c r="H2" s="16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173</v>
      </c>
      <c r="B4" s="5" t="s">
        <v>178</v>
      </c>
      <c r="C4" s="5" t="s">
        <v>213</v>
      </c>
      <c r="D4" s="5" t="s">
        <v>214</v>
      </c>
      <c r="E4" s="5" t="s">
        <v>215</v>
      </c>
      <c r="F4" s="5" t="s">
        <v>216</v>
      </c>
      <c r="G4" s="5" t="s">
        <v>217</v>
      </c>
    </row>
    <row r="5" hidden="0" outlineLevel="0" collapsed="0">
      <c r="A5" s="6" t="s">
        <v>45</v>
      </c>
      <c r="B5" s="11">
        <v>154000</v>
      </c>
      <c r="C5" s="23">
        <f>IF(AND(B5&lt;&gt;"",Assumptions!$E$5&lt;&gt;""),B5*(1+Assumptions!$E$5),"")</f>
        <v>157080</v>
      </c>
      <c r="D5" s="23">
        <f>IF(AND(C5&lt;&gt;"",Assumptions!$E$7&lt;&gt;""),C5*(1+Assumptions!$E$7),"")</f>
        <v>160221.6</v>
      </c>
      <c r="E5" s="23">
        <f>IF(AND(D5&lt;&gt;"",Assumptions!$E$7&lt;&gt;""),D5*(1+Assumptions!$E$7),"")</f>
        <v>163426.032</v>
      </c>
      <c r="F5" s="23">
        <f>IF(AND(E5&lt;&gt;"",Assumptions!$E$7&lt;&gt;""),E5*(1+Assumptions!$E$7),"")</f>
        <v>166694.55264</v>
      </c>
      <c r="G5" s="23">
        <f>IF(AND(F5&lt;&gt;"",Assumptions!$E$7&lt;&gt;""),F5*(1+Assumptions!$E$7),"")</f>
        <v>170028.4436928</v>
      </c>
    </row>
    <row r="6" hidden="0" outlineLevel="0" collapsed="0">
      <c r="A6" s="6" t="s">
        <v>218</v>
      </c>
      <c r="B6" s="24"/>
      <c r="C6" s="25">
        <f>IF(AND(B5&lt;&gt;"",C5&lt;&gt;""),C5/B5-1,"")</f>
        <v>0.020000000000000018</v>
      </c>
      <c r="D6" s="25">
        <f>IF(AND(C5&lt;&gt;"",D5&lt;&gt;""),D5/C5-1,"")</f>
        <v>0.020000000000000018</v>
      </c>
      <c r="E6" s="25">
        <f>IF(AND(D5&lt;&gt;"",E5&lt;&gt;""),E5/D5-1,"")</f>
        <v>0.020000000000000018</v>
      </c>
      <c r="F6" s="25">
        <f>IF(AND(E5&lt;&gt;"",F5&lt;&gt;""),F5/E5-1,"")</f>
        <v>0.020000000000000018</v>
      </c>
      <c r="G6" s="25">
        <f>IF(AND(F5&lt;&gt;"",G5&lt;&gt;""),G5/F5-1,"")</f>
        <v>0.020000000000000018</v>
      </c>
    </row>
    <row r="7" hidden="0" outlineLevel="0" collapsed="0">
      <c r="A7" s="6" t="s">
        <v>219</v>
      </c>
      <c r="B7" s="24"/>
      <c r="C7" s="25"/>
      <c r="D7" s="25"/>
      <c r="E7" s="25"/>
      <c r="F7" s="25"/>
      <c r="G7" s="25"/>
    </row>
    <row r="8" hidden="0" outlineLevel="0" collapsed="0">
      <c r="A8" s="6" t="s">
        <v>220</v>
      </c>
      <c r="B8" s="11"/>
      <c r="C8" s="23"/>
      <c r="D8" s="23"/>
      <c r="E8" s="23"/>
      <c r="F8" s="23"/>
      <c r="G8" s="23"/>
    </row>
    <row r="9" hidden="0" outlineLevel="0" collapsed="0">
      <c r="A9" s="6" t="s">
        <v>199</v>
      </c>
      <c r="B9" s="24"/>
      <c r="C9" s="25"/>
      <c r="D9" s="25"/>
      <c r="E9" s="25"/>
      <c r="F9" s="25"/>
      <c r="G9" s="25"/>
    </row>
    <row r="10" hidden="0" outlineLevel="0" collapsed="0">
      <c r="A10" s="6" t="s">
        <v>221</v>
      </c>
      <c r="B10" s="11"/>
      <c r="C10" s="23"/>
      <c r="D10" s="23"/>
      <c r="E10" s="23"/>
      <c r="F10" s="23"/>
      <c r="G10" s="23"/>
    </row>
    <row r="11" hidden="0" outlineLevel="0" collapsed="0">
      <c r="A11" s="6" t="s">
        <v>222</v>
      </c>
      <c r="B11" s="11"/>
      <c r="C11" s="23"/>
      <c r="D11" s="23"/>
      <c r="E11" s="23"/>
      <c r="F11" s="23"/>
      <c r="G11" s="23"/>
    </row>
    <row r="12" hidden="0" outlineLevel="0" collapsed="0">
      <c r="A12" s="6" t="s">
        <v>105</v>
      </c>
      <c r="B12" s="11"/>
      <c r="C12" s="23"/>
      <c r="D12" s="23"/>
      <c r="E12" s="23"/>
      <c r="F12" s="23"/>
      <c r="G12" s="23"/>
    </row>
    <row r="13" hidden="0" outlineLevel="0" collapsed="0">
      <c r="A13" s="6" t="s">
        <v>223</v>
      </c>
      <c r="B13" s="11"/>
      <c r="C13" s="23"/>
      <c r="D13" s="23"/>
      <c r="E13" s="23"/>
      <c r="F13" s="23"/>
      <c r="G13" s="23"/>
    </row>
    <row r="14" hidden="0" outlineLevel="0" collapsed="0">
      <c r="A14" s="6" t="s">
        <v>224</v>
      </c>
      <c r="B14" s="11"/>
      <c r="C14" s="23"/>
      <c r="D14" s="23"/>
      <c r="E14" s="23"/>
      <c r="F14" s="23"/>
      <c r="G14" s="23"/>
    </row>
    <row r="15" hidden="0" outlineLevel="0" collapsed="0">
      <c r="A15" s="6" t="s">
        <v>225</v>
      </c>
      <c r="B15" s="11"/>
      <c r="C15" s="23"/>
      <c r="D15" s="23"/>
      <c r="E15" s="23"/>
      <c r="F15" s="23"/>
      <c r="G15" s="23"/>
    </row>
    <row r="16" hidden="0" outlineLevel="0" collapsed="0">
      <c r="A16" s="6" t="s">
        <v>114</v>
      </c>
      <c r="B16" s="11"/>
      <c r="C16" s="23"/>
      <c r="D16" s="23"/>
      <c r="E16" s="23"/>
      <c r="F16" s="23"/>
      <c r="G16" s="23"/>
    </row>
    <row r="17" hidden="0" outlineLevel="0" collapsed="0">
      <c r="A17" s="6" t="s">
        <v>183</v>
      </c>
      <c r="B17" s="11"/>
      <c r="C17" s="23"/>
      <c r="D17" s="23"/>
      <c r="E17" s="23"/>
      <c r="F17" s="23"/>
      <c r="G17" s="23"/>
    </row>
    <row r="18" hidden="0" outlineLevel="0" collapsed="0">
      <c r="A18" s="4"/>
      <c r="B18" s="4"/>
      <c r="C18" s="4"/>
      <c r="D18" s="4"/>
      <c r="E18" s="4"/>
      <c r="F18" s="4"/>
      <c r="G18" s="4"/>
    </row>
    <row r="19" hidden="0" outlineLevel="0" collapsed="0">
      <c r="A19" s="22" t="s">
        <v>226</v>
      </c>
      <c r="B19" s="22"/>
      <c r="C19" s="22"/>
      <c r="D19" s="22"/>
      <c r="E19" s="22"/>
      <c r="F19" s="22"/>
      <c r="G19" s="22"/>
    </row>
    <row r="20" hidden="0" outlineLevel="0" collapsed="0">
      <c r="A20" s="22"/>
      <c r="B20" s="22"/>
      <c r="C20" s="22"/>
      <c r="D20" s="22"/>
      <c r="E20" s="22"/>
      <c r="F20" s="22"/>
      <c r="G20" s="22"/>
    </row>
    <row r="21" hidden="0" outlineLevel="0" collapsed="0">
      <c r="A21" s="22"/>
      <c r="B21" s="22"/>
      <c r="C21" s="22"/>
      <c r="D21" s="22"/>
      <c r="E21" s="22"/>
      <c r="F21" s="22"/>
      <c r="G21" s="22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</sheetData>
  <mergeCells count="3">
    <mergeCell ref="A1:G1"/>
    <mergeCell ref="A2:G2"/>
    <mergeCell ref="A19:G21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2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3" width="18" style="1" customWidth="1"/>
    <col min="4" max="4" width="16" style="1" customWidth="1"/>
    <col min="5" max="5" width="14" style="1" customWidth="1"/>
    <col min="6" max="6" width="24" style="1" customWidth="1"/>
    <col min="7" max="7" width="58" style="1" customWidth="1"/>
    <col min="8" max="8" width="15" style="1" customWidth="1"/>
  </cols>
  <sheetData>
    <row r="1" ht="26" hidden="0" outlineLevel="0" collapsed="0">
      <c r="A1" s="2" t="s">
        <v>227</v>
      </c>
      <c r="B1" s="2"/>
      <c r="C1" s="2"/>
      <c r="D1" s="2"/>
      <c r="E1" s="2"/>
      <c r="F1" s="2"/>
      <c r="G1" s="2"/>
      <c r="H1" s="15"/>
    </row>
    <row r="2" ht="32" hidden="0" outlineLevel="0" collapsed="0">
      <c r="A2" s="3" t="s">
        <v>228</v>
      </c>
      <c r="B2" s="3"/>
      <c r="C2" s="3"/>
      <c r="D2" s="3"/>
      <c r="E2" s="3"/>
      <c r="F2" s="3"/>
      <c r="G2" s="3"/>
      <c r="H2" s="16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229</v>
      </c>
      <c r="B4" s="5" t="s">
        <v>230</v>
      </c>
      <c r="C4" s="5" t="s">
        <v>231</v>
      </c>
      <c r="D4" s="5" t="s">
        <v>232</v>
      </c>
      <c r="E4" s="5" t="s">
        <v>233</v>
      </c>
      <c r="F4" s="5" t="s">
        <v>234</v>
      </c>
      <c r="G4" s="5" t="s">
        <v>235</v>
      </c>
    </row>
    <row r="5" hidden="0" outlineLevel="0" collapsed="0">
      <c r="A5" s="6" t="s">
        <v>236</v>
      </c>
      <c r="B5" s="6">
        <v>1</v>
      </c>
      <c r="C5" s="6">
        <v>1</v>
      </c>
      <c r="D5" s="6">
        <f>B5-C5</f>
        <v>0</v>
      </c>
      <c r="E5" s="6">
        <v>0</v>
      </c>
      <c r="F5" s="26" t="str">
        <f>IF(ABS(D5)&lt;=E5,"PASS","BLOCKED")</f>
        <v>PASS</v>
      </c>
      <c r="G5" s="6" t="s">
        <v>237</v>
      </c>
    </row>
    <row r="6" hidden="0" outlineLevel="0" collapsed="0">
      <c r="A6" s="6" t="s">
        <v>238</v>
      </c>
      <c r="B6" s="6">
        <v>0</v>
      </c>
      <c r="C6" s="6">
        <v>1</v>
      </c>
      <c r="D6" s="6">
        <f>B6-C6</f>
        <v>-1</v>
      </c>
      <c r="E6" s="6">
        <v>0</v>
      </c>
      <c r="F6" s="26" t="str">
        <f>IF(ABS(D6)&lt;=E6,"PASS","BLOCKED")</f>
        <v>BLOCKED</v>
      </c>
      <c r="G6" s="6" t="s">
        <v>239</v>
      </c>
    </row>
    <row r="7" hidden="0" outlineLevel="0" collapsed="0">
      <c r="A7" s="6" t="s">
        <v>240</v>
      </c>
      <c r="B7" s="6">
        <v>0</v>
      </c>
      <c r="C7" s="6">
        <v>3</v>
      </c>
      <c r="D7" s="6">
        <f>B7-C7</f>
        <v>-3</v>
      </c>
      <c r="E7" s="6">
        <v>0</v>
      </c>
      <c r="F7" s="26" t="str">
        <f>IF(ABS(D7)&lt;=E7,"PASS","BLOCKED")</f>
        <v>BLOCKED</v>
      </c>
      <c r="G7" s="6" t="s">
        <v>241</v>
      </c>
    </row>
    <row r="8" hidden="0" outlineLevel="0" collapsed="0">
      <c r="A8" s="6" t="s">
        <v>242</v>
      </c>
      <c r="B8" s="6">
        <v>0</v>
      </c>
      <c r="C8" s="6">
        <v>1</v>
      </c>
      <c r="D8" s="6">
        <f>B8-C8</f>
        <v>-1</v>
      </c>
      <c r="E8" s="6">
        <v>0</v>
      </c>
      <c r="F8" s="26" t="str">
        <f>IF(ABS(D8)&lt;=E8,"PASS","BLOCKED")</f>
        <v>BLOCKED</v>
      </c>
      <c r="G8" s="6" t="s">
        <v>243</v>
      </c>
    </row>
    <row r="9" hidden="0" outlineLevel="0" collapsed="0">
      <c r="A9" s="6" t="s">
        <v>244</v>
      </c>
      <c r="B9" s="6">
        <v>0</v>
      </c>
      <c r="C9" s="6">
        <v>1</v>
      </c>
      <c r="D9" s="6">
        <f>B9-C9</f>
        <v>-1</v>
      </c>
      <c r="E9" s="6">
        <v>0</v>
      </c>
      <c r="F9" s="26" t="str">
        <f>IF(ABS(D9)&lt;=E9,"PASS","BLOCKED")</f>
        <v>BLOCKED</v>
      </c>
      <c r="G9" s="6" t="s">
        <v>245</v>
      </c>
    </row>
    <row r="10" hidden="0" outlineLevel="0" collapsed="0">
      <c r="A10" s="6" t="s">
        <v>246</v>
      </c>
      <c r="B10" s="6">
        <v>0</v>
      </c>
      <c r="C10" s="6">
        <v>2</v>
      </c>
      <c r="D10" s="6">
        <f>B10-C10</f>
        <v>-2</v>
      </c>
      <c r="E10" s="6">
        <v>0</v>
      </c>
      <c r="F10" s="26" t="str">
        <f>IF(ABS(D10)&lt;=E10,"PASS","BLOCKED")</f>
        <v>BLOCKED</v>
      </c>
      <c r="G10" s="6" t="s">
        <v>247</v>
      </c>
    </row>
    <row r="11" ht="23.85" hidden="0" outlineLevel="0" collapsed="0">
      <c r="A11" s="6" t="s">
        <v>248</v>
      </c>
      <c r="B11" s="6" t="s">
        <v>249</v>
      </c>
      <c r="C11" s="6" t="s">
        <v>249</v>
      </c>
      <c r="D11" s="6"/>
      <c r="E11" s="6"/>
      <c r="F11" s="26" t="s">
        <v>250</v>
      </c>
      <c r="G11" s="6" t="s">
        <v>251</v>
      </c>
    </row>
    <row r="12" ht="23.85" hidden="0" outlineLevel="0" collapsed="0">
      <c r="A12" s="6" t="s">
        <v>252</v>
      </c>
      <c r="B12" s="6" t="s">
        <v>249</v>
      </c>
      <c r="C12" s="6" t="s">
        <v>249</v>
      </c>
      <c r="D12" s="6"/>
      <c r="E12" s="6"/>
      <c r="F12" s="26" t="s">
        <v>250</v>
      </c>
      <c r="G12" s="6" t="s">
        <v>253</v>
      </c>
    </row>
    <row r="13" hidden="0" outlineLevel="0" collapsed="0">
      <c r="A13" s="6" t="s">
        <v>254</v>
      </c>
      <c r="B13" s="6"/>
      <c r="C13" s="6"/>
      <c r="D13" s="6"/>
      <c r="E13" s="6"/>
      <c r="F13" s="26" t="str">
        <f>IF(COUNTIF(F5:F10,"BLOCKED")&gt;0,"NOT DECISION-READY","READY FOR REVIEW")</f>
        <v>NOT DECISION-READY</v>
      </c>
      <c r="G13" s="6" t="s">
        <v>255</v>
      </c>
    </row>
    <row r="14" hidden="0" outlineLevel="0" collapsed="0">
      <c r="A14" s="4"/>
      <c r="B14" s="4"/>
      <c r="C14" s="4"/>
      <c r="D14" s="4"/>
      <c r="E14" s="4"/>
      <c r="F14" s="4"/>
      <c r="G14" s="4"/>
    </row>
    <row r="15" hidden="0" outlineLevel="0" collapsed="0">
      <c r="A15" s="27" t="s">
        <v>256</v>
      </c>
      <c r="B15" s="27"/>
      <c r="C15" s="27"/>
      <c r="D15" s="27"/>
      <c r="E15" s="27"/>
      <c r="F15" s="27"/>
      <c r="G15" s="27"/>
    </row>
    <row r="16" hidden="0" outlineLevel="0" collapsed="0">
      <c r="A16" s="27"/>
      <c r="B16" s="27"/>
      <c r="C16" s="27"/>
      <c r="D16" s="27"/>
      <c r="E16" s="27"/>
      <c r="F16" s="27"/>
      <c r="G16" s="27"/>
    </row>
    <row r="17" hidden="0" outlineLevel="0" collapsed="0">
      <c r="A17" s="27"/>
      <c r="B17" s="27"/>
      <c r="C17" s="27"/>
      <c r="D17" s="27"/>
      <c r="E17" s="27"/>
      <c r="F17" s="27"/>
      <c r="G17" s="27"/>
    </row>
    <row r="18" hidden="0" outlineLevel="0" collapsed="0">
      <c r="A18" s="27"/>
      <c r="B18" s="27"/>
      <c r="C18" s="27"/>
      <c r="D18" s="27"/>
      <c r="E18" s="27"/>
      <c r="F18" s="27"/>
      <c r="G18" s="27"/>
    </row>
    <row r="19" hidden="0" outlineLevel="0" collapsed="0">
      <c r="A19" s="4"/>
      <c r="B19" s="4"/>
      <c r="C19" s="4"/>
      <c r="D19" s="4"/>
      <c r="E19" s="4"/>
      <c r="F19" s="4"/>
      <c r="G19" s="4"/>
    </row>
    <row r="20" hidden="0" outlineLevel="0" collapsed="0">
      <c r="A20" s="4"/>
      <c r="B20" s="4"/>
      <c r="C20" s="4"/>
      <c r="D20" s="4"/>
      <c r="E20" s="4"/>
      <c r="F20" s="4"/>
      <c r="G20" s="4"/>
    </row>
    <row r="21" hidden="0" outlineLevel="0" collapsed="0">
      <c r="A21" s="4"/>
      <c r="B21" s="4"/>
      <c r="C21" s="4"/>
      <c r="D21" s="4"/>
      <c r="E21" s="4"/>
      <c r="F21" s="4"/>
      <c r="G21" s="4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  <row r="29" hidden="0" outlineLevel="0" collapsed="0">
      <c r="A29" s="4"/>
      <c r="B29" s="4"/>
      <c r="C29" s="4"/>
      <c r="D29" s="4"/>
      <c r="E29" s="4"/>
      <c r="F29" s="4"/>
      <c r="G29" s="4"/>
    </row>
    <row r="30" hidden="0" outlineLevel="0" collapsed="0">
      <c r="A30" s="4"/>
      <c r="B30" s="4"/>
      <c r="C30" s="4"/>
      <c r="D30" s="4"/>
      <c r="E30" s="4"/>
      <c r="F30" s="4"/>
      <c r="G30" s="4"/>
    </row>
    <row r="31" hidden="0" outlineLevel="0" collapsed="0">
      <c r="A31" s="4"/>
      <c r="B31" s="4"/>
      <c r="C31" s="4"/>
      <c r="D31" s="4"/>
      <c r="E31" s="4"/>
      <c r="F31" s="4"/>
      <c r="G31" s="4"/>
    </row>
    <row r="32" hidden="0" outlineLevel="0" collapsed="0">
      <c r="A32" s="4"/>
      <c r="B32" s="4"/>
      <c r="C32" s="4"/>
      <c r="D32" s="4"/>
      <c r="E32" s="4"/>
      <c r="F32" s="4"/>
      <c r="G32" s="4"/>
    </row>
  </sheetData>
  <mergeCells count="3">
    <mergeCell ref="A1:G1"/>
    <mergeCell ref="A2:G2"/>
    <mergeCell ref="A15:G18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4" width="16" style="1" customWidth="1"/>
    <col min="5" max="6" width="20" style="1" customWidth="1"/>
    <col min="7" max="7" width="44" style="1" customWidth="1"/>
    <col min="8" max="8" width="15" style="1" customWidth="1"/>
  </cols>
  <sheetData>
    <row r="1" ht="26" hidden="0" outlineLevel="0" collapsed="0">
      <c r="A1" s="2" t="s">
        <v>257</v>
      </c>
      <c r="B1" s="2"/>
      <c r="C1" s="2"/>
      <c r="D1" s="2"/>
      <c r="E1" s="2"/>
      <c r="F1" s="2"/>
      <c r="G1" s="2"/>
      <c r="H1" s="15"/>
    </row>
    <row r="2" ht="32" hidden="0" outlineLevel="0" collapsed="0">
      <c r="A2" s="3" t="s">
        <v>258</v>
      </c>
      <c r="B2" s="3"/>
      <c r="C2" s="3"/>
      <c r="D2" s="3"/>
      <c r="E2" s="3"/>
      <c r="F2" s="3"/>
      <c r="G2" s="3"/>
      <c r="H2" s="16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259</v>
      </c>
      <c r="B4" s="5" t="s">
        <v>260</v>
      </c>
      <c r="C4" s="5" t="s">
        <v>261</v>
      </c>
      <c r="D4" s="5" t="s">
        <v>262</v>
      </c>
      <c r="E4" s="5" t="s">
        <v>263</v>
      </c>
      <c r="F4" s="5" t="s">
        <v>264</v>
      </c>
      <c r="G4" s="5" t="s">
        <v>234</v>
      </c>
    </row>
    <row r="5" hidden="0" outlineLevel="0" collapsed="0">
      <c r="A5" s="6" t="s">
        <v>265</v>
      </c>
      <c r="B5" s="6">
        <v>1</v>
      </c>
      <c r="C5" s="6">
        <v>2</v>
      </c>
      <c r="D5" s="6">
        <v>3</v>
      </c>
      <c r="E5" s="6">
        <f>Forecast!C5</f>
        <v>157080</v>
      </c>
      <c r="F5" s="6">
        <f>Forecast!G5</f>
        <v>170028.4436928</v>
      </c>
      <c r="G5" s="26" t="s">
        <v>266</v>
      </c>
    </row>
    <row r="6" hidden="0" outlineLevel="0" collapsed="0">
      <c r="A6" s="6" t="s">
        <v>267</v>
      </c>
      <c r="B6" s="6"/>
      <c r="C6" s="6"/>
      <c r="D6" s="6"/>
      <c r="E6" s="6" t="s">
        <v>249</v>
      </c>
      <c r="F6" s="6" t="s">
        <v>249</v>
      </c>
      <c r="G6" s="26" t="s">
        <v>250</v>
      </c>
    </row>
    <row r="7" hidden="0" outlineLevel="0" collapsed="0">
      <c r="A7" s="6" t="s">
        <v>268</v>
      </c>
      <c r="B7" s="6"/>
      <c r="C7" s="6"/>
      <c r="D7" s="6"/>
      <c r="E7" s="6"/>
      <c r="F7" s="6"/>
      <c r="G7" s="26" t="s">
        <v>250</v>
      </c>
    </row>
    <row r="8" hidden="0" outlineLevel="0" collapsed="0">
      <c r="A8" s="6" t="s">
        <v>269</v>
      </c>
      <c r="B8" s="6"/>
      <c r="C8" s="6"/>
      <c r="D8" s="6"/>
      <c r="E8" s="6"/>
      <c r="F8" s="6"/>
      <c r="G8" s="26" t="s">
        <v>250</v>
      </c>
    </row>
    <row r="9" hidden="0" outlineLevel="0" collapsed="0">
      <c r="A9" s="6" t="s">
        <v>270</v>
      </c>
      <c r="B9" s="6"/>
      <c r="C9" s="6"/>
      <c r="D9" s="6"/>
      <c r="E9" s="6"/>
      <c r="F9" s="6"/>
      <c r="G9" s="26" t="s">
        <v>271</v>
      </c>
    </row>
    <row r="10" hidden="0" outlineLevel="0" collapsed="0">
      <c r="A10" s="6" t="s">
        <v>272</v>
      </c>
      <c r="B10" s="6"/>
      <c r="C10" s="6"/>
      <c r="D10" s="6"/>
      <c r="E10" s="6"/>
      <c r="F10" s="6"/>
      <c r="G10" s="26" t="s">
        <v>273</v>
      </c>
    </row>
    <row r="11" hidden="0" outlineLevel="0" collapsed="0">
      <c r="A11" s="4"/>
      <c r="B11" s="4"/>
      <c r="C11" s="4"/>
      <c r="D11" s="4"/>
      <c r="E11" s="4"/>
      <c r="F11" s="4"/>
      <c r="G11" s="4"/>
    </row>
    <row r="12" hidden="0" outlineLevel="0" collapsed="0">
      <c r="A12" s="22" t="s">
        <v>274</v>
      </c>
      <c r="B12" s="22"/>
      <c r="C12" s="22"/>
      <c r="D12" s="22"/>
      <c r="E12" s="22"/>
      <c r="F12" s="22"/>
      <c r="G12" s="22"/>
    </row>
    <row r="13" hidden="0" outlineLevel="0" collapsed="0">
      <c r="A13" s="22"/>
      <c r="B13" s="22"/>
      <c r="C13" s="22"/>
      <c r="D13" s="22"/>
      <c r="E13" s="22"/>
      <c r="F13" s="22"/>
      <c r="G13" s="22"/>
    </row>
    <row r="14" hidden="0" outlineLevel="0" collapsed="0">
      <c r="A14" s="22"/>
      <c r="B14" s="22"/>
      <c r="C14" s="22"/>
      <c r="D14" s="22"/>
      <c r="E14" s="22"/>
      <c r="F14" s="22"/>
      <c r="G14" s="22"/>
    </row>
    <row r="15" hidden="0" outlineLevel="0" collapsed="0">
      <c r="A15" s="22"/>
      <c r="B15" s="22"/>
      <c r="C15" s="22"/>
      <c r="D15" s="22"/>
      <c r="E15" s="22"/>
      <c r="F15" s="22"/>
      <c r="G15" s="22"/>
    </row>
    <row r="16" hidden="0" outlineLevel="0" collapsed="0">
      <c r="A16" s="4"/>
      <c r="B16" s="4"/>
      <c r="C16" s="4"/>
      <c r="D16" s="4"/>
      <c r="E16" s="4"/>
      <c r="F16" s="4"/>
      <c r="G16" s="4"/>
    </row>
    <row r="17" hidden="0" outlineLevel="0" collapsed="0">
      <c r="A17" s="4"/>
      <c r="B17" s="4"/>
      <c r="C17" s="4"/>
      <c r="D17" s="4"/>
      <c r="E17" s="4"/>
      <c r="F17" s="4"/>
      <c r="G17" s="4"/>
    </row>
    <row r="18" hidden="0" outlineLevel="0" collapsed="0">
      <c r="A18" s="4"/>
      <c r="B18" s="4"/>
      <c r="C18" s="4"/>
      <c r="D18" s="4"/>
      <c r="E18" s="4"/>
      <c r="F18" s="4"/>
      <c r="G18" s="4"/>
    </row>
    <row r="19" hidden="0" outlineLevel="0" collapsed="0">
      <c r="A19" s="4"/>
      <c r="B19" s="4"/>
      <c r="C19" s="4"/>
      <c r="D19" s="4"/>
      <c r="E19" s="4"/>
      <c r="F19" s="4"/>
      <c r="G19" s="4"/>
    </row>
    <row r="20" hidden="0" outlineLevel="0" collapsed="0">
      <c r="A20" s="4"/>
      <c r="B20" s="4"/>
      <c r="C20" s="4"/>
      <c r="D20" s="4"/>
      <c r="E20" s="4"/>
      <c r="F20" s="4"/>
      <c r="G20" s="4"/>
    </row>
    <row r="21" hidden="0" outlineLevel="0" collapsed="0">
      <c r="A21" s="4"/>
      <c r="B21" s="4"/>
      <c r="C21" s="4"/>
      <c r="D21" s="4"/>
      <c r="E21" s="4"/>
      <c r="F21" s="4"/>
      <c r="G21" s="4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</sheetData>
  <mergeCells count="3">
    <mergeCell ref="A1:G1"/>
    <mergeCell ref="A2:G2"/>
    <mergeCell ref="A12:G15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4" width="16" style="1" customWidth="1"/>
    <col min="5" max="5" width="14" style="1" customWidth="1"/>
    <col min="6" max="6" width="34" style="1" customWidth="1"/>
    <col min="7" max="7" width="66" style="1" customWidth="1"/>
    <col min="8" max="8" width="15" style="1" customWidth="1"/>
  </cols>
  <sheetData>
    <row r="1" ht="26" hidden="0" outlineLevel="0" collapsed="0">
      <c r="A1" s="2" t="s">
        <v>275</v>
      </c>
      <c r="B1" s="2"/>
      <c r="C1" s="2"/>
      <c r="D1" s="2"/>
      <c r="E1" s="2"/>
      <c r="F1" s="2"/>
      <c r="G1" s="2"/>
      <c r="H1" s="15"/>
    </row>
    <row r="2" ht="32" hidden="0" outlineLevel="0" collapsed="0">
      <c r="A2" s="3" t="s">
        <v>276</v>
      </c>
      <c r="B2" s="3"/>
      <c r="C2" s="3"/>
      <c r="D2" s="3"/>
      <c r="E2" s="3"/>
      <c r="F2" s="3"/>
      <c r="G2" s="3"/>
      <c r="H2" s="16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277</v>
      </c>
      <c r="B4" s="5" t="s">
        <v>230</v>
      </c>
      <c r="C4" s="5" t="s">
        <v>231</v>
      </c>
      <c r="D4" s="5" t="s">
        <v>232</v>
      </c>
      <c r="E4" s="5" t="s">
        <v>233</v>
      </c>
      <c r="F4" s="5" t="s">
        <v>234</v>
      </c>
      <c r="G4" s="5" t="s">
        <v>278</v>
      </c>
    </row>
    <row r="5" ht="34" hidden="0" outlineLevel="0" collapsed="0">
      <c r="A5" s="6" t="s">
        <v>279</v>
      </c>
      <c r="B5" s="11">
        <f>COUNTIF(Sources!$P$5:$P$27,"MAPPED")</f>
        <v>7</v>
      </c>
      <c r="C5" s="11">
        <f>COUNTIF(Sources!$O$5:$O$27,"Yes")</f>
        <v>20</v>
      </c>
      <c r="D5" s="11">
        <f>B5-C5</f>
        <v>-13</v>
      </c>
      <c r="E5" s="11">
        <v>0</v>
      </c>
      <c r="F5" s="11" t="str">
        <f>IF(COUNTIF(Sources!$P$5:$P$27,"MISSING")&gt;0,"FAIL",IF(COUNTIF(Sources!$P$5:$P$27,"BLOCKED")&gt;0,"BLOCKED",IF(ABS(D5)&lt;=E5,"PASS","FAIL")))</f>
        <v>BLOCKED</v>
      </c>
      <c r="G5" s="6" t="s">
        <v>280</v>
      </c>
    </row>
    <row r="6" ht="34" hidden="0" outlineLevel="0" collapsed="0">
      <c r="A6" s="6" t="s">
        <v>281</v>
      </c>
      <c r="B6" s="11">
        <f>IF(Historical!F5="",0,Historical!F5)</f>
        <v>154000</v>
      </c>
      <c r="C6" s="11">
        <f>IF(Sources!D7="",0,Sources!D7)</f>
        <v>154000</v>
      </c>
      <c r="D6" s="11">
        <f>B6-C6</f>
        <v>0</v>
      </c>
      <c r="E6" s="11">
        <v>0.1</v>
      </c>
      <c r="F6" s="6" t="str">
        <f>IF(ABS(D6)&lt;=E6,IF(B6=0,"BLOCKED","PASS"),"FAIL")</f>
        <v>PASS</v>
      </c>
      <c r="G6" s="6" t="s">
        <v>282</v>
      </c>
    </row>
    <row r="7" ht="34" hidden="0" outlineLevel="0" collapsed="0">
      <c r="A7" s="6" t="s">
        <v>283</v>
      </c>
      <c r="B7" s="11">
        <f>IF(Historical!F7="",0,Historical!F7)</f>
        <v>0</v>
      </c>
      <c r="C7" s="11">
        <f>0</f>
        <v>0</v>
      </c>
      <c r="D7" s="11">
        <f>B7-C7</f>
        <v>0</v>
      </c>
      <c r="E7" s="11">
        <v>0.1</v>
      </c>
      <c r="F7" s="6" t="str">
        <f>IF(AND(B7=0,C7=0),"BLOCKED",IF(ABS(D7)&lt;=E7,"PASS","FAIL"))</f>
        <v>BLOCKED</v>
      </c>
      <c r="G7" s="6" t="s">
        <v>284</v>
      </c>
    </row>
    <row r="8" ht="34" hidden="0" outlineLevel="0" collapsed="0">
      <c r="A8" s="6" t="s">
        <v>285</v>
      </c>
      <c r="B8" s="11">
        <f>IF(Historical!F12="",0,Historical!F12)</f>
        <v>0</v>
      </c>
      <c r="C8" s="11">
        <f>IF(AND(Historical!F11&lt;&gt;"",Historical!F13&lt;&gt;""),Historical!F11-Historical!F13,0)</f>
        <v>0</v>
      </c>
      <c r="D8" s="11">
        <f>B8-C8</f>
        <v>0</v>
      </c>
      <c r="E8" s="11">
        <v>0.1</v>
      </c>
      <c r="F8" s="6" t="str">
        <f>IF(AND(B8=0,C8=0),"BLOCKED",IF(ABS(D8)&lt;=E8,"PASS","FAIL"))</f>
        <v>BLOCKED</v>
      </c>
      <c r="G8" s="6" t="s">
        <v>286</v>
      </c>
    </row>
    <row r="9" ht="34" hidden="0" outlineLevel="0" collapsed="0">
      <c r="A9" s="6" t="s">
        <v>287</v>
      </c>
      <c r="B9" s="11">
        <f>COUNT(Forecast!C5:G5)</f>
        <v>5</v>
      </c>
      <c r="C9" s="11">
        <v>5</v>
      </c>
      <c r="D9" s="11">
        <f>B9-C9</f>
        <v>0</v>
      </c>
      <c r="E9" s="11">
        <v>0</v>
      </c>
      <c r="F9" s="6" t="str">
        <f>IF(ABS(D9)&lt;=E9,"PASS","BLOCKED")</f>
        <v>PASS</v>
      </c>
      <c r="G9" s="6" t="s">
        <v>288</v>
      </c>
    </row>
    <row r="10" ht="34" hidden="0" outlineLevel="0" collapsed="0">
      <c r="A10" s="6" t="s">
        <v>289</v>
      </c>
      <c r="B10" s="11">
        <f>COUNT(Forecast!C15:G15)</f>
        <v>0</v>
      </c>
      <c r="C10" s="11">
        <v>5</v>
      </c>
      <c r="D10" s="11">
        <f>B10-C10</f>
        <v>-5</v>
      </c>
      <c r="E10" s="11">
        <v>0</v>
      </c>
      <c r="F10" s="6" t="str">
        <f>IF(ABS(D10)&lt;=E10,"PASS","BLOCKED")</f>
        <v>BLOCKED</v>
      </c>
      <c r="G10" s="6" t="s">
        <v>290</v>
      </c>
    </row>
    <row r="11" ht="34" hidden="0" outlineLevel="0" collapsed="0">
      <c r="A11" s="6" t="s">
        <v>291</v>
      </c>
      <c r="B11" s="11">
        <f>IF(AND(Assumptions!E14&lt;&gt;"",Assumptions!E15&lt;&gt;"",Assumptions!E14&gt;Assumptions!E15),1,0)</f>
        <v>0</v>
      </c>
      <c r="C11" s="11">
        <v>1</v>
      </c>
      <c r="D11" s="11">
        <f>B11-C11</f>
        <v>-1</v>
      </c>
      <c r="E11" s="11">
        <v>0</v>
      </c>
      <c r="F11" s="6" t="str">
        <f>IF(ABS(D11)&lt;=E11,"PASS","BLOCKED")</f>
        <v>BLOCKED</v>
      </c>
      <c r="G11" s="6" t="s">
        <v>292</v>
      </c>
    </row>
    <row r="12" ht="34" hidden="0" outlineLevel="0" collapsed="0">
      <c r="A12" s="6" t="s">
        <v>293</v>
      </c>
      <c r="B12" s="11">
        <f>0</f>
        <v>0</v>
      </c>
      <c r="C12" s="11">
        <f>0</f>
        <v>0</v>
      </c>
      <c r="D12" s="11">
        <f>B12-C12</f>
        <v>0</v>
      </c>
      <c r="E12" s="11">
        <v>0.1</v>
      </c>
      <c r="F12" s="6" t="str">
        <f>"BLOCKED"</f>
        <v>BLOCKED</v>
      </c>
      <c r="G12" s="6" t="s">
        <v>294</v>
      </c>
    </row>
    <row r="13" ht="34" hidden="0" outlineLevel="0" collapsed="0">
      <c r="A13" s="6" t="s">
        <v>295</v>
      </c>
      <c r="B13" s="11">
        <f>0</f>
        <v>0</v>
      </c>
      <c r="C13" s="11">
        <f>0</f>
        <v>0</v>
      </c>
      <c r="D13" s="11">
        <f>B13-C13</f>
        <v>0</v>
      </c>
      <c r="E13" s="11">
        <v>0.1</v>
      </c>
      <c r="F13" s="6" t="str">
        <f>"BLOCKED"</f>
        <v>BLOCKED</v>
      </c>
      <c r="G13" s="6" t="s">
        <v>296</v>
      </c>
    </row>
    <row r="14" ht="34" hidden="0" outlineLevel="0" collapsed="0">
      <c r="A14" s="6" t="s">
        <v>297</v>
      </c>
      <c r="B14" s="11">
        <f>0</f>
        <v>0</v>
      </c>
      <c r="C14" s="11">
        <f>0</f>
        <v>0</v>
      </c>
      <c r="D14" s="11">
        <f>B14-C14</f>
        <v>0</v>
      </c>
      <c r="E14" s="11">
        <v>0.01</v>
      </c>
      <c r="F14" s="6" t="str">
        <f>"BLOCKED"</f>
        <v>BLOCKED</v>
      </c>
      <c r="G14" s="6" t="s">
        <v>298</v>
      </c>
    </row>
    <row r="15" ht="34" hidden="0" outlineLevel="0" collapsed="0">
      <c r="A15" s="6" t="s">
        <v>299</v>
      </c>
      <c r="B15" s="11">
        <f>COUNT(Valuation!B14:B18)</f>
        <v>0</v>
      </c>
      <c r="C15" s="11">
        <v>0</v>
      </c>
      <c r="D15" s="11">
        <f>B15-C15</f>
        <v>0</v>
      </c>
      <c r="E15" s="11">
        <v>0</v>
      </c>
      <c r="F15" s="6" t="str">
        <f>IF(B15=0,"PASS — SUPPRESSED","FAIL")</f>
        <v>PASS — SUPPRESSED</v>
      </c>
      <c r="G15" s="6" t="s">
        <v>300</v>
      </c>
    </row>
    <row r="16" ht="34" hidden="0" outlineLevel="0" collapsed="0">
      <c r="A16" s="6" t="s">
        <v>301</v>
      </c>
      <c r="B16" s="11">
        <f>IF(AND(Assumptions!B3&gt;=1,Assumptions!B3&lt;=3),1,0)</f>
        <v>1</v>
      </c>
      <c r="C16" s="11">
        <v>1</v>
      </c>
      <c r="D16" s="11">
        <f>B16-C16</f>
        <v>0</v>
      </c>
      <c r="E16" s="11">
        <v>0</v>
      </c>
      <c r="F16" s="6" t="str">
        <f>IF(ABS(D16)&lt;=E16,"PASS","FAIL")</f>
        <v>PASS</v>
      </c>
      <c r="G16" s="6" t="s">
        <v>302</v>
      </c>
    </row>
    <row r="17" hidden="0" outlineLevel="0" collapsed="0">
      <c r="A17" s="4"/>
      <c r="B17" s="4"/>
      <c r="C17" s="4"/>
      <c r="D17" s="4"/>
      <c r="E17" s="4"/>
      <c r="F17" s="4"/>
      <c r="G17" s="4"/>
    </row>
    <row r="18" ht="23.85" hidden="0" outlineLevel="0" collapsed="0">
      <c r="A18" s="5" t="s">
        <v>303</v>
      </c>
      <c r="B18" s="5"/>
      <c r="C18" s="5"/>
      <c r="D18" s="5"/>
      <c r="E18" s="5"/>
      <c r="F18" s="26" t="str">
        <f>IF(COUNTIF(F5:F16,"FAIL")&gt;0,"NOT CERTIFIED — remediable","NOT CERTIFIED — source/disclosure blocker")</f>
        <v>NOT CERTIFIED — source/disclosure blocker</v>
      </c>
      <c r="G18" s="5"/>
    </row>
    <row r="19" ht="46.25" hidden="0" outlineLevel="0" collapsed="0">
      <c r="A19" s="6" t="s">
        <v>20</v>
      </c>
      <c r="B19" s="6" t="s">
        <v>21</v>
      </c>
      <c r="C19" s="6"/>
      <c r="D19" s="6"/>
      <c r="E19" s="6"/>
      <c r="F19" s="6"/>
      <c r="G19" s="6"/>
    </row>
    <row r="20" hidden="0" outlineLevel="0" collapsed="0">
      <c r="A20" s="4"/>
      <c r="B20" s="4"/>
      <c r="C20" s="4"/>
      <c r="D20" s="4"/>
      <c r="E20" s="4"/>
      <c r="F20" s="4"/>
      <c r="G20" s="4"/>
    </row>
    <row r="21" hidden="0" outlineLevel="0" collapsed="0">
      <c r="A21" s="4"/>
      <c r="B21" s="4"/>
      <c r="C21" s="4"/>
      <c r="D21" s="4"/>
      <c r="E21" s="4"/>
      <c r="F21" s="4"/>
      <c r="G21" s="4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</sheetData>
  <mergeCells count="2">
    <mergeCell ref="A1:G1"/>
    <mergeCell ref="A2:G2"/>
  </mergeCells>
  <conditionalFormatting sqref="F5:F16">
    <cfRule type="containsText" priority="2" operator="containsText" text="PASS" dxfId="3">
      <formula>NOT(ISERROR(SEARCH("PASS",F5)))</formula>
    </cfRule>
    <cfRule type="containsText" priority="3" operator="containsText" text="BLOCKED" dxfId="4">
      <formula>NOT(ISERROR(SEARCH("BLOCKED",F5)))</formula>
    </cfRule>
    <cfRule type="containsText" priority="4" operator="containsText" text="FAIL" dxfId="5">
      <formula>NOT(ISERROR(SEARCH("FAIL",F5)))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4" width="16" style="1" customWidth="1"/>
    <col min="5" max="5" width="24" style="1" customWidth="1"/>
    <col min="6" max="6" width="42" style="1" customWidth="1"/>
    <col min="7" max="7" width="24" style="1" customWidth="1"/>
    <col min="8" max="8" width="40" style="1" customWidth="1"/>
  </cols>
  <sheetData>
    <row r="1" ht="26" hidden="0" outlineLevel="0" collapsed="0">
      <c r="A1" s="2" t="s">
        <v>304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305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306</v>
      </c>
      <c r="B4" s="5" t="s">
        <v>178</v>
      </c>
      <c r="C4" s="5" t="s">
        <v>213</v>
      </c>
      <c r="D4" s="5" t="s">
        <v>307</v>
      </c>
      <c r="E4" s="5" t="s">
        <v>40</v>
      </c>
      <c r="F4" s="5" t="s">
        <v>308</v>
      </c>
      <c r="G4" s="5" t="s">
        <v>234</v>
      </c>
      <c r="H4" s="5" t="s">
        <v>309</v>
      </c>
    </row>
    <row r="5" hidden="0" outlineLevel="0" collapsed="0">
      <c r="A5" s="6" t="s">
        <v>71</v>
      </c>
      <c r="B5" s="11">
        <v>155000</v>
      </c>
      <c r="C5" s="23"/>
      <c r="D5" s="6" t="s">
        <v>72</v>
      </c>
      <c r="E5" s="6" t="s">
        <v>54</v>
      </c>
      <c r="F5" s="6" t="s">
        <v>310</v>
      </c>
      <c r="G5" s="6" t="s">
        <v>311</v>
      </c>
      <c r="H5" s="6" t="s">
        <v>312</v>
      </c>
    </row>
    <row r="6" hidden="0" outlineLevel="0" collapsed="0">
      <c r="A6" s="6" t="s">
        <v>79</v>
      </c>
      <c r="B6" s="11">
        <v>70</v>
      </c>
      <c r="C6" s="23"/>
      <c r="D6" s="6" t="s">
        <v>80</v>
      </c>
      <c r="E6" s="6" t="s">
        <v>54</v>
      </c>
      <c r="F6" s="6" t="s">
        <v>310</v>
      </c>
      <c r="G6" s="6" t="s">
        <v>311</v>
      </c>
      <c r="H6" s="6" t="s">
        <v>313</v>
      </c>
    </row>
    <row r="7" hidden="0" outlineLevel="0" collapsed="0">
      <c r="A7" s="6" t="s">
        <v>85</v>
      </c>
      <c r="B7" s="11">
        <v>125</v>
      </c>
      <c r="C7" s="23"/>
      <c r="D7" s="6" t="s">
        <v>86</v>
      </c>
      <c r="E7" s="6" t="s">
        <v>54</v>
      </c>
      <c r="F7" s="6" t="s">
        <v>310</v>
      </c>
      <c r="G7" s="6" t="s">
        <v>311</v>
      </c>
      <c r="H7" s="6" t="s">
        <v>314</v>
      </c>
    </row>
    <row r="8" hidden="0" outlineLevel="0" collapsed="0">
      <c r="A8" s="6" t="s">
        <v>45</v>
      </c>
      <c r="B8" s="11">
        <v>154000</v>
      </c>
      <c r="C8" s="23">
        <f>Forecast!C5</f>
        <v>157080</v>
      </c>
      <c r="D8" s="6" t="s">
        <v>315</v>
      </c>
      <c r="E8" s="6" t="s">
        <v>316</v>
      </c>
      <c r="F8" s="6" t="s">
        <v>317</v>
      </c>
      <c r="G8" s="6" t="s">
        <v>311</v>
      </c>
      <c r="H8" s="6" t="s">
        <v>318</v>
      </c>
    </row>
    <row r="9" hidden="0" outlineLevel="0" collapsed="0">
      <c r="A9" s="6" t="s">
        <v>219</v>
      </c>
      <c r="B9" s="11"/>
      <c r="C9" s="23"/>
      <c r="D9" s="6" t="s">
        <v>122</v>
      </c>
      <c r="E9" s="6" t="s">
        <v>96</v>
      </c>
      <c r="F9" s="6" t="s">
        <v>319</v>
      </c>
      <c r="G9" s="6" t="s">
        <v>320</v>
      </c>
      <c r="H9" s="6" t="s">
        <v>321</v>
      </c>
    </row>
    <row r="10" hidden="0" outlineLevel="0" collapsed="0">
      <c r="A10" s="6" t="s">
        <v>322</v>
      </c>
      <c r="B10" s="11"/>
      <c r="C10" s="23"/>
      <c r="D10" s="6" t="s">
        <v>122</v>
      </c>
      <c r="E10" s="6" t="s">
        <v>96</v>
      </c>
      <c r="F10" s="6" t="s">
        <v>323</v>
      </c>
      <c r="G10" s="6" t="s">
        <v>320</v>
      </c>
      <c r="H10" s="6" t="s">
        <v>241</v>
      </c>
    </row>
    <row r="11" hidden="0" outlineLevel="0" collapsed="0">
      <c r="A11" s="6" t="s">
        <v>324</v>
      </c>
      <c r="B11" s="11"/>
      <c r="C11" s="23"/>
      <c r="D11" s="6" t="s">
        <v>122</v>
      </c>
      <c r="E11" s="6" t="s">
        <v>96</v>
      </c>
      <c r="F11" s="6" t="s">
        <v>325</v>
      </c>
      <c r="G11" s="6" t="s">
        <v>320</v>
      </c>
      <c r="H11" s="6" t="s">
        <v>241</v>
      </c>
    </row>
    <row r="12" hidden="0" outlineLevel="0" collapsed="0">
      <c r="A12" s="6" t="s">
        <v>326</v>
      </c>
      <c r="B12" s="11"/>
      <c r="C12" s="23"/>
      <c r="D12" s="6" t="s">
        <v>315</v>
      </c>
      <c r="E12" s="6" t="s">
        <v>96</v>
      </c>
      <c r="F12" s="6" t="s">
        <v>327</v>
      </c>
      <c r="G12" s="6" t="s">
        <v>320</v>
      </c>
      <c r="H12" s="6" t="s">
        <v>328</v>
      </c>
    </row>
    <row r="13" hidden="0" outlineLevel="0" collapsed="0">
      <c r="A13" s="6"/>
      <c r="B13" s="11"/>
      <c r="C13" s="23"/>
      <c r="D13" s="6"/>
      <c r="E13" s="6"/>
      <c r="F13" s="6"/>
      <c r="G13" s="6"/>
      <c r="H13" s="6"/>
    </row>
    <row r="14" hidden="0" outlineLevel="0" collapsed="0">
      <c r="A14" s="6"/>
      <c r="B14" s="11"/>
      <c r="C14" s="23"/>
      <c r="D14" s="6"/>
      <c r="E14" s="6"/>
      <c r="F14" s="6"/>
      <c r="G14" s="6"/>
      <c r="H14" s="6"/>
    </row>
    <row r="15" hidden="0" outlineLevel="0" collapsed="0">
      <c r="A15" s="4"/>
      <c r="B15" s="4"/>
      <c r="C15" s="4"/>
      <c r="D15" s="4"/>
      <c r="E15" s="4"/>
      <c r="F15" s="4"/>
      <c r="G15" s="4"/>
      <c r="H15" s="4"/>
    </row>
    <row r="16" hidden="0" outlineLevel="0" collapsed="0">
      <c r="A16" s="4"/>
      <c r="B16" s="4"/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4"/>
      <c r="B18" s="4"/>
      <c r="C18" s="4"/>
      <c r="D18" s="4"/>
      <c r="E18" s="4"/>
      <c r="F18" s="4"/>
      <c r="G18" s="4"/>
      <c r="H18" s="4"/>
    </row>
    <row r="19" hidden="0" outlineLevel="0" collapsed="0">
      <c r="A19" s="4"/>
      <c r="B19" s="4"/>
      <c r="C19" s="4"/>
      <c r="D19" s="4"/>
      <c r="E19" s="4"/>
      <c r="F19" s="4"/>
      <c r="G19" s="4"/>
      <c r="H19" s="4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  <row r="25" hidden="0" outlineLevel="0" collapsed="0">
      <c r="A25" s="4"/>
      <c r="B25" s="4"/>
      <c r="C25" s="4"/>
      <c r="D25" s="4"/>
      <c r="E25" s="4"/>
      <c r="F25" s="4"/>
      <c r="G25" s="4"/>
      <c r="H25" s="4"/>
    </row>
    <row r="26" hidden="0" outlineLevel="0" collapsed="0">
      <c r="A26" s="4"/>
      <c r="B26" s="4"/>
      <c r="C26" s="4"/>
      <c r="D26" s="4"/>
      <c r="E26" s="4"/>
      <c r="F26" s="4"/>
      <c r="G26" s="4"/>
      <c r="H26" s="4"/>
    </row>
    <row r="27" hidden="0" outlineLevel="0" collapsed="0">
      <c r="A27" s="4"/>
      <c r="B27" s="4"/>
      <c r="C27" s="4"/>
      <c r="D27" s="4"/>
      <c r="E27" s="4"/>
      <c r="F27" s="4"/>
      <c r="G27" s="4"/>
      <c r="H27" s="4"/>
    </row>
    <row r="28" hidden="0" outlineLevel="0" collapsed="0">
      <c r="A28" s="4"/>
      <c r="B28" s="4"/>
      <c r="C28" s="4"/>
      <c r="D28" s="4"/>
      <c r="E28" s="4"/>
      <c r="F28" s="4"/>
      <c r="G28" s="4"/>
      <c r="H28" s="4"/>
    </row>
  </sheetData>
  <mergeCells count="2">
    <mergeCell ref="A1:H1"/>
    <mergeCell ref="A2:H2"/>
  </mergeCells>
  <conditionalFormatting sqref="G5:G14">
    <cfRule type="containsText" priority="2" operator="containsText" text="Blocked" dxfId="6">
      <formula>NOT(ISERROR(SEARCH("Blocked",G5)))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customWidth="1"/>
    <col min="2" max="2" width="12" style="1" customWidth="1"/>
    <col min="3" max="3" width="28" style="1" customWidth="1"/>
    <col min="4" max="4" width="54" style="1" customWidth="1"/>
    <col min="5" max="6" width="58" style="1" customWidth="1"/>
    <col min="7" max="7" width="36" style="1" customWidth="1"/>
    <col min="8" max="8" width="15" style="1" customWidth="1"/>
  </cols>
  <sheetData>
    <row r="1" ht="26" hidden="0" outlineLevel="0" collapsed="0">
      <c r="A1" s="2" t="s">
        <v>329</v>
      </c>
      <c r="B1" s="2"/>
      <c r="C1" s="2"/>
      <c r="D1" s="2"/>
      <c r="E1" s="2"/>
      <c r="F1" s="2"/>
      <c r="G1" s="2"/>
      <c r="H1" s="15"/>
    </row>
    <row r="2" ht="32" hidden="0" outlineLevel="0" collapsed="0">
      <c r="A2" s="3" t="s">
        <v>330</v>
      </c>
      <c r="B2" s="3"/>
      <c r="C2" s="3"/>
      <c r="D2" s="3"/>
      <c r="E2" s="3"/>
      <c r="F2" s="3"/>
      <c r="G2" s="3"/>
      <c r="H2" s="16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331</v>
      </c>
      <c r="B4" s="5" t="s">
        <v>332</v>
      </c>
      <c r="C4" s="5" t="s">
        <v>333</v>
      </c>
      <c r="D4" s="5" t="s">
        <v>334</v>
      </c>
      <c r="E4" s="5" t="s">
        <v>335</v>
      </c>
      <c r="F4" s="5" t="s">
        <v>336</v>
      </c>
      <c r="G4" s="5" t="s">
        <v>337</v>
      </c>
    </row>
    <row r="5" ht="62" hidden="0" outlineLevel="0" collapsed="0">
      <c r="A5" s="6" t="s">
        <v>338</v>
      </c>
      <c r="B5" s="6" t="s">
        <v>339</v>
      </c>
      <c r="C5" s="6" t="s">
        <v>340</v>
      </c>
      <c r="D5" s="6" t="s">
        <v>341</v>
      </c>
      <c r="E5" s="6" t="s">
        <v>342</v>
      </c>
      <c r="F5" s="6" t="s">
        <v>343</v>
      </c>
      <c r="G5" s="6" t="s">
        <v>344</v>
      </c>
    </row>
    <row r="6" ht="62" hidden="0" outlineLevel="0" collapsed="0">
      <c r="A6" s="6" t="s">
        <v>51</v>
      </c>
      <c r="B6" s="6" t="s">
        <v>345</v>
      </c>
      <c r="C6" s="6" t="s">
        <v>346</v>
      </c>
      <c r="D6" s="6" t="s">
        <v>347</v>
      </c>
      <c r="E6" s="6" t="s">
        <v>348</v>
      </c>
      <c r="F6" s="6" t="s">
        <v>349</v>
      </c>
      <c r="G6" s="6" t="s">
        <v>350</v>
      </c>
    </row>
    <row r="7" ht="62" hidden="0" outlineLevel="0" collapsed="0">
      <c r="A7" s="6" t="s">
        <v>51</v>
      </c>
      <c r="B7" s="6" t="s">
        <v>345</v>
      </c>
      <c r="C7" s="6" t="s">
        <v>346</v>
      </c>
      <c r="D7" s="6" t="s">
        <v>351</v>
      </c>
      <c r="E7" s="6" t="s">
        <v>352</v>
      </c>
      <c r="F7" s="6" t="s">
        <v>353</v>
      </c>
      <c r="G7" s="6" t="s">
        <v>354</v>
      </c>
    </row>
    <row r="8" ht="62" hidden="0" outlineLevel="0" collapsed="0">
      <c r="A8" s="6">
        <v>46224</v>
      </c>
      <c r="B8" s="6">
        <v>2.1</v>
      </c>
      <c r="C8" s="6" t="s">
        <v>355</v>
      </c>
      <c r="D8" s="6" t="s">
        <v>356</v>
      </c>
      <c r="E8" s="6" t="s">
        <v>357</v>
      </c>
      <c r="F8" s="6" t="s">
        <v>358</v>
      </c>
      <c r="G8" s="6" t="s">
        <v>350</v>
      </c>
    </row>
    <row r="9" hidden="0" outlineLevel="0" collapsed="0">
      <c r="A9" s="4" t="s">
        <v>150</v>
      </c>
      <c r="B9" s="4" t="s">
        <v>359</v>
      </c>
      <c r="C9" s="4" t="s">
        <v>360</v>
      </c>
      <c r="D9" s="4" t="s">
        <v>361</v>
      </c>
      <c r="E9" s="4" t="s">
        <v>362</v>
      </c>
      <c r="F9" s="4" t="s">
        <v>363</v>
      </c>
      <c r="G9" s="4" t="s">
        <v>350</v>
      </c>
    </row>
    <row r="10" hidden="0" outlineLevel="0" collapsed="0">
      <c r="A10" s="4"/>
      <c r="B10" s="4"/>
      <c r="C10" s="4"/>
      <c r="D10" s="4"/>
      <c r="E10" s="4"/>
      <c r="F10" s="4"/>
      <c r="G10" s="4"/>
    </row>
    <row r="11" hidden="0" outlineLevel="0" collapsed="0">
      <c r="A11" s="4"/>
      <c r="B11" s="4"/>
      <c r="C11" s="4"/>
      <c r="D11" s="4"/>
      <c r="E11" s="4"/>
      <c r="F11" s="4"/>
      <c r="G11" s="4"/>
    </row>
    <row r="12" hidden="0" outlineLevel="0" collapsed="0">
      <c r="A12" s="4"/>
      <c r="B12" s="4"/>
      <c r="C12" s="4"/>
      <c r="D12" s="4"/>
      <c r="E12" s="4"/>
      <c r="F12" s="4"/>
      <c r="G12" s="4"/>
    </row>
    <row r="13" hidden="0" outlineLevel="0" collapsed="0">
      <c r="A13" s="4"/>
      <c r="B13" s="4"/>
      <c r="C13" s="4"/>
      <c r="D13" s="4"/>
      <c r="E13" s="4"/>
      <c r="F13" s="4"/>
      <c r="G13" s="4"/>
    </row>
    <row r="14" hidden="0" outlineLevel="0" collapsed="0">
      <c r="A14" s="4"/>
      <c r="B14" s="4"/>
      <c r="C14" s="4"/>
      <c r="D14" s="4"/>
      <c r="E14" s="4"/>
      <c r="F14" s="4"/>
      <c r="G14" s="4"/>
    </row>
    <row r="15" hidden="0" outlineLevel="0" collapsed="0">
      <c r="A15" s="4"/>
      <c r="B15" s="4"/>
      <c r="C15" s="4"/>
      <c r="D15" s="4"/>
      <c r="E15" s="4"/>
      <c r="F15" s="4"/>
      <c r="G15" s="4"/>
    </row>
    <row r="16" hidden="0" outlineLevel="0" collapsed="0">
      <c r="A16" s="4"/>
      <c r="B16" s="4"/>
      <c r="C16" s="4"/>
      <c r="D16" s="4"/>
      <c r="E16" s="4"/>
      <c r="F16" s="4"/>
      <c r="G16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2" style="1" customWidth="1"/>
    <col min="2" max="2" width="10" style="1" customWidth="1"/>
    <col min="3" max="3" width="34" style="1" customWidth="1"/>
    <col min="4" max="4" width="48" style="1" customWidth="1"/>
    <col min="5" max="5" width="66" style="1" customWidth="1"/>
    <col min="6" max="6" width="24" style="1" customWidth="1"/>
    <col min="7" max="8" width="12" style="1" customWidth="1"/>
  </cols>
  <sheetData>
    <row r="1" ht="26" hidden="0" outlineLevel="0" collapsed="0">
      <c r="A1" s="2" t="s">
        <v>364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365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366</v>
      </c>
      <c r="B4" s="5" t="s">
        <v>367</v>
      </c>
      <c r="C4" s="5" t="s">
        <v>368</v>
      </c>
      <c r="D4" s="5" t="s">
        <v>369</v>
      </c>
      <c r="E4" s="5" t="s">
        <v>370</v>
      </c>
      <c r="F4" s="5" t="s">
        <v>371</v>
      </c>
      <c r="G4" s="4"/>
      <c r="H4" s="4"/>
    </row>
    <row r="5" ht="46" hidden="0" outlineLevel="0" collapsed="0">
      <c r="A5" s="6" t="s">
        <v>372</v>
      </c>
      <c r="B5" s="28">
        <v>5</v>
      </c>
      <c r="C5" s="6" t="s">
        <v>373</v>
      </c>
      <c r="D5" s="6" t="s">
        <v>374</v>
      </c>
      <c r="E5" s="6" t="s">
        <v>375</v>
      </c>
      <c r="F5" s="6" t="s">
        <v>376</v>
      </c>
      <c r="G5" s="4"/>
      <c r="H5" s="4"/>
    </row>
    <row r="6" ht="46" hidden="0" outlineLevel="0" collapsed="0">
      <c r="A6" s="6" t="s">
        <v>377</v>
      </c>
      <c r="B6" s="28">
        <v>20</v>
      </c>
      <c r="C6" s="6" t="s">
        <v>378</v>
      </c>
      <c r="D6" s="6" t="s">
        <v>379</v>
      </c>
      <c r="E6" s="6" t="s">
        <v>23</v>
      </c>
      <c r="F6" s="6" t="s">
        <v>376</v>
      </c>
      <c r="G6" s="4"/>
      <c r="H6" s="4"/>
    </row>
    <row r="7" ht="46" hidden="0" outlineLevel="0" collapsed="0">
      <c r="A7" s="6" t="s">
        <v>380</v>
      </c>
      <c r="B7" s="28">
        <v>15</v>
      </c>
      <c r="C7" s="6" t="s">
        <v>378</v>
      </c>
      <c r="D7" s="6" t="s">
        <v>381</v>
      </c>
      <c r="E7" s="6" t="s">
        <v>382</v>
      </c>
      <c r="F7" s="6" t="s">
        <v>376</v>
      </c>
      <c r="G7" s="4"/>
      <c r="H7" s="4"/>
    </row>
    <row r="8" ht="46" hidden="0" outlineLevel="0" collapsed="0">
      <c r="A8" s="6" t="s">
        <v>383</v>
      </c>
      <c r="B8" s="28">
        <v>10</v>
      </c>
      <c r="C8" s="6" t="s">
        <v>384</v>
      </c>
      <c r="D8" s="6" t="s">
        <v>385</v>
      </c>
      <c r="E8" s="6" t="s">
        <v>386</v>
      </c>
      <c r="F8" s="6" t="s">
        <v>376</v>
      </c>
      <c r="G8" s="4"/>
      <c r="H8" s="4"/>
    </row>
    <row r="9" ht="46" hidden="0" outlineLevel="0" collapsed="0">
      <c r="A9" s="6" t="s">
        <v>387</v>
      </c>
      <c r="B9" s="28">
        <v>15</v>
      </c>
      <c r="C9" s="6" t="s">
        <v>378</v>
      </c>
      <c r="D9" s="6" t="s">
        <v>388</v>
      </c>
      <c r="E9" s="6" t="s">
        <v>389</v>
      </c>
      <c r="F9" s="6" t="s">
        <v>376</v>
      </c>
      <c r="G9" s="4"/>
      <c r="H9" s="4"/>
    </row>
    <row r="10" ht="46" hidden="0" outlineLevel="0" collapsed="0">
      <c r="A10" s="6" t="s">
        <v>390</v>
      </c>
      <c r="B10" s="28">
        <v>8</v>
      </c>
      <c r="C10" s="6" t="s">
        <v>373</v>
      </c>
      <c r="D10" s="6" t="s">
        <v>391</v>
      </c>
      <c r="E10" s="6" t="s">
        <v>392</v>
      </c>
      <c r="F10" s="6" t="s">
        <v>376</v>
      </c>
      <c r="G10" s="4"/>
      <c r="H10" s="4"/>
    </row>
    <row r="11" ht="46" hidden="0" outlineLevel="0" collapsed="0">
      <c r="A11" s="6" t="s">
        <v>393</v>
      </c>
      <c r="B11" s="28">
        <v>10</v>
      </c>
      <c r="C11" s="6" t="s">
        <v>394</v>
      </c>
      <c r="D11" s="6" t="s">
        <v>395</v>
      </c>
      <c r="E11" s="6" t="s">
        <v>396</v>
      </c>
      <c r="F11" s="6" t="s">
        <v>376</v>
      </c>
      <c r="G11" s="4"/>
      <c r="H11" s="4"/>
    </row>
    <row r="12" ht="46" hidden="0" outlineLevel="0" collapsed="0">
      <c r="A12" s="6" t="s">
        <v>397</v>
      </c>
      <c r="B12" s="28">
        <v>7</v>
      </c>
      <c r="C12" s="6" t="s">
        <v>394</v>
      </c>
      <c r="D12" s="6" t="s">
        <v>398</v>
      </c>
      <c r="E12" s="6" t="s">
        <v>399</v>
      </c>
      <c r="F12" s="6" t="s">
        <v>376</v>
      </c>
      <c r="G12" s="4"/>
      <c r="H12" s="4"/>
    </row>
    <row r="13" ht="46" hidden="0" outlineLevel="0" collapsed="0">
      <c r="A13" s="6" t="s">
        <v>400</v>
      </c>
      <c r="B13" s="28">
        <v>5</v>
      </c>
      <c r="C13" s="6" t="s">
        <v>373</v>
      </c>
      <c r="D13" s="6" t="s">
        <v>401</v>
      </c>
      <c r="E13" s="6" t="s">
        <v>402</v>
      </c>
      <c r="F13" s="6" t="s">
        <v>376</v>
      </c>
      <c r="G13" s="4"/>
      <c r="H13" s="4"/>
    </row>
    <row r="14" ht="46" hidden="0" outlineLevel="0" collapsed="0">
      <c r="A14" s="6" t="s">
        <v>403</v>
      </c>
      <c r="B14" s="28">
        <v>5</v>
      </c>
      <c r="C14" s="6" t="s">
        <v>373</v>
      </c>
      <c r="D14" s="6" t="s">
        <v>404</v>
      </c>
      <c r="E14" s="6" t="s">
        <v>405</v>
      </c>
      <c r="F14" s="6" t="s">
        <v>376</v>
      </c>
      <c r="G14" s="4"/>
      <c r="H14" s="4"/>
    </row>
    <row r="15" hidden="0" outlineLevel="0" collapsed="0">
      <c r="A15" s="4"/>
      <c r="B15" s="4"/>
      <c r="C15" s="4"/>
      <c r="D15" s="4"/>
      <c r="E15" s="4"/>
      <c r="F15" s="4"/>
      <c r="G15" s="4"/>
      <c r="H15" s="4"/>
    </row>
    <row r="16" ht="68.65" hidden="0" outlineLevel="0" collapsed="0">
      <c r="A16" s="5" t="s">
        <v>406</v>
      </c>
      <c r="B16" s="29" t="str">
        <f>IF(COUNTIF(C5:C14,"BLOCKED*")&gt;0,"NOT CERTIFIED — source/disclosure blocker","PENDING INDEPENDENT 9/10 REVIEW")</f>
        <v>NOT CERTIFIED — source/disclosure blocker</v>
      </c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27" t="s">
        <v>407</v>
      </c>
      <c r="B18" s="27"/>
      <c r="C18" s="27"/>
      <c r="D18" s="27"/>
      <c r="E18" s="27"/>
      <c r="F18" s="27"/>
      <c r="G18" s="27"/>
      <c r="H18" s="27"/>
    </row>
    <row r="19" hidden="0" outlineLevel="0" collapsed="0">
      <c r="A19" s="27"/>
      <c r="B19" s="27"/>
      <c r="C19" s="27"/>
      <c r="D19" s="27"/>
      <c r="E19" s="27"/>
      <c r="F19" s="27"/>
      <c r="G19" s="27"/>
      <c r="H19" s="27"/>
    </row>
    <row r="20" hidden="0" outlineLevel="0" collapsed="0">
      <c r="A20" s="27"/>
      <c r="B20" s="27"/>
      <c r="C20" s="27"/>
      <c r="D20" s="27"/>
      <c r="E20" s="27"/>
      <c r="F20" s="27"/>
      <c r="G20" s="27"/>
      <c r="H20" s="27"/>
    </row>
    <row r="21" hidden="0" outlineLevel="0" collapsed="0">
      <c r="A21" s="27"/>
      <c r="B21" s="27"/>
      <c r="C21" s="27"/>
      <c r="D21" s="27"/>
      <c r="E21" s="27"/>
      <c r="F21" s="27"/>
      <c r="G21" s="27"/>
      <c r="H21" s="27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</sheetData>
  <mergeCells count="3">
    <mergeCell ref="A1:H1"/>
    <mergeCell ref="A2:H2"/>
    <mergeCell ref="A18:H21"/>
  </mergeCells>
  <conditionalFormatting sqref="C5:C14">
    <cfRule type="containsText" priority="2" operator="containsText" text="BLOCKED" dxfId="7">
      <formula>NOT(ISERROR(SEARCH("BLOCKED",C5)))</formula>
    </cfRule>
    <cfRule type="containsText" priority="3" operator="containsText" text="COMPLETE" dxfId="8">
      <formula>NOT(ISERROR(SEARCH("COMPLETE",C5)))</formula>
    </cfRule>
    <cfRule type="containsText" priority="4" operator="containsText" text="PARTIAL" dxfId="9">
      <formula>NOT(ISERROR(SEARCH("PARTIAL",C5)))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ColWidth="8.375" defaultRowHeight="15"/>
  <sheetData>
    <row r="1">
      <c r="A1" t="s">
        <v>408</v>
      </c>
    </row>
    <row r="3">
      <c r="A3" t="s">
        <v>409</v>
      </c>
      <c r="B3" t="s">
        <v>410</v>
      </c>
      <c r="C3" t="s">
        <v>411</v>
      </c>
      <c r="D3" t="s">
        <v>412</v>
      </c>
    </row>
    <row r="4">
      <c r="A4" t="s">
        <v>413</v>
      </c>
      <c r="B4" t="s">
        <v>47</v>
      </c>
      <c r="C4" t="s">
        <v>49</v>
      </c>
      <c r="D4" t="s">
        <v>414</v>
      </c>
    </row>
    <row r="5">
      <c r="A5" t="s">
        <v>415</v>
      </c>
      <c r="B5" t="s">
        <v>147</v>
      </c>
      <c r="C5" t="s">
        <v>416</v>
      </c>
      <c r="D5" t="s">
        <v>417</v>
      </c>
    </row>
    <row r="6">
      <c r="A6" t="s">
        <v>418</v>
      </c>
      <c r="B6" t="s">
        <v>155</v>
      </c>
      <c r="C6" t="s">
        <v>419</v>
      </c>
      <c r="D6" t="s">
        <v>420</v>
      </c>
    </row>
    <row r="7">
      <c r="A7" t="s">
        <v>421</v>
      </c>
      <c r="B7" t="s">
        <v>59</v>
      </c>
      <c r="C7" t="s">
        <v>60</v>
      </c>
      <c r="D7" t="s">
        <v>422</v>
      </c>
    </row>
    <row r="8">
      <c r="A8" t="s">
        <v>423</v>
      </c>
      <c r="B8" t="s">
        <v>66</v>
      </c>
      <c r="C8" t="s">
        <v>17</v>
      </c>
      <c r="D8" t="s">
        <v>424</v>
      </c>
    </row>
    <row r="9">
      <c r="A9" t="s">
        <v>425</v>
      </c>
      <c r="B9" t="s">
        <v>164</v>
      </c>
      <c r="C9" t="s">
        <v>426</v>
      </c>
      <c r="D9" t="s">
        <v>427</v>
      </c>
    </row>
    <row r="11">
      <c r="A11" t="s">
        <v>428</v>
      </c>
    </row>
    <row r="12">
      <c r="A12" t="s">
        <v>429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ColWidth="8.375" defaultRowHeight="15"/>
  <sheetData>
    <row r="1">
      <c r="A1" t="s">
        <v>430</v>
      </c>
    </row>
    <row r="2">
      <c r="A2" t="s">
        <v>431</v>
      </c>
      <c r="B2" t="str">
        <f>IF(COUNTIF(G5:G7,"FAIL")=0,"OK — ALL TIE-OUTS PASS (revenue-only scope)","FAIL")</f>
        <v>OK — ALL TIE-OUTS PASS (revenue-only scope)</v>
      </c>
    </row>
    <row r="4">
      <c r="A4" t="s">
        <v>277</v>
      </c>
      <c r="B4" t="s">
        <v>413</v>
      </c>
      <c r="C4" t="s">
        <v>415</v>
      </c>
      <c r="D4" t="s">
        <v>418</v>
      </c>
      <c r="E4" t="s">
        <v>421</v>
      </c>
      <c r="F4" t="s">
        <v>423</v>
      </c>
      <c r="G4" t="s">
        <v>234</v>
      </c>
    </row>
    <row r="5">
      <c r="A5" t="s">
        <v>432</v>
      </c>
      <c r="B5" s="30">
        <f>Historical!B5-Sources!D5</f>
        <v>0</v>
      </c>
      <c r="C5" s="30">
        <f>Historical!C5-Sources!D25</f>
        <v>0</v>
      </c>
      <c r="D5" s="30">
        <f>Historical!D5-Sources!D26</f>
        <v>0</v>
      </c>
      <c r="E5" s="30">
        <f>Historical!E5-Sources!D6</f>
        <v>0</v>
      </c>
      <c r="F5" s="30">
        <f>Historical!F5-Sources!D7</f>
        <v>0</v>
      </c>
      <c r="G5" s="30" t="str">
        <f>IF(AND(ABS(N(B5))&lt;=0.5,ABS(N(C5))&lt;=0.5,ABS(N(D5))&lt;=0.5,ABS(N(E5))&lt;=0.5,ABS(N(F5))&lt;=0.5),"PASS","FAIL")</f>
        <v>PASS</v>
      </c>
    </row>
    <row r="6">
      <c r="A6" t="s">
        <v>433</v>
      </c>
      <c r="B6">
        <f>COUNT(Historical!B6:F11)+COUNT(Historical!B13:F16)</f>
        <v>0</v>
      </c>
      <c r="G6" t="str">
        <f>IF(N(B6)=0,"PASS","FAIL")</f>
        <v>PASS</v>
      </c>
    </row>
    <row r="7">
      <c r="A7" t="s">
        <v>434</v>
      </c>
      <c r="B7">
        <f>COUNT(Sources!D5:D7)+COUNT(Sources!D25:D26)</f>
        <v>5</v>
      </c>
      <c r="G7" t="str">
        <f>IF(B7=5,"PASS","FAIL")</f>
        <v>PASS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ColWidth="8.375" defaultRowHeight="15"/>
  <sheetData>
    <row r="1">
      <c r="A1" t="s">
        <v>435</v>
      </c>
    </row>
    <row r="3">
      <c r="A3" t="s">
        <v>436</v>
      </c>
      <c r="B3" t="s">
        <v>437</v>
      </c>
      <c r="C3" t="s">
        <v>438</v>
      </c>
      <c r="D3" t="s">
        <v>234</v>
      </c>
    </row>
    <row r="4">
      <c r="A4" t="s">
        <v>439</v>
      </c>
      <c r="B4" t="s">
        <v>440</v>
      </c>
      <c r="C4" t="s">
        <v>441</v>
      </c>
      <c r="D4" t="s">
        <v>442</v>
      </c>
    </row>
    <row r="5">
      <c r="A5" t="s">
        <v>443</v>
      </c>
      <c r="B5" t="s">
        <v>440</v>
      </c>
      <c r="C5" t="s">
        <v>444</v>
      </c>
      <c r="D5" t="s">
        <v>445</v>
      </c>
    </row>
    <row r="6">
      <c r="A6" t="s">
        <v>446</v>
      </c>
      <c r="B6" t="s">
        <v>440</v>
      </c>
      <c r="C6" t="s">
        <v>447</v>
      </c>
      <c r="D6" t="s">
        <v>442</v>
      </c>
    </row>
    <row r="7">
      <c r="A7" t="s">
        <v>448</v>
      </c>
      <c r="B7" t="s">
        <v>440</v>
      </c>
      <c r="C7" t="s">
        <v>449</v>
      </c>
      <c r="D7" t="s">
        <v>442</v>
      </c>
    </row>
    <row r="8">
      <c r="A8" t="s">
        <v>450</v>
      </c>
      <c r="B8" t="s">
        <v>440</v>
      </c>
      <c r="C8" t="s">
        <v>451</v>
      </c>
      <c r="D8" t="s">
        <v>442</v>
      </c>
    </row>
    <row r="9">
      <c r="A9" t="s">
        <v>452</v>
      </c>
      <c r="B9" t="s">
        <v>453</v>
      </c>
      <c r="C9" t="s">
        <v>454</v>
      </c>
      <c r="D9" t="s">
        <v>455</v>
      </c>
    </row>
    <row r="10">
      <c r="A10" t="s">
        <v>456</v>
      </c>
      <c r="B10" t="s">
        <v>453</v>
      </c>
      <c r="C10" t="s">
        <v>457</v>
      </c>
      <c r="D10" t="s">
        <v>458</v>
      </c>
    </row>
    <row r="11">
      <c r="A11" t="s">
        <v>459</v>
      </c>
      <c r="B11" t="s">
        <v>460</v>
      </c>
      <c r="C11" t="s">
        <v>461</v>
      </c>
      <c r="D11" t="s">
        <v>442</v>
      </c>
    </row>
    <row r="13">
      <c r="A13" t="s">
        <v>462</v>
      </c>
      <c r="B13" t="s">
        <v>463</v>
      </c>
      <c r="C13" t="s">
        <v>464</v>
      </c>
      <c r="D13" t="s">
        <v>465</v>
      </c>
    </row>
    <row r="14">
      <c r="A14" t="s">
        <v>466</v>
      </c>
      <c r="B14" t="s">
        <v>467</v>
      </c>
    </row>
    <row r="15">
      <c r="A15" t="s">
        <v>468</v>
      </c>
      <c r="B15" t="s">
        <v>469</v>
      </c>
    </row>
    <row r="16">
      <c r="A16" t="s">
        <v>470</v>
      </c>
      <c r="B16" t="s">
        <v>471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3" t="s">
        <v>472</v>
      </c>
      <c r="B1" s="33" t="s">
        <v>331</v>
      </c>
      <c r="C1" s="33" t="s">
        <v>473</v>
      </c>
      <c r="D1" s="33" t="s">
        <v>474</v>
      </c>
      <c r="E1" s="33" t="s">
        <v>475</v>
      </c>
      <c r="F1" s="33" t="s">
        <v>476</v>
      </c>
    </row>
    <row r="2">
      <c r="A2" s="32">
        <v>1</v>
      </c>
      <c r="B2" s="34">
        <v>46324.35932474537</v>
      </c>
      <c r="C2" s="32" t="s">
        <v>477</v>
      </c>
      <c r="D2" s="32" t="s">
        <v>478</v>
      </c>
      <c r="E2" s="32" t="s">
        <v>479</v>
      </c>
      <c r="F2" s="32" t="s">
        <v>480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