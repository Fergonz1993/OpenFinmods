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Gate_9of10" sheetId="11" r:id="rId13"/>
    <sheet name="Claude Code Log" sheetId="12" r:id="rId15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tc={515CA6FC-65DF-97A6-C43D-6D984FEE1919}</author>
    <author>tc={6403D2E4-FC02-44C1-4BAD-91C9213B4130}</author>
    <author>tc={AD89A588-EFFF-5E22-E316-B9C91B612B8E}</author>
    <author>tc={1E4ABEB1-07F9-7EC7-DB10-F96B4FF35236}</author>
    <author>tc={6F0DF8A5-51A8-6D77-0A52-5FEF9F7C9585}</author>
    <author>tc={4CC631E2-6ABC-C133-6D40-E316AE6A3237}</author>
    <author>tc={E08C145F-4801-B44D-9DDE-6C79B8D256A7}</author>
    <author>tc={2FBB17AD-2B40-DB39-8EAF-6A87378BB286}</author>
    <author>tc={A26CC46F-1C1C-3C66-4E2B-61B7CD3199F9}</author>
    <author>tc={6E6BEE84-8F38-DDD5-2AF2-5846A6B2AC62}</author>
    <author>tc={F7769BC2-0089-575E-8ADE-7E4C601C6D45}</author>
    <author>tc={A7B767D3-BDF3-C60F-8782-F71C2235F4C5}</author>
    <author>tc={EE2F7858-7B19-2214-C651-D9B9A089DCD7}</author>
    <author>tc={A50514BB-7376-CD48-5F01-1AF6A175D269}</author>
    <author>tc={1BB4B879-58A8-39D3-B305-E76B68A4BB38}</author>
    <author>tc={419EE81A-BCEC-C88D-D4F4-873EB03739FF}</author>
    <author>tc={1AFF9F91-1AE3-E51F-A68F-6ACB87909786}</author>
    <author>tc={479A3E48-0595-959C-343E-4B55AD65FCDF}</author>
    <author>tc={CA4F143B-BB93-8976-0664-D911AD934AAE}</author>
    <author>tc={3460C155-C96D-9C04-146F-9FD62FC10147}</author>
    <author>tc={237BFC10-7799-96B9-4EC7-9FD8004053BF}</author>
    <author>tc={B22F120A-875A-288E-7CBC-5442881C97B5}</author>
    <author>tc={2248911F-F93D-52A5-672D-4FC900D820DC}</author>
    <author>tc={82A212F4-9197-8D74-D4F6-D9031159D54A}</author>
    <author>tc={1E0C6E59-C349-6864-FDA9-346569D66856}</author>
    <author>tc={E66A1919-930C-8484-7329-1C3219981353}</author>
    <author>tc={41C4439A-4664-BA18-2815-56495921519F}</author>
    <author>tc={31FBE097-3FB9-1DF4-94B1-84077362E2F8}</author>
    <author>tc={3CB95907-9189-E7E0-BF5D-A95F1DCAACBD}</author>
    <author>tc={E99958B4-8C7E-1C66-A4D3-3F650D197208}</author>
    <author>tc={B1DFDBC6-5FF1-41B9-00F4-62C36142D124}</author>
    <author>tc={B212A666-C25C-D6AE-28C7-B197545E8D78}</author>
    <author>tc={6320C65E-BC26-382E-C59A-CC73CFE4F984}</author>
    <author>tc={376CEC80-7B26-BB17-51B0-3C4536421FEF}</author>
    <author>tc={25136168-20B5-1604-45E1-B4A0D8BFC9D0}</author>
    <author>tc={BDF8A092-07B5-547D-3957-7B4271AC9F0E}</author>
    <author>tc={55DF68E0-7789-9B00-7C2A-DFE80A34B180}</author>
    <author>tc={AB099689-8A7C-7D8B-F194-B6757E717479}</author>
    <author>tc={FE49EE6E-E779-D700-7184-840D331EA461}</author>
    <author>tc={A38A5DC3-6DD6-E8B6-FE44-146850B34D2B}</author>
    <author>tc={A8DF7EDE-664C-F74A-EBBE-3FAB09E295E7}</author>
    <author>tc={287A3003-6EB9-B561-B37F-2F1F93478B81}</author>
    <author>tc={034A0AEC-E83A-3A39-D0EC-8D20B8C5B609}</author>
    <author>tc={9F8FE711-7F45-8342-DA7E-BD1ADC06001B}</author>
    <author>tc={4AEF616F-D6EE-4F7E-AA47-ADA8274B3486}</author>
    <author>tc={F3DC34A8-D994-75D0-61FC-5E548628CC55}</author>
    <author>tc={F6891A4C-4A7D-0FBE-A03E-253BD730DC46}</author>
    <author>tc={94BE2346-E150-25EE-1F31-C4871BB85344}</author>
    <author>tc={50D52DAE-612E-7F09-83CE-7B48DFE0A8B1}</author>
    <author>tc={B2925F54-B31D-6A69-CCFE-F3D4BFD032F9}</author>
    <author>tc={785A0F90-E28B-F1A4-BED9-8067FBD0BDBF}</author>
    <author>tc={2B5D0CDD-5947-5A47-08BE-E36E27C68851}</author>
    <author>tc={38626047-D216-57B8-FAFB-2DA470844A04}</author>
  </authors>
  <commentList>
    <comment ref="B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Historical!B5.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4</xdr:row>
            <xdr:rowOff>2</xdr:rowOff>
          </from>
          <to>
            <xdr:col>3</xdr:col>
            <xdr:colOff>15</xdr:colOff>
            <xdr:row>8</xdr:row>
            <xdr:rowOff>2</xdr:rowOff>
          </to>
        </anchor>
      </commentPr>
    </comment>
    <comment ref="B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Historical!B6.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5</xdr:row>
            <xdr:rowOff>2</xdr:rowOff>
          </from>
          <to>
            <xdr:col>3</xdr:col>
            <xdr:colOff>15</xdr:colOff>
            <xdr:row>9</xdr:row>
            <xdr:rowOff>2</xdr:rowOff>
          </to>
        </anchor>
      </commentPr>
    </comment>
    <comment ref="B8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Historical!B8.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7</xdr:row>
            <xdr:rowOff>2</xdr:rowOff>
          </from>
          <to>
            <xdr:col>3</xdr:col>
            <xdr:colOff>15</xdr:colOff>
            <xdr:row>11</xdr:row>
            <xdr:rowOff>2</xdr:rowOff>
          </to>
        </anchor>
      </commentPr>
    </comment>
    <comment ref="B9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Historical!B9.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8</xdr:row>
            <xdr:rowOff>2</xdr:rowOff>
          </from>
          <to>
            <xdr:col>3</xdr:col>
            <xdr:colOff>15</xdr:colOff>
            <xdr:row>12</xdr:row>
            <xdr:rowOff>2</xdr:rowOff>
          </to>
        </anchor>
      </commentPr>
    </comment>
    <comment ref="B10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Historical!B10.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9</xdr:row>
            <xdr:rowOff>2</xdr:rowOff>
          </from>
          <to>
            <xdr:col>3</xdr:col>
            <xdr:colOff>15</xdr:colOff>
            <xdr:row>13</xdr:row>
            <xdr:rowOff>2</xdr:rowOff>
          </to>
        </anchor>
      </commentPr>
    </comment>
    <comment ref="B11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Historical!B11.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10</xdr:row>
            <xdr:rowOff>2</xdr:rowOff>
          </from>
          <to>
            <xdr:col>3</xdr:col>
            <xdr:colOff>15</xdr:colOff>
            <xdr:row>14</xdr:row>
            <xdr:rowOff>2</xdr:rowOff>
          </to>
        </anchor>
      </commentPr>
    </comment>
    <comment ref="B12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Historical!B12.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11</xdr:row>
            <xdr:rowOff>2</xdr:rowOff>
          </from>
          <to>
            <xdr:col>3</xdr:col>
            <xdr:colOff>15</xdr:colOff>
            <xdr:row>15</xdr:row>
            <xdr:rowOff>2</xdr:rowOff>
          </to>
        </anchor>
      </commentPr>
    </comment>
    <comment ref="B13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Historical!B13.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12</xdr:row>
            <xdr:rowOff>2</xdr:rowOff>
          </from>
          <to>
            <xdr:col>3</xdr:col>
            <xdr:colOff>15</xdr:colOff>
            <xdr:row>16</xdr:row>
            <xdr:rowOff>2</xdr:rowOff>
          </to>
        </anchor>
      </commentPr>
    </comment>
    <comment ref="B14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Historical!B14.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13</xdr:row>
            <xdr:rowOff>2</xdr:rowOff>
          </from>
          <to>
            <xdr:col>3</xdr:col>
            <xdr:colOff>15</xdr:colOff>
            <xdr:row>17</xdr:row>
            <xdr:rowOff>2</xdr:rowOff>
          </to>
        </anchor>
      </commentPr>
    </comment>
    <comment ref="B15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Historical!B15. SEC Company Facts / 10-K; exact accession, tag, filed date, scale and sign are stated there.</t>
        </r>
      </text>
      <commentPr locked="0" textHAlign="justify" textVAlign="top">
        <anchor>
          <from>
            <xdr:col>1</xdr:col>
            <xdr:colOff>15</xdr:colOff>
            <xdr:row>14</xdr:row>
            <xdr:rowOff>2</xdr:rowOff>
          </from>
          <to>
            <xdr:col>3</xdr:col>
            <xdr:colOff>15</xdr:colOff>
            <xdr:row>18</xdr:row>
            <xdr:rowOff>2</xdr:rowOff>
          </to>
        </anchor>
      </commentPr>
    </comment>
    <comment ref="C5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Historical!C5.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4</xdr:row>
            <xdr:rowOff>2</xdr:rowOff>
          </from>
          <to>
            <xdr:col>4</xdr:col>
            <xdr:colOff>15</xdr:colOff>
            <xdr:row>8</xdr:row>
            <xdr:rowOff>2</xdr:rowOff>
          </to>
        </anchor>
      </commentPr>
    </comment>
    <comment ref="C6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Historical!C6.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5</xdr:row>
            <xdr:rowOff>2</xdr:rowOff>
          </from>
          <to>
            <xdr:col>4</xdr:col>
            <xdr:colOff>15</xdr:colOff>
            <xdr:row>9</xdr:row>
            <xdr:rowOff>2</xdr:rowOff>
          </to>
        </anchor>
      </commentPr>
    </comment>
    <comment ref="C8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Historical!C8.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Historical!C9.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Historical!C10.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1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Historical!C11.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Historical!C12.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C13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Historical!C13.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Historical!C14.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Historical!C15. SEC Company Facts / 10-K; exact accession, tag, filed date, scale and sign are stated there.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D5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Historical!D5.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4</xdr:row>
            <xdr:rowOff>2</xdr:rowOff>
          </from>
          <to>
            <xdr:col>5</xdr:col>
            <xdr:colOff>15</xdr:colOff>
            <xdr:row>8</xdr:row>
            <xdr:rowOff>2</xdr:rowOff>
          </to>
        </anchor>
      </commentPr>
    </comment>
    <comment ref="D6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Historical!D6.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5</xdr:row>
            <xdr:rowOff>2</xdr:rowOff>
          </from>
          <to>
            <xdr:col>5</xdr:col>
            <xdr:colOff>15</xdr:colOff>
            <xdr:row>9</xdr:row>
            <xdr:rowOff>2</xdr:rowOff>
          </to>
        </anchor>
      </commentPr>
    </comment>
    <comment ref="D7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Historical!D7.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Historical!D8.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Historical!D9.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Historical!D10.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1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Historical!D11.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10</xdr:row>
            <xdr:rowOff>2</xdr:rowOff>
          </from>
          <to>
            <xdr:col>5</xdr:col>
            <xdr:colOff>15</xdr:colOff>
            <xdr:row>14</xdr:row>
            <xdr:rowOff>2</xdr:rowOff>
          </to>
        </anchor>
      </commentPr>
    </comment>
    <comment ref="D12" authorId="2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Historical!D12.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  <comment ref="D13" authorId="2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Historical!D13.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12</xdr:row>
            <xdr:rowOff>2</xdr:rowOff>
          </from>
          <to>
            <xdr:col>5</xdr:col>
            <xdr:colOff>15</xdr:colOff>
            <xdr:row>16</xdr:row>
            <xdr:rowOff>2</xdr:rowOff>
          </to>
        </anchor>
      </commentPr>
    </comment>
    <comment ref="D14" authorId="2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Historical!D14.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13</xdr:row>
            <xdr:rowOff>2</xdr:rowOff>
          </from>
          <to>
            <xdr:col>5</xdr:col>
            <xdr:colOff>15</xdr:colOff>
            <xdr:row>17</xdr:row>
            <xdr:rowOff>2</xdr:rowOff>
          </to>
        </anchor>
      </commentPr>
    </comment>
    <comment ref="D15" authorId="3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Historical!D15. SEC Company Facts / 10-K; exact accession, tag, filed date, scale and sign are stated there.</t>
        </r>
      </text>
      <commentPr locked="0" textHAlign="justify" textVAlign="top">
        <anchor>
          <from>
            <xdr:col>3</xdr:col>
            <xdr:colOff>15</xdr:colOff>
            <xdr:row>14</xdr:row>
            <xdr:rowOff>2</xdr:rowOff>
          </from>
          <to>
            <xdr:col>5</xdr:col>
            <xdr:colOff>15</xdr:colOff>
            <xdr:row>18</xdr:row>
            <xdr:rowOff>2</xdr:rowOff>
          </to>
        </anchor>
      </commentPr>
    </comment>
    <comment ref="E5" authorId="3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Historical!E5.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4</xdr:row>
            <xdr:rowOff>2</xdr:rowOff>
          </from>
          <to>
            <xdr:col>6</xdr:col>
            <xdr:colOff>15</xdr:colOff>
            <xdr:row>8</xdr:row>
            <xdr:rowOff>2</xdr:rowOff>
          </to>
        </anchor>
      </commentPr>
    </comment>
    <comment ref="E6" authorId="3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Historical!E6.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5</xdr:row>
            <xdr:rowOff>2</xdr:rowOff>
          </from>
          <to>
            <xdr:col>6</xdr:col>
            <xdr:colOff>15</xdr:colOff>
            <xdr:row>9</xdr:row>
            <xdr:rowOff>2</xdr:rowOff>
          </to>
        </anchor>
      </commentPr>
    </comment>
    <comment ref="E7" authorId="3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Historical!E7.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6</xdr:row>
            <xdr:rowOff>2</xdr:rowOff>
          </from>
          <to>
            <xdr:col>6</xdr:col>
            <xdr:colOff>15</xdr:colOff>
            <xdr:row>10</xdr:row>
            <xdr:rowOff>2</xdr:rowOff>
          </to>
        </anchor>
      </commentPr>
    </comment>
    <comment ref="E8" authorId="3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Historical!E8.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7</xdr:row>
            <xdr:rowOff>2</xdr:rowOff>
          </from>
          <to>
            <xdr:col>6</xdr:col>
            <xdr:colOff>15</xdr:colOff>
            <xdr:row>11</xdr:row>
            <xdr:rowOff>2</xdr:rowOff>
          </to>
        </anchor>
      </commentPr>
    </comment>
    <comment ref="E9" authorId="3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Historical!E9.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8</xdr:row>
            <xdr:rowOff>2</xdr:rowOff>
          </from>
          <to>
            <xdr:col>6</xdr:col>
            <xdr:colOff>15</xdr:colOff>
            <xdr:row>12</xdr:row>
            <xdr:rowOff>2</xdr:rowOff>
          </to>
        </anchor>
      </commentPr>
    </comment>
    <comment ref="E10" authorId="3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Historical!E10.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9</xdr:row>
            <xdr:rowOff>2</xdr:rowOff>
          </from>
          <to>
            <xdr:col>6</xdr:col>
            <xdr:colOff>15</xdr:colOff>
            <xdr:row>13</xdr:row>
            <xdr:rowOff>2</xdr:rowOff>
          </to>
        </anchor>
      </commentPr>
    </comment>
    <comment ref="E11" authorId="3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Historical!E11.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10</xdr:row>
            <xdr:rowOff>2</xdr:rowOff>
          </from>
          <to>
            <xdr:col>6</xdr:col>
            <xdr:colOff>15</xdr:colOff>
            <xdr:row>14</xdr:row>
            <xdr:rowOff>2</xdr:rowOff>
          </to>
        </anchor>
      </commentPr>
    </comment>
    <comment ref="E12" authorId="3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Historical!E12.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11</xdr:row>
            <xdr:rowOff>2</xdr:rowOff>
          </from>
          <to>
            <xdr:col>6</xdr:col>
            <xdr:colOff>15</xdr:colOff>
            <xdr:row>15</xdr:row>
            <xdr:rowOff>2</xdr:rowOff>
          </to>
        </anchor>
      </commentPr>
    </comment>
    <comment ref="E13" authorId="3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Historical!E13.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12</xdr:row>
            <xdr:rowOff>2</xdr:rowOff>
          </from>
          <to>
            <xdr:col>6</xdr:col>
            <xdr:colOff>15</xdr:colOff>
            <xdr:row>16</xdr:row>
            <xdr:rowOff>2</xdr:rowOff>
          </to>
        </anchor>
      </commentPr>
    </comment>
    <comment ref="E14" authorId="4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Historical!E14.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13</xdr:row>
            <xdr:rowOff>2</xdr:rowOff>
          </from>
          <to>
            <xdr:col>6</xdr:col>
            <xdr:colOff>15</xdr:colOff>
            <xdr:row>17</xdr:row>
            <xdr:rowOff>2</xdr:rowOff>
          </to>
        </anchor>
      </commentPr>
    </comment>
    <comment ref="E15" authorId="4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Historical!E15. SEC Company Facts / 10-K; exact accession, tag, filed date, scale and sign are stated there.</t>
        </r>
      </text>
      <commentPr locked="0" textHAlign="justify" textVAlign="top">
        <anchor>
          <from>
            <xdr:col>4</xdr:col>
            <xdr:colOff>15</xdr:colOff>
            <xdr:row>14</xdr:row>
            <xdr:rowOff>2</xdr:rowOff>
          </from>
          <to>
            <xdr:col>6</xdr:col>
            <xdr:colOff>15</xdr:colOff>
            <xdr:row>18</xdr:row>
            <xdr:rowOff>2</xdr:rowOff>
          </to>
        </anchor>
      </commentPr>
    </comment>
    <comment ref="F5" authorId="4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Historical!F5.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4</xdr:row>
            <xdr:rowOff>2</xdr:rowOff>
          </from>
          <to>
            <xdr:col>7</xdr:col>
            <xdr:colOff>15</xdr:colOff>
            <xdr:row>8</xdr:row>
            <xdr:rowOff>2</xdr:rowOff>
          </to>
        </anchor>
      </commentPr>
    </comment>
    <comment ref="F6" authorId="4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Historical!F6.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5</xdr:row>
            <xdr:rowOff>2</xdr:rowOff>
          </from>
          <to>
            <xdr:col>7</xdr:col>
            <xdr:colOff>15</xdr:colOff>
            <xdr:row>9</xdr:row>
            <xdr:rowOff>2</xdr:rowOff>
          </to>
        </anchor>
      </commentPr>
    </comment>
    <comment ref="F7" authorId="4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Historical!F7.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6</xdr:row>
            <xdr:rowOff>2</xdr:rowOff>
          </from>
          <to>
            <xdr:col>7</xdr:col>
            <xdr:colOff>15</xdr:colOff>
            <xdr:row>10</xdr:row>
            <xdr:rowOff>2</xdr:rowOff>
          </to>
        </anchor>
      </commentPr>
    </comment>
    <comment ref="F8" authorId="4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Historical!F8.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7</xdr:row>
            <xdr:rowOff>2</xdr:rowOff>
          </from>
          <to>
            <xdr:col>7</xdr:col>
            <xdr:colOff>15</xdr:colOff>
            <xdr:row>11</xdr:row>
            <xdr:rowOff>2</xdr:rowOff>
          </to>
        </anchor>
      </commentPr>
    </comment>
    <comment ref="F9" authorId="4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Historical!F9.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8</xdr:row>
            <xdr:rowOff>2</xdr:rowOff>
          </from>
          <to>
            <xdr:col>7</xdr:col>
            <xdr:colOff>15</xdr:colOff>
            <xdr:row>12</xdr:row>
            <xdr:rowOff>2</xdr:rowOff>
          </to>
        </anchor>
      </commentPr>
    </comment>
    <comment ref="F10" authorId="4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Historical!F10.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9</xdr:row>
            <xdr:rowOff>2</xdr:rowOff>
          </from>
          <to>
            <xdr:col>7</xdr:col>
            <xdr:colOff>15</xdr:colOff>
            <xdr:row>13</xdr:row>
            <xdr:rowOff>2</xdr:rowOff>
          </to>
        </anchor>
      </commentPr>
    </comment>
    <comment ref="F11" authorId="4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Historical!F11.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10</xdr:row>
            <xdr:rowOff>2</xdr:rowOff>
          </from>
          <to>
            <xdr:col>7</xdr:col>
            <xdr:colOff>15</xdr:colOff>
            <xdr:row>14</xdr:row>
            <xdr:rowOff>2</xdr:rowOff>
          </to>
        </anchor>
      </commentPr>
    </comment>
    <comment ref="F12" authorId="4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Historical!F12.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11</xdr:row>
            <xdr:rowOff>2</xdr:rowOff>
          </from>
          <to>
            <xdr:col>7</xdr:col>
            <xdr:colOff>15</xdr:colOff>
            <xdr:row>15</xdr:row>
            <xdr:rowOff>2</xdr:rowOff>
          </to>
        </anchor>
      </commentPr>
    </comment>
    <comment ref="F13" authorId="5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Historical!F13.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12</xdr:row>
            <xdr:rowOff>2</xdr:rowOff>
          </from>
          <to>
            <xdr:col>7</xdr:col>
            <xdr:colOff>15</xdr:colOff>
            <xdr:row>16</xdr:row>
            <xdr:rowOff>2</xdr:rowOff>
          </to>
        </anchor>
      </commentPr>
    </comment>
    <comment ref="F14" authorId="5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Historical!F14.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13</xdr:row>
            <xdr:rowOff>2</xdr:rowOff>
          </from>
          <to>
            <xdr:col>7</xdr:col>
            <xdr:colOff>15</xdr:colOff>
            <xdr:row>17</xdr:row>
            <xdr:rowOff>2</xdr:rowOff>
          </to>
        </anchor>
      </commentPr>
    </comment>
    <comment ref="F15" authorId="5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 lineage is recorded on Sources for Historical!F15. SEC Company Facts / 10-K; exact accession, tag, filed date, scale and sign are stated there.</t>
        </r>
      </text>
      <commentPr locked="0" textHAlign="justify" textVAlign="top">
        <anchor>
          <from>
            <xdr:col>5</xdr:col>
            <xdr:colOff>15</xdr:colOff>
            <xdr:row>14</xdr:row>
            <xdr:rowOff>2</xdr:rowOff>
          </from>
          <to>
            <xdr:col>7</xdr:col>
            <xdr:colOff>15</xdr:colOff>
            <xdr:row>18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<sst xmlns="http://schemas.openxmlformats.org/spreadsheetml/2006/main" count="1983" uniqueCount="471">
  <si>
    <t>NIKE, Inc. (NKE) — 9/10 Re-gated Institutional Model</t>
  </si>
  <si>
    <t>Owner-prepared submission; independent reviewer reproduction is required before certification</t>
  </si>
  <si>
    <t>Model snapshot</t>
  </si>
  <si>
    <t>Legal entity</t>
  </si>
  <si>
    <t>NIKE, Inc.</t>
  </si>
  <si>
    <t>Ticker</t>
  </si>
  <si>
    <t>NKE</t>
  </si>
  <si>
    <t>Latest filing</t>
  </si>
  <si>
    <t>2026-05-31 10-K filed 2026-07-15</t>
  </si>
  <si>
    <t>SEC accession</t>
  </si>
  <si>
    <t>0000320187-26-000088</t>
  </si>
  <si>
    <t>Market price</t>
  </si>
  <si>
    <t>Market as-of</t>
  </si>
  <si>
    <t>2026-07-15</t>
  </si>
  <si>
    <t>Active scenario</t>
  </si>
  <si>
    <t>DCF value / share</t>
  </si>
  <si>
    <t>Upside / (downside)</t>
  </si>
  <si>
    <t>Gate decision</t>
  </si>
  <si>
    <t>What changed in the 9/10 re-gate</t>
  </si>
  <si>
    <t>1</t>
  </si>
  <si>
    <t>Replaced generic Sources sheet with target-cell provenance ledger</t>
  </si>
  <si>
    <t>2</t>
  </si>
  <si>
    <t>Replaced generic assumptions with company-specific operating drivers</t>
  </si>
  <si>
    <t>3</t>
  </si>
  <si>
    <t>Scenario selector now changes multiple operating outputs and the DCF</t>
  </si>
  <si>
    <t>4</t>
  </si>
  <si>
    <t>Debt, liquid assets and share-count valuation bridges are explicit</t>
  </si>
  <si>
    <t>5</t>
  </si>
  <si>
    <t>Checks are formula-driven; Gate_9of10 states owner evidence and review status</t>
  </si>
  <si>
    <t>6</t>
  </si>
  <si>
    <t>All original workbook files remain preserved; this is a new derivative output</t>
  </si>
  <si>
    <t>NIKE, Inc. — Source Provenance Ledger</t>
  </si>
  <si>
    <t>Every populated hardcoded historical or driver input is mapped to a target cell with period, value, unit, taxonomy/locator, accession and exact URL.</t>
  </si>
  <si>
    <t>Source ID</t>
  </si>
  <si>
    <t>Legal Entity</t>
  </si>
  <si>
    <t>Target Cell</t>
  </si>
  <si>
    <t>Metric</t>
  </si>
  <si>
    <t>Period / As-of</t>
  </si>
  <si>
    <t>Reported Value</t>
  </si>
  <si>
    <t>Units</t>
  </si>
  <si>
    <t>Currency</t>
  </si>
  <si>
    <t>Taxonomy / Locator</t>
  </si>
  <si>
    <t>Start</t>
  </si>
  <si>
    <t>End</t>
  </si>
  <si>
    <t>FY / FP</t>
  </si>
  <si>
    <t>Form</t>
  </si>
  <si>
    <t>Filed</t>
  </si>
  <si>
    <t>Accession</t>
  </si>
  <si>
    <t>Exact URL</t>
  </si>
  <si>
    <t>Retrieved</t>
  </si>
  <si>
    <t>Source Class</t>
  </si>
  <si>
    <t>Transform / Mapping</t>
  </si>
  <si>
    <t>Verification</t>
  </si>
  <si>
    <t>Limitation / Disposition</t>
  </si>
  <si>
    <t>Complete?</t>
  </si>
  <si>
    <t>Historical!B5</t>
  </si>
  <si>
    <t>Revenue</t>
  </si>
  <si>
    <t>2022A</t>
  </si>
  <si>
    <t>USD millions</t>
  </si>
  <si>
    <t>USD</t>
  </si>
  <si>
    <t>us-gaap:RevenueFromContractWithCustomerExcludingAssessedTax</t>
  </si>
  <si>
    <t>2021-06-01</t>
  </si>
  <si>
    <t>2022-05-31</t>
  </si>
  <si>
    <t>2024/FY</t>
  </si>
  <si>
    <t>10-K</t>
  </si>
  <si>
    <t>2024-07-25</t>
  </si>
  <si>
    <t>0000320187-24-000044</t>
  </si>
  <si>
    <t>https://www.sec.gov/Archives/edgar/data/320187/000032018724000044/0000320187-24-000044-index.htm</t>
  </si>
  <si>
    <t>2026-07-16</t>
  </si>
  <si>
    <t>Primary - SEC filing / Company Facts</t>
  </si>
  <si>
    <t>USD divided by 1,000,000; sign as presented</t>
  </si>
  <si>
    <t>Matched legal entity, period, form, filed date, accession and target</t>
  </si>
  <si>
    <t>None identified</t>
  </si>
  <si>
    <t>Historical!C5</t>
  </si>
  <si>
    <t>2023A</t>
  </si>
  <si>
    <t>2022-06-01</t>
  </si>
  <si>
    <t>2023-05-31</t>
  </si>
  <si>
    <t>2025/FY</t>
  </si>
  <si>
    <t>2025-07-17</t>
  </si>
  <si>
    <t>0000320187-25-000047</t>
  </si>
  <si>
    <t>https://www.sec.gov/Archives/edgar/data/320187/000032018725000047/0000320187-25-000047-index.htm</t>
  </si>
  <si>
    <t>Historical!D5</t>
  </si>
  <si>
    <t>2024A</t>
  </si>
  <si>
    <t>2023-06-01</t>
  </si>
  <si>
    <t>2024-05-31</t>
  </si>
  <si>
    <t>2026/FY</t>
  </si>
  <si>
    <t>https://www.sec.gov/Archives/edgar/data/320187/000032018726000088/0000320187-26-000088-index.htm</t>
  </si>
  <si>
    <t>Historical!E5</t>
  </si>
  <si>
    <t>2025A</t>
  </si>
  <si>
    <t>2024-06-01</t>
  </si>
  <si>
    <t>2025-05-31</t>
  </si>
  <si>
    <t>Historical!F5</t>
  </si>
  <si>
    <t>2026A</t>
  </si>
  <si>
    <t>2025-06-01</t>
  </si>
  <si>
    <t>2026-05-31</t>
  </si>
  <si>
    <t>Historical!B6</t>
  </si>
  <si>
    <t>Gross profit</t>
  </si>
  <si>
    <t>us-gaap:GrossProfit</t>
  </si>
  <si>
    <t>Historical!C6</t>
  </si>
  <si>
    <t>Historical!D6</t>
  </si>
  <si>
    <t>Historical!E6</t>
  </si>
  <si>
    <t>Historical!F6</t>
  </si>
  <si>
    <t>Historical!D7</t>
  </si>
  <si>
    <t>Operating income / EBIT</t>
  </si>
  <si>
    <t>10-K table:Earnings before interest and taxes</t>
  </si>
  <si>
    <t>Annual period</t>
  </si>
  <si>
    <t>FY</t>
  </si>
  <si>
    <t>https://www.sec.gov/Archives/edgar/data/320187/000032018726000088/nke-20260531.htm</t>
  </si>
  <si>
    <t>Reported USD millions; sign as presented</t>
  </si>
  <si>
    <t>Company-defined non-GAAP EBIT table; used only for operating trend</t>
  </si>
  <si>
    <t>Historical!E7</t>
  </si>
  <si>
    <t>Historical!F7</t>
  </si>
  <si>
    <t>Historical!B8</t>
  </si>
  <si>
    <t>Net income</t>
  </si>
  <si>
    <t>us-gaap:NetIncomeLoss</t>
  </si>
  <si>
    <t>Historical!C8</t>
  </si>
  <si>
    <t>Historical!D8</t>
  </si>
  <si>
    <t>Historical!E8</t>
  </si>
  <si>
    <t>Historical!F8</t>
  </si>
  <si>
    <t>Historical!B9</t>
  </si>
  <si>
    <t>Cash from operations</t>
  </si>
  <si>
    <t>us-gaap:NetCashProvidedByUsedInOperatingActivities</t>
  </si>
  <si>
    <t>Historical!C9</t>
  </si>
  <si>
    <t>Historical!D9</t>
  </si>
  <si>
    <t>Historical!E9</t>
  </si>
  <si>
    <t>Historical!F9</t>
  </si>
  <si>
    <t>Historical!B10</t>
  </si>
  <si>
    <t>Capital expenditures</t>
  </si>
  <si>
    <t>us-gaap:PaymentsToAcquirePropertyPlantAndEquipment</t>
  </si>
  <si>
    <t>Historical!C10</t>
  </si>
  <si>
    <t>Historical!D10</t>
  </si>
  <si>
    <t>Historical!E10</t>
  </si>
  <si>
    <t>Historical!F10</t>
  </si>
  <si>
    <t>Historical!B11</t>
  </si>
  <si>
    <t>Total assets</t>
  </si>
  <si>
    <t>us-gaap:Assets</t>
  </si>
  <si>
    <t>N/A - instant</t>
  </si>
  <si>
    <t>2023/FY</t>
  </si>
  <si>
    <t>2023-07-20</t>
  </si>
  <si>
    <t>0000320187-23-000039</t>
  </si>
  <si>
    <t>https://www.sec.gov/Archives/edgar/data/320187/000032018723000039/0000320187-23-000039-index.htm</t>
  </si>
  <si>
    <t>Historical!C11</t>
  </si>
  <si>
    <t>Historical!D11</t>
  </si>
  <si>
    <t>Historical!E11</t>
  </si>
  <si>
    <t>Historical!F11</t>
  </si>
  <si>
    <t>Historical!B12</t>
  </si>
  <si>
    <t>Shareholders' equity</t>
  </si>
  <si>
    <t>us-gaap:StockholdersEquity</t>
  </si>
  <si>
    <t>Historical!C12</t>
  </si>
  <si>
    <t>Historical!D12</t>
  </si>
  <si>
    <t>Historical!E12</t>
  </si>
  <si>
    <t>Historical!F12</t>
  </si>
  <si>
    <t>Historical!B13</t>
  </si>
  <si>
    <t>Cash and equivalents</t>
  </si>
  <si>
    <t>us-gaap:CashAndCashEquivalentsAtCarryingValue</t>
  </si>
  <si>
    <t>Historical!C13</t>
  </si>
  <si>
    <t>Historical!D13</t>
  </si>
  <si>
    <t>Historical!E13</t>
  </si>
  <si>
    <t>Historical!F13</t>
  </si>
  <si>
    <t>Historical!B14</t>
  </si>
  <si>
    <t>Total debt</t>
  </si>
  <si>
    <t>us-gaap:LongTermDebt</t>
  </si>
  <si>
    <t>Historical!C14</t>
  </si>
  <si>
    <t>Historical!D14</t>
  </si>
  <si>
    <t>Historical!E14</t>
  </si>
  <si>
    <t>Historical!F14</t>
  </si>
  <si>
    <t>Historical!B15</t>
  </si>
  <si>
    <t>Diluted weighted-average shares</t>
  </si>
  <si>
    <t>million shares</t>
  </si>
  <si>
    <t>N/A</t>
  </si>
  <si>
    <t>us-gaap:WeightedAverageNumberOfDilutedSharesOutstanding</t>
  </si>
  <si>
    <t>Shares divided by 1,000,000; sign as presented</t>
  </si>
  <si>
    <t>Historical!C15</t>
  </si>
  <si>
    <t>Historical!D15</t>
  </si>
  <si>
    <t>Historical!E15</t>
  </si>
  <si>
    <t>Historical!F15</t>
  </si>
  <si>
    <t>Historical!B20</t>
  </si>
  <si>
    <t>Share count used in DCF</t>
  </si>
  <si>
    <t>FY2026 diluted weighted-average</t>
  </si>
  <si>
    <t>Shares divided by 1,000,000; used as per-share denominator</t>
  </si>
  <si>
    <t>FY2026 diluted weighted-average shares used because current two-class cover shares were not available in Company Facts</t>
  </si>
  <si>
    <t>Sector_KPIs!B5</t>
  </si>
  <si>
    <t>Footwear revenue</t>
  </si>
  <si>
    <t>10-K table:2026 Form 10-K product table</t>
  </si>
  <si>
    <t>Reported table value transcribed exactly; sign as presented</t>
  </si>
  <si>
    <t>Sector_KPIs!C5</t>
  </si>
  <si>
    <t>Sector_KPIs!D5</t>
  </si>
  <si>
    <t>Sector_KPIs!B6</t>
  </si>
  <si>
    <t>Apparel revenue</t>
  </si>
  <si>
    <t>Sector_KPIs!C6</t>
  </si>
  <si>
    <t>Sector_KPIs!D6</t>
  </si>
  <si>
    <t>Sector_KPIs!B7</t>
  </si>
  <si>
    <t>Equipment revenue</t>
  </si>
  <si>
    <t>Sector_KPIs!C7</t>
  </si>
  <si>
    <t>Sector_KPIs!D7</t>
  </si>
  <si>
    <t>Sector_KPIs!B8</t>
  </si>
  <si>
    <t>Other revenue</t>
  </si>
  <si>
    <t>Sector_KPIs!C8</t>
  </si>
  <si>
    <t>Sector_KPIs!D8</t>
  </si>
  <si>
    <t>Sector_KPIs!B10</t>
  </si>
  <si>
    <t>Wholesale revenue</t>
  </si>
  <si>
    <t>10-K table:2026 Form 10-K channel table</t>
  </si>
  <si>
    <t>Sector_KPIs!C10</t>
  </si>
  <si>
    <t>Sector_KPIs!D10</t>
  </si>
  <si>
    <t>Sector_KPIs!B11</t>
  </si>
  <si>
    <t>Direct-to-consumer revenue</t>
  </si>
  <si>
    <t>Sector_KPIs!C11</t>
  </si>
  <si>
    <t>Sector_KPIs!D11</t>
  </si>
  <si>
    <t>Sector_KPIs!B12</t>
  </si>
  <si>
    <t>Sector_KPIs!C12</t>
  </si>
  <si>
    <t>Sector_KPIs!D12</t>
  </si>
  <si>
    <t>Sector_KPIs!B14</t>
  </si>
  <si>
    <t>EBIT</t>
  </si>
  <si>
    <t>10-K table:2026 Form 10-K company-defined EBIT table</t>
  </si>
  <si>
    <t>Company-defined non-GAAP operating trend metric</t>
  </si>
  <si>
    <t>Sector_KPIs!C14</t>
  </si>
  <si>
    <t>Sector_KPIs!D14</t>
  </si>
  <si>
    <t>Sector_KPIs!B15</t>
  </si>
  <si>
    <t>EBIT margin</t>
  </si>
  <si>
    <t>percentage</t>
  </si>
  <si>
    <t>Sector_KPIs!C15</t>
  </si>
  <si>
    <t>Sector_KPIs!D15</t>
  </si>
  <si>
    <t>Valuation!G19</t>
  </si>
  <si>
    <t>Market close</t>
  </si>
  <si>
    <t>USD per share</t>
  </si>
  <si>
    <t>Secondary market:Historical daily close</t>
  </si>
  <si>
    <t>Market data</t>
  </si>
  <si>
    <t>N/A - market data</t>
  </si>
  <si>
    <t>https://id.investing.com/equities/nike-historical-data</t>
  </si>
  <si>
    <t>Secondary - dated market close</t>
  </si>
  <si>
    <t>Closing price as displayed; no FX</t>
  </si>
  <si>
    <t>Date and close matched on cited historical-price surface</t>
  </si>
  <si>
    <t>Secondary market source; refresh before transaction use</t>
  </si>
  <si>
    <t>Ledger completeness</t>
  </si>
  <si>
    <t>NIKE, Inc. — Historical Financials</t>
  </si>
  <si>
    <t>SEC 10-K / Company Facts lineage; USD millions except per-share data and shares</t>
  </si>
  <si>
    <t>Bridge policy</t>
  </si>
  <si>
    <t>Latest balance-sheet cash policy</t>
  </si>
  <si>
    <t>Liquid assets used in DCF</t>
  </si>
  <si>
    <t>Debt used in DCF</t>
  </si>
  <si>
    <t>NIKE valuation bridge</t>
  </si>
  <si>
    <t>Policy</t>
  </si>
  <si>
    <t>USD m</t>
  </si>
  <si>
    <t>Source</t>
  </si>
  <si>
    <t>Status</t>
  </si>
  <si>
    <t>Included</t>
  </si>
  <si>
    <t>Historical latest balance</t>
  </si>
  <si>
    <t>Formula link</t>
  </si>
  <si>
    <t>NIKE, Inc. — Scenario Assumptions</t>
  </si>
  <si>
    <t>Selector drives operating revenues/margins and the DCF; blue/amber cells are editable inputs</t>
  </si>
  <si>
    <t>Scenario selector (1 Base / 2 Bull / 3 Bear)</t>
  </si>
  <si>
    <t>Input</t>
  </si>
  <si>
    <t>Formula</t>
  </si>
  <si>
    <t>Assumption</t>
  </si>
  <si>
    <t>Base</t>
  </si>
  <si>
    <t>Bull</t>
  </si>
  <si>
    <t>Bear</t>
  </si>
  <si>
    <t>Active</t>
  </si>
  <si>
    <t>Rationale / evidence</t>
  </si>
  <si>
    <t>Wholesale revenue growth</t>
  </si>
  <si>
    <t>%</t>
  </si>
  <si>
    <t>2026 wholesale revenue USD 28,058m</t>
  </si>
  <si>
    <t>Direct-to-consumer revenue growth</t>
  </si>
  <si>
    <t>2026 NIKE Direct revenue USD 18,197m</t>
  </si>
  <si>
    <t>Other revenue growth</t>
  </si>
  <si>
    <t>2026 other revenue USD 143m</t>
  </si>
  <si>
    <t>Gross margin</t>
  </si>
  <si>
    <t>Scenario gross margin</t>
  </si>
  <si>
    <t>SG&amp;A as % revenue</t>
  </si>
  <si>
    <t>Scenario demand creation + overhead</t>
  </si>
  <si>
    <t>Cash tax rate</t>
  </si>
  <si>
    <t>Normalized cash tax rate</t>
  </si>
  <si>
    <t>D&amp;A as % revenue</t>
  </si>
  <si>
    <t>Normalized D&amp;A intensity</t>
  </si>
  <si>
    <t>Capex as % revenue</t>
  </si>
  <si>
    <t>Normalized capex intensity</t>
  </si>
  <si>
    <t>NWC investment / revenue growth</t>
  </si>
  <si>
    <t>FCFF working-capital policy</t>
  </si>
  <si>
    <t>WACC</t>
  </si>
  <si>
    <t>DCF discount-rate scenario</t>
  </si>
  <si>
    <t>Terminal growth</t>
  </si>
  <si>
    <t>DCF perpetual-growth scenario</t>
  </si>
  <si>
    <t>NIKE, Inc. — Operating Forecast</t>
  </si>
  <si>
    <t>Scenario-linked driver build; USD millions except shares and per-share data</t>
  </si>
  <si>
    <t>2027E</t>
  </si>
  <si>
    <t>2028E</t>
  </si>
  <si>
    <t>2029E</t>
  </si>
  <si>
    <t>2030E</t>
  </si>
  <si>
    <t>2031E</t>
  </si>
  <si>
    <t>Total revenue</t>
  </si>
  <si>
    <t>SG&amp;A</t>
  </si>
  <si>
    <t>Cash taxes</t>
  </si>
  <si>
    <t>NOPAT</t>
  </si>
  <si>
    <t>D&amp;A</t>
  </si>
  <si>
    <t>Change in NWC</t>
  </si>
  <si>
    <t>FCFF</t>
  </si>
  <si>
    <t>NIKE, Inc. — DCF Valuation</t>
  </si>
  <si>
    <t>Unlevered FCFF; liquid-asset and debt bridge policies are explicit</t>
  </si>
  <si>
    <t>DCF item</t>
  </si>
  <si>
    <t>Year 1</t>
  </si>
  <si>
    <t>Year 2</t>
  </si>
  <si>
    <t>Year 3</t>
  </si>
  <si>
    <t>Year 4</t>
  </si>
  <si>
    <t>Year 5</t>
  </si>
  <si>
    <t>Bridge / output</t>
  </si>
  <si>
    <t>Discount period</t>
  </si>
  <si>
    <t>Discount factor</t>
  </si>
  <si>
    <t>Present value of FCFF</t>
  </si>
  <si>
    <t>Terminal value</t>
  </si>
  <si>
    <t>PV of terminal value</t>
  </si>
  <si>
    <t>Enterprise value</t>
  </si>
  <si>
    <t>Liquid assets</t>
  </si>
  <si>
    <t>Debt</t>
  </si>
  <si>
    <t>Equity value</t>
  </si>
  <si>
    <t>Shares outstanding / diluted policy</t>
  </si>
  <si>
    <t>Per-share outputs</t>
  </si>
  <si>
    <t>NIKE, Inc. — DCF Sensitivity</t>
  </si>
  <si>
    <t>Implied value per share across WACC and terminal-growth assumptions</t>
  </si>
  <si>
    <t>WACC / TGR</t>
  </si>
  <si>
    <t>Central cross-check</t>
  </si>
  <si>
    <t>Active WACC</t>
  </si>
  <si>
    <t>Active TGR</t>
  </si>
  <si>
    <t>Active DCF value/share</t>
  </si>
  <si>
    <t>NIKE, Inc. — Model Checks</t>
  </si>
  <si>
    <t>Overall status is formula-driven from assertions; source completeness is linked to the provenance ledger</t>
  </si>
  <si>
    <t>Assertion</t>
  </si>
  <si>
    <t>Actual</t>
  </si>
  <si>
    <t>Expected</t>
  </si>
  <si>
    <t>Difference</t>
  </si>
  <si>
    <t>Tolerance</t>
  </si>
  <si>
    <t>Fix hint</t>
  </si>
  <si>
    <t>Source ledger complete</t>
  </si>
  <si>
    <t>OK</t>
  </si>
  <si>
    <t>Complete every mandatory provenance field</t>
  </si>
  <si>
    <t>Scenario selector valid</t>
  </si>
  <si>
    <t>Set Assumptions!B3 to 1, 2 or 3</t>
  </si>
  <si>
    <t>Forecast revenue positive</t>
  </si>
  <si>
    <t>Inspect revenue-driver formulas</t>
  </si>
  <si>
    <t>Five EBIT periods populated</t>
  </si>
  <si>
    <t>Inspect margin and opex build</t>
  </si>
  <si>
    <t>Five FCFF periods populated</t>
  </si>
  <si>
    <t>Inspect NOPAT, D&amp;A, capex and NWC</t>
  </si>
  <si>
    <t>Latest historical capex source present</t>
  </si>
  <si>
    <t>Historical inputs are positive as reported; forecast expense/capex anchors are negative model outflows</t>
  </si>
  <si>
    <t>DCF equity bridge</t>
  </si>
  <si>
    <t>Inspect EV, liquid assets and total debt</t>
  </si>
  <si>
    <t>DCF per-share identity</t>
  </si>
  <si>
    <t>Inspect shares bridge</t>
  </si>
  <si>
    <t>Market price positive and sourced</t>
  </si>
  <si>
    <t>Update the dated market source row in Sources</t>
  </si>
  <si>
    <t>Overall status</t>
  </si>
  <si>
    <t>NIKE, Inc. — Company Operating Drivers</t>
  </si>
  <si>
    <t>Company-specific reported driver history; formulas reconcile the model totals to historical revenue where applicable</t>
  </si>
  <si>
    <t>Source / locator</t>
  </si>
  <si>
    <t>2026 Form 10-K product table</t>
  </si>
  <si>
    <t>Reported</t>
  </si>
  <si>
    <t>Product revenue total</t>
  </si>
  <si>
    <t>Sum of product categories</t>
  </si>
  <si>
    <t>2026 Form 10-K channel table</t>
  </si>
  <si>
    <t>Channel revenue total</t>
  </si>
  <si>
    <t>Sum of channels</t>
  </si>
  <si>
    <t>2026 Form 10-K company-defined EBIT table</t>
  </si>
  <si>
    <t>NIKE, Inc. — Change Log</t>
  </si>
  <si>
    <t>Re-gating work performed without overwriting the prior workbook</t>
  </si>
  <si>
    <t>Timestamp (UTC)</t>
  </si>
  <si>
    <t>Scope</t>
  </si>
  <si>
    <t>Change</t>
  </si>
  <si>
    <t>Evidence</t>
  </si>
  <si>
    <t>Prior hash</t>
  </si>
  <si>
    <t>Preparer</t>
  </si>
  <si>
    <t>Disposition</t>
  </si>
  <si>
    <t>Build 2026-07-17T02:33:12.208Z</t>
  </si>
  <si>
    <t>Source lineage</t>
  </si>
  <si>
    <t>Added line-item target-cell provenance ledger</t>
  </si>
  <si>
    <t>Sources + SEC Company Facts / 10-K</t>
  </si>
  <si>
    <t>0c9c89d705b6fdef1190b06fec9206ce02ba146dafed6d149c27655e9bc4cd8e</t>
  </si>
  <si>
    <t>Codex</t>
  </si>
  <si>
    <t>Ready for independent review</t>
  </si>
  <si>
    <t>Operating model</t>
  </si>
  <si>
    <t>Added company-specific revenue and margin drivers</t>
  </si>
  <si>
    <t>Sector_KPIs, Assumptions, Forecast</t>
  </si>
  <si>
    <t>Valuation</t>
  </si>
  <si>
    <t>Rebuilt FCFF DCF, bridge and sensitivity</t>
  </si>
  <si>
    <t>Valuation + Sensitivity</t>
  </si>
  <si>
    <t>Governance</t>
  </si>
  <si>
    <t>Added formula-driven checks and Gate_9of10</t>
  </si>
  <si>
    <t>Checks + Gate_9of10</t>
  </si>
  <si>
    <t>Owner submission only</t>
  </si>
  <si>
    <t>NIKE, Inc. — Gate 9/10 Owner Submission</t>
  </si>
  <si>
    <t>Independent review is a separate role; this sheet does not self-certify the workbook</t>
  </si>
  <si>
    <t>Gate</t>
  </si>
  <si>
    <t>Weight</t>
  </si>
  <si>
    <t>Owner status</t>
  </si>
  <si>
    <t>Blocker class</t>
  </si>
  <si>
    <t>Exact evidence range</t>
  </si>
  <si>
    <t>Native / visual evidence</t>
  </si>
  <si>
    <t>Independent action</t>
  </si>
  <si>
    <t>Notes</t>
  </si>
  <si>
    <t>H0 Controlled lineage / package</t>
  </si>
  <si>
    <t>PASS</t>
  </si>
  <si>
    <t>Change_Log!A4:G8; final .xlsx</t>
  </si>
  <si>
    <t>Prior hash preserved; OOXML integrity PASS 2026-07-17T02:36:50.245Z</t>
  </si>
  <si>
    <t>Reproduce lineage and package test</t>
  </si>
  <si>
    <t>Final JSON carries prior and final hashes</t>
  </si>
  <si>
    <t>H1 Source fidelity</t>
  </si>
  <si>
    <t>Sources!A4:V500</t>
  </si>
  <si>
    <t>SEC target-cell ledger + formula completeness</t>
  </si>
  <si>
    <t>Sample and reproduce ledger mappings</t>
  </si>
  <si>
    <t>Every populated hardcoded historical/driver cell mapped</t>
  </si>
  <si>
    <t>H2 Historical / formula / schedule mechanics</t>
  </si>
  <si>
    <t>Historical!A4:F26; Forecast!A4:G30</t>
  </si>
  <si>
    <t>Five-year historicals and formula-driven operating build</t>
  </si>
  <si>
    <t>Reperform historical and forecast ties</t>
  </si>
  <si>
    <t>Reported values preserved; forecast cells formula-driven</t>
  </si>
  <si>
    <t>H3 Scenario / sensitivity</t>
  </si>
  <si>
    <t>Assumptions!A3:G30; Sensitivity!A4:G14</t>
  </si>
  <si>
    <t>Base/Bull/Bear selector + dynamic DCF sensitivity</t>
  </si>
  <si>
    <t>Perturb selector 1/2/3 and reset to 1</t>
  </si>
  <si>
    <t>Evidence JSON records exact outputs</t>
  </si>
  <si>
    <t>H4 Valuation fit / mechanics</t>
  </si>
  <si>
    <t>Valuation!A4:G21; Historical!A17:F26</t>
  </si>
  <si>
    <t>FCFF, bridge and per-share DCF</t>
  </si>
  <si>
    <t>Reperform DCF and balance-sheet bridge</t>
  </si>
  <si>
    <t>Debt/liquid asset/share policies explicit</t>
  </si>
  <si>
    <t>H5 Checks / error state</t>
  </si>
  <si>
    <t>Checks!A4:G14</t>
  </si>
  <si>
    <t>Formula-driven checks OK and zero formula-error matches 2026-07-17T02:33:57.150Z</t>
  </si>
  <si>
    <t>Reproduce checks and formula-error scan</t>
  </si>
  <si>
    <t>Final scan repeated after gate promotion</t>
  </si>
  <si>
    <t>H6 Native recalc / reproducibility</t>
  </si>
  <si>
    <t>LibreOfficeDev 26.8.0.0.alpha0 2c87e51eeaa2b413ff4ae097b2705eea1995d8e5; save/reopen completed 2026-07-17T02:33:57.150Z</t>
  </si>
  <si>
    <t>Reopen and reproduce in native engine</t>
  </si>
  <si>
    <t>Final recalc repeated after gate promotion; evidence JSON carries hashes</t>
  </si>
  <si>
    <t>H7 Post-recalc all-sheet visual QA</t>
  </si>
  <si>
    <t>internal QA evidence (not published)</t>
  </si>
  <si>
    <t>All 11 sheets rendered in preflight 2026-07-17T02:33:57.150Z; final render repeated after promotion</t>
  </si>
  <si>
    <t>Inspect preview manifest</t>
  </si>
  <si>
    <t>Final JSON carries per-sheet manifest</t>
  </si>
  <si>
    <t>H8 Material economic upgrade</t>
  </si>
  <si>
    <t>Sector_KPIs!A4:G40; Assumptions!A6:G30; Forecast!A4:G30</t>
  </si>
  <si>
    <t>Company-specific driver and margin build</t>
  </si>
  <si>
    <t>Challenge economic usefulness</t>
  </si>
  <si>
    <t>No relabel-only sector shell</t>
  </si>
  <si>
    <t>H9 Governance / limitations / handoff</t>
  </si>
  <si>
    <t>Change_Log!A4:G8; Gate_9of10!A4:H26</t>
  </si>
  <si>
    <t>Owner/reviewer separation and limitations explicit</t>
  </si>
  <si>
    <t>Assign independent reviewer</t>
  </si>
  <si>
    <t>No self-certification; evidence JSON is handoff surface</t>
  </si>
  <si>
    <t>Owner score</t>
  </si>
  <si>
    <t>Decision</t>
  </si>
  <si>
    <t>Overall model status</t>
  </si>
  <si>
    <t>Native recalculation / review metadata</t>
  </si>
  <si>
    <t>Build timestamp UTC</t>
  </si>
  <si>
    <t>Required native engine</t>
  </si>
  <si>
    <t>LibreOfficeDev 26.8.0.0.alpha0 2c87e51eeaa2b413ff4ae097b2705eea1995d8e5</t>
  </si>
  <si>
    <t>Final native timestamp</t>
  </si>
  <si>
    <t>Native preflight 2026-07-17T02:33:57.150Z; final recalc after promotion 2026-07-17T02:36:52.714Z</t>
  </si>
  <si>
    <t>Visual manifest</t>
  </si>
  <si>
    <t>Evidence manifest</t>
  </si>
  <si>
    <t>Independent certification</t>
  </si>
  <si>
    <t>Not performed by owner-preparer</t>
  </si>
  <si>
    <t>Turn #</t>
  </si>
  <si>
    <t>Date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</si>
  <si>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</si>
  <si>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</si>
  <si>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</si>
  <si>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</si>
  <si>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</si>
  <si>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</si>
  <si>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Gate_9of10: 3 cells written, at E12, B24, B25.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</si>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</sst>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_-;\-* #,##0.00_-;_-* \-??_-;_-@_-"/>
    <numFmt numFmtId="166" formatCode="_-* #,##0_-;\-* #,##0_-;_-* \-_-;_-@_-"/>
    <numFmt numFmtId="167" formatCode="0%"/>
    <numFmt numFmtId="168" formatCode="\$#,##0.00"/>
    <numFmt numFmtId="169" formatCode="0.0%"/>
    <numFmt numFmtId="170" formatCode="#,##0.000;[RED]\(#,##0.000\);\-"/>
    <numFmt numFmtId="171" formatCode="#,##0.0;[RED]\(#,##0.0\);\-"/>
    <numFmt numFmtId="172" formatCode="#,##0.0"/>
    <numFmt numFmtId="173" formatCode="0.0%;[RED]\(0.0%\);\-"/>
    <numFmt numFmtId="174" formatCode="#,##0;[RED]\(#,##0\);\-"/>
    <numFmt numFmtId="175" formatCode="0"/>
    <numFmt numFmtId="176" formatCode="yyyy\-mm\-dd hh:mm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name val="Calibri"/>
      <family val="0"/>
      <charset val="1"/>
    </font>
    <font>
      <b/>
      <sz val="16"/>
      <color rgb="FFFFFFFF"/>
      <name val="Calibri"/>
      <family val="0"/>
      <charset val="1"/>
    </font>
    <font>
      <i/>
      <sz val="10"/>
      <color rgb="FF666666"/>
      <name val="Calibri"/>
      <family val="0"/>
      <charset val="1"/>
    </font>
    <font>
      <b/>
      <sz val="11"/>
      <color rgb="FFFFFFFF"/>
      <name val="Calibri"/>
      <family val="0"/>
      <charset val="1"/>
    </font>
    <font>
      <sz val="11"/>
      <color rgb="FF008000"/>
      <name val="Calibri"/>
      <family val="0"/>
      <charset val="1"/>
    </font>
    <font>
      <i/>
      <sz val="11"/>
      <color rgb="FF666666"/>
      <name val="Calibri"/>
      <family val="0"/>
      <charset val="1"/>
    </font>
    <font>
      <b/>
      <sz val="11"/>
      <color rgb="FF17365D"/>
      <name val="Calibri"/>
      <family val="0"/>
      <charset val="1"/>
    </font>
    <font>
      <b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0"/>
      <i val="0"/>
      <strike val="0"/>
      <sz val="10"/>
      <color rgb="FF000000"/>
      <name val="Arial"/>
      <family val="2"/>
    </font>
    <font>
      <b/>
      <i val="0"/>
      <strike val="0"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EAF3F8"/>
        <bgColor rgb="FFE2F0D9"/>
      </patternFill>
    </fill>
    <fill>
      <patternFill patternType="solid">
        <fgColor rgb="FF1F4E78"/>
        <bgColor rgb="FF17365D"/>
      </patternFill>
    </fill>
    <fill>
      <patternFill patternType="solid">
        <fgColor rgb="FFD9EAF7"/>
        <bgColor rgb="FFEAF3F8"/>
      </patternFill>
    </fill>
    <fill>
      <patternFill patternType="solid">
        <fgColor rgb="FFFFF2CC"/>
        <bgColor rgb="FFFCE4D6"/>
      </patternFill>
    </fill>
  </fills>
  <borders count="1">
    <border diagonalUp="0" diagonalDown="0">
      <left/>
      <right/>
      <top/>
      <bottom/>
      <diagonal/>
    </border>
  </borders>
  <cellStyleXfs count="27">
    <xf numFmtId="164" fontId="0" fillId="0" borderId="0" applyFont="1" applyBorder="1" applyAlignment="1" applyProtection="1">
      <alignment horizontal="general" vertical="bottom" textRotation="0" indent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  <xf numFmtId="165" fontId="4" fillId="0" borderId="0" applyFont="1" applyBorder="0" applyAlignment="0" applyProtection="0"/>
    <xf numFmtId="166" fontId="4" fillId="0" borderId="0" applyFont="1" applyBorder="0" applyAlignment="0" applyProtection="0"/>
    <xf numFmtId="165" fontId="4" fillId="0" borderId="0" applyFont="1" applyBorder="0" applyAlignment="0" applyProtection="0"/>
    <xf numFmtId="166" fontId="4" fillId="0" borderId="0" applyFont="1" applyBorder="0" applyAlignment="0" applyProtection="0"/>
    <xf numFmtId="164" fontId="4" fillId="0" borderId="0" applyFont="1" applyBorder="1" applyAlignment="1" applyProtection="1">
      <alignment horizontal="general" vertical="bottom" textRotation="0" indent="0"/>
      <protection locked="1" hidden="0"/>
    </xf>
    <xf numFmtId="164" fontId="5" fillId="0" borderId="0" applyFont="1" applyBorder="1" applyAlignment="1" applyProtection="1">
      <alignment horizontal="general" vertical="bottom" textRotation="0" indent="0"/>
      <protection locked="1" hidden="0"/>
    </xf>
    <xf numFmtId="167" fontId="4" fillId="0" borderId="0" applyFont="1" applyBorder="0" applyAlignment="0" applyProtection="0"/>
  </cellStyleXfs>
  <cellXfs count="34">
    <xf numFmtId="164" fontId="0" fillId="0" borderId="0" xfId="0" applyFont="0" applyBorder="0" applyAlignment="0" applyProtection="0">
      <alignment horizontal="general" vertical="bottom" textRotation="0" indent="0"/>
      <protection locked="1" hidden="0"/>
    </xf>
    <xf numFmtId="164" fontId="6" fillId="2" borderId="0" xfId="25" applyFont="1" applyBorder="1" applyAlignment="1" applyProtection="0">
      <alignment horizontal="general" vertical="center" textRotation="0" wrapText="1" indent="0"/>
      <protection locked="1" hidden="0"/>
    </xf>
    <xf numFmtId="164" fontId="7" fillId="3" borderId="0" xfId="25" applyFont="1" applyBorder="1" applyAlignment="1" applyProtection="0">
      <alignment horizontal="general" vertical="bottom" textRotation="0" wrapText="1" indent="0"/>
      <protection locked="1" hidden="0"/>
    </xf>
    <xf numFmtId="164" fontId="5" fillId="0" borderId="0" xfId="25" applyFont="1" applyBorder="1" applyAlignment="1" applyProtection="0">
      <alignment horizontal="general" vertical="bottom" textRotation="0" wrapText="1" indent="0"/>
      <protection locked="1" hidden="0"/>
    </xf>
    <xf numFmtId="164" fontId="8" fillId="4" borderId="0" xfId="25" applyFont="1" applyBorder="1" applyAlignment="1" applyProtection="0">
      <alignment horizontal="general" vertical="bottom" textRotation="0" wrapText="1" indent="0"/>
      <protection locked="1" hidden="0"/>
    </xf>
    <xf numFmtId="168" fontId="5" fillId="0" borderId="0" xfId="25" applyFont="1" applyBorder="1" applyAlignment="1" applyProtection="0">
      <alignment horizontal="general" vertical="bottom" textRotation="0" wrapText="1" indent="0"/>
      <protection locked="1" hidden="0"/>
    </xf>
    <xf numFmtId="164" fontId="9" fillId="0" borderId="0" xfId="25" applyFont="1" applyBorder="1" applyAlignment="1" applyProtection="0">
      <alignment horizontal="general" vertical="bottom" textRotation="0" wrapText="1" indent="0"/>
      <protection locked="1" hidden="0"/>
    </xf>
    <xf numFmtId="168" fontId="9" fillId="0" borderId="0" xfId="25" applyFont="1" applyBorder="1" applyAlignment="1" applyProtection="0">
      <alignment horizontal="general" vertical="bottom" textRotation="0" wrapText="1" indent="0"/>
      <protection locked="1" hidden="0"/>
    </xf>
    <xf numFmtId="169" fontId="9" fillId="0" borderId="0" xfId="25" applyFont="1" applyBorder="1" applyAlignment="1" applyProtection="0">
      <alignment horizontal="general" vertical="bottom" textRotation="0" wrapText="1" indent="0"/>
      <protection locked="1" hidden="0"/>
    </xf>
    <xf numFmtId="164" fontId="6" fillId="2" borderId="0" xfId="25" applyFont="1" applyBorder="1" applyAlignment="1" applyProtection="0">
      <alignment horizontal="general" vertical="bottom" textRotation="0" indent="0"/>
      <protection locked="1" hidden="0"/>
    </xf>
    <xf numFmtId="164" fontId="10" fillId="3" borderId="0" xfId="25" applyFont="1" applyBorder="1" applyAlignment="1" applyProtection="0">
      <alignment horizontal="general" vertical="bottom" textRotation="0" wrapText="1" indent="0"/>
      <protection locked="1" hidden="0"/>
    </xf>
    <xf numFmtId="164" fontId="11" fillId="5" borderId="0" xfId="25" applyFont="1" applyBorder="1" applyAlignment="1" applyProtection="0">
      <alignment horizontal="general" vertical="center" textRotation="0" wrapText="1" indent="0"/>
      <protection locked="1" hidden="0"/>
    </xf>
    <xf numFmtId="170" fontId="5" fillId="0" borderId="0" xfId="25" applyFont="1" applyBorder="1" applyAlignment="1" applyProtection="0">
      <alignment horizontal="general" vertical="bottom" textRotation="0" wrapText="1" indent="0"/>
      <protection locked="1" hidden="0"/>
    </xf>
    <xf numFmtId="164" fontId="11" fillId="5" borderId="0" xfId="25" applyFont="1" applyBorder="1" applyAlignment="1" applyProtection="0">
      <alignment horizontal="general" vertical="bottom" textRotation="0" wrapText="1" indent="0"/>
      <protection locked="1" hidden="0"/>
    </xf>
    <xf numFmtId="164" fontId="6" fillId="2" borderId="0" xfId="25" applyFont="1" applyBorder="1" applyAlignment="1" applyProtection="0">
      <alignment horizontal="general" vertical="center" textRotation="0" indent="0"/>
      <protection locked="1" hidden="0"/>
    </xf>
    <xf numFmtId="164" fontId="7" fillId="3" borderId="0" xfId="25" applyFont="1" applyBorder="1" applyAlignment="1" applyProtection="0">
      <alignment horizontal="general" vertical="bottom" textRotation="0" indent="0"/>
      <protection locked="1" hidden="0"/>
    </xf>
    <xf numFmtId="164" fontId="12" fillId="0" borderId="0" xfId="25" applyFont="1" applyBorder="1" applyAlignment="1" applyProtection="0">
      <alignment horizontal="general" vertical="bottom" textRotation="0" indent="0"/>
      <protection locked="1" hidden="0"/>
    </xf>
    <xf numFmtId="171" fontId="5" fillId="0" borderId="0" xfId="25" applyFont="1" applyBorder="1" applyAlignment="1" applyProtection="0">
      <alignment horizontal="general" vertical="bottom" textRotation="0" indent="0"/>
      <protection locked="1" hidden="0"/>
    </xf>
    <xf numFmtId="164" fontId="11" fillId="5" borderId="0" xfId="25" applyFont="1" applyBorder="1" applyAlignment="1" applyProtection="0">
      <alignment horizontal="general" vertical="bottom" textRotation="0" indent="0"/>
      <protection locked="1" hidden="0"/>
    </xf>
    <xf numFmtId="172" fontId="5" fillId="0" borderId="0" xfId="25" applyFont="1" applyBorder="1" applyAlignment="1" applyProtection="0">
      <alignment horizontal="general" vertical="bottom" textRotation="0" indent="0"/>
      <protection locked="1" hidden="0"/>
    </xf>
    <xf numFmtId="164" fontId="13" fillId="6" borderId="0" xfId="25" applyFont="1" applyBorder="1" applyAlignment="1" applyProtection="0">
      <alignment horizontal="general" vertical="bottom" textRotation="0" wrapText="1" indent="0"/>
      <protection locked="1" hidden="0"/>
    </xf>
    <xf numFmtId="173" fontId="13" fillId="6" borderId="0" xfId="25" applyFont="1" applyBorder="1" applyAlignment="1" applyProtection="0">
      <alignment horizontal="general" vertical="bottom" textRotation="0" wrapText="1" indent="0"/>
      <protection locked="1" hidden="0"/>
    </xf>
    <xf numFmtId="173" fontId="14" fillId="0" borderId="0" xfId="25" applyFont="1" applyBorder="1" applyAlignment="1" applyProtection="0">
      <alignment horizontal="general" vertical="bottom" textRotation="0" wrapText="1" indent="0"/>
      <protection locked="1" hidden="0"/>
    </xf>
    <xf numFmtId="171" fontId="9" fillId="0" borderId="0" xfId="25" applyFont="1" applyBorder="1" applyAlignment="1" applyProtection="0">
      <alignment horizontal="general" vertical="bottom" textRotation="0" indent="0"/>
      <protection locked="1" hidden="0"/>
    </xf>
    <xf numFmtId="168" fontId="5" fillId="0" borderId="0" xfId="25" applyFont="1" applyBorder="1" applyAlignment="1" applyProtection="0">
      <alignment horizontal="general" vertical="bottom" textRotation="0" indent="0"/>
      <protection locked="1" hidden="0"/>
    </xf>
    <xf numFmtId="169" fontId="5" fillId="0" borderId="0" xfId="25" applyFont="1" applyBorder="1" applyAlignment="1" applyProtection="0">
      <alignment horizontal="general" vertical="bottom" textRotation="0" indent="0"/>
      <protection locked="1" hidden="0"/>
    </xf>
    <xf numFmtId="169" fontId="11" fillId="5" borderId="0" xfId="25" applyFont="1" applyBorder="1" applyAlignment="1" applyProtection="0">
      <alignment horizontal="general" vertical="center" textRotation="0" wrapText="1" indent="0"/>
      <protection locked="1" hidden="0"/>
    </xf>
    <xf numFmtId="170" fontId="11" fillId="5" borderId="0" xfId="25" applyFont="1" applyBorder="1" applyAlignment="1" applyProtection="0">
      <alignment horizontal="general" vertical="bottom" textRotation="0" wrapText="1" indent="0"/>
      <protection locked="1" hidden="0"/>
    </xf>
    <xf numFmtId="174" fontId="5" fillId="0" borderId="0" xfId="25" applyFont="1" applyBorder="1" applyAlignment="1" applyProtection="0">
      <alignment horizontal="general" vertical="bottom" textRotation="0" wrapText="1" indent="0"/>
      <protection locked="1" hidden="0"/>
    </xf>
    <xf numFmtId="169" fontId="5" fillId="0" borderId="0" xfId="25" applyFont="1" applyBorder="1" applyAlignment="1" applyProtection="0">
      <alignment horizontal="general" vertical="bottom" textRotation="0" wrapText="1" indent="0"/>
      <protection locked="1" hidden="0"/>
    </xf>
    <xf numFmtId="175" fontId="5" fillId="0" borderId="0" xfId="25" applyFont="1" applyBorder="1" applyAlignment="1" applyProtection="0">
      <alignment horizontal="general" vertical="bottom" textRotation="0" wrapText="1" indent="0"/>
      <protection locked="1" hidden="0"/>
    </xf>
    <xf numFmtId="0" fontId="15" fillId="0" borderId="0" xfId="0" applyFont="1" applyFill="1" applyBorder="1" applyAlignment="1" applyProtection="1">
      <alignment vertical="top" textRotation="0" indent="0"/>
      <protection locked="1" hidden="0"/>
    </xf>
    <xf numFmtId="0" fontId="16" fillId="0" borderId="0" xfId="0" applyFont="1" applyFill="1" applyBorder="1" applyProtection="1">
      <protection locked="1" hidden="0"/>
    </xf>
    <xf numFmtId="176" fontId="15" fillId="0" borderId="0" xfId="0" applyNumberFormat="1" applyFont="1" applyFill="1" applyBorder="1" applyAlignment="1" applyProtection="1">
      <alignment vertical="top" textRotation="0" indent="0"/>
      <protection locked="1" hidden="0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10"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2" hidden="0" customWidth="1" outlineLevel="0" collapsed="0"/>
    <col min="2" max="2" width="30" hidden="0" customWidth="1" outlineLevel="0" collapsed="0"/>
    <col min="3" max="8" width="13" hidden="0" customWidth="1" outlineLevel="0" collapsed="0"/>
  </cols>
  <sheetData>
    <row r="1" ht="28" hidden="0" outlineLevel="0" collapsed="0">
      <c r="A1" s="1" t="s">
        <v>0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1</v>
      </c>
      <c r="B2" s="2"/>
      <c r="C2" s="2"/>
      <c r="D2" s="2"/>
      <c r="E2" s="2"/>
      <c r="F2" s="2"/>
      <c r="G2" s="2"/>
      <c r="H2" s="2"/>
    </row>
    <row r="3" ht="15" hidden="0" outlineLevel="0" collapsed="0">
      <c r="A3" s="3"/>
      <c r="B3" s="3"/>
      <c r="C3" s="3"/>
      <c r="D3" s="3"/>
      <c r="E3" s="3"/>
      <c r="F3" s="3"/>
      <c r="G3" s="3"/>
      <c r="H3" s="3"/>
    </row>
    <row r="4" ht="21" hidden="0" outlineLevel="0" collapsed="0">
      <c r="A4" s="4" t="s">
        <v>2</v>
      </c>
      <c r="B4" s="4"/>
      <c r="C4" s="4"/>
      <c r="D4" s="4"/>
      <c r="E4" s="4"/>
      <c r="F4" s="4"/>
      <c r="G4" s="4"/>
      <c r="H4" s="4"/>
    </row>
    <row r="5" ht="15" hidden="0" outlineLevel="0" collapsed="0">
      <c r="A5" s="3" t="s">
        <v>3</v>
      </c>
      <c r="B5" s="3" t="s">
        <v>4</v>
      </c>
      <c r="C5" s="3"/>
      <c r="D5" s="3"/>
      <c r="E5" s="3"/>
      <c r="F5" s="3"/>
      <c r="G5" s="3"/>
      <c r="H5" s="3"/>
    </row>
    <row r="6" ht="15" hidden="0" outlineLevel="0" collapsed="0">
      <c r="A6" s="3" t="s">
        <v>5</v>
      </c>
      <c r="B6" s="3" t="s">
        <v>6</v>
      </c>
      <c r="C6" s="3"/>
      <c r="D6" s="3"/>
      <c r="E6" s="3"/>
      <c r="F6" s="3"/>
      <c r="G6" s="3"/>
      <c r="H6" s="3"/>
    </row>
    <row r="7" ht="15" hidden="0" outlineLevel="0" collapsed="0">
      <c r="A7" s="3" t="s">
        <v>7</v>
      </c>
      <c r="B7" s="3" t="s">
        <v>8</v>
      </c>
      <c r="C7" s="3"/>
      <c r="D7" s="3"/>
      <c r="E7" s="3"/>
      <c r="F7" s="3"/>
      <c r="G7" s="3"/>
      <c r="H7" s="3"/>
    </row>
    <row r="8" ht="15" hidden="0" outlineLevel="0" collapsed="0">
      <c r="A8" s="3" t="s">
        <v>9</v>
      </c>
      <c r="B8" s="3" t="s">
        <v>10</v>
      </c>
      <c r="C8" s="3"/>
      <c r="D8" s="3"/>
      <c r="E8" s="3"/>
      <c r="F8" s="3"/>
      <c r="G8" s="3"/>
      <c r="H8" s="3"/>
    </row>
    <row r="9" ht="15" hidden="0" outlineLevel="0" collapsed="0">
      <c r="A9" s="3" t="s">
        <v>11</v>
      </c>
      <c r="B9" s="5">
        <v>42.77</v>
      </c>
      <c r="C9" s="3"/>
      <c r="D9" s="3"/>
      <c r="E9" s="3"/>
      <c r="F9" s="3"/>
      <c r="G9" s="3"/>
      <c r="H9" s="3"/>
    </row>
    <row r="10" ht="15" hidden="0" outlineLevel="0" collapsed="0">
      <c r="A10" s="3" t="s">
        <v>12</v>
      </c>
      <c r="B10" s="5" t="s">
        <v>13</v>
      </c>
      <c r="C10" s="3"/>
      <c r="D10" s="3"/>
      <c r="E10" s="3"/>
      <c r="F10" s="3"/>
      <c r="G10" s="3"/>
      <c r="H10" s="3"/>
    </row>
    <row r="11" ht="15" hidden="0" outlineLevel="0" collapsed="0">
      <c r="A11" s="3" t="s">
        <v>14</v>
      </c>
      <c r="B11" s="6" t="str">
        <f>Assumptions!B4</f>
        <v>Base</v>
      </c>
      <c r="C11" s="3"/>
      <c r="D11" s="3"/>
      <c r="E11" s="3"/>
      <c r="F11" s="3"/>
      <c r="G11" s="3"/>
      <c r="H11" s="3"/>
    </row>
    <row r="12" ht="15" hidden="0" outlineLevel="0" collapsed="0">
      <c r="A12" s="3" t="s">
        <v>15</v>
      </c>
      <c r="B12" s="7">
        <f>Valuation!G18</f>
        <v>31.93264168040848</v>
      </c>
      <c r="C12" s="3"/>
      <c r="D12" s="3"/>
      <c r="E12" s="3"/>
      <c r="F12" s="3"/>
      <c r="G12" s="3"/>
      <c r="H12" s="3"/>
    </row>
    <row r="13" ht="15" hidden="0" outlineLevel="0" collapsed="0">
      <c r="A13" s="3" t="s">
        <v>16</v>
      </c>
      <c r="B13" s="8">
        <f>Valuation!G20</f>
        <v>-0.25338691418264025</v>
      </c>
      <c r="C13" s="3"/>
      <c r="D13" s="3"/>
      <c r="E13" s="3"/>
      <c r="F13" s="3"/>
      <c r="G13" s="3"/>
      <c r="H13" s="3"/>
    </row>
    <row r="14" ht="23.85" hidden="0" outlineLevel="0" collapsed="0">
      <c r="A14" s="3" t="s">
        <v>17</v>
      </c>
      <c r="B14" s="6" t="str">
        <f>Gate_9of10!B17</f>
        <v>OWNER READY — INDEPENDENT REVIEW REQUIRED</v>
      </c>
      <c r="C14" s="3"/>
      <c r="D14" s="3"/>
      <c r="E14" s="3"/>
      <c r="F14" s="3"/>
      <c r="G14" s="3"/>
      <c r="H14" s="3"/>
    </row>
    <row r="15" ht="45" hidden="0" outlineLevel="0" collapsed="0">
      <c r="A15" s="3"/>
      <c r="B15" s="3"/>
      <c r="C15" s="3"/>
      <c r="D15" s="3"/>
      <c r="E15" s="3"/>
      <c r="F15" s="3"/>
      <c r="G15" s="3"/>
      <c r="H15" s="3"/>
    </row>
    <row r="16" ht="21" hidden="0" outlineLevel="0" collapsed="0">
      <c r="A16" s="4" t="s">
        <v>18</v>
      </c>
      <c r="B16" s="4"/>
      <c r="C16" s="4"/>
      <c r="D16" s="4"/>
      <c r="E16" s="4"/>
      <c r="F16" s="4"/>
      <c r="G16" s="4"/>
      <c r="H16" s="4"/>
    </row>
    <row r="17" ht="15" hidden="0" outlineLevel="0" collapsed="0">
      <c r="A17" s="3" t="s">
        <v>19</v>
      </c>
      <c r="B17" s="3" t="s">
        <v>20</v>
      </c>
      <c r="C17" s="3"/>
      <c r="D17" s="3"/>
      <c r="E17" s="3"/>
      <c r="F17" s="3"/>
      <c r="G17" s="3"/>
      <c r="H17" s="3"/>
    </row>
    <row r="18" ht="15" hidden="0" outlineLevel="0" collapsed="0">
      <c r="A18" s="3" t="s">
        <v>21</v>
      </c>
      <c r="B18" s="3" t="s">
        <v>22</v>
      </c>
      <c r="C18" s="3"/>
      <c r="D18" s="3"/>
      <c r="E18" s="3"/>
      <c r="F18" s="3"/>
      <c r="G18" s="3"/>
      <c r="H18" s="3"/>
    </row>
    <row r="19" ht="15" hidden="0" outlineLevel="0" collapsed="0">
      <c r="A19" s="3" t="s">
        <v>23</v>
      </c>
      <c r="B19" s="3" t="s">
        <v>24</v>
      </c>
      <c r="C19" s="3"/>
      <c r="D19" s="3"/>
      <c r="E19" s="3"/>
      <c r="F19" s="3"/>
      <c r="G19" s="3"/>
      <c r="H19" s="3"/>
    </row>
    <row r="20" ht="15" hidden="0" outlineLevel="0" collapsed="0">
      <c r="A20" s="3" t="s">
        <v>25</v>
      </c>
      <c r="B20" s="3" t="s">
        <v>26</v>
      </c>
      <c r="C20" s="3"/>
      <c r="D20" s="3"/>
      <c r="E20" s="3"/>
      <c r="F20" s="3"/>
      <c r="G20" s="3"/>
      <c r="H20" s="3"/>
    </row>
    <row r="21" ht="15" hidden="0" outlineLevel="0" collapsed="0">
      <c r="A21" s="3" t="s">
        <v>27</v>
      </c>
      <c r="B21" s="3" t="s">
        <v>28</v>
      </c>
      <c r="C21" s="3"/>
      <c r="D21" s="3"/>
      <c r="E21" s="3"/>
      <c r="F21" s="3"/>
      <c r="G21" s="3"/>
      <c r="H21" s="3"/>
    </row>
    <row r="22" ht="15" hidden="0" outlineLevel="0" collapsed="0">
      <c r="A22" s="3" t="s">
        <v>29</v>
      </c>
      <c r="B22" s="3" t="s">
        <v>30</v>
      </c>
      <c r="C22" s="3"/>
      <c r="D22" s="3"/>
      <c r="E22" s="3"/>
      <c r="F22" s="3"/>
      <c r="G22" s="3"/>
      <c r="H22" s="3"/>
    </row>
    <row r="23" ht="15" hidden="0" outlineLevel="0" collapsed="0">
      <c r="A23" s="3"/>
      <c r="B23" s="3"/>
      <c r="C23" s="3"/>
      <c r="D23" s="3"/>
      <c r="E23" s="3"/>
      <c r="F23" s="3"/>
      <c r="G23" s="3"/>
      <c r="H23" s="3"/>
    </row>
    <row r="24" ht="15" hidden="0" outlineLevel="0" collapsed="0">
      <c r="A24" s="3"/>
      <c r="B24" s="3"/>
      <c r="C24" s="3"/>
      <c r="D24" s="3"/>
      <c r="E24" s="3"/>
      <c r="F24" s="3"/>
      <c r="G24" s="3"/>
      <c r="H24" s="3"/>
    </row>
    <row r="25" ht="15" hidden="0" outlineLevel="0" collapsed="0">
      <c r="A25" s="3"/>
      <c r="B25" s="3"/>
      <c r="C25" s="3"/>
      <c r="D25" s="3"/>
      <c r="E25" s="3"/>
      <c r="F25" s="3"/>
      <c r="G25" s="3"/>
      <c r="H25" s="3"/>
    </row>
    <row r="26" ht="15" hidden="0" outlineLevel="0" collapsed="0">
      <c r="A26" s="3"/>
      <c r="B26" s="3"/>
      <c r="C26" s="3"/>
      <c r="D26" s="3"/>
      <c r="E26" s="3"/>
      <c r="F26" s="3"/>
      <c r="G26" s="3"/>
      <c r="H26" s="3"/>
    </row>
    <row r="27" ht="15" hidden="0" outlineLevel="0" collapsed="0">
      <c r="A27" s="3"/>
      <c r="B27" s="3"/>
      <c r="C27" s="3"/>
      <c r="D27" s="3"/>
      <c r="E27" s="3"/>
      <c r="F27" s="3"/>
      <c r="G27" s="3"/>
      <c r="H27" s="3"/>
    </row>
    <row r="28" ht="15" hidden="0" outlineLevel="0" collapsed="0">
      <c r="A28" s="3"/>
      <c r="B28" s="3"/>
      <c r="C28" s="3"/>
      <c r="D28" s="3"/>
      <c r="E28" s="3"/>
      <c r="F28" s="3"/>
      <c r="G28" s="3"/>
      <c r="H28" s="3"/>
    </row>
    <row r="29" ht="15" hidden="0" outlineLevel="0" collapsed="0">
      <c r="A29" s="3"/>
      <c r="B29" s="3"/>
      <c r="C29" s="3"/>
      <c r="D29" s="3"/>
      <c r="E29" s="3"/>
      <c r="F29" s="3"/>
      <c r="G29" s="3"/>
      <c r="H29" s="3"/>
    </row>
    <row r="30" ht="15" hidden="0" outlineLevel="0" collapsed="0">
      <c r="A30" s="3"/>
      <c r="B30" s="3"/>
      <c r="C30" s="3"/>
      <c r="D30" s="3"/>
      <c r="E30" s="3"/>
      <c r="F30" s="3"/>
      <c r="G30" s="3"/>
      <c r="H30" s="3"/>
    </row>
  </sheetData>
  <mergeCells count="11">
    <mergeCell ref="A1:H1"/>
    <mergeCell ref="A2:H2"/>
    <mergeCell ref="A4:H4"/>
    <mergeCell ref="A15:H15"/>
    <mergeCell ref="A16:H16"/>
    <mergeCell ref="B17:H17"/>
    <mergeCell ref="B18:H18"/>
    <mergeCell ref="B19:H19"/>
    <mergeCell ref="B20:H20"/>
    <mergeCell ref="B21:H21"/>
    <mergeCell ref="B22:H2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V8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0" hidden="0" customWidth="1" outlineLevel="0" collapsed="0"/>
    <col min="2" max="2" width="24" hidden="0" customWidth="1" outlineLevel="0" collapsed="0"/>
    <col min="3" max="3" width="22" hidden="0" customWidth="1" outlineLevel="0" collapsed="0"/>
    <col min="4" max="4" width="28" hidden="0" customWidth="1" outlineLevel="0" collapsed="0"/>
    <col min="5" max="7" width="16" hidden="0" customWidth="1" outlineLevel="0" collapsed="0"/>
    <col min="8" max="8" width="10" hidden="0" customWidth="1" outlineLevel="0" collapsed="0"/>
    <col min="9" max="9" width="35" hidden="0" customWidth="1" outlineLevel="0" collapsed="0"/>
    <col min="10" max="11" width="15" hidden="0" customWidth="1" outlineLevel="0" collapsed="0"/>
    <col min="12" max="12" width="14" hidden="0" customWidth="1" outlineLevel="0" collapsed="0"/>
    <col min="13" max="13" width="10" hidden="0" customWidth="1" outlineLevel="0" collapsed="0"/>
    <col min="14" max="14" width="13" hidden="0" customWidth="1" outlineLevel="0" collapsed="0"/>
    <col min="15" max="15" width="24" hidden="0" customWidth="1" outlineLevel="0" collapsed="0"/>
    <col min="16" max="16" width="45" hidden="0" customWidth="1" outlineLevel="0" collapsed="0"/>
    <col min="17" max="17" width="13" hidden="0" customWidth="1" outlineLevel="0" collapsed="0"/>
    <col min="18" max="18" width="27" hidden="0" customWidth="1" outlineLevel="0" collapsed="0"/>
    <col min="19" max="21" width="36" hidden="0" customWidth="1" outlineLevel="0" collapsed="0"/>
    <col min="22" max="22" width="12" hidden="0" customWidth="1" outlineLevel="0" collapsed="0"/>
  </cols>
  <sheetData>
    <row r="1" ht="28" hidden="0" outlineLevel="0" collapsed="0">
      <c r="A1" s="9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26" hidden="0" outlineLevel="0" collapsed="0">
      <c r="A2" s="10" t="s">
        <v>32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4" ht="15" hidden="0" outlineLevel="0" collapsed="0">
      <c r="A4" s="11" t="s">
        <v>33</v>
      </c>
      <c r="B4" s="11" t="s">
        <v>34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1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  <c r="O4" s="11" t="s">
        <v>47</v>
      </c>
      <c r="P4" s="11" t="s">
        <v>48</v>
      </c>
      <c r="Q4" s="11" t="s">
        <v>49</v>
      </c>
      <c r="R4" s="11" t="s">
        <v>50</v>
      </c>
      <c r="S4" s="11" t="s">
        <v>51</v>
      </c>
      <c r="T4" s="11" t="s">
        <v>52</v>
      </c>
      <c r="U4" s="11" t="s">
        <v>53</v>
      </c>
      <c r="V4" s="11" t="s">
        <v>54</v>
      </c>
    </row>
    <row r="5" ht="35.05" hidden="0" outlineLevel="0" collapsed="0">
      <c r="A5" s="3">
        <v>1</v>
      </c>
      <c r="B5" s="3" t="s">
        <v>4</v>
      </c>
      <c r="C5" s="3" t="s">
        <v>55</v>
      </c>
      <c r="D5" s="3" t="s">
        <v>56</v>
      </c>
      <c r="E5" s="3" t="s">
        <v>57</v>
      </c>
      <c r="F5" s="12">
        <v>46710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  <c r="N5" s="3" t="s">
        <v>65</v>
      </c>
      <c r="O5" s="3" t="s">
        <v>66</v>
      </c>
      <c r="P5" s="3" t="s">
        <v>67</v>
      </c>
      <c r="Q5" s="3" t="s">
        <v>68</v>
      </c>
      <c r="R5" s="3" t="s">
        <v>69</v>
      </c>
      <c r="S5" s="3" t="s">
        <v>70</v>
      </c>
      <c r="T5" s="3" t="s">
        <v>71</v>
      </c>
      <c r="U5" s="3" t="s">
        <v>72</v>
      </c>
      <c r="V5" s="3" t="str">
        <f>IF(COUNTA(A5:U5)=21,"OK","MISSING")</f>
        <v>OK</v>
      </c>
    </row>
    <row r="6" ht="35.05" hidden="0" outlineLevel="0" collapsed="0">
      <c r="A6" s="3">
        <v>2</v>
      </c>
      <c r="B6" s="3" t="s">
        <v>4</v>
      </c>
      <c r="C6" s="3" t="s">
        <v>73</v>
      </c>
      <c r="D6" s="3" t="s">
        <v>56</v>
      </c>
      <c r="E6" s="3" t="s">
        <v>74</v>
      </c>
      <c r="F6" s="12">
        <v>51217</v>
      </c>
      <c r="G6" s="3" t="s">
        <v>58</v>
      </c>
      <c r="H6" s="3" t="s">
        <v>59</v>
      </c>
      <c r="I6" s="3" t="s">
        <v>60</v>
      </c>
      <c r="J6" s="3" t="s">
        <v>75</v>
      </c>
      <c r="K6" s="3" t="s">
        <v>76</v>
      </c>
      <c r="L6" s="3" t="s">
        <v>77</v>
      </c>
      <c r="M6" s="3" t="s">
        <v>64</v>
      </c>
      <c r="N6" s="3" t="s">
        <v>78</v>
      </c>
      <c r="O6" s="3" t="s">
        <v>79</v>
      </c>
      <c r="P6" s="3" t="s">
        <v>80</v>
      </c>
      <c r="Q6" s="3" t="s">
        <v>68</v>
      </c>
      <c r="R6" s="3" t="s">
        <v>69</v>
      </c>
      <c r="S6" s="3" t="s">
        <v>70</v>
      </c>
      <c r="T6" s="3" t="s">
        <v>71</v>
      </c>
      <c r="U6" s="3" t="s">
        <v>72</v>
      </c>
      <c r="V6" s="3" t="str">
        <f>IF(COUNTA(A6:U6)=21,"OK","MISSING")</f>
        <v>OK</v>
      </c>
    </row>
    <row r="7" ht="35.05" hidden="0" outlineLevel="0" collapsed="0">
      <c r="A7" s="3">
        <v>3</v>
      </c>
      <c r="B7" s="3" t="s">
        <v>4</v>
      </c>
      <c r="C7" s="3" t="s">
        <v>81</v>
      </c>
      <c r="D7" s="3" t="s">
        <v>56</v>
      </c>
      <c r="E7" s="3" t="s">
        <v>82</v>
      </c>
      <c r="F7" s="12">
        <v>51362</v>
      </c>
      <c r="G7" s="3" t="s">
        <v>58</v>
      </c>
      <c r="H7" s="3" t="s">
        <v>59</v>
      </c>
      <c r="I7" s="3" t="s">
        <v>60</v>
      </c>
      <c r="J7" s="3" t="s">
        <v>83</v>
      </c>
      <c r="K7" s="3" t="s">
        <v>84</v>
      </c>
      <c r="L7" s="3" t="s">
        <v>85</v>
      </c>
      <c r="M7" s="3" t="s">
        <v>64</v>
      </c>
      <c r="N7" s="3" t="s">
        <v>13</v>
      </c>
      <c r="O7" s="3" t="s">
        <v>10</v>
      </c>
      <c r="P7" s="3" t="s">
        <v>86</v>
      </c>
      <c r="Q7" s="3" t="s">
        <v>68</v>
      </c>
      <c r="R7" s="3" t="s">
        <v>69</v>
      </c>
      <c r="S7" s="3" t="s">
        <v>70</v>
      </c>
      <c r="T7" s="3" t="s">
        <v>71</v>
      </c>
      <c r="U7" s="3" t="s">
        <v>72</v>
      </c>
      <c r="V7" s="3" t="str">
        <f>IF(COUNTA(A7:U7)=21,"OK","MISSING")</f>
        <v>OK</v>
      </c>
    </row>
    <row r="8" ht="35.05" hidden="0" outlineLevel="0" collapsed="0">
      <c r="A8" s="3">
        <v>4</v>
      </c>
      <c r="B8" s="3" t="s">
        <v>4</v>
      </c>
      <c r="C8" s="3" t="s">
        <v>87</v>
      </c>
      <c r="D8" s="3" t="s">
        <v>56</v>
      </c>
      <c r="E8" s="3" t="s">
        <v>88</v>
      </c>
      <c r="F8" s="12">
        <v>46309</v>
      </c>
      <c r="G8" s="3" t="s">
        <v>58</v>
      </c>
      <c r="H8" s="3" t="s">
        <v>59</v>
      </c>
      <c r="I8" s="3" t="s">
        <v>60</v>
      </c>
      <c r="J8" s="3" t="s">
        <v>89</v>
      </c>
      <c r="K8" s="3" t="s">
        <v>90</v>
      </c>
      <c r="L8" s="3" t="s">
        <v>85</v>
      </c>
      <c r="M8" s="3" t="s">
        <v>64</v>
      </c>
      <c r="N8" s="3" t="s">
        <v>13</v>
      </c>
      <c r="O8" s="3" t="s">
        <v>10</v>
      </c>
      <c r="P8" s="3" t="s">
        <v>86</v>
      </c>
      <c r="Q8" s="3" t="s">
        <v>68</v>
      </c>
      <c r="R8" s="3" t="s">
        <v>69</v>
      </c>
      <c r="S8" s="3" t="s">
        <v>70</v>
      </c>
      <c r="T8" s="3" t="s">
        <v>71</v>
      </c>
      <c r="U8" s="3" t="s">
        <v>72</v>
      </c>
      <c r="V8" s="3" t="str">
        <f>IF(COUNTA(A8:U8)=21,"OK","MISSING")</f>
        <v>OK</v>
      </c>
    </row>
    <row r="9" ht="35.05" hidden="0" outlineLevel="0" collapsed="0">
      <c r="A9" s="3">
        <v>5</v>
      </c>
      <c r="B9" s="3" t="s">
        <v>4</v>
      </c>
      <c r="C9" s="3" t="s">
        <v>91</v>
      </c>
      <c r="D9" s="3" t="s">
        <v>56</v>
      </c>
      <c r="E9" s="3" t="s">
        <v>92</v>
      </c>
      <c r="F9" s="12">
        <v>46398</v>
      </c>
      <c r="G9" s="3" t="s">
        <v>58</v>
      </c>
      <c r="H9" s="3" t="s">
        <v>59</v>
      </c>
      <c r="I9" s="3" t="s">
        <v>60</v>
      </c>
      <c r="J9" s="3" t="s">
        <v>93</v>
      </c>
      <c r="K9" s="3" t="s">
        <v>94</v>
      </c>
      <c r="L9" s="3" t="s">
        <v>85</v>
      </c>
      <c r="M9" s="3" t="s">
        <v>64</v>
      </c>
      <c r="N9" s="3" t="s">
        <v>13</v>
      </c>
      <c r="O9" s="3" t="s">
        <v>10</v>
      </c>
      <c r="P9" s="3" t="s">
        <v>86</v>
      </c>
      <c r="Q9" s="3" t="s">
        <v>68</v>
      </c>
      <c r="R9" s="3" t="s">
        <v>69</v>
      </c>
      <c r="S9" s="3" t="s">
        <v>70</v>
      </c>
      <c r="T9" s="3" t="s">
        <v>71</v>
      </c>
      <c r="U9" s="3" t="s">
        <v>72</v>
      </c>
      <c r="V9" s="3" t="str">
        <f>IF(COUNTA(A9:U9)=21,"OK","MISSING")</f>
        <v>OK</v>
      </c>
    </row>
    <row r="10" ht="35.05" hidden="0" outlineLevel="0" collapsed="0">
      <c r="A10" s="3">
        <v>6</v>
      </c>
      <c r="B10" s="3" t="s">
        <v>4</v>
      </c>
      <c r="C10" s="3" t="s">
        <v>95</v>
      </c>
      <c r="D10" s="3" t="s">
        <v>96</v>
      </c>
      <c r="E10" s="3" t="s">
        <v>57</v>
      </c>
      <c r="F10" s="12">
        <v>21479</v>
      </c>
      <c r="G10" s="3" t="s">
        <v>58</v>
      </c>
      <c r="H10" s="3" t="s">
        <v>59</v>
      </c>
      <c r="I10" s="3" t="s">
        <v>97</v>
      </c>
      <c r="J10" s="3" t="s">
        <v>61</v>
      </c>
      <c r="K10" s="3" t="s">
        <v>62</v>
      </c>
      <c r="L10" s="3" t="s">
        <v>63</v>
      </c>
      <c r="M10" s="3" t="s">
        <v>64</v>
      </c>
      <c r="N10" s="3" t="s">
        <v>65</v>
      </c>
      <c r="O10" s="3" t="s">
        <v>66</v>
      </c>
      <c r="P10" s="3" t="s">
        <v>67</v>
      </c>
      <c r="Q10" s="3" t="s">
        <v>68</v>
      </c>
      <c r="R10" s="3" t="s">
        <v>69</v>
      </c>
      <c r="S10" s="3" t="s">
        <v>70</v>
      </c>
      <c r="T10" s="3" t="s">
        <v>71</v>
      </c>
      <c r="U10" s="3" t="s">
        <v>72</v>
      </c>
      <c r="V10" s="3" t="str">
        <f>IF(COUNTA(A10:U10)=21,"OK","MISSING")</f>
        <v>OK</v>
      </c>
    </row>
    <row r="11" ht="35.05" hidden="0" outlineLevel="0" collapsed="0">
      <c r="A11" s="3">
        <v>7</v>
      </c>
      <c r="B11" s="3" t="s">
        <v>4</v>
      </c>
      <c r="C11" s="3" t="s">
        <v>98</v>
      </c>
      <c r="D11" s="3" t="s">
        <v>96</v>
      </c>
      <c r="E11" s="3" t="s">
        <v>74</v>
      </c>
      <c r="F11" s="12">
        <v>22292</v>
      </c>
      <c r="G11" s="3" t="s">
        <v>58</v>
      </c>
      <c r="H11" s="3" t="s">
        <v>59</v>
      </c>
      <c r="I11" s="3" t="s">
        <v>97</v>
      </c>
      <c r="J11" s="3" t="s">
        <v>75</v>
      </c>
      <c r="K11" s="3" t="s">
        <v>76</v>
      </c>
      <c r="L11" s="3" t="s">
        <v>77</v>
      </c>
      <c r="M11" s="3" t="s">
        <v>64</v>
      </c>
      <c r="N11" s="3" t="s">
        <v>78</v>
      </c>
      <c r="O11" s="3" t="s">
        <v>79</v>
      </c>
      <c r="P11" s="3" t="s">
        <v>80</v>
      </c>
      <c r="Q11" s="3" t="s">
        <v>68</v>
      </c>
      <c r="R11" s="3" t="s">
        <v>69</v>
      </c>
      <c r="S11" s="3" t="s">
        <v>70</v>
      </c>
      <c r="T11" s="3" t="s">
        <v>71</v>
      </c>
      <c r="U11" s="3" t="s">
        <v>72</v>
      </c>
      <c r="V11" s="3" t="str">
        <f>IF(COUNTA(A11:U11)=21,"OK","MISSING")</f>
        <v>OK</v>
      </c>
    </row>
    <row r="12" ht="35.05" hidden="0" outlineLevel="0" collapsed="0">
      <c r="A12" s="3">
        <v>8</v>
      </c>
      <c r="B12" s="3" t="s">
        <v>4</v>
      </c>
      <c r="C12" s="3" t="s">
        <v>99</v>
      </c>
      <c r="D12" s="3" t="s">
        <v>96</v>
      </c>
      <c r="E12" s="3" t="s">
        <v>82</v>
      </c>
      <c r="F12" s="12">
        <v>22887</v>
      </c>
      <c r="G12" s="3" t="s">
        <v>58</v>
      </c>
      <c r="H12" s="3" t="s">
        <v>59</v>
      </c>
      <c r="I12" s="3" t="s">
        <v>97</v>
      </c>
      <c r="J12" s="3" t="s">
        <v>83</v>
      </c>
      <c r="K12" s="3" t="s">
        <v>84</v>
      </c>
      <c r="L12" s="3" t="s">
        <v>85</v>
      </c>
      <c r="M12" s="3" t="s">
        <v>64</v>
      </c>
      <c r="N12" s="3" t="s">
        <v>13</v>
      </c>
      <c r="O12" s="3" t="s">
        <v>10</v>
      </c>
      <c r="P12" s="3" t="s">
        <v>86</v>
      </c>
      <c r="Q12" s="3" t="s">
        <v>68</v>
      </c>
      <c r="R12" s="3" t="s">
        <v>69</v>
      </c>
      <c r="S12" s="3" t="s">
        <v>70</v>
      </c>
      <c r="T12" s="3" t="s">
        <v>71</v>
      </c>
      <c r="U12" s="3" t="s">
        <v>72</v>
      </c>
      <c r="V12" s="3" t="str">
        <f>IF(COUNTA(A12:U12)=21,"OK","MISSING")</f>
        <v>OK</v>
      </c>
    </row>
    <row r="13" ht="35.05" hidden="0" outlineLevel="0" collapsed="0">
      <c r="A13" s="3">
        <v>9</v>
      </c>
      <c r="B13" s="3" t="s">
        <v>4</v>
      </c>
      <c r="C13" s="3" t="s">
        <v>100</v>
      </c>
      <c r="D13" s="3" t="s">
        <v>96</v>
      </c>
      <c r="E13" s="3" t="s">
        <v>88</v>
      </c>
      <c r="F13" s="12">
        <v>19790</v>
      </c>
      <c r="G13" s="3" t="s">
        <v>58</v>
      </c>
      <c r="H13" s="3" t="s">
        <v>59</v>
      </c>
      <c r="I13" s="3" t="s">
        <v>97</v>
      </c>
      <c r="J13" s="3" t="s">
        <v>89</v>
      </c>
      <c r="K13" s="3" t="s">
        <v>90</v>
      </c>
      <c r="L13" s="3" t="s">
        <v>85</v>
      </c>
      <c r="M13" s="3" t="s">
        <v>64</v>
      </c>
      <c r="N13" s="3" t="s">
        <v>13</v>
      </c>
      <c r="O13" s="3" t="s">
        <v>10</v>
      </c>
      <c r="P13" s="3" t="s">
        <v>86</v>
      </c>
      <c r="Q13" s="3" t="s">
        <v>68</v>
      </c>
      <c r="R13" s="3" t="s">
        <v>69</v>
      </c>
      <c r="S13" s="3" t="s">
        <v>70</v>
      </c>
      <c r="T13" s="3" t="s">
        <v>71</v>
      </c>
      <c r="U13" s="3" t="s">
        <v>72</v>
      </c>
      <c r="V13" s="3" t="str">
        <f>IF(COUNTA(A13:U13)=21,"OK","MISSING")</f>
        <v>OK</v>
      </c>
    </row>
    <row r="14" ht="35.05" hidden="0" outlineLevel="0" collapsed="0">
      <c r="A14" s="3">
        <v>10</v>
      </c>
      <c r="B14" s="3" t="s">
        <v>4</v>
      </c>
      <c r="C14" s="3" t="s">
        <v>101</v>
      </c>
      <c r="D14" s="3" t="s">
        <v>96</v>
      </c>
      <c r="E14" s="3" t="s">
        <v>92</v>
      </c>
      <c r="F14" s="12">
        <v>19911</v>
      </c>
      <c r="G14" s="3" t="s">
        <v>58</v>
      </c>
      <c r="H14" s="3" t="s">
        <v>59</v>
      </c>
      <c r="I14" s="3" t="s">
        <v>97</v>
      </c>
      <c r="J14" s="3" t="s">
        <v>93</v>
      </c>
      <c r="K14" s="3" t="s">
        <v>94</v>
      </c>
      <c r="L14" s="3" t="s">
        <v>85</v>
      </c>
      <c r="M14" s="3" t="s">
        <v>64</v>
      </c>
      <c r="N14" s="3" t="s">
        <v>13</v>
      </c>
      <c r="O14" s="3" t="s">
        <v>10</v>
      </c>
      <c r="P14" s="3" t="s">
        <v>86</v>
      </c>
      <c r="Q14" s="3" t="s">
        <v>68</v>
      </c>
      <c r="R14" s="3" t="s">
        <v>69</v>
      </c>
      <c r="S14" s="3" t="s">
        <v>70</v>
      </c>
      <c r="T14" s="3" t="s">
        <v>71</v>
      </c>
      <c r="U14" s="3" t="s">
        <v>72</v>
      </c>
      <c r="V14" s="3" t="str">
        <f>IF(COUNTA(A14:U14)=21,"OK","MISSING")</f>
        <v>OK</v>
      </c>
    </row>
    <row r="15" ht="23.85" hidden="0" outlineLevel="0" collapsed="0">
      <c r="A15" s="3">
        <v>11</v>
      </c>
      <c r="B15" s="3" t="s">
        <v>4</v>
      </c>
      <c r="C15" s="3" t="s">
        <v>102</v>
      </c>
      <c r="D15" s="3" t="s">
        <v>103</v>
      </c>
      <c r="E15" s="3" t="s">
        <v>82</v>
      </c>
      <c r="F15" s="12">
        <v>6539</v>
      </c>
      <c r="G15" s="3" t="s">
        <v>58</v>
      </c>
      <c r="H15" s="3" t="s">
        <v>59</v>
      </c>
      <c r="I15" s="3" t="s">
        <v>104</v>
      </c>
      <c r="J15" s="3" t="s">
        <v>105</v>
      </c>
      <c r="K15" s="3" t="s">
        <v>84</v>
      </c>
      <c r="L15" s="3" t="s">
        <v>106</v>
      </c>
      <c r="M15" s="3" t="s">
        <v>64</v>
      </c>
      <c r="N15" s="3" t="s">
        <v>13</v>
      </c>
      <c r="O15" s="3" t="s">
        <v>10</v>
      </c>
      <c r="P15" s="3" t="s">
        <v>107</v>
      </c>
      <c r="Q15" s="3" t="s">
        <v>68</v>
      </c>
      <c r="R15" s="3" t="s">
        <v>69</v>
      </c>
      <c r="S15" s="3" t="s">
        <v>108</v>
      </c>
      <c r="T15" s="3" t="s">
        <v>71</v>
      </c>
      <c r="U15" s="3" t="s">
        <v>109</v>
      </c>
      <c r="V15" s="3" t="str">
        <f>IF(COUNTA(A15:U15)=21,"OK","MISSING")</f>
        <v>OK</v>
      </c>
    </row>
    <row r="16" ht="23.85" hidden="0" outlineLevel="0" collapsed="0">
      <c r="A16" s="3">
        <v>12</v>
      </c>
      <c r="B16" s="3" t="s">
        <v>4</v>
      </c>
      <c r="C16" s="3" t="s">
        <v>110</v>
      </c>
      <c r="D16" s="3" t="s">
        <v>103</v>
      </c>
      <c r="E16" s="3" t="s">
        <v>88</v>
      </c>
      <c r="F16" s="12">
        <v>3778</v>
      </c>
      <c r="G16" s="3" t="s">
        <v>58</v>
      </c>
      <c r="H16" s="3" t="s">
        <v>59</v>
      </c>
      <c r="I16" s="3" t="s">
        <v>104</v>
      </c>
      <c r="J16" s="3" t="s">
        <v>105</v>
      </c>
      <c r="K16" s="3" t="s">
        <v>90</v>
      </c>
      <c r="L16" s="3" t="s">
        <v>106</v>
      </c>
      <c r="M16" s="3" t="s">
        <v>64</v>
      </c>
      <c r="N16" s="3" t="s">
        <v>13</v>
      </c>
      <c r="O16" s="3" t="s">
        <v>10</v>
      </c>
      <c r="P16" s="3" t="s">
        <v>107</v>
      </c>
      <c r="Q16" s="3" t="s">
        <v>68</v>
      </c>
      <c r="R16" s="3" t="s">
        <v>69</v>
      </c>
      <c r="S16" s="3" t="s">
        <v>108</v>
      </c>
      <c r="T16" s="3" t="s">
        <v>71</v>
      </c>
      <c r="U16" s="3" t="s">
        <v>109</v>
      </c>
      <c r="V16" s="3" t="str">
        <f>IF(COUNTA(A16:U16)=21,"OK","MISSING")</f>
        <v>OK</v>
      </c>
    </row>
    <row r="17" ht="23.85" hidden="0" outlineLevel="0" collapsed="0">
      <c r="A17" s="3">
        <v>13</v>
      </c>
      <c r="B17" s="3" t="s">
        <v>4</v>
      </c>
      <c r="C17" s="3" t="s">
        <v>111</v>
      </c>
      <c r="D17" s="3" t="s">
        <v>103</v>
      </c>
      <c r="E17" s="3" t="s">
        <v>92</v>
      </c>
      <c r="F17" s="12">
        <v>3850</v>
      </c>
      <c r="G17" s="3" t="s">
        <v>58</v>
      </c>
      <c r="H17" s="3" t="s">
        <v>59</v>
      </c>
      <c r="I17" s="3" t="s">
        <v>104</v>
      </c>
      <c r="J17" s="3" t="s">
        <v>105</v>
      </c>
      <c r="K17" s="3" t="s">
        <v>94</v>
      </c>
      <c r="L17" s="3" t="s">
        <v>106</v>
      </c>
      <c r="M17" s="3" t="s">
        <v>64</v>
      </c>
      <c r="N17" s="3" t="s">
        <v>13</v>
      </c>
      <c r="O17" s="3" t="s">
        <v>10</v>
      </c>
      <c r="P17" s="3" t="s">
        <v>107</v>
      </c>
      <c r="Q17" s="3" t="s">
        <v>68</v>
      </c>
      <c r="R17" s="3" t="s">
        <v>69</v>
      </c>
      <c r="S17" s="3" t="s">
        <v>108</v>
      </c>
      <c r="T17" s="3" t="s">
        <v>71</v>
      </c>
      <c r="U17" s="3" t="s">
        <v>109</v>
      </c>
      <c r="V17" s="3" t="str">
        <f>IF(COUNTA(A17:U17)=21,"OK","MISSING")</f>
        <v>OK</v>
      </c>
    </row>
    <row r="18" ht="35.05" hidden="0" outlineLevel="0" collapsed="0">
      <c r="A18" s="3">
        <v>14</v>
      </c>
      <c r="B18" s="3" t="s">
        <v>4</v>
      </c>
      <c r="C18" s="3" t="s">
        <v>112</v>
      </c>
      <c r="D18" s="3" t="s">
        <v>113</v>
      </c>
      <c r="E18" s="3" t="s">
        <v>57</v>
      </c>
      <c r="F18" s="12">
        <v>6046</v>
      </c>
      <c r="G18" s="3" t="s">
        <v>58</v>
      </c>
      <c r="H18" s="3" t="s">
        <v>59</v>
      </c>
      <c r="I18" s="3" t="s">
        <v>114</v>
      </c>
      <c r="J18" s="3" t="s">
        <v>61</v>
      </c>
      <c r="K18" s="3" t="s">
        <v>62</v>
      </c>
      <c r="L18" s="3" t="s">
        <v>63</v>
      </c>
      <c r="M18" s="3" t="s">
        <v>64</v>
      </c>
      <c r="N18" s="3" t="s">
        <v>65</v>
      </c>
      <c r="O18" s="3" t="s">
        <v>66</v>
      </c>
      <c r="P18" s="3" t="s">
        <v>67</v>
      </c>
      <c r="Q18" s="3" t="s">
        <v>68</v>
      </c>
      <c r="R18" s="3" t="s">
        <v>69</v>
      </c>
      <c r="S18" s="3" t="s">
        <v>70</v>
      </c>
      <c r="T18" s="3" t="s">
        <v>71</v>
      </c>
      <c r="U18" s="3" t="s">
        <v>72</v>
      </c>
      <c r="V18" s="3" t="str">
        <f>IF(COUNTA(A18:U18)=21,"OK","MISSING")</f>
        <v>OK</v>
      </c>
    </row>
    <row r="19" ht="35.05" hidden="0" outlineLevel="0" collapsed="0">
      <c r="A19" s="3">
        <v>15</v>
      </c>
      <c r="B19" s="3" t="s">
        <v>4</v>
      </c>
      <c r="C19" s="3" t="s">
        <v>115</v>
      </c>
      <c r="D19" s="3" t="s">
        <v>113</v>
      </c>
      <c r="E19" s="3" t="s">
        <v>74</v>
      </c>
      <c r="F19" s="12">
        <v>5070</v>
      </c>
      <c r="G19" s="3" t="s">
        <v>58</v>
      </c>
      <c r="H19" s="3" t="s">
        <v>59</v>
      </c>
      <c r="I19" s="3" t="s">
        <v>114</v>
      </c>
      <c r="J19" s="3" t="s">
        <v>75</v>
      </c>
      <c r="K19" s="3" t="s">
        <v>76</v>
      </c>
      <c r="L19" s="3" t="s">
        <v>77</v>
      </c>
      <c r="M19" s="3" t="s">
        <v>64</v>
      </c>
      <c r="N19" s="3" t="s">
        <v>78</v>
      </c>
      <c r="O19" s="3" t="s">
        <v>79</v>
      </c>
      <c r="P19" s="3" t="s">
        <v>80</v>
      </c>
      <c r="Q19" s="3" t="s">
        <v>68</v>
      </c>
      <c r="R19" s="3" t="s">
        <v>69</v>
      </c>
      <c r="S19" s="3" t="s">
        <v>70</v>
      </c>
      <c r="T19" s="3" t="s">
        <v>71</v>
      </c>
      <c r="U19" s="3" t="s">
        <v>72</v>
      </c>
      <c r="V19" s="3" t="str">
        <f>IF(COUNTA(A19:U19)=21,"OK","MISSING")</f>
        <v>OK</v>
      </c>
    </row>
    <row r="20" ht="35.05" hidden="0" outlineLevel="0" collapsed="0">
      <c r="A20" s="3">
        <v>16</v>
      </c>
      <c r="B20" s="3" t="s">
        <v>4</v>
      </c>
      <c r="C20" s="3" t="s">
        <v>116</v>
      </c>
      <c r="D20" s="3" t="s">
        <v>113</v>
      </c>
      <c r="E20" s="3" t="s">
        <v>82</v>
      </c>
      <c r="F20" s="12">
        <v>5700</v>
      </c>
      <c r="G20" s="3" t="s">
        <v>58</v>
      </c>
      <c r="H20" s="3" t="s">
        <v>59</v>
      </c>
      <c r="I20" s="3" t="s">
        <v>114</v>
      </c>
      <c r="J20" s="3" t="s">
        <v>83</v>
      </c>
      <c r="K20" s="3" t="s">
        <v>84</v>
      </c>
      <c r="L20" s="3" t="s">
        <v>85</v>
      </c>
      <c r="M20" s="3" t="s">
        <v>64</v>
      </c>
      <c r="N20" s="3" t="s">
        <v>13</v>
      </c>
      <c r="O20" s="3" t="s">
        <v>10</v>
      </c>
      <c r="P20" s="3" t="s">
        <v>86</v>
      </c>
      <c r="Q20" s="3" t="s">
        <v>68</v>
      </c>
      <c r="R20" s="3" t="s">
        <v>69</v>
      </c>
      <c r="S20" s="3" t="s">
        <v>70</v>
      </c>
      <c r="T20" s="3" t="s">
        <v>71</v>
      </c>
      <c r="U20" s="3" t="s">
        <v>72</v>
      </c>
      <c r="V20" s="3" t="str">
        <f>IF(COUNTA(A20:U20)=21,"OK","MISSING")</f>
        <v>OK</v>
      </c>
    </row>
    <row r="21" ht="35.05" hidden="0" outlineLevel="0" collapsed="0">
      <c r="A21" s="3">
        <v>17</v>
      </c>
      <c r="B21" s="3" t="s">
        <v>4</v>
      </c>
      <c r="C21" s="3" t="s">
        <v>117</v>
      </c>
      <c r="D21" s="3" t="s">
        <v>113</v>
      </c>
      <c r="E21" s="3" t="s">
        <v>88</v>
      </c>
      <c r="F21" s="12">
        <v>3219</v>
      </c>
      <c r="G21" s="3" t="s">
        <v>58</v>
      </c>
      <c r="H21" s="3" t="s">
        <v>59</v>
      </c>
      <c r="I21" s="3" t="s">
        <v>114</v>
      </c>
      <c r="J21" s="3" t="s">
        <v>89</v>
      </c>
      <c r="K21" s="3" t="s">
        <v>90</v>
      </c>
      <c r="L21" s="3" t="s">
        <v>85</v>
      </c>
      <c r="M21" s="3" t="s">
        <v>64</v>
      </c>
      <c r="N21" s="3" t="s">
        <v>13</v>
      </c>
      <c r="O21" s="3" t="s">
        <v>10</v>
      </c>
      <c r="P21" s="3" t="s">
        <v>86</v>
      </c>
      <c r="Q21" s="3" t="s">
        <v>68</v>
      </c>
      <c r="R21" s="3" t="s">
        <v>69</v>
      </c>
      <c r="S21" s="3" t="s">
        <v>70</v>
      </c>
      <c r="T21" s="3" t="s">
        <v>71</v>
      </c>
      <c r="U21" s="3" t="s">
        <v>72</v>
      </c>
      <c r="V21" s="3" t="str">
        <f>IF(COUNTA(A21:U21)=21,"OK","MISSING")</f>
        <v>OK</v>
      </c>
    </row>
    <row r="22" ht="35.05" hidden="0" outlineLevel="0" collapsed="0">
      <c r="A22" s="3">
        <v>18</v>
      </c>
      <c r="B22" s="3" t="s">
        <v>4</v>
      </c>
      <c r="C22" s="3" t="s">
        <v>118</v>
      </c>
      <c r="D22" s="3" t="s">
        <v>113</v>
      </c>
      <c r="E22" s="3" t="s">
        <v>92</v>
      </c>
      <c r="F22" s="12">
        <v>3108</v>
      </c>
      <c r="G22" s="3" t="s">
        <v>58</v>
      </c>
      <c r="H22" s="3" t="s">
        <v>59</v>
      </c>
      <c r="I22" s="3" t="s">
        <v>114</v>
      </c>
      <c r="J22" s="3" t="s">
        <v>93</v>
      </c>
      <c r="K22" s="3" t="s">
        <v>94</v>
      </c>
      <c r="L22" s="3" t="s">
        <v>85</v>
      </c>
      <c r="M22" s="3" t="s">
        <v>64</v>
      </c>
      <c r="N22" s="3" t="s">
        <v>13</v>
      </c>
      <c r="O22" s="3" t="s">
        <v>10</v>
      </c>
      <c r="P22" s="3" t="s">
        <v>86</v>
      </c>
      <c r="Q22" s="3" t="s">
        <v>68</v>
      </c>
      <c r="R22" s="3" t="s">
        <v>69</v>
      </c>
      <c r="S22" s="3" t="s">
        <v>70</v>
      </c>
      <c r="T22" s="3" t="s">
        <v>71</v>
      </c>
      <c r="U22" s="3" t="s">
        <v>72</v>
      </c>
      <c r="V22" s="3" t="str">
        <f>IF(COUNTA(A22:U22)=21,"OK","MISSING")</f>
        <v>OK</v>
      </c>
    </row>
    <row r="23" ht="35.05" hidden="0" outlineLevel="0" collapsed="0">
      <c r="A23" s="3">
        <v>19</v>
      </c>
      <c r="B23" s="3" t="s">
        <v>4</v>
      </c>
      <c r="C23" s="3" t="s">
        <v>119</v>
      </c>
      <c r="D23" s="3" t="s">
        <v>120</v>
      </c>
      <c r="E23" s="3" t="s">
        <v>57</v>
      </c>
      <c r="F23" s="12">
        <v>5188</v>
      </c>
      <c r="G23" s="3" t="s">
        <v>58</v>
      </c>
      <c r="H23" s="3" t="s">
        <v>59</v>
      </c>
      <c r="I23" s="3" t="s">
        <v>121</v>
      </c>
      <c r="J23" s="3" t="s">
        <v>61</v>
      </c>
      <c r="K23" s="3" t="s">
        <v>62</v>
      </c>
      <c r="L23" s="3" t="s">
        <v>63</v>
      </c>
      <c r="M23" s="3" t="s">
        <v>64</v>
      </c>
      <c r="N23" s="3" t="s">
        <v>65</v>
      </c>
      <c r="O23" s="3" t="s">
        <v>66</v>
      </c>
      <c r="P23" s="3" t="s">
        <v>67</v>
      </c>
      <c r="Q23" s="3" t="s">
        <v>68</v>
      </c>
      <c r="R23" s="3" t="s">
        <v>69</v>
      </c>
      <c r="S23" s="3" t="s">
        <v>70</v>
      </c>
      <c r="T23" s="3" t="s">
        <v>71</v>
      </c>
      <c r="U23" s="3" t="s">
        <v>72</v>
      </c>
      <c r="V23" s="3" t="str">
        <f>IF(COUNTA(A23:U23)=21,"OK","MISSING")</f>
        <v>OK</v>
      </c>
    </row>
    <row r="24" ht="35.05" hidden="0" outlineLevel="0" collapsed="0">
      <c r="A24" s="3">
        <v>20</v>
      </c>
      <c r="B24" s="3" t="s">
        <v>4</v>
      </c>
      <c r="C24" s="3" t="s">
        <v>122</v>
      </c>
      <c r="D24" s="3" t="s">
        <v>120</v>
      </c>
      <c r="E24" s="3" t="s">
        <v>74</v>
      </c>
      <c r="F24" s="12">
        <v>5841</v>
      </c>
      <c r="G24" s="3" t="s">
        <v>58</v>
      </c>
      <c r="H24" s="3" t="s">
        <v>59</v>
      </c>
      <c r="I24" s="3" t="s">
        <v>121</v>
      </c>
      <c r="J24" s="3" t="s">
        <v>75</v>
      </c>
      <c r="K24" s="3" t="s">
        <v>76</v>
      </c>
      <c r="L24" s="3" t="s">
        <v>77</v>
      </c>
      <c r="M24" s="3" t="s">
        <v>64</v>
      </c>
      <c r="N24" s="3" t="s">
        <v>78</v>
      </c>
      <c r="O24" s="3" t="s">
        <v>79</v>
      </c>
      <c r="P24" s="3" t="s">
        <v>80</v>
      </c>
      <c r="Q24" s="3" t="s">
        <v>68</v>
      </c>
      <c r="R24" s="3" t="s">
        <v>69</v>
      </c>
      <c r="S24" s="3" t="s">
        <v>70</v>
      </c>
      <c r="T24" s="3" t="s">
        <v>71</v>
      </c>
      <c r="U24" s="3" t="s">
        <v>72</v>
      </c>
      <c r="V24" s="3" t="str">
        <f>IF(COUNTA(A24:U24)=21,"OK","MISSING")</f>
        <v>OK</v>
      </c>
    </row>
    <row r="25" ht="35.05" hidden="0" outlineLevel="0" collapsed="0">
      <c r="A25" s="3">
        <v>21</v>
      </c>
      <c r="B25" s="3" t="s">
        <v>4</v>
      </c>
      <c r="C25" s="3" t="s">
        <v>123</v>
      </c>
      <c r="D25" s="3" t="s">
        <v>120</v>
      </c>
      <c r="E25" s="3" t="s">
        <v>82</v>
      </c>
      <c r="F25" s="12">
        <v>7429</v>
      </c>
      <c r="G25" s="3" t="s">
        <v>58</v>
      </c>
      <c r="H25" s="3" t="s">
        <v>59</v>
      </c>
      <c r="I25" s="3" t="s">
        <v>121</v>
      </c>
      <c r="J25" s="3" t="s">
        <v>83</v>
      </c>
      <c r="K25" s="3" t="s">
        <v>84</v>
      </c>
      <c r="L25" s="3" t="s">
        <v>85</v>
      </c>
      <c r="M25" s="3" t="s">
        <v>64</v>
      </c>
      <c r="N25" s="3" t="s">
        <v>13</v>
      </c>
      <c r="O25" s="3" t="s">
        <v>10</v>
      </c>
      <c r="P25" s="3" t="s">
        <v>86</v>
      </c>
      <c r="Q25" s="3" t="s">
        <v>68</v>
      </c>
      <c r="R25" s="3" t="s">
        <v>69</v>
      </c>
      <c r="S25" s="3" t="s">
        <v>70</v>
      </c>
      <c r="T25" s="3" t="s">
        <v>71</v>
      </c>
      <c r="U25" s="3" t="s">
        <v>72</v>
      </c>
      <c r="V25" s="3" t="str">
        <f>IF(COUNTA(A25:U25)=21,"OK","MISSING")</f>
        <v>OK</v>
      </c>
    </row>
    <row r="26" ht="35.05" hidden="0" outlineLevel="0" collapsed="0">
      <c r="A26" s="3">
        <v>22</v>
      </c>
      <c r="B26" s="3" t="s">
        <v>4</v>
      </c>
      <c r="C26" s="3" t="s">
        <v>124</v>
      </c>
      <c r="D26" s="3" t="s">
        <v>120</v>
      </c>
      <c r="E26" s="3" t="s">
        <v>88</v>
      </c>
      <c r="F26" s="12">
        <v>3698</v>
      </c>
      <c r="G26" s="3" t="s">
        <v>58</v>
      </c>
      <c r="H26" s="3" t="s">
        <v>59</v>
      </c>
      <c r="I26" s="3" t="s">
        <v>121</v>
      </c>
      <c r="J26" s="3" t="s">
        <v>89</v>
      </c>
      <c r="K26" s="3" t="s">
        <v>90</v>
      </c>
      <c r="L26" s="3" t="s">
        <v>85</v>
      </c>
      <c r="M26" s="3" t="s">
        <v>64</v>
      </c>
      <c r="N26" s="3" t="s">
        <v>13</v>
      </c>
      <c r="O26" s="3" t="s">
        <v>10</v>
      </c>
      <c r="P26" s="3" t="s">
        <v>86</v>
      </c>
      <c r="Q26" s="3" t="s">
        <v>68</v>
      </c>
      <c r="R26" s="3" t="s">
        <v>69</v>
      </c>
      <c r="S26" s="3" t="s">
        <v>70</v>
      </c>
      <c r="T26" s="3" t="s">
        <v>71</v>
      </c>
      <c r="U26" s="3" t="s">
        <v>72</v>
      </c>
      <c r="V26" s="3" t="str">
        <f>IF(COUNTA(A26:U26)=21,"OK","MISSING")</f>
        <v>OK</v>
      </c>
    </row>
    <row r="27" ht="35.05" hidden="0" outlineLevel="0" collapsed="0">
      <c r="A27" s="3">
        <v>23</v>
      </c>
      <c r="B27" s="3" t="s">
        <v>4</v>
      </c>
      <c r="C27" s="3" t="s">
        <v>125</v>
      </c>
      <c r="D27" s="3" t="s">
        <v>120</v>
      </c>
      <c r="E27" s="3" t="s">
        <v>92</v>
      </c>
      <c r="F27" s="12">
        <v>2868</v>
      </c>
      <c r="G27" s="3" t="s">
        <v>58</v>
      </c>
      <c r="H27" s="3" t="s">
        <v>59</v>
      </c>
      <c r="I27" s="3" t="s">
        <v>121</v>
      </c>
      <c r="J27" s="3" t="s">
        <v>93</v>
      </c>
      <c r="K27" s="3" t="s">
        <v>94</v>
      </c>
      <c r="L27" s="3" t="s">
        <v>85</v>
      </c>
      <c r="M27" s="3" t="s">
        <v>64</v>
      </c>
      <c r="N27" s="3" t="s">
        <v>13</v>
      </c>
      <c r="O27" s="3" t="s">
        <v>10</v>
      </c>
      <c r="P27" s="3" t="s">
        <v>86</v>
      </c>
      <c r="Q27" s="3" t="s">
        <v>68</v>
      </c>
      <c r="R27" s="3" t="s">
        <v>69</v>
      </c>
      <c r="S27" s="3" t="s">
        <v>70</v>
      </c>
      <c r="T27" s="3" t="s">
        <v>71</v>
      </c>
      <c r="U27" s="3" t="s">
        <v>72</v>
      </c>
      <c r="V27" s="3" t="str">
        <f>IF(COUNTA(A27:U27)=21,"OK","MISSING")</f>
        <v>OK</v>
      </c>
    </row>
    <row r="28" ht="35.05" hidden="0" outlineLevel="0" collapsed="0">
      <c r="A28" s="3">
        <v>24</v>
      </c>
      <c r="B28" s="3" t="s">
        <v>4</v>
      </c>
      <c r="C28" s="3" t="s">
        <v>126</v>
      </c>
      <c r="D28" s="3" t="s">
        <v>127</v>
      </c>
      <c r="E28" s="3" t="s">
        <v>57</v>
      </c>
      <c r="F28" s="12">
        <v>758</v>
      </c>
      <c r="G28" s="3" t="s">
        <v>58</v>
      </c>
      <c r="H28" s="3" t="s">
        <v>59</v>
      </c>
      <c r="I28" s="3" t="s">
        <v>128</v>
      </c>
      <c r="J28" s="3" t="s">
        <v>61</v>
      </c>
      <c r="K28" s="3" t="s">
        <v>62</v>
      </c>
      <c r="L28" s="3" t="s">
        <v>63</v>
      </c>
      <c r="M28" s="3" t="s">
        <v>64</v>
      </c>
      <c r="N28" s="3" t="s">
        <v>65</v>
      </c>
      <c r="O28" s="3" t="s">
        <v>66</v>
      </c>
      <c r="P28" s="3" t="s">
        <v>67</v>
      </c>
      <c r="Q28" s="3" t="s">
        <v>68</v>
      </c>
      <c r="R28" s="3" t="s">
        <v>69</v>
      </c>
      <c r="S28" s="3" t="s">
        <v>70</v>
      </c>
      <c r="T28" s="3" t="s">
        <v>71</v>
      </c>
      <c r="U28" s="3" t="s">
        <v>72</v>
      </c>
      <c r="V28" s="3" t="str">
        <f>IF(COUNTA(A28:U28)=21,"OK","MISSING")</f>
        <v>OK</v>
      </c>
    </row>
    <row r="29" ht="35.05" hidden="0" outlineLevel="0" collapsed="0">
      <c r="A29" s="3">
        <v>25</v>
      </c>
      <c r="B29" s="3" t="s">
        <v>4</v>
      </c>
      <c r="C29" s="3" t="s">
        <v>129</v>
      </c>
      <c r="D29" s="3" t="s">
        <v>127</v>
      </c>
      <c r="E29" s="3" t="s">
        <v>74</v>
      </c>
      <c r="F29" s="12">
        <v>969</v>
      </c>
      <c r="G29" s="3" t="s">
        <v>58</v>
      </c>
      <c r="H29" s="3" t="s">
        <v>59</v>
      </c>
      <c r="I29" s="3" t="s">
        <v>128</v>
      </c>
      <c r="J29" s="3" t="s">
        <v>75</v>
      </c>
      <c r="K29" s="3" t="s">
        <v>76</v>
      </c>
      <c r="L29" s="3" t="s">
        <v>77</v>
      </c>
      <c r="M29" s="3" t="s">
        <v>64</v>
      </c>
      <c r="N29" s="3" t="s">
        <v>78</v>
      </c>
      <c r="O29" s="3" t="s">
        <v>79</v>
      </c>
      <c r="P29" s="3" t="s">
        <v>80</v>
      </c>
      <c r="Q29" s="3" t="s">
        <v>68</v>
      </c>
      <c r="R29" s="3" t="s">
        <v>69</v>
      </c>
      <c r="S29" s="3" t="s">
        <v>70</v>
      </c>
      <c r="T29" s="3" t="s">
        <v>71</v>
      </c>
      <c r="U29" s="3" t="s">
        <v>72</v>
      </c>
      <c r="V29" s="3" t="str">
        <f>IF(COUNTA(A29:U29)=21,"OK","MISSING")</f>
        <v>OK</v>
      </c>
    </row>
    <row r="30" ht="35.05" hidden="0" outlineLevel="0" collapsed="0">
      <c r="A30" s="3">
        <v>26</v>
      </c>
      <c r="B30" s="3" t="s">
        <v>4</v>
      </c>
      <c r="C30" s="3" t="s">
        <v>130</v>
      </c>
      <c r="D30" s="3" t="s">
        <v>127</v>
      </c>
      <c r="E30" s="3" t="s">
        <v>82</v>
      </c>
      <c r="F30" s="12">
        <v>812</v>
      </c>
      <c r="G30" s="3" t="s">
        <v>58</v>
      </c>
      <c r="H30" s="3" t="s">
        <v>59</v>
      </c>
      <c r="I30" s="3" t="s">
        <v>128</v>
      </c>
      <c r="J30" s="3" t="s">
        <v>83</v>
      </c>
      <c r="K30" s="3" t="s">
        <v>84</v>
      </c>
      <c r="L30" s="3" t="s">
        <v>85</v>
      </c>
      <c r="M30" s="3" t="s">
        <v>64</v>
      </c>
      <c r="N30" s="3" t="s">
        <v>13</v>
      </c>
      <c r="O30" s="3" t="s">
        <v>10</v>
      </c>
      <c r="P30" s="3" t="s">
        <v>86</v>
      </c>
      <c r="Q30" s="3" t="s">
        <v>68</v>
      </c>
      <c r="R30" s="3" t="s">
        <v>69</v>
      </c>
      <c r="S30" s="3" t="s">
        <v>70</v>
      </c>
      <c r="T30" s="3" t="s">
        <v>71</v>
      </c>
      <c r="U30" s="3" t="s">
        <v>72</v>
      </c>
      <c r="V30" s="3" t="str">
        <f>IF(COUNTA(A30:U30)=21,"OK","MISSING")</f>
        <v>OK</v>
      </c>
    </row>
    <row r="31" ht="35.05" hidden="0" outlineLevel="0" collapsed="0">
      <c r="A31" s="3">
        <v>27</v>
      </c>
      <c r="B31" s="3" t="s">
        <v>4</v>
      </c>
      <c r="C31" s="3" t="s">
        <v>131</v>
      </c>
      <c r="D31" s="3" t="s">
        <v>127</v>
      </c>
      <c r="E31" s="3" t="s">
        <v>88</v>
      </c>
      <c r="F31" s="12">
        <v>430</v>
      </c>
      <c r="G31" s="3" t="s">
        <v>58</v>
      </c>
      <c r="H31" s="3" t="s">
        <v>59</v>
      </c>
      <c r="I31" s="3" t="s">
        <v>128</v>
      </c>
      <c r="J31" s="3" t="s">
        <v>89</v>
      </c>
      <c r="K31" s="3" t="s">
        <v>90</v>
      </c>
      <c r="L31" s="3" t="s">
        <v>85</v>
      </c>
      <c r="M31" s="3" t="s">
        <v>64</v>
      </c>
      <c r="N31" s="3" t="s">
        <v>13</v>
      </c>
      <c r="O31" s="3" t="s">
        <v>10</v>
      </c>
      <c r="P31" s="3" t="s">
        <v>86</v>
      </c>
      <c r="Q31" s="3" t="s">
        <v>68</v>
      </c>
      <c r="R31" s="3" t="s">
        <v>69</v>
      </c>
      <c r="S31" s="3" t="s">
        <v>70</v>
      </c>
      <c r="T31" s="3" t="s">
        <v>71</v>
      </c>
      <c r="U31" s="3" t="s">
        <v>72</v>
      </c>
      <c r="V31" s="3" t="str">
        <f>IF(COUNTA(A31:U31)=21,"OK","MISSING")</f>
        <v>OK</v>
      </c>
    </row>
    <row r="32" ht="35.05" hidden="0" outlineLevel="0" collapsed="0">
      <c r="A32" s="3">
        <v>28</v>
      </c>
      <c r="B32" s="3" t="s">
        <v>4</v>
      </c>
      <c r="C32" s="3" t="s">
        <v>132</v>
      </c>
      <c r="D32" s="3" t="s">
        <v>127</v>
      </c>
      <c r="E32" s="3" t="s">
        <v>92</v>
      </c>
      <c r="F32" s="12">
        <v>684</v>
      </c>
      <c r="G32" s="3" t="s">
        <v>58</v>
      </c>
      <c r="H32" s="3" t="s">
        <v>59</v>
      </c>
      <c r="I32" s="3" t="s">
        <v>128</v>
      </c>
      <c r="J32" s="3" t="s">
        <v>93</v>
      </c>
      <c r="K32" s="3" t="s">
        <v>94</v>
      </c>
      <c r="L32" s="3" t="s">
        <v>85</v>
      </c>
      <c r="M32" s="3" t="s">
        <v>64</v>
      </c>
      <c r="N32" s="3" t="s">
        <v>13</v>
      </c>
      <c r="O32" s="3" t="s">
        <v>10</v>
      </c>
      <c r="P32" s="3" t="s">
        <v>86</v>
      </c>
      <c r="Q32" s="3" t="s">
        <v>68</v>
      </c>
      <c r="R32" s="3" t="s">
        <v>69</v>
      </c>
      <c r="S32" s="3" t="s">
        <v>70</v>
      </c>
      <c r="T32" s="3" t="s">
        <v>71</v>
      </c>
      <c r="U32" s="3" t="s">
        <v>72</v>
      </c>
      <c r="V32" s="3" t="str">
        <f>IF(COUNTA(A32:U32)=21,"OK","MISSING")</f>
        <v>OK</v>
      </c>
    </row>
    <row r="33" ht="35.05" hidden="0" outlineLevel="0" collapsed="0">
      <c r="A33" s="3">
        <v>29</v>
      </c>
      <c r="B33" s="3" t="s">
        <v>4</v>
      </c>
      <c r="C33" s="3" t="s">
        <v>133</v>
      </c>
      <c r="D33" s="3" t="s">
        <v>134</v>
      </c>
      <c r="E33" s="3" t="s">
        <v>57</v>
      </c>
      <c r="F33" s="12">
        <v>40321</v>
      </c>
      <c r="G33" s="3" t="s">
        <v>58</v>
      </c>
      <c r="H33" s="3" t="s">
        <v>59</v>
      </c>
      <c r="I33" s="3" t="s">
        <v>135</v>
      </c>
      <c r="J33" s="3" t="s">
        <v>136</v>
      </c>
      <c r="K33" s="3" t="s">
        <v>62</v>
      </c>
      <c r="L33" s="3" t="s">
        <v>137</v>
      </c>
      <c r="M33" s="3" t="s">
        <v>64</v>
      </c>
      <c r="N33" s="3" t="s">
        <v>138</v>
      </c>
      <c r="O33" s="3" t="s">
        <v>139</v>
      </c>
      <c r="P33" s="3" t="s">
        <v>140</v>
      </c>
      <c r="Q33" s="3" t="s">
        <v>68</v>
      </c>
      <c r="R33" s="3" t="s">
        <v>69</v>
      </c>
      <c r="S33" s="3" t="s">
        <v>70</v>
      </c>
      <c r="T33" s="3" t="s">
        <v>71</v>
      </c>
      <c r="U33" s="3" t="s">
        <v>72</v>
      </c>
      <c r="V33" s="3" t="str">
        <f>IF(COUNTA(A33:U33)=21,"OK","MISSING")</f>
        <v>OK</v>
      </c>
    </row>
    <row r="34" ht="35.05" hidden="0" outlineLevel="0" collapsed="0">
      <c r="A34" s="3">
        <v>30</v>
      </c>
      <c r="B34" s="3" t="s">
        <v>4</v>
      </c>
      <c r="C34" s="3" t="s">
        <v>141</v>
      </c>
      <c r="D34" s="3" t="s">
        <v>134</v>
      </c>
      <c r="E34" s="3" t="s">
        <v>74</v>
      </c>
      <c r="F34" s="12">
        <v>37531</v>
      </c>
      <c r="G34" s="3" t="s">
        <v>58</v>
      </c>
      <c r="H34" s="3" t="s">
        <v>59</v>
      </c>
      <c r="I34" s="3" t="s">
        <v>135</v>
      </c>
      <c r="J34" s="3" t="s">
        <v>136</v>
      </c>
      <c r="K34" s="3" t="s">
        <v>76</v>
      </c>
      <c r="L34" s="3" t="s">
        <v>63</v>
      </c>
      <c r="M34" s="3" t="s">
        <v>64</v>
      </c>
      <c r="N34" s="3" t="s">
        <v>65</v>
      </c>
      <c r="O34" s="3" t="s">
        <v>66</v>
      </c>
      <c r="P34" s="3" t="s">
        <v>67</v>
      </c>
      <c r="Q34" s="3" t="s">
        <v>68</v>
      </c>
      <c r="R34" s="3" t="s">
        <v>69</v>
      </c>
      <c r="S34" s="3" t="s">
        <v>70</v>
      </c>
      <c r="T34" s="3" t="s">
        <v>71</v>
      </c>
      <c r="U34" s="3" t="s">
        <v>72</v>
      </c>
      <c r="V34" s="3" t="str">
        <f>IF(COUNTA(A34:U34)=21,"OK","MISSING")</f>
        <v>OK</v>
      </c>
    </row>
    <row r="35" ht="35.05" hidden="0" outlineLevel="0" collapsed="0">
      <c r="A35" s="3">
        <v>31</v>
      </c>
      <c r="B35" s="3" t="s">
        <v>4</v>
      </c>
      <c r="C35" s="3" t="s">
        <v>142</v>
      </c>
      <c r="D35" s="3" t="s">
        <v>134</v>
      </c>
      <c r="E35" s="3" t="s">
        <v>82</v>
      </c>
      <c r="F35" s="12">
        <v>38110</v>
      </c>
      <c r="G35" s="3" t="s">
        <v>58</v>
      </c>
      <c r="H35" s="3" t="s">
        <v>59</v>
      </c>
      <c r="I35" s="3" t="s">
        <v>135</v>
      </c>
      <c r="J35" s="3" t="s">
        <v>136</v>
      </c>
      <c r="K35" s="3" t="s">
        <v>84</v>
      </c>
      <c r="L35" s="3" t="s">
        <v>77</v>
      </c>
      <c r="M35" s="3" t="s">
        <v>64</v>
      </c>
      <c r="N35" s="3" t="s">
        <v>78</v>
      </c>
      <c r="O35" s="3" t="s">
        <v>79</v>
      </c>
      <c r="P35" s="3" t="s">
        <v>80</v>
      </c>
      <c r="Q35" s="3" t="s">
        <v>68</v>
      </c>
      <c r="R35" s="3" t="s">
        <v>69</v>
      </c>
      <c r="S35" s="3" t="s">
        <v>70</v>
      </c>
      <c r="T35" s="3" t="s">
        <v>71</v>
      </c>
      <c r="U35" s="3" t="s">
        <v>72</v>
      </c>
      <c r="V35" s="3" t="str">
        <f>IF(COUNTA(A35:U35)=21,"OK","MISSING")</f>
        <v>OK</v>
      </c>
    </row>
    <row r="36" ht="35.05" hidden="0" outlineLevel="0" collapsed="0">
      <c r="A36" s="3">
        <v>32</v>
      </c>
      <c r="B36" s="3" t="s">
        <v>4</v>
      </c>
      <c r="C36" s="3" t="s">
        <v>143</v>
      </c>
      <c r="D36" s="3" t="s">
        <v>134</v>
      </c>
      <c r="E36" s="3" t="s">
        <v>88</v>
      </c>
      <c r="F36" s="12">
        <v>36579</v>
      </c>
      <c r="G36" s="3" t="s">
        <v>58</v>
      </c>
      <c r="H36" s="3" t="s">
        <v>59</v>
      </c>
      <c r="I36" s="3" t="s">
        <v>135</v>
      </c>
      <c r="J36" s="3" t="s">
        <v>136</v>
      </c>
      <c r="K36" s="3" t="s">
        <v>90</v>
      </c>
      <c r="L36" s="3" t="s">
        <v>85</v>
      </c>
      <c r="M36" s="3" t="s">
        <v>64</v>
      </c>
      <c r="N36" s="3" t="s">
        <v>13</v>
      </c>
      <c r="O36" s="3" t="s">
        <v>10</v>
      </c>
      <c r="P36" s="3" t="s">
        <v>86</v>
      </c>
      <c r="Q36" s="3" t="s">
        <v>68</v>
      </c>
      <c r="R36" s="3" t="s">
        <v>69</v>
      </c>
      <c r="S36" s="3" t="s">
        <v>70</v>
      </c>
      <c r="T36" s="3" t="s">
        <v>71</v>
      </c>
      <c r="U36" s="3" t="s">
        <v>72</v>
      </c>
      <c r="V36" s="3" t="str">
        <f>IF(COUNTA(A36:U36)=21,"OK","MISSING")</f>
        <v>OK</v>
      </c>
    </row>
    <row r="37" ht="35.05" hidden="0" outlineLevel="0" collapsed="0">
      <c r="A37" s="3">
        <v>33</v>
      </c>
      <c r="B37" s="3" t="s">
        <v>4</v>
      </c>
      <c r="C37" s="3" t="s">
        <v>144</v>
      </c>
      <c r="D37" s="3" t="s">
        <v>134</v>
      </c>
      <c r="E37" s="3" t="s">
        <v>92</v>
      </c>
      <c r="F37" s="12">
        <v>38410</v>
      </c>
      <c r="G37" s="3" t="s">
        <v>58</v>
      </c>
      <c r="H37" s="3" t="s">
        <v>59</v>
      </c>
      <c r="I37" s="3" t="s">
        <v>135</v>
      </c>
      <c r="J37" s="3" t="s">
        <v>136</v>
      </c>
      <c r="K37" s="3" t="s">
        <v>94</v>
      </c>
      <c r="L37" s="3" t="s">
        <v>85</v>
      </c>
      <c r="M37" s="3" t="s">
        <v>64</v>
      </c>
      <c r="N37" s="3" t="s">
        <v>13</v>
      </c>
      <c r="O37" s="3" t="s">
        <v>10</v>
      </c>
      <c r="P37" s="3" t="s">
        <v>86</v>
      </c>
      <c r="Q37" s="3" t="s">
        <v>68</v>
      </c>
      <c r="R37" s="3" t="s">
        <v>69</v>
      </c>
      <c r="S37" s="3" t="s">
        <v>70</v>
      </c>
      <c r="T37" s="3" t="s">
        <v>71</v>
      </c>
      <c r="U37" s="3" t="s">
        <v>72</v>
      </c>
      <c r="V37" s="3" t="str">
        <f>IF(COUNTA(A37:U37)=21,"OK","MISSING")</f>
        <v>OK</v>
      </c>
    </row>
    <row r="38" ht="35.05" hidden="0" outlineLevel="0" collapsed="0">
      <c r="A38" s="3">
        <v>34</v>
      </c>
      <c r="B38" s="3" t="s">
        <v>4</v>
      </c>
      <c r="C38" s="3" t="s">
        <v>145</v>
      </c>
      <c r="D38" s="3" t="s">
        <v>146</v>
      </c>
      <c r="E38" s="3" t="s">
        <v>57</v>
      </c>
      <c r="F38" s="12">
        <v>15281</v>
      </c>
      <c r="G38" s="3" t="s">
        <v>58</v>
      </c>
      <c r="H38" s="3" t="s">
        <v>59</v>
      </c>
      <c r="I38" s="3" t="s">
        <v>147</v>
      </c>
      <c r="J38" s="3" t="s">
        <v>136</v>
      </c>
      <c r="K38" s="3" t="s">
        <v>62</v>
      </c>
      <c r="L38" s="3" t="s">
        <v>77</v>
      </c>
      <c r="M38" s="3" t="s">
        <v>64</v>
      </c>
      <c r="N38" s="3" t="s">
        <v>78</v>
      </c>
      <c r="O38" s="3" t="s">
        <v>79</v>
      </c>
      <c r="P38" s="3" t="s">
        <v>80</v>
      </c>
      <c r="Q38" s="3" t="s">
        <v>68</v>
      </c>
      <c r="R38" s="3" t="s">
        <v>69</v>
      </c>
      <c r="S38" s="3" t="s">
        <v>70</v>
      </c>
      <c r="T38" s="3" t="s">
        <v>71</v>
      </c>
      <c r="U38" s="3" t="s">
        <v>72</v>
      </c>
      <c r="V38" s="3" t="str">
        <f>IF(COUNTA(A38:U38)=21,"OK","MISSING")</f>
        <v>OK</v>
      </c>
    </row>
    <row r="39" ht="35.05" hidden="0" outlineLevel="0" collapsed="0">
      <c r="A39" s="3">
        <v>35</v>
      </c>
      <c r="B39" s="3" t="s">
        <v>4</v>
      </c>
      <c r="C39" s="3" t="s">
        <v>148</v>
      </c>
      <c r="D39" s="3" t="s">
        <v>146</v>
      </c>
      <c r="E39" s="3" t="s">
        <v>74</v>
      </c>
      <c r="F39" s="12">
        <v>14004</v>
      </c>
      <c r="G39" s="3" t="s">
        <v>58</v>
      </c>
      <c r="H39" s="3" t="s">
        <v>59</v>
      </c>
      <c r="I39" s="3" t="s">
        <v>147</v>
      </c>
      <c r="J39" s="3" t="s">
        <v>136</v>
      </c>
      <c r="K39" s="3" t="s">
        <v>76</v>
      </c>
      <c r="L39" s="3" t="s">
        <v>85</v>
      </c>
      <c r="M39" s="3" t="s">
        <v>64</v>
      </c>
      <c r="N39" s="3" t="s">
        <v>13</v>
      </c>
      <c r="O39" s="3" t="s">
        <v>10</v>
      </c>
      <c r="P39" s="3" t="s">
        <v>86</v>
      </c>
      <c r="Q39" s="3" t="s">
        <v>68</v>
      </c>
      <c r="R39" s="3" t="s">
        <v>69</v>
      </c>
      <c r="S39" s="3" t="s">
        <v>70</v>
      </c>
      <c r="T39" s="3" t="s">
        <v>71</v>
      </c>
      <c r="U39" s="3" t="s">
        <v>72</v>
      </c>
      <c r="V39" s="3" t="str">
        <f>IF(COUNTA(A39:U39)=21,"OK","MISSING")</f>
        <v>OK</v>
      </c>
    </row>
    <row r="40" ht="35.05" hidden="0" outlineLevel="0" collapsed="0">
      <c r="A40" s="3">
        <v>36</v>
      </c>
      <c r="B40" s="3" t="s">
        <v>4</v>
      </c>
      <c r="C40" s="3" t="s">
        <v>149</v>
      </c>
      <c r="D40" s="3" t="s">
        <v>146</v>
      </c>
      <c r="E40" s="3" t="s">
        <v>82</v>
      </c>
      <c r="F40" s="12">
        <v>14430</v>
      </c>
      <c r="G40" s="3" t="s">
        <v>58</v>
      </c>
      <c r="H40" s="3" t="s">
        <v>59</v>
      </c>
      <c r="I40" s="3" t="s">
        <v>147</v>
      </c>
      <c r="J40" s="3" t="s">
        <v>136</v>
      </c>
      <c r="K40" s="3" t="s">
        <v>84</v>
      </c>
      <c r="L40" s="3" t="s">
        <v>85</v>
      </c>
      <c r="M40" s="3" t="s">
        <v>64</v>
      </c>
      <c r="N40" s="3" t="s">
        <v>13</v>
      </c>
      <c r="O40" s="3" t="s">
        <v>10</v>
      </c>
      <c r="P40" s="3" t="s">
        <v>86</v>
      </c>
      <c r="Q40" s="3" t="s">
        <v>68</v>
      </c>
      <c r="R40" s="3" t="s">
        <v>69</v>
      </c>
      <c r="S40" s="3" t="s">
        <v>70</v>
      </c>
      <c r="T40" s="3" t="s">
        <v>71</v>
      </c>
      <c r="U40" s="3" t="s">
        <v>72</v>
      </c>
      <c r="V40" s="3" t="str">
        <f>IF(COUNTA(A40:U40)=21,"OK","MISSING")</f>
        <v>OK</v>
      </c>
    </row>
    <row r="41" ht="35.05" hidden="0" outlineLevel="0" collapsed="0">
      <c r="A41" s="3">
        <v>37</v>
      </c>
      <c r="B41" s="3" t="s">
        <v>4</v>
      </c>
      <c r="C41" s="3" t="s">
        <v>150</v>
      </c>
      <c r="D41" s="3" t="s">
        <v>146</v>
      </c>
      <c r="E41" s="3" t="s">
        <v>88</v>
      </c>
      <c r="F41" s="12">
        <v>13213</v>
      </c>
      <c r="G41" s="3" t="s">
        <v>58</v>
      </c>
      <c r="H41" s="3" t="s">
        <v>59</v>
      </c>
      <c r="I41" s="3" t="s">
        <v>147</v>
      </c>
      <c r="J41" s="3" t="s">
        <v>136</v>
      </c>
      <c r="K41" s="3" t="s">
        <v>90</v>
      </c>
      <c r="L41" s="3" t="s">
        <v>85</v>
      </c>
      <c r="M41" s="3" t="s">
        <v>64</v>
      </c>
      <c r="N41" s="3" t="s">
        <v>13</v>
      </c>
      <c r="O41" s="3" t="s">
        <v>10</v>
      </c>
      <c r="P41" s="3" t="s">
        <v>86</v>
      </c>
      <c r="Q41" s="3" t="s">
        <v>68</v>
      </c>
      <c r="R41" s="3" t="s">
        <v>69</v>
      </c>
      <c r="S41" s="3" t="s">
        <v>70</v>
      </c>
      <c r="T41" s="3" t="s">
        <v>71</v>
      </c>
      <c r="U41" s="3" t="s">
        <v>72</v>
      </c>
      <c r="V41" s="3" t="str">
        <f>IF(COUNTA(A41:U41)=21,"OK","MISSING")</f>
        <v>OK</v>
      </c>
    </row>
    <row r="42" ht="35.05" hidden="0" outlineLevel="0" collapsed="0">
      <c r="A42" s="3">
        <v>38</v>
      </c>
      <c r="B42" s="3" t="s">
        <v>4</v>
      </c>
      <c r="C42" s="3" t="s">
        <v>151</v>
      </c>
      <c r="D42" s="3" t="s">
        <v>146</v>
      </c>
      <c r="E42" s="3" t="s">
        <v>92</v>
      </c>
      <c r="F42" s="12">
        <v>14865</v>
      </c>
      <c r="G42" s="3" t="s">
        <v>58</v>
      </c>
      <c r="H42" s="3" t="s">
        <v>59</v>
      </c>
      <c r="I42" s="3" t="s">
        <v>147</v>
      </c>
      <c r="J42" s="3" t="s">
        <v>136</v>
      </c>
      <c r="K42" s="3" t="s">
        <v>94</v>
      </c>
      <c r="L42" s="3" t="s">
        <v>85</v>
      </c>
      <c r="M42" s="3" t="s">
        <v>64</v>
      </c>
      <c r="N42" s="3" t="s">
        <v>13</v>
      </c>
      <c r="O42" s="3" t="s">
        <v>10</v>
      </c>
      <c r="P42" s="3" t="s">
        <v>86</v>
      </c>
      <c r="Q42" s="3" t="s">
        <v>68</v>
      </c>
      <c r="R42" s="3" t="s">
        <v>69</v>
      </c>
      <c r="S42" s="3" t="s">
        <v>70</v>
      </c>
      <c r="T42" s="3" t="s">
        <v>71</v>
      </c>
      <c r="U42" s="3" t="s">
        <v>72</v>
      </c>
      <c r="V42" s="3" t="str">
        <f>IF(COUNTA(A42:U42)=21,"OK","MISSING")</f>
        <v>OK</v>
      </c>
    </row>
    <row r="43" ht="35.05" hidden="0" outlineLevel="0" collapsed="0">
      <c r="A43" s="3">
        <v>39</v>
      </c>
      <c r="B43" s="3" t="s">
        <v>4</v>
      </c>
      <c r="C43" s="3" t="s">
        <v>152</v>
      </c>
      <c r="D43" s="3" t="s">
        <v>153</v>
      </c>
      <c r="E43" s="3" t="s">
        <v>57</v>
      </c>
      <c r="F43" s="12">
        <v>8574</v>
      </c>
      <c r="G43" s="3" t="s">
        <v>58</v>
      </c>
      <c r="H43" s="3" t="s">
        <v>59</v>
      </c>
      <c r="I43" s="3" t="s">
        <v>154</v>
      </c>
      <c r="J43" s="3" t="s">
        <v>136</v>
      </c>
      <c r="K43" s="3" t="s">
        <v>62</v>
      </c>
      <c r="L43" s="3" t="s">
        <v>137</v>
      </c>
      <c r="M43" s="3" t="s">
        <v>64</v>
      </c>
      <c r="N43" s="3" t="s">
        <v>138</v>
      </c>
      <c r="O43" s="3" t="s">
        <v>139</v>
      </c>
      <c r="P43" s="3" t="s">
        <v>140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tr">
        <f>IF(COUNTA(A43:U43)=21,"OK","MISSING")</f>
        <v>OK</v>
      </c>
    </row>
    <row r="44" ht="35.05" hidden="0" outlineLevel="0" collapsed="0">
      <c r="A44" s="3">
        <v>40</v>
      </c>
      <c r="B44" s="3" t="s">
        <v>4</v>
      </c>
      <c r="C44" s="3" t="s">
        <v>155</v>
      </c>
      <c r="D44" s="3" t="s">
        <v>153</v>
      </c>
      <c r="E44" s="3" t="s">
        <v>74</v>
      </c>
      <c r="F44" s="12">
        <v>7441</v>
      </c>
      <c r="G44" s="3" t="s">
        <v>58</v>
      </c>
      <c r="H44" s="3" t="s">
        <v>59</v>
      </c>
      <c r="I44" s="3" t="s">
        <v>154</v>
      </c>
      <c r="J44" s="3" t="s">
        <v>136</v>
      </c>
      <c r="K44" s="3" t="s">
        <v>76</v>
      </c>
      <c r="L44" s="3" t="s">
        <v>63</v>
      </c>
      <c r="M44" s="3" t="s">
        <v>64</v>
      </c>
      <c r="N44" s="3" t="s">
        <v>65</v>
      </c>
      <c r="O44" s="3" t="s">
        <v>66</v>
      </c>
      <c r="P44" s="3" t="s">
        <v>67</v>
      </c>
      <c r="Q44" s="3" t="s">
        <v>68</v>
      </c>
      <c r="R44" s="3" t="s">
        <v>69</v>
      </c>
      <c r="S44" s="3" t="s">
        <v>70</v>
      </c>
      <c r="T44" s="3" t="s">
        <v>71</v>
      </c>
      <c r="U44" s="3" t="s">
        <v>72</v>
      </c>
      <c r="V44" s="3" t="str">
        <f>IF(COUNTA(A44:U44)=21,"OK","MISSING")</f>
        <v>OK</v>
      </c>
    </row>
    <row r="45" ht="35.05" hidden="0" outlineLevel="0" collapsed="0">
      <c r="A45" s="3">
        <v>41</v>
      </c>
      <c r="B45" s="3" t="s">
        <v>4</v>
      </c>
      <c r="C45" s="3" t="s">
        <v>156</v>
      </c>
      <c r="D45" s="3" t="s">
        <v>153</v>
      </c>
      <c r="E45" s="3" t="s">
        <v>82</v>
      </c>
      <c r="F45" s="12">
        <v>9860</v>
      </c>
      <c r="G45" s="3" t="s">
        <v>58</v>
      </c>
      <c r="H45" s="3" t="s">
        <v>59</v>
      </c>
      <c r="I45" s="3" t="s">
        <v>154</v>
      </c>
      <c r="J45" s="3" t="s">
        <v>136</v>
      </c>
      <c r="K45" s="3" t="s">
        <v>84</v>
      </c>
      <c r="L45" s="3" t="s">
        <v>77</v>
      </c>
      <c r="M45" s="3" t="s">
        <v>64</v>
      </c>
      <c r="N45" s="3" t="s">
        <v>78</v>
      </c>
      <c r="O45" s="3" t="s">
        <v>79</v>
      </c>
      <c r="P45" s="3" t="s">
        <v>80</v>
      </c>
      <c r="Q45" s="3" t="s">
        <v>68</v>
      </c>
      <c r="R45" s="3" t="s">
        <v>69</v>
      </c>
      <c r="S45" s="3" t="s">
        <v>70</v>
      </c>
      <c r="T45" s="3" t="s">
        <v>71</v>
      </c>
      <c r="U45" s="3" t="s">
        <v>72</v>
      </c>
      <c r="V45" s="3" t="str">
        <f>IF(COUNTA(A45:U45)=21,"OK","MISSING")</f>
        <v>OK</v>
      </c>
    </row>
    <row r="46" ht="35.05" hidden="0" outlineLevel="0" collapsed="0">
      <c r="A46" s="3">
        <v>42</v>
      </c>
      <c r="B46" s="3" t="s">
        <v>4</v>
      </c>
      <c r="C46" s="3" t="s">
        <v>157</v>
      </c>
      <c r="D46" s="3" t="s">
        <v>153</v>
      </c>
      <c r="E46" s="3" t="s">
        <v>88</v>
      </c>
      <c r="F46" s="12">
        <v>7464</v>
      </c>
      <c r="G46" s="3" t="s">
        <v>58</v>
      </c>
      <c r="H46" s="3" t="s">
        <v>59</v>
      </c>
      <c r="I46" s="3" t="s">
        <v>154</v>
      </c>
      <c r="J46" s="3" t="s">
        <v>136</v>
      </c>
      <c r="K46" s="3" t="s">
        <v>90</v>
      </c>
      <c r="L46" s="3" t="s">
        <v>85</v>
      </c>
      <c r="M46" s="3" t="s">
        <v>64</v>
      </c>
      <c r="N46" s="3" t="s">
        <v>13</v>
      </c>
      <c r="O46" s="3" t="s">
        <v>10</v>
      </c>
      <c r="P46" s="3" t="s">
        <v>86</v>
      </c>
      <c r="Q46" s="3" t="s">
        <v>68</v>
      </c>
      <c r="R46" s="3" t="s">
        <v>69</v>
      </c>
      <c r="S46" s="3" t="s">
        <v>70</v>
      </c>
      <c r="T46" s="3" t="s">
        <v>71</v>
      </c>
      <c r="U46" s="3" t="s">
        <v>72</v>
      </c>
      <c r="V46" s="3" t="str">
        <f>IF(COUNTA(A46:U46)=21,"OK","MISSING")</f>
        <v>OK</v>
      </c>
    </row>
    <row r="47" ht="35.05" hidden="0" outlineLevel="0" collapsed="0">
      <c r="A47" s="3">
        <v>43</v>
      </c>
      <c r="B47" s="3" t="s">
        <v>4</v>
      </c>
      <c r="C47" s="3" t="s">
        <v>158</v>
      </c>
      <c r="D47" s="3" t="s">
        <v>153</v>
      </c>
      <c r="E47" s="3" t="s">
        <v>92</v>
      </c>
      <c r="F47" s="12">
        <v>7563</v>
      </c>
      <c r="G47" s="3" t="s">
        <v>58</v>
      </c>
      <c r="H47" s="3" t="s">
        <v>59</v>
      </c>
      <c r="I47" s="3" t="s">
        <v>154</v>
      </c>
      <c r="J47" s="3" t="s">
        <v>136</v>
      </c>
      <c r="K47" s="3" t="s">
        <v>94</v>
      </c>
      <c r="L47" s="3" t="s">
        <v>85</v>
      </c>
      <c r="M47" s="3" t="s">
        <v>64</v>
      </c>
      <c r="N47" s="3" t="s">
        <v>13</v>
      </c>
      <c r="O47" s="3" t="s">
        <v>10</v>
      </c>
      <c r="P47" s="3" t="s">
        <v>86</v>
      </c>
      <c r="Q47" s="3" t="s">
        <v>68</v>
      </c>
      <c r="R47" s="3" t="s">
        <v>69</v>
      </c>
      <c r="S47" s="3" t="s">
        <v>70</v>
      </c>
      <c r="T47" s="3" t="s">
        <v>71</v>
      </c>
      <c r="U47" s="3" t="s">
        <v>72</v>
      </c>
      <c r="V47" s="3" t="str">
        <f>IF(COUNTA(A47:U47)=21,"OK","MISSING")</f>
        <v>OK</v>
      </c>
    </row>
    <row r="48" ht="35.05" hidden="0" outlineLevel="0" collapsed="0">
      <c r="A48" s="3">
        <v>44</v>
      </c>
      <c r="B48" s="3" t="s">
        <v>4</v>
      </c>
      <c r="C48" s="3" t="s">
        <v>159</v>
      </c>
      <c r="D48" s="3" t="s">
        <v>160</v>
      </c>
      <c r="E48" s="3" t="s">
        <v>57</v>
      </c>
      <c r="F48" s="12">
        <v>9420</v>
      </c>
      <c r="G48" s="3" t="s">
        <v>58</v>
      </c>
      <c r="H48" s="3" t="s">
        <v>59</v>
      </c>
      <c r="I48" s="3" t="s">
        <v>161</v>
      </c>
      <c r="J48" s="3" t="s">
        <v>136</v>
      </c>
      <c r="K48" s="3" t="s">
        <v>62</v>
      </c>
      <c r="L48" s="3" t="s">
        <v>137</v>
      </c>
      <c r="M48" s="3" t="s">
        <v>64</v>
      </c>
      <c r="N48" s="3" t="s">
        <v>138</v>
      </c>
      <c r="O48" s="3" t="s">
        <v>139</v>
      </c>
      <c r="P48" s="3" t="s">
        <v>140</v>
      </c>
      <c r="Q48" s="3" t="s">
        <v>68</v>
      </c>
      <c r="R48" s="3" t="s">
        <v>69</v>
      </c>
      <c r="S48" s="3" t="s">
        <v>70</v>
      </c>
      <c r="T48" s="3" t="s">
        <v>71</v>
      </c>
      <c r="U48" s="3" t="s">
        <v>72</v>
      </c>
      <c r="V48" s="3" t="str">
        <f>IF(COUNTA(A48:U48)=21,"OK","MISSING")</f>
        <v>OK</v>
      </c>
    </row>
    <row r="49" ht="35.05" hidden="0" outlineLevel="0" collapsed="0">
      <c r="A49" s="3">
        <v>45</v>
      </c>
      <c r="B49" s="3" t="s">
        <v>4</v>
      </c>
      <c r="C49" s="3" t="s">
        <v>162</v>
      </c>
      <c r="D49" s="3" t="s">
        <v>160</v>
      </c>
      <c r="E49" s="3" t="s">
        <v>74</v>
      </c>
      <c r="F49" s="12">
        <v>8927</v>
      </c>
      <c r="G49" s="3" t="s">
        <v>58</v>
      </c>
      <c r="H49" s="3" t="s">
        <v>59</v>
      </c>
      <c r="I49" s="3" t="s">
        <v>161</v>
      </c>
      <c r="J49" s="3" t="s">
        <v>136</v>
      </c>
      <c r="K49" s="3" t="s">
        <v>76</v>
      </c>
      <c r="L49" s="3" t="s">
        <v>63</v>
      </c>
      <c r="M49" s="3" t="s">
        <v>64</v>
      </c>
      <c r="N49" s="3" t="s">
        <v>65</v>
      </c>
      <c r="O49" s="3" t="s">
        <v>66</v>
      </c>
      <c r="P49" s="3" t="s">
        <v>67</v>
      </c>
      <c r="Q49" s="3" t="s">
        <v>68</v>
      </c>
      <c r="R49" s="3" t="s">
        <v>69</v>
      </c>
      <c r="S49" s="3" t="s">
        <v>70</v>
      </c>
      <c r="T49" s="3" t="s">
        <v>71</v>
      </c>
      <c r="U49" s="3" t="s">
        <v>72</v>
      </c>
      <c r="V49" s="3" t="str">
        <f>IF(COUNTA(A49:U49)=21,"OK","MISSING")</f>
        <v>OK</v>
      </c>
    </row>
    <row r="50" ht="35.05" hidden="0" outlineLevel="0" collapsed="0">
      <c r="A50" s="3">
        <v>46</v>
      </c>
      <c r="B50" s="3" t="s">
        <v>4</v>
      </c>
      <c r="C50" s="3" t="s">
        <v>163</v>
      </c>
      <c r="D50" s="3" t="s">
        <v>160</v>
      </c>
      <c r="E50" s="3" t="s">
        <v>82</v>
      </c>
      <c r="F50" s="12">
        <v>8903</v>
      </c>
      <c r="G50" s="3" t="s">
        <v>58</v>
      </c>
      <c r="H50" s="3" t="s">
        <v>59</v>
      </c>
      <c r="I50" s="3" t="s">
        <v>161</v>
      </c>
      <c r="J50" s="3" t="s">
        <v>136</v>
      </c>
      <c r="K50" s="3" t="s">
        <v>84</v>
      </c>
      <c r="L50" s="3" t="s">
        <v>77</v>
      </c>
      <c r="M50" s="3" t="s">
        <v>64</v>
      </c>
      <c r="N50" s="3" t="s">
        <v>78</v>
      </c>
      <c r="O50" s="3" t="s">
        <v>79</v>
      </c>
      <c r="P50" s="3" t="s">
        <v>80</v>
      </c>
      <c r="Q50" s="3" t="s">
        <v>68</v>
      </c>
      <c r="R50" s="3" t="s">
        <v>69</v>
      </c>
      <c r="S50" s="3" t="s">
        <v>70</v>
      </c>
      <c r="T50" s="3" t="s">
        <v>71</v>
      </c>
      <c r="U50" s="3" t="s">
        <v>72</v>
      </c>
      <c r="V50" s="3" t="str">
        <f>IF(COUNTA(A50:U50)=21,"OK","MISSING")</f>
        <v>OK</v>
      </c>
    </row>
    <row r="51" ht="35.05" hidden="0" outlineLevel="0" collapsed="0">
      <c r="A51" s="3">
        <v>47</v>
      </c>
      <c r="B51" s="3" t="s">
        <v>4</v>
      </c>
      <c r="C51" s="3" t="s">
        <v>164</v>
      </c>
      <c r="D51" s="3" t="s">
        <v>160</v>
      </c>
      <c r="E51" s="3" t="s">
        <v>88</v>
      </c>
      <c r="F51" s="12">
        <v>7961</v>
      </c>
      <c r="G51" s="3" t="s">
        <v>58</v>
      </c>
      <c r="H51" s="3" t="s">
        <v>59</v>
      </c>
      <c r="I51" s="3" t="s">
        <v>161</v>
      </c>
      <c r="J51" s="3" t="s">
        <v>136</v>
      </c>
      <c r="K51" s="3" t="s">
        <v>90</v>
      </c>
      <c r="L51" s="3" t="s">
        <v>85</v>
      </c>
      <c r="M51" s="3" t="s">
        <v>64</v>
      </c>
      <c r="N51" s="3" t="s">
        <v>13</v>
      </c>
      <c r="O51" s="3" t="s">
        <v>10</v>
      </c>
      <c r="P51" s="3" t="s">
        <v>86</v>
      </c>
      <c r="Q51" s="3" t="s">
        <v>68</v>
      </c>
      <c r="R51" s="3" t="s">
        <v>69</v>
      </c>
      <c r="S51" s="3" t="s">
        <v>70</v>
      </c>
      <c r="T51" s="3" t="s">
        <v>71</v>
      </c>
      <c r="U51" s="3" t="s">
        <v>72</v>
      </c>
      <c r="V51" s="3" t="str">
        <f>IF(COUNTA(A51:U51)=21,"OK","MISSING")</f>
        <v>OK</v>
      </c>
    </row>
    <row r="52" ht="35.05" hidden="0" outlineLevel="0" collapsed="0">
      <c r="A52" s="3">
        <v>48</v>
      </c>
      <c r="B52" s="3" t="s">
        <v>4</v>
      </c>
      <c r="C52" s="3" t="s">
        <v>165</v>
      </c>
      <c r="D52" s="3" t="s">
        <v>160</v>
      </c>
      <c r="E52" s="3" t="s">
        <v>92</v>
      </c>
      <c r="F52" s="12">
        <v>7942</v>
      </c>
      <c r="G52" s="3" t="s">
        <v>58</v>
      </c>
      <c r="H52" s="3" t="s">
        <v>59</v>
      </c>
      <c r="I52" s="3" t="s">
        <v>161</v>
      </c>
      <c r="J52" s="3" t="s">
        <v>136</v>
      </c>
      <c r="K52" s="3" t="s">
        <v>94</v>
      </c>
      <c r="L52" s="3" t="s">
        <v>85</v>
      </c>
      <c r="M52" s="3" t="s">
        <v>64</v>
      </c>
      <c r="N52" s="3" t="s">
        <v>13</v>
      </c>
      <c r="O52" s="3" t="s">
        <v>10</v>
      </c>
      <c r="P52" s="3" t="s">
        <v>86</v>
      </c>
      <c r="Q52" s="3" t="s">
        <v>68</v>
      </c>
      <c r="R52" s="3" t="s">
        <v>69</v>
      </c>
      <c r="S52" s="3" t="s">
        <v>70</v>
      </c>
      <c r="T52" s="3" t="s">
        <v>71</v>
      </c>
      <c r="U52" s="3" t="s">
        <v>72</v>
      </c>
      <c r="V52" s="3" t="str">
        <f>IF(COUNTA(A52:U52)=21,"OK","MISSING")</f>
        <v>OK</v>
      </c>
    </row>
    <row r="53" ht="35.05" hidden="0" outlineLevel="0" collapsed="0">
      <c r="A53" s="3">
        <v>49</v>
      </c>
      <c r="B53" s="3" t="s">
        <v>4</v>
      </c>
      <c r="C53" s="3" t="s">
        <v>166</v>
      </c>
      <c r="D53" s="3" t="s">
        <v>167</v>
      </c>
      <c r="E53" s="3" t="s">
        <v>57</v>
      </c>
      <c r="F53" s="12">
        <v>1610.8</v>
      </c>
      <c r="G53" s="3" t="s">
        <v>168</v>
      </c>
      <c r="H53" s="3" t="s">
        <v>169</v>
      </c>
      <c r="I53" s="3" t="s">
        <v>170</v>
      </c>
      <c r="J53" s="3" t="s">
        <v>61</v>
      </c>
      <c r="K53" s="3" t="s">
        <v>62</v>
      </c>
      <c r="L53" s="3" t="s">
        <v>63</v>
      </c>
      <c r="M53" s="3" t="s">
        <v>64</v>
      </c>
      <c r="N53" s="3" t="s">
        <v>65</v>
      </c>
      <c r="O53" s="3" t="s">
        <v>66</v>
      </c>
      <c r="P53" s="3" t="s">
        <v>67</v>
      </c>
      <c r="Q53" s="3" t="s">
        <v>68</v>
      </c>
      <c r="R53" s="3" t="s">
        <v>69</v>
      </c>
      <c r="S53" s="3" t="s">
        <v>171</v>
      </c>
      <c r="T53" s="3" t="s">
        <v>71</v>
      </c>
      <c r="U53" s="3" t="s">
        <v>72</v>
      </c>
      <c r="V53" s="3" t="str">
        <f>IF(COUNTA(A53:U53)=21,"OK","MISSING")</f>
        <v>OK</v>
      </c>
    </row>
    <row r="54" ht="35.05" hidden="0" outlineLevel="0" collapsed="0">
      <c r="A54" s="3">
        <v>50</v>
      </c>
      <c r="B54" s="3" t="s">
        <v>4</v>
      </c>
      <c r="C54" s="3" t="s">
        <v>172</v>
      </c>
      <c r="D54" s="3" t="s">
        <v>167</v>
      </c>
      <c r="E54" s="3" t="s">
        <v>74</v>
      </c>
      <c r="F54" s="12">
        <v>1569.8</v>
      </c>
      <c r="G54" s="3" t="s">
        <v>168</v>
      </c>
      <c r="H54" s="3" t="s">
        <v>169</v>
      </c>
      <c r="I54" s="3" t="s">
        <v>170</v>
      </c>
      <c r="J54" s="3" t="s">
        <v>75</v>
      </c>
      <c r="K54" s="3" t="s">
        <v>76</v>
      </c>
      <c r="L54" s="3" t="s">
        <v>77</v>
      </c>
      <c r="M54" s="3" t="s">
        <v>64</v>
      </c>
      <c r="N54" s="3" t="s">
        <v>78</v>
      </c>
      <c r="O54" s="3" t="s">
        <v>79</v>
      </c>
      <c r="P54" s="3" t="s">
        <v>80</v>
      </c>
      <c r="Q54" s="3" t="s">
        <v>68</v>
      </c>
      <c r="R54" s="3" t="s">
        <v>69</v>
      </c>
      <c r="S54" s="3" t="s">
        <v>171</v>
      </c>
      <c r="T54" s="3" t="s">
        <v>71</v>
      </c>
      <c r="U54" s="3" t="s">
        <v>72</v>
      </c>
      <c r="V54" s="3" t="str">
        <f>IF(COUNTA(A54:U54)=21,"OK","MISSING")</f>
        <v>OK</v>
      </c>
    </row>
    <row r="55" ht="35.05" hidden="0" outlineLevel="0" collapsed="0">
      <c r="A55" s="3">
        <v>51</v>
      </c>
      <c r="B55" s="3" t="s">
        <v>4</v>
      </c>
      <c r="C55" s="3" t="s">
        <v>173</v>
      </c>
      <c r="D55" s="3" t="s">
        <v>167</v>
      </c>
      <c r="E55" s="3" t="s">
        <v>82</v>
      </c>
      <c r="F55" s="12">
        <v>1529.7</v>
      </c>
      <c r="G55" s="3" t="s">
        <v>168</v>
      </c>
      <c r="H55" s="3" t="s">
        <v>169</v>
      </c>
      <c r="I55" s="3" t="s">
        <v>170</v>
      </c>
      <c r="J55" s="3" t="s">
        <v>83</v>
      </c>
      <c r="K55" s="3" t="s">
        <v>84</v>
      </c>
      <c r="L55" s="3" t="s">
        <v>85</v>
      </c>
      <c r="M55" s="3" t="s">
        <v>64</v>
      </c>
      <c r="N55" s="3" t="s">
        <v>13</v>
      </c>
      <c r="O55" s="3" t="s">
        <v>10</v>
      </c>
      <c r="P55" s="3" t="s">
        <v>86</v>
      </c>
      <c r="Q55" s="3" t="s">
        <v>68</v>
      </c>
      <c r="R55" s="3" t="s">
        <v>69</v>
      </c>
      <c r="S55" s="3" t="s">
        <v>171</v>
      </c>
      <c r="T55" s="3" t="s">
        <v>71</v>
      </c>
      <c r="U55" s="3" t="s">
        <v>72</v>
      </c>
      <c r="V55" s="3" t="str">
        <f>IF(COUNTA(A55:U55)=21,"OK","MISSING")</f>
        <v>OK</v>
      </c>
    </row>
    <row r="56" ht="35.05" hidden="0" outlineLevel="0" collapsed="0">
      <c r="A56" s="3">
        <v>52</v>
      </c>
      <c r="B56" s="3" t="s">
        <v>4</v>
      </c>
      <c r="C56" s="3" t="s">
        <v>174</v>
      </c>
      <c r="D56" s="3" t="s">
        <v>167</v>
      </c>
      <c r="E56" s="3" t="s">
        <v>88</v>
      </c>
      <c r="F56" s="12">
        <v>1487.6</v>
      </c>
      <c r="G56" s="3" t="s">
        <v>168</v>
      </c>
      <c r="H56" s="3" t="s">
        <v>169</v>
      </c>
      <c r="I56" s="3" t="s">
        <v>170</v>
      </c>
      <c r="J56" s="3" t="s">
        <v>89</v>
      </c>
      <c r="K56" s="3" t="s">
        <v>90</v>
      </c>
      <c r="L56" s="3" t="s">
        <v>85</v>
      </c>
      <c r="M56" s="3" t="s">
        <v>64</v>
      </c>
      <c r="N56" s="3" t="s">
        <v>13</v>
      </c>
      <c r="O56" s="3" t="s">
        <v>10</v>
      </c>
      <c r="P56" s="3" t="s">
        <v>86</v>
      </c>
      <c r="Q56" s="3" t="s">
        <v>68</v>
      </c>
      <c r="R56" s="3" t="s">
        <v>69</v>
      </c>
      <c r="S56" s="3" t="s">
        <v>171</v>
      </c>
      <c r="T56" s="3" t="s">
        <v>71</v>
      </c>
      <c r="U56" s="3" t="s">
        <v>72</v>
      </c>
      <c r="V56" s="3" t="str">
        <f>IF(COUNTA(A56:U56)=21,"OK","MISSING")</f>
        <v>OK</v>
      </c>
    </row>
    <row r="57" ht="35.05" hidden="0" outlineLevel="0" collapsed="0">
      <c r="A57" s="3">
        <v>53</v>
      </c>
      <c r="B57" s="3" t="s">
        <v>4</v>
      </c>
      <c r="C57" s="3" t="s">
        <v>175</v>
      </c>
      <c r="D57" s="3" t="s">
        <v>167</v>
      </c>
      <c r="E57" s="3" t="s">
        <v>92</v>
      </c>
      <c r="F57" s="12">
        <v>1481</v>
      </c>
      <c r="G57" s="3" t="s">
        <v>168</v>
      </c>
      <c r="H57" s="3" t="s">
        <v>169</v>
      </c>
      <c r="I57" s="3" t="s">
        <v>170</v>
      </c>
      <c r="J57" s="3" t="s">
        <v>93</v>
      </c>
      <c r="K57" s="3" t="s">
        <v>94</v>
      </c>
      <c r="L57" s="3" t="s">
        <v>85</v>
      </c>
      <c r="M57" s="3" t="s">
        <v>64</v>
      </c>
      <c r="N57" s="3" t="s">
        <v>13</v>
      </c>
      <c r="O57" s="3" t="s">
        <v>10</v>
      </c>
      <c r="P57" s="3" t="s">
        <v>86</v>
      </c>
      <c r="Q57" s="3" t="s">
        <v>68</v>
      </c>
      <c r="R57" s="3" t="s">
        <v>69</v>
      </c>
      <c r="S57" s="3" t="s">
        <v>171</v>
      </c>
      <c r="T57" s="3" t="s">
        <v>71</v>
      </c>
      <c r="U57" s="3" t="s">
        <v>72</v>
      </c>
      <c r="V57" s="3" t="str">
        <f>IF(COUNTA(A57:U57)=21,"OK","MISSING")</f>
        <v>OK</v>
      </c>
    </row>
    <row r="58" ht="46.25" hidden="0" outlineLevel="0" collapsed="0">
      <c r="A58" s="3">
        <v>54</v>
      </c>
      <c r="B58" s="3" t="s">
        <v>4</v>
      </c>
      <c r="C58" s="3" t="s">
        <v>176</v>
      </c>
      <c r="D58" s="3" t="s">
        <v>177</v>
      </c>
      <c r="E58" s="3" t="s">
        <v>178</v>
      </c>
      <c r="F58" s="12">
        <v>1481</v>
      </c>
      <c r="G58" s="3" t="s">
        <v>168</v>
      </c>
      <c r="H58" s="3" t="s">
        <v>169</v>
      </c>
      <c r="I58" s="3" t="s">
        <v>170</v>
      </c>
      <c r="J58" s="3" t="s">
        <v>93</v>
      </c>
      <c r="K58" s="3" t="s">
        <v>94</v>
      </c>
      <c r="L58" s="3" t="s">
        <v>106</v>
      </c>
      <c r="M58" s="3" t="s">
        <v>64</v>
      </c>
      <c r="N58" s="3" t="s">
        <v>13</v>
      </c>
      <c r="O58" s="3" t="s">
        <v>10</v>
      </c>
      <c r="P58" s="3" t="s">
        <v>86</v>
      </c>
      <c r="Q58" s="3" t="s">
        <v>68</v>
      </c>
      <c r="R58" s="3" t="s">
        <v>69</v>
      </c>
      <c r="S58" s="3" t="s">
        <v>179</v>
      </c>
      <c r="T58" s="3" t="s">
        <v>71</v>
      </c>
      <c r="U58" s="3" t="s">
        <v>180</v>
      </c>
      <c r="V58" s="3" t="str">
        <f>IF(COUNTA(A58:U58)=21,"OK","MISSING")</f>
        <v>OK</v>
      </c>
    </row>
    <row r="59" ht="23.85" hidden="0" outlineLevel="0" collapsed="0">
      <c r="A59" s="3">
        <v>55</v>
      </c>
      <c r="B59" s="3" t="s">
        <v>4</v>
      </c>
      <c r="C59" s="3" t="s">
        <v>181</v>
      </c>
      <c r="D59" s="3" t="s">
        <v>182</v>
      </c>
      <c r="E59" s="3" t="s">
        <v>82</v>
      </c>
      <c r="F59" s="12">
        <v>35227</v>
      </c>
      <c r="G59" s="3" t="s">
        <v>58</v>
      </c>
      <c r="H59" s="3" t="s">
        <v>59</v>
      </c>
      <c r="I59" s="3" t="s">
        <v>183</v>
      </c>
      <c r="J59" s="3" t="s">
        <v>105</v>
      </c>
      <c r="K59" s="3" t="s">
        <v>84</v>
      </c>
      <c r="L59" s="3" t="s">
        <v>106</v>
      </c>
      <c r="M59" s="3" t="s">
        <v>64</v>
      </c>
      <c r="N59" s="3" t="s">
        <v>13</v>
      </c>
      <c r="O59" s="3" t="s">
        <v>10</v>
      </c>
      <c r="P59" s="3" t="s">
        <v>107</v>
      </c>
      <c r="Q59" s="3" t="s">
        <v>68</v>
      </c>
      <c r="R59" s="3" t="s">
        <v>69</v>
      </c>
      <c r="S59" s="3" t="s">
        <v>184</v>
      </c>
      <c r="T59" s="3" t="s">
        <v>71</v>
      </c>
      <c r="U59" s="3" t="s">
        <v>72</v>
      </c>
      <c r="V59" s="3" t="str">
        <f>IF(COUNTA(A59:U59)=21,"OK","MISSING")</f>
        <v>OK</v>
      </c>
    </row>
    <row r="60" ht="23.85" hidden="0" outlineLevel="0" collapsed="0">
      <c r="A60" s="3">
        <v>56</v>
      </c>
      <c r="B60" s="3" t="s">
        <v>4</v>
      </c>
      <c r="C60" s="3" t="s">
        <v>185</v>
      </c>
      <c r="D60" s="3" t="s">
        <v>182</v>
      </c>
      <c r="E60" s="3" t="s">
        <v>88</v>
      </c>
      <c r="F60" s="12">
        <v>30967</v>
      </c>
      <c r="G60" s="3" t="s">
        <v>58</v>
      </c>
      <c r="H60" s="3" t="s">
        <v>59</v>
      </c>
      <c r="I60" s="3" t="s">
        <v>183</v>
      </c>
      <c r="J60" s="3" t="s">
        <v>105</v>
      </c>
      <c r="K60" s="3" t="s">
        <v>90</v>
      </c>
      <c r="L60" s="3" t="s">
        <v>106</v>
      </c>
      <c r="M60" s="3" t="s">
        <v>64</v>
      </c>
      <c r="N60" s="3" t="s">
        <v>13</v>
      </c>
      <c r="O60" s="3" t="s">
        <v>10</v>
      </c>
      <c r="P60" s="3" t="s">
        <v>107</v>
      </c>
      <c r="Q60" s="3" t="s">
        <v>68</v>
      </c>
      <c r="R60" s="3" t="s">
        <v>69</v>
      </c>
      <c r="S60" s="3" t="s">
        <v>184</v>
      </c>
      <c r="T60" s="3" t="s">
        <v>71</v>
      </c>
      <c r="U60" s="3" t="s">
        <v>72</v>
      </c>
      <c r="V60" s="3" t="str">
        <f>IF(COUNTA(A60:U60)=21,"OK","MISSING")</f>
        <v>OK</v>
      </c>
    </row>
    <row r="61" ht="23.85" hidden="0" outlineLevel="0" collapsed="0">
      <c r="A61" s="3">
        <v>57</v>
      </c>
      <c r="B61" s="3" t="s">
        <v>4</v>
      </c>
      <c r="C61" s="3" t="s">
        <v>186</v>
      </c>
      <c r="D61" s="3" t="s">
        <v>182</v>
      </c>
      <c r="E61" s="3" t="s">
        <v>92</v>
      </c>
      <c r="F61" s="12">
        <v>30538</v>
      </c>
      <c r="G61" s="3" t="s">
        <v>58</v>
      </c>
      <c r="H61" s="3" t="s">
        <v>59</v>
      </c>
      <c r="I61" s="3" t="s">
        <v>183</v>
      </c>
      <c r="J61" s="3" t="s">
        <v>105</v>
      </c>
      <c r="K61" s="3" t="s">
        <v>94</v>
      </c>
      <c r="L61" s="3" t="s">
        <v>106</v>
      </c>
      <c r="M61" s="3" t="s">
        <v>64</v>
      </c>
      <c r="N61" s="3" t="s">
        <v>13</v>
      </c>
      <c r="O61" s="3" t="s">
        <v>10</v>
      </c>
      <c r="P61" s="3" t="s">
        <v>107</v>
      </c>
      <c r="Q61" s="3" t="s">
        <v>68</v>
      </c>
      <c r="R61" s="3" t="s">
        <v>69</v>
      </c>
      <c r="S61" s="3" t="s">
        <v>184</v>
      </c>
      <c r="T61" s="3" t="s">
        <v>71</v>
      </c>
      <c r="U61" s="3" t="s">
        <v>72</v>
      </c>
      <c r="V61" s="3" t="str">
        <f>IF(COUNTA(A61:U61)=21,"OK","MISSING")</f>
        <v>OK</v>
      </c>
    </row>
    <row r="62" ht="23.85" hidden="0" outlineLevel="0" collapsed="0">
      <c r="A62" s="3">
        <v>58</v>
      </c>
      <c r="B62" s="3" t="s">
        <v>4</v>
      </c>
      <c r="C62" s="3" t="s">
        <v>187</v>
      </c>
      <c r="D62" s="3" t="s">
        <v>188</v>
      </c>
      <c r="E62" s="3" t="s">
        <v>82</v>
      </c>
      <c r="F62" s="12">
        <v>13868</v>
      </c>
      <c r="G62" s="3" t="s">
        <v>58</v>
      </c>
      <c r="H62" s="3" t="s">
        <v>59</v>
      </c>
      <c r="I62" s="3" t="s">
        <v>183</v>
      </c>
      <c r="J62" s="3" t="s">
        <v>105</v>
      </c>
      <c r="K62" s="3" t="s">
        <v>84</v>
      </c>
      <c r="L62" s="3" t="s">
        <v>106</v>
      </c>
      <c r="M62" s="3" t="s">
        <v>64</v>
      </c>
      <c r="N62" s="3" t="s">
        <v>13</v>
      </c>
      <c r="O62" s="3" t="s">
        <v>10</v>
      </c>
      <c r="P62" s="3" t="s">
        <v>107</v>
      </c>
      <c r="Q62" s="3" t="s">
        <v>68</v>
      </c>
      <c r="R62" s="3" t="s">
        <v>69</v>
      </c>
      <c r="S62" s="3" t="s">
        <v>184</v>
      </c>
      <c r="T62" s="3" t="s">
        <v>71</v>
      </c>
      <c r="U62" s="3" t="s">
        <v>72</v>
      </c>
      <c r="V62" s="3" t="str">
        <f>IF(COUNTA(A62:U62)=21,"OK","MISSING")</f>
        <v>OK</v>
      </c>
    </row>
    <row r="63" ht="23.85" hidden="0" outlineLevel="0" collapsed="0">
      <c r="A63" s="3">
        <v>59</v>
      </c>
      <c r="B63" s="3" t="s">
        <v>4</v>
      </c>
      <c r="C63" s="3" t="s">
        <v>189</v>
      </c>
      <c r="D63" s="3" t="s">
        <v>188</v>
      </c>
      <c r="E63" s="3" t="s">
        <v>88</v>
      </c>
      <c r="F63" s="12">
        <v>13045</v>
      </c>
      <c r="G63" s="3" t="s">
        <v>58</v>
      </c>
      <c r="H63" s="3" t="s">
        <v>59</v>
      </c>
      <c r="I63" s="3" t="s">
        <v>183</v>
      </c>
      <c r="J63" s="3" t="s">
        <v>105</v>
      </c>
      <c r="K63" s="3" t="s">
        <v>90</v>
      </c>
      <c r="L63" s="3" t="s">
        <v>106</v>
      </c>
      <c r="M63" s="3" t="s">
        <v>64</v>
      </c>
      <c r="N63" s="3" t="s">
        <v>13</v>
      </c>
      <c r="O63" s="3" t="s">
        <v>10</v>
      </c>
      <c r="P63" s="3" t="s">
        <v>107</v>
      </c>
      <c r="Q63" s="3" t="s">
        <v>68</v>
      </c>
      <c r="R63" s="3" t="s">
        <v>69</v>
      </c>
      <c r="S63" s="3" t="s">
        <v>184</v>
      </c>
      <c r="T63" s="3" t="s">
        <v>71</v>
      </c>
      <c r="U63" s="3" t="s">
        <v>72</v>
      </c>
      <c r="V63" s="3" t="str">
        <f>IF(COUNTA(A63:U63)=21,"OK","MISSING")</f>
        <v>OK</v>
      </c>
    </row>
    <row r="64" ht="23.85" hidden="0" outlineLevel="0" collapsed="0">
      <c r="A64" s="3">
        <v>60</v>
      </c>
      <c r="B64" s="3" t="s">
        <v>4</v>
      </c>
      <c r="C64" s="3" t="s">
        <v>190</v>
      </c>
      <c r="D64" s="3" t="s">
        <v>188</v>
      </c>
      <c r="E64" s="3" t="s">
        <v>92</v>
      </c>
      <c r="F64" s="12">
        <v>13497</v>
      </c>
      <c r="G64" s="3" t="s">
        <v>58</v>
      </c>
      <c r="H64" s="3" t="s">
        <v>59</v>
      </c>
      <c r="I64" s="3" t="s">
        <v>183</v>
      </c>
      <c r="J64" s="3" t="s">
        <v>105</v>
      </c>
      <c r="K64" s="3" t="s">
        <v>94</v>
      </c>
      <c r="L64" s="3" t="s">
        <v>106</v>
      </c>
      <c r="M64" s="3" t="s">
        <v>64</v>
      </c>
      <c r="N64" s="3" t="s">
        <v>13</v>
      </c>
      <c r="O64" s="3" t="s">
        <v>10</v>
      </c>
      <c r="P64" s="3" t="s">
        <v>107</v>
      </c>
      <c r="Q64" s="3" t="s">
        <v>68</v>
      </c>
      <c r="R64" s="3" t="s">
        <v>69</v>
      </c>
      <c r="S64" s="3" t="s">
        <v>184</v>
      </c>
      <c r="T64" s="3" t="s">
        <v>71</v>
      </c>
      <c r="U64" s="3" t="s">
        <v>72</v>
      </c>
      <c r="V64" s="3" t="str">
        <f>IF(COUNTA(A64:U64)=21,"OK","MISSING")</f>
        <v>OK</v>
      </c>
    </row>
    <row r="65" ht="23.85" hidden="0" outlineLevel="0" collapsed="0">
      <c r="A65" s="3">
        <v>61</v>
      </c>
      <c r="B65" s="3" t="s">
        <v>4</v>
      </c>
      <c r="C65" s="3" t="s">
        <v>191</v>
      </c>
      <c r="D65" s="3" t="s">
        <v>192</v>
      </c>
      <c r="E65" s="3" t="s">
        <v>82</v>
      </c>
      <c r="F65" s="12">
        <v>2112</v>
      </c>
      <c r="G65" s="3" t="s">
        <v>58</v>
      </c>
      <c r="H65" s="3" t="s">
        <v>59</v>
      </c>
      <c r="I65" s="3" t="s">
        <v>183</v>
      </c>
      <c r="J65" s="3" t="s">
        <v>105</v>
      </c>
      <c r="K65" s="3" t="s">
        <v>84</v>
      </c>
      <c r="L65" s="3" t="s">
        <v>106</v>
      </c>
      <c r="M65" s="3" t="s">
        <v>64</v>
      </c>
      <c r="N65" s="3" t="s">
        <v>13</v>
      </c>
      <c r="O65" s="3" t="s">
        <v>10</v>
      </c>
      <c r="P65" s="3" t="s">
        <v>107</v>
      </c>
      <c r="Q65" s="3" t="s">
        <v>68</v>
      </c>
      <c r="R65" s="3" t="s">
        <v>69</v>
      </c>
      <c r="S65" s="3" t="s">
        <v>184</v>
      </c>
      <c r="T65" s="3" t="s">
        <v>71</v>
      </c>
      <c r="U65" s="3" t="s">
        <v>72</v>
      </c>
      <c r="V65" s="3" t="str">
        <f>IF(COUNTA(A65:U65)=21,"OK","MISSING")</f>
        <v>OK</v>
      </c>
    </row>
    <row r="66" ht="23.85" hidden="0" outlineLevel="0" collapsed="0">
      <c r="A66" s="3">
        <v>62</v>
      </c>
      <c r="B66" s="3" t="s">
        <v>4</v>
      </c>
      <c r="C66" s="3" t="s">
        <v>193</v>
      </c>
      <c r="D66" s="3" t="s">
        <v>192</v>
      </c>
      <c r="E66" s="3" t="s">
        <v>88</v>
      </c>
      <c r="F66" s="12">
        <v>2223</v>
      </c>
      <c r="G66" s="3" t="s">
        <v>58</v>
      </c>
      <c r="H66" s="3" t="s">
        <v>59</v>
      </c>
      <c r="I66" s="3" t="s">
        <v>183</v>
      </c>
      <c r="J66" s="3" t="s">
        <v>105</v>
      </c>
      <c r="K66" s="3" t="s">
        <v>90</v>
      </c>
      <c r="L66" s="3" t="s">
        <v>106</v>
      </c>
      <c r="M66" s="3" t="s">
        <v>64</v>
      </c>
      <c r="N66" s="3" t="s">
        <v>13</v>
      </c>
      <c r="O66" s="3" t="s">
        <v>10</v>
      </c>
      <c r="P66" s="3" t="s">
        <v>107</v>
      </c>
      <c r="Q66" s="3" t="s">
        <v>68</v>
      </c>
      <c r="R66" s="3" t="s">
        <v>69</v>
      </c>
      <c r="S66" s="3" t="s">
        <v>184</v>
      </c>
      <c r="T66" s="3" t="s">
        <v>71</v>
      </c>
      <c r="U66" s="3" t="s">
        <v>72</v>
      </c>
      <c r="V66" s="3" t="str">
        <f>IF(COUNTA(A66:U66)=21,"OK","MISSING")</f>
        <v>OK</v>
      </c>
    </row>
    <row r="67" ht="23.85" hidden="0" outlineLevel="0" collapsed="0">
      <c r="A67" s="3">
        <v>63</v>
      </c>
      <c r="B67" s="3" t="s">
        <v>4</v>
      </c>
      <c r="C67" s="3" t="s">
        <v>194</v>
      </c>
      <c r="D67" s="3" t="s">
        <v>192</v>
      </c>
      <c r="E67" s="3" t="s">
        <v>92</v>
      </c>
      <c r="F67" s="12">
        <v>2220</v>
      </c>
      <c r="G67" s="3" t="s">
        <v>58</v>
      </c>
      <c r="H67" s="3" t="s">
        <v>59</v>
      </c>
      <c r="I67" s="3" t="s">
        <v>183</v>
      </c>
      <c r="J67" s="3" t="s">
        <v>105</v>
      </c>
      <c r="K67" s="3" t="s">
        <v>94</v>
      </c>
      <c r="L67" s="3" t="s">
        <v>106</v>
      </c>
      <c r="M67" s="3" t="s">
        <v>64</v>
      </c>
      <c r="N67" s="3" t="s">
        <v>13</v>
      </c>
      <c r="O67" s="3" t="s">
        <v>10</v>
      </c>
      <c r="P67" s="3" t="s">
        <v>107</v>
      </c>
      <c r="Q67" s="3" t="s">
        <v>68</v>
      </c>
      <c r="R67" s="3" t="s">
        <v>69</v>
      </c>
      <c r="S67" s="3" t="s">
        <v>184</v>
      </c>
      <c r="T67" s="3" t="s">
        <v>71</v>
      </c>
      <c r="U67" s="3" t="s">
        <v>72</v>
      </c>
      <c r="V67" s="3" t="str">
        <f>IF(COUNTA(A67:U67)=21,"OK","MISSING")</f>
        <v>OK</v>
      </c>
    </row>
    <row r="68" ht="23.85" hidden="0" outlineLevel="0" collapsed="0">
      <c r="A68" s="3">
        <v>64</v>
      </c>
      <c r="B68" s="3" t="s">
        <v>4</v>
      </c>
      <c r="C68" s="3" t="s">
        <v>195</v>
      </c>
      <c r="D68" s="3" t="s">
        <v>196</v>
      </c>
      <c r="E68" s="3" t="s">
        <v>82</v>
      </c>
      <c r="F68" s="12">
        <v>155</v>
      </c>
      <c r="G68" s="3" t="s">
        <v>58</v>
      </c>
      <c r="H68" s="3" t="s">
        <v>59</v>
      </c>
      <c r="I68" s="3" t="s">
        <v>183</v>
      </c>
      <c r="J68" s="3" t="s">
        <v>105</v>
      </c>
      <c r="K68" s="3" t="s">
        <v>84</v>
      </c>
      <c r="L68" s="3" t="s">
        <v>106</v>
      </c>
      <c r="M68" s="3" t="s">
        <v>64</v>
      </c>
      <c r="N68" s="3" t="s">
        <v>13</v>
      </c>
      <c r="O68" s="3" t="s">
        <v>10</v>
      </c>
      <c r="P68" s="3" t="s">
        <v>107</v>
      </c>
      <c r="Q68" s="3" t="s">
        <v>68</v>
      </c>
      <c r="R68" s="3" t="s">
        <v>69</v>
      </c>
      <c r="S68" s="3" t="s">
        <v>184</v>
      </c>
      <c r="T68" s="3" t="s">
        <v>71</v>
      </c>
      <c r="U68" s="3" t="s">
        <v>72</v>
      </c>
      <c r="V68" s="3" t="str">
        <f>IF(COUNTA(A68:U68)=21,"OK","MISSING")</f>
        <v>OK</v>
      </c>
    </row>
    <row r="69" ht="23.85" hidden="0" outlineLevel="0" collapsed="0">
      <c r="A69" s="3">
        <v>65</v>
      </c>
      <c r="B69" s="3" t="s">
        <v>4</v>
      </c>
      <c r="C69" s="3" t="s">
        <v>197</v>
      </c>
      <c r="D69" s="3" t="s">
        <v>196</v>
      </c>
      <c r="E69" s="3" t="s">
        <v>88</v>
      </c>
      <c r="F69" s="12">
        <v>74</v>
      </c>
      <c r="G69" s="3" t="s">
        <v>58</v>
      </c>
      <c r="H69" s="3" t="s">
        <v>59</v>
      </c>
      <c r="I69" s="3" t="s">
        <v>183</v>
      </c>
      <c r="J69" s="3" t="s">
        <v>105</v>
      </c>
      <c r="K69" s="3" t="s">
        <v>90</v>
      </c>
      <c r="L69" s="3" t="s">
        <v>106</v>
      </c>
      <c r="M69" s="3" t="s">
        <v>64</v>
      </c>
      <c r="N69" s="3" t="s">
        <v>13</v>
      </c>
      <c r="O69" s="3" t="s">
        <v>10</v>
      </c>
      <c r="P69" s="3" t="s">
        <v>107</v>
      </c>
      <c r="Q69" s="3" t="s">
        <v>68</v>
      </c>
      <c r="R69" s="3" t="s">
        <v>69</v>
      </c>
      <c r="S69" s="3" t="s">
        <v>184</v>
      </c>
      <c r="T69" s="3" t="s">
        <v>71</v>
      </c>
      <c r="U69" s="3" t="s">
        <v>72</v>
      </c>
      <c r="V69" s="3" t="str">
        <f>IF(COUNTA(A69:U69)=21,"OK","MISSING")</f>
        <v>OK</v>
      </c>
    </row>
    <row r="70" ht="23.85" hidden="0" outlineLevel="0" collapsed="0">
      <c r="A70" s="3">
        <v>66</v>
      </c>
      <c r="B70" s="3" t="s">
        <v>4</v>
      </c>
      <c r="C70" s="3" t="s">
        <v>198</v>
      </c>
      <c r="D70" s="3" t="s">
        <v>196</v>
      </c>
      <c r="E70" s="3" t="s">
        <v>92</v>
      </c>
      <c r="F70" s="12">
        <v>143</v>
      </c>
      <c r="G70" s="3" t="s">
        <v>58</v>
      </c>
      <c r="H70" s="3" t="s">
        <v>59</v>
      </c>
      <c r="I70" s="3" t="s">
        <v>183</v>
      </c>
      <c r="J70" s="3" t="s">
        <v>105</v>
      </c>
      <c r="K70" s="3" t="s">
        <v>94</v>
      </c>
      <c r="L70" s="3" t="s">
        <v>106</v>
      </c>
      <c r="M70" s="3" t="s">
        <v>64</v>
      </c>
      <c r="N70" s="3" t="s">
        <v>13</v>
      </c>
      <c r="O70" s="3" t="s">
        <v>10</v>
      </c>
      <c r="P70" s="3" t="s">
        <v>107</v>
      </c>
      <c r="Q70" s="3" t="s">
        <v>68</v>
      </c>
      <c r="R70" s="3" t="s">
        <v>69</v>
      </c>
      <c r="S70" s="3" t="s">
        <v>184</v>
      </c>
      <c r="T70" s="3" t="s">
        <v>71</v>
      </c>
      <c r="U70" s="3" t="s">
        <v>72</v>
      </c>
      <c r="V70" s="3" t="str">
        <f>IF(COUNTA(A70:U70)=21,"OK","MISSING")</f>
        <v>OK</v>
      </c>
    </row>
    <row r="71" ht="23.85" hidden="0" outlineLevel="0" collapsed="0">
      <c r="A71" s="3">
        <v>67</v>
      </c>
      <c r="B71" s="3" t="s">
        <v>4</v>
      </c>
      <c r="C71" s="3" t="s">
        <v>199</v>
      </c>
      <c r="D71" s="3" t="s">
        <v>200</v>
      </c>
      <c r="E71" s="3" t="s">
        <v>82</v>
      </c>
      <c r="F71" s="12">
        <v>28856</v>
      </c>
      <c r="G71" s="3" t="s">
        <v>58</v>
      </c>
      <c r="H71" s="3" t="s">
        <v>59</v>
      </c>
      <c r="I71" s="3" t="s">
        <v>201</v>
      </c>
      <c r="J71" s="3" t="s">
        <v>105</v>
      </c>
      <c r="K71" s="3" t="s">
        <v>84</v>
      </c>
      <c r="L71" s="3" t="s">
        <v>106</v>
      </c>
      <c r="M71" s="3" t="s">
        <v>64</v>
      </c>
      <c r="N71" s="3" t="s">
        <v>13</v>
      </c>
      <c r="O71" s="3" t="s">
        <v>10</v>
      </c>
      <c r="P71" s="3" t="s">
        <v>107</v>
      </c>
      <c r="Q71" s="3" t="s">
        <v>68</v>
      </c>
      <c r="R71" s="3" t="s">
        <v>69</v>
      </c>
      <c r="S71" s="3" t="s">
        <v>184</v>
      </c>
      <c r="T71" s="3" t="s">
        <v>71</v>
      </c>
      <c r="U71" s="3" t="s">
        <v>72</v>
      </c>
      <c r="V71" s="3" t="str">
        <f>IF(COUNTA(A71:U71)=21,"OK","MISSING")</f>
        <v>OK</v>
      </c>
    </row>
    <row r="72" ht="23.85" hidden="0" outlineLevel="0" collapsed="0">
      <c r="A72" s="3">
        <v>68</v>
      </c>
      <c r="B72" s="3" t="s">
        <v>4</v>
      </c>
      <c r="C72" s="3" t="s">
        <v>202</v>
      </c>
      <c r="D72" s="3" t="s">
        <v>200</v>
      </c>
      <c r="E72" s="3" t="s">
        <v>88</v>
      </c>
      <c r="F72" s="12">
        <v>26758</v>
      </c>
      <c r="G72" s="3" t="s">
        <v>58</v>
      </c>
      <c r="H72" s="3" t="s">
        <v>59</v>
      </c>
      <c r="I72" s="3" t="s">
        <v>201</v>
      </c>
      <c r="J72" s="3" t="s">
        <v>105</v>
      </c>
      <c r="K72" s="3" t="s">
        <v>90</v>
      </c>
      <c r="L72" s="3" t="s">
        <v>106</v>
      </c>
      <c r="M72" s="3" t="s">
        <v>64</v>
      </c>
      <c r="N72" s="3" t="s">
        <v>13</v>
      </c>
      <c r="O72" s="3" t="s">
        <v>10</v>
      </c>
      <c r="P72" s="3" t="s">
        <v>107</v>
      </c>
      <c r="Q72" s="3" t="s">
        <v>68</v>
      </c>
      <c r="R72" s="3" t="s">
        <v>69</v>
      </c>
      <c r="S72" s="3" t="s">
        <v>184</v>
      </c>
      <c r="T72" s="3" t="s">
        <v>71</v>
      </c>
      <c r="U72" s="3" t="s">
        <v>72</v>
      </c>
      <c r="V72" s="3" t="str">
        <f>IF(COUNTA(A72:U72)=21,"OK","MISSING")</f>
        <v>OK</v>
      </c>
    </row>
    <row r="73" ht="23.85" hidden="0" outlineLevel="0" collapsed="0">
      <c r="A73" s="3">
        <v>69</v>
      </c>
      <c r="B73" s="3" t="s">
        <v>4</v>
      </c>
      <c r="C73" s="3" t="s">
        <v>203</v>
      </c>
      <c r="D73" s="3" t="s">
        <v>200</v>
      </c>
      <c r="E73" s="3" t="s">
        <v>92</v>
      </c>
      <c r="F73" s="12">
        <v>28058</v>
      </c>
      <c r="G73" s="3" t="s">
        <v>58</v>
      </c>
      <c r="H73" s="3" t="s">
        <v>59</v>
      </c>
      <c r="I73" s="3" t="s">
        <v>201</v>
      </c>
      <c r="J73" s="3" t="s">
        <v>105</v>
      </c>
      <c r="K73" s="3" t="s">
        <v>94</v>
      </c>
      <c r="L73" s="3" t="s">
        <v>106</v>
      </c>
      <c r="M73" s="3" t="s">
        <v>64</v>
      </c>
      <c r="N73" s="3" t="s">
        <v>13</v>
      </c>
      <c r="O73" s="3" t="s">
        <v>10</v>
      </c>
      <c r="P73" s="3" t="s">
        <v>107</v>
      </c>
      <c r="Q73" s="3" t="s">
        <v>68</v>
      </c>
      <c r="R73" s="3" t="s">
        <v>69</v>
      </c>
      <c r="S73" s="3" t="s">
        <v>184</v>
      </c>
      <c r="T73" s="3" t="s">
        <v>71</v>
      </c>
      <c r="U73" s="3" t="s">
        <v>72</v>
      </c>
      <c r="V73" s="3" t="str">
        <f>IF(COUNTA(A73:U73)=21,"OK","MISSING")</f>
        <v>OK</v>
      </c>
    </row>
    <row r="74" ht="23.85" hidden="0" outlineLevel="0" collapsed="0">
      <c r="A74" s="3">
        <v>70</v>
      </c>
      <c r="B74" s="3" t="s">
        <v>4</v>
      </c>
      <c r="C74" s="3" t="s">
        <v>204</v>
      </c>
      <c r="D74" s="3" t="s">
        <v>205</v>
      </c>
      <c r="E74" s="3" t="s">
        <v>82</v>
      </c>
      <c r="F74" s="12">
        <v>22351</v>
      </c>
      <c r="G74" s="3" t="s">
        <v>58</v>
      </c>
      <c r="H74" s="3" t="s">
        <v>59</v>
      </c>
      <c r="I74" s="3" t="s">
        <v>201</v>
      </c>
      <c r="J74" s="3" t="s">
        <v>105</v>
      </c>
      <c r="K74" s="3" t="s">
        <v>84</v>
      </c>
      <c r="L74" s="3" t="s">
        <v>106</v>
      </c>
      <c r="M74" s="3" t="s">
        <v>64</v>
      </c>
      <c r="N74" s="3" t="s">
        <v>13</v>
      </c>
      <c r="O74" s="3" t="s">
        <v>10</v>
      </c>
      <c r="P74" s="3" t="s">
        <v>107</v>
      </c>
      <c r="Q74" s="3" t="s">
        <v>68</v>
      </c>
      <c r="R74" s="3" t="s">
        <v>69</v>
      </c>
      <c r="S74" s="3" t="s">
        <v>184</v>
      </c>
      <c r="T74" s="3" t="s">
        <v>71</v>
      </c>
      <c r="U74" s="3" t="s">
        <v>72</v>
      </c>
      <c r="V74" s="3" t="str">
        <f>IF(COUNTA(A74:U74)=21,"OK","MISSING")</f>
        <v>OK</v>
      </c>
    </row>
    <row r="75" ht="23.85" hidden="0" outlineLevel="0" collapsed="0">
      <c r="A75" s="3">
        <v>71</v>
      </c>
      <c r="B75" s="3" t="s">
        <v>4</v>
      </c>
      <c r="C75" s="3" t="s">
        <v>206</v>
      </c>
      <c r="D75" s="3" t="s">
        <v>205</v>
      </c>
      <c r="E75" s="3" t="s">
        <v>88</v>
      </c>
      <c r="F75" s="12">
        <v>19477</v>
      </c>
      <c r="G75" s="3" t="s">
        <v>58</v>
      </c>
      <c r="H75" s="3" t="s">
        <v>59</v>
      </c>
      <c r="I75" s="3" t="s">
        <v>201</v>
      </c>
      <c r="J75" s="3" t="s">
        <v>105</v>
      </c>
      <c r="K75" s="3" t="s">
        <v>90</v>
      </c>
      <c r="L75" s="3" t="s">
        <v>106</v>
      </c>
      <c r="M75" s="3" t="s">
        <v>64</v>
      </c>
      <c r="N75" s="3" t="s">
        <v>13</v>
      </c>
      <c r="O75" s="3" t="s">
        <v>10</v>
      </c>
      <c r="P75" s="3" t="s">
        <v>107</v>
      </c>
      <c r="Q75" s="3" t="s">
        <v>68</v>
      </c>
      <c r="R75" s="3" t="s">
        <v>69</v>
      </c>
      <c r="S75" s="3" t="s">
        <v>184</v>
      </c>
      <c r="T75" s="3" t="s">
        <v>71</v>
      </c>
      <c r="U75" s="3" t="s">
        <v>72</v>
      </c>
      <c r="V75" s="3" t="str">
        <f>IF(COUNTA(A75:U75)=21,"OK","MISSING")</f>
        <v>OK</v>
      </c>
    </row>
    <row r="76" ht="23.85" hidden="0" outlineLevel="0" collapsed="0">
      <c r="A76" s="3">
        <v>72</v>
      </c>
      <c r="B76" s="3" t="s">
        <v>4</v>
      </c>
      <c r="C76" s="3" t="s">
        <v>207</v>
      </c>
      <c r="D76" s="3" t="s">
        <v>205</v>
      </c>
      <c r="E76" s="3" t="s">
        <v>92</v>
      </c>
      <c r="F76" s="12">
        <v>18197</v>
      </c>
      <c r="G76" s="3" t="s">
        <v>58</v>
      </c>
      <c r="H76" s="3" t="s">
        <v>59</v>
      </c>
      <c r="I76" s="3" t="s">
        <v>201</v>
      </c>
      <c r="J76" s="3" t="s">
        <v>105</v>
      </c>
      <c r="K76" s="3" t="s">
        <v>94</v>
      </c>
      <c r="L76" s="3" t="s">
        <v>106</v>
      </c>
      <c r="M76" s="3" t="s">
        <v>64</v>
      </c>
      <c r="N76" s="3" t="s">
        <v>13</v>
      </c>
      <c r="O76" s="3" t="s">
        <v>10</v>
      </c>
      <c r="P76" s="3" t="s">
        <v>107</v>
      </c>
      <c r="Q76" s="3" t="s">
        <v>68</v>
      </c>
      <c r="R76" s="3" t="s">
        <v>69</v>
      </c>
      <c r="S76" s="3" t="s">
        <v>184</v>
      </c>
      <c r="T76" s="3" t="s">
        <v>71</v>
      </c>
      <c r="U76" s="3" t="s">
        <v>72</v>
      </c>
      <c r="V76" s="3" t="str">
        <f>IF(COUNTA(A76:U76)=21,"OK","MISSING")</f>
        <v>OK</v>
      </c>
    </row>
    <row r="77" ht="23.85" hidden="0" outlineLevel="0" collapsed="0">
      <c r="A77" s="3">
        <v>73</v>
      </c>
      <c r="B77" s="3" t="s">
        <v>4</v>
      </c>
      <c r="C77" s="3" t="s">
        <v>208</v>
      </c>
      <c r="D77" s="3" t="s">
        <v>196</v>
      </c>
      <c r="E77" s="3" t="s">
        <v>82</v>
      </c>
      <c r="F77" s="12">
        <v>155</v>
      </c>
      <c r="G77" s="3" t="s">
        <v>58</v>
      </c>
      <c r="H77" s="3" t="s">
        <v>59</v>
      </c>
      <c r="I77" s="3" t="s">
        <v>201</v>
      </c>
      <c r="J77" s="3" t="s">
        <v>105</v>
      </c>
      <c r="K77" s="3" t="s">
        <v>84</v>
      </c>
      <c r="L77" s="3" t="s">
        <v>106</v>
      </c>
      <c r="M77" s="3" t="s">
        <v>64</v>
      </c>
      <c r="N77" s="3" t="s">
        <v>13</v>
      </c>
      <c r="O77" s="3" t="s">
        <v>10</v>
      </c>
      <c r="P77" s="3" t="s">
        <v>107</v>
      </c>
      <c r="Q77" s="3" t="s">
        <v>68</v>
      </c>
      <c r="R77" s="3" t="s">
        <v>69</v>
      </c>
      <c r="S77" s="3" t="s">
        <v>184</v>
      </c>
      <c r="T77" s="3" t="s">
        <v>71</v>
      </c>
      <c r="U77" s="3" t="s">
        <v>72</v>
      </c>
      <c r="V77" s="3" t="str">
        <f>IF(COUNTA(A77:U77)=21,"OK","MISSING")</f>
        <v>OK</v>
      </c>
    </row>
    <row r="78" ht="23.85" hidden="0" outlineLevel="0" collapsed="0">
      <c r="A78" s="3">
        <v>74</v>
      </c>
      <c r="B78" s="3" t="s">
        <v>4</v>
      </c>
      <c r="C78" s="3" t="s">
        <v>209</v>
      </c>
      <c r="D78" s="3" t="s">
        <v>196</v>
      </c>
      <c r="E78" s="3" t="s">
        <v>88</v>
      </c>
      <c r="F78" s="12">
        <v>74</v>
      </c>
      <c r="G78" s="3" t="s">
        <v>58</v>
      </c>
      <c r="H78" s="3" t="s">
        <v>59</v>
      </c>
      <c r="I78" s="3" t="s">
        <v>201</v>
      </c>
      <c r="J78" s="3" t="s">
        <v>105</v>
      </c>
      <c r="K78" s="3" t="s">
        <v>90</v>
      </c>
      <c r="L78" s="3" t="s">
        <v>106</v>
      </c>
      <c r="M78" s="3" t="s">
        <v>64</v>
      </c>
      <c r="N78" s="3" t="s">
        <v>13</v>
      </c>
      <c r="O78" s="3" t="s">
        <v>10</v>
      </c>
      <c r="P78" s="3" t="s">
        <v>107</v>
      </c>
      <c r="Q78" s="3" t="s">
        <v>68</v>
      </c>
      <c r="R78" s="3" t="s">
        <v>69</v>
      </c>
      <c r="S78" s="3" t="s">
        <v>184</v>
      </c>
      <c r="T78" s="3" t="s">
        <v>71</v>
      </c>
      <c r="U78" s="3" t="s">
        <v>72</v>
      </c>
      <c r="V78" s="3" t="str">
        <f>IF(COUNTA(A78:U78)=21,"OK","MISSING")</f>
        <v>OK</v>
      </c>
    </row>
    <row r="79" ht="23.85" hidden="0" outlineLevel="0" collapsed="0">
      <c r="A79" s="3">
        <v>75</v>
      </c>
      <c r="B79" s="3" t="s">
        <v>4</v>
      </c>
      <c r="C79" s="3" t="s">
        <v>210</v>
      </c>
      <c r="D79" s="3" t="s">
        <v>196</v>
      </c>
      <c r="E79" s="3" t="s">
        <v>92</v>
      </c>
      <c r="F79" s="12">
        <v>143</v>
      </c>
      <c r="G79" s="3" t="s">
        <v>58</v>
      </c>
      <c r="H79" s="3" t="s">
        <v>59</v>
      </c>
      <c r="I79" s="3" t="s">
        <v>201</v>
      </c>
      <c r="J79" s="3" t="s">
        <v>105</v>
      </c>
      <c r="K79" s="3" t="s">
        <v>94</v>
      </c>
      <c r="L79" s="3" t="s">
        <v>106</v>
      </c>
      <c r="M79" s="3" t="s">
        <v>64</v>
      </c>
      <c r="N79" s="3" t="s">
        <v>13</v>
      </c>
      <c r="O79" s="3" t="s">
        <v>10</v>
      </c>
      <c r="P79" s="3" t="s">
        <v>107</v>
      </c>
      <c r="Q79" s="3" t="s">
        <v>68</v>
      </c>
      <c r="R79" s="3" t="s">
        <v>69</v>
      </c>
      <c r="S79" s="3" t="s">
        <v>184</v>
      </c>
      <c r="T79" s="3" t="s">
        <v>71</v>
      </c>
      <c r="U79" s="3" t="s">
        <v>72</v>
      </c>
      <c r="V79" s="3" t="str">
        <f>IF(COUNTA(A79:U79)=21,"OK","MISSING")</f>
        <v>OK</v>
      </c>
    </row>
    <row r="80" ht="23.85" hidden="0" outlineLevel="0" collapsed="0">
      <c r="A80" s="3">
        <v>76</v>
      </c>
      <c r="B80" s="3" t="s">
        <v>4</v>
      </c>
      <c r="C80" s="3" t="s">
        <v>211</v>
      </c>
      <c r="D80" s="3" t="s">
        <v>212</v>
      </c>
      <c r="E80" s="3" t="s">
        <v>82</v>
      </c>
      <c r="F80" s="12">
        <v>6539</v>
      </c>
      <c r="G80" s="3" t="s">
        <v>58</v>
      </c>
      <c r="H80" s="3" t="s">
        <v>59</v>
      </c>
      <c r="I80" s="3" t="s">
        <v>213</v>
      </c>
      <c r="J80" s="3" t="s">
        <v>105</v>
      </c>
      <c r="K80" s="3" t="s">
        <v>84</v>
      </c>
      <c r="L80" s="3" t="s">
        <v>106</v>
      </c>
      <c r="M80" s="3" t="s">
        <v>64</v>
      </c>
      <c r="N80" s="3" t="s">
        <v>13</v>
      </c>
      <c r="O80" s="3" t="s">
        <v>10</v>
      </c>
      <c r="P80" s="3" t="s">
        <v>107</v>
      </c>
      <c r="Q80" s="3" t="s">
        <v>68</v>
      </c>
      <c r="R80" s="3" t="s">
        <v>69</v>
      </c>
      <c r="S80" s="3" t="s">
        <v>184</v>
      </c>
      <c r="T80" s="3" t="s">
        <v>71</v>
      </c>
      <c r="U80" s="3" t="s">
        <v>214</v>
      </c>
      <c r="V80" s="3" t="str">
        <f>IF(COUNTA(A80:U80)=21,"OK","MISSING")</f>
        <v>OK</v>
      </c>
    </row>
    <row r="81" ht="23.85" hidden="0" outlineLevel="0" collapsed="0">
      <c r="A81" s="3">
        <v>77</v>
      </c>
      <c r="B81" s="3" t="s">
        <v>4</v>
      </c>
      <c r="C81" s="3" t="s">
        <v>215</v>
      </c>
      <c r="D81" s="3" t="s">
        <v>212</v>
      </c>
      <c r="E81" s="3" t="s">
        <v>88</v>
      </c>
      <c r="F81" s="12">
        <v>3778</v>
      </c>
      <c r="G81" s="3" t="s">
        <v>58</v>
      </c>
      <c r="H81" s="3" t="s">
        <v>59</v>
      </c>
      <c r="I81" s="3" t="s">
        <v>213</v>
      </c>
      <c r="J81" s="3" t="s">
        <v>105</v>
      </c>
      <c r="K81" s="3" t="s">
        <v>90</v>
      </c>
      <c r="L81" s="3" t="s">
        <v>106</v>
      </c>
      <c r="M81" s="3" t="s">
        <v>64</v>
      </c>
      <c r="N81" s="3" t="s">
        <v>13</v>
      </c>
      <c r="O81" s="3" t="s">
        <v>10</v>
      </c>
      <c r="P81" s="3" t="s">
        <v>107</v>
      </c>
      <c r="Q81" s="3" t="s">
        <v>68</v>
      </c>
      <c r="R81" s="3" t="s">
        <v>69</v>
      </c>
      <c r="S81" s="3" t="s">
        <v>184</v>
      </c>
      <c r="T81" s="3" t="s">
        <v>71</v>
      </c>
      <c r="U81" s="3" t="s">
        <v>214</v>
      </c>
      <c r="V81" s="3" t="str">
        <f>IF(COUNTA(A81:U81)=21,"OK","MISSING")</f>
        <v>OK</v>
      </c>
    </row>
    <row r="82" ht="23.85" hidden="0" outlineLevel="0" collapsed="0">
      <c r="A82" s="3">
        <v>78</v>
      </c>
      <c r="B82" s="3" t="s">
        <v>4</v>
      </c>
      <c r="C82" s="3" t="s">
        <v>216</v>
      </c>
      <c r="D82" s="3" t="s">
        <v>212</v>
      </c>
      <c r="E82" s="3" t="s">
        <v>92</v>
      </c>
      <c r="F82" s="12">
        <v>3850</v>
      </c>
      <c r="G82" s="3" t="s">
        <v>58</v>
      </c>
      <c r="H82" s="3" t="s">
        <v>59</v>
      </c>
      <c r="I82" s="3" t="s">
        <v>213</v>
      </c>
      <c r="J82" s="3" t="s">
        <v>105</v>
      </c>
      <c r="K82" s="3" t="s">
        <v>94</v>
      </c>
      <c r="L82" s="3" t="s">
        <v>106</v>
      </c>
      <c r="M82" s="3" t="s">
        <v>64</v>
      </c>
      <c r="N82" s="3" t="s">
        <v>13</v>
      </c>
      <c r="O82" s="3" t="s">
        <v>10</v>
      </c>
      <c r="P82" s="3" t="s">
        <v>107</v>
      </c>
      <c r="Q82" s="3" t="s">
        <v>68</v>
      </c>
      <c r="R82" s="3" t="s">
        <v>69</v>
      </c>
      <c r="S82" s="3" t="s">
        <v>184</v>
      </c>
      <c r="T82" s="3" t="s">
        <v>71</v>
      </c>
      <c r="U82" s="3" t="s">
        <v>214</v>
      </c>
      <c r="V82" s="3" t="str">
        <f>IF(COUNTA(A82:U82)=21,"OK","MISSING")</f>
        <v>OK</v>
      </c>
    </row>
    <row r="83" ht="23.85" hidden="0" outlineLevel="0" collapsed="0">
      <c r="A83" s="3">
        <v>79</v>
      </c>
      <c r="B83" s="3" t="s">
        <v>4</v>
      </c>
      <c r="C83" s="3" t="s">
        <v>217</v>
      </c>
      <c r="D83" s="3" t="s">
        <v>218</v>
      </c>
      <c r="E83" s="3" t="s">
        <v>82</v>
      </c>
      <c r="F83" s="12">
        <v>0.127</v>
      </c>
      <c r="G83" s="3" t="s">
        <v>219</v>
      </c>
      <c r="H83" s="3" t="s">
        <v>169</v>
      </c>
      <c r="I83" s="3" t="s">
        <v>213</v>
      </c>
      <c r="J83" s="3" t="s">
        <v>105</v>
      </c>
      <c r="K83" s="3" t="s">
        <v>84</v>
      </c>
      <c r="L83" s="3" t="s">
        <v>106</v>
      </c>
      <c r="M83" s="3" t="s">
        <v>64</v>
      </c>
      <c r="N83" s="3" t="s">
        <v>13</v>
      </c>
      <c r="O83" s="3" t="s">
        <v>10</v>
      </c>
      <c r="P83" s="3" t="s">
        <v>107</v>
      </c>
      <c r="Q83" s="3" t="s">
        <v>68</v>
      </c>
      <c r="R83" s="3" t="s">
        <v>69</v>
      </c>
      <c r="S83" s="3" t="s">
        <v>184</v>
      </c>
      <c r="T83" s="3" t="s">
        <v>71</v>
      </c>
      <c r="U83" s="3" t="s">
        <v>72</v>
      </c>
      <c r="V83" s="3" t="str">
        <f>IF(COUNTA(A83:U83)=21,"OK","MISSING")</f>
        <v>OK</v>
      </c>
    </row>
    <row r="84" ht="23.85" hidden="0" outlineLevel="0" collapsed="0">
      <c r="A84" s="3">
        <v>80</v>
      </c>
      <c r="B84" s="3" t="s">
        <v>4</v>
      </c>
      <c r="C84" s="3" t="s">
        <v>220</v>
      </c>
      <c r="D84" s="3" t="s">
        <v>218</v>
      </c>
      <c r="E84" s="3" t="s">
        <v>88</v>
      </c>
      <c r="F84" s="12">
        <v>0.082</v>
      </c>
      <c r="G84" s="3" t="s">
        <v>219</v>
      </c>
      <c r="H84" s="3" t="s">
        <v>169</v>
      </c>
      <c r="I84" s="3" t="s">
        <v>213</v>
      </c>
      <c r="J84" s="3" t="s">
        <v>105</v>
      </c>
      <c r="K84" s="3" t="s">
        <v>90</v>
      </c>
      <c r="L84" s="3" t="s">
        <v>106</v>
      </c>
      <c r="M84" s="3" t="s">
        <v>64</v>
      </c>
      <c r="N84" s="3" t="s">
        <v>13</v>
      </c>
      <c r="O84" s="3" t="s">
        <v>10</v>
      </c>
      <c r="P84" s="3" t="s">
        <v>107</v>
      </c>
      <c r="Q84" s="3" t="s">
        <v>68</v>
      </c>
      <c r="R84" s="3" t="s">
        <v>69</v>
      </c>
      <c r="S84" s="3" t="s">
        <v>184</v>
      </c>
      <c r="T84" s="3" t="s">
        <v>71</v>
      </c>
      <c r="U84" s="3" t="s">
        <v>72</v>
      </c>
      <c r="V84" s="3" t="str">
        <f>IF(COUNTA(A84:U84)=21,"OK","MISSING")</f>
        <v>OK</v>
      </c>
    </row>
    <row r="85" ht="23.85" hidden="0" outlineLevel="0" collapsed="0">
      <c r="A85" s="3">
        <v>81</v>
      </c>
      <c r="B85" s="3" t="s">
        <v>4</v>
      </c>
      <c r="C85" s="3" t="s">
        <v>221</v>
      </c>
      <c r="D85" s="3" t="s">
        <v>218</v>
      </c>
      <c r="E85" s="3" t="s">
        <v>92</v>
      </c>
      <c r="F85" s="12">
        <v>0.083</v>
      </c>
      <c r="G85" s="3" t="s">
        <v>219</v>
      </c>
      <c r="H85" s="3" t="s">
        <v>169</v>
      </c>
      <c r="I85" s="3" t="s">
        <v>213</v>
      </c>
      <c r="J85" s="3" t="s">
        <v>105</v>
      </c>
      <c r="K85" s="3" t="s">
        <v>94</v>
      </c>
      <c r="L85" s="3" t="s">
        <v>106</v>
      </c>
      <c r="M85" s="3" t="s">
        <v>64</v>
      </c>
      <c r="N85" s="3" t="s">
        <v>13</v>
      </c>
      <c r="O85" s="3" t="s">
        <v>10</v>
      </c>
      <c r="P85" s="3" t="s">
        <v>107</v>
      </c>
      <c r="Q85" s="3" t="s">
        <v>68</v>
      </c>
      <c r="R85" s="3" t="s">
        <v>69</v>
      </c>
      <c r="S85" s="3" t="s">
        <v>184</v>
      </c>
      <c r="T85" s="3" t="s">
        <v>71</v>
      </c>
      <c r="U85" s="3" t="s">
        <v>72</v>
      </c>
      <c r="V85" s="3" t="str">
        <f>IF(COUNTA(A85:U85)=21,"OK","MISSING")</f>
        <v>OK</v>
      </c>
    </row>
    <row r="86" ht="23.85" hidden="0" outlineLevel="0" collapsed="0">
      <c r="A86" s="3">
        <v>82</v>
      </c>
      <c r="B86" s="3" t="s">
        <v>4</v>
      </c>
      <c r="C86" s="3" t="s">
        <v>222</v>
      </c>
      <c r="D86" s="3" t="s">
        <v>223</v>
      </c>
      <c r="E86" s="3" t="s">
        <v>13</v>
      </c>
      <c r="F86" s="12">
        <v>42.77</v>
      </c>
      <c r="G86" s="3" t="s">
        <v>224</v>
      </c>
      <c r="H86" s="3" t="s">
        <v>59</v>
      </c>
      <c r="I86" s="3" t="s">
        <v>225</v>
      </c>
      <c r="J86" s="3" t="s">
        <v>136</v>
      </c>
      <c r="K86" s="3" t="s">
        <v>13</v>
      </c>
      <c r="L86" s="3" t="s">
        <v>169</v>
      </c>
      <c r="M86" s="3" t="s">
        <v>226</v>
      </c>
      <c r="N86" s="3" t="s">
        <v>13</v>
      </c>
      <c r="O86" s="3" t="s">
        <v>227</v>
      </c>
      <c r="P86" s="3" t="s">
        <v>228</v>
      </c>
      <c r="Q86" s="3" t="s">
        <v>68</v>
      </c>
      <c r="R86" s="3" t="s">
        <v>229</v>
      </c>
      <c r="S86" s="3" t="s">
        <v>230</v>
      </c>
      <c r="T86" s="3" t="s">
        <v>231</v>
      </c>
      <c r="U86" s="3" t="s">
        <v>232</v>
      </c>
      <c r="V86" s="3" t="str">
        <f>IF(COUNTA(A86:U86)=21,"OK","MISSING")</f>
        <v>OK</v>
      </c>
    </row>
    <row r="87" ht="15" hidden="0" outlineLevel="0" collapsed="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35.05" hidden="0" outlineLevel="0" collapsed="0">
      <c r="A88" s="13" t="s">
        <v>233</v>
      </c>
      <c r="B88" s="13"/>
      <c r="C88" s="13"/>
      <c r="D88" s="13"/>
      <c r="E88" s="13"/>
      <c r="F88" s="13"/>
      <c r="G88" s="13">
        <f>COUNTIF(V5:V86,"OK")</f>
        <v>82</v>
      </c>
      <c r="H88" s="13">
        <v>82</v>
      </c>
      <c r="I88" s="13" t="str">
        <f>IF(G88=H88,"OK","REVIEW")</f>
        <v>OK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</sheetData>
  <mergeCells count="2">
    <mergeCell ref="A1:V1"/>
    <mergeCell ref="A2:V2"/>
  </mergeCells>
  <conditionalFormatting sqref="V5:V86">
    <cfRule type="containsText" priority="2" operator="containsText" text="OK" dxfId="0">
      <formula>NOT(ISERROR(SEARCH("OK",V5)))</formula>
    </cfRule>
    <cfRule type="containsText" priority="3" operator="containsText" text="REVIEW" dxfId="1">
      <formula>NOT(ISERROR(SEARCH("REVIEW",V5)))</formula>
    </cfRule>
  </conditionalFormatting>
  <conditionalFormatting sqref="I88">
    <cfRule type="containsText" priority="4" operator="containsText" text="OK" dxfId="2">
      <formula>NOT(ISERROR(SEARCH("OK",I88)))</formula>
    </cfRule>
    <cfRule type="containsText" priority="5" operator="containsText" text="REVIEW" dxfId="3">
      <formula>NOT(ISERROR(SEARCH("REVIEW",I88)))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hidden="0" customWidth="1" outlineLevel="0" collapsed="0"/>
    <col min="2" max="2" width="14" hidden="0" customWidth="1" outlineLevel="0" collapsed="0"/>
    <col min="3" max="3" width="17" hidden="0" customWidth="1" outlineLevel="0" collapsed="0"/>
    <col min="4" max="4" width="14" hidden="0" customWidth="1" outlineLevel="0" collapsed="0"/>
    <col min="5" max="5" width="40" hidden="0" customWidth="1" outlineLevel="0" collapsed="0"/>
    <col min="6" max="6" width="18" hidden="0" customWidth="1" outlineLevel="0" collapsed="0"/>
    <col min="7" max="7" width="36" hidden="0" customWidth="1" outlineLevel="0" collapsed="0"/>
    <col min="8" max="8" width="22" hidden="0" customWidth="1" outlineLevel="0" collapsed="0"/>
  </cols>
  <sheetData>
    <row r="1" ht="28" hidden="0" outlineLevel="0" collapsed="0">
      <c r="A1" s="14" t="s">
        <v>234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235</v>
      </c>
      <c r="B2" s="15"/>
      <c r="C2" s="15"/>
      <c r="D2" s="15"/>
      <c r="E2" s="15"/>
      <c r="F2" s="15"/>
      <c r="G2" s="15"/>
      <c r="H2" s="15"/>
    </row>
    <row r="4" ht="15" hidden="0" outlineLevel="0" collapsed="0">
      <c r="A4" s="11" t="s">
        <v>36</v>
      </c>
      <c r="B4" s="11" t="s">
        <v>57</v>
      </c>
      <c r="C4" s="11" t="s">
        <v>74</v>
      </c>
      <c r="D4" s="11" t="s">
        <v>82</v>
      </c>
      <c r="E4" s="11" t="s">
        <v>88</v>
      </c>
      <c r="F4" s="11" t="s">
        <v>92</v>
      </c>
    </row>
    <row r="5" ht="15" hidden="0" outlineLevel="0" collapsed="0">
      <c r="A5" s="16" t="s">
        <v>56</v>
      </c>
      <c r="B5" s="17">
        <v>46710</v>
      </c>
      <c r="C5" s="17">
        <v>51217</v>
      </c>
      <c r="D5" s="17">
        <v>51362</v>
      </c>
      <c r="E5" s="17">
        <v>46309</v>
      </c>
      <c r="F5" s="17">
        <v>46398</v>
      </c>
    </row>
    <row r="6" ht="15" hidden="0" outlineLevel="0" collapsed="0">
      <c r="A6" s="16" t="s">
        <v>96</v>
      </c>
      <c r="B6" s="17">
        <v>21479</v>
      </c>
      <c r="C6" s="17">
        <v>22292</v>
      </c>
      <c r="D6" s="17">
        <v>22887</v>
      </c>
      <c r="E6" s="17">
        <v>19790</v>
      </c>
      <c r="F6" s="17">
        <v>19911</v>
      </c>
    </row>
    <row r="7" ht="15" hidden="0" outlineLevel="0" collapsed="0">
      <c r="A7" s="16" t="s">
        <v>103</v>
      </c>
      <c r="B7" s="17"/>
      <c r="C7" s="17"/>
      <c r="D7" s="17">
        <v>6539</v>
      </c>
      <c r="E7" s="17">
        <v>3778</v>
      </c>
      <c r="F7" s="17">
        <v>3850</v>
      </c>
    </row>
    <row r="8" ht="15" hidden="0" outlineLevel="0" collapsed="0">
      <c r="A8" s="16" t="s">
        <v>113</v>
      </c>
      <c r="B8" s="17">
        <v>6046</v>
      </c>
      <c r="C8" s="17">
        <v>5070</v>
      </c>
      <c r="D8" s="17">
        <v>5700</v>
      </c>
      <c r="E8" s="17">
        <v>3219</v>
      </c>
      <c r="F8" s="17">
        <v>3108</v>
      </c>
    </row>
    <row r="9" ht="15" hidden="0" outlineLevel="0" collapsed="0">
      <c r="A9" s="16" t="s">
        <v>120</v>
      </c>
      <c r="B9" s="17">
        <v>5188</v>
      </c>
      <c r="C9" s="17">
        <v>5841</v>
      </c>
      <c r="D9" s="17">
        <v>7429</v>
      </c>
      <c r="E9" s="17">
        <v>3698</v>
      </c>
      <c r="F9" s="17">
        <v>2868</v>
      </c>
    </row>
    <row r="10" ht="15" hidden="0" outlineLevel="0" collapsed="0">
      <c r="A10" s="16" t="s">
        <v>127</v>
      </c>
      <c r="B10" s="17">
        <v>758</v>
      </c>
      <c r="C10" s="17">
        <v>969</v>
      </c>
      <c r="D10" s="17">
        <v>812</v>
      </c>
      <c r="E10" s="17">
        <v>430</v>
      </c>
      <c r="F10" s="17">
        <v>684</v>
      </c>
    </row>
    <row r="11" ht="15" hidden="0" outlineLevel="0" collapsed="0">
      <c r="A11" s="16" t="s">
        <v>134</v>
      </c>
      <c r="B11" s="17">
        <v>40321</v>
      </c>
      <c r="C11" s="17">
        <v>37531</v>
      </c>
      <c r="D11" s="17">
        <v>38110</v>
      </c>
      <c r="E11" s="17">
        <v>36579</v>
      </c>
      <c r="F11" s="17">
        <v>38410</v>
      </c>
    </row>
    <row r="12" ht="15" hidden="0" outlineLevel="0" collapsed="0">
      <c r="A12" s="16" t="s">
        <v>146</v>
      </c>
      <c r="B12" s="17">
        <v>15281</v>
      </c>
      <c r="C12" s="17">
        <v>14004</v>
      </c>
      <c r="D12" s="17">
        <v>14430</v>
      </c>
      <c r="E12" s="17">
        <v>13213</v>
      </c>
      <c r="F12" s="17">
        <v>14865</v>
      </c>
    </row>
    <row r="13" ht="15" hidden="0" outlineLevel="0" collapsed="0">
      <c r="A13" s="16" t="s">
        <v>153</v>
      </c>
      <c r="B13" s="17">
        <v>8574</v>
      </c>
      <c r="C13" s="17">
        <v>7441</v>
      </c>
      <c r="D13" s="17">
        <v>9860</v>
      </c>
      <c r="E13" s="17">
        <v>7464</v>
      </c>
      <c r="F13" s="17">
        <v>7563</v>
      </c>
    </row>
    <row r="14" ht="15" hidden="0" outlineLevel="0" collapsed="0">
      <c r="A14" s="16" t="s">
        <v>160</v>
      </c>
      <c r="B14" s="17">
        <v>9420</v>
      </c>
      <c r="C14" s="17">
        <v>8927</v>
      </c>
      <c r="D14" s="17">
        <v>8903</v>
      </c>
      <c r="E14" s="17">
        <v>7961</v>
      </c>
      <c r="F14" s="17">
        <v>7942</v>
      </c>
    </row>
    <row r="15" ht="15" hidden="0" outlineLevel="0" collapsed="0">
      <c r="A15" s="16" t="s">
        <v>167</v>
      </c>
      <c r="B15" s="17">
        <v>1610.8</v>
      </c>
      <c r="C15" s="17">
        <v>1569.8</v>
      </c>
      <c r="D15" s="17">
        <v>1529.7</v>
      </c>
      <c r="E15" s="17">
        <v>1487.6</v>
      </c>
      <c r="F15" s="17">
        <v>1481</v>
      </c>
    </row>
    <row r="17" ht="15" hidden="0" outlineLevel="0" collapsed="0">
      <c r="A17" s="18" t="s">
        <v>236</v>
      </c>
      <c r="B17" s="18" t="s">
        <v>237</v>
      </c>
      <c r="C17" s="18"/>
      <c r="D17" s="18"/>
      <c r="E17" s="18"/>
      <c r="F17" s="18"/>
    </row>
    <row r="18" ht="15" hidden="0" outlineLevel="0" collapsed="0">
      <c r="A18" s="0" t="s">
        <v>238</v>
      </c>
      <c r="B18" s="19">
        <f>F13</f>
        <v>7563</v>
      </c>
      <c r="F18" s="0" t="s">
        <v>58</v>
      </c>
    </row>
    <row r="19" ht="15" hidden="0" outlineLevel="0" collapsed="0">
      <c r="A19" s="0" t="s">
        <v>239</v>
      </c>
      <c r="B19" s="19">
        <f>F14</f>
        <v>7942</v>
      </c>
      <c r="F19" s="0" t="s">
        <v>58</v>
      </c>
    </row>
    <row r="20" ht="15" hidden="0" outlineLevel="0" collapsed="0">
      <c r="A20" s="0" t="s">
        <v>177</v>
      </c>
      <c r="B20" s="19">
        <v>1481</v>
      </c>
      <c r="F20" s="0" t="s">
        <v>168</v>
      </c>
    </row>
    <row r="22" ht="15" hidden="0" outlineLevel="0" collapsed="0">
      <c r="A22" s="11" t="s">
        <v>240</v>
      </c>
      <c r="B22" s="11" t="s">
        <v>92</v>
      </c>
      <c r="C22" s="11" t="s">
        <v>241</v>
      </c>
      <c r="D22" s="11" t="s">
        <v>242</v>
      </c>
      <c r="E22" s="11" t="s">
        <v>243</v>
      </c>
      <c r="F22" s="11" t="s">
        <v>244</v>
      </c>
    </row>
    <row r="23" ht="15" hidden="0" outlineLevel="0" collapsed="0">
      <c r="A23" s="0" t="s">
        <v>153</v>
      </c>
      <c r="B23" s="0">
        <f>F13</f>
        <v>7563</v>
      </c>
      <c r="C23" s="0" t="s">
        <v>245</v>
      </c>
      <c r="D23" s="0" t="s">
        <v>242</v>
      </c>
      <c r="E23" s="0" t="s">
        <v>246</v>
      </c>
      <c r="F23" s="0" t="s">
        <v>247</v>
      </c>
    </row>
    <row r="24" ht="15" hidden="0" outlineLevel="0" collapsed="0">
      <c r="A24" s="0" t="s">
        <v>160</v>
      </c>
      <c r="B24" s="0">
        <f>F14</f>
        <v>7942</v>
      </c>
      <c r="C24" s="0" t="s">
        <v>245</v>
      </c>
      <c r="D24" s="0" t="s">
        <v>242</v>
      </c>
      <c r="E24" s="0" t="s">
        <v>246</v>
      </c>
      <c r="F24" s="0" t="s">
        <v>247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9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7" hidden="0" customWidth="1" outlineLevel="0" collapsed="0"/>
    <col min="2" max="2" width="12" hidden="0" customWidth="1" outlineLevel="0" collapsed="0"/>
    <col min="3" max="6" width="13" hidden="0" customWidth="1" outlineLevel="0" collapsed="0"/>
    <col min="7" max="7" width="55" hidden="0" customWidth="1" outlineLevel="0" collapsed="0"/>
    <col min="8" max="8" width="15" hidden="0" customWidth="1" outlineLevel="0" collapsed="0"/>
  </cols>
  <sheetData>
    <row r="1" ht="28" hidden="0" outlineLevel="0" collapsed="0">
      <c r="A1" s="1" t="s">
        <v>248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249</v>
      </c>
      <c r="B2" s="2"/>
      <c r="C2" s="2"/>
      <c r="D2" s="2"/>
      <c r="E2" s="2"/>
      <c r="F2" s="2"/>
      <c r="G2" s="2"/>
      <c r="H2" s="2"/>
    </row>
    <row r="3" ht="15" hidden="0" outlineLevel="0" collapsed="0">
      <c r="A3" s="3" t="s">
        <v>250</v>
      </c>
      <c r="B3" s="20">
        <v>1</v>
      </c>
      <c r="C3" s="3"/>
      <c r="D3" s="3"/>
      <c r="E3" s="3"/>
      <c r="F3" s="3"/>
      <c r="G3" s="3" t="s">
        <v>251</v>
      </c>
    </row>
    <row r="4" ht="15" hidden="0" outlineLevel="0" collapsed="0">
      <c r="A4" s="3" t="s">
        <v>14</v>
      </c>
      <c r="B4" s="3" t="str">
        <f>CHOOSE(B3,"Base","Bull","Bear")</f>
        <v>Base</v>
      </c>
      <c r="C4" s="3"/>
      <c r="D4" s="3"/>
      <c r="E4" s="3"/>
      <c r="F4" s="3"/>
      <c r="G4" s="3" t="s">
        <v>252</v>
      </c>
    </row>
    <row r="5" ht="15" hidden="0" outlineLevel="0" collapsed="0">
      <c r="A5" s="3"/>
      <c r="B5" s="3"/>
      <c r="C5" s="3"/>
      <c r="D5" s="3"/>
      <c r="E5" s="3"/>
      <c r="F5" s="3"/>
      <c r="G5" s="3"/>
    </row>
    <row r="6" ht="15" hidden="0" outlineLevel="0" collapsed="0">
      <c r="A6" s="11" t="s">
        <v>253</v>
      </c>
      <c r="B6" s="11" t="s">
        <v>39</v>
      </c>
      <c r="C6" s="11" t="s">
        <v>254</v>
      </c>
      <c r="D6" s="11" t="s">
        <v>255</v>
      </c>
      <c r="E6" s="11" t="s">
        <v>256</v>
      </c>
      <c r="F6" s="11" t="s">
        <v>257</v>
      </c>
      <c r="G6" s="11" t="s">
        <v>258</v>
      </c>
    </row>
    <row r="7" ht="15" hidden="0" outlineLevel="0" collapsed="0">
      <c r="A7" s="3" t="s">
        <v>259</v>
      </c>
      <c r="B7" s="3" t="s">
        <v>260</v>
      </c>
      <c r="C7" s="21">
        <v>0.04</v>
      </c>
      <c r="D7" s="21">
        <v>0.07</v>
      </c>
      <c r="E7" s="21">
        <v>0</v>
      </c>
      <c r="F7" s="22">
        <f>CHOOSE($B$3,C7,D7,E7)</f>
        <v>0.04</v>
      </c>
      <c r="G7" s="3" t="s">
        <v>261</v>
      </c>
    </row>
    <row r="8" ht="15" hidden="0" outlineLevel="0" collapsed="0">
      <c r="A8" s="3" t="s">
        <v>262</v>
      </c>
      <c r="B8" s="3" t="s">
        <v>260</v>
      </c>
      <c r="C8" s="21">
        <v>0</v>
      </c>
      <c r="D8" s="21">
        <v>0.04</v>
      </c>
      <c r="E8" s="21">
        <v>-0.04</v>
      </c>
      <c r="F8" s="22">
        <f>CHOOSE($B$3,C8,D8,E8)</f>
        <v>0</v>
      </c>
      <c r="G8" s="3" t="s">
        <v>263</v>
      </c>
    </row>
    <row r="9" ht="15" hidden="0" outlineLevel="0" collapsed="0">
      <c r="A9" s="3" t="s">
        <v>264</v>
      </c>
      <c r="B9" s="3" t="s">
        <v>260</v>
      </c>
      <c r="C9" s="21">
        <v>0</v>
      </c>
      <c r="D9" s="21">
        <v>0.03</v>
      </c>
      <c r="E9" s="21">
        <v>-0.05</v>
      </c>
      <c r="F9" s="22">
        <f>CHOOSE($B$3,C9,D9,E9)</f>
        <v>0</v>
      </c>
      <c r="G9" s="3" t="s">
        <v>265</v>
      </c>
    </row>
    <row r="10" ht="15" hidden="0" outlineLevel="0" collapsed="0">
      <c r="A10" s="3" t="s">
        <v>266</v>
      </c>
      <c r="B10" s="3" t="s">
        <v>260</v>
      </c>
      <c r="C10" s="21">
        <v>0.46</v>
      </c>
      <c r="D10" s="21">
        <v>0.48</v>
      </c>
      <c r="E10" s="21">
        <v>0.43</v>
      </c>
      <c r="F10" s="22">
        <f>CHOOSE($B$3,C10,D10,E10)</f>
        <v>0.46</v>
      </c>
      <c r="G10" s="3" t="s">
        <v>267</v>
      </c>
    </row>
    <row r="11" ht="15" hidden="0" outlineLevel="0" collapsed="0">
      <c r="A11" s="3" t="s">
        <v>268</v>
      </c>
      <c r="B11" s="3" t="s">
        <v>260</v>
      </c>
      <c r="C11" s="21">
        <v>0.375</v>
      </c>
      <c r="D11" s="21">
        <v>0.36</v>
      </c>
      <c r="E11" s="21">
        <v>0.39</v>
      </c>
      <c r="F11" s="22">
        <f>CHOOSE($B$3,C11,D11,E11)</f>
        <v>0.375</v>
      </c>
      <c r="G11" s="3" t="s">
        <v>269</v>
      </c>
    </row>
    <row r="12" ht="15" hidden="0" outlineLevel="0" collapsed="0">
      <c r="A12" s="3" t="s">
        <v>270</v>
      </c>
      <c r="B12" s="3" t="s">
        <v>260</v>
      </c>
      <c r="C12" s="21">
        <v>0.205</v>
      </c>
      <c r="D12" s="21">
        <v>0.19</v>
      </c>
      <c r="E12" s="21">
        <v>0.22</v>
      </c>
      <c r="F12" s="22">
        <f>CHOOSE($B$3,C12,D12,E12)</f>
        <v>0.205</v>
      </c>
      <c r="G12" s="3" t="s">
        <v>271</v>
      </c>
    </row>
    <row r="13" ht="15" hidden="0" outlineLevel="0" collapsed="0">
      <c r="A13" s="3" t="s">
        <v>272</v>
      </c>
      <c r="B13" s="3" t="s">
        <v>260</v>
      </c>
      <c r="C13" s="21">
        <v>0.018</v>
      </c>
      <c r="D13" s="21">
        <v>0.02</v>
      </c>
      <c r="E13" s="21">
        <v>0.016</v>
      </c>
      <c r="F13" s="22">
        <f>CHOOSE($B$3,C13,D13,E13)</f>
        <v>0.018</v>
      </c>
      <c r="G13" s="3" t="s">
        <v>273</v>
      </c>
    </row>
    <row r="14" ht="15" hidden="0" outlineLevel="0" collapsed="0">
      <c r="A14" s="3" t="s">
        <v>274</v>
      </c>
      <c r="B14" s="3" t="s">
        <v>260</v>
      </c>
      <c r="C14" s="21">
        <v>0.015</v>
      </c>
      <c r="D14" s="21">
        <v>0.012</v>
      </c>
      <c r="E14" s="21">
        <v>0.02</v>
      </c>
      <c r="F14" s="22">
        <f>CHOOSE($B$3,C14,D14,E14)</f>
        <v>0.015</v>
      </c>
      <c r="G14" s="3" t="s">
        <v>275</v>
      </c>
    </row>
    <row r="15" ht="15" hidden="0" outlineLevel="0" collapsed="0">
      <c r="A15" s="3" t="s">
        <v>276</v>
      </c>
      <c r="B15" s="3" t="s">
        <v>260</v>
      </c>
      <c r="C15" s="21">
        <v>0.015</v>
      </c>
      <c r="D15" s="21">
        <v>0.01</v>
      </c>
      <c r="E15" s="21">
        <v>0.02</v>
      </c>
      <c r="F15" s="22">
        <f>CHOOSE($B$3,C15,D15,E15)</f>
        <v>0.015</v>
      </c>
      <c r="G15" s="3" t="s">
        <v>277</v>
      </c>
    </row>
    <row r="16" ht="15" hidden="0" outlineLevel="0" collapsed="0">
      <c r="A16" s="3" t="s">
        <v>278</v>
      </c>
      <c r="B16" s="3" t="s">
        <v>260</v>
      </c>
      <c r="C16" s="21">
        <v>0.095</v>
      </c>
      <c r="D16" s="21">
        <v>0.085</v>
      </c>
      <c r="E16" s="21">
        <v>0.105</v>
      </c>
      <c r="F16" s="22">
        <f>CHOOSE($B$3,C16,D16,E16)</f>
        <v>0.095</v>
      </c>
      <c r="G16" s="3" t="s">
        <v>279</v>
      </c>
    </row>
    <row r="17" ht="15" hidden="0" outlineLevel="0" collapsed="0">
      <c r="A17" s="3" t="s">
        <v>280</v>
      </c>
      <c r="B17" s="3" t="s">
        <v>260</v>
      </c>
      <c r="C17" s="21">
        <v>0.025</v>
      </c>
      <c r="D17" s="21">
        <v>0.03</v>
      </c>
      <c r="E17" s="21">
        <v>0.02</v>
      </c>
      <c r="F17" s="22">
        <f>CHOOSE($B$3,C17,D17,E17)</f>
        <v>0.025</v>
      </c>
      <c r="G17" s="3" t="s">
        <v>281</v>
      </c>
    </row>
    <row r="18" ht="15" hidden="0" outlineLevel="0" collapsed="0">
      <c r="A18" s="3"/>
      <c r="B18" s="3"/>
      <c r="C18" s="3"/>
      <c r="D18" s="3"/>
      <c r="E18" s="3"/>
      <c r="F18" s="3"/>
      <c r="G18" s="3"/>
    </row>
    <row r="19" ht="15" hidden="0" outlineLevel="0" collapsed="0">
      <c r="A19" s="3"/>
      <c r="B19" s="3"/>
      <c r="C19" s="3"/>
      <c r="D19" s="3"/>
      <c r="E19" s="3"/>
      <c r="F19" s="3"/>
      <c r="G19" s="3"/>
    </row>
  </sheetData>
  <mergeCells count="2">
    <mergeCell ref="A1:H1"/>
    <mergeCell ref="A2:H2"/>
  </mergeCells>
  <dataValidations count="1">
    <dataValidation sqref="B3" type="whole">
      <formula1>1</formula1>
      <formula2>3</formula2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7" hidden="0" customWidth="1" outlineLevel="0" collapsed="0"/>
    <col min="2" max="7" width="14" hidden="0" customWidth="1" outlineLevel="0" collapsed="0"/>
    <col min="8" max="8" width="15" hidden="0" customWidth="1" outlineLevel="0" collapsed="0"/>
  </cols>
  <sheetData>
    <row r="1" ht="28" hidden="0" outlineLevel="0" collapsed="0">
      <c r="A1" s="14" t="s">
        <v>282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283</v>
      </c>
      <c r="B2" s="15"/>
      <c r="C2" s="15"/>
      <c r="D2" s="15"/>
      <c r="E2" s="15"/>
      <c r="F2" s="15"/>
      <c r="G2" s="15"/>
      <c r="H2" s="15"/>
    </row>
    <row r="4" ht="15" hidden="0" outlineLevel="0" collapsed="0">
      <c r="A4" s="11" t="s">
        <v>36</v>
      </c>
      <c r="B4" s="11" t="s">
        <v>92</v>
      </c>
      <c r="C4" s="11" t="s">
        <v>284</v>
      </c>
      <c r="D4" s="11" t="s">
        <v>285</v>
      </c>
      <c r="E4" s="11" t="s">
        <v>286</v>
      </c>
      <c r="F4" s="11" t="s">
        <v>287</v>
      </c>
      <c r="G4" s="11" t="s">
        <v>288</v>
      </c>
    </row>
    <row r="5" ht="15" hidden="0" outlineLevel="0" collapsed="0">
      <c r="A5" s="16" t="s">
        <v>200</v>
      </c>
      <c r="B5" s="17">
        <v>28058</v>
      </c>
      <c r="C5" s="23">
        <f>B5*(1+Assumptions!F7)</f>
        <v>29180.32</v>
      </c>
      <c r="D5" s="23">
        <f>C5*(1+Assumptions!F7)</f>
        <v>30347.5328</v>
      </c>
      <c r="E5" s="23">
        <f>D5*(1+Assumptions!F7)</f>
        <v>31561.434112000003</v>
      </c>
      <c r="F5" s="23">
        <f>E5*(1+Assumptions!F7)</f>
        <v>32823.89147648001</v>
      </c>
      <c r="G5" s="23">
        <f>F5*(1+Assumptions!F7)</f>
        <v>34136.84713553921</v>
      </c>
    </row>
    <row r="6" ht="15" hidden="0" outlineLevel="0" collapsed="0">
      <c r="A6" s="16" t="s">
        <v>205</v>
      </c>
      <c r="B6" s="17">
        <v>18197</v>
      </c>
      <c r="C6" s="23">
        <f>B6*(1+Assumptions!F8)</f>
        <v>18197</v>
      </c>
      <c r="D6" s="23">
        <f>C6*(1+Assumptions!F8)</f>
        <v>18197</v>
      </c>
      <c r="E6" s="23">
        <f>D6*(1+Assumptions!F8)</f>
        <v>18197</v>
      </c>
      <c r="F6" s="23">
        <f>E6*(1+Assumptions!F8)</f>
        <v>18197</v>
      </c>
      <c r="G6" s="23">
        <f>F6*(1+Assumptions!F8)</f>
        <v>18197</v>
      </c>
    </row>
    <row r="7" ht="15" hidden="0" outlineLevel="0" collapsed="0">
      <c r="A7" s="16" t="s">
        <v>196</v>
      </c>
      <c r="B7" s="17">
        <v>143</v>
      </c>
      <c r="C7" s="23">
        <f>B7*(1+Assumptions!F9)</f>
        <v>143</v>
      </c>
      <c r="D7" s="23">
        <f>C7*(1+Assumptions!F9)</f>
        <v>143</v>
      </c>
      <c r="E7" s="23">
        <f>D7*(1+Assumptions!F9)</f>
        <v>143</v>
      </c>
      <c r="F7" s="23">
        <f>E7*(1+Assumptions!F9)</f>
        <v>143</v>
      </c>
      <c r="G7" s="23">
        <f>F7*(1+Assumptions!F9)</f>
        <v>143</v>
      </c>
    </row>
    <row r="8" ht="15" hidden="0" outlineLevel="0" collapsed="0">
      <c r="A8" s="16" t="s">
        <v>289</v>
      </c>
      <c r="B8" s="17">
        <f>SUM(B5:B7)</f>
        <v>46398</v>
      </c>
      <c r="C8" s="23">
        <f>SUM(C5:C7)</f>
        <v>47520.32</v>
      </c>
      <c r="D8" s="23">
        <f>SUM(D5:D7)</f>
        <v>48687.5328</v>
      </c>
      <c r="E8" s="23">
        <f>SUM(E5:E7)</f>
        <v>49901.434112</v>
      </c>
      <c r="F8" s="23">
        <f>SUM(F5:F7)</f>
        <v>51163.89147648001</v>
      </c>
      <c r="G8" s="23">
        <f>SUM(G5:G7)</f>
        <v>52476.84713553921</v>
      </c>
    </row>
    <row r="9" ht="15" hidden="0" outlineLevel="0" collapsed="0">
      <c r="A9" s="16" t="s">
        <v>96</v>
      </c>
      <c r="B9" s="17">
        <v>21344</v>
      </c>
      <c r="C9" s="23">
        <f>C8*Assumptions!F10</f>
        <v>21859.3472</v>
      </c>
      <c r="D9" s="23">
        <f>D8*Assumptions!F10</f>
        <v>22396.265088</v>
      </c>
      <c r="E9" s="23">
        <f>E8*Assumptions!F10</f>
        <v>22954.659691520003</v>
      </c>
      <c r="F9" s="23">
        <f>F8*Assumptions!F10</f>
        <v>23535.390079180805</v>
      </c>
      <c r="G9" s="23">
        <f>G8*Assumptions!F10</f>
        <v>24139.34968234804</v>
      </c>
    </row>
    <row r="10" ht="15" hidden="0" outlineLevel="0" collapsed="0">
      <c r="A10" s="16" t="s">
        <v>290</v>
      </c>
      <c r="B10" s="17">
        <v>-17494</v>
      </c>
      <c r="C10" s="23">
        <f>-C8*Assumptions!F11</f>
        <v>-17820.12</v>
      </c>
      <c r="D10" s="23">
        <f>-D8*Assumptions!F11</f>
        <v>-18257.824800000002</v>
      </c>
      <c r="E10" s="23">
        <f>-E8*Assumptions!F11</f>
        <v>-18713.037792000003</v>
      </c>
      <c r="F10" s="23">
        <f>-F8*Assumptions!F11</f>
        <v>-19186.459303680003</v>
      </c>
      <c r="G10" s="23">
        <f>-G8*Assumptions!F11</f>
        <v>-19678.817675827202</v>
      </c>
    </row>
    <row r="11" ht="15" hidden="0" outlineLevel="0" collapsed="0">
      <c r="A11" s="16" t="s">
        <v>212</v>
      </c>
      <c r="B11" s="17">
        <f>SUM(B9:B10)</f>
        <v>3850</v>
      </c>
      <c r="C11" s="23">
        <f>SUM(C9:C10)</f>
        <v>4039.227200000001</v>
      </c>
      <c r="D11" s="23">
        <f>SUM(D9:D10)</f>
        <v>4138.440287999998</v>
      </c>
      <c r="E11" s="23">
        <f>SUM(E9:E10)</f>
        <v>4241.62189952</v>
      </c>
      <c r="F11" s="23">
        <f>SUM(F9:F10)</f>
        <v>4348.930775500801</v>
      </c>
      <c r="G11" s="23">
        <f>SUM(G9:G10)</f>
        <v>4460.532006520836</v>
      </c>
    </row>
    <row r="12" ht="15" hidden="0" outlineLevel="0" collapsed="0">
      <c r="A12" s="16" t="s">
        <v>291</v>
      </c>
      <c r="B12" s="17">
        <f>-B11*Assumptions!F12</f>
        <v>-789.25</v>
      </c>
      <c r="C12" s="23">
        <f>-C11*Assumptions!F12</f>
        <v>-828.0415760000002</v>
      </c>
      <c r="D12" s="23">
        <f>-D11*Assumptions!F12</f>
        <v>-848.3802590399995</v>
      </c>
      <c r="E12" s="23">
        <f>-E11*Assumptions!F12</f>
        <v>-869.5324894016</v>
      </c>
      <c r="F12" s="23">
        <f>-F11*Assumptions!F12</f>
        <v>-891.5308089776642</v>
      </c>
      <c r="G12" s="23">
        <f>-G11*Assumptions!F12</f>
        <v>-914.4090613367714</v>
      </c>
    </row>
    <row r="13" ht="15" hidden="0" outlineLevel="0" collapsed="0">
      <c r="A13" s="16" t="s">
        <v>292</v>
      </c>
      <c r="B13" s="17">
        <f>SUM(B11:B12)</f>
        <v>3060.75</v>
      </c>
      <c r="C13" s="23">
        <f>SUM(C11:C12)</f>
        <v>3211.185624000001</v>
      </c>
      <c r="D13" s="23">
        <f>SUM(D11:D12)</f>
        <v>3290.0600289599984</v>
      </c>
      <c r="E13" s="23">
        <f>SUM(E11:E12)</f>
        <v>3372.0894101184</v>
      </c>
      <c r="F13" s="23">
        <f>SUM(F11:F12)</f>
        <v>3457.399966523137</v>
      </c>
      <c r="G13" s="23">
        <f>SUM(G11:G12)</f>
        <v>3546.1229451840645</v>
      </c>
    </row>
    <row r="14" ht="15" hidden="0" outlineLevel="0" collapsed="0">
      <c r="A14" s="16" t="s">
        <v>293</v>
      </c>
      <c r="B14" s="17">
        <v>0</v>
      </c>
      <c r="C14" s="23">
        <f>C8*Assumptions!F13</f>
        <v>855.3657599999999</v>
      </c>
      <c r="D14" s="23">
        <f>D8*Assumptions!F13</f>
        <v>876.3755904</v>
      </c>
      <c r="E14" s="23">
        <f>E8*Assumptions!F13</f>
        <v>898.225814016</v>
      </c>
      <c r="F14" s="23">
        <f>F8*Assumptions!F13</f>
        <v>920.95004657664</v>
      </c>
      <c r="G14" s="23">
        <f>G8*Assumptions!F13</f>
        <v>944.5832484397057</v>
      </c>
    </row>
    <row r="15" ht="15" hidden="0" outlineLevel="0" collapsed="0">
      <c r="A15" s="16" t="s">
        <v>127</v>
      </c>
      <c r="B15" s="17">
        <v>0</v>
      </c>
      <c r="C15" s="23">
        <f>-C8*Assumptions!F14</f>
        <v>-712.8048</v>
      </c>
      <c r="D15" s="23">
        <f>-D8*Assumptions!F14</f>
        <v>-730.312992</v>
      </c>
      <c r="E15" s="23">
        <f>-E8*Assumptions!F14</f>
        <v>-748.52151168</v>
      </c>
      <c r="F15" s="23">
        <f>-F8*Assumptions!F14</f>
        <v>-767.4583721472001</v>
      </c>
      <c r="G15" s="23">
        <f>-G8*Assumptions!F14</f>
        <v>-787.1527070330882</v>
      </c>
    </row>
    <row r="16" ht="15" hidden="0" outlineLevel="0" collapsed="0">
      <c r="A16" s="16" t="s">
        <v>294</v>
      </c>
      <c r="B16" s="17">
        <v>0</v>
      </c>
      <c r="C16" s="23">
        <f>-(C8-B8)*Assumptions!F15</f>
        <v>-16.834799999999994</v>
      </c>
      <c r="D16" s="23">
        <f>-(D8-C8)*Assumptions!F15</f>
        <v>-17.508192000000015</v>
      </c>
      <c r="E16" s="23">
        <f>-(E8-D8)*Assumptions!F15</f>
        <v>-18.208519680000027</v>
      </c>
      <c r="F16" s="23">
        <f>-(F8-E8)*Assumptions!F15</f>
        <v>-18.93686046720006</v>
      </c>
      <c r="G16" s="23">
        <f>-(G8-F8)*Assumptions!F15</f>
        <v>-19.694334885888054</v>
      </c>
    </row>
    <row r="17" ht="15" hidden="0" outlineLevel="0" collapsed="0">
      <c r="A17" s="16" t="s">
        <v>295</v>
      </c>
      <c r="B17" s="17">
        <v>0</v>
      </c>
      <c r="C17" s="23">
        <f>SUM(C13:C16)</f>
        <v>3336.911784000001</v>
      </c>
      <c r="D17" s="23">
        <f>SUM(D13:D16)</f>
        <v>3418.6144353599984</v>
      </c>
      <c r="E17" s="23">
        <f>SUM(E13:E16)</f>
        <v>3503.5851927743997</v>
      </c>
      <c r="F17" s="23">
        <f>SUM(F13:F16)</f>
        <v>3591.9547804853773</v>
      </c>
      <c r="G17" s="23">
        <f>SUM(G13:G16)</f>
        <v>3683.859151704794</v>
      </c>
    </row>
    <row r="18" ht="15" hidden="0" outlineLevel="0" collapsed="0">
      <c r="A18" s="16"/>
      <c r="B18" s="17"/>
      <c r="C18" s="23"/>
      <c r="D18" s="23"/>
      <c r="E18" s="23"/>
      <c r="F18" s="23"/>
      <c r="G18" s="23"/>
    </row>
    <row r="19" ht="15" hidden="0" outlineLevel="0" collapsed="0">
      <c r="A19" s="16"/>
      <c r="B19" s="17"/>
      <c r="C19" s="23"/>
      <c r="D19" s="23"/>
      <c r="E19" s="23"/>
      <c r="F19" s="23"/>
      <c r="G19" s="23"/>
    </row>
    <row r="20" ht="15" hidden="0" outlineLevel="0" collapsed="0">
      <c r="A20" s="16"/>
      <c r="B20" s="17"/>
      <c r="C20" s="23"/>
      <c r="D20" s="23"/>
      <c r="E20" s="23"/>
      <c r="F20" s="23"/>
      <c r="G20" s="23"/>
    </row>
    <row r="21" ht="15" hidden="0" outlineLevel="0" collapsed="0">
      <c r="A21" s="16"/>
      <c r="B21" s="17"/>
      <c r="C21" s="23"/>
      <c r="D21" s="23"/>
      <c r="E21" s="23"/>
      <c r="F21" s="23"/>
      <c r="G21" s="23"/>
    </row>
    <row r="22" ht="15" hidden="0" outlineLevel="0" collapsed="0">
      <c r="A22" s="16"/>
      <c r="B22" s="17"/>
      <c r="C22" s="23"/>
      <c r="D22" s="23"/>
      <c r="E22" s="23"/>
      <c r="F22" s="23"/>
      <c r="G22" s="23"/>
    </row>
    <row r="23" ht="15" hidden="0" outlineLevel="0" collapsed="0">
      <c r="A23" s="16"/>
      <c r="B23" s="17"/>
      <c r="C23" s="23"/>
      <c r="D23" s="23"/>
      <c r="E23" s="23"/>
      <c r="F23" s="23"/>
      <c r="G23" s="23"/>
    </row>
    <row r="24" ht="15" hidden="0" outlineLevel="0" collapsed="0">
      <c r="A24" s="16"/>
      <c r="B24" s="17"/>
      <c r="C24" s="23"/>
      <c r="D24" s="23"/>
      <c r="E24" s="23"/>
      <c r="F24" s="23"/>
      <c r="G24" s="23"/>
    </row>
    <row r="25" ht="15" hidden="0" outlineLevel="0" collapsed="0">
      <c r="A25" s="16"/>
      <c r="B25" s="17"/>
      <c r="C25" s="23"/>
      <c r="D25" s="23"/>
      <c r="E25" s="23"/>
      <c r="F25" s="23"/>
      <c r="G25" s="23"/>
    </row>
    <row r="26" ht="15" hidden="0" outlineLevel="0" collapsed="0">
      <c r="A26" s="16"/>
      <c r="B26" s="17"/>
      <c r="C26" s="23"/>
      <c r="D26" s="23"/>
      <c r="E26" s="23"/>
      <c r="F26" s="23"/>
      <c r="G26" s="23"/>
    </row>
    <row r="27" ht="15" hidden="0" outlineLevel="0" collapsed="0">
      <c r="A27" s="16"/>
      <c r="B27" s="17"/>
      <c r="C27" s="23"/>
      <c r="D27" s="23"/>
      <c r="E27" s="23"/>
      <c r="F27" s="23"/>
      <c r="G27" s="23"/>
    </row>
    <row r="28" ht="15" hidden="0" outlineLevel="0" collapsed="0">
      <c r="A28" s="16"/>
      <c r="B28" s="17"/>
      <c r="C28" s="23"/>
      <c r="D28" s="23"/>
      <c r="E28" s="23"/>
      <c r="F28" s="23"/>
      <c r="G28" s="23"/>
    </row>
    <row r="29" ht="15" hidden="0" outlineLevel="0" collapsed="0">
      <c r="A29" s="16"/>
      <c r="B29" s="17"/>
      <c r="C29" s="23"/>
      <c r="D29" s="23"/>
      <c r="E29" s="23"/>
      <c r="F29" s="23"/>
      <c r="G29" s="23"/>
    </row>
    <row r="30" ht="15" hidden="0" outlineLevel="0" collapsed="0">
      <c r="A30" s="16"/>
      <c r="B30" s="17"/>
      <c r="C30" s="23"/>
      <c r="D30" s="23"/>
      <c r="E30" s="23"/>
      <c r="F30" s="23"/>
      <c r="G30" s="23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hidden="0" customWidth="1" outlineLevel="0" collapsed="0"/>
    <col min="2" max="6" width="14" hidden="0" customWidth="1" outlineLevel="0" collapsed="0"/>
    <col min="7" max="7" width="22" hidden="0" customWidth="1" outlineLevel="0" collapsed="0"/>
    <col min="8" max="8" width="15" hidden="0" customWidth="1" outlineLevel="0" collapsed="0"/>
  </cols>
  <sheetData>
    <row r="1" ht="28" hidden="0" outlineLevel="0" collapsed="0">
      <c r="A1" s="14" t="s">
        <v>296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297</v>
      </c>
      <c r="B2" s="15"/>
      <c r="C2" s="15"/>
      <c r="D2" s="15"/>
      <c r="E2" s="15"/>
      <c r="F2" s="15"/>
      <c r="G2" s="15"/>
      <c r="H2" s="15"/>
    </row>
    <row r="4" ht="15" hidden="0" outlineLevel="0" collapsed="0">
      <c r="A4" s="11" t="s">
        <v>298</v>
      </c>
      <c r="B4" s="11" t="s">
        <v>299</v>
      </c>
      <c r="C4" s="11" t="s">
        <v>300</v>
      </c>
      <c r="D4" s="11" t="s">
        <v>301</v>
      </c>
      <c r="E4" s="11" t="s">
        <v>302</v>
      </c>
      <c r="F4" s="11" t="s">
        <v>303</v>
      </c>
      <c r="G4" s="11" t="s">
        <v>304</v>
      </c>
    </row>
    <row r="5" ht="15" hidden="0" outlineLevel="0" collapsed="0">
      <c r="A5" s="0" t="s">
        <v>295</v>
      </c>
      <c r="B5" s="23">
        <f>Forecast!C17</f>
        <v>3336.911784000001</v>
      </c>
      <c r="C5" s="23">
        <f>Forecast!D17</f>
        <v>3418.6144353599984</v>
      </c>
      <c r="D5" s="23">
        <f>Forecast!E17</f>
        <v>3503.5851927743997</v>
      </c>
      <c r="E5" s="23">
        <f>Forecast!F17</f>
        <v>3591.9547804853773</v>
      </c>
      <c r="F5" s="23">
        <f>Forecast!G17</f>
        <v>3683.859151704794</v>
      </c>
      <c r="G5" s="17"/>
    </row>
    <row r="6" ht="15" hidden="0" outlineLevel="0" collapsed="0">
      <c r="A6" s="0" t="s">
        <v>305</v>
      </c>
      <c r="B6" s="17">
        <v>1</v>
      </c>
      <c r="C6" s="17">
        <v>2</v>
      </c>
      <c r="D6" s="17">
        <v>3</v>
      </c>
      <c r="E6" s="17">
        <v>4</v>
      </c>
      <c r="F6" s="17">
        <v>5</v>
      </c>
      <c r="G6" s="17"/>
    </row>
    <row r="7" ht="15" hidden="0" outlineLevel="0" collapsed="0">
      <c r="A7" s="0" t="s">
        <v>306</v>
      </c>
      <c r="B7" s="23">
        <f>1/(1+Assumptions!F16)^B6</f>
        <v>0.9132420091324202</v>
      </c>
      <c r="C7" s="23">
        <f>1/(1+Assumptions!F16)^C6</f>
        <v>0.8340109672442193</v>
      </c>
      <c r="D7" s="23">
        <f>1/(1+Assumptions!F16)^D6</f>
        <v>0.7616538513645839</v>
      </c>
      <c r="E7" s="23">
        <f>1/(1+Assumptions!F16)^E6</f>
        <v>0.6955742934836383</v>
      </c>
      <c r="F7" s="23">
        <f>1/(1+Assumptions!F16)^F6</f>
        <v>0.6352276652818615</v>
      </c>
      <c r="G7" s="17"/>
    </row>
    <row r="8" ht="15" hidden="0" outlineLevel="0" collapsed="0">
      <c r="A8" s="0" t="s">
        <v>307</v>
      </c>
      <c r="B8" s="17">
        <f>B5*B7</f>
        <v>3047.408021917809</v>
      </c>
      <c r="C8" s="17">
        <f>C5*C7</f>
        <v>2851.161931869643</v>
      </c>
      <c r="D8" s="17">
        <f>D5*D7</f>
        <v>2668.5191556605496</v>
      </c>
      <c r="E8" s="17">
        <f>E5*E7</f>
        <v>2498.4714086612935</v>
      </c>
      <c r="F8" s="17">
        <f>F5*F7</f>
        <v>2340.089248164655</v>
      </c>
      <c r="G8" s="17"/>
    </row>
    <row r="9" ht="15" hidden="0" outlineLevel="0" collapsed="0">
      <c r="A9" s="0" t="s">
        <v>308</v>
      </c>
      <c r="B9" s="17"/>
      <c r="C9" s="17"/>
      <c r="D9" s="17"/>
      <c r="E9" s="17"/>
      <c r="F9" s="17">
        <f>F5*(1+Assumptions!F17)/(Assumptions!F16-Assumptions!F17)</f>
        <v>53942.223292820185</v>
      </c>
      <c r="G9" s="17"/>
    </row>
    <row r="10" ht="15" hidden="0" outlineLevel="0" collapsed="0">
      <c r="A10" s="0" t="s">
        <v>309</v>
      </c>
      <c r="B10" s="17"/>
      <c r="C10" s="17"/>
      <c r="D10" s="17"/>
      <c r="E10" s="17"/>
      <c r="F10" s="17">
        <f>F9*F7</f>
        <v>34265.59256241101</v>
      </c>
      <c r="G10" s="17"/>
    </row>
    <row r="11" ht="15" hidden="0" outlineLevel="0" collapsed="0">
      <c r="A11" s="0" t="s">
        <v>310</v>
      </c>
      <c r="B11" s="17"/>
      <c r="C11" s="17"/>
      <c r="D11" s="17"/>
      <c r="E11" s="17"/>
      <c r="F11" s="17"/>
      <c r="G11" s="17">
        <f>SUM(B8:F8)+F10</f>
        <v>47671.24232868496</v>
      </c>
    </row>
    <row r="12" ht="15" hidden="0" outlineLevel="0" collapsed="0">
      <c r="A12" s="0" t="s">
        <v>311</v>
      </c>
      <c r="B12" s="17"/>
      <c r="C12" s="17"/>
      <c r="D12" s="17"/>
      <c r="E12" s="17"/>
      <c r="F12" s="17"/>
      <c r="G12" s="17">
        <f>Historical!B18</f>
        <v>7563</v>
      </c>
    </row>
    <row r="13" ht="15" hidden="0" outlineLevel="0" collapsed="0">
      <c r="A13" s="0" t="s">
        <v>312</v>
      </c>
      <c r="B13" s="17"/>
      <c r="C13" s="17"/>
      <c r="D13" s="17"/>
      <c r="E13" s="17"/>
      <c r="F13" s="17"/>
      <c r="G13" s="17">
        <f>Historical!B19</f>
        <v>7942</v>
      </c>
    </row>
    <row r="14" ht="15" hidden="0" outlineLevel="0" collapsed="0">
      <c r="A14" s="0" t="s">
        <v>313</v>
      </c>
      <c r="B14" s="17"/>
      <c r="C14" s="17"/>
      <c r="D14" s="17"/>
      <c r="E14" s="17"/>
      <c r="F14" s="17"/>
      <c r="G14" s="17">
        <f>G11+G12-G13</f>
        <v>47292.24232868496</v>
      </c>
    </row>
    <row r="15" ht="15" hidden="0" outlineLevel="0" collapsed="0">
      <c r="A15" s="0" t="s">
        <v>314</v>
      </c>
      <c r="B15" s="17"/>
      <c r="C15" s="17"/>
      <c r="D15" s="17"/>
      <c r="E15" s="17"/>
      <c r="F15" s="17"/>
      <c r="G15" s="17">
        <f>Historical!B20</f>
        <v>1481</v>
      </c>
    </row>
    <row r="17" ht="15" hidden="0" outlineLevel="0" collapsed="0">
      <c r="A17" s="11" t="s">
        <v>315</v>
      </c>
      <c r="B17" s="11"/>
      <c r="C17" s="11"/>
      <c r="D17" s="11"/>
      <c r="E17" s="11"/>
      <c r="F17" s="11"/>
      <c r="G17" s="11"/>
    </row>
    <row r="18" ht="15" hidden="0" outlineLevel="0" collapsed="0">
      <c r="A18" s="0" t="s">
        <v>15</v>
      </c>
      <c r="G18" s="24">
        <f>G14/G15</f>
        <v>31.93264168040848</v>
      </c>
    </row>
    <row r="19" ht="15" hidden="0" outlineLevel="0" collapsed="0">
      <c r="A19" s="0" t="s">
        <v>11</v>
      </c>
      <c r="G19" s="24">
        <v>42.77</v>
      </c>
    </row>
    <row r="20" ht="15" hidden="0" outlineLevel="0" collapsed="0">
      <c r="A20" s="0" t="s">
        <v>16</v>
      </c>
      <c r="G20" s="25">
        <f>G18/G19-1</f>
        <v>-0.25338691418264025</v>
      </c>
    </row>
    <row r="21" ht="15" hidden="0" outlineLevel="0" collapsed="0">
      <c r="A21" s="0" t="s">
        <v>12</v>
      </c>
      <c r="G21" s="0" t="s">
        <v>13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4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0" hidden="0" customWidth="1" outlineLevel="0" collapsed="0"/>
    <col min="2" max="7" width="17" hidden="0" customWidth="1" outlineLevel="0" collapsed="0"/>
    <col min="8" max="8" width="15" hidden="0" customWidth="1" outlineLevel="0" collapsed="0"/>
  </cols>
  <sheetData>
    <row r="1" ht="28" hidden="0" outlineLevel="0" collapsed="0">
      <c r="A1" s="14" t="s">
        <v>316</v>
      </c>
      <c r="B1" s="14"/>
      <c r="C1" s="14"/>
      <c r="D1" s="14"/>
      <c r="E1" s="14"/>
      <c r="F1" s="14"/>
      <c r="G1" s="14"/>
      <c r="H1" s="14"/>
    </row>
    <row r="2" ht="22" hidden="0" outlineLevel="0" collapsed="0">
      <c r="A2" s="15" t="s">
        <v>317</v>
      </c>
      <c r="B2" s="15"/>
      <c r="C2" s="15"/>
      <c r="D2" s="15"/>
      <c r="E2" s="15"/>
      <c r="F2" s="15"/>
      <c r="G2" s="15"/>
      <c r="H2" s="15"/>
    </row>
    <row r="4" ht="15" hidden="0" outlineLevel="0" collapsed="0">
      <c r="A4" s="26" t="s">
        <v>318</v>
      </c>
      <c r="B4" s="26">
        <v>0.015</v>
      </c>
      <c r="C4" s="26">
        <v>0.02</v>
      </c>
      <c r="D4" s="26">
        <v>0.025</v>
      </c>
      <c r="E4" s="26">
        <v>0.03</v>
      </c>
      <c r="F4" s="26">
        <v>0.035</v>
      </c>
    </row>
    <row r="5" ht="15" hidden="0" outlineLevel="0" collapsed="0">
      <c r="A5" s="25">
        <v>0.08</v>
      </c>
      <c r="B5" s="24">
        <f>(SUM(Valuation!B8:F8)+Forecast!G17*(1+B$4)/($A5-B$4)*Valuation!F7+Valuation!G12-Valuation!G13)/Valuation!G15</f>
        <v>33.46930682693535</v>
      </c>
      <c r="C5" s="24">
        <f>(SUM(Valuation!B8:F8)+Forecast!G17*(1+C$4)/($A5-C$4)*Valuation!F7+Valuation!G12-Valuation!G13)/Valuation!G15</f>
        <v>35.657101272838005</v>
      </c>
      <c r="D5" s="24">
        <f>(SUM(Valuation!B8:F8)+Forecast!G17*(1+D$4)/($A5-D$4)*Valuation!F7+Valuation!G12-Valuation!G13)/Valuation!G15</f>
        <v>38.242676527086594</v>
      </c>
      <c r="E5" s="24">
        <f>(SUM(Valuation!B8:F8)+Forecast!G17*(1+E$4)/($A5-E$4)*Valuation!F7+Valuation!G12-Valuation!G13)/Valuation!G15</f>
        <v>41.3453668321849</v>
      </c>
      <c r="F5" s="24">
        <f>(SUM(Valuation!B8:F8)+Forecast!G17*(1+F$4)/($A5-F$4)*Valuation!F7+Valuation!G12-Valuation!G13)/Valuation!G15</f>
        <v>45.1375438717495</v>
      </c>
    </row>
    <row r="6" ht="15" hidden="0" outlineLevel="0" collapsed="0">
      <c r="A6" s="25">
        <v>0.0875</v>
      </c>
      <c r="B6" s="24">
        <f>(SUM(Valuation!B8:F8)+Forecast!G17*(1+B$4)/($A6-B$4)*Valuation!F7+Valuation!G12-Valuation!G13)/Valuation!G15</f>
        <v>30.916879973382255</v>
      </c>
      <c r="C6" s="24">
        <f>(SUM(Valuation!B8:F8)+Forecast!G17*(1+C$4)/($A6-C$4)*Valuation!F7+Valuation!G12-Valuation!G13)/Valuation!G15</f>
        <v>32.6725174916992</v>
      </c>
      <c r="D6" s="24">
        <f>(SUM(Valuation!B8:F8)+Forecast!G17*(1+D$4)/($A6-D$4)*Valuation!F7+Valuation!G12-Valuation!G13)/Valuation!G15</f>
        <v>34.70905701294686</v>
      </c>
      <c r="E6" s="24">
        <f>(SUM(Valuation!B8:F8)+Forecast!G17*(1+E$4)/($A6-E$4)*Valuation!F7+Valuation!G12-Valuation!G13)/Valuation!G15</f>
        <v>37.099777320498454</v>
      </c>
      <c r="F6" s="24">
        <f>(SUM(Valuation!B8:F8)+Forecast!G17*(1+F$4)/($A6-F$4)*Valuation!F7+Valuation!G12-Valuation!G13)/Valuation!G15</f>
        <v>39.945872924726544</v>
      </c>
    </row>
    <row r="7" ht="15" hidden="0" outlineLevel="0" collapsed="0">
      <c r="A7" s="25">
        <v>0.095</v>
      </c>
      <c r="B7" s="24">
        <f>(SUM(Valuation!B8:F8)+Forecast!G17*(1+B$4)/($A7-B$4)*Valuation!F7+Valuation!G12-Valuation!G13)/Valuation!G15</f>
        <v>28.843033154870366</v>
      </c>
      <c r="C7" s="24">
        <f>(SUM(Valuation!B8:F8)+Forecast!G17*(1+C$4)/($A7-C$4)*Valuation!F7+Valuation!G12-Valuation!G13)/Valuation!G15</f>
        <v>30.284850466788154</v>
      </c>
      <c r="D7" s="24">
        <f>(SUM(Valuation!B8:F8)+Forecast!G17*(1+D$4)/($A7-D$4)*Valuation!F7+Valuation!G12-Valuation!G13)/Valuation!G15</f>
        <v>31.93264168040848</v>
      </c>
      <c r="E7" s="24">
        <f>(SUM(Valuation!B8:F8)+Forecast!G17*(1+E$4)/($A7-E$4)*Valuation!F7+Valuation!G12-Valuation!G13)/Valuation!G15</f>
        <v>33.83393923458579</v>
      </c>
      <c r="F7" s="24">
        <f>(SUM(Valuation!B8:F8)+Forecast!G17*(1+F$4)/($A7-F$4)*Valuation!F7+Valuation!G12-Valuation!G13)/Valuation!G15</f>
        <v>36.052119714459316</v>
      </c>
    </row>
    <row r="8" ht="15" hidden="0" outlineLevel="0" collapsed="0">
      <c r="A8" s="25">
        <v>0.1025</v>
      </c>
      <c r="B8" s="24">
        <f>(SUM(Valuation!B8:F8)+Forecast!G17*(1+B$4)/($A8-B$4)*Valuation!F7+Valuation!G12-Valuation!G13)/Valuation!G15</f>
        <v>27.124702933817655</v>
      </c>
      <c r="C8" s="24">
        <f>(SUM(Valuation!B8:F8)+Forecast!G17*(1+C$4)/($A8-C$4)*Valuation!F7+Valuation!G12-Valuation!G13)/Valuation!G15</f>
        <v>28.33130471913367</v>
      </c>
      <c r="D8" s="24">
        <f>(SUM(Valuation!B8:F8)+Forecast!G17*(1+D$4)/($A8-D$4)*Valuation!F7+Valuation!G12-Valuation!G13)/Valuation!G15</f>
        <v>29.69359705739368</v>
      </c>
      <c r="E8" s="24">
        <f>(SUM(Valuation!B8:F8)+Forecast!G17*(1+E$4)/($A8-E$4)*Valuation!F7+Valuation!G12-Valuation!G13)/Valuation!G15</f>
        <v>31.243791787137823</v>
      </c>
      <c r="F8" s="24">
        <f>(SUM(Valuation!B8:F8)+Forecast!G17*(1+F$4)/($A8-F$4)*Valuation!F7+Valuation!G12-Valuation!G13)/Valuation!G15</f>
        <v>33.02364499536259</v>
      </c>
    </row>
    <row r="9" ht="15" hidden="0" outlineLevel="0" collapsed="0">
      <c r="A9" s="25">
        <v>0.11</v>
      </c>
      <c r="B9" s="24">
        <f>(SUM(Valuation!B8:F8)+Forecast!G17*(1+B$4)/($A9-B$4)*Valuation!F7+Valuation!G12-Valuation!G13)/Valuation!G15</f>
        <v>25.677688010825904</v>
      </c>
      <c r="C9" s="24">
        <f>(SUM(Valuation!B8:F8)+Forecast!G17*(1+C$4)/($A9-C$4)*Valuation!F7+Valuation!G12-Valuation!G13)/Valuation!G15</f>
        <v>26.70334992942159</v>
      </c>
      <c r="D9" s="24">
        <f>(SUM(Valuation!B8:F8)+Forecast!G17*(1+D$4)/($A9-D$4)*Valuation!F7+Valuation!G12-Valuation!G13)/Valuation!G15</f>
        <v>27.84967795608736</v>
      </c>
      <c r="E9" s="24">
        <f>(SUM(Valuation!B8:F8)+Forecast!G17*(1+E$4)/($A9-E$4)*Valuation!F7+Valuation!G12-Valuation!G13)/Valuation!G15</f>
        <v>29.139296986086347</v>
      </c>
      <c r="F9" s="24">
        <f>(SUM(Valuation!B8:F8)+Forecast!G17*(1+F$4)/($A9-F$4)*Valuation!F7+Valuation!G12-Valuation!G13)/Valuation!G15</f>
        <v>30.600865220085204</v>
      </c>
    </row>
    <row r="11" ht="23.85" hidden="0" outlineLevel="0" collapsed="0">
      <c r="B11" s="11" t="s">
        <v>319</v>
      </c>
      <c r="C11" s="11"/>
      <c r="D11" s="11"/>
      <c r="E11" s="11"/>
      <c r="F11" s="11"/>
      <c r="G11" s="11"/>
    </row>
    <row r="12" ht="15" hidden="0" outlineLevel="0" collapsed="0">
      <c r="B12" s="0" t="s">
        <v>320</v>
      </c>
      <c r="C12" s="25">
        <f>Assumptions!F16</f>
        <v>0.095</v>
      </c>
    </row>
    <row r="13" ht="15" hidden="0" outlineLevel="0" collapsed="0">
      <c r="B13" s="0" t="s">
        <v>321</v>
      </c>
      <c r="C13" s="25">
        <f>Assumptions!F17</f>
        <v>0.025</v>
      </c>
    </row>
    <row r="14" ht="15" hidden="0" outlineLevel="0" collapsed="0">
      <c r="B14" s="0" t="s">
        <v>322</v>
      </c>
      <c r="C14" s="24">
        <f>Valuation!G18</f>
        <v>31.93264168040848</v>
      </c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2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hidden="0" customWidth="1" outlineLevel="0" collapsed="0"/>
    <col min="2" max="3" width="18" hidden="0" customWidth="1" outlineLevel="0" collapsed="0"/>
    <col min="4" max="4" width="16" hidden="0" customWidth="1" outlineLevel="0" collapsed="0"/>
    <col min="5" max="6" width="14" hidden="0" customWidth="1" outlineLevel="0" collapsed="0"/>
    <col min="7" max="7" width="58" hidden="0" customWidth="1" outlineLevel="0" collapsed="0"/>
    <col min="8" max="8" width="15" hidden="0" customWidth="1" outlineLevel="0" collapsed="0"/>
  </cols>
  <sheetData>
    <row r="1" ht="28" hidden="0" outlineLevel="0" collapsed="0">
      <c r="A1" s="1" t="s">
        <v>323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324</v>
      </c>
      <c r="B2" s="2"/>
      <c r="C2" s="2"/>
      <c r="D2" s="2"/>
      <c r="E2" s="2"/>
      <c r="F2" s="2"/>
      <c r="G2" s="2"/>
      <c r="H2" s="2"/>
    </row>
    <row r="3" ht="15" hidden="0" outlineLevel="0" collapsed="0">
      <c r="A3" s="3"/>
      <c r="B3" s="3"/>
      <c r="C3" s="3"/>
      <c r="D3" s="3"/>
      <c r="E3" s="3"/>
      <c r="F3" s="3"/>
      <c r="G3" s="3"/>
    </row>
    <row r="4" ht="15" hidden="0" outlineLevel="0" collapsed="0">
      <c r="A4" s="11" t="s">
        <v>325</v>
      </c>
      <c r="B4" s="11" t="s">
        <v>326</v>
      </c>
      <c r="C4" s="11" t="s">
        <v>327</v>
      </c>
      <c r="D4" s="11" t="s">
        <v>328</v>
      </c>
      <c r="E4" s="11" t="s">
        <v>329</v>
      </c>
      <c r="F4" s="11" t="s">
        <v>244</v>
      </c>
      <c r="G4" s="11" t="s">
        <v>330</v>
      </c>
    </row>
    <row r="5" ht="15" hidden="0" outlineLevel="0" collapsed="0">
      <c r="A5" s="3" t="s">
        <v>331</v>
      </c>
      <c r="B5" s="12" t="str">
        <f>Sources!I88</f>
        <v>OK</v>
      </c>
      <c r="C5" s="12" t="s">
        <v>332</v>
      </c>
      <c r="D5" s="12"/>
      <c r="E5" s="12"/>
      <c r="F5" s="12" t="str">
        <f>IF(B5=C5,"OK","REVIEW")</f>
        <v>OK</v>
      </c>
      <c r="G5" s="3" t="s">
        <v>333</v>
      </c>
    </row>
    <row r="6" ht="15" hidden="0" outlineLevel="0" collapsed="0">
      <c r="A6" s="3" t="s">
        <v>334</v>
      </c>
      <c r="B6" s="12">
        <f>Assumptions!B3</f>
        <v>1</v>
      </c>
      <c r="C6" s="12">
        <v>1</v>
      </c>
      <c r="D6" s="12">
        <f>IF(AND(B6&gt;=1,B6&lt;=3),0,1)</f>
        <v>0</v>
      </c>
      <c r="E6" s="12">
        <v>0</v>
      </c>
      <c r="F6" s="12" t="str">
        <f>IF(D6=E6,"OK","REVIEW")</f>
        <v>OK</v>
      </c>
      <c r="G6" s="3" t="s">
        <v>335</v>
      </c>
    </row>
    <row r="7" ht="15" hidden="0" outlineLevel="0" collapsed="0">
      <c r="A7" s="3" t="s">
        <v>336</v>
      </c>
      <c r="B7" s="12">
        <f>Forecast!C8</f>
        <v>47520.32</v>
      </c>
      <c r="C7" s="12">
        <v>0</v>
      </c>
      <c r="D7" s="12">
        <f>IF(B7&gt;0,0,1)</f>
        <v>0</v>
      </c>
      <c r="E7" s="12">
        <v>0</v>
      </c>
      <c r="F7" s="12" t="str">
        <f>IF(D7=E7,"OK","REVIEW")</f>
        <v>OK</v>
      </c>
      <c r="G7" s="3" t="s">
        <v>337</v>
      </c>
    </row>
    <row r="8" ht="15" hidden="0" outlineLevel="0" collapsed="0">
      <c r="A8" s="3" t="s">
        <v>338</v>
      </c>
      <c r="B8" s="12">
        <f>COUNT(Forecast!C11:G11)</f>
        <v>5</v>
      </c>
      <c r="C8" s="12">
        <v>5</v>
      </c>
      <c r="D8" s="12">
        <f>ABS(B8-C8)</f>
        <v>0</v>
      </c>
      <c r="E8" s="12">
        <v>0</v>
      </c>
      <c r="F8" s="12" t="str">
        <f>IF(D8=E8,"OK","REVIEW")</f>
        <v>OK</v>
      </c>
      <c r="G8" s="3" t="s">
        <v>339</v>
      </c>
    </row>
    <row r="9" ht="15" hidden="0" outlineLevel="0" collapsed="0">
      <c r="A9" s="3" t="s">
        <v>340</v>
      </c>
      <c r="B9" s="12">
        <f>COUNT(Forecast!C17:G17)</f>
        <v>5</v>
      </c>
      <c r="C9" s="12">
        <v>5</v>
      </c>
      <c r="D9" s="12">
        <f>ABS(B9-C9)</f>
        <v>0</v>
      </c>
      <c r="E9" s="12">
        <v>0</v>
      </c>
      <c r="F9" s="12" t="str">
        <f>IF(D9=E9,"OK","REVIEW")</f>
        <v>OK</v>
      </c>
      <c r="G9" s="3" t="s">
        <v>341</v>
      </c>
    </row>
    <row r="10" ht="23.85" hidden="0" outlineLevel="0" collapsed="0">
      <c r="A10" s="3" t="s">
        <v>342</v>
      </c>
      <c r="B10" s="12">
        <f>COUNT(Historical!F10)</f>
        <v>1</v>
      </c>
      <c r="C10" s="12">
        <v>1</v>
      </c>
      <c r="D10" s="12">
        <f>ABS(B10-C10)</f>
        <v>0</v>
      </c>
      <c r="E10" s="12">
        <v>0.1</v>
      </c>
      <c r="F10" s="12" t="str">
        <f>IF(D10&lt;=E10,"OK","REVIEW")</f>
        <v>OK</v>
      </c>
      <c r="G10" s="3" t="s">
        <v>343</v>
      </c>
    </row>
    <row r="11" ht="15" hidden="0" outlineLevel="0" collapsed="0">
      <c r="A11" s="3" t="s">
        <v>344</v>
      </c>
      <c r="B11" s="12">
        <f>Valuation!G14</f>
        <v>47292.24232868496</v>
      </c>
      <c r="C11" s="12">
        <f>Valuation!G11+Valuation!G12-Valuation!G13</f>
        <v>47292.24232868496</v>
      </c>
      <c r="D11" s="12">
        <f>ABS(B11-C11)</f>
        <v>0</v>
      </c>
      <c r="E11" s="12">
        <v>0.1</v>
      </c>
      <c r="F11" s="12" t="str">
        <f>IF(D11&lt;=E11,"OK","REVIEW")</f>
        <v>OK</v>
      </c>
      <c r="G11" s="3" t="s">
        <v>345</v>
      </c>
    </row>
    <row r="12" ht="15" hidden="0" outlineLevel="0" collapsed="0">
      <c r="A12" s="3" t="s">
        <v>346</v>
      </c>
      <c r="B12" s="12">
        <f>Valuation!G18</f>
        <v>31.93264168040848</v>
      </c>
      <c r="C12" s="12">
        <f>Valuation!G14/Valuation!G15</f>
        <v>31.93264168040848</v>
      </c>
      <c r="D12" s="12">
        <f>ABS(B12-C12)</f>
        <v>0</v>
      </c>
      <c r="E12" s="12">
        <v>0.001</v>
      </c>
      <c r="F12" s="12" t="str">
        <f>IF(D12&lt;=E12,"OK","REVIEW")</f>
        <v>OK</v>
      </c>
      <c r="G12" s="3" t="s">
        <v>347</v>
      </c>
    </row>
    <row r="13" ht="15" hidden="0" outlineLevel="0" collapsed="0">
      <c r="A13" s="3" t="s">
        <v>348</v>
      </c>
      <c r="B13" s="12">
        <f>Valuation!G19</f>
        <v>42.77</v>
      </c>
      <c r="C13" s="12">
        <v>0</v>
      </c>
      <c r="D13" s="12">
        <f>IF(B13&gt;0,0,1)</f>
        <v>0</v>
      </c>
      <c r="E13" s="12">
        <v>0</v>
      </c>
      <c r="F13" s="12" t="str">
        <f>IF(D13=E13,"OK","REVIEW")</f>
        <v>OK</v>
      </c>
      <c r="G13" s="3" t="s">
        <v>349</v>
      </c>
    </row>
    <row r="14" ht="15" hidden="0" outlineLevel="0" collapsed="0">
      <c r="A14" s="3"/>
      <c r="B14" s="12"/>
      <c r="C14" s="12"/>
      <c r="D14" s="12"/>
      <c r="E14" s="12"/>
      <c r="F14" s="12"/>
      <c r="G14" s="3"/>
    </row>
    <row r="15" ht="15" hidden="0" outlineLevel="0" collapsed="0">
      <c r="A15" s="13" t="s">
        <v>350</v>
      </c>
      <c r="B15" s="27"/>
      <c r="C15" s="27"/>
      <c r="D15" s="27"/>
      <c r="E15" s="27"/>
      <c r="F15" s="27" t="str">
        <f>IF(COUNTIF(F5:F13,"OK")=9,"OK","REVIEW")</f>
        <v>OK</v>
      </c>
      <c r="G15" s="13"/>
    </row>
    <row r="16" ht="15" hidden="0" outlineLevel="0" collapsed="0">
      <c r="A16" s="3"/>
      <c r="B16" s="3"/>
      <c r="C16" s="3"/>
      <c r="D16" s="3"/>
      <c r="E16" s="3"/>
      <c r="F16" s="3"/>
      <c r="G16" s="3"/>
    </row>
    <row r="17" ht="15" hidden="0" outlineLevel="0" collapsed="0">
      <c r="A17" s="3"/>
      <c r="B17" s="3"/>
      <c r="C17" s="3"/>
      <c r="D17" s="3"/>
      <c r="E17" s="3"/>
      <c r="F17" s="3"/>
      <c r="G17" s="3"/>
    </row>
    <row r="18" ht="15" hidden="0" outlineLevel="0" collapsed="0">
      <c r="A18" s="3"/>
      <c r="B18" s="3"/>
      <c r="C18" s="3"/>
      <c r="D18" s="3"/>
      <c r="E18" s="3"/>
      <c r="F18" s="3"/>
      <c r="G18" s="3"/>
    </row>
    <row r="19" ht="15" hidden="0" outlineLevel="0" collapsed="0">
      <c r="A19" s="3"/>
      <c r="B19" s="3"/>
      <c r="C19" s="3"/>
      <c r="D19" s="3"/>
      <c r="E19" s="3"/>
      <c r="F19" s="3"/>
      <c r="G19" s="3"/>
    </row>
    <row r="20" ht="15" hidden="0" outlineLevel="0" collapsed="0">
      <c r="A20" s="3"/>
      <c r="B20" s="3"/>
      <c r="C20" s="3"/>
      <c r="D20" s="3"/>
      <c r="E20" s="3"/>
      <c r="F20" s="3"/>
      <c r="G20" s="3"/>
    </row>
  </sheetData>
  <mergeCells count="2">
    <mergeCell ref="A1:H1"/>
    <mergeCell ref="A2:H2"/>
  </mergeCells>
  <conditionalFormatting sqref="F5:F15">
    <cfRule type="containsText" priority="2" operator="containsText" text="OK" dxfId="4">
      <formula>NOT(ISERROR(SEARCH("OK",F5)))</formula>
    </cfRule>
    <cfRule type="containsText" priority="3" operator="containsText" text="REVIEW" dxfId="5">
      <formula>NOT(ISERROR(SEARCH("REVIEW",F5)))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4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hidden="0" customWidth="1" outlineLevel="0" collapsed="0"/>
    <col min="2" max="4" width="14" hidden="0" customWidth="1" outlineLevel="0" collapsed="0"/>
    <col min="5" max="5" width="16" hidden="0" customWidth="1" outlineLevel="0" collapsed="0"/>
    <col min="6" max="6" width="49" hidden="0" customWidth="1" outlineLevel="0" collapsed="0"/>
    <col min="7" max="7" width="17" hidden="0" customWidth="1" outlineLevel="0" collapsed="0"/>
    <col min="8" max="8" width="15" hidden="0" customWidth="1" outlineLevel="0" collapsed="0"/>
  </cols>
  <sheetData>
    <row r="1" ht="28" hidden="0" outlineLevel="0" collapsed="0">
      <c r="A1" s="1" t="s">
        <v>351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352</v>
      </c>
      <c r="B2" s="2"/>
      <c r="C2" s="2"/>
      <c r="D2" s="2"/>
      <c r="E2" s="2"/>
      <c r="F2" s="2"/>
      <c r="G2" s="2"/>
      <c r="H2" s="2"/>
    </row>
    <row r="3" ht="15" hidden="0" outlineLevel="0" collapsed="0">
      <c r="A3" s="3"/>
      <c r="B3" s="3"/>
      <c r="C3" s="3"/>
      <c r="D3" s="3"/>
      <c r="E3" s="3"/>
      <c r="F3" s="3"/>
      <c r="G3" s="3"/>
    </row>
    <row r="4" ht="15" hidden="0" outlineLevel="0" collapsed="0">
      <c r="A4" s="11" t="s">
        <v>36</v>
      </c>
      <c r="B4" s="11" t="s">
        <v>82</v>
      </c>
      <c r="C4" s="11" t="s">
        <v>88</v>
      </c>
      <c r="D4" s="11" t="s">
        <v>92</v>
      </c>
      <c r="E4" s="11" t="s">
        <v>39</v>
      </c>
      <c r="F4" s="11" t="s">
        <v>353</v>
      </c>
      <c r="G4" s="11" t="s">
        <v>244</v>
      </c>
    </row>
    <row r="5" ht="15" hidden="0" outlineLevel="0" collapsed="0">
      <c r="A5" s="3" t="s">
        <v>182</v>
      </c>
      <c r="B5" s="28">
        <v>35227</v>
      </c>
      <c r="C5" s="28">
        <v>30967</v>
      </c>
      <c r="D5" s="28">
        <v>30538</v>
      </c>
      <c r="E5" s="3" t="s">
        <v>242</v>
      </c>
      <c r="F5" s="3" t="s">
        <v>354</v>
      </c>
      <c r="G5" s="3" t="s">
        <v>355</v>
      </c>
    </row>
    <row r="6" ht="15" hidden="0" outlineLevel="0" collapsed="0">
      <c r="A6" s="3" t="s">
        <v>188</v>
      </c>
      <c r="B6" s="28">
        <v>13868</v>
      </c>
      <c r="C6" s="28">
        <v>13045</v>
      </c>
      <c r="D6" s="28">
        <v>13497</v>
      </c>
      <c r="E6" s="3" t="s">
        <v>242</v>
      </c>
      <c r="F6" s="3" t="s">
        <v>354</v>
      </c>
      <c r="G6" s="3" t="s">
        <v>355</v>
      </c>
    </row>
    <row r="7" ht="15" hidden="0" outlineLevel="0" collapsed="0">
      <c r="A7" s="3" t="s">
        <v>192</v>
      </c>
      <c r="B7" s="28">
        <v>2112</v>
      </c>
      <c r="C7" s="28">
        <v>2223</v>
      </c>
      <c r="D7" s="28">
        <v>2220</v>
      </c>
      <c r="E7" s="3" t="s">
        <v>242</v>
      </c>
      <c r="F7" s="3" t="s">
        <v>354</v>
      </c>
      <c r="G7" s="3" t="s">
        <v>355</v>
      </c>
    </row>
    <row r="8" ht="15" hidden="0" outlineLevel="0" collapsed="0">
      <c r="A8" s="3" t="s">
        <v>196</v>
      </c>
      <c r="B8" s="28">
        <v>155</v>
      </c>
      <c r="C8" s="28">
        <v>74</v>
      </c>
      <c r="D8" s="28">
        <v>143</v>
      </c>
      <c r="E8" s="3" t="s">
        <v>242</v>
      </c>
      <c r="F8" s="3" t="s">
        <v>354</v>
      </c>
      <c r="G8" s="3" t="s">
        <v>355</v>
      </c>
    </row>
    <row r="9" ht="15" hidden="0" outlineLevel="0" collapsed="0">
      <c r="A9" s="3" t="s">
        <v>356</v>
      </c>
      <c r="B9" s="28">
        <f>SUM(B5:B8)</f>
        <v>51362</v>
      </c>
      <c r="C9" s="28">
        <f>SUM(C5:C8)</f>
        <v>46309</v>
      </c>
      <c r="D9" s="28">
        <f>SUM(D5:D8)</f>
        <v>46398</v>
      </c>
      <c r="E9" s="3" t="s">
        <v>242</v>
      </c>
      <c r="F9" s="3" t="s">
        <v>357</v>
      </c>
      <c r="G9" s="3" t="s">
        <v>252</v>
      </c>
    </row>
    <row r="10" ht="15" hidden="0" outlineLevel="0" collapsed="0">
      <c r="A10" s="3" t="s">
        <v>200</v>
      </c>
      <c r="B10" s="28">
        <v>28856</v>
      </c>
      <c r="C10" s="28">
        <v>26758</v>
      </c>
      <c r="D10" s="28">
        <v>28058</v>
      </c>
      <c r="E10" s="3" t="s">
        <v>242</v>
      </c>
      <c r="F10" s="3" t="s">
        <v>358</v>
      </c>
      <c r="G10" s="3" t="s">
        <v>355</v>
      </c>
    </row>
    <row r="11" ht="15" hidden="0" outlineLevel="0" collapsed="0">
      <c r="A11" s="3" t="s">
        <v>205</v>
      </c>
      <c r="B11" s="28">
        <v>22351</v>
      </c>
      <c r="C11" s="28">
        <v>19477</v>
      </c>
      <c r="D11" s="28">
        <v>18197</v>
      </c>
      <c r="E11" s="3" t="s">
        <v>242</v>
      </c>
      <c r="F11" s="3" t="s">
        <v>358</v>
      </c>
      <c r="G11" s="3" t="s">
        <v>355</v>
      </c>
    </row>
    <row r="12" ht="15" hidden="0" outlineLevel="0" collapsed="0">
      <c r="A12" s="3" t="s">
        <v>196</v>
      </c>
      <c r="B12" s="28">
        <v>155</v>
      </c>
      <c r="C12" s="28">
        <v>74</v>
      </c>
      <c r="D12" s="28">
        <v>143</v>
      </c>
      <c r="E12" s="3" t="s">
        <v>242</v>
      </c>
      <c r="F12" s="3" t="s">
        <v>358</v>
      </c>
      <c r="G12" s="3" t="s">
        <v>355</v>
      </c>
    </row>
    <row r="13" ht="15" hidden="0" outlineLevel="0" collapsed="0">
      <c r="A13" s="3" t="s">
        <v>359</v>
      </c>
      <c r="B13" s="28">
        <f>SUM(B10:B12)</f>
        <v>51362</v>
      </c>
      <c r="C13" s="28">
        <f>SUM(C10:C12)</f>
        <v>46309</v>
      </c>
      <c r="D13" s="28">
        <f>SUM(D10:D12)</f>
        <v>46398</v>
      </c>
      <c r="E13" s="3" t="s">
        <v>242</v>
      </c>
      <c r="F13" s="3" t="s">
        <v>360</v>
      </c>
      <c r="G13" s="3" t="s">
        <v>252</v>
      </c>
    </row>
    <row r="14" ht="15" hidden="0" outlineLevel="0" collapsed="0">
      <c r="A14" s="3" t="s">
        <v>212</v>
      </c>
      <c r="B14" s="28">
        <v>6539</v>
      </c>
      <c r="C14" s="28">
        <v>3778</v>
      </c>
      <c r="D14" s="28">
        <v>3850</v>
      </c>
      <c r="E14" s="3" t="s">
        <v>242</v>
      </c>
      <c r="F14" s="3" t="s">
        <v>361</v>
      </c>
      <c r="G14" s="3" t="s">
        <v>355</v>
      </c>
    </row>
    <row r="15" ht="15" hidden="0" outlineLevel="0" collapsed="0">
      <c r="A15" s="3" t="s">
        <v>218</v>
      </c>
      <c r="B15" s="29">
        <v>0.127</v>
      </c>
      <c r="C15" s="29">
        <v>0.082</v>
      </c>
      <c r="D15" s="29">
        <v>0.083</v>
      </c>
      <c r="E15" s="3" t="s">
        <v>260</v>
      </c>
      <c r="F15" s="3" t="s">
        <v>361</v>
      </c>
      <c r="G15" s="3" t="s">
        <v>355</v>
      </c>
    </row>
    <row r="16" ht="15" hidden="0" outlineLevel="0" collapsed="0">
      <c r="A16" s="3"/>
      <c r="B16" s="3"/>
      <c r="C16" s="3"/>
      <c r="D16" s="3"/>
      <c r="E16" s="3"/>
      <c r="F16" s="3"/>
      <c r="G16" s="3"/>
    </row>
    <row r="17" ht="15" hidden="0" outlineLevel="0" collapsed="0">
      <c r="A17" s="3"/>
      <c r="B17" s="3"/>
      <c r="C17" s="3"/>
      <c r="D17" s="3"/>
      <c r="E17" s="3"/>
      <c r="F17" s="3"/>
      <c r="G17" s="3"/>
    </row>
    <row r="18" ht="15" hidden="0" outlineLevel="0" collapsed="0">
      <c r="A18" s="3"/>
      <c r="B18" s="3"/>
      <c r="C18" s="3"/>
      <c r="D18" s="3"/>
      <c r="E18" s="3"/>
      <c r="F18" s="3"/>
      <c r="G18" s="3"/>
    </row>
    <row r="19" ht="15" hidden="0" outlineLevel="0" collapsed="0">
      <c r="A19" s="3"/>
      <c r="B19" s="3"/>
      <c r="C19" s="3"/>
      <c r="D19" s="3"/>
      <c r="E19" s="3"/>
      <c r="F19" s="3"/>
      <c r="G19" s="3"/>
    </row>
    <row r="20" ht="15" hidden="0" outlineLevel="0" collapsed="0">
      <c r="A20" s="3"/>
      <c r="B20" s="3"/>
      <c r="C20" s="3"/>
      <c r="D20" s="3"/>
      <c r="E20" s="3"/>
      <c r="F20" s="3"/>
      <c r="G20" s="3"/>
    </row>
    <row r="21" ht="15" hidden="0" outlineLevel="0" collapsed="0">
      <c r="A21" s="3"/>
      <c r="B21" s="3"/>
      <c r="C21" s="3"/>
      <c r="D21" s="3"/>
      <c r="E21" s="3"/>
      <c r="F21" s="3"/>
      <c r="G21" s="3"/>
    </row>
    <row r="22" ht="15" hidden="0" outlineLevel="0" collapsed="0">
      <c r="A22" s="3"/>
      <c r="B22" s="3"/>
      <c r="C22" s="3"/>
      <c r="D22" s="3"/>
      <c r="E22" s="3"/>
      <c r="F22" s="3"/>
      <c r="G22" s="3"/>
    </row>
    <row r="23" ht="15" hidden="0" outlineLevel="0" collapsed="0">
      <c r="A23" s="3"/>
      <c r="B23" s="3"/>
      <c r="C23" s="3"/>
      <c r="D23" s="3"/>
      <c r="E23" s="3"/>
      <c r="F23" s="3"/>
      <c r="G23" s="3"/>
    </row>
    <row r="24" ht="15" hidden="0" outlineLevel="0" collapsed="0">
      <c r="A24" s="3"/>
      <c r="B24" s="3"/>
      <c r="C24" s="3"/>
      <c r="D24" s="3"/>
      <c r="E24" s="3"/>
      <c r="F24" s="3"/>
      <c r="G24" s="3"/>
    </row>
    <row r="25" ht="15" hidden="0" outlineLevel="0" collapsed="0">
      <c r="A25" s="3"/>
      <c r="B25" s="3"/>
      <c r="C25" s="3"/>
      <c r="D25" s="3"/>
      <c r="E25" s="3"/>
      <c r="F25" s="3"/>
      <c r="G25" s="3"/>
    </row>
    <row r="26" ht="15" hidden="0" outlineLevel="0" collapsed="0">
      <c r="A26" s="3"/>
      <c r="B26" s="3"/>
      <c r="C26" s="3"/>
      <c r="D26" s="3"/>
      <c r="E26" s="3"/>
      <c r="F26" s="3"/>
      <c r="G26" s="3"/>
    </row>
    <row r="27" ht="15" hidden="0" outlineLevel="0" collapsed="0">
      <c r="A27" s="3"/>
      <c r="B27" s="3"/>
      <c r="C27" s="3"/>
      <c r="D27" s="3"/>
      <c r="E27" s="3"/>
      <c r="F27" s="3"/>
      <c r="G27" s="3"/>
    </row>
    <row r="28" ht="15" hidden="0" outlineLevel="0" collapsed="0">
      <c r="A28" s="3"/>
      <c r="B28" s="3"/>
      <c r="C28" s="3"/>
      <c r="D28" s="3"/>
      <c r="E28" s="3"/>
      <c r="F28" s="3"/>
      <c r="G28" s="3"/>
    </row>
    <row r="29" ht="15" hidden="0" outlineLevel="0" collapsed="0">
      <c r="A29" s="3"/>
      <c r="B29" s="3"/>
      <c r="C29" s="3"/>
      <c r="D29" s="3"/>
      <c r="E29" s="3"/>
      <c r="F29" s="3"/>
      <c r="G29" s="3"/>
    </row>
    <row r="30" ht="15" hidden="0" outlineLevel="0" collapsed="0">
      <c r="A30" s="3"/>
      <c r="B30" s="3"/>
      <c r="C30" s="3"/>
      <c r="D30" s="3"/>
      <c r="E30" s="3"/>
      <c r="F30" s="3"/>
      <c r="G30" s="3"/>
    </row>
    <row r="31" ht="15" hidden="0" outlineLevel="0" collapsed="0">
      <c r="A31" s="3"/>
      <c r="B31" s="3"/>
      <c r="C31" s="3"/>
      <c r="D31" s="3"/>
      <c r="E31" s="3"/>
      <c r="F31" s="3"/>
      <c r="G31" s="3"/>
    </row>
    <row r="32" ht="15" hidden="0" outlineLevel="0" collapsed="0">
      <c r="A32" s="3"/>
      <c r="B32" s="3"/>
      <c r="C32" s="3"/>
      <c r="D32" s="3"/>
      <c r="E32" s="3"/>
      <c r="F32" s="3"/>
      <c r="G32" s="3"/>
    </row>
    <row r="33" ht="15" hidden="0" outlineLevel="0" collapsed="0">
      <c r="A33" s="3"/>
      <c r="B33" s="3"/>
      <c r="C33" s="3"/>
      <c r="D33" s="3"/>
      <c r="E33" s="3"/>
      <c r="F33" s="3"/>
      <c r="G33" s="3"/>
    </row>
    <row r="34" ht="15" hidden="0" outlineLevel="0" collapsed="0">
      <c r="A34" s="3"/>
      <c r="B34" s="3"/>
      <c r="C34" s="3"/>
      <c r="D34" s="3"/>
      <c r="E34" s="3"/>
      <c r="F34" s="3"/>
      <c r="G34" s="3"/>
    </row>
    <row r="35" ht="15" hidden="0" outlineLevel="0" collapsed="0">
      <c r="A35" s="3"/>
      <c r="B35" s="3"/>
      <c r="C35" s="3"/>
      <c r="D35" s="3"/>
      <c r="E35" s="3"/>
      <c r="F35" s="3"/>
      <c r="G35" s="3"/>
    </row>
    <row r="36" ht="15" hidden="0" outlineLevel="0" collapsed="0">
      <c r="A36" s="3"/>
      <c r="B36" s="3"/>
      <c r="C36" s="3"/>
      <c r="D36" s="3"/>
      <c r="E36" s="3"/>
      <c r="F36" s="3"/>
      <c r="G36" s="3"/>
    </row>
    <row r="37" ht="15" hidden="0" outlineLevel="0" collapsed="0">
      <c r="A37" s="3"/>
      <c r="B37" s="3"/>
      <c r="C37" s="3"/>
      <c r="D37" s="3"/>
      <c r="E37" s="3"/>
      <c r="F37" s="3"/>
      <c r="G37" s="3"/>
    </row>
    <row r="38" ht="15" hidden="0" outlineLevel="0" collapsed="0">
      <c r="A38" s="3"/>
      <c r="B38" s="3"/>
      <c r="C38" s="3"/>
      <c r="D38" s="3"/>
      <c r="E38" s="3"/>
      <c r="F38" s="3"/>
      <c r="G38" s="3"/>
    </row>
    <row r="39" ht="15" hidden="0" outlineLevel="0" collapsed="0">
      <c r="A39" s="3"/>
      <c r="B39" s="3"/>
      <c r="C39" s="3"/>
      <c r="D39" s="3"/>
      <c r="E39" s="3"/>
      <c r="F39" s="3"/>
      <c r="G39" s="3"/>
    </row>
    <row r="40" ht="15" hidden="0" outlineLevel="0" collapsed="0">
      <c r="A40" s="3"/>
      <c r="B40" s="3"/>
      <c r="C40" s="3"/>
      <c r="D40" s="3"/>
      <c r="E40" s="3"/>
      <c r="F40" s="3"/>
      <c r="G40" s="3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0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hidden="0" customWidth="1" outlineLevel="0" collapsed="0"/>
    <col min="2" max="2" width="20" hidden="0" customWidth="1" outlineLevel="0" collapsed="0"/>
    <col min="3" max="3" width="46" hidden="0" customWidth="1" outlineLevel="0" collapsed="0"/>
    <col min="4" max="4" width="39" hidden="0" customWidth="1" outlineLevel="0" collapsed="0"/>
    <col min="5" max="5" width="66" hidden="0" customWidth="1" outlineLevel="0" collapsed="0"/>
    <col min="6" max="6" width="16" hidden="0" customWidth="1" outlineLevel="0" collapsed="0"/>
    <col min="7" max="7" width="28" hidden="0" customWidth="1" outlineLevel="0" collapsed="0"/>
    <col min="8" max="8" width="15" hidden="0" customWidth="1" outlineLevel="0" collapsed="0"/>
  </cols>
  <sheetData>
    <row r="1" ht="28" hidden="0" outlineLevel="0" collapsed="0">
      <c r="A1" s="1" t="s">
        <v>362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363</v>
      </c>
      <c r="B2" s="2"/>
      <c r="C2" s="2"/>
      <c r="D2" s="2"/>
      <c r="E2" s="2"/>
      <c r="F2" s="2"/>
      <c r="G2" s="2"/>
      <c r="H2" s="2"/>
    </row>
    <row r="3" ht="15" hidden="0" outlineLevel="0" collapsed="0">
      <c r="A3" s="3"/>
      <c r="B3" s="3"/>
      <c r="C3" s="3"/>
      <c r="D3" s="3"/>
      <c r="E3" s="3"/>
      <c r="F3" s="3"/>
      <c r="G3" s="3"/>
    </row>
    <row r="4" ht="15" hidden="0" outlineLevel="0" collapsed="0">
      <c r="A4" s="11" t="s">
        <v>364</v>
      </c>
      <c r="B4" s="11" t="s">
        <v>365</v>
      </c>
      <c r="C4" s="11" t="s">
        <v>366</v>
      </c>
      <c r="D4" s="11" t="s">
        <v>367</v>
      </c>
      <c r="E4" s="11" t="s">
        <v>368</v>
      </c>
      <c r="F4" s="11" t="s">
        <v>369</v>
      </c>
      <c r="G4" s="11" t="s">
        <v>370</v>
      </c>
    </row>
    <row r="5" ht="15" hidden="0" outlineLevel="0" collapsed="0">
      <c r="A5" s="3" t="s">
        <v>371</v>
      </c>
      <c r="B5" s="3" t="s">
        <v>372</v>
      </c>
      <c r="C5" s="3" t="s">
        <v>373</v>
      </c>
      <c r="D5" s="3" t="s">
        <v>374</v>
      </c>
      <c r="E5" s="3" t="s">
        <v>375</v>
      </c>
      <c r="F5" s="3" t="s">
        <v>376</v>
      </c>
      <c r="G5" s="3" t="s">
        <v>377</v>
      </c>
    </row>
    <row r="6" ht="15" hidden="0" outlineLevel="0" collapsed="0">
      <c r="A6" s="3" t="s">
        <v>371</v>
      </c>
      <c r="B6" s="3" t="s">
        <v>378</v>
      </c>
      <c r="C6" s="3" t="s">
        <v>379</v>
      </c>
      <c r="D6" s="3" t="s">
        <v>380</v>
      </c>
      <c r="E6" s="3" t="s">
        <v>375</v>
      </c>
      <c r="F6" s="3" t="s">
        <v>376</v>
      </c>
      <c r="G6" s="3" t="s">
        <v>377</v>
      </c>
    </row>
    <row r="7" ht="15" hidden="0" outlineLevel="0" collapsed="0">
      <c r="A7" s="3" t="s">
        <v>371</v>
      </c>
      <c r="B7" s="3" t="s">
        <v>381</v>
      </c>
      <c r="C7" s="3" t="s">
        <v>382</v>
      </c>
      <c r="D7" s="3" t="s">
        <v>383</v>
      </c>
      <c r="E7" s="3" t="s">
        <v>375</v>
      </c>
      <c r="F7" s="3" t="s">
        <v>376</v>
      </c>
      <c r="G7" s="3" t="s">
        <v>377</v>
      </c>
    </row>
    <row r="8" ht="15" hidden="0" outlineLevel="0" collapsed="0">
      <c r="A8" s="3" t="s">
        <v>371</v>
      </c>
      <c r="B8" s="3" t="s">
        <v>384</v>
      </c>
      <c r="C8" s="3" t="s">
        <v>385</v>
      </c>
      <c r="D8" s="3" t="s">
        <v>386</v>
      </c>
      <c r="E8" s="3" t="s">
        <v>375</v>
      </c>
      <c r="F8" s="3" t="s">
        <v>376</v>
      </c>
      <c r="G8" s="3" t="s">
        <v>387</v>
      </c>
    </row>
    <row r="9" ht="15" hidden="0" outlineLevel="0" collapsed="0">
      <c r="A9" s="3"/>
      <c r="B9" s="3"/>
      <c r="C9" s="3"/>
      <c r="D9" s="3"/>
      <c r="E9" s="3"/>
      <c r="F9" s="3"/>
      <c r="G9" s="3"/>
    </row>
    <row r="10" ht="15" hidden="0" outlineLevel="0" collapsed="0">
      <c r="A10" s="3"/>
      <c r="B10" s="3"/>
      <c r="C10" s="3"/>
      <c r="D10" s="3"/>
      <c r="E10" s="3"/>
      <c r="F10" s="3"/>
      <c r="G10" s="3"/>
    </row>
  </sheetData>
  <mergeCells count="2">
    <mergeCell ref="A1:H1"/>
    <mergeCell ref="A2:H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30"/>
  <sheetViews>
    <sheetView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hidden="0" customWidth="1" outlineLevel="0" collapsed="0"/>
    <col min="2" max="2" width="13" hidden="0" customWidth="1" outlineLevel="0" collapsed="0"/>
    <col min="3" max="3" width="16" hidden="0" customWidth="1" outlineLevel="0" collapsed="0"/>
    <col min="4" max="4" width="22" hidden="0" customWidth="1" outlineLevel="0" collapsed="0"/>
    <col min="5" max="5" width="38" hidden="0" customWidth="1" outlineLevel="0" collapsed="0"/>
    <col min="6" max="6" width="44" hidden="0" customWidth="1" outlineLevel="0" collapsed="0"/>
    <col min="7" max="7" width="43" hidden="0" customWidth="1" outlineLevel="0" collapsed="0"/>
    <col min="8" max="8" width="45" hidden="0" customWidth="1" outlineLevel="0" collapsed="0"/>
  </cols>
  <sheetData>
    <row r="1" ht="28" hidden="0" outlineLevel="0" collapsed="0">
      <c r="A1" s="1" t="s">
        <v>388</v>
      </c>
      <c r="B1" s="1"/>
      <c r="C1" s="1"/>
      <c r="D1" s="1"/>
      <c r="E1" s="1"/>
      <c r="F1" s="1"/>
      <c r="G1" s="1"/>
      <c r="H1" s="1"/>
    </row>
    <row r="2" ht="22" hidden="0" outlineLevel="0" collapsed="0">
      <c r="A2" s="2" t="s">
        <v>389</v>
      </c>
      <c r="B2" s="2"/>
      <c r="C2" s="2"/>
      <c r="D2" s="2"/>
      <c r="E2" s="2"/>
      <c r="F2" s="2"/>
      <c r="G2" s="2"/>
      <c r="H2" s="2"/>
    </row>
    <row r="3" ht="15" hidden="0" outlineLevel="0" collapsed="0">
      <c r="A3" s="3"/>
      <c r="B3" s="3"/>
      <c r="C3" s="3"/>
      <c r="D3" s="3"/>
      <c r="E3" s="3"/>
      <c r="F3" s="3"/>
      <c r="G3" s="3"/>
      <c r="H3" s="3"/>
    </row>
    <row r="4" ht="15" hidden="0" outlineLevel="0" collapsed="0">
      <c r="A4" s="11" t="s">
        <v>390</v>
      </c>
      <c r="B4" s="11" t="s">
        <v>391</v>
      </c>
      <c r="C4" s="11" t="s">
        <v>392</v>
      </c>
      <c r="D4" s="11" t="s">
        <v>393</v>
      </c>
      <c r="E4" s="11" t="s">
        <v>394</v>
      </c>
      <c r="F4" s="11" t="s">
        <v>395</v>
      </c>
      <c r="G4" s="11" t="s">
        <v>396</v>
      </c>
      <c r="H4" s="11" t="s">
        <v>397</v>
      </c>
    </row>
    <row r="5" ht="23.85" hidden="0" outlineLevel="0" collapsed="0">
      <c r="A5" s="3" t="s">
        <v>398</v>
      </c>
      <c r="B5" s="30">
        <v>5</v>
      </c>
      <c r="C5" s="3" t="s">
        <v>399</v>
      </c>
      <c r="D5" s="3" t="s">
        <v>72</v>
      </c>
      <c r="E5" s="3" t="s">
        <v>400</v>
      </c>
      <c r="F5" s="3" t="s">
        <v>401</v>
      </c>
      <c r="G5" s="3" t="s">
        <v>402</v>
      </c>
      <c r="H5" s="3" t="s">
        <v>403</v>
      </c>
    </row>
    <row r="6" ht="23.85" hidden="0" outlineLevel="0" collapsed="0">
      <c r="A6" s="3" t="s">
        <v>404</v>
      </c>
      <c r="B6" s="30">
        <v>20</v>
      </c>
      <c r="C6" s="3" t="s">
        <v>399</v>
      </c>
      <c r="D6" s="3" t="s">
        <v>72</v>
      </c>
      <c r="E6" s="3" t="s">
        <v>405</v>
      </c>
      <c r="F6" s="3" t="s">
        <v>406</v>
      </c>
      <c r="G6" s="3" t="s">
        <v>407</v>
      </c>
      <c r="H6" s="3" t="s">
        <v>408</v>
      </c>
    </row>
    <row r="7" ht="23.85" hidden="0" outlineLevel="0" collapsed="0">
      <c r="A7" s="3" t="s">
        <v>409</v>
      </c>
      <c r="B7" s="30">
        <v>15</v>
      </c>
      <c r="C7" s="3" t="s">
        <v>399</v>
      </c>
      <c r="D7" s="3" t="s">
        <v>72</v>
      </c>
      <c r="E7" s="3" t="s">
        <v>410</v>
      </c>
      <c r="F7" s="3" t="s">
        <v>411</v>
      </c>
      <c r="G7" s="3" t="s">
        <v>412</v>
      </c>
      <c r="H7" s="3" t="s">
        <v>413</v>
      </c>
    </row>
    <row r="8" ht="15" hidden="0" outlineLevel="0" collapsed="0">
      <c r="A8" s="3" t="s">
        <v>414</v>
      </c>
      <c r="B8" s="30">
        <v>10</v>
      </c>
      <c r="C8" s="3" t="s">
        <v>399</v>
      </c>
      <c r="D8" s="3" t="s">
        <v>72</v>
      </c>
      <c r="E8" s="3" t="s">
        <v>415</v>
      </c>
      <c r="F8" s="3" t="s">
        <v>416</v>
      </c>
      <c r="G8" s="3" t="s">
        <v>417</v>
      </c>
      <c r="H8" s="3" t="s">
        <v>418</v>
      </c>
    </row>
    <row r="9" ht="15" hidden="0" outlineLevel="0" collapsed="0">
      <c r="A9" s="3" t="s">
        <v>419</v>
      </c>
      <c r="B9" s="30">
        <v>15</v>
      </c>
      <c r="C9" s="3" t="s">
        <v>399</v>
      </c>
      <c r="D9" s="3" t="s">
        <v>72</v>
      </c>
      <c r="E9" s="3" t="s">
        <v>420</v>
      </c>
      <c r="F9" s="3" t="s">
        <v>421</v>
      </c>
      <c r="G9" s="3" t="s">
        <v>422</v>
      </c>
      <c r="H9" s="3" t="s">
        <v>423</v>
      </c>
    </row>
    <row r="10" ht="23.85" hidden="0" outlineLevel="0" collapsed="0">
      <c r="A10" s="3" t="s">
        <v>424</v>
      </c>
      <c r="B10" s="30">
        <v>8</v>
      </c>
      <c r="C10" s="3" t="s">
        <v>399</v>
      </c>
      <c r="D10" s="3" t="s">
        <v>72</v>
      </c>
      <c r="E10" s="3" t="s">
        <v>425</v>
      </c>
      <c r="F10" s="3" t="s">
        <v>426</v>
      </c>
      <c r="G10" s="3" t="s">
        <v>427</v>
      </c>
      <c r="H10" s="3" t="s">
        <v>428</v>
      </c>
    </row>
    <row r="11" ht="46.25" hidden="0" outlineLevel="0" collapsed="0">
      <c r="A11" s="3" t="s">
        <v>429</v>
      </c>
      <c r="B11" s="30">
        <v>10</v>
      </c>
      <c r="C11" s="3" t="s">
        <v>399</v>
      </c>
      <c r="D11" s="3" t="s">
        <v>72</v>
      </c>
      <c r="E11" s="3" t="s">
        <v>425</v>
      </c>
      <c r="F11" s="3" t="s">
        <v>430</v>
      </c>
      <c r="G11" s="3" t="s">
        <v>431</v>
      </c>
      <c r="H11" s="3" t="s">
        <v>432</v>
      </c>
    </row>
    <row r="12" ht="35.05" hidden="0" outlineLevel="0" collapsed="0">
      <c r="A12" s="3" t="s">
        <v>433</v>
      </c>
      <c r="B12" s="30">
        <v>7</v>
      </c>
      <c r="C12" s="3" t="s">
        <v>399</v>
      </c>
      <c r="D12" s="3" t="s">
        <v>72</v>
      </c>
      <c r="E12" s="3" t="s">
        <v>434</v>
      </c>
      <c r="F12" s="3" t="s">
        <v>435</v>
      </c>
      <c r="G12" s="3" t="s">
        <v>436</v>
      </c>
      <c r="H12" s="3" t="s">
        <v>437</v>
      </c>
    </row>
    <row r="13" ht="23.85" hidden="0" outlineLevel="0" collapsed="0">
      <c r="A13" s="3" t="s">
        <v>438</v>
      </c>
      <c r="B13" s="30">
        <v>5</v>
      </c>
      <c r="C13" s="3" t="s">
        <v>399</v>
      </c>
      <c r="D13" s="3" t="s">
        <v>72</v>
      </c>
      <c r="E13" s="3" t="s">
        <v>439</v>
      </c>
      <c r="F13" s="3" t="s">
        <v>440</v>
      </c>
      <c r="G13" s="3" t="s">
        <v>441</v>
      </c>
      <c r="H13" s="3" t="s">
        <v>442</v>
      </c>
    </row>
    <row r="14" ht="23.85" hidden="0" outlineLevel="0" collapsed="0">
      <c r="A14" s="3" t="s">
        <v>443</v>
      </c>
      <c r="B14" s="30">
        <v>5</v>
      </c>
      <c r="C14" s="3" t="s">
        <v>399</v>
      </c>
      <c r="D14" s="3" t="s">
        <v>72</v>
      </c>
      <c r="E14" s="3" t="s">
        <v>444</v>
      </c>
      <c r="F14" s="3" t="s">
        <v>445</v>
      </c>
      <c r="G14" s="3" t="s">
        <v>446</v>
      </c>
      <c r="H14" s="3" t="s">
        <v>447</v>
      </c>
    </row>
    <row r="15" ht="15" hidden="0" outlineLevel="0" collapsed="0">
      <c r="A15" s="3"/>
      <c r="B15" s="3"/>
      <c r="C15" s="3"/>
      <c r="D15" s="3"/>
      <c r="E15" s="3"/>
      <c r="F15" s="3"/>
      <c r="G15" s="3"/>
      <c r="H15" s="3"/>
    </row>
    <row r="16" ht="15" hidden="0" outlineLevel="0" collapsed="0">
      <c r="A16" s="11" t="s">
        <v>448</v>
      </c>
      <c r="B16" s="3">
        <f>SUMIF(C5:C14,"PASS",B5:B14)</f>
        <v>100</v>
      </c>
      <c r="C16" s="3"/>
      <c r="D16" s="3"/>
      <c r="E16" s="3"/>
      <c r="F16" s="3"/>
      <c r="G16" s="3"/>
      <c r="H16" s="3"/>
    </row>
    <row r="17" ht="15" hidden="0" outlineLevel="0" collapsed="0">
      <c r="A17" s="11" t="s">
        <v>449</v>
      </c>
      <c r="B17" s="3" t="str">
        <f>IF(B16=100,"OWNER READY — INDEPENDENT REVIEW REQUIRED","PENDING OWNER QA")</f>
        <v>OWNER READY — INDEPENDENT REVIEW REQUIRED</v>
      </c>
      <c r="C17" s="3"/>
      <c r="D17" s="3"/>
      <c r="E17" s="3"/>
      <c r="F17" s="3"/>
      <c r="G17" s="3"/>
      <c r="H17" s="3"/>
    </row>
    <row r="18" ht="15" hidden="0" outlineLevel="0" collapsed="0">
      <c r="A18" s="11" t="s">
        <v>450</v>
      </c>
      <c r="B18" s="3" t="str">
        <f>Checks!F15</f>
        <v>OK</v>
      </c>
      <c r="C18" s="3"/>
      <c r="D18" s="3"/>
      <c r="E18" s="3"/>
      <c r="F18" s="3"/>
      <c r="G18" s="3"/>
      <c r="H18" s="3"/>
    </row>
    <row r="19" ht="15" hidden="0" outlineLevel="0" collapsed="0">
      <c r="A19" s="3"/>
      <c r="B19" s="3"/>
      <c r="C19" s="3"/>
      <c r="D19" s="3"/>
      <c r="E19" s="3"/>
      <c r="F19" s="3"/>
      <c r="G19" s="3"/>
      <c r="H19" s="3"/>
    </row>
    <row r="20" ht="21" hidden="0" outlineLevel="0" collapsed="0">
      <c r="A20" s="4" t="s">
        <v>451</v>
      </c>
      <c r="B20" s="4"/>
      <c r="C20" s="4"/>
      <c r="D20" s="4"/>
      <c r="E20" s="4"/>
      <c r="F20" s="4"/>
      <c r="G20" s="4"/>
      <c r="H20" s="4"/>
    </row>
    <row r="21" ht="15" hidden="0" outlineLevel="0" collapsed="0">
      <c r="A21" s="3" t="s">
        <v>452</v>
      </c>
      <c r="B21" s="3" t="s">
        <v>371</v>
      </c>
      <c r="C21" s="3"/>
      <c r="D21" s="3"/>
      <c r="E21" s="3"/>
      <c r="F21" s="3"/>
      <c r="G21" s="3"/>
      <c r="H21" s="3"/>
    </row>
    <row r="22" ht="15" hidden="0" outlineLevel="0" collapsed="0">
      <c r="A22" s="3" t="s">
        <v>453</v>
      </c>
      <c r="B22" s="3" t="s">
        <v>454</v>
      </c>
      <c r="C22" s="3"/>
      <c r="D22" s="3"/>
      <c r="E22" s="3"/>
      <c r="F22" s="3"/>
      <c r="G22" s="3"/>
      <c r="H22" s="3"/>
    </row>
    <row r="23" ht="15" hidden="0" outlineLevel="0" collapsed="0">
      <c r="A23" s="3" t="s">
        <v>455</v>
      </c>
      <c r="B23" s="3" t="s">
        <v>456</v>
      </c>
      <c r="C23" s="3"/>
      <c r="D23" s="3"/>
      <c r="E23" s="3"/>
      <c r="F23" s="3"/>
      <c r="G23" s="3"/>
      <c r="H23" s="3"/>
    </row>
    <row r="24" ht="15" hidden="0" outlineLevel="0" collapsed="0">
      <c r="A24" s="3" t="s">
        <v>457</v>
      </c>
      <c r="B24" s="3" t="s">
        <v>434</v>
      </c>
      <c r="C24" s="3"/>
      <c r="D24" s="3"/>
      <c r="E24" s="3"/>
      <c r="F24" s="3"/>
      <c r="G24" s="3"/>
      <c r="H24" s="3"/>
    </row>
    <row r="25" ht="15" hidden="0" outlineLevel="0" collapsed="0">
      <c r="A25" s="3" t="s">
        <v>458</v>
      </c>
      <c r="B25" s="3" t="s">
        <v>434</v>
      </c>
      <c r="C25" s="3"/>
      <c r="D25" s="3"/>
      <c r="E25" s="3"/>
      <c r="F25" s="3"/>
      <c r="G25" s="3"/>
      <c r="H25" s="3"/>
    </row>
    <row r="26" ht="15" hidden="0" outlineLevel="0" collapsed="0">
      <c r="A26" s="3" t="s">
        <v>459</v>
      </c>
      <c r="B26" s="3" t="s">
        <v>460</v>
      </c>
      <c r="C26" s="3"/>
      <c r="D26" s="3"/>
      <c r="E26" s="3"/>
      <c r="F26" s="3"/>
      <c r="G26" s="3"/>
      <c r="H26" s="3"/>
    </row>
    <row r="27" ht="15" hidden="0" outlineLevel="0" collapsed="0">
      <c r="A27" s="3"/>
      <c r="B27" s="3"/>
      <c r="C27" s="3"/>
      <c r="D27" s="3"/>
      <c r="E27" s="3"/>
      <c r="F27" s="3"/>
      <c r="G27" s="3"/>
      <c r="H27" s="3"/>
    </row>
    <row r="28" ht="15" hidden="0" outlineLevel="0" collapsed="0">
      <c r="A28" s="3"/>
      <c r="B28" s="3"/>
      <c r="C28" s="3"/>
      <c r="D28" s="3"/>
      <c r="E28" s="3"/>
      <c r="F28" s="3"/>
      <c r="G28" s="3"/>
      <c r="H28" s="3"/>
    </row>
    <row r="29" ht="15" hidden="0" outlineLevel="0" collapsed="0">
      <c r="A29" s="3"/>
      <c r="B29" s="3"/>
      <c r="C29" s="3"/>
      <c r="D29" s="3"/>
      <c r="E29" s="3"/>
      <c r="F29" s="3"/>
      <c r="G29" s="3"/>
      <c r="H29" s="3"/>
    </row>
    <row r="30" ht="15" hidden="0" outlineLevel="0" collapsed="0">
      <c r="A30" s="3"/>
      <c r="B30" s="3"/>
      <c r="C30" s="3"/>
      <c r="D30" s="3"/>
      <c r="E30" s="3"/>
      <c r="F30" s="3"/>
      <c r="G30" s="3"/>
      <c r="H30" s="3"/>
    </row>
  </sheetData>
  <mergeCells count="10">
    <mergeCell ref="A1:H1"/>
    <mergeCell ref="A2:H2"/>
    <mergeCell ref="B17:H17"/>
    <mergeCell ref="A20:H20"/>
    <mergeCell ref="B21:H21"/>
    <mergeCell ref="B22:H22"/>
    <mergeCell ref="B23:H23"/>
    <mergeCell ref="B24:H24"/>
    <mergeCell ref="B25:H25"/>
    <mergeCell ref="B26:H26"/>
  </mergeCells>
  <conditionalFormatting sqref="C5:C14">
    <cfRule type="containsText" priority="2" operator="containsText" text="OK" dxfId="6">
      <formula>NOT(ISERROR(SEARCH("OK",C5)))</formula>
    </cfRule>
    <cfRule type="containsText" priority="3" operator="containsText" text="REVIEW" dxfId="7">
      <formula>NOT(ISERROR(SEARCH("REVIEW",C5)))</formula>
    </cfRule>
  </conditionalFormatting>
  <conditionalFormatting sqref="B18">
    <cfRule type="containsText" priority="4" operator="containsText" text="OK" dxfId="8">
      <formula>NOT(ISERROR(SEARCH("OK",B18)))</formula>
    </cfRule>
    <cfRule type="containsText" priority="5" operator="containsText" text="REVIEW" dxfId="9">
      <formula>NOT(ISERROR(SEARCH("REVIEW",B18)))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32" t="s">
        <v>461</v>
      </c>
      <c r="B1" s="32" t="s">
        <v>462</v>
      </c>
      <c r="C1" s="32" t="s">
        <v>463</v>
      </c>
      <c r="D1" s="32" t="s">
        <v>464</v>
      </c>
      <c r="E1" s="32" t="s">
        <v>465</v>
      </c>
      <c r="F1" s="32" t="s">
        <v>466</v>
      </c>
    </row>
    <row r="2">
      <c r="A2" s="31">
        <v>1</v>
      </c>
      <c r="B2" s="33">
        <v>46324.35933085648</v>
      </c>
      <c r="C2" s="31" t="s">
        <v>467</v>
      </c>
      <c r="D2" s="31" t="s">
        <v>468</v>
      </c>
      <c r="E2" s="31" t="s">
        <v>469</v>
      </c>
      <c r="F2" s="31" t="s">
        <v>470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